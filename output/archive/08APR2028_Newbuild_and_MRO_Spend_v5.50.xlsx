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Override PartName="/xl/drawings/drawing1.xml" ContentType="application/vnd.openxmlformats-officedocument.drawing+xml"/>
  <Override PartName="/xl/drawings/drawing2.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4560" windowHeight="20400" tabRatio="600" firstSheet="0" activeTab="0" autoFilterDateGrouping="1"/>
  </bookViews>
  <sheets>
    <sheet xmlns:r="http://schemas.openxmlformats.org/officeDocument/2006/relationships" name="J Book Items Cons." sheetId="1" state="visible" r:id="rId1"/>
    <sheet xmlns:r="http://schemas.openxmlformats.org/officeDocument/2006/relationships" name="FY2026 &gt;&gt;" sheetId="2" state="visible" r:id="rId2"/>
    <sheet xmlns:r="http://schemas.openxmlformats.org/officeDocument/2006/relationships" name="FY26 Total Funding" sheetId="3" state="visible" r:id="rId3"/>
    <sheet xmlns:r="http://schemas.openxmlformats.org/officeDocument/2006/relationships" name="FY26 Newbuild TAM" sheetId="4" state="visible" r:id="rId4"/>
    <sheet xmlns:r="http://schemas.openxmlformats.org/officeDocument/2006/relationships" name="FY26 Newbuild SAM" sheetId="5" state="visible" r:id="rId5"/>
    <sheet xmlns:r="http://schemas.openxmlformats.org/officeDocument/2006/relationships" name="FY26 MRO TAM" sheetId="6" state="visible" r:id="rId6"/>
    <sheet xmlns:r="http://schemas.openxmlformats.org/officeDocument/2006/relationships" name="FY26 MRO SAM" sheetId="7" state="visible" r:id="rId7"/>
    <sheet xmlns:r="http://schemas.openxmlformats.org/officeDocument/2006/relationships" name="FY2027 &gt;&gt;" sheetId="8" state="visible" r:id="rId8"/>
    <sheet xmlns:r="http://schemas.openxmlformats.org/officeDocument/2006/relationships" name="FY27 Total Funding" sheetId="9" state="visible" r:id="rId9"/>
    <sheet xmlns:r="http://schemas.openxmlformats.org/officeDocument/2006/relationships" name="FY27 Newbuild TAM" sheetId="10" state="visible" r:id="rId10"/>
    <sheet xmlns:r="http://schemas.openxmlformats.org/officeDocument/2006/relationships" name="FY27 Newbuild SAM" sheetId="11" state="visible" r:id="rId11"/>
    <sheet xmlns:r="http://schemas.openxmlformats.org/officeDocument/2006/relationships" name="FY27 MRO TAM" sheetId="12" state="visible" r:id="rId12"/>
    <sheet xmlns:r="http://schemas.openxmlformats.org/officeDocument/2006/relationships" name="FY27 MRO SAM" sheetId="13" state="visible" r:id="rId13"/>
    <sheet xmlns:r="http://schemas.openxmlformats.org/officeDocument/2006/relationships" name="Competitive Dynamics" sheetId="14" state="visible" r:id="rId14"/>
    <sheet xmlns:r="http://schemas.openxmlformats.org/officeDocument/2006/relationships" name="Validation" sheetId="15" state="visible" r:id="rId15"/>
    <sheet xmlns:r="http://schemas.openxmlformats.org/officeDocument/2006/relationships" name="Notes" sheetId="16" state="visible" r:id="rId16"/>
  </sheets>
  <definedNames>
    <definedName name="JB_A">'J Book Items Cons.'!$A$6:$A$4000</definedName>
    <definedName name="JB_B">'J Book Items Cons.'!$I$6:$I$4000</definedName>
    <definedName name="JB_F">'J Book Items Cons.'!$J$6:$J$4000</definedName>
    <definedName name="JB_H">'J Book Items Cons.'!$N$6:$N$4000</definedName>
    <definedName name="JB_S">'J Book Items Cons.'!$E$6:$E$4000</definedName>
    <definedName name="JB_U">'J Book Items Cons.'!$K$6:$K$4000</definedName>
    <definedName name="JB_V">'J Book Items Cons.'!$L$6:$L$4000</definedName>
    <definedName name="JB_W">'J Book Items Cons.'!$M$6:$M$4000</definedName>
    <definedName name="JB_CE">'J Book Items Cons.'!$AJ$6:$AJ$4000</definedName>
    <definedName name="JB_EX">'J Book Items Cons.'!$G$6:$G$4000</definedName>
    <definedName name="JB_CC">'J Book Items Cons.'!$H$6:$H$4000</definedName>
    <definedName name="JB_RC">'J Book Items Cons.'!$AC$6:$AC$4000</definedName>
    <definedName name="JB_26BV">'J Book Items Cons.'!$AD$6:$AD$4000</definedName>
    <definedName name="JB_27BV">'J Book Items Cons.'!$AE$6:$AE$4000</definedName>
    <definedName name="JB_R">'J Book Items Cons.'!$Y$6:$Y$4000</definedName>
    <definedName name="JB_N">'J Book Items Cons.'!$U$6:$U$4000</definedName>
    <definedName name="JB_L">'J Book Items Cons.'!$S$6:$S$4000</definedName>
    <definedName name="JB_27U">'J Book Items Cons.'!$AB$6:$AB$4000</definedName>
    <definedName name="JB_27S">'J Book Items Cons.'!$Z$6:$Z$4000</definedName>
  </definedNames>
  <calcPr calcId="0" fullCalcOnLoad="1"/>
</workbook>
</file>

<file path=xl/styles.xml><?xml version="1.0" encoding="utf-8"?>
<styleSheet xmlns="http://schemas.openxmlformats.org/spreadsheetml/2006/main">
  <numFmts count="3">
    <numFmt numFmtId="164" formatCode="#,##0;[Red]\(#,##0\);&quot;-&quot;"/>
    <numFmt numFmtId="165" formatCode="#,##0;[Red](#,##0);&quot;-&quot;"/>
    <numFmt numFmtId="166" formatCode="0.0%;[Red](0.0%);&quot;-&quot;"/>
  </numFmts>
  <fonts count="14">
    <font>
      <name val="Calibri"/>
      <family val="2"/>
      <color theme="1"/>
      <sz val="11"/>
      <scheme val="minor"/>
    </font>
    <font>
      <name val="Arial"/>
      <family val="2"/>
      <b val="1"/>
      <color rgb="FFFFFFFF"/>
      <sz val="8"/>
    </font>
    <font>
      <name val="Arial"/>
      <family val="2"/>
      <i val="1"/>
      <color rgb="FF808080"/>
      <sz val="8"/>
    </font>
    <font>
      <name val="Arial"/>
      <family val="2"/>
      <b val="1"/>
      <color rgb="FF000000"/>
      <sz val="8"/>
    </font>
    <font>
      <name val="Arial"/>
      <family val="2"/>
      <color rgb="FF000000"/>
      <sz val="8"/>
    </font>
    <font>
      <name val="Arial"/>
      <b val="1"/>
      <color rgb="00FFFFFF"/>
      <sz val="8"/>
    </font>
    <font>
      <name val="Arial"/>
      <color rgb="000000FF"/>
      <sz val="8"/>
    </font>
    <font>
      <name val="Arial"/>
      <b val="1"/>
      <color rgb="00000000"/>
      <sz val="8"/>
    </font>
    <font>
      <name val="Arial"/>
      <color rgb="00000000"/>
      <sz val="8"/>
    </font>
    <font>
      <name val="Arial"/>
      <i val="1"/>
      <color rgb="00808080"/>
      <sz val="8"/>
    </font>
    <font>
      <name val="Arial"/>
      <b val="1"/>
      <color rgb="001F314F"/>
      <sz val="8"/>
    </font>
    <font>
      <name val="Arial"/>
      <b val="1"/>
      <i val="1"/>
      <color rgb="00000000"/>
      <sz val="8"/>
    </font>
    <font>
      <name val="Arial"/>
      <i val="1"/>
      <color rgb="00000000"/>
      <sz val="8"/>
    </font>
    <font>
      <name val="Arial"/>
      <color rgb="002E7D32"/>
      <sz val="8"/>
    </font>
  </fonts>
  <fills count="7">
    <fill>
      <patternFill/>
    </fill>
    <fill>
      <patternFill patternType="gray125"/>
    </fill>
    <fill>
      <patternFill patternType="solid"/>
    </fill>
    <fill>
      <patternFill patternType="solid">
        <fgColor rgb="FFF2F4F7"/>
        <bgColor rgb="FFF2F4F7"/>
      </patternFill>
    </fill>
    <fill>
      <patternFill patternType="solid">
        <fgColor rgb="00808080"/>
        <bgColor rgb="00808080"/>
      </patternFill>
    </fill>
    <fill>
      <patternFill patternType="solid">
        <fgColor rgb="00E0F2F1"/>
        <bgColor rgb="00E0F2F1"/>
      </patternFill>
    </fill>
    <fill>
      <patternFill patternType="solid">
        <fgColor rgb="00F2F4F7"/>
        <bgColor rgb="00F2F4F7"/>
      </patternFill>
    </fill>
  </fills>
  <borders count="9">
    <border>
      <left/>
      <right/>
      <top/>
      <bottom/>
      <diagonal/>
    </border>
    <border>
      <left/>
      <right/>
      <top/>
      <bottom style="thin">
        <color auto="1"/>
      </bottom>
      <diagonal/>
    </border>
    <border>
      <left style="thin"/>
      <right/>
      <top/>
      <bottom/>
    </border>
    <border>
      <left style="thin"/>
      <right/>
      <top/>
      <bottom style="thin">
        <color auto="1"/>
      </bottom>
    </border>
    <border>
      <bottom style="thin"/>
    </border>
    <border>
      <left style="thin"/>
      <bottom style="thin"/>
    </border>
    <border>
      <top style="medium"/>
    </border>
    <border>
      <left/>
      <right/>
      <top style="medium"/>
      <bottom/>
    </border>
    <border>
      <left style="thin"/>
      <top style="medium"/>
    </border>
  </borders>
  <cellStyleXfs count="1">
    <xf numFmtId="0" fontId="0" fillId="0" borderId="0"/>
  </cellStyleXfs>
  <cellXfs count="57">
    <xf numFmtId="0" fontId="0" fillId="0" borderId="0" pivotButton="0" quotePrefix="0" xfId="0"/>
    <xf numFmtId="0" fontId="1" fillId="2" borderId="0" pivotButton="0" quotePrefix="0" xfId="0"/>
    <xf numFmtId="0" fontId="0" fillId="2" borderId="0" pivotButton="0" quotePrefix="0" xfId="0"/>
    <xf numFmtId="0" fontId="2" fillId="0" borderId="0" pivotButton="0" quotePrefix="0" xfId="0"/>
    <xf numFmtId="0" fontId="3" fillId="3" borderId="0" applyAlignment="1" pivotButton="0" quotePrefix="0" xfId="0">
      <alignment vertical="center"/>
    </xf>
    <xf numFmtId="0" fontId="0" fillId="3" borderId="0" applyAlignment="1" pivotButton="0" quotePrefix="0" xfId="0">
      <alignment vertical="center"/>
    </xf>
    <xf numFmtId="0" fontId="3" fillId="0" borderId="1" applyAlignment="1" pivotButton="0" quotePrefix="0" xfId="0">
      <alignment vertical="center"/>
    </xf>
    <xf numFmtId="0" fontId="4" fillId="0" borderId="0" applyAlignment="1" pivotButton="0" quotePrefix="0" xfId="0">
      <alignment vertical="center"/>
    </xf>
    <xf numFmtId="164" fontId="4" fillId="0" borderId="0" applyAlignment="1" pivotButton="0" quotePrefix="0" xfId="0">
      <alignment vertical="center"/>
    </xf>
    <xf numFmtId="0" fontId="5" fillId="4" borderId="0" applyAlignment="1" pivotButton="0" quotePrefix="0" xfId="0">
      <alignment vertical="center"/>
    </xf>
    <xf numFmtId="0" fontId="0" fillId="4" borderId="0" applyAlignment="1" pivotButton="0" quotePrefix="0" xfId="0">
      <alignment vertical="center"/>
    </xf>
    <xf numFmtId="0" fontId="5" fillId="4" borderId="2" applyAlignment="1" pivotButton="0" quotePrefix="0" xfId="0">
      <alignment vertical="center"/>
    </xf>
    <xf numFmtId="0" fontId="3" fillId="0" borderId="3" applyAlignment="1" pivotButton="0" quotePrefix="0" xfId="0">
      <alignment vertical="center"/>
    </xf>
    <xf numFmtId="0" fontId="4" fillId="0" borderId="2" applyAlignment="1" pivotButton="0" quotePrefix="0" xfId="0">
      <alignment vertical="center"/>
    </xf>
    <xf numFmtId="0" fontId="6" fillId="0" borderId="0" applyAlignment="1" pivotButton="0" quotePrefix="0" xfId="0">
      <alignment vertical="center"/>
    </xf>
    <xf numFmtId="0" fontId="0" fillId="0" borderId="2" pivotButton="0" quotePrefix="0" xfId="0"/>
    <xf numFmtId="165" fontId="6" fillId="0" borderId="0" applyAlignment="1" pivotButton="0" quotePrefix="0" xfId="0">
      <alignment vertical="center"/>
    </xf>
    <xf numFmtId="165" fontId="6" fillId="0" borderId="2" applyAlignment="1" pivotButton="0" quotePrefix="0" xfId="0">
      <alignment vertical="center"/>
    </xf>
    <xf numFmtId="0" fontId="5" fillId="4" borderId="0" applyAlignment="1" pivotButton="0" quotePrefix="0" xfId="0">
      <alignment vertical="center"/>
    </xf>
    <xf numFmtId="0" fontId="7" fillId="0" borderId="4" applyAlignment="1" pivotButton="0" quotePrefix="0" xfId="0">
      <alignment vertical="center"/>
    </xf>
    <xf numFmtId="0" fontId="8" fillId="0" borderId="0" applyAlignment="1" pivotButton="0" quotePrefix="0" xfId="0">
      <alignment vertical="center"/>
    </xf>
    <xf numFmtId="165" fontId="8" fillId="0" borderId="0" applyAlignment="1" pivotButton="0" quotePrefix="0" xfId="0">
      <alignment vertical="center"/>
    </xf>
    <xf numFmtId="0" fontId="7" fillId="0" borderId="5" applyAlignment="1" pivotButton="0" quotePrefix="0" xfId="0">
      <alignment vertical="center"/>
    </xf>
    <xf numFmtId="0" fontId="8" fillId="0" borderId="2" applyAlignment="1" pivotButton="0" quotePrefix="0" xfId="0">
      <alignment vertical="center"/>
    </xf>
    <xf numFmtId="0" fontId="5" fillId="2" borderId="0" applyAlignment="1" pivotButton="0" quotePrefix="0" xfId="0">
      <alignment vertical="center"/>
    </xf>
    <xf numFmtId="0" fontId="0" fillId="2" borderId="0" applyAlignment="1" pivotButton="0" quotePrefix="0" xfId="0">
      <alignment vertical="center"/>
    </xf>
    <xf numFmtId="0" fontId="9" fillId="0" borderId="0" applyAlignment="1" pivotButton="0" quotePrefix="0" xfId="0">
      <alignment vertical="center"/>
    </xf>
    <xf numFmtId="0" fontId="5" fillId="4" borderId="0" applyAlignment="1" pivotButton="0" quotePrefix="0" xfId="0">
      <alignment vertical="center"/>
    </xf>
    <xf numFmtId="0" fontId="0" fillId="4" borderId="0" applyAlignment="1" pivotButton="0" quotePrefix="0" xfId="0">
      <alignment vertical="center"/>
    </xf>
    <xf numFmtId="0" fontId="7" fillId="0" borderId="4" applyAlignment="1" pivotButton="0" quotePrefix="0" xfId="0">
      <alignment vertical="center"/>
    </xf>
    <xf numFmtId="0" fontId="8" fillId="0" borderId="0" applyAlignment="1" pivotButton="0" quotePrefix="0" xfId="0">
      <alignment vertical="center"/>
    </xf>
    <xf numFmtId="165" fontId="8" fillId="0" borderId="0" applyAlignment="1" pivotButton="0" quotePrefix="0" xfId="0">
      <alignment vertical="center"/>
    </xf>
    <xf numFmtId="0" fontId="7" fillId="0" borderId="6" applyAlignment="1" pivotButton="0" quotePrefix="0" xfId="0">
      <alignment vertical="center"/>
    </xf>
    <xf numFmtId="165" fontId="7" fillId="0" borderId="6" applyAlignment="1" pivotButton="0" quotePrefix="0" xfId="0">
      <alignment vertical="center"/>
    </xf>
    <xf numFmtId="0" fontId="0" fillId="0" borderId="7" pivotButton="0" quotePrefix="0" xfId="0"/>
    <xf numFmtId="0" fontId="10" fillId="5" borderId="0" applyAlignment="1" pivotButton="0" quotePrefix="0" xfId="0">
      <alignment vertical="center"/>
    </xf>
    <xf numFmtId="165" fontId="10" fillId="5" borderId="0" applyAlignment="1" pivotButton="0" quotePrefix="0" xfId="0">
      <alignment vertical="center"/>
    </xf>
    <xf numFmtId="166" fontId="12" fillId="0" borderId="0" applyAlignment="1" pivotButton="0" quotePrefix="0" xfId="0">
      <alignment vertical="center"/>
    </xf>
    <xf numFmtId="166" fontId="11" fillId="0" borderId="6" applyAlignment="1" pivotButton="0" quotePrefix="0" xfId="0">
      <alignment vertical="center"/>
    </xf>
    <xf numFmtId="0" fontId="0" fillId="6" borderId="0" applyAlignment="1" pivotButton="0" quotePrefix="0" xfId="0">
      <alignment vertical="center"/>
    </xf>
    <xf numFmtId="0" fontId="7" fillId="6" borderId="2" applyAlignment="1" pivotButton="0" quotePrefix="0" xfId="0">
      <alignment vertical="center"/>
    </xf>
    <xf numFmtId="0" fontId="0" fillId="6" borderId="2" applyAlignment="1" pivotButton="0" quotePrefix="0" xfId="0">
      <alignment vertical="center"/>
    </xf>
    <xf numFmtId="0" fontId="7" fillId="0" borderId="5" applyAlignment="1" pivotButton="0" quotePrefix="0" xfId="0">
      <alignment vertical="center"/>
    </xf>
    <xf numFmtId="166" fontId="12" fillId="0" borderId="2" applyAlignment="1" pivotButton="0" quotePrefix="0" xfId="0">
      <alignment vertical="center"/>
    </xf>
    <xf numFmtId="165" fontId="7" fillId="0" borderId="8" applyAlignment="1" pivotButton="0" quotePrefix="0" xfId="0">
      <alignment vertical="center"/>
    </xf>
    <xf numFmtId="165" fontId="8" fillId="0" borderId="2" applyAlignment="1" pivotButton="0" quotePrefix="0" xfId="0">
      <alignment vertical="center"/>
    </xf>
    <xf numFmtId="0" fontId="7" fillId="6" borderId="0" applyAlignment="1" pivotButton="0" quotePrefix="0" xfId="0">
      <alignment vertical="center"/>
    </xf>
    <xf numFmtId="166" fontId="11" fillId="0" borderId="8" applyAlignment="1" pivotButton="0" quotePrefix="0" xfId="0">
      <alignment vertical="center"/>
    </xf>
    <xf numFmtId="165" fontId="10" fillId="5" borderId="2" applyAlignment="1" pivotButton="0" quotePrefix="0" xfId="0">
      <alignment vertical="center"/>
    </xf>
    <xf numFmtId="0" fontId="7" fillId="0" borderId="0" applyAlignment="1" pivotButton="0" quotePrefix="0" xfId="0">
      <alignment vertical="center"/>
    </xf>
    <xf numFmtId="165" fontId="7" fillId="0" borderId="0" applyAlignment="1" pivotButton="0" quotePrefix="0" xfId="0">
      <alignment vertical="center"/>
    </xf>
    <xf numFmtId="166" fontId="7" fillId="0" borderId="0" applyAlignment="1" pivotButton="0" quotePrefix="0" xfId="0">
      <alignment vertical="center"/>
    </xf>
    <xf numFmtId="0" fontId="12" fillId="0" borderId="0" applyAlignment="1" pivotButton="0" quotePrefix="0" xfId="0">
      <alignment vertical="center"/>
    </xf>
    <xf numFmtId="165" fontId="12" fillId="0" borderId="0" applyAlignment="1" pivotButton="0" quotePrefix="0" xfId="0">
      <alignment vertical="center"/>
    </xf>
    <xf numFmtId="0" fontId="0" fillId="0" borderId="6" pivotButton="0" quotePrefix="0" xfId="0"/>
    <xf numFmtId="165" fontId="13" fillId="0" borderId="0" applyAlignment="1" pivotButton="0" quotePrefix="0" xfId="0">
      <alignment vertical="center"/>
    </xf>
    <xf numFmtId="165" fontId="6" fillId="0" borderId="0" applyAlignment="1" pivotButton="0" quotePrefix="0" xfId="0">
      <alignment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drawings/drawing1.xml><?xml version="1.0" encoding="utf-8"?>
<xdr:wsDr xmlns:xdr="http://schemas.openxmlformats.org/drawingml/2006/spreadsheetDrawing" xmlns:a="http://schemas.openxmlformats.org/drawingml/2006/main">
  <xdr:oneCellAnchor>
    <xdr:from>
      <xdr:col>10</xdr:col>
      <xdr:colOff>57150</xdr:colOff>
      <xdr:row>60</xdr:row>
      <xdr:rowOff>28575</xdr:rowOff>
    </xdr:from>
    <xdr:ext cx="2110740" cy="1907540"/>
    <xdr:sp macro="" textlink="">
      <xdr:nvSpPr>
        <xdr:cNvPr id="2" name="Note 2"/>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P-5c Gross vs Net Budget Authority</a:t>
          </a:r>
        </a:p>
        <a:p>
          <a:endParaRPr lang="en-US" sz="800"/>
        </a:p>
        <a:p>
          <a:r>
            <a:rPr lang="en-US" sz="800">
              <a:solidFill>
                <a:srgbClr val="333333"/>
              </a:solidFill>
              <a:latin typeface="Arial"/>
            </a:rPr>
            <a:t>P-5c exhibits report gross total-ship-estimate</a:t>
          </a:r>
        </a:p>
        <a:p>
          <a:r>
            <a:rPr lang="en-US" sz="800">
              <a:solidFill>
                <a:srgbClr val="333333"/>
              </a:solidFill>
              <a:latin typeface="Arial"/>
            </a:rPr>
            <a:t>costs — what the ship actually costs to build,</a:t>
          </a:r>
        </a:p>
        <a:p>
          <a:r>
            <a:rPr lang="en-US" sz="800">
              <a:solidFill>
                <a:srgbClr val="333333"/>
              </a:solidFill>
              <a:latin typeface="Arial"/>
            </a:rPr>
            <a:t>broken by component. These gross costs are</a:t>
          </a:r>
        </a:p>
        <a:p>
          <a:r>
            <a:rPr lang="en-US" sz="800">
              <a:solidFill>
                <a:srgbClr val="333333"/>
              </a:solidFill>
              <a:latin typeface="Arial"/>
            </a:rPr>
            <a:t>larger than net budget authority because they</a:t>
          </a:r>
        </a:p>
        <a:p>
          <a:r>
            <a:rPr lang="en-US" sz="800">
              <a:solidFill>
                <a:srgbClr val="333333"/>
              </a:solidFill>
              <a:latin typeface="Arial"/>
            </a:rPr>
            <a:t>include money that was funded through advance</a:t>
          </a:r>
        </a:p>
        <a:p>
          <a:r>
            <a:rPr lang="en-US" sz="800">
              <a:solidFill>
                <a:srgbClr val="333333"/>
              </a:solidFill>
              <a:latin typeface="Arial"/>
            </a:rPr>
            <a:t>procurement in prior fiscal years.</a:t>
          </a:r>
        </a:p>
        <a:p>
          <a:endParaRPr lang="en-US" sz="800"/>
        </a:p>
        <a:p>
          <a:r>
            <a:rPr lang="en-US" sz="800" i="1">
              <a:solidFill>
                <a:srgbClr val="808080"/>
              </a:solidFill>
              <a:latin typeface="Arial"/>
            </a:rPr>
            <a:t>Section (E) solves this: it takes the P-5c</a:t>
          </a:r>
        </a:p>
        <a:p>
          <a:r>
            <a:rPr lang="en-US" sz="800" i="1">
              <a:solidFill>
                <a:srgbClr val="808080"/>
              </a:solidFill>
              <a:latin typeface="Arial"/>
            </a:rPr>
            <a:t>percentage mix and applies it to net BA,</a:t>
          </a:r>
        </a:p>
        <a:p>
          <a:r>
            <a:rPr lang="en-US" sz="800" i="1">
              <a:solidFill>
                <a:srgbClr val="808080"/>
              </a:solidFill>
              <a:latin typeface="Arial"/>
            </a:rPr>
            <a:t>so cost categories reconcile to actual</a:t>
          </a:r>
        </a:p>
        <a:p>
          <a:r>
            <a:rPr lang="en-US" sz="800" i="1">
              <a:solidFill>
                <a:srgbClr val="808080"/>
              </a:solidFill>
              <a:latin typeface="Arial"/>
            </a:rPr>
            <a:t>FY2026 funding.</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3</xdr:col>
      <xdr:colOff>457200</xdr:colOff>
      <xdr:row>72</xdr:row>
      <xdr:rowOff>28575</xdr:rowOff>
    </xdr:from>
    <xdr:ext cx="3657600" cy="3200400"/>
    <xdr:sp macro="" textlink="">
      <xdr:nvSpPr>
        <xdr:cNvPr id="2" name="Note 2"/>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What this table shows</a:t>
          </a:r>
        </a:p>
        <a:p>
          <a:endParaRPr lang="en-US" sz="800"/>
        </a:p>
        <a:p>
          <a:r>
            <a:rPr lang="en-US" sz="800">
              <a:solidFill>
                <a:srgbClr val="333333"/>
              </a:solidFill>
              <a:latin typeface="Arial"/>
            </a:rPr>
            <a:t>The OMN justification book breaks Ship</a:t>
          </a:r>
        </a:p>
        <a:p>
          <a:r>
            <a:rPr lang="en-US" sz="800">
              <a:solidFill>
                <a:srgbClr val="333333"/>
              </a:solidFill>
              <a:latin typeface="Arial"/>
            </a:rPr>
            <a:t>Maintenance (Bucket 2) into sub-components</a:t>
          </a:r>
        </a:p>
        <a:p>
          <a:r>
            <a:rPr lang="en-US" sz="800">
              <a:solidFill>
                <a:srgbClr val="333333"/>
              </a:solidFill>
              <a:latin typeface="Arial"/>
            </a:rPr>
            <a:t>— labor, contracts, materials, weapons</a:t>
          </a:r>
        </a:p>
        <a:p>
          <a:r>
            <a:rPr lang="en-US" sz="800">
              <a:solidFill>
                <a:srgbClr val="333333"/>
              </a:solidFill>
              <a:latin typeface="Arial"/>
            </a:rPr>
            <a:t>depot, MSC maintenance, etc. These are the</a:t>
          </a:r>
        </a:p>
        <a:p>
          <a:r>
            <a:rPr lang="en-US" sz="800">
              <a:solidFill>
                <a:srgbClr val="333333"/>
              </a:solidFill>
              <a:latin typeface="Arial"/>
            </a:rPr>
            <a:t>raw book titles showing how SDM dollars are</a:t>
          </a:r>
        </a:p>
        <a:p>
          <a:r>
            <a:rPr lang="en-US" sz="800">
              <a:solidFill>
                <a:srgbClr val="333333"/>
              </a:solidFill>
              <a:latin typeface="Arial"/>
            </a:rPr>
            <a:t>spent across the fleet, sorted by size.</a:t>
          </a:r>
        </a:p>
        <a:p>
          <a:endParaRPr lang="en-US" sz="800"/>
        </a:p>
        <a:p>
          <a:r>
            <a:rPr lang="en-US" sz="800">
              <a:solidFill>
                <a:srgbClr val="333333"/>
              </a:solidFill>
              <a:latin typeface="Arial"/>
            </a:rPr>
            <a:t>This is aggregate data (not per-hull) — it</a:t>
          </a:r>
        </a:p>
        <a:p>
          <a:r>
            <a:rPr lang="en-US" sz="800">
              <a:solidFill>
                <a:srgbClr val="333333"/>
              </a:solidFill>
              <a:latin typeface="Arial"/>
            </a:rPr>
            <a:t>covers all vessels maintained under OMN,</a:t>
          </a:r>
        </a:p>
        <a:p>
          <a:r>
            <a:rPr lang="en-US" sz="800">
              <a:solidFill>
                <a:srgbClr val="333333"/>
              </a:solidFill>
              <a:latin typeface="Arial"/>
            </a:rPr>
            <a:t>including SAM-excluded types. Section (E)</a:t>
          </a:r>
        </a:p>
        <a:p>
          <a:r>
            <a:rPr lang="en-US" sz="800">
              <a:solidFill>
                <a:srgbClr val="333333"/>
              </a:solidFill>
              <a:latin typeface="Arial"/>
            </a:rPr>
            <a:t>applies these percentages to SAM-eligible</a:t>
          </a:r>
        </a:p>
        <a:p>
          <a:r>
            <a:rPr lang="en-US" sz="800">
              <a:solidFill>
                <a:srgbClr val="333333"/>
              </a:solidFill>
              <a:latin typeface="Arial"/>
            </a:rPr>
            <a:t>hull SDM totals in section (F).</a:t>
          </a:r>
        </a:p>
        <a:p>
          <a:endParaRPr lang="en-US" sz="800"/>
        </a:p>
        <a:p>
          <a:r>
            <a:rPr lang="en-US" sz="800" b="1">
              <a:solidFill>
                <a:srgbClr val="333333"/>
              </a:solidFill>
              <a:latin typeface="Arial"/>
            </a:rPr>
            <a:t>Excluded from this table:</a:t>
          </a:r>
        </a:p>
        <a:p>
          <a:endParaRPr lang="en-US" sz="800"/>
        </a:p>
        <a:p>
          <a:r>
            <a:rPr lang="en-US" sz="800">
              <a:solidFill>
                <a:srgbClr val="333333"/>
              </a:solidFill>
              <a:latin typeface="Arial"/>
            </a:rPr>
            <a:t>• SIA - USS ARLEIGH BURKE (DDG 51) / USS RUSHMORE (LSD 47)</a:t>
          </a:r>
        </a:p>
        <a:p>
          <a:r>
            <a:rPr lang="en-US" sz="800">
              <a:solidFill>
                <a:srgbClr val="333333"/>
              </a:solidFill>
              <a:latin typeface="Arial"/>
            </a:rPr>
            <a:t>• Surface Ship Decommissioning (LSD 42, LSD 48, LCS 3, CG 67, CG 70)</a:t>
          </a:r>
        </a:p>
        <a:p>
          <a:endParaRPr lang="en-US" sz="800"/>
        </a:p>
        <a:p>
          <a:r>
            <a:rPr lang="en-US" sz="800">
              <a:solidFill>
                <a:srgbClr val="333333"/>
              </a:solidFill>
              <a:latin typeface="Arial"/>
            </a:rPr>
            <a:t>These name specific hull programs in their</a:t>
          </a:r>
        </a:p>
        <a:p>
          <a:r>
            <a:rPr lang="en-US" sz="800">
              <a:solidFill>
                <a:srgbClr val="333333"/>
              </a:solidFill>
              <a:latin typeface="Arial"/>
            </a:rPr>
            <a:t>titles, so applying them proportionally</a:t>
          </a:r>
        </a:p>
        <a:p>
          <a:r>
            <a:rPr lang="en-US" sz="800">
              <a:solidFill>
                <a:srgbClr val="333333"/>
              </a:solidFill>
              <a:latin typeface="Arial"/>
            </a:rPr>
            <a:t>across all hulls would misattribute spending.</a:t>
          </a:r>
        </a:p>
        <a:p>
          <a:r>
            <a:rPr lang="en-US" sz="800">
              <a:solidFill>
                <a:srgbClr val="333333"/>
              </a:solidFill>
              <a:latin typeface="Arial"/>
            </a:rPr>
            <a:t>They still count in SAM totals (sections</a:t>
          </a:r>
        </a:p>
        <a:p>
          <a:r>
            <a:rPr lang="en-US" sz="800">
              <a:solidFill>
                <a:srgbClr val="333333"/>
              </a:solidFill>
              <a:latin typeface="Arial"/>
            </a:rPr>
            <a:t>A/B/C) via the OMN [PARENT] row.</a:t>
          </a:r>
        </a:p>
      </xdr:txBody>
    </xdr:sp>
    <xdr:clientData/>
  </xdr:oneCellAnchor>
  <xdr:oneCellAnchor>
    <xdr:from>
      <xdr:col>13</xdr:col>
      <xdr:colOff>457200</xdr:colOff>
      <xdr:row>99</xdr:row>
      <xdr:rowOff>28575</xdr:rowOff>
    </xdr:from>
    <xdr:ext cx="2026920" cy="2326640"/>
    <xdr:sp macro="" textlink="">
      <xdr:nvSpPr>
        <xdr:cNvPr id="3" name="Note 3"/>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How this table works</a:t>
          </a:r>
        </a:p>
        <a:p>
          <a:endParaRPr lang="en-US" sz="800"/>
        </a:p>
        <a:p>
          <a:r>
            <a:rPr lang="en-US" sz="800">
              <a:solidFill>
                <a:srgbClr val="333333"/>
              </a:solidFill>
              <a:latin typeface="Arial"/>
            </a:rPr>
            <a:t>Each hull’s SDM total from section (D) is</a:t>
          </a:r>
        </a:p>
        <a:p>
          <a:r>
            <a:rPr lang="en-US" sz="800">
              <a:solidFill>
                <a:srgbClr val="333333"/>
              </a:solidFill>
              <a:latin typeface="Arial"/>
            </a:rPr>
            <a:t>multiplied by the percentage mix from (E).</a:t>
          </a:r>
        </a:p>
        <a:p>
          <a:r>
            <a:rPr lang="en-US" sz="800">
              <a:solidFill>
                <a:srgbClr val="333333"/>
              </a:solidFill>
              <a:latin typeface="Arial"/>
            </a:rPr>
            <a:t>For example, if 25% of aggregate SDM goes</a:t>
          </a:r>
        </a:p>
        <a:p>
          <a:r>
            <a:rPr lang="en-US" sz="800">
              <a:solidFill>
                <a:srgbClr val="333333"/>
              </a:solidFill>
              <a:latin typeface="Arial"/>
            </a:rPr>
            <a:t>to private-sector contracts, DDG’s $960M SDM</a:t>
          </a:r>
        </a:p>
        <a:p>
          <a:r>
            <a:rPr lang="en-US" sz="800">
              <a:solidFill>
                <a:srgbClr val="333333"/>
              </a:solidFill>
              <a:latin typeface="Arial"/>
            </a:rPr>
            <a:t>is estimated as ~$240M contract work.</a:t>
          </a:r>
        </a:p>
        <a:p>
          <a:endParaRPr lang="en-US" sz="800"/>
        </a:p>
        <a:p>
          <a:r>
            <a:rPr lang="en-US" sz="800">
              <a:solidFill>
                <a:srgbClr val="333333"/>
              </a:solidFill>
              <a:latin typeface="Arial"/>
            </a:rPr>
            <a:t>Unlike Newbuild SAM where P-5c gives a</a:t>
          </a:r>
        </a:p>
        <a:p>
          <a:r>
            <a:rPr lang="en-US" sz="800">
              <a:solidFill>
                <a:srgbClr val="333333"/>
              </a:solidFill>
              <a:latin typeface="Arial"/>
            </a:rPr>
            <a:t>_different_ cost mix per hull, MRO applies</a:t>
          </a:r>
        </a:p>
        <a:p>
          <a:r>
            <a:rPr lang="en-US" sz="800">
              <a:solidFill>
                <a:srgbClr val="333333"/>
              </a:solidFill>
              <a:latin typeface="Arial"/>
            </a:rPr>
            <a:t>the _same_ aggregate mix to every hull.</a:t>
          </a:r>
        </a:p>
        <a:p>
          <a:r>
            <a:rPr lang="en-US" sz="800">
              <a:solidFill>
                <a:srgbClr val="333333"/>
              </a:solidFill>
              <a:latin typeface="Arial"/>
            </a:rPr>
            <a:t>This is a directional approximation —</a:t>
          </a:r>
        </a:p>
        <a:p>
          <a:r>
            <a:rPr lang="en-US" sz="800">
              <a:solidFill>
                <a:srgbClr val="333333"/>
              </a:solidFill>
              <a:latin typeface="Arial"/>
            </a:rPr>
            <a:t>actual cost structure varies by hull class.</a:t>
          </a:r>
        </a:p>
        <a:p>
          <a:endParaRPr lang="en-US" sz="800"/>
        </a:p>
        <a:p>
          <a:r>
            <a:rPr lang="en-US" sz="800" i="1">
              <a:solidFill>
                <a:srgbClr val="808080"/>
              </a:solidFill>
              <a:latin typeface="Arial"/>
            </a:rPr>
            <a:t>Estimated SDM Total reconciles back to</a:t>
          </a:r>
        </a:p>
        <a:p>
          <a:r>
            <a:rPr lang="en-US" sz="800" i="1">
              <a:solidFill>
                <a:srgbClr val="808080"/>
              </a:solidFill>
              <a:latin typeface="Arial"/>
            </a:rPr>
            <a:t>each hull’s SDM from section (D).</a:t>
          </a:r>
        </a:p>
      </xdr:txBody>
    </xdr:sp>
    <xdr:clientData/>
  </xdr:oneCellAnchor>
  <xdr:oneCellAnchor>
    <xdr:from>
      <xdr:col>14</xdr:col>
      <xdr:colOff>457200</xdr:colOff>
      <xdr:row>42</xdr:row>
      <xdr:rowOff>28575</xdr:rowOff>
    </xdr:from>
    <xdr:ext cx="1901190" cy="929640"/>
    <xdr:sp macro="" textlink="">
      <xdr:nvSpPr>
        <xdr:cNvPr id="4" name="Note 4"/>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Work Type Mix by Hull</a:t>
          </a:r>
        </a:p>
        <a:p>
          <a:endParaRPr lang="en-US" sz="800"/>
        </a:p>
        <a:p>
          <a:r>
            <a:rPr lang="en-US" sz="800">
              <a:solidFill>
                <a:srgbClr val="333333"/>
              </a:solidFill>
              <a:latin typeface="Arial"/>
            </a:rPr>
            <a:t>Shows how each hull’s MRO SAM spend</a:t>
          </a:r>
        </a:p>
        <a:p>
          <a:r>
            <a:rPr lang="en-US" sz="800">
              <a:solidFill>
                <a:srgbClr val="333333"/>
              </a:solidFill>
              <a:latin typeface="Arial"/>
            </a:rPr>
            <a:t>splits across the four outsourceable work</a:t>
          </a:r>
        </a:p>
        <a:p>
          <a:r>
            <a:rPr lang="en-US" sz="800">
              <a:solidFill>
                <a:srgbClr val="333333"/>
              </a:solidFill>
              <a:latin typeface="Arial"/>
            </a:rPr>
            <a:t>types: SDM, Continuous/Emergent,</a:t>
          </a:r>
        </a:p>
        <a:p>
          <a:r>
            <a:rPr lang="en-US" sz="800">
              <a:solidFill>
                <a:srgbClr val="333333"/>
              </a:solidFill>
              <a:latin typeface="Arial"/>
            </a:rPr>
            <a:t>Modernization, and Major Life-Cycle.</a:t>
          </a:r>
        </a:p>
      </xdr:txBody>
    </xdr:sp>
    <xdr:clientData/>
  </xdr:oneCellAnchor>
  <xdr:oneCellAnchor>
    <xdr:from>
      <xdr:col>15</xdr:col>
      <xdr:colOff>457200</xdr:colOff>
      <xdr:row>132</xdr:row>
      <xdr:rowOff>28575</xdr:rowOff>
    </xdr:from>
    <xdr:ext cx="1943100" cy="2466340"/>
    <xdr:sp macro="" textlink="">
      <xdr:nvSpPr>
        <xdr:cNvPr id="5" name="Note 5"/>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Contract-Addressable MRO SAM</a:t>
          </a:r>
        </a:p>
        <a:p>
          <a:endParaRPr lang="en-US" sz="800"/>
        </a:p>
        <a:p>
          <a:r>
            <a:rPr lang="en-US" sz="800">
              <a:solidFill>
                <a:srgbClr val="333333"/>
              </a:solidFill>
              <a:latin typeface="Arial"/>
            </a:rPr>
            <a:t>The narrowest SAM — the MRO market a</a:t>
          </a:r>
        </a:p>
        <a:p>
          <a:r>
            <a:rPr lang="en-US" sz="800">
              <a:solidFill>
                <a:srgbClr val="333333"/>
              </a:solidFill>
              <a:latin typeface="Arial"/>
            </a:rPr>
            <a:t>company could realistically compete for.</a:t>
          </a:r>
        </a:p>
        <a:p>
          <a:endParaRPr lang="en-US" sz="800"/>
        </a:p>
        <a:p>
          <a:r>
            <a:rPr lang="en-US" sz="800">
              <a:solidFill>
                <a:srgbClr val="333333"/>
              </a:solidFill>
              <a:latin typeface="Arial"/>
            </a:rPr>
            <a:t>SDM is reduced from full hull totals to</a:t>
          </a:r>
        </a:p>
        <a:p>
          <a:r>
            <a:rPr lang="en-US" sz="800">
              <a:solidFill>
                <a:srgbClr val="333333"/>
              </a:solidFill>
              <a:latin typeface="Arial"/>
            </a:rPr>
            <a:t>only the ~31% that flows to private-sector</a:t>
          </a:r>
        </a:p>
        <a:p>
          <a:r>
            <a:rPr lang="en-US" sz="800">
              <a:solidFill>
                <a:srgbClr val="333333"/>
              </a:solidFill>
              <a:latin typeface="Arial"/>
            </a:rPr>
            <a:t>contracts (Ship Maintenance By Contract +</a:t>
          </a:r>
        </a:p>
        <a:p>
          <a:r>
            <a:rPr lang="en-US" sz="800">
              <a:solidFill>
                <a:srgbClr val="333333"/>
              </a:solidFill>
              <a:latin typeface="Arial"/>
            </a:rPr>
            <a:t>Equipment Maintenance By Contract from</a:t>
          </a:r>
        </a:p>
        <a:p>
          <a:r>
            <a:rPr lang="en-US" sz="800">
              <a:solidFill>
                <a:srgbClr val="333333"/>
              </a:solidFill>
              <a:latin typeface="Arial"/>
            </a:rPr>
            <a:t>section E). Government shipyard labor,</a:t>
          </a:r>
        </a:p>
        <a:p>
          <a:r>
            <a:rPr lang="en-US" sz="800">
              <a:solidFill>
                <a:srgbClr val="333333"/>
              </a:solidFill>
              <a:latin typeface="Arial"/>
            </a:rPr>
            <a:t>materials, MSC, and weapons depot work</a:t>
          </a:r>
        </a:p>
        <a:p>
          <a:r>
            <a:rPr lang="en-US" sz="800">
              <a:solidFill>
                <a:srgbClr val="333333"/>
              </a:solidFill>
              <a:latin typeface="Arial"/>
            </a:rPr>
            <a:t>are excluded from SDM.</a:t>
          </a:r>
        </a:p>
        <a:p>
          <a:endParaRPr lang="en-US" sz="800"/>
        </a:p>
        <a:p>
          <a:r>
            <a:rPr lang="en-US" sz="800">
              <a:solidFill>
                <a:srgbClr val="333333"/>
              </a:solidFill>
              <a:latin typeface="Arial"/>
            </a:rPr>
            <a:t>Cont/Emerg, Mod, and Major LC are retained</a:t>
          </a:r>
        </a:p>
        <a:p>
          <a:r>
            <a:rPr lang="en-US" sz="800">
              <a:solidFill>
                <a:srgbClr val="333333"/>
              </a:solidFill>
              <a:latin typeface="Arial"/>
            </a:rPr>
            <a:t>at full hull-level totals — these work</a:t>
          </a:r>
        </a:p>
        <a:p>
          <a:r>
            <a:rPr lang="en-US" sz="800">
              <a:solidFill>
                <a:srgbClr val="333333"/>
              </a:solidFill>
              <a:latin typeface="Arial"/>
            </a:rPr>
            <a:t>types do not have the same sub-component</a:t>
          </a:r>
        </a:p>
        <a:p>
          <a:r>
            <a:rPr lang="en-US" sz="800">
              <a:solidFill>
                <a:srgbClr val="333333"/>
              </a:solidFill>
              <a:latin typeface="Arial"/>
            </a:rPr>
            <a:t>breakdown in the justification books.</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sheetPr>
    <tabColor rgb="001F314F"/>
    <outlinePr summaryBelow="1" summaryRight="1"/>
    <pageSetUpPr/>
  </sheetPr>
  <dimension ref="A1:AJ4000"/>
  <sheetViews>
    <sheetView showGridLines="0" tabSelected="1" topLeftCell="H1" workbookViewId="0">
      <selection activeCell="M16" sqref="M16"/>
    </sheetView>
  </sheetViews>
  <sheetFormatPr baseColWidth="10" defaultColWidth="8.83203125" defaultRowHeight="15"/>
  <cols>
    <col width="10" customWidth="1" min="1" max="1"/>
    <col width="14" customWidth="1" min="2" max="3"/>
    <col width="35" customWidth="1" min="4" max="4"/>
    <col width="12" customWidth="1" min="5" max="5"/>
    <col width="30" customWidth="1" min="6" max="6"/>
    <col width="12" customWidth="1" min="7" max="7"/>
    <col width="24" customWidth="1" min="8" max="8"/>
    <col width="8" customWidth="1" min="9" max="9"/>
    <col width="24" customWidth="1" min="10" max="10"/>
    <col width="10" customWidth="1" min="11" max="11"/>
    <col width="22" customWidth="1" min="12" max="13"/>
    <col width="10" customWidth="1" min="14" max="14"/>
    <col width="14" customWidth="1" min="15" max="15"/>
    <col width="12" customWidth="1" min="16" max="17"/>
    <col width="14" customWidth="1" min="18" max="28"/>
    <col width="12" customWidth="1" min="29" max="29"/>
    <col width="15" customWidth="1" min="30" max="30"/>
    <col width="15" customWidth="1" min="31" max="31"/>
    <col width="12" customWidth="1" min="32" max="32"/>
    <col width="30" customWidth="1" min="33" max="33"/>
  </cols>
  <sheetData>
    <row r="1" ht="10" customHeight="1">
      <c r="A1" s="1" t="inlineStr">
        <is>
          <t>J Book Items Consolidated</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row>
    <row r="2" ht="10" customHeight="1">
      <c r="A2" s="3" t="inlineStr">
        <is>
          <t>Consolidated line-item budget data from SCN, OPN, OMN, NWCF, and USCG justification books</t>
        </is>
      </c>
    </row>
    <row r="3" ht="10" customHeight="1"/>
    <row r="4" ht="10" customHeight="1">
      <c r="A4" s="18" t="inlineStr">
        <is>
          <t>Identity</t>
        </is>
      </c>
      <c r="B4" s="10" t="n"/>
      <c r="C4" s="10" t="n"/>
      <c r="D4" s="10" t="n"/>
      <c r="E4" s="11" t="inlineStr">
        <is>
          <t>Structure</t>
        </is>
      </c>
      <c r="F4" s="10" t="n"/>
      <c r="G4" s="10" t="n"/>
      <c r="H4" s="10" t="n"/>
      <c r="I4" s="10" t="n"/>
      <c r="J4" s="10" t="n"/>
      <c r="K4" s="11" t="inlineStr">
        <is>
          <t>Classification</t>
        </is>
      </c>
      <c r="L4" s="10" t="n"/>
      <c r="M4" s="10" t="n"/>
      <c r="N4" s="10" t="n"/>
      <c r="O4" s="11" t="inlineStr">
        <is>
          <t>Dollars</t>
        </is>
      </c>
      <c r="P4" s="10" t="n"/>
      <c r="Q4" s="10" t="n"/>
      <c r="R4" s="10" t="n"/>
      <c r="S4" s="10" t="n"/>
      <c r="T4" s="10" t="n"/>
      <c r="U4" s="10" t="n"/>
      <c r="V4" s="10" t="n"/>
      <c r="W4" s="10" t="n"/>
      <c r="X4" s="10" t="n"/>
      <c r="Y4" s="10" t="n"/>
      <c r="Z4" s="10" t="n"/>
      <c r="AA4" s="10" t="n"/>
      <c r="AB4" s="10" t="n"/>
      <c r="AC4" s="11" t="inlineStr">
        <is>
          <t>Helper Columns</t>
        </is>
      </c>
      <c r="AD4" s="18" t="n"/>
      <c r="AE4" s="18" t="n"/>
      <c r="AF4" s="11" t="inlineStr">
        <is>
          <t>Reference</t>
        </is>
      </c>
      <c r="AG4" s="10" t="n"/>
      <c r="AH4" s="10" t="n"/>
      <c r="AI4" s="10" t="n"/>
      <c r="AJ4" s="10" t="n"/>
    </row>
    <row r="5" ht="10" customHeight="1">
      <c r="A5" s="6" t="inlineStr">
        <is>
          <t>Source Book</t>
        </is>
      </c>
      <c r="B5" s="6" t="inlineStr">
        <is>
          <t>Color of Money</t>
        </is>
      </c>
      <c r="C5" s="6" t="inlineStr">
        <is>
          <t>Line Item Number</t>
        </is>
      </c>
      <c r="D5" s="6" t="inlineStr">
        <is>
          <t>Line Item Title</t>
        </is>
      </c>
      <c r="E5" s="12" t="inlineStr">
        <is>
          <t>Row Type</t>
        </is>
      </c>
      <c r="F5" s="6" t="inlineStr">
        <is>
          <t>Parent Item</t>
        </is>
      </c>
      <c r="G5" s="6" t="inlineStr">
        <is>
          <t>Exhibit Level</t>
        </is>
      </c>
      <c r="H5" s="6" t="inlineStr">
        <is>
          <t>Cost Category</t>
        </is>
      </c>
      <c r="I5" s="6" t="inlineStr">
        <is>
          <t>Bucket</t>
        </is>
      </c>
      <c r="J5" s="6" t="inlineStr">
        <is>
          <t>Bucket Sub Category</t>
        </is>
      </c>
      <c r="K5" s="12" t="inlineStr">
        <is>
          <t>Vessel Service</t>
        </is>
      </c>
      <c r="L5" s="6" t="inlineStr">
        <is>
          <t>Vessel Category</t>
        </is>
      </c>
      <c r="M5" s="6" t="inlineStr">
        <is>
          <t>Vessel Type</t>
        </is>
      </c>
      <c r="N5" s="6" t="inlineStr">
        <is>
          <t>Vessel Hull</t>
        </is>
      </c>
      <c r="O5" s="12" t="inlineStr">
        <is>
          <t>Prior Years ($K)</t>
        </is>
      </c>
      <c r="P5" s="6" t="inlineStr">
        <is>
          <t>FY2024 ($K)</t>
        </is>
      </c>
      <c r="Q5" s="6" t="inlineStr">
        <is>
          <t>FY2025 ($K)</t>
        </is>
      </c>
      <c r="R5" s="6" t="inlineStr">
        <is>
          <t>FY2025 Required ($K)</t>
        </is>
      </c>
      <c r="S5" s="6" t="inlineStr">
        <is>
          <t>FY2026 Request ($K)</t>
        </is>
      </c>
      <c r="T5" s="6" t="inlineStr">
        <is>
          <t>FY2026 Reconciliation ($K)</t>
        </is>
      </c>
      <c r="U5" s="6" t="inlineStr">
        <is>
          <t>FY2026 Total ($K)</t>
        </is>
      </c>
      <c r="V5" s="6" t="inlineStr">
        <is>
          <t>FY2026 Required ($K)</t>
        </is>
      </c>
      <c r="W5" s="6" t="inlineStr">
        <is>
          <t>FY2026 DAA Mandatory ($K)</t>
        </is>
      </c>
      <c r="X5" s="6" t="inlineStr">
        <is>
          <t>FY2026 DAA Final Bill ($K)</t>
        </is>
      </c>
      <c r="Y5" s="6" t="inlineStr">
        <is>
          <t>FY2026 DAA Enacted Total ($K)</t>
        </is>
      </c>
      <c r="Z5" s="6" t="inlineStr">
        <is>
          <t>FY2027 Request ($K)</t>
        </is>
      </c>
      <c r="AA5" s="6" t="inlineStr">
        <is>
          <t>FY2027 Mandatory Request ($K)</t>
        </is>
      </c>
      <c r="AB5" s="6" t="inlineStr">
        <is>
          <t>FY2027 Total ($K)</t>
        </is>
      </c>
      <c r="AC5" s="22" t="inlineStr">
        <is>
          <t>Row Class</t>
        </is>
      </c>
      <c r="AD5" s="19" t="inlineStr">
        <is>
          <t>FY26 Best ($K)</t>
        </is>
      </c>
      <c r="AE5" s="19" t="inlineStr">
        <is>
          <t>FY27 Best ($K)</t>
        </is>
      </c>
      <c r="AF5" s="12" t="inlineStr">
        <is>
          <t>Citation</t>
        </is>
      </c>
      <c r="AG5" s="6" t="inlineStr">
        <is>
          <t>Source Page</t>
        </is>
      </c>
      <c r="AH5" s="6" t="inlineStr">
        <is>
          <t>Program Element Number</t>
        </is>
      </c>
      <c r="AI5" s="6" t="inlineStr">
        <is>
          <t>Project</t>
        </is>
      </c>
      <c r="AJ5" s="6" t="inlineStr">
        <is>
          <t>Cost Element</t>
        </is>
      </c>
    </row>
    <row r="6" ht="10" customHeight="1">
      <c r="A6" s="7" t="inlineStr">
        <is>
          <t>SCN</t>
        </is>
      </c>
      <c r="B6" s="7" t="inlineStr">
        <is>
          <t>Procurement</t>
        </is>
      </c>
      <c r="C6" s="7" t="inlineStr">
        <is>
          <t>1045</t>
        </is>
      </c>
      <c r="D6" s="7" t="inlineStr">
        <is>
          <t>COLUMBIA Class Submarine</t>
        </is>
      </c>
      <c r="E6" s="13" t="inlineStr">
        <is>
          <t>[PARENT]</t>
        </is>
      </c>
      <c r="I6" s="14" t="n">
        <v>1</v>
      </c>
      <c r="J6" s="7" t="inlineStr">
        <is>
          <t>Full ship DD&amp;C</t>
        </is>
      </c>
      <c r="K6" s="13" t="inlineStr">
        <is>
          <t>USN</t>
        </is>
      </c>
      <c r="L6" s="7" t="inlineStr">
        <is>
          <t>Combatant Ships</t>
        </is>
      </c>
      <c r="M6" s="7" t="inlineStr">
        <is>
          <t>Submarines</t>
        </is>
      </c>
      <c r="N6" s="7" t="inlineStr">
        <is>
          <t>SSBN</t>
        </is>
      </c>
      <c r="O6" s="15" t="n"/>
      <c r="P6" s="16" t="n">
        <v>0</v>
      </c>
      <c r="Q6" s="16" t="n">
        <v>3364835</v>
      </c>
      <c r="S6" s="16" t="n">
        <v>3928828</v>
      </c>
      <c r="T6" s="16" t="n">
        <v>0</v>
      </c>
      <c r="U6" s="16" t="n">
        <v>3928828</v>
      </c>
      <c r="X6" s="16" t="n">
        <v>3928828</v>
      </c>
      <c r="Y6" s="16" t="n">
        <v>3928828</v>
      </c>
      <c r="Z6" s="16" t="n">
        <v>10233832</v>
      </c>
      <c r="AB6" s="16" t="n">
        <v>10233832</v>
      </c>
      <c r="AC6" s="23">
        <f>IF(OR(E6="",E6="[PARENT]"),"ADD",IF(E6="[ALT_VIEW]","ALT",""))</f>
        <v/>
      </c>
      <c r="AD6" s="21">
        <f>IF(Y6&lt;&gt;"",Y6,IF(U6&lt;&gt;"",U6,S6))</f>
        <v/>
      </c>
      <c r="AE6" s="21">
        <f>IF(AB6&lt;&gt;"",AB6,Z6)</f>
        <v/>
      </c>
      <c r="AF6" s="13" t="inlineStr">
        <is>
          <t>P-40 Exhibit &gt; LI 1045 &gt; COLUMBIA Class Submarine</t>
        </is>
      </c>
      <c r="AG6" s="7" t="inlineStr">
        <is>
          <t>31</t>
        </is>
      </c>
      <c r="AH6" s="7" t="inlineStr">
        <is>
          <t>1045</t>
        </is>
      </c>
    </row>
    <row r="7" ht="10" customHeight="1">
      <c r="A7" s="7" t="inlineStr">
        <is>
          <t>SCN</t>
        </is>
      </c>
      <c r="B7" s="7" t="inlineStr">
        <is>
          <t>Procurement</t>
        </is>
      </c>
      <c r="D7" s="7" t="inlineStr">
        <is>
          <t>COLUMBIA Class Submarine - SFF for FY 2024</t>
        </is>
      </c>
      <c r="E7" s="13" t="inlineStr">
        <is>
          <t>[SUB]</t>
        </is>
      </c>
      <c r="F7" s="7" t="inlineStr">
        <is>
          <t>1045 / COLUMBIA Class Submarine</t>
        </is>
      </c>
      <c r="I7" s="14" t="n">
        <v>1</v>
      </c>
      <c r="J7" s="7" t="inlineStr">
        <is>
          <t>Full ship DD&amp;C</t>
        </is>
      </c>
      <c r="K7" s="13" t="inlineStr">
        <is>
          <t>USN</t>
        </is>
      </c>
      <c r="L7" s="7" t="inlineStr">
        <is>
          <t>Combatant Ships</t>
        </is>
      </c>
      <c r="M7" s="7" t="inlineStr">
        <is>
          <t>Submarines</t>
        </is>
      </c>
      <c r="N7" s="7" t="inlineStr">
        <is>
          <t>SSBN</t>
        </is>
      </c>
      <c r="O7" s="15" t="n"/>
      <c r="Q7" s="16" t="n">
        <v>3364835</v>
      </c>
      <c r="AC7" s="23">
        <f>IF(OR(E7="",E7="[PARENT]"),"ADD",IF(E7="[ALT_VIEW]","ALT",""))</f>
        <v/>
      </c>
      <c r="AD7" s="21">
        <f>IF(Y7&lt;&gt;"",Y7,IF(U7&lt;&gt;"",U7,S7))</f>
        <v/>
      </c>
      <c r="AE7" s="21">
        <f>IF(AB7&lt;&gt;"",AB7,Z7)</f>
        <v/>
      </c>
      <c r="AF7" s="13" t="inlineStr">
        <is>
          <t>P-1 Exhibit &gt; BA 01 &gt; Line 1 SFF</t>
        </is>
      </c>
      <c r="AG7" s="7" t="inlineStr">
        <is>
          <t>12</t>
        </is>
      </c>
      <c r="AH7" s="7" t="inlineStr">
        <is>
          <t>1045</t>
        </is>
      </c>
    </row>
    <row r="8" ht="10" customHeight="1">
      <c r="A8" s="7" t="inlineStr">
        <is>
          <t>SCN</t>
        </is>
      </c>
      <c r="B8" s="7" t="inlineStr">
        <is>
          <t>Procurement</t>
        </is>
      </c>
      <c r="D8" s="7" t="inlineStr">
        <is>
          <t>COLUMBIA Class Submarine - Net Procurement FY 2026</t>
        </is>
      </c>
      <c r="E8" s="13" t="inlineStr">
        <is>
          <t>[SUB]</t>
        </is>
      </c>
      <c r="F8" s="7" t="inlineStr">
        <is>
          <t>1045 / COLUMBIA Class Submarine</t>
        </is>
      </c>
      <c r="I8" s="14" t="n">
        <v>1</v>
      </c>
      <c r="J8" s="7" t="inlineStr">
        <is>
          <t>Full ship DD&amp;C</t>
        </is>
      </c>
      <c r="K8" s="13" t="inlineStr">
        <is>
          <t>USN</t>
        </is>
      </c>
      <c r="L8" s="7" t="inlineStr">
        <is>
          <t>Combatant Ships</t>
        </is>
      </c>
      <c r="M8" s="7" t="inlineStr">
        <is>
          <t>Submarines</t>
        </is>
      </c>
      <c r="N8" s="7" t="inlineStr">
        <is>
          <t>SSBN</t>
        </is>
      </c>
      <c r="O8" s="15" t="n"/>
      <c r="S8" s="16" t="n">
        <v>3928828</v>
      </c>
      <c r="U8" s="16" t="n">
        <v>3928828</v>
      </c>
      <c r="AC8" s="23">
        <f>IF(OR(E8="",E8="[PARENT]"),"ADD",IF(E8="[ALT_VIEW]","ALT",""))</f>
        <v/>
      </c>
      <c r="AD8" s="21">
        <f>IF(Y8&lt;&gt;"",Y8,IF(U8&lt;&gt;"",U8,S8))</f>
        <v/>
      </c>
      <c r="AE8" s="21">
        <f>IF(AB8&lt;&gt;"",AB8,Z8)</f>
        <v/>
      </c>
      <c r="AF8" s="13" t="inlineStr">
        <is>
          <t>P-1 Exhibit &gt; BA 01 &gt; Line 1 Net</t>
        </is>
      </c>
      <c r="AG8" s="7" t="inlineStr">
        <is>
          <t>12</t>
        </is>
      </c>
      <c r="AH8" s="7" t="inlineStr">
        <is>
          <t>1045</t>
        </is>
      </c>
    </row>
    <row r="9" ht="10" customHeight="1">
      <c r="A9" s="7" t="inlineStr">
        <is>
          <t>SCN</t>
        </is>
      </c>
      <c r="B9" s="7" t="inlineStr">
        <is>
          <t>Procurement</t>
        </is>
      </c>
      <c r="C9" s="7" t="inlineStr">
        <is>
          <t>1045</t>
        </is>
      </c>
      <c r="D9" s="7" t="inlineStr">
        <is>
          <t>COLUMBIA Class Submarine Advance Procurement (CY)</t>
        </is>
      </c>
      <c r="E9" s="15" t="n"/>
      <c r="I9" s="14" t="n">
        <v>1</v>
      </c>
      <c r="J9" s="7" t="inlineStr">
        <is>
          <t>Advance procurement / LLTM</t>
        </is>
      </c>
      <c r="K9" s="13" t="inlineStr">
        <is>
          <t>USN</t>
        </is>
      </c>
      <c r="L9" s="7" t="inlineStr">
        <is>
          <t>Combatant Ships</t>
        </is>
      </c>
      <c r="M9" s="7" t="inlineStr">
        <is>
          <t>Submarines</t>
        </is>
      </c>
      <c r="N9" s="7" t="inlineStr">
        <is>
          <t>SSBN</t>
        </is>
      </c>
      <c r="O9" s="15" t="n"/>
      <c r="Q9" s="16" t="n">
        <v>6215939</v>
      </c>
      <c r="S9" s="16" t="n">
        <v>5065766</v>
      </c>
      <c r="T9" s="16" t="n">
        <v>1925892</v>
      </c>
      <c r="U9" s="16" t="n">
        <v>6991658</v>
      </c>
      <c r="W9" s="16" t="n">
        <v>0</v>
      </c>
      <c r="X9" s="16" t="n">
        <v>5350766</v>
      </c>
      <c r="Y9" s="16" t="n">
        <v>5350766</v>
      </c>
      <c r="Z9" s="16" t="n">
        <v>4763342</v>
      </c>
      <c r="AA9" s="16" t="n">
        <v>205700</v>
      </c>
      <c r="AB9" s="16" t="n">
        <v>4969042</v>
      </c>
      <c r="AC9" s="23">
        <f>IF(OR(E9="",E9="[PARENT]"),"ADD",IF(E9="[ALT_VIEW]","ALT",""))</f>
        <v/>
      </c>
      <c r="AD9" s="21">
        <f>IF(Y9&lt;&gt;"",Y9,IF(U9&lt;&gt;"",U9,S9))</f>
        <v/>
      </c>
      <c r="AE9" s="21">
        <f>IF(AB9&lt;&gt;"",AB9,Z9)</f>
        <v/>
      </c>
      <c r="AF9" s="13" t="inlineStr">
        <is>
          <t>P-40 Exhibit &gt; LI 1045 AP &gt; COLUMBIA Class Submarine Advance Procurement</t>
        </is>
      </c>
      <c r="AG9" s="7" t="inlineStr">
        <is>
          <t>57</t>
        </is>
      </c>
      <c r="AH9" s="7" t="inlineStr">
        <is>
          <t>1045</t>
        </is>
      </c>
    </row>
    <row r="10" ht="10" customHeight="1">
      <c r="A10" s="7" t="inlineStr">
        <is>
          <t>SCN</t>
        </is>
      </c>
      <c r="B10" s="7" t="inlineStr">
        <is>
          <t>Procurement</t>
        </is>
      </c>
      <c r="C10" s="7" t="inlineStr">
        <is>
          <t>2001</t>
        </is>
      </c>
      <c r="D10" s="7" t="inlineStr">
        <is>
          <t>Carrier Replacement Program</t>
        </is>
      </c>
      <c r="E10" s="13" t="inlineStr">
        <is>
          <t>[PARENT]</t>
        </is>
      </c>
      <c r="I10" s="14" t="n">
        <v>1</v>
      </c>
      <c r="J10" s="7" t="inlineStr">
        <is>
          <t>Full ship DD&amp;C</t>
        </is>
      </c>
      <c r="K10" s="13" t="inlineStr">
        <is>
          <t>USN</t>
        </is>
      </c>
      <c r="L10" s="7" t="inlineStr">
        <is>
          <t>Combatant Ships</t>
        </is>
      </c>
      <c r="M10" s="7" t="inlineStr">
        <is>
          <t>Aircraft Carriers</t>
        </is>
      </c>
      <c r="N10" s="7" t="inlineStr">
        <is>
          <t>CVN</t>
        </is>
      </c>
      <c r="O10" s="15" t="n"/>
      <c r="P10" s="16" t="n">
        <v>1729021</v>
      </c>
      <c r="Q10" s="16" t="n">
        <v>1359124</v>
      </c>
      <c r="S10" s="16" t="n">
        <v>1046700</v>
      </c>
      <c r="T10" s="16" t="n">
        <v>0</v>
      </c>
      <c r="U10" s="16" t="n">
        <v>1046700</v>
      </c>
      <c r="Z10" s="16" t="n">
        <v>641907</v>
      </c>
      <c r="AA10" s="16" t="n">
        <v>37000</v>
      </c>
      <c r="AB10" s="16" t="n">
        <v>678907</v>
      </c>
      <c r="AC10" s="23">
        <f>IF(OR(E10="",E10="[PARENT]"),"ADD",IF(E10="[ALT_VIEW]","ALT",""))</f>
        <v/>
      </c>
      <c r="AD10" s="21">
        <f>IF(Y10&lt;&gt;"",Y10,IF(U10&lt;&gt;"",U10,S10))</f>
        <v/>
      </c>
      <c r="AE10" s="21">
        <f>IF(AB10&lt;&gt;"",AB10,Z10)</f>
        <v/>
      </c>
      <c r="AF10" s="13" t="inlineStr">
        <is>
          <t>P-40 Exhibit &gt; LI 2001 &gt; Carrier Replacement Program</t>
        </is>
      </c>
      <c r="AG10" s="7" t="inlineStr">
        <is>
          <t>73</t>
        </is>
      </c>
      <c r="AH10" s="7" t="inlineStr">
        <is>
          <t>2001</t>
        </is>
      </c>
    </row>
    <row r="11" ht="10" customHeight="1">
      <c r="A11" s="7" t="inlineStr">
        <is>
          <t>SCN</t>
        </is>
      </c>
      <c r="B11" s="7" t="inlineStr">
        <is>
          <t>Procurement</t>
        </is>
      </c>
      <c r="D11" s="7" t="inlineStr">
        <is>
          <t>Carrier Replacement - SFF for FY 2018</t>
        </is>
      </c>
      <c r="E11" s="13" t="inlineStr">
        <is>
          <t>[SUB]</t>
        </is>
      </c>
      <c r="F11" s="7" t="inlineStr">
        <is>
          <t>2001 / Carrier Replacement Program</t>
        </is>
      </c>
      <c r="I11" s="14" t="n">
        <v>1</v>
      </c>
      <c r="J11" s="7" t="inlineStr">
        <is>
          <t>Full ship DD&amp;C</t>
        </is>
      </c>
      <c r="K11" s="13" t="inlineStr">
        <is>
          <t>USN</t>
        </is>
      </c>
      <c r="L11" s="7" t="inlineStr">
        <is>
          <t>Combatant Ships</t>
        </is>
      </c>
      <c r="M11" s="7" t="inlineStr">
        <is>
          <t>Aircraft Carriers</t>
        </is>
      </c>
      <c r="N11" s="7" t="inlineStr">
        <is>
          <t>CVN</t>
        </is>
      </c>
      <c r="O11" s="15" t="n"/>
      <c r="P11" s="16" t="n">
        <v>1104421</v>
      </c>
      <c r="Q11" s="16" t="n">
        <v>1123124</v>
      </c>
      <c r="S11" s="16" t="n">
        <v>1046700</v>
      </c>
      <c r="U11" s="16" t="n">
        <v>1046700</v>
      </c>
      <c r="AC11" s="23">
        <f>IF(OR(E11="",E11="[PARENT]"),"ADD",IF(E11="[ALT_VIEW]","ALT",""))</f>
        <v/>
      </c>
      <c r="AD11" s="21">
        <f>IF(Y11&lt;&gt;"",Y11,IF(U11&lt;&gt;"",U11,S11))</f>
        <v/>
      </c>
      <c r="AE11" s="21">
        <f>IF(AB11&lt;&gt;"",AB11,Z11)</f>
        <v/>
      </c>
      <c r="AF11" s="13" t="inlineStr">
        <is>
          <t>P-1 Exhibit &gt; BA 02 &gt; Line 5 SFF</t>
        </is>
      </c>
      <c r="AG11" s="7" t="inlineStr">
        <is>
          <t>15</t>
        </is>
      </c>
      <c r="AH11" s="7" t="inlineStr">
        <is>
          <t>2001</t>
        </is>
      </c>
    </row>
    <row r="12" ht="10" customHeight="1">
      <c r="A12" s="7" t="inlineStr">
        <is>
          <t>SCN</t>
        </is>
      </c>
      <c r="B12" s="7" t="inlineStr">
        <is>
          <t>Procurement</t>
        </is>
      </c>
      <c r="D12" s="7" t="inlineStr">
        <is>
          <t>Carrier Replacement - Completion PY FY 2013</t>
        </is>
      </c>
      <c r="E12" s="13" t="inlineStr">
        <is>
          <t>[SUB]</t>
        </is>
      </c>
      <c r="F12" s="7" t="inlineStr">
        <is>
          <t>2001 / Carrier Replacement Program</t>
        </is>
      </c>
      <c r="I12" s="14" t="n">
        <v>1</v>
      </c>
      <c r="J12" s="7" t="inlineStr">
        <is>
          <t>Full ship DD&amp;C</t>
        </is>
      </c>
      <c r="K12" s="13" t="inlineStr">
        <is>
          <t>USN</t>
        </is>
      </c>
      <c r="L12" s="7" t="inlineStr">
        <is>
          <t>Combatant Ships</t>
        </is>
      </c>
      <c r="M12" s="7" t="inlineStr">
        <is>
          <t>Aircraft Carriers</t>
        </is>
      </c>
      <c r="N12" s="7" t="inlineStr">
        <is>
          <t>CVN</t>
        </is>
      </c>
      <c r="O12" s="15" t="n"/>
      <c r="P12" s="16" t="n">
        <v>624600</v>
      </c>
      <c r="Q12" s="16" t="n">
        <v>236000</v>
      </c>
      <c r="AC12" s="23">
        <f>IF(OR(E12="",E12="[PARENT]"),"ADD",IF(E12="[ALT_VIEW]","ALT",""))</f>
        <v/>
      </c>
      <c r="AD12" s="21">
        <f>IF(Y12&lt;&gt;"",Y12,IF(U12&lt;&gt;"",U12,S12))</f>
        <v/>
      </c>
      <c r="AE12" s="21">
        <f>IF(AB12&lt;&gt;"",AB12,Z12)</f>
        <v/>
      </c>
      <c r="AF12" s="13" t="inlineStr">
        <is>
          <t>P-1 Exhibit &gt; BA 02 &gt; Line 5 CTC</t>
        </is>
      </c>
      <c r="AG12" s="7" t="inlineStr">
        <is>
          <t>15</t>
        </is>
      </c>
      <c r="AH12" s="7" t="inlineStr">
        <is>
          <t>2001</t>
        </is>
      </c>
    </row>
    <row r="13" ht="10" customHeight="1">
      <c r="A13" s="7" t="inlineStr">
        <is>
          <t>SCN</t>
        </is>
      </c>
      <c r="B13" s="7" t="inlineStr">
        <is>
          <t>Procurement</t>
        </is>
      </c>
      <c r="C13" s="7" t="inlineStr">
        <is>
          <t>2001</t>
        </is>
      </c>
      <c r="D13" s="7" t="inlineStr">
        <is>
          <t>Carrier Replacement Program Advance Procurement (CY)</t>
        </is>
      </c>
      <c r="E13" s="15" t="n"/>
      <c r="I13" s="14" t="n">
        <v>1</v>
      </c>
      <c r="J13" s="7" t="inlineStr">
        <is>
          <t>Advance procurement / LLTM</t>
        </is>
      </c>
      <c r="K13" s="13" t="inlineStr">
        <is>
          <t>USN</t>
        </is>
      </c>
      <c r="L13" s="7" t="inlineStr">
        <is>
          <t>Combatant Ships</t>
        </is>
      </c>
      <c r="M13" s="7" t="inlineStr">
        <is>
          <t>Aircraft Carriers</t>
        </is>
      </c>
      <c r="N13" s="7" t="inlineStr">
        <is>
          <t>CVN</t>
        </is>
      </c>
      <c r="O13" s="15" t="n"/>
      <c r="S13" s="16" t="n">
        <v>612038</v>
      </c>
      <c r="T13" s="16" t="n">
        <v>0</v>
      </c>
      <c r="U13" s="16" t="n">
        <v>612038</v>
      </c>
      <c r="X13" s="16" t="n">
        <v>612038</v>
      </c>
      <c r="Y13" s="16" t="n">
        <v>612038</v>
      </c>
      <c r="Z13" s="16" t="n">
        <v>1940566</v>
      </c>
      <c r="AB13" s="16" t="n">
        <v>1940566</v>
      </c>
      <c r="AC13" s="23">
        <f>IF(OR(E13="",E13="[PARENT]"),"ADD",IF(E13="[ALT_VIEW]","ALT",""))</f>
        <v/>
      </c>
      <c r="AD13" s="21">
        <f>IF(Y13&lt;&gt;"",Y13,IF(U13&lt;&gt;"",U13,S13))</f>
        <v/>
      </c>
      <c r="AE13" s="21">
        <f>IF(AB13&lt;&gt;"",AB13,Z13)</f>
        <v/>
      </c>
      <c r="AF13" s="13" t="inlineStr">
        <is>
          <t>P-40 Exhibit &gt; LI 2001 AP &gt; Carrier Replacement AP</t>
        </is>
      </c>
      <c r="AG13" s="7" t="inlineStr">
        <is>
          <t>115</t>
        </is>
      </c>
      <c r="AH13" s="7" t="inlineStr">
        <is>
          <t>2001</t>
        </is>
      </c>
    </row>
    <row r="14" ht="10" customHeight="1">
      <c r="A14" s="7" t="inlineStr">
        <is>
          <t>SCN</t>
        </is>
      </c>
      <c r="B14" s="7" t="inlineStr">
        <is>
          <t>Procurement</t>
        </is>
      </c>
      <c r="C14" s="7" t="inlineStr">
        <is>
          <t>2004</t>
        </is>
      </c>
      <c r="D14" s="7" t="inlineStr">
        <is>
          <t>CVN-81</t>
        </is>
      </c>
      <c r="E14" s="15" t="n"/>
      <c r="I14" s="14" t="n">
        <v>1</v>
      </c>
      <c r="J14" s="7" t="inlineStr">
        <is>
          <t>Full ship DD&amp;C</t>
        </is>
      </c>
      <c r="K14" s="13" t="inlineStr">
        <is>
          <t>USN</t>
        </is>
      </c>
      <c r="L14" s="7" t="inlineStr">
        <is>
          <t>Combatant Ships</t>
        </is>
      </c>
      <c r="M14" s="7" t="inlineStr">
        <is>
          <t>Aircraft Carriers</t>
        </is>
      </c>
      <c r="N14" s="7" t="inlineStr">
        <is>
          <t>CVN</t>
        </is>
      </c>
      <c r="O14" s="15" t="n"/>
      <c r="P14" s="16" t="n">
        <v>800492</v>
      </c>
      <c r="Q14" s="16" t="n">
        <v>674930</v>
      </c>
      <c r="S14" s="16" t="n">
        <v>1622935</v>
      </c>
      <c r="T14" s="16" t="n">
        <v>0</v>
      </c>
      <c r="U14" s="16" t="n">
        <v>1622935</v>
      </c>
      <c r="Z14" s="16" t="n">
        <v>1447882</v>
      </c>
      <c r="AB14" s="16" t="n">
        <v>1447882</v>
      </c>
      <c r="AC14" s="23">
        <f>IF(OR(E14="",E14="[PARENT]"),"ADD",IF(E14="[ALT_VIEW]","ALT",""))</f>
        <v/>
      </c>
      <c r="AD14" s="21">
        <f>IF(Y14&lt;&gt;"",Y14,IF(U14&lt;&gt;"",U14,S14))</f>
        <v/>
      </c>
      <c r="AE14" s="21">
        <f>IF(AB14&lt;&gt;"",AB14,Z14)</f>
        <v/>
      </c>
      <c r="AF14" s="13" t="inlineStr">
        <is>
          <t>P-40 Exhibit &gt; LI 2004 &gt; CVN-81</t>
        </is>
      </c>
      <c r="AG14" s="7" t="inlineStr">
        <is>
          <t>117</t>
        </is>
      </c>
      <c r="AH14" s="7" t="inlineStr">
        <is>
          <t>2004</t>
        </is>
      </c>
    </row>
    <row r="15" ht="10" customHeight="1">
      <c r="A15" s="7" t="inlineStr">
        <is>
          <t>SCN</t>
        </is>
      </c>
      <c r="B15" s="7" t="inlineStr">
        <is>
          <t>Procurement</t>
        </is>
      </c>
      <c r="C15" s="7" t="inlineStr">
        <is>
          <t>2013</t>
        </is>
      </c>
      <c r="D15" s="7" t="inlineStr">
        <is>
          <t>Virginia Class Submarine</t>
        </is>
      </c>
      <c r="E15" s="13" t="inlineStr">
        <is>
          <t>[PARENT]</t>
        </is>
      </c>
      <c r="I15" s="14" t="n">
        <v>1</v>
      </c>
      <c r="J15" s="7" t="inlineStr">
        <is>
          <t>Full ship DD&amp;C</t>
        </is>
      </c>
      <c r="K15" s="13" t="inlineStr">
        <is>
          <t>USN</t>
        </is>
      </c>
      <c r="L15" s="7" t="inlineStr">
        <is>
          <t>Combatant Ships</t>
        </is>
      </c>
      <c r="M15" s="7" t="inlineStr">
        <is>
          <t>Submarines</t>
        </is>
      </c>
      <c r="N15" s="7" t="inlineStr">
        <is>
          <t>SSN</t>
        </is>
      </c>
      <c r="O15" s="15" t="n"/>
      <c r="P15" s="16" t="n">
        <v>7298145</v>
      </c>
      <c r="Q15" s="16" t="n">
        <v>9599908</v>
      </c>
      <c r="S15" s="16" t="n">
        <v>816705</v>
      </c>
      <c r="T15" s="16" t="n">
        <v>6518600</v>
      </c>
      <c r="U15" s="16" t="n">
        <v>7335305</v>
      </c>
      <c r="W15" s="16" t="n">
        <v>4600000</v>
      </c>
      <c r="X15" s="16" t="n">
        <v>2740305</v>
      </c>
      <c r="Y15" s="16" t="n">
        <v>7340305</v>
      </c>
      <c r="Z15" s="16" t="n">
        <v>8402316</v>
      </c>
      <c r="AB15" s="16" t="n">
        <v>8402316</v>
      </c>
      <c r="AC15" s="23">
        <f>IF(OR(E15="",E15="[PARENT]"),"ADD",IF(E15="[ALT_VIEW]","ALT",""))</f>
        <v/>
      </c>
      <c r="AD15" s="21">
        <f>IF(Y15&lt;&gt;"",Y15,IF(U15&lt;&gt;"",U15,S15))</f>
        <v/>
      </c>
      <c r="AE15" s="21">
        <f>IF(AB15&lt;&gt;"",AB15,Z15)</f>
        <v/>
      </c>
      <c r="AF15" s="13" t="inlineStr">
        <is>
          <t>P-40 Exhibit &gt; LI 2013 &gt; Virginia Class Submarine</t>
        </is>
      </c>
      <c r="AG15" s="7" t="inlineStr">
        <is>
          <t>155</t>
        </is>
      </c>
      <c r="AH15" s="7" t="inlineStr">
        <is>
          <t>2013</t>
        </is>
      </c>
    </row>
    <row r="16" ht="10" customHeight="1">
      <c r="A16" s="7" t="inlineStr">
        <is>
          <t>SCN</t>
        </is>
      </c>
      <c r="B16" s="7" t="inlineStr">
        <is>
          <t>Procurement</t>
        </is>
      </c>
      <c r="D16" s="7" t="inlineStr">
        <is>
          <t>Virginia Class Sub - Net Procurement</t>
        </is>
      </c>
      <c r="E16" s="13" t="inlineStr">
        <is>
          <t>[SUB]</t>
        </is>
      </c>
      <c r="F16" s="7" t="inlineStr">
        <is>
          <t>2013 / Virginia Class Submarine</t>
        </is>
      </c>
      <c r="I16" s="14" t="n">
        <v>1</v>
      </c>
      <c r="J16" s="7" t="inlineStr">
        <is>
          <t>Full ship DD&amp;C</t>
        </is>
      </c>
      <c r="K16" s="13" t="inlineStr">
        <is>
          <t>USN</t>
        </is>
      </c>
      <c r="L16" s="7" t="inlineStr">
        <is>
          <t>Combatant Ships</t>
        </is>
      </c>
      <c r="M16" s="7" t="inlineStr">
        <is>
          <t>Submarines</t>
        </is>
      </c>
      <c r="N16" s="7" t="inlineStr">
        <is>
          <t>SSN</t>
        </is>
      </c>
      <c r="O16" s="15" t="n"/>
      <c r="P16" s="16" t="n">
        <v>7129965</v>
      </c>
      <c r="Q16" s="16" t="n">
        <v>7356904</v>
      </c>
      <c r="S16" s="16" t="n">
        <v>816705</v>
      </c>
      <c r="T16" s="16" t="n">
        <v>6518600</v>
      </c>
      <c r="U16" s="16" t="n">
        <v>7335305</v>
      </c>
      <c r="AC16" s="23">
        <f>IF(OR(E16="",E16="[PARENT]"),"ADD",IF(E16="[ALT_VIEW]","ALT",""))</f>
        <v/>
      </c>
      <c r="AD16" s="21">
        <f>IF(Y16&lt;&gt;"",Y16,IF(U16&lt;&gt;"",U16,S16))</f>
        <v/>
      </c>
      <c r="AE16" s="21">
        <f>IF(AB16&lt;&gt;"",AB16,Z16)</f>
        <v/>
      </c>
      <c r="AF16" s="13" t="inlineStr">
        <is>
          <t>P-1 Exhibit &gt; BA 02 &gt; Line 8 Net</t>
        </is>
      </c>
      <c r="AG16" s="7" t="inlineStr">
        <is>
          <t>14</t>
        </is>
      </c>
      <c r="AH16" s="7" t="inlineStr">
        <is>
          <t>2013</t>
        </is>
      </c>
    </row>
    <row r="17" ht="10" customHeight="1">
      <c r="A17" s="7" t="inlineStr">
        <is>
          <t>SCN</t>
        </is>
      </c>
      <c r="B17" s="7" t="inlineStr">
        <is>
          <t>Procurement</t>
        </is>
      </c>
      <c r="D17" s="7" t="inlineStr">
        <is>
          <t>Virginia Class Sub - SFF for FY 2024</t>
        </is>
      </c>
      <c r="E17" s="13" t="inlineStr">
        <is>
          <t>[SUB]</t>
        </is>
      </c>
      <c r="F17" s="7" t="inlineStr">
        <is>
          <t>2013 / Virginia Class Submarine</t>
        </is>
      </c>
      <c r="I17" s="14" t="n">
        <v>1</v>
      </c>
      <c r="J17" s="7" t="inlineStr">
        <is>
          <t>Full ship DD&amp;C</t>
        </is>
      </c>
      <c r="K17" s="13" t="inlineStr">
        <is>
          <t>USN</t>
        </is>
      </c>
      <c r="L17" s="7" t="inlineStr">
        <is>
          <t>Combatant Ships</t>
        </is>
      </c>
      <c r="M17" s="7" t="inlineStr">
        <is>
          <t>Submarines</t>
        </is>
      </c>
      <c r="N17" s="7" t="inlineStr">
        <is>
          <t>SSN</t>
        </is>
      </c>
      <c r="O17" s="15" t="n"/>
      <c r="Q17" s="16" t="n">
        <v>1950000</v>
      </c>
      <c r="AC17" s="23">
        <f>IF(OR(E17="",E17="[PARENT]"),"ADD",IF(E17="[ALT_VIEW]","ALT",""))</f>
        <v/>
      </c>
      <c r="AD17" s="21">
        <f>IF(Y17&lt;&gt;"",Y17,IF(U17&lt;&gt;"",U17,S17))</f>
        <v/>
      </c>
      <c r="AE17" s="21">
        <f>IF(AB17&lt;&gt;"",AB17,Z17)</f>
        <v/>
      </c>
      <c r="AF17" s="13" t="inlineStr">
        <is>
          <t>P-1 Exhibit &gt; BA 02 &gt; Line 8 SFF</t>
        </is>
      </c>
      <c r="AG17" s="7" t="inlineStr">
        <is>
          <t>14</t>
        </is>
      </c>
      <c r="AH17" s="7" t="inlineStr">
        <is>
          <t>2013</t>
        </is>
      </c>
    </row>
    <row r="18" ht="10" customHeight="1">
      <c r="A18" s="7" t="inlineStr">
        <is>
          <t>SCN</t>
        </is>
      </c>
      <c r="B18" s="7" t="inlineStr">
        <is>
          <t>Procurement</t>
        </is>
      </c>
      <c r="D18" s="7" t="inlineStr">
        <is>
          <t>Virginia Class Sub - Completion PY (FY15-18)</t>
        </is>
      </c>
      <c r="E18" s="13" t="inlineStr">
        <is>
          <t>[SUB]</t>
        </is>
      </c>
      <c r="F18" s="7" t="inlineStr">
        <is>
          <t>2013 / Virginia Class Submarine</t>
        </is>
      </c>
      <c r="I18" s="14" t="n">
        <v>1</v>
      </c>
      <c r="J18" s="7" t="inlineStr">
        <is>
          <t>Full ship DD&amp;C</t>
        </is>
      </c>
      <c r="K18" s="13" t="inlineStr">
        <is>
          <t>USN</t>
        </is>
      </c>
      <c r="L18" s="7" t="inlineStr">
        <is>
          <t>Combatant Ships</t>
        </is>
      </c>
      <c r="M18" s="7" t="inlineStr">
        <is>
          <t>Submarines</t>
        </is>
      </c>
      <c r="N18" s="7" t="inlineStr">
        <is>
          <t>SSN</t>
        </is>
      </c>
      <c r="O18" s="15" t="n"/>
      <c r="P18" s="16" t="n">
        <v>168180</v>
      </c>
      <c r="Q18" s="16" t="n">
        <v>293004</v>
      </c>
      <c r="AC18" s="23">
        <f>IF(OR(E18="",E18="[PARENT]"),"ADD",IF(E18="[ALT_VIEW]","ALT",""))</f>
        <v/>
      </c>
      <c r="AD18" s="21">
        <f>IF(Y18&lt;&gt;"",Y18,IF(U18&lt;&gt;"",U18,S18))</f>
        <v/>
      </c>
      <c r="AE18" s="21">
        <f>IF(AB18&lt;&gt;"",AB18,Z18)</f>
        <v/>
      </c>
      <c r="AF18" s="13" t="inlineStr">
        <is>
          <t>P-1 Exhibit &gt; BA 02 &gt; Line 8 CTC</t>
        </is>
      </c>
      <c r="AG18" s="7" t="inlineStr">
        <is>
          <t>14</t>
        </is>
      </c>
      <c r="AH18" s="7" t="inlineStr">
        <is>
          <t>2013</t>
        </is>
      </c>
    </row>
    <row r="19" ht="10" customHeight="1">
      <c r="A19" s="7" t="inlineStr">
        <is>
          <t>SCN</t>
        </is>
      </c>
      <c r="B19" s="7" t="inlineStr">
        <is>
          <t>Procurement</t>
        </is>
      </c>
      <c r="C19" s="7" t="inlineStr">
        <is>
          <t>2013</t>
        </is>
      </c>
      <c r="D19" s="7" t="inlineStr">
        <is>
          <t>Virginia Class Submarine Advance Procurement (CY)</t>
        </is>
      </c>
      <c r="E19" s="15" t="n"/>
      <c r="I19" s="14" t="n">
        <v>1</v>
      </c>
      <c r="J19" s="7" t="inlineStr">
        <is>
          <t>Advance procurement / LLTM</t>
        </is>
      </c>
      <c r="K19" s="13" t="inlineStr">
        <is>
          <t>USN</t>
        </is>
      </c>
      <c r="L19" s="7" t="inlineStr">
        <is>
          <t>Combatant Ships</t>
        </is>
      </c>
      <c r="M19" s="7" t="inlineStr">
        <is>
          <t>Submarines</t>
        </is>
      </c>
      <c r="N19" s="7" t="inlineStr">
        <is>
          <t>SSN</t>
        </is>
      </c>
      <c r="O19" s="15" t="n"/>
      <c r="P19" s="16" t="n">
        <v>3358782</v>
      </c>
      <c r="Q19" s="16" t="n">
        <v>3720303</v>
      </c>
      <c r="S19" s="16" t="n">
        <v>3126816</v>
      </c>
      <c r="T19" s="16" t="n">
        <v>615908</v>
      </c>
      <c r="U19" s="16" t="n">
        <v>3742724</v>
      </c>
      <c r="W19" s="16" t="n">
        <v>0</v>
      </c>
      <c r="X19" s="16" t="n">
        <v>3126816</v>
      </c>
      <c r="Y19" s="16" t="n">
        <v>3126816</v>
      </c>
      <c r="Z19" s="16" t="n">
        <v>4143618</v>
      </c>
      <c r="AA19" s="16" t="n">
        <v>1440000</v>
      </c>
      <c r="AB19" s="16" t="n">
        <v>5583618</v>
      </c>
      <c r="AC19" s="23">
        <f>IF(OR(E19="",E19="[PARENT]"),"ADD",IF(E19="[ALT_VIEW]","ALT",""))</f>
        <v/>
      </c>
      <c r="AD19" s="21">
        <f>IF(Y19&lt;&gt;"",Y19,IF(U19&lt;&gt;"",U19,S19))</f>
        <v/>
      </c>
      <c r="AE19" s="21">
        <f>IF(AB19&lt;&gt;"",AB19,Z19)</f>
        <v/>
      </c>
      <c r="AF19" s="13" t="inlineStr">
        <is>
          <t>P-40 Exhibit &gt; LI 2013 AP &gt; Virginia Class Sub AP</t>
        </is>
      </c>
      <c r="AG19" s="7" t="inlineStr">
        <is>
          <t>171</t>
        </is>
      </c>
      <c r="AH19" s="7" t="inlineStr">
        <is>
          <t>2013</t>
        </is>
      </c>
    </row>
    <row r="20" ht="10" customHeight="1">
      <c r="A20" s="7" t="inlineStr">
        <is>
          <t>SCN</t>
        </is>
      </c>
      <c r="B20" s="7" t="inlineStr">
        <is>
          <t>Procurement</t>
        </is>
      </c>
      <c r="C20" s="7" t="inlineStr">
        <is>
          <t>2086</t>
        </is>
      </c>
      <c r="D20" s="7" t="inlineStr">
        <is>
          <t>CVN Refueling Overhauls</t>
        </is>
      </c>
      <c r="E20" s="13" t="inlineStr">
        <is>
          <t>[PARENT]</t>
        </is>
      </c>
      <c r="I20" s="14" t="n">
        <v>5</v>
      </c>
      <c r="J20" s="7" t="inlineStr">
        <is>
          <t>RCOH</t>
        </is>
      </c>
      <c r="K20" s="13" t="inlineStr">
        <is>
          <t>USN</t>
        </is>
      </c>
      <c r="L20" s="7" t="inlineStr">
        <is>
          <t>Combatant Ships</t>
        </is>
      </c>
      <c r="M20" s="7" t="inlineStr">
        <is>
          <t>Aircraft Carriers</t>
        </is>
      </c>
      <c r="N20" s="7" t="inlineStr">
        <is>
          <t>CVN</t>
        </is>
      </c>
      <c r="O20" s="15" t="n"/>
      <c r="P20" s="16" t="n">
        <v>42422</v>
      </c>
      <c r="Q20" s="16" t="n">
        <v>1480314</v>
      </c>
      <c r="S20" s="16" t="n">
        <v>1779011</v>
      </c>
      <c r="T20" s="16" t="n">
        <v>0</v>
      </c>
      <c r="U20" s="16" t="n">
        <v>1779011</v>
      </c>
      <c r="X20" s="16" t="n">
        <v>1579011</v>
      </c>
      <c r="Y20" s="16" t="n">
        <v>1579011</v>
      </c>
      <c r="Z20" s="16" t="n">
        <v>4418902</v>
      </c>
      <c r="AA20" s="16" t="n">
        <v>30000</v>
      </c>
      <c r="AB20" s="16" t="n">
        <v>4448902</v>
      </c>
      <c r="AC20" s="23">
        <f>IF(OR(E20="",E20="[PARENT]"),"ADD",IF(E20="[ALT_VIEW]","ALT",""))</f>
        <v/>
      </c>
      <c r="AD20" s="21">
        <f>IF(Y20&lt;&gt;"",Y20,IF(U20&lt;&gt;"",U20,S20))</f>
        <v/>
      </c>
      <c r="AE20" s="21">
        <f>IF(AB20&lt;&gt;"",AB20,Z20)</f>
        <v/>
      </c>
      <c r="AF20" s="13" t="inlineStr">
        <is>
          <t>P-40 Exhibit &gt; LI 2086 &gt; CVN Refueling Overhauls</t>
        </is>
      </c>
      <c r="AG20" s="7" t="inlineStr">
        <is>
          <t>175</t>
        </is>
      </c>
      <c r="AH20" s="7" t="inlineStr">
        <is>
          <t>2086</t>
        </is>
      </c>
    </row>
    <row r="21" ht="10" customHeight="1">
      <c r="A21" s="7" t="inlineStr">
        <is>
          <t>SCN</t>
        </is>
      </c>
      <c r="B21" s="7" t="inlineStr">
        <is>
          <t>Procurement</t>
        </is>
      </c>
      <c r="D21" s="7" t="inlineStr">
        <is>
          <t>CVN Refueling - Net Procurement FY 2025</t>
        </is>
      </c>
      <c r="E21" s="13" t="inlineStr">
        <is>
          <t>[SUB]</t>
        </is>
      </c>
      <c r="F21" s="7" t="inlineStr">
        <is>
          <t>2086 / CVN Refueling Overhauls</t>
        </is>
      </c>
      <c r="I21" s="14" t="n">
        <v>5</v>
      </c>
      <c r="J21" s="7" t="inlineStr">
        <is>
          <t>RCOH</t>
        </is>
      </c>
      <c r="K21" s="13" t="inlineStr">
        <is>
          <t>USN</t>
        </is>
      </c>
      <c r="L21" s="7" t="inlineStr">
        <is>
          <t>Combatant Ships</t>
        </is>
      </c>
      <c r="M21" s="7" t="inlineStr">
        <is>
          <t>Aircraft Carriers</t>
        </is>
      </c>
      <c r="N21" s="7" t="inlineStr">
        <is>
          <t>CVN</t>
        </is>
      </c>
      <c r="O21" s="15" t="n"/>
      <c r="Q21" s="16" t="n">
        <v>811143</v>
      </c>
      <c r="AC21" s="23">
        <f>IF(OR(E21="",E21="[PARENT]"),"ADD",IF(E21="[ALT_VIEW]","ALT",""))</f>
        <v/>
      </c>
      <c r="AD21" s="21">
        <f>IF(Y21&lt;&gt;"",Y21,IF(U21&lt;&gt;"",U21,S21))</f>
        <v/>
      </c>
      <c r="AE21" s="21">
        <f>IF(AB21&lt;&gt;"",AB21,Z21)</f>
        <v/>
      </c>
      <c r="AF21" s="13" t="inlineStr">
        <is>
          <t>P-1 Exhibit &gt; BA 02 &gt; Line 10 Net</t>
        </is>
      </c>
      <c r="AG21" s="7" t="inlineStr">
        <is>
          <t>14</t>
        </is>
      </c>
      <c r="AH21" s="7" t="inlineStr">
        <is>
          <t>2086</t>
        </is>
      </c>
    </row>
    <row r="22" ht="10" customHeight="1">
      <c r="A22" s="7" t="inlineStr">
        <is>
          <t>SCN</t>
        </is>
      </c>
      <c r="B22" s="7" t="inlineStr">
        <is>
          <t>Procurement</t>
        </is>
      </c>
      <c r="D22" s="7" t="inlineStr">
        <is>
          <t>CVN Refueling - SFF for FY 2025</t>
        </is>
      </c>
      <c r="E22" s="13" t="inlineStr">
        <is>
          <t>[SUB]</t>
        </is>
      </c>
      <c r="F22" s="7" t="inlineStr">
        <is>
          <t>2086 / CVN Refueling Overhauls</t>
        </is>
      </c>
      <c r="I22" s="14" t="n">
        <v>5</v>
      </c>
      <c r="J22" s="7" t="inlineStr">
        <is>
          <t>RCOH</t>
        </is>
      </c>
      <c r="K22" s="13" t="inlineStr">
        <is>
          <t>USN</t>
        </is>
      </c>
      <c r="L22" s="7" t="inlineStr">
        <is>
          <t>Combatant Ships</t>
        </is>
      </c>
      <c r="M22" s="7" t="inlineStr">
        <is>
          <t>Aircraft Carriers</t>
        </is>
      </c>
      <c r="N22" s="7" t="inlineStr">
        <is>
          <t>CVN</t>
        </is>
      </c>
      <c r="O22" s="15" t="n"/>
      <c r="S22" s="16" t="n">
        <v>1779011</v>
      </c>
      <c r="U22" s="16" t="n">
        <v>1779011</v>
      </c>
      <c r="AC22" s="23">
        <f>IF(OR(E22="",E22="[PARENT]"),"ADD",IF(E22="[ALT_VIEW]","ALT",""))</f>
        <v/>
      </c>
      <c r="AD22" s="21">
        <f>IF(Y22&lt;&gt;"",Y22,IF(U22&lt;&gt;"",U22,S22))</f>
        <v/>
      </c>
      <c r="AE22" s="21">
        <f>IF(AB22&lt;&gt;"",AB22,Z22)</f>
        <v/>
      </c>
      <c r="AF22" s="13" t="inlineStr">
        <is>
          <t>P-1 Exhibit &gt; BA 02 &gt; Line 10 SFF</t>
        </is>
      </c>
      <c r="AG22" s="7" t="inlineStr">
        <is>
          <t>14</t>
        </is>
      </c>
      <c r="AH22" s="7" t="inlineStr">
        <is>
          <t>2086</t>
        </is>
      </c>
    </row>
    <row r="23" ht="10" customHeight="1">
      <c r="A23" s="7" t="inlineStr">
        <is>
          <t>SCN</t>
        </is>
      </c>
      <c r="B23" s="7" t="inlineStr">
        <is>
          <t>Procurement</t>
        </is>
      </c>
      <c r="D23" s="7" t="inlineStr">
        <is>
          <t>CVN Refueling - Completion PY FY 2020</t>
        </is>
      </c>
      <c r="E23" s="13" t="inlineStr">
        <is>
          <t>[SUB]</t>
        </is>
      </c>
      <c r="F23" s="7" t="inlineStr">
        <is>
          <t>2086 / CVN Refueling Overhauls</t>
        </is>
      </c>
      <c r="I23" s="14" t="n">
        <v>5</v>
      </c>
      <c r="J23" s="7" t="inlineStr">
        <is>
          <t>RCOH</t>
        </is>
      </c>
      <c r="K23" s="13" t="inlineStr">
        <is>
          <t>USN</t>
        </is>
      </c>
      <c r="L23" s="7" t="inlineStr">
        <is>
          <t>Combatant Ships</t>
        </is>
      </c>
      <c r="M23" s="7" t="inlineStr">
        <is>
          <t>Aircraft Carriers</t>
        </is>
      </c>
      <c r="N23" s="7" t="inlineStr">
        <is>
          <t>CVN</t>
        </is>
      </c>
      <c r="O23" s="15" t="n"/>
      <c r="P23" s="16" t="n">
        <v>42422</v>
      </c>
      <c r="Q23" s="16" t="n">
        <v>669171</v>
      </c>
      <c r="AC23" s="23">
        <f>IF(OR(E23="",E23="[PARENT]"),"ADD",IF(E23="[ALT_VIEW]","ALT",""))</f>
        <v/>
      </c>
      <c r="AD23" s="21">
        <f>IF(Y23&lt;&gt;"",Y23,IF(U23&lt;&gt;"",U23,S23))</f>
        <v/>
      </c>
      <c r="AE23" s="21">
        <f>IF(AB23&lt;&gt;"",AB23,Z23)</f>
        <v/>
      </c>
      <c r="AF23" s="13" t="inlineStr">
        <is>
          <t>P-1 Exhibit &gt; BA 02 &gt; Line 10 CTC</t>
        </is>
      </c>
      <c r="AG23" s="7" t="inlineStr">
        <is>
          <t>14</t>
        </is>
      </c>
      <c r="AH23" s="7" t="inlineStr">
        <is>
          <t>2086</t>
        </is>
      </c>
    </row>
    <row r="24" ht="10" customHeight="1">
      <c r="A24" s="7" t="inlineStr">
        <is>
          <t>SCN</t>
        </is>
      </c>
      <c r="B24" s="7" t="inlineStr">
        <is>
          <t>Procurement</t>
        </is>
      </c>
      <c r="C24" s="7" t="inlineStr">
        <is>
          <t>2086</t>
        </is>
      </c>
      <c r="D24" s="7" t="inlineStr">
        <is>
          <t>CVN Refueling Overhauls Advance Procurement (CY)</t>
        </is>
      </c>
      <c r="E24" s="15" t="n"/>
      <c r="I24" s="14" t="n">
        <v>5</v>
      </c>
      <c r="J24" s="7" t="inlineStr">
        <is>
          <t>RCOH</t>
        </is>
      </c>
      <c r="K24" s="13" t="inlineStr">
        <is>
          <t>USN</t>
        </is>
      </c>
      <c r="L24" s="7" t="inlineStr">
        <is>
          <t>Combatant Ships</t>
        </is>
      </c>
      <c r="M24" s="7" t="inlineStr">
        <is>
          <t>Aircraft Carriers</t>
        </is>
      </c>
      <c r="N24" s="7" t="inlineStr">
        <is>
          <t>CVN</t>
        </is>
      </c>
      <c r="O24" s="15" t="n"/>
      <c r="P24" s="16" t="n">
        <v>488446</v>
      </c>
      <c r="Q24" s="16" t="n">
        <v>0</v>
      </c>
      <c r="S24" s="16" t="n">
        <v>0</v>
      </c>
      <c r="T24" s="16" t="n">
        <v>0</v>
      </c>
      <c r="U24" s="16" t="n">
        <v>0</v>
      </c>
      <c r="Z24" s="16" t="n">
        <v>53070</v>
      </c>
      <c r="AB24" s="16" t="n">
        <v>53070</v>
      </c>
      <c r="AC24" s="23">
        <f>IF(OR(E24="",E24="[PARENT]"),"ADD",IF(E24="[ALT_VIEW]","ALT",""))</f>
        <v/>
      </c>
      <c r="AD24" s="21">
        <f>IF(Y24&lt;&gt;"",Y24,IF(U24&lt;&gt;"",U24,S24))</f>
        <v/>
      </c>
      <c r="AE24" s="21">
        <f>IF(AB24&lt;&gt;"",AB24,Z24)</f>
        <v/>
      </c>
      <c r="AF24" s="13" t="inlineStr">
        <is>
          <t>P-40 Exhibit &gt; LI 2086 AP &gt; CVN Refueling AP</t>
        </is>
      </c>
      <c r="AG24" s="7" t="inlineStr">
        <is>
          <t>209</t>
        </is>
      </c>
      <c r="AH24" s="7" t="inlineStr">
        <is>
          <t>2086</t>
        </is>
      </c>
    </row>
    <row r="25" ht="10" customHeight="1">
      <c r="A25" s="7" t="inlineStr">
        <is>
          <t>SCN</t>
        </is>
      </c>
      <c r="B25" s="7" t="inlineStr">
        <is>
          <t>Procurement</t>
        </is>
      </c>
      <c r="C25" s="7" t="inlineStr">
        <is>
          <t>2119</t>
        </is>
      </c>
      <c r="D25" s="7" t="inlineStr">
        <is>
          <t>DDG 1000</t>
        </is>
      </c>
      <c r="E25" s="15" t="n"/>
      <c r="I25" s="14" t="n">
        <v>1</v>
      </c>
      <c r="J25" s="7" t="inlineStr">
        <is>
          <t>Full ship DD&amp;C</t>
        </is>
      </c>
      <c r="K25" s="13" t="inlineStr">
        <is>
          <t>USN</t>
        </is>
      </c>
      <c r="L25" s="7" t="inlineStr">
        <is>
          <t>Combatant Ships</t>
        </is>
      </c>
      <c r="M25" s="7" t="inlineStr">
        <is>
          <t>Surface Combatants</t>
        </is>
      </c>
      <c r="N25" s="7" t="inlineStr">
        <is>
          <t>DDG</t>
        </is>
      </c>
      <c r="O25" s="15" t="n"/>
      <c r="P25" s="16" t="n">
        <v>392892</v>
      </c>
      <c r="Q25" s="16" t="n">
        <v>61100</v>
      </c>
      <c r="S25" s="16" t="n">
        <v>52358</v>
      </c>
      <c r="T25" s="16" t="n">
        <v>0</v>
      </c>
      <c r="U25" s="16" t="n">
        <v>52358</v>
      </c>
      <c r="X25" s="16" t="n">
        <v>52358</v>
      </c>
      <c r="Y25" s="16" t="n">
        <v>52358</v>
      </c>
      <c r="Z25" s="16" t="n">
        <v>66516</v>
      </c>
      <c r="AB25" s="16" t="n">
        <v>66516</v>
      </c>
      <c r="AC25" s="23">
        <f>IF(OR(E25="",E25="[PARENT]"),"ADD",IF(E25="[ALT_VIEW]","ALT",""))</f>
        <v/>
      </c>
      <c r="AD25" s="21">
        <f>IF(Y25&lt;&gt;"",Y25,IF(U25&lt;&gt;"",U25,S25))</f>
        <v/>
      </c>
      <c r="AE25" s="21">
        <f>IF(AB25&lt;&gt;"",AB25,Z25)</f>
        <v/>
      </c>
      <c r="AF25" s="13" t="inlineStr">
        <is>
          <t>P-40 Exhibit &gt; LI 2119 &gt; DDG 1000</t>
        </is>
      </c>
      <c r="AG25" s="7" t="inlineStr">
        <is>
          <t>211</t>
        </is>
      </c>
      <c r="AH25" s="7" t="inlineStr">
        <is>
          <t>2119</t>
        </is>
      </c>
    </row>
    <row r="26" ht="10" customHeight="1">
      <c r="A26" s="7" t="inlineStr">
        <is>
          <t>SCN</t>
        </is>
      </c>
      <c r="B26" s="7" t="inlineStr">
        <is>
          <t>Procurement</t>
        </is>
      </c>
      <c r="C26" s="7" t="inlineStr">
        <is>
          <t>2122</t>
        </is>
      </c>
      <c r="D26" s="7" t="inlineStr">
        <is>
          <t>DDG-51</t>
        </is>
      </c>
      <c r="E26" s="13" t="inlineStr">
        <is>
          <t>[PARENT]</t>
        </is>
      </c>
      <c r="I26" s="14" t="n">
        <v>1</v>
      </c>
      <c r="J26" s="7" t="inlineStr">
        <is>
          <t>Full ship DD&amp;C</t>
        </is>
      </c>
      <c r="K26" s="13" t="inlineStr">
        <is>
          <t>USN</t>
        </is>
      </c>
      <c r="L26" s="7" t="inlineStr">
        <is>
          <t>Combatant Ships</t>
        </is>
      </c>
      <c r="M26" s="7" t="inlineStr">
        <is>
          <t>Surface Combatants</t>
        </is>
      </c>
      <c r="N26" s="7" t="inlineStr">
        <is>
          <t>DDG</t>
        </is>
      </c>
      <c r="O26" s="15" t="n"/>
      <c r="P26" s="16" t="n">
        <v>4725096</v>
      </c>
      <c r="Q26" s="16" t="n">
        <v>8185404</v>
      </c>
      <c r="S26" s="16" t="n">
        <v>10773</v>
      </c>
      <c r="T26" s="16" t="n">
        <v>5400000</v>
      </c>
      <c r="U26" s="16" t="n">
        <v>5410773</v>
      </c>
      <c r="W26" s="16" t="n">
        <v>5400000</v>
      </c>
      <c r="X26" s="16" t="n">
        <v>10773</v>
      </c>
      <c r="Y26" s="16" t="n">
        <v>5410773</v>
      </c>
      <c r="Z26" s="16" t="n">
        <v>2954238</v>
      </c>
      <c r="AA26" s="16" t="n">
        <v>314000</v>
      </c>
      <c r="AB26" s="16" t="n">
        <v>3268238</v>
      </c>
      <c r="AC26" s="23">
        <f>IF(OR(E26="",E26="[PARENT]"),"ADD",IF(E26="[ALT_VIEW]","ALT",""))</f>
        <v/>
      </c>
      <c r="AD26" s="21">
        <f>IF(Y26&lt;&gt;"",Y26,IF(U26&lt;&gt;"",U26,S26))</f>
        <v/>
      </c>
      <c r="AE26" s="21">
        <f>IF(AB26&lt;&gt;"",AB26,Z26)</f>
        <v/>
      </c>
      <c r="AF26" s="13" t="inlineStr">
        <is>
          <t>P-40 Exhibit &gt; LI 2122 &gt; DDG-51</t>
        </is>
      </c>
      <c r="AG26" s="7" t="inlineStr">
        <is>
          <t>237</t>
        </is>
      </c>
      <c r="AH26" s="7" t="inlineStr">
        <is>
          <t>2122</t>
        </is>
      </c>
    </row>
    <row r="27" ht="10" customHeight="1">
      <c r="A27" s="7" t="inlineStr">
        <is>
          <t>SCN</t>
        </is>
      </c>
      <c r="B27" s="7" t="inlineStr">
        <is>
          <t>Procurement</t>
        </is>
      </c>
      <c r="D27" s="7" t="inlineStr">
        <is>
          <t>DDG-51 - Net Procurement</t>
        </is>
      </c>
      <c r="E27" s="13" t="inlineStr">
        <is>
          <t>[SUB]</t>
        </is>
      </c>
      <c r="F27" s="7" t="inlineStr">
        <is>
          <t>2122 / DDG-51</t>
        </is>
      </c>
      <c r="I27" s="14" t="n">
        <v>1</v>
      </c>
      <c r="J27" s="7" t="inlineStr">
        <is>
          <t>Full ship DD&amp;C</t>
        </is>
      </c>
      <c r="K27" s="13" t="inlineStr">
        <is>
          <t>USN</t>
        </is>
      </c>
      <c r="L27" s="7" t="inlineStr">
        <is>
          <t>Combatant Ships</t>
        </is>
      </c>
      <c r="M27" s="7" t="inlineStr">
        <is>
          <t>Surface Combatants</t>
        </is>
      </c>
      <c r="N27" s="7" t="inlineStr">
        <is>
          <t>DDG</t>
        </is>
      </c>
      <c r="O27" s="15" t="n"/>
      <c r="P27" s="16" t="n">
        <v>4499179</v>
      </c>
      <c r="Q27" s="16" t="n">
        <v>6268519</v>
      </c>
      <c r="S27" s="16" t="n">
        <v>10773</v>
      </c>
      <c r="T27" s="16" t="n">
        <v>5400000</v>
      </c>
      <c r="U27" s="16" t="n">
        <v>5410773</v>
      </c>
      <c r="AC27" s="23">
        <f>IF(OR(E27="",E27="[PARENT]"),"ADD",IF(E27="[ALT_VIEW]","ALT",""))</f>
        <v/>
      </c>
      <c r="AD27" s="21">
        <f>IF(Y27&lt;&gt;"",Y27,IF(U27&lt;&gt;"",U27,S27))</f>
        <v/>
      </c>
      <c r="AE27" s="21">
        <f>IF(AB27&lt;&gt;"",AB27,Z27)</f>
        <v/>
      </c>
      <c r="AF27" s="13" t="inlineStr">
        <is>
          <t>P-1 Exhibit &gt; BA 02 &gt; Line 13 Net</t>
        </is>
      </c>
      <c r="AG27" s="7" t="inlineStr">
        <is>
          <t>14</t>
        </is>
      </c>
      <c r="AH27" s="7" t="inlineStr">
        <is>
          <t>2122</t>
        </is>
      </c>
    </row>
    <row r="28" ht="10" customHeight="1">
      <c r="A28" s="7" t="inlineStr">
        <is>
          <t>SCN</t>
        </is>
      </c>
      <c r="B28" s="7" t="inlineStr">
        <is>
          <t>Procurement</t>
        </is>
      </c>
      <c r="D28" s="7" t="inlineStr">
        <is>
          <t>DDG-51 - SFF for FY 2023 and FY 2024</t>
        </is>
      </c>
      <c r="E28" s="13" t="inlineStr">
        <is>
          <t>[SUB]</t>
        </is>
      </c>
      <c r="F28" s="7" t="inlineStr">
        <is>
          <t>2122 / DDG-51</t>
        </is>
      </c>
      <c r="I28" s="14" t="n">
        <v>1</v>
      </c>
      <c r="J28" s="7" t="inlineStr">
        <is>
          <t>Full ship DD&amp;C</t>
        </is>
      </c>
      <c r="K28" s="13" t="inlineStr">
        <is>
          <t>USN</t>
        </is>
      </c>
      <c r="L28" s="7" t="inlineStr">
        <is>
          <t>Combatant Ships</t>
        </is>
      </c>
      <c r="M28" s="7" t="inlineStr">
        <is>
          <t>Surface Combatants</t>
        </is>
      </c>
      <c r="N28" s="7" t="inlineStr">
        <is>
          <t>DDG</t>
        </is>
      </c>
      <c r="O28" s="15" t="n"/>
      <c r="Q28" s="16" t="n">
        <v>1683371</v>
      </c>
      <c r="AC28" s="23">
        <f>IF(OR(E28="",E28="[PARENT]"),"ADD",IF(E28="[ALT_VIEW]","ALT",""))</f>
        <v/>
      </c>
      <c r="AD28" s="21">
        <f>IF(Y28&lt;&gt;"",Y28,IF(U28&lt;&gt;"",U28,S28))</f>
        <v/>
      </c>
      <c r="AE28" s="21">
        <f>IF(AB28&lt;&gt;"",AB28,Z28)</f>
        <v/>
      </c>
      <c r="AF28" s="13" t="inlineStr">
        <is>
          <t>P-1 Exhibit &gt; BA 02 &gt; Line 13 SFF</t>
        </is>
      </c>
      <c r="AG28" s="7" t="inlineStr">
        <is>
          <t>15</t>
        </is>
      </c>
      <c r="AH28" s="7" t="inlineStr">
        <is>
          <t>2122</t>
        </is>
      </c>
    </row>
    <row r="29" ht="10" customHeight="1">
      <c r="A29" s="7" t="inlineStr">
        <is>
          <t>SCN</t>
        </is>
      </c>
      <c r="B29" s="7" t="inlineStr">
        <is>
          <t>Procurement</t>
        </is>
      </c>
      <c r="D29" s="7" t="inlineStr">
        <is>
          <t>DDG-51 - Completion PY (FY16-18)</t>
        </is>
      </c>
      <c r="E29" s="13" t="inlineStr">
        <is>
          <t>[SUB]</t>
        </is>
      </c>
      <c r="F29" s="7" t="inlineStr">
        <is>
          <t>2122 / DDG-51</t>
        </is>
      </c>
      <c r="I29" s="14" t="n">
        <v>1</v>
      </c>
      <c r="J29" s="7" t="inlineStr">
        <is>
          <t>Full ship DD&amp;C</t>
        </is>
      </c>
      <c r="K29" s="13" t="inlineStr">
        <is>
          <t>USN</t>
        </is>
      </c>
      <c r="L29" s="7" t="inlineStr">
        <is>
          <t>Combatant Ships</t>
        </is>
      </c>
      <c r="M29" s="7" t="inlineStr">
        <is>
          <t>Surface Combatants</t>
        </is>
      </c>
      <c r="N29" s="7" t="inlineStr">
        <is>
          <t>DDG</t>
        </is>
      </c>
      <c r="O29" s="15" t="n"/>
      <c r="P29" s="16" t="n">
        <v>225917</v>
      </c>
      <c r="Q29" s="16" t="n">
        <v>233514</v>
      </c>
      <c r="AC29" s="23">
        <f>IF(OR(E29="",E29="[PARENT]"),"ADD",IF(E29="[ALT_VIEW]","ALT",""))</f>
        <v/>
      </c>
      <c r="AD29" s="21">
        <f>IF(Y29&lt;&gt;"",Y29,IF(U29&lt;&gt;"",U29,S29))</f>
        <v/>
      </c>
      <c r="AE29" s="21">
        <f>IF(AB29&lt;&gt;"",AB29,Z29)</f>
        <v/>
      </c>
      <c r="AF29" s="13" t="inlineStr">
        <is>
          <t>P-1 Exhibit &gt; BA 02 &gt; Line 13 CTC</t>
        </is>
      </c>
      <c r="AG29" s="7" t="inlineStr">
        <is>
          <t>14</t>
        </is>
      </c>
      <c r="AH29" s="7" t="inlineStr">
        <is>
          <t>2122</t>
        </is>
      </c>
    </row>
    <row r="30" ht="10" customHeight="1">
      <c r="A30" s="7" t="inlineStr">
        <is>
          <t>SCN</t>
        </is>
      </c>
      <c r="B30" s="7" t="inlineStr">
        <is>
          <t>Procurement</t>
        </is>
      </c>
      <c r="C30" s="7" t="inlineStr">
        <is>
          <t>2122</t>
        </is>
      </c>
      <c r="D30" s="7" t="inlineStr">
        <is>
          <t>DDG-51 Advance Procurement (CY)</t>
        </is>
      </c>
      <c r="E30" s="15" t="n"/>
      <c r="I30" s="14" t="n">
        <v>1</v>
      </c>
      <c r="J30" s="7" t="inlineStr">
        <is>
          <t>Advance procurement / LLTM</t>
        </is>
      </c>
      <c r="K30" s="13" t="inlineStr">
        <is>
          <t>USN</t>
        </is>
      </c>
      <c r="L30" s="7" t="inlineStr">
        <is>
          <t>Combatant Ships</t>
        </is>
      </c>
      <c r="M30" s="7" t="inlineStr">
        <is>
          <t>Surface Combatants</t>
        </is>
      </c>
      <c r="N30" s="7" t="inlineStr">
        <is>
          <t>DDG</t>
        </is>
      </c>
      <c r="O30" s="15" t="n"/>
      <c r="P30" s="16" t="n">
        <v>1641335</v>
      </c>
      <c r="Q30" s="16" t="n">
        <v>83224</v>
      </c>
      <c r="S30" s="16" t="n">
        <v>0</v>
      </c>
      <c r="T30" s="16" t="n">
        <v>0</v>
      </c>
      <c r="U30" s="16" t="n">
        <v>0</v>
      </c>
      <c r="X30" s="16" t="n">
        <v>1750000</v>
      </c>
      <c r="Y30" s="16" t="n">
        <v>1750000</v>
      </c>
      <c r="AC30" s="23">
        <f>IF(OR(E30="",E30="[PARENT]"),"ADD",IF(E30="[ALT_VIEW]","ALT",""))</f>
        <v/>
      </c>
      <c r="AD30" s="21">
        <f>IF(Y30&lt;&gt;"",Y30,IF(U30&lt;&gt;"",U30,S30))</f>
        <v/>
      </c>
      <c r="AE30" s="21">
        <f>IF(AB30&lt;&gt;"",AB30,Z30)</f>
        <v/>
      </c>
      <c r="AF30" s="13" t="inlineStr">
        <is>
          <t>P-40 Exhibit &gt; LI 2122 AP &gt; DDG-51 AP</t>
        </is>
      </c>
      <c r="AG30" s="7" t="inlineStr">
        <is>
          <t>265</t>
        </is>
      </c>
      <c r="AH30" s="7" t="inlineStr">
        <is>
          <t>2122</t>
        </is>
      </c>
    </row>
    <row r="31" ht="10" customHeight="1">
      <c r="A31" s="7" t="inlineStr">
        <is>
          <t>SCN</t>
        </is>
      </c>
      <c r="B31" s="7" t="inlineStr">
        <is>
          <t>Procurement</t>
        </is>
      </c>
      <c r="C31" s="7" t="inlineStr">
        <is>
          <t>2127</t>
        </is>
      </c>
      <c r="D31" s="7" t="inlineStr">
        <is>
          <t>Littoral Combat Ship (LCS)</t>
        </is>
      </c>
      <c r="E31" s="15" t="n"/>
      <c r="I31" s="14" t="n">
        <v>1</v>
      </c>
      <c r="J31" s="7" t="inlineStr">
        <is>
          <t>Full ship DD&amp;C</t>
        </is>
      </c>
      <c r="K31" s="13" t="inlineStr">
        <is>
          <t>USN</t>
        </is>
      </c>
      <c r="L31" s="7" t="inlineStr">
        <is>
          <t>Combatant Ships</t>
        </is>
      </c>
      <c r="M31" s="7" t="inlineStr">
        <is>
          <t>Surface Combatants</t>
        </is>
      </c>
      <c r="N31" s="7" t="inlineStr">
        <is>
          <t>LCS</t>
        </is>
      </c>
      <c r="O31" s="15" t="n"/>
      <c r="P31" s="16" t="n">
        <v>23000</v>
      </c>
      <c r="Q31" s="16" t="n">
        <v>48000</v>
      </c>
      <c r="S31" s="16" t="n">
        <v>0</v>
      </c>
      <c r="T31" s="16" t="n">
        <v>0</v>
      </c>
      <c r="U31" s="16" t="n">
        <v>0</v>
      </c>
      <c r="AC31" s="23">
        <f>IF(OR(E31="",E31="[PARENT]"),"ADD",IF(E31="[ALT_VIEW]","ALT",""))</f>
        <v/>
      </c>
      <c r="AD31" s="21">
        <f>IF(Y31&lt;&gt;"",Y31,IF(U31&lt;&gt;"",U31,S31))</f>
        <v/>
      </c>
      <c r="AE31" s="21">
        <f>IF(AB31&lt;&gt;"",AB31,Z31)</f>
        <v/>
      </c>
      <c r="AF31" s="13" t="inlineStr">
        <is>
          <t>P-40 Exhibit &gt; LI 2127 &gt; Littoral Combat Ship</t>
        </is>
      </c>
      <c r="AG31" s="7" t="inlineStr">
        <is>
          <t>269</t>
        </is>
      </c>
      <c r="AH31" s="7" t="inlineStr">
        <is>
          <t>2127</t>
        </is>
      </c>
    </row>
    <row r="32" ht="10" customHeight="1">
      <c r="A32" s="7" t="inlineStr">
        <is>
          <t>SCN</t>
        </is>
      </c>
      <c r="B32" s="7" t="inlineStr">
        <is>
          <t>Procurement</t>
        </is>
      </c>
      <c r="C32" s="7" t="inlineStr">
        <is>
          <t>2128</t>
        </is>
      </c>
      <c r="D32" s="7" t="inlineStr">
        <is>
          <t>FFG-Frigate</t>
        </is>
      </c>
      <c r="E32" s="15" t="n"/>
      <c r="I32" s="14" t="n">
        <v>1</v>
      </c>
      <c r="J32" s="7" t="inlineStr">
        <is>
          <t>Full ship DD&amp;C</t>
        </is>
      </c>
      <c r="K32" s="13" t="inlineStr">
        <is>
          <t>USN</t>
        </is>
      </c>
      <c r="L32" s="7" t="inlineStr">
        <is>
          <t>Combatant Ships</t>
        </is>
      </c>
      <c r="M32" s="7" t="inlineStr">
        <is>
          <t>Surface Combatants</t>
        </is>
      </c>
      <c r="N32" s="7" t="inlineStr">
        <is>
          <t>FFG</t>
        </is>
      </c>
      <c r="O32" s="15" t="n"/>
      <c r="P32" s="16" t="n">
        <v>2183861</v>
      </c>
      <c r="Q32" s="16" t="n">
        <v>633200</v>
      </c>
      <c r="S32" s="16" t="n">
        <v>0</v>
      </c>
      <c r="T32" s="16" t="n">
        <v>0</v>
      </c>
      <c r="U32" s="16" t="n">
        <v>0</v>
      </c>
      <c r="X32" s="16" t="n">
        <v>242000</v>
      </c>
      <c r="Y32" s="16" t="n">
        <v>242000</v>
      </c>
      <c r="AC32" s="23">
        <f>IF(OR(E32="",E32="[PARENT]"),"ADD",IF(E32="[ALT_VIEW]","ALT",""))</f>
        <v/>
      </c>
      <c r="AD32" s="21">
        <f>IF(Y32&lt;&gt;"",Y32,IF(U32&lt;&gt;"",U32,S32))</f>
        <v/>
      </c>
      <c r="AE32" s="21">
        <f>IF(AB32&lt;&gt;"",AB32,Z32)</f>
        <v/>
      </c>
      <c r="AF32" s="13" t="inlineStr">
        <is>
          <t>P-40 Exhibit &gt; LI 2128 &gt; FFG-Frigate</t>
        </is>
      </c>
      <c r="AG32" s="7" t="inlineStr">
        <is>
          <t>273</t>
        </is>
      </c>
      <c r="AH32" s="7" t="inlineStr">
        <is>
          <t>2128</t>
        </is>
      </c>
    </row>
    <row r="33" ht="10" customHeight="1">
      <c r="A33" s="7" t="inlineStr">
        <is>
          <t>SCN</t>
        </is>
      </c>
      <c r="B33" s="7" t="inlineStr">
        <is>
          <t>Procurement</t>
        </is>
      </c>
      <c r="C33" s="7" t="inlineStr">
        <is>
          <t>3010</t>
        </is>
      </c>
      <c r="D33" s="7" t="inlineStr">
        <is>
          <t>LPD Flight II</t>
        </is>
      </c>
      <c r="E33" s="13" t="inlineStr">
        <is>
          <t>[PARENT]</t>
        </is>
      </c>
      <c r="I33" s="14" t="n">
        <v>1</v>
      </c>
      <c r="J33" s="7" t="inlineStr">
        <is>
          <t>Full ship DD&amp;C</t>
        </is>
      </c>
      <c r="K33" s="13" t="inlineStr">
        <is>
          <t>USN</t>
        </is>
      </c>
      <c r="L33" s="7" t="inlineStr">
        <is>
          <t>Combatant Ships</t>
        </is>
      </c>
      <c r="M33" s="7" t="inlineStr">
        <is>
          <t>Amphibious Warfare Ships</t>
        </is>
      </c>
      <c r="N33" s="7" t="inlineStr">
        <is>
          <t>LPD</t>
        </is>
      </c>
      <c r="O33" s="15" t="n"/>
      <c r="P33" s="16" t="n">
        <v>0</v>
      </c>
      <c r="Q33" s="16" t="n">
        <v>1581121</v>
      </c>
      <c r="S33" s="16" t="n">
        <v>0</v>
      </c>
      <c r="T33" s="16" t="n">
        <v>2325000</v>
      </c>
      <c r="U33" s="16" t="n">
        <v>2325000</v>
      </c>
      <c r="W33" s="16" t="n">
        <v>835037</v>
      </c>
      <c r="X33" s="16" t="n">
        <v>0</v>
      </c>
      <c r="Y33" s="16" t="n">
        <v>835037</v>
      </c>
      <c r="Z33" s="16" t="n">
        <v>2188700</v>
      </c>
      <c r="AA33" s="16" t="n">
        <v>4000</v>
      </c>
      <c r="AB33" s="16" t="n">
        <v>2192700</v>
      </c>
      <c r="AC33" s="23">
        <f>IF(OR(E33="",E33="[PARENT]"),"ADD",IF(E33="[ALT_VIEW]","ALT",""))</f>
        <v/>
      </c>
      <c r="AD33" s="21">
        <f>IF(Y33&lt;&gt;"",Y33,IF(U33&lt;&gt;"",U33,S33))</f>
        <v/>
      </c>
      <c r="AE33" s="21">
        <f>IF(AB33&lt;&gt;"",AB33,Z33)</f>
        <v/>
      </c>
      <c r="AF33" s="13" t="inlineStr">
        <is>
          <t>P-40 Exhibit &gt; LI 3010 &gt; LPD Flight II</t>
        </is>
      </c>
      <c r="AG33" s="7" t="inlineStr">
        <is>
          <t>303</t>
        </is>
      </c>
      <c r="AH33" s="7" t="inlineStr">
        <is>
          <t>3010</t>
        </is>
      </c>
    </row>
    <row r="34" ht="10" customHeight="1">
      <c r="A34" s="7" t="inlineStr">
        <is>
          <t>SCN</t>
        </is>
      </c>
      <c r="B34" s="7" t="inlineStr">
        <is>
          <t>Procurement</t>
        </is>
      </c>
      <c r="D34" s="7" t="inlineStr">
        <is>
          <t>LPD Flight II - Net Procurement</t>
        </is>
      </c>
      <c r="E34" s="13" t="inlineStr">
        <is>
          <t>[SUB]</t>
        </is>
      </c>
      <c r="F34" s="7" t="inlineStr">
        <is>
          <t>3010 / LPD Flight II</t>
        </is>
      </c>
      <c r="I34" s="14" t="n">
        <v>1</v>
      </c>
      <c r="J34" s="7" t="inlineStr">
        <is>
          <t>Full ship DD&amp;C</t>
        </is>
      </c>
      <c r="K34" s="13" t="inlineStr">
        <is>
          <t>USN</t>
        </is>
      </c>
      <c r="L34" s="7" t="inlineStr">
        <is>
          <t>Combatant Ships</t>
        </is>
      </c>
      <c r="M34" s="7" t="inlineStr">
        <is>
          <t>Amphibious Warfare Ships</t>
        </is>
      </c>
      <c r="N34" s="7" t="inlineStr">
        <is>
          <t>LPD</t>
        </is>
      </c>
      <c r="O34" s="15" t="n"/>
      <c r="Q34" s="16" t="n">
        <v>1561963</v>
      </c>
      <c r="T34" s="16" t="n">
        <v>2129963</v>
      </c>
      <c r="U34" s="16" t="n">
        <v>2129963</v>
      </c>
      <c r="AC34" s="23">
        <f>IF(OR(E34="",E34="[PARENT]"),"ADD",IF(E34="[ALT_VIEW]","ALT",""))</f>
        <v/>
      </c>
      <c r="AD34" s="21">
        <f>IF(Y34&lt;&gt;"",Y34,IF(U34&lt;&gt;"",U34,S34))</f>
        <v/>
      </c>
      <c r="AE34" s="21">
        <f>IF(AB34&lt;&gt;"",AB34,Z34)</f>
        <v/>
      </c>
      <c r="AF34" s="13" t="inlineStr">
        <is>
          <t>P-1 Exhibit &gt; BA 03 &gt; Line 19 Net</t>
        </is>
      </c>
      <c r="AG34" s="7" t="inlineStr">
        <is>
          <t>18</t>
        </is>
      </c>
      <c r="AH34" s="7" t="inlineStr">
        <is>
          <t>3010</t>
        </is>
      </c>
    </row>
    <row r="35" ht="10" customHeight="1">
      <c r="A35" s="7" t="inlineStr">
        <is>
          <t>SCN</t>
        </is>
      </c>
      <c r="B35" s="7" t="inlineStr">
        <is>
          <t>Procurement</t>
        </is>
      </c>
      <c r="D35" s="7" t="inlineStr">
        <is>
          <t>LPD Flight II - SFF for FY 2025</t>
        </is>
      </c>
      <c r="E35" s="13" t="inlineStr">
        <is>
          <t>[SUB]</t>
        </is>
      </c>
      <c r="F35" s="7" t="inlineStr">
        <is>
          <t>3010 / LPD Flight II</t>
        </is>
      </c>
      <c r="I35" s="14" t="n">
        <v>1</v>
      </c>
      <c r="J35" s="7" t="inlineStr">
        <is>
          <t>Full ship DD&amp;C</t>
        </is>
      </c>
      <c r="K35" s="13" t="inlineStr">
        <is>
          <t>USN</t>
        </is>
      </c>
      <c r="L35" s="7" t="inlineStr">
        <is>
          <t>Combatant Ships</t>
        </is>
      </c>
      <c r="M35" s="7" t="inlineStr">
        <is>
          <t>Amphibious Warfare Ships</t>
        </is>
      </c>
      <c r="N35" s="7" t="inlineStr">
        <is>
          <t>LPD</t>
        </is>
      </c>
      <c r="O35" s="15" t="n"/>
      <c r="S35" s="16" t="n">
        <v>0</v>
      </c>
      <c r="T35" s="16" t="n">
        <v>195037</v>
      </c>
      <c r="U35" s="16" t="n">
        <v>195037</v>
      </c>
      <c r="AC35" s="23">
        <f>IF(OR(E35="",E35="[PARENT]"),"ADD",IF(E35="[ALT_VIEW]","ALT",""))</f>
        <v/>
      </c>
      <c r="AD35" s="21">
        <f>IF(Y35&lt;&gt;"",Y35,IF(U35&lt;&gt;"",U35,S35))</f>
        <v/>
      </c>
      <c r="AE35" s="21">
        <f>IF(AB35&lt;&gt;"",AB35,Z35)</f>
        <v/>
      </c>
      <c r="AF35" s="13" t="inlineStr">
        <is>
          <t>P-1 Exhibit &gt; BA 03 &gt; Line 19 SFF</t>
        </is>
      </c>
      <c r="AG35" s="7" t="inlineStr">
        <is>
          <t>18</t>
        </is>
      </c>
      <c r="AH35" s="7" t="inlineStr">
        <is>
          <t>3010</t>
        </is>
      </c>
    </row>
    <row r="36" ht="10" customHeight="1">
      <c r="A36" s="7" t="inlineStr">
        <is>
          <t>SCN</t>
        </is>
      </c>
      <c r="B36" s="7" t="inlineStr">
        <is>
          <t>Procurement</t>
        </is>
      </c>
      <c r="D36" s="7" t="inlineStr">
        <is>
          <t>LPD Flight II - Completion PY FY 2018</t>
        </is>
      </c>
      <c r="E36" s="13" t="inlineStr">
        <is>
          <t>[SUB]</t>
        </is>
      </c>
      <c r="F36" s="7" t="inlineStr">
        <is>
          <t>3010 / LPD Flight II</t>
        </is>
      </c>
      <c r="I36" s="14" t="n">
        <v>1</v>
      </c>
      <c r="J36" s="7" t="inlineStr">
        <is>
          <t>Full ship DD&amp;C</t>
        </is>
      </c>
      <c r="K36" s="13" t="inlineStr">
        <is>
          <t>USN</t>
        </is>
      </c>
      <c r="L36" s="7" t="inlineStr">
        <is>
          <t>Combatant Ships</t>
        </is>
      </c>
      <c r="M36" s="7" t="inlineStr">
        <is>
          <t>Amphibious Warfare Ships</t>
        </is>
      </c>
      <c r="N36" s="7" t="inlineStr">
        <is>
          <t>LPD</t>
        </is>
      </c>
      <c r="O36" s="15" t="n"/>
      <c r="Q36" s="16" t="n">
        <v>19158</v>
      </c>
      <c r="AC36" s="23">
        <f>IF(OR(E36="",E36="[PARENT]"),"ADD",IF(E36="[ALT_VIEW]","ALT",""))</f>
        <v/>
      </c>
      <c r="AD36" s="21">
        <f>IF(Y36&lt;&gt;"",Y36,IF(U36&lt;&gt;"",U36,S36))</f>
        <v/>
      </c>
      <c r="AE36" s="21">
        <f>IF(AB36&lt;&gt;"",AB36,Z36)</f>
        <v/>
      </c>
      <c r="AF36" s="13" t="inlineStr">
        <is>
          <t>P-1 Exhibit &gt; BA 03 &gt; Line 19 CTC</t>
        </is>
      </c>
      <c r="AG36" s="7" t="inlineStr">
        <is>
          <t>18</t>
        </is>
      </c>
      <c r="AH36" s="7" t="inlineStr">
        <is>
          <t>3010</t>
        </is>
      </c>
    </row>
    <row r="37" ht="10" customHeight="1">
      <c r="A37" s="7" t="inlineStr">
        <is>
          <t>SCN</t>
        </is>
      </c>
      <c r="B37" s="7" t="inlineStr">
        <is>
          <t>Procurement</t>
        </is>
      </c>
      <c r="C37" s="7" t="inlineStr">
        <is>
          <t>3010</t>
        </is>
      </c>
      <c r="D37" s="7" t="inlineStr">
        <is>
          <t>LPD Flight II Advance Procurement (CY)</t>
        </is>
      </c>
      <c r="E37" s="15" t="n"/>
      <c r="I37" s="14" t="n">
        <v>1</v>
      </c>
      <c r="J37" s="7" t="inlineStr">
        <is>
          <t>Advance procurement / LLTM</t>
        </is>
      </c>
      <c r="K37" s="13" t="inlineStr">
        <is>
          <t>USN</t>
        </is>
      </c>
      <c r="L37" s="7" t="inlineStr">
        <is>
          <t>Combatant Ships</t>
        </is>
      </c>
      <c r="M37" s="7" t="inlineStr">
        <is>
          <t>Amphibious Warfare Ships</t>
        </is>
      </c>
      <c r="N37" s="7" t="inlineStr">
        <is>
          <t>LPD</t>
        </is>
      </c>
      <c r="O37" s="15" t="n"/>
      <c r="P37" s="16" t="n">
        <v>500000</v>
      </c>
      <c r="Q37" s="16" t="n">
        <v>0</v>
      </c>
      <c r="S37" s="16" t="n">
        <v>0</v>
      </c>
      <c r="T37" s="16" t="n">
        <v>275000</v>
      </c>
      <c r="U37" s="16" t="n">
        <v>275000</v>
      </c>
      <c r="Z37" s="16" t="n">
        <v>355950</v>
      </c>
      <c r="AB37" s="16" t="n">
        <v>355950</v>
      </c>
      <c r="AC37" s="23">
        <f>IF(OR(E37="",E37="[PARENT]"),"ADD",IF(E37="[ALT_VIEW]","ALT",""))</f>
        <v/>
      </c>
      <c r="AD37" s="21">
        <f>IF(Y37&lt;&gt;"",Y37,IF(U37&lt;&gt;"",U37,S37))</f>
        <v/>
      </c>
      <c r="AE37" s="21">
        <f>IF(AB37&lt;&gt;"",AB37,Z37)</f>
        <v/>
      </c>
      <c r="AF37" s="13" t="inlineStr">
        <is>
          <t>P-40 Exhibit &gt; LI 3010 AP &gt; LPD Flight II AP</t>
        </is>
      </c>
      <c r="AG37" s="7" t="inlineStr">
        <is>
          <t>321</t>
        </is>
      </c>
      <c r="AH37" s="7" t="inlineStr">
        <is>
          <t>3010</t>
        </is>
      </c>
    </row>
    <row r="38" ht="10" customHeight="1">
      <c r="A38" s="7" t="inlineStr">
        <is>
          <t>SCN</t>
        </is>
      </c>
      <c r="B38" s="7" t="inlineStr">
        <is>
          <t>Procurement</t>
        </is>
      </c>
      <c r="D38" s="7" t="inlineStr">
        <is>
          <t>LPD-17</t>
        </is>
      </c>
      <c r="E38" s="15" t="n"/>
      <c r="I38" s="14" t="n">
        <v>1</v>
      </c>
      <c r="J38" s="7" t="inlineStr">
        <is>
          <t>Full ship DD&amp;C</t>
        </is>
      </c>
      <c r="K38" s="13" t="inlineStr">
        <is>
          <t>USN</t>
        </is>
      </c>
      <c r="L38" s="7" t="inlineStr">
        <is>
          <t>Combatant Ships</t>
        </is>
      </c>
      <c r="M38" s="7" t="inlineStr">
        <is>
          <t>Amphibious Warfare Ships</t>
        </is>
      </c>
      <c r="N38" s="7" t="inlineStr">
        <is>
          <t>LPD</t>
        </is>
      </c>
      <c r="O38" s="15" t="n"/>
      <c r="P38" s="16" t="n">
        <v>16520</v>
      </c>
      <c r="Q38" s="16" t="n">
        <v>0</v>
      </c>
      <c r="S38" s="16" t="n">
        <v>0</v>
      </c>
      <c r="T38" s="16" t="n">
        <v>0</v>
      </c>
      <c r="U38" s="16" t="n">
        <v>0</v>
      </c>
      <c r="AC38" s="23">
        <f>IF(OR(E38="",E38="[PARENT]"),"ADD",IF(E38="[ALT_VIEW]","ALT",""))</f>
        <v/>
      </c>
      <c r="AD38" s="21">
        <f>IF(Y38&lt;&gt;"",Y38,IF(U38&lt;&gt;"",U38,S38))</f>
        <v/>
      </c>
      <c r="AE38" s="21">
        <f>IF(AB38&lt;&gt;"",AB38,Z38)</f>
        <v/>
      </c>
      <c r="AF38" s="13" t="inlineStr">
        <is>
          <t>P-1 Exhibit &gt; BA 03 &gt; Line 21</t>
        </is>
      </c>
      <c r="AG38" s="7" t="inlineStr">
        <is>
          <t>18</t>
        </is>
      </c>
    </row>
    <row r="39" ht="10" customHeight="1">
      <c r="A39" s="7" t="inlineStr">
        <is>
          <t>SCN</t>
        </is>
      </c>
      <c r="B39" s="7" t="inlineStr">
        <is>
          <t>Procurement</t>
        </is>
      </c>
      <c r="C39" s="7" t="inlineStr">
        <is>
          <t>3041</t>
        </is>
      </c>
      <c r="D39" s="7" t="inlineStr">
        <is>
          <t>LHA Replacement</t>
        </is>
      </c>
      <c r="E39" s="13" t="inlineStr">
        <is>
          <t>[PARENT]</t>
        </is>
      </c>
      <c r="I39" s="14" t="n">
        <v>1</v>
      </c>
      <c r="J39" s="7" t="inlineStr">
        <is>
          <t>Full ship DD&amp;C</t>
        </is>
      </c>
      <c r="K39" s="13" t="inlineStr">
        <is>
          <t>USN</t>
        </is>
      </c>
      <c r="L39" s="7" t="inlineStr">
        <is>
          <t>Combatant Ships</t>
        </is>
      </c>
      <c r="M39" s="7" t="inlineStr">
        <is>
          <t>Amphibious Warfare Ships</t>
        </is>
      </c>
      <c r="N39" s="7" t="inlineStr">
        <is>
          <t>LHA</t>
        </is>
      </c>
      <c r="O39" s="15" t="n"/>
      <c r="P39" s="16" t="n">
        <v>1830149</v>
      </c>
      <c r="Q39" s="16" t="n">
        <v>115397</v>
      </c>
      <c r="S39" s="16" t="n">
        <v>0</v>
      </c>
      <c r="T39" s="16" t="n">
        <v>3895000</v>
      </c>
      <c r="U39" s="16" t="n">
        <v>3895000</v>
      </c>
      <c r="W39" s="16" t="n">
        <v>634963</v>
      </c>
      <c r="X39" s="16" t="n">
        <v>0</v>
      </c>
      <c r="Y39" s="16" t="n">
        <v>634963</v>
      </c>
      <c r="Z39" s="16" t="n">
        <v>3850319</v>
      </c>
      <c r="AA39" s="16" t="n">
        <v>2000</v>
      </c>
      <c r="AB39" s="16" t="n">
        <v>3852319</v>
      </c>
      <c r="AC39" s="23">
        <f>IF(OR(E39="",E39="[PARENT]"),"ADD",IF(E39="[ALT_VIEW]","ALT",""))</f>
        <v/>
      </c>
      <c r="AD39" s="21">
        <f>IF(Y39&lt;&gt;"",Y39,IF(U39&lt;&gt;"",U39,S39))</f>
        <v/>
      </c>
      <c r="AE39" s="21">
        <f>IF(AB39&lt;&gt;"",AB39,Z39)</f>
        <v/>
      </c>
      <c r="AF39" s="13" t="inlineStr">
        <is>
          <t>P-40 Exhibit &gt; LI 3041 &gt; LHA Replacement</t>
        </is>
      </c>
      <c r="AG39" s="7" t="inlineStr">
        <is>
          <t>323</t>
        </is>
      </c>
      <c r="AH39" s="7" t="inlineStr">
        <is>
          <t>3041</t>
        </is>
      </c>
    </row>
    <row r="40" ht="10" customHeight="1">
      <c r="A40" s="7" t="inlineStr">
        <is>
          <t>SCN</t>
        </is>
      </c>
      <c r="B40" s="7" t="inlineStr">
        <is>
          <t>Procurement</t>
        </is>
      </c>
      <c r="D40" s="7" t="inlineStr">
        <is>
          <t>LHA Replacement - SFF for FY 2023</t>
        </is>
      </c>
      <c r="E40" s="13" t="inlineStr">
        <is>
          <t>[SUB]</t>
        </is>
      </c>
      <c r="F40" s="7" t="inlineStr">
        <is>
          <t>3041 / LHA Replacement</t>
        </is>
      </c>
      <c r="I40" s="14" t="n">
        <v>1</v>
      </c>
      <c r="J40" s="7" t="inlineStr">
        <is>
          <t>Full ship DD&amp;C</t>
        </is>
      </c>
      <c r="K40" s="13" t="inlineStr">
        <is>
          <t>USN</t>
        </is>
      </c>
      <c r="L40" s="7" t="inlineStr">
        <is>
          <t>Combatant Ships</t>
        </is>
      </c>
      <c r="M40" s="7" t="inlineStr">
        <is>
          <t>Amphibious Warfare Ships</t>
        </is>
      </c>
      <c r="N40" s="7" t="inlineStr">
        <is>
          <t>LHA</t>
        </is>
      </c>
      <c r="O40" s="15" t="n"/>
      <c r="P40" s="16" t="n">
        <v>1830149</v>
      </c>
      <c r="AC40" s="23">
        <f>IF(OR(E40="",E40="[PARENT]"),"ADD",IF(E40="[ALT_VIEW]","ALT",""))</f>
        <v/>
      </c>
      <c r="AD40" s="21">
        <f>IF(Y40&lt;&gt;"",Y40,IF(U40&lt;&gt;"",U40,S40))</f>
        <v/>
      </c>
      <c r="AE40" s="21">
        <f>IF(AB40&lt;&gt;"",AB40,Z40)</f>
        <v/>
      </c>
      <c r="AF40" s="13" t="inlineStr">
        <is>
          <t>P-1 Exhibit &gt; BA 03 &gt; Line 24 SFF</t>
        </is>
      </c>
      <c r="AG40" s="7" t="inlineStr">
        <is>
          <t>18</t>
        </is>
      </c>
      <c r="AH40" s="7" t="inlineStr">
        <is>
          <t>3041</t>
        </is>
      </c>
    </row>
    <row r="41" ht="10" customHeight="1">
      <c r="A41" s="7" t="inlineStr">
        <is>
          <t>SCN</t>
        </is>
      </c>
      <c r="B41" s="7" t="inlineStr">
        <is>
          <t>Procurement</t>
        </is>
      </c>
      <c r="D41" s="7" t="inlineStr">
        <is>
          <t>LHA Replacement - Completion PY FY 2017</t>
        </is>
      </c>
      <c r="E41" s="13" t="inlineStr">
        <is>
          <t>[SUB]</t>
        </is>
      </c>
      <c r="F41" s="7" t="inlineStr">
        <is>
          <t>3041 / LHA Replacement</t>
        </is>
      </c>
      <c r="I41" s="14" t="n">
        <v>1</v>
      </c>
      <c r="J41" s="7" t="inlineStr">
        <is>
          <t>Full ship DD&amp;C</t>
        </is>
      </c>
      <c r="K41" s="13" t="inlineStr">
        <is>
          <t>USN</t>
        </is>
      </c>
      <c r="L41" s="7" t="inlineStr">
        <is>
          <t>Combatant Ships</t>
        </is>
      </c>
      <c r="M41" s="7" t="inlineStr">
        <is>
          <t>Amphibious Warfare Ships</t>
        </is>
      </c>
      <c r="N41" s="7" t="inlineStr">
        <is>
          <t>LHA</t>
        </is>
      </c>
      <c r="O41" s="15" t="n"/>
      <c r="Q41" s="16" t="n">
        <v>115397</v>
      </c>
      <c r="AC41" s="23">
        <f>IF(OR(E41="",E41="[PARENT]"),"ADD",IF(E41="[ALT_VIEW]","ALT",""))</f>
        <v/>
      </c>
      <c r="AD41" s="21">
        <f>IF(Y41&lt;&gt;"",Y41,IF(U41&lt;&gt;"",U41,S41))</f>
        <v/>
      </c>
      <c r="AE41" s="21">
        <f>IF(AB41&lt;&gt;"",AB41,Z41)</f>
        <v/>
      </c>
      <c r="AF41" s="13" t="inlineStr">
        <is>
          <t>P-1 Exhibit &gt; BA 03 &gt; Line 24 CTC</t>
        </is>
      </c>
      <c r="AG41" s="7" t="inlineStr">
        <is>
          <t>18</t>
        </is>
      </c>
      <c r="AH41" s="7" t="inlineStr">
        <is>
          <t>3041</t>
        </is>
      </c>
    </row>
    <row r="42" ht="10" customHeight="1">
      <c r="A42" s="7" t="inlineStr">
        <is>
          <t>SCN</t>
        </is>
      </c>
      <c r="B42" s="7" t="inlineStr">
        <is>
          <t>Procurement</t>
        </is>
      </c>
      <c r="C42" s="7" t="inlineStr">
        <is>
          <t>3041</t>
        </is>
      </c>
      <c r="D42" s="7" t="inlineStr">
        <is>
          <t>LHA Replacement Advance Procurement (CY)</t>
        </is>
      </c>
      <c r="E42" s="15" t="n"/>
      <c r="I42" s="14" t="n">
        <v>1</v>
      </c>
      <c r="J42" s="7" t="inlineStr">
        <is>
          <t>Advance procurement / LLTM</t>
        </is>
      </c>
      <c r="K42" s="13" t="inlineStr">
        <is>
          <t>USN</t>
        </is>
      </c>
      <c r="L42" s="7" t="inlineStr">
        <is>
          <t>Combatant Ships</t>
        </is>
      </c>
      <c r="M42" s="7" t="inlineStr">
        <is>
          <t>Amphibious Warfare Ships</t>
        </is>
      </c>
      <c r="N42" s="7" t="inlineStr">
        <is>
          <t>LHA</t>
        </is>
      </c>
      <c r="O42" s="15" t="n"/>
      <c r="Q42" s="16" t="n">
        <v>61118</v>
      </c>
      <c r="S42" s="16" t="n">
        <v>0</v>
      </c>
      <c r="T42" s="16" t="n">
        <v>0</v>
      </c>
      <c r="U42" s="16" t="n">
        <v>0</v>
      </c>
      <c r="AC42" s="23">
        <f>IF(OR(E42="",E42="[PARENT]"),"ADD",IF(E42="[ALT_VIEW]","ALT",""))</f>
        <v/>
      </c>
      <c r="AD42" s="21">
        <f>IF(Y42&lt;&gt;"",Y42,IF(U42&lt;&gt;"",U42,S42))</f>
        <v/>
      </c>
      <c r="AE42" s="21">
        <f>IF(AB42&lt;&gt;"",AB42,Z42)</f>
        <v/>
      </c>
      <c r="AF42" s="13" t="inlineStr">
        <is>
          <t>P-40 Exhibit &gt; LI 3041 AP &gt; LHA Replacement AP</t>
        </is>
      </c>
      <c r="AG42" s="7" t="inlineStr">
        <is>
          <t>351</t>
        </is>
      </c>
      <c r="AH42" s="7" t="inlineStr">
        <is>
          <t>3041</t>
        </is>
      </c>
      <c r="AJ42" s="7" t="inlineStr">
        <is>
          <t>Basic Construction</t>
        </is>
      </c>
    </row>
    <row r="43" ht="10" customHeight="1">
      <c r="A43" s="7" t="inlineStr">
        <is>
          <t>SCN</t>
        </is>
      </c>
      <c r="B43" s="7" t="inlineStr">
        <is>
          <t>Procurement</t>
        </is>
      </c>
      <c r="C43" s="7" t="inlineStr">
        <is>
          <t>3050</t>
        </is>
      </c>
      <c r="D43" s="7" t="inlineStr">
        <is>
          <t>Medium Landing Ship</t>
        </is>
      </c>
      <c r="E43" s="15" t="n"/>
      <c r="I43" s="14" t="n">
        <v>1</v>
      </c>
      <c r="J43" s="7" t="inlineStr">
        <is>
          <t>Full ship DD&amp;C</t>
        </is>
      </c>
      <c r="K43" s="13" t="inlineStr">
        <is>
          <t>USN</t>
        </is>
      </c>
      <c r="L43" s="7" t="inlineStr">
        <is>
          <t>Combatant Ships</t>
        </is>
      </c>
      <c r="M43" s="7" t="inlineStr">
        <is>
          <t>Expeditionary &amp; Seabasing Ships</t>
        </is>
      </c>
      <c r="N43" s="7" t="inlineStr">
        <is>
          <t>LSM</t>
        </is>
      </c>
      <c r="O43" s="15" t="n"/>
      <c r="Q43" s="16" t="n">
        <v>29668</v>
      </c>
      <c r="S43" s="16" t="n">
        <v>0</v>
      </c>
      <c r="T43" s="16" t="n">
        <v>1963941</v>
      </c>
      <c r="U43" s="16" t="n">
        <v>1963941</v>
      </c>
      <c r="W43" s="16" t="n">
        <v>1963941</v>
      </c>
      <c r="X43" s="16" t="n">
        <v>800000</v>
      </c>
      <c r="Y43" s="16" t="n">
        <v>2763941</v>
      </c>
      <c r="AA43" s="16" t="n">
        <v>1887500</v>
      </c>
      <c r="AB43" s="16" t="n">
        <v>1887500</v>
      </c>
      <c r="AC43" s="23">
        <f>IF(OR(E43="",E43="[PARENT]"),"ADD",IF(E43="[ALT_VIEW]","ALT",""))</f>
        <v/>
      </c>
      <c r="AD43" s="21">
        <f>IF(Y43&lt;&gt;"",Y43,IF(U43&lt;&gt;"",U43,S43))</f>
        <v/>
      </c>
      <c r="AE43" s="21">
        <f>IF(AB43&lt;&gt;"",AB43,Z43)</f>
        <v/>
      </c>
      <c r="AF43" s="13" t="inlineStr">
        <is>
          <t>P-40 Exhibit &gt; LI 3050 &gt; Medium Landing Ship</t>
        </is>
      </c>
      <c r="AG43" s="7" t="inlineStr">
        <is>
          <t>353</t>
        </is>
      </c>
      <c r="AH43" s="7" t="inlineStr">
        <is>
          <t>3050</t>
        </is>
      </c>
    </row>
    <row r="44" ht="10" customHeight="1">
      <c r="A44" s="7" t="inlineStr">
        <is>
          <t>SCN</t>
        </is>
      </c>
      <c r="B44" s="7" t="inlineStr">
        <is>
          <t>Procurement</t>
        </is>
      </c>
      <c r="C44" s="7" t="inlineStr">
        <is>
          <t>3039</t>
        </is>
      </c>
      <c r="D44" s="7" t="inlineStr">
        <is>
          <t>Expeditionary Sea Base (ESB)</t>
        </is>
      </c>
      <c r="E44" s="13" t="inlineStr">
        <is>
          <t>[REFERENCE]</t>
        </is>
      </c>
      <c r="F44" s="7" t="inlineStr">
        <is>
          <t>CTC captured in 5300 / Completion of PY Shipbuilding Programs (ESB sub-item)</t>
        </is>
      </c>
      <c r="I44" s="14" t="n">
        <v>1</v>
      </c>
      <c r="J44" s="7" t="inlineStr">
        <is>
          <t>Full ship DD&amp;C</t>
        </is>
      </c>
      <c r="K44" s="13" t="inlineStr">
        <is>
          <t>MSC</t>
        </is>
      </c>
      <c r="L44" s="7" t="inlineStr">
        <is>
          <t>Combatant Ships</t>
        </is>
      </c>
      <c r="M44" s="7" t="inlineStr">
        <is>
          <t>Expeditionary &amp; Seabasing Ships</t>
        </is>
      </c>
      <c r="N44" s="7" t="inlineStr">
        <is>
          <t>T-ESB</t>
        </is>
      </c>
      <c r="O44" s="15" t="n"/>
      <c r="P44" s="16" t="n">
        <v>0</v>
      </c>
      <c r="Q44" s="16" t="n">
        <v>0</v>
      </c>
      <c r="S44" s="16" t="n">
        <v>0</v>
      </c>
      <c r="T44" s="16" t="n">
        <v>0</v>
      </c>
      <c r="U44" s="16" t="n">
        <v>0</v>
      </c>
      <c r="AC44" s="23">
        <f>IF(OR(E44="",E44="[PARENT]"),"ADD",IF(E44="[ALT_VIEW]","ALT",""))</f>
        <v/>
      </c>
      <c r="AD44" s="21">
        <f>IF(Y44&lt;&gt;"",Y44,IF(U44&lt;&gt;"",U44,S44))</f>
        <v/>
      </c>
      <c r="AE44" s="21">
        <f>IF(AB44&lt;&gt;"",AB44,Z44)</f>
        <v/>
      </c>
      <c r="AF44" s="13" t="inlineStr">
        <is>
          <t>P-40 Exhibit &gt; LI 3039 &gt; Expeditionary Sea Base</t>
        </is>
      </c>
      <c r="AG44" s="7" t="inlineStr">
        <is>
          <t>357</t>
        </is>
      </c>
    </row>
    <row r="45" ht="10" customHeight="1">
      <c r="A45" s="7" t="inlineStr">
        <is>
          <t>SCN</t>
        </is>
      </c>
      <c r="B45" s="7" t="inlineStr">
        <is>
          <t>Procurement</t>
        </is>
      </c>
      <c r="C45" s="7" t="inlineStr">
        <is>
          <t>3043</t>
        </is>
      </c>
      <c r="D45" s="7" t="inlineStr">
        <is>
          <t>Expeditionary Fast Transport (EPF)</t>
        </is>
      </c>
      <c r="E45" s="13" t="inlineStr">
        <is>
          <t>[REFERENCE]</t>
        </is>
      </c>
      <c r="F45" s="7" t="inlineStr">
        <is>
          <t>CTC captured in 5300 / Completion of PY Shipbuilding Programs (JHSV sub-item)</t>
        </is>
      </c>
      <c r="I45" s="14" t="n">
        <v>1</v>
      </c>
      <c r="J45" s="7" t="inlineStr">
        <is>
          <t>Full ship DD&amp;C</t>
        </is>
      </c>
      <c r="K45" s="13" t="inlineStr">
        <is>
          <t>MSC</t>
        </is>
      </c>
      <c r="L45" s="7" t="inlineStr">
        <is>
          <t>Combatant Ships</t>
        </is>
      </c>
      <c r="M45" s="7" t="inlineStr">
        <is>
          <t>Expeditionary &amp; Seabasing Ships</t>
        </is>
      </c>
      <c r="N45" s="7" t="inlineStr">
        <is>
          <t>T-EPF</t>
        </is>
      </c>
      <c r="O45" s="15" t="n"/>
      <c r="P45" s="16" t="n">
        <v>0</v>
      </c>
      <c r="Q45" s="16" t="n">
        <v>0</v>
      </c>
      <c r="S45" s="16" t="n">
        <v>0</v>
      </c>
      <c r="T45" s="16" t="n">
        <v>0</v>
      </c>
      <c r="U45" s="16" t="n">
        <v>0</v>
      </c>
      <c r="AC45" s="23">
        <f>IF(OR(E45="",E45="[PARENT]"),"ADD",IF(E45="[ALT_VIEW]","ALT",""))</f>
        <v/>
      </c>
      <c r="AD45" s="21">
        <f>IF(Y45&lt;&gt;"",Y45,IF(U45&lt;&gt;"",U45,S45))</f>
        <v/>
      </c>
      <c r="AE45" s="21">
        <f>IF(AB45&lt;&gt;"",AB45,Z45)</f>
        <v/>
      </c>
      <c r="AF45" s="13" t="inlineStr">
        <is>
          <t>P-40 Exhibit &gt; LI 3043 &gt; Expeditionary Fast Transport</t>
        </is>
      </c>
      <c r="AG45" s="7" t="inlineStr">
        <is>
          <t>361</t>
        </is>
      </c>
    </row>
    <row r="46" ht="10" customHeight="1">
      <c r="A46" s="7" t="inlineStr">
        <is>
          <t>SCN</t>
        </is>
      </c>
      <c r="B46" s="7" t="inlineStr">
        <is>
          <t>Procurement</t>
        </is>
      </c>
      <c r="C46" s="7" t="inlineStr">
        <is>
          <t>5025</t>
        </is>
      </c>
      <c r="D46" s="7" t="inlineStr">
        <is>
          <t>TAO Fleet Oiler</t>
        </is>
      </c>
      <c r="E46" s="13" t="inlineStr">
        <is>
          <t>[PARENT]</t>
        </is>
      </c>
      <c r="I46" s="14" t="n">
        <v>1</v>
      </c>
      <c r="J46" s="7" t="inlineStr">
        <is>
          <t>Full ship DD&amp;C</t>
        </is>
      </c>
      <c r="K46" s="13" t="inlineStr">
        <is>
          <t>MSC</t>
        </is>
      </c>
      <c r="L46" s="7" t="inlineStr">
        <is>
          <t>Combatant Ships</t>
        </is>
      </c>
      <c r="M46" s="7" t="inlineStr">
        <is>
          <t>Combat Logistics Ships</t>
        </is>
      </c>
      <c r="N46" s="7" t="inlineStr">
        <is>
          <t>T-AO</t>
        </is>
      </c>
      <c r="O46" s="15" t="n"/>
      <c r="P46" s="16" t="n">
        <v>938315</v>
      </c>
      <c r="Q46" s="16" t="n">
        <v>227154</v>
      </c>
      <c r="S46" s="16" t="n">
        <v>8346</v>
      </c>
      <c r="T46" s="16" t="n">
        <v>1853359</v>
      </c>
      <c r="U46" s="16" t="n">
        <v>1861705</v>
      </c>
      <c r="W46" s="16" t="n">
        <v>1853359</v>
      </c>
      <c r="X46" s="16" t="n">
        <v>8346</v>
      </c>
      <c r="Y46" s="16" t="n">
        <v>1861705</v>
      </c>
      <c r="Z46" s="16" t="n">
        <v>1946063</v>
      </c>
      <c r="AA46" s="16" t="n">
        <v>282820</v>
      </c>
      <c r="AB46" s="16" t="n">
        <v>2228883</v>
      </c>
      <c r="AC46" s="23">
        <f>IF(OR(E46="",E46="[PARENT]"),"ADD",IF(E46="[ALT_VIEW]","ALT",""))</f>
        <v/>
      </c>
      <c r="AD46" s="21">
        <f>IF(Y46&lt;&gt;"",Y46,IF(U46&lt;&gt;"",U46,S46))</f>
        <v/>
      </c>
      <c r="AE46" s="21">
        <f>IF(AB46&lt;&gt;"",AB46,Z46)</f>
        <v/>
      </c>
      <c r="AF46" s="13" t="inlineStr">
        <is>
          <t>P-40 Exhibit &gt; LI 5025 &gt; TAO Fleet Oiler</t>
        </is>
      </c>
      <c r="AG46" s="7" t="inlineStr">
        <is>
          <t>365</t>
        </is>
      </c>
      <c r="AH46" s="7" t="inlineStr">
        <is>
          <t>5025</t>
        </is>
      </c>
    </row>
    <row r="47" ht="10" customHeight="1">
      <c r="A47" s="7" t="inlineStr">
        <is>
          <t>SCN</t>
        </is>
      </c>
      <c r="B47" s="7" t="inlineStr">
        <is>
          <t>Procurement</t>
        </is>
      </c>
      <c r="D47" s="7" t="inlineStr">
        <is>
          <t>TAO Fleet Oiler - Net Procurement</t>
        </is>
      </c>
      <c r="E47" s="13" t="inlineStr">
        <is>
          <t>[SUB]</t>
        </is>
      </c>
      <c r="F47" s="7" t="inlineStr">
        <is>
          <t>5025 / TAO Fleet Oiler</t>
        </is>
      </c>
      <c r="I47" s="14" t="n">
        <v>1</v>
      </c>
      <c r="J47" s="7" t="inlineStr">
        <is>
          <t>Full ship DD&amp;C</t>
        </is>
      </c>
      <c r="K47" s="13" t="inlineStr">
        <is>
          <t>MSC</t>
        </is>
      </c>
      <c r="L47" s="7" t="inlineStr">
        <is>
          <t>Combatant Ships</t>
        </is>
      </c>
      <c r="M47" s="7" t="inlineStr">
        <is>
          <t>Combat Logistics Ships</t>
        </is>
      </c>
      <c r="N47" s="7" t="inlineStr">
        <is>
          <t>T-AO</t>
        </is>
      </c>
      <c r="O47" s="15" t="n"/>
      <c r="P47" s="16" t="n">
        <v>815420</v>
      </c>
      <c r="Q47" s="16" t="n">
        <v>0</v>
      </c>
      <c r="S47" s="16" t="n">
        <v>8346</v>
      </c>
      <c r="T47" s="16" t="n">
        <v>1853359</v>
      </c>
      <c r="U47" s="16" t="n">
        <v>1861705</v>
      </c>
      <c r="AC47" s="23">
        <f>IF(OR(E47="",E47="[PARENT]"),"ADD",IF(E47="[ALT_VIEW]","ALT",""))</f>
        <v/>
      </c>
      <c r="AD47" s="21">
        <f>IF(Y47&lt;&gt;"",Y47,IF(U47&lt;&gt;"",U47,S47))</f>
        <v/>
      </c>
      <c r="AE47" s="21">
        <f>IF(AB47&lt;&gt;"",AB47,Z47)</f>
        <v/>
      </c>
      <c r="AF47" s="13" t="inlineStr">
        <is>
          <t>P-1 Exhibit &gt; BA 05 &gt; Line 31 Net</t>
        </is>
      </c>
      <c r="AG47" s="7" t="inlineStr">
        <is>
          <t>19</t>
        </is>
      </c>
      <c r="AH47" s="7" t="inlineStr">
        <is>
          <t>5025</t>
        </is>
      </c>
    </row>
    <row r="48" ht="10" customHeight="1">
      <c r="A48" s="7" t="inlineStr">
        <is>
          <t>SCN</t>
        </is>
      </c>
      <c r="B48" s="7" t="inlineStr">
        <is>
          <t>Procurement</t>
        </is>
      </c>
      <c r="D48" s="7" t="inlineStr">
        <is>
          <t>TAO Fleet Oiler - Completion PY (FY19-23)</t>
        </is>
      </c>
      <c r="E48" s="13" t="inlineStr">
        <is>
          <t>[SUB]</t>
        </is>
      </c>
      <c r="F48" s="7" t="inlineStr">
        <is>
          <t>5025 / TAO Fleet Oiler</t>
        </is>
      </c>
      <c r="I48" s="14" t="n">
        <v>1</v>
      </c>
      <c r="J48" s="7" t="inlineStr">
        <is>
          <t>Full ship DD&amp;C</t>
        </is>
      </c>
      <c r="K48" s="13" t="inlineStr">
        <is>
          <t>MSC</t>
        </is>
      </c>
      <c r="L48" s="7" t="inlineStr">
        <is>
          <t>Combatant Ships</t>
        </is>
      </c>
      <c r="M48" s="7" t="inlineStr">
        <is>
          <t>Combat Logistics Ships</t>
        </is>
      </c>
      <c r="N48" s="7" t="inlineStr">
        <is>
          <t>T-AO</t>
        </is>
      </c>
      <c r="O48" s="15" t="n"/>
      <c r="P48" s="16" t="n">
        <v>122895</v>
      </c>
      <c r="Q48" s="16" t="n">
        <v>227154</v>
      </c>
      <c r="AC48" s="23">
        <f>IF(OR(E48="",E48="[PARENT]"),"ADD",IF(E48="[ALT_VIEW]","ALT",""))</f>
        <v/>
      </c>
      <c r="AD48" s="21">
        <f>IF(Y48&lt;&gt;"",Y48,IF(U48&lt;&gt;"",U48,S48))</f>
        <v/>
      </c>
      <c r="AE48" s="21">
        <f>IF(AB48&lt;&gt;"",AB48,Z48)</f>
        <v/>
      </c>
      <c r="AF48" s="13" t="inlineStr">
        <is>
          <t>P-1 Exhibit &gt; BA 05 &gt; Line 31 CTC</t>
        </is>
      </c>
      <c r="AG48" s="7" t="inlineStr">
        <is>
          <t>19</t>
        </is>
      </c>
      <c r="AH48" s="7" t="inlineStr">
        <is>
          <t>5025</t>
        </is>
      </c>
    </row>
    <row r="49" ht="10" customHeight="1">
      <c r="A49" s="7" t="inlineStr">
        <is>
          <t>SCN</t>
        </is>
      </c>
      <c r="B49" s="7" t="inlineStr">
        <is>
          <t>Procurement</t>
        </is>
      </c>
      <c r="C49" s="7" t="inlineStr">
        <is>
          <t>5030</t>
        </is>
      </c>
      <c r="D49" s="7" t="inlineStr">
        <is>
          <t>TAGOS Surtass Ships</t>
        </is>
      </c>
      <c r="E49" s="13" t="inlineStr">
        <is>
          <t>[PARENT]</t>
        </is>
      </c>
      <c r="I49" s="14" t="n">
        <v>1</v>
      </c>
      <c r="J49" s="7" t="inlineStr">
        <is>
          <t>Full ship DD&amp;C</t>
        </is>
      </c>
      <c r="K49" s="13" t="inlineStr">
        <is>
          <t>MSC</t>
        </is>
      </c>
      <c r="L49" s="7" t="inlineStr">
        <is>
          <t>Combatant Ships</t>
        </is>
      </c>
      <c r="M49" s="7" t="inlineStr">
        <is>
          <t>Surveillance Ships</t>
        </is>
      </c>
      <c r="N49" s="7" t="inlineStr">
        <is>
          <t>T-AGOS</t>
        </is>
      </c>
      <c r="O49" s="15" t="n"/>
      <c r="P49" s="16" t="n">
        <v>513466</v>
      </c>
      <c r="Q49" s="16" t="n">
        <v>0</v>
      </c>
      <c r="S49" s="16" t="n">
        <v>612205</v>
      </c>
      <c r="T49" s="16" t="n">
        <v>0</v>
      </c>
      <c r="U49" s="16" t="n">
        <v>612205</v>
      </c>
      <c r="X49" s="16" t="n">
        <v>612205</v>
      </c>
      <c r="Y49" s="16" t="n">
        <v>612205</v>
      </c>
      <c r="Z49" s="16" t="n">
        <v>610664</v>
      </c>
      <c r="AA49" s="16" t="n">
        <v>100000</v>
      </c>
      <c r="AB49" s="16" t="n">
        <v>710664</v>
      </c>
      <c r="AC49" s="23">
        <f>IF(OR(E49="",E49="[PARENT]"),"ADD",IF(E49="[ALT_VIEW]","ALT",""))</f>
        <v/>
      </c>
      <c r="AD49" s="21">
        <f>IF(Y49&lt;&gt;"",Y49,IF(U49&lt;&gt;"",U49,S49))</f>
        <v/>
      </c>
      <c r="AE49" s="21">
        <f>IF(AB49&lt;&gt;"",AB49,Z49)</f>
        <v/>
      </c>
      <c r="AF49" s="13" t="inlineStr">
        <is>
          <t>P-40 Exhibit &gt; LI 5030 &gt; TAGOS Surtass Ships</t>
        </is>
      </c>
      <c r="AG49" s="7" t="inlineStr">
        <is>
          <t>373</t>
        </is>
      </c>
      <c r="AH49" s="7" t="inlineStr">
        <is>
          <t>5030</t>
        </is>
      </c>
    </row>
    <row r="50" ht="10" customHeight="1">
      <c r="A50" s="7" t="inlineStr">
        <is>
          <t>SCN</t>
        </is>
      </c>
      <c r="B50" s="7" t="inlineStr">
        <is>
          <t>Procurement</t>
        </is>
      </c>
      <c r="D50" s="7" t="inlineStr">
        <is>
          <t>TAGOS - SFF for FY 2022</t>
        </is>
      </c>
      <c r="E50" s="13" t="inlineStr">
        <is>
          <t>[SUB]</t>
        </is>
      </c>
      <c r="F50" s="7" t="inlineStr">
        <is>
          <t>5030 / TAGOS Surtass Ships</t>
        </is>
      </c>
      <c r="I50" s="14" t="n">
        <v>1</v>
      </c>
      <c r="J50" s="7" t="inlineStr">
        <is>
          <t>Full ship DD&amp;C</t>
        </is>
      </c>
      <c r="K50" s="13" t="inlineStr">
        <is>
          <t>MSC</t>
        </is>
      </c>
      <c r="L50" s="7" t="inlineStr">
        <is>
          <t>Combatant Ships</t>
        </is>
      </c>
      <c r="M50" s="7" t="inlineStr">
        <is>
          <t>Surveillance Ships</t>
        </is>
      </c>
      <c r="N50" s="7" t="inlineStr">
        <is>
          <t>T-AGOS</t>
        </is>
      </c>
      <c r="O50" s="15" t="n"/>
      <c r="P50" s="16" t="n">
        <v>513466</v>
      </c>
      <c r="AC50" s="23">
        <f>IF(OR(E50="",E50="[PARENT]"),"ADD",IF(E50="[ALT_VIEW]","ALT",""))</f>
        <v/>
      </c>
      <c r="AD50" s="21">
        <f>IF(Y50&lt;&gt;"",Y50,IF(U50&lt;&gt;"",U50,S50))</f>
        <v/>
      </c>
      <c r="AE50" s="21">
        <f>IF(AB50&lt;&gt;"",AB50,Z50)</f>
        <v/>
      </c>
      <c r="AF50" s="13" t="inlineStr">
        <is>
          <t>P-1 Exhibit &gt; BA 05 &gt; Line 34 SFF</t>
        </is>
      </c>
      <c r="AG50" s="7" t="inlineStr">
        <is>
          <t>19</t>
        </is>
      </c>
      <c r="AH50" s="7" t="inlineStr">
        <is>
          <t>5030</t>
        </is>
      </c>
    </row>
    <row r="51" ht="10" customHeight="1">
      <c r="A51" s="7" t="inlineStr">
        <is>
          <t>SCN</t>
        </is>
      </c>
      <c r="B51" s="7" t="inlineStr">
        <is>
          <t>Procurement</t>
        </is>
      </c>
      <c r="D51" s="7" t="inlineStr">
        <is>
          <t>TAGOS - Net Procurement FY 2026</t>
        </is>
      </c>
      <c r="E51" s="13" t="inlineStr">
        <is>
          <t>[SUB]</t>
        </is>
      </c>
      <c r="F51" s="7" t="inlineStr">
        <is>
          <t>5030 / TAGOS Surtass Ships</t>
        </is>
      </c>
      <c r="I51" s="14" t="n">
        <v>1</v>
      </c>
      <c r="J51" s="7" t="inlineStr">
        <is>
          <t>Full ship DD&amp;C</t>
        </is>
      </c>
      <c r="K51" s="13" t="inlineStr">
        <is>
          <t>MSC</t>
        </is>
      </c>
      <c r="L51" s="7" t="inlineStr">
        <is>
          <t>Combatant Ships</t>
        </is>
      </c>
      <c r="M51" s="7" t="inlineStr">
        <is>
          <t>Surveillance Ships</t>
        </is>
      </c>
      <c r="N51" s="7" t="inlineStr">
        <is>
          <t>T-AGOS</t>
        </is>
      </c>
      <c r="O51" s="15" t="n"/>
      <c r="S51" s="16" t="n">
        <v>612205</v>
      </c>
      <c r="U51" s="16" t="n">
        <v>612205</v>
      </c>
      <c r="AC51" s="23">
        <f>IF(OR(E51="",E51="[PARENT]"),"ADD",IF(E51="[ALT_VIEW]","ALT",""))</f>
        <v/>
      </c>
      <c r="AD51" s="21">
        <f>IF(Y51&lt;&gt;"",Y51,IF(U51&lt;&gt;"",U51,S51))</f>
        <v/>
      </c>
      <c r="AE51" s="21">
        <f>IF(AB51&lt;&gt;"",AB51,Z51)</f>
        <v/>
      </c>
      <c r="AF51" s="13" t="inlineStr">
        <is>
          <t>P-1 Exhibit &gt; BA 05 &gt; Line 34 Net</t>
        </is>
      </c>
      <c r="AG51" s="7" t="inlineStr">
        <is>
          <t>20</t>
        </is>
      </c>
      <c r="AH51" s="7" t="inlineStr">
        <is>
          <t>5030</t>
        </is>
      </c>
    </row>
    <row r="52" ht="10" customHeight="1">
      <c r="A52" s="7" t="inlineStr">
        <is>
          <t>SCN</t>
        </is>
      </c>
      <c r="B52" s="7" t="inlineStr">
        <is>
          <t>Procurement</t>
        </is>
      </c>
      <c r="C52" s="7" t="inlineStr">
        <is>
          <t>5035</t>
        </is>
      </c>
      <c r="D52" s="7" t="inlineStr">
        <is>
          <t>Towing Salvage and Rescue Ship (ATS)</t>
        </is>
      </c>
      <c r="E52" s="15" t="n"/>
      <c r="I52" s="14" t="n">
        <v>1</v>
      </c>
      <c r="J52" s="7" t="inlineStr">
        <is>
          <t>Full ship DD&amp;C</t>
        </is>
      </c>
      <c r="K52" s="13" t="inlineStr">
        <is>
          <t>MSC</t>
        </is>
      </c>
      <c r="L52" s="7" t="inlineStr">
        <is>
          <t>Combatant Ships</t>
        </is>
      </c>
      <c r="M52" s="7" t="inlineStr">
        <is>
          <t>Salvage Ships &amp; Fleet Ocean Tugs</t>
        </is>
      </c>
      <c r="N52" s="7" t="inlineStr">
        <is>
          <t>T-ATS</t>
        </is>
      </c>
      <c r="O52" s="15" t="n"/>
      <c r="P52" s="16" t="n">
        <v>22959</v>
      </c>
      <c r="Q52" s="16" t="n">
        <v>82587</v>
      </c>
      <c r="S52" s="16" t="n">
        <v>0</v>
      </c>
      <c r="T52" s="16" t="n">
        <v>0</v>
      </c>
      <c r="U52" s="16" t="n">
        <v>0</v>
      </c>
      <c r="X52" s="16" t="n">
        <v>141500</v>
      </c>
      <c r="Y52" s="16" t="n">
        <v>141500</v>
      </c>
      <c r="AC52" s="23">
        <f>IF(OR(E52="",E52="[PARENT]"),"ADD",IF(E52="[ALT_VIEW]","ALT",""))</f>
        <v/>
      </c>
      <c r="AD52" s="21">
        <f>IF(Y52&lt;&gt;"",Y52,IF(U52&lt;&gt;"",U52,S52))</f>
        <v/>
      </c>
      <c r="AE52" s="21">
        <f>IF(AB52&lt;&gt;"",AB52,Z52)</f>
        <v/>
      </c>
      <c r="AF52" s="13" t="inlineStr">
        <is>
          <t>P-40 Exhibit &gt; LI 5035 &gt; Towing Salvage and Rescue Ship</t>
        </is>
      </c>
      <c r="AG52" s="7" t="inlineStr">
        <is>
          <t>381</t>
        </is>
      </c>
      <c r="AH52" s="7" t="inlineStr">
        <is>
          <t>5035</t>
        </is>
      </c>
    </row>
    <row r="53" ht="10" customHeight="1">
      <c r="A53" s="7" t="inlineStr">
        <is>
          <t>SCN</t>
        </is>
      </c>
      <c r="B53" s="7" t="inlineStr">
        <is>
          <t>Procurement</t>
        </is>
      </c>
      <c r="C53" s="7" t="inlineStr">
        <is>
          <t>5087</t>
        </is>
      </c>
      <c r="D53" s="7" t="inlineStr">
        <is>
          <t>Oceanographic Ships</t>
        </is>
      </c>
      <c r="E53" s="15" t="n"/>
      <c r="I53" s="14" t="n">
        <v>1</v>
      </c>
      <c r="J53" s="7" t="inlineStr">
        <is>
          <t>Full ship DD&amp;C</t>
        </is>
      </c>
      <c r="K53" s="13" t="inlineStr">
        <is>
          <t>MSC</t>
        </is>
      </c>
      <c r="L53" s="7" t="inlineStr">
        <is>
          <t>Auxiliary Ships</t>
        </is>
      </c>
      <c r="M53" s="7" t="inlineStr">
        <is>
          <t>Research, Survey &amp; Instrumentation Ships</t>
        </is>
      </c>
      <c r="N53" s="7" t="inlineStr">
        <is>
          <t>T-AGS</t>
        </is>
      </c>
      <c r="O53" s="15" t="n"/>
      <c r="P53" s="16" t="n">
        <v>0</v>
      </c>
      <c r="Q53" s="16" t="n">
        <v>18000</v>
      </c>
      <c r="S53" s="16" t="n">
        <v>0</v>
      </c>
      <c r="T53" s="16" t="n">
        <v>0</v>
      </c>
      <c r="U53" s="16" t="n">
        <v>0</v>
      </c>
      <c r="AC53" s="23">
        <f>IF(OR(E53="",E53="[PARENT]"),"ADD",IF(E53="[ALT_VIEW]","ALT",""))</f>
        <v/>
      </c>
      <c r="AD53" s="21">
        <f>IF(Y53&lt;&gt;"",Y53,IF(U53&lt;&gt;"",U53,S53))</f>
        <v/>
      </c>
      <c r="AE53" s="21">
        <f>IF(AB53&lt;&gt;"",AB53,Z53)</f>
        <v/>
      </c>
      <c r="AF53" s="13" t="inlineStr">
        <is>
          <t>P-40 Exhibit &gt; LI 5087 &gt; Oceanographic Ships</t>
        </is>
      </c>
      <c r="AG53" s="7" t="inlineStr">
        <is>
          <t>385</t>
        </is>
      </c>
      <c r="AH53" s="7" t="inlineStr">
        <is>
          <t>5087</t>
        </is>
      </c>
    </row>
    <row r="54" ht="10" customHeight="1">
      <c r="A54" s="7" t="inlineStr">
        <is>
          <t>SCN</t>
        </is>
      </c>
      <c r="B54" s="7" t="inlineStr">
        <is>
          <t>Procurement</t>
        </is>
      </c>
      <c r="C54" s="7" t="inlineStr">
        <is>
          <t>5100</t>
        </is>
      </c>
      <c r="D54" s="7" t="inlineStr">
        <is>
          <t>LCU 1700</t>
        </is>
      </c>
      <c r="E54" s="15" t="n"/>
      <c r="I54" s="14" t="n">
        <v>1</v>
      </c>
      <c r="J54" s="7" t="inlineStr">
        <is>
          <t>Full ship DD&amp;C</t>
        </is>
      </c>
      <c r="K54" s="13" t="inlineStr">
        <is>
          <t>USN</t>
        </is>
      </c>
      <c r="L54" s="7" t="inlineStr">
        <is>
          <t>Combatant Crafts</t>
        </is>
      </c>
      <c r="M54" s="7" t="inlineStr">
        <is>
          <t>Amphibious Warfare Craft</t>
        </is>
      </c>
      <c r="N54" s="7" t="inlineStr">
        <is>
          <t>LCU</t>
        </is>
      </c>
      <c r="O54" s="15" t="n"/>
      <c r="P54" s="16" t="n">
        <v>62532</v>
      </c>
      <c r="Q54" s="16" t="n">
        <v>0</v>
      </c>
      <c r="S54" s="16" t="n">
        <v>0</v>
      </c>
      <c r="T54" s="16" t="n">
        <v>295000</v>
      </c>
      <c r="U54" s="16" t="n">
        <v>295000</v>
      </c>
      <c r="W54" s="16" t="n">
        <v>295000</v>
      </c>
      <c r="X54" s="16" t="n">
        <v>0</v>
      </c>
      <c r="Y54" s="16" t="n">
        <v>295000</v>
      </c>
      <c r="AC54" s="23">
        <f>IF(OR(E54="",E54="[PARENT]"),"ADD",IF(E54="[ALT_VIEW]","ALT",""))</f>
        <v/>
      </c>
      <c r="AD54" s="21">
        <f>IF(Y54&lt;&gt;"",Y54,IF(U54&lt;&gt;"",U54,S54))</f>
        <v/>
      </c>
      <c r="AE54" s="21">
        <f>IF(AB54&lt;&gt;"",AB54,Z54)</f>
        <v/>
      </c>
      <c r="AF54" s="13" t="inlineStr">
        <is>
          <t>P-40 Exhibit &gt; LI 5100 &gt; LCU 1700</t>
        </is>
      </c>
      <c r="AG54" s="7" t="inlineStr">
        <is>
          <t>389</t>
        </is>
      </c>
      <c r="AH54" s="7" t="inlineStr">
        <is>
          <t>5100</t>
        </is>
      </c>
    </row>
    <row r="55" ht="10" customHeight="1">
      <c r="A55" s="7" t="inlineStr">
        <is>
          <t>SCN</t>
        </is>
      </c>
      <c r="B55" s="7" t="inlineStr">
        <is>
          <t>Procurement</t>
        </is>
      </c>
      <c r="D55" s="7" t="inlineStr">
        <is>
          <t>Strategic Sealift</t>
        </is>
      </c>
      <c r="E55" s="15" t="n"/>
      <c r="I55" s="14" t="n">
        <v>1</v>
      </c>
      <c r="J55" s="7" t="inlineStr">
        <is>
          <t>Full ship DD&amp;C</t>
        </is>
      </c>
      <c r="K55" s="13" t="inlineStr">
        <is>
          <t>MSC</t>
        </is>
      </c>
      <c r="L55" s="7" t="inlineStr">
        <is>
          <t>Auxiliary Ships</t>
        </is>
      </c>
      <c r="M55" s="7" t="inlineStr">
        <is>
          <t>Cargo &amp; Vehicle Cargo Ships</t>
        </is>
      </c>
      <c r="N55" s="7" t="inlineStr">
        <is>
          <t>T-AKR</t>
        </is>
      </c>
      <c r="O55" s="15" t="n"/>
      <c r="T55" s="16" t="n">
        <v>600000</v>
      </c>
      <c r="U55" s="16" t="n">
        <v>600000</v>
      </c>
      <c r="Z55" s="16" t="n">
        <v>450000</v>
      </c>
      <c r="AB55" s="16" t="n">
        <v>450000</v>
      </c>
      <c r="AC55" s="23">
        <f>IF(OR(E55="",E55="[PARENT]"),"ADD",IF(E55="[ALT_VIEW]","ALT",""))</f>
        <v/>
      </c>
      <c r="AD55" s="21">
        <f>IF(Y55&lt;&gt;"",Y55,IF(U55&lt;&gt;"",U55,S55))</f>
        <v/>
      </c>
      <c r="AE55" s="21">
        <f>IF(AB55&lt;&gt;"",AB55,Z55)</f>
        <v/>
      </c>
      <c r="AF55" s="13" t="inlineStr">
        <is>
          <t>P-1 Exhibit &gt; BA 05 &gt; Line 40</t>
        </is>
      </c>
      <c r="AG55" s="7" t="inlineStr">
        <is>
          <t>19</t>
        </is>
      </c>
    </row>
    <row r="56" ht="10" customHeight="1">
      <c r="A56" s="7" t="inlineStr">
        <is>
          <t>SCN</t>
        </is>
      </c>
      <c r="B56" s="7" t="inlineStr">
        <is>
          <t>Procurement</t>
        </is>
      </c>
      <c r="C56" s="7" t="inlineStr">
        <is>
          <t>5110</t>
        </is>
      </c>
      <c r="D56" s="7" t="inlineStr">
        <is>
          <t>Outfitting</t>
        </is>
      </c>
      <c r="E56" s="13" t="inlineStr">
        <is>
          <t>[PARENT]</t>
        </is>
      </c>
      <c r="I56" s="14" t="n">
        <v>1</v>
      </c>
      <c r="J56" s="7" t="inlineStr">
        <is>
          <t>GFE / combat systems for newbuild</t>
        </is>
      </c>
      <c r="K56" s="15" t="n"/>
      <c r="O56" s="15" t="n"/>
      <c r="P56" s="16" t="n">
        <v>512019</v>
      </c>
      <c r="Q56" s="16" t="n">
        <v>585967</v>
      </c>
      <c r="S56" s="16" t="n">
        <v>863846</v>
      </c>
      <c r="T56" s="16" t="n">
        <v>23449</v>
      </c>
      <c r="U56" s="16" t="n">
        <v>887295</v>
      </c>
      <c r="W56" s="16" t="n">
        <v>0</v>
      </c>
      <c r="X56" s="16" t="n">
        <v>886846</v>
      </c>
      <c r="Y56" s="16" t="n">
        <v>886846</v>
      </c>
      <c r="Z56" s="16" t="n">
        <v>741270</v>
      </c>
      <c r="AB56" s="16" t="n">
        <v>741270</v>
      </c>
      <c r="AC56" s="23">
        <f>IF(OR(E56="",E56="[PARENT]"),"ADD",IF(E56="[ALT_VIEW]","ALT",""))</f>
        <v/>
      </c>
      <c r="AD56" s="21">
        <f>IF(Y56&lt;&gt;"",Y56,IF(U56&lt;&gt;"",U56,S56))</f>
        <v/>
      </c>
      <c r="AE56" s="21">
        <f>IF(AB56&lt;&gt;"",AB56,Z56)</f>
        <v/>
      </c>
      <c r="AF56" s="13" t="inlineStr">
        <is>
          <t>P-40 Exhibit &gt; LI 5110 &gt; Outfitting</t>
        </is>
      </c>
      <c r="AG56" s="7" t="inlineStr">
        <is>
          <t>395</t>
        </is>
      </c>
      <c r="AH56" s="7" t="inlineStr">
        <is>
          <t>5110</t>
        </is>
      </c>
    </row>
    <row r="57" ht="10" customHeight="1">
      <c r="A57" s="7" t="inlineStr">
        <is>
          <t>SCN</t>
        </is>
      </c>
      <c r="B57" s="7" t="inlineStr">
        <is>
          <t>Procurement</t>
        </is>
      </c>
      <c r="C57" s="7" t="inlineStr">
        <is>
          <t>5110</t>
        </is>
      </c>
      <c r="D57" s="7" t="inlineStr">
        <is>
          <t>Outfitting - COLUMBIA Class</t>
        </is>
      </c>
      <c r="E57" s="13" t="inlineStr">
        <is>
          <t>[SUB]</t>
        </is>
      </c>
      <c r="F57" s="7" t="inlineStr">
        <is>
          <t>5110 / Outfitting</t>
        </is>
      </c>
      <c r="I57" s="14" t="n">
        <v>1</v>
      </c>
      <c r="J57" s="7" t="inlineStr">
        <is>
          <t>GFE / combat systems for newbuild</t>
        </is>
      </c>
      <c r="K57" s="13" t="inlineStr">
        <is>
          <t>USN</t>
        </is>
      </c>
      <c r="L57" s="7" t="inlineStr">
        <is>
          <t>Combatant Ships</t>
        </is>
      </c>
      <c r="M57" s="7" t="inlineStr">
        <is>
          <t>Submarines</t>
        </is>
      </c>
      <c r="N57" s="7" t="inlineStr">
        <is>
          <t>SSBN</t>
        </is>
      </c>
      <c r="O57" s="15" t="n"/>
      <c r="S57" s="16" t="n">
        <v>46987</v>
      </c>
      <c r="AC57" s="23">
        <f>IF(OR(E57="",E57="[PARENT]"),"ADD",IF(E57="[ALT_VIEW]","ALT",""))</f>
        <v/>
      </c>
      <c r="AD57" s="21">
        <f>IF(Y57&lt;&gt;"",Y57,IF(U57&lt;&gt;"",U57,S57))</f>
        <v/>
      </c>
      <c r="AE57" s="21">
        <f>IF(AB57&lt;&gt;"",AB57,Z57)</f>
        <v/>
      </c>
      <c r="AF57" s="13" t="inlineStr">
        <is>
          <t>P-40 &gt; LI 5110 &gt; P-29/P-30 &gt; CO CLASS</t>
        </is>
      </c>
      <c r="AG57" s="7" t="inlineStr">
        <is>
          <t>395</t>
        </is>
      </c>
      <c r="AH57" s="7" t="inlineStr">
        <is>
          <t>5110</t>
        </is>
      </c>
    </row>
    <row r="58" ht="10" customHeight="1">
      <c r="A58" s="7" t="inlineStr">
        <is>
          <t>SCN</t>
        </is>
      </c>
      <c r="B58" s="7" t="inlineStr">
        <is>
          <t>Procurement</t>
        </is>
      </c>
      <c r="C58" s="7" t="inlineStr">
        <is>
          <t>5110</t>
        </is>
      </c>
      <c r="D58" s="7" t="inlineStr">
        <is>
          <t>Outfitting - CVN (79/80)</t>
        </is>
      </c>
      <c r="E58" s="13" t="inlineStr">
        <is>
          <t>[SUB]</t>
        </is>
      </c>
      <c r="F58" s="7" t="inlineStr">
        <is>
          <t>5110 / Outfitting</t>
        </is>
      </c>
      <c r="I58" s="14" t="n">
        <v>1</v>
      </c>
      <c r="J58" s="7" t="inlineStr">
        <is>
          <t>GFE / combat systems for newbuild</t>
        </is>
      </c>
      <c r="K58" s="13" t="inlineStr">
        <is>
          <t>USN</t>
        </is>
      </c>
      <c r="L58" s="7" t="inlineStr">
        <is>
          <t>Combatant Ships</t>
        </is>
      </c>
      <c r="M58" s="7" t="inlineStr">
        <is>
          <t>Aircraft Carriers</t>
        </is>
      </c>
      <c r="N58" s="7" t="inlineStr">
        <is>
          <t>CVN</t>
        </is>
      </c>
      <c r="O58" s="15" t="n"/>
      <c r="S58" s="16" t="n">
        <v>78780</v>
      </c>
      <c r="AC58" s="23">
        <f>IF(OR(E58="",E58="[PARENT]"),"ADD",IF(E58="[ALT_VIEW]","ALT",""))</f>
        <v/>
      </c>
      <c r="AD58" s="21">
        <f>IF(Y58&lt;&gt;"",Y58,IF(U58&lt;&gt;"",U58,S58))</f>
        <v/>
      </c>
      <c r="AE58" s="21">
        <f>IF(AB58&lt;&gt;"",AB58,Z58)</f>
        <v/>
      </c>
      <c r="AF58" s="13" t="inlineStr">
        <is>
          <t>P-40 &gt; LI 5110 &gt; P-29/P-30 &gt; CVN</t>
        </is>
      </c>
      <c r="AG58" s="7" t="inlineStr">
        <is>
          <t>395</t>
        </is>
      </c>
      <c r="AH58" s="7" t="inlineStr">
        <is>
          <t>5110</t>
        </is>
      </c>
    </row>
    <row r="59" ht="10" customHeight="1">
      <c r="A59" s="7" t="inlineStr">
        <is>
          <t>SCN</t>
        </is>
      </c>
      <c r="B59" s="7" t="inlineStr">
        <is>
          <t>Procurement</t>
        </is>
      </c>
      <c r="C59" s="7" t="inlineStr">
        <is>
          <t>5110</t>
        </is>
      </c>
      <c r="D59" s="7" t="inlineStr">
        <is>
          <t>Outfitting - Virginia Class</t>
        </is>
      </c>
      <c r="E59" s="13" t="inlineStr">
        <is>
          <t>[SUB]</t>
        </is>
      </c>
      <c r="F59" s="7" t="inlineStr">
        <is>
          <t>5110 / Outfitting</t>
        </is>
      </c>
      <c r="I59" s="14" t="n">
        <v>1</v>
      </c>
      <c r="J59" s="7" t="inlineStr">
        <is>
          <t>GFE / combat systems for newbuild</t>
        </is>
      </c>
      <c r="K59" s="13" t="inlineStr">
        <is>
          <t>USN</t>
        </is>
      </c>
      <c r="L59" s="7" t="inlineStr">
        <is>
          <t>Combatant Ships</t>
        </is>
      </c>
      <c r="M59" s="7" t="inlineStr">
        <is>
          <t>Submarines</t>
        </is>
      </c>
      <c r="N59" s="7" t="inlineStr">
        <is>
          <t>SSN</t>
        </is>
      </c>
      <c r="O59" s="15" t="n"/>
      <c r="S59" s="16" t="n">
        <v>218616</v>
      </c>
      <c r="AC59" s="23">
        <f>IF(OR(E59="",E59="[PARENT]"),"ADD",IF(E59="[ALT_VIEW]","ALT",""))</f>
        <v/>
      </c>
      <c r="AD59" s="21">
        <f>IF(Y59&lt;&gt;"",Y59,IF(U59&lt;&gt;"",U59,S59))</f>
        <v/>
      </c>
      <c r="AE59" s="21">
        <f>IF(AB59&lt;&gt;"",AB59,Z59)</f>
        <v/>
      </c>
      <c r="AF59" s="13" t="inlineStr">
        <is>
          <t>P-40 &gt; LI 5110 &gt; P-29/P-30 &gt; VIRGINIA</t>
        </is>
      </c>
      <c r="AG59" s="7" t="inlineStr">
        <is>
          <t>395</t>
        </is>
      </c>
      <c r="AH59" s="7" t="inlineStr">
        <is>
          <t>5110</t>
        </is>
      </c>
    </row>
    <row r="60" ht="10" customHeight="1">
      <c r="A60" s="7" t="inlineStr">
        <is>
          <t>SCN</t>
        </is>
      </c>
      <c r="B60" s="7" t="inlineStr">
        <is>
          <t>Procurement</t>
        </is>
      </c>
      <c r="C60" s="7" t="inlineStr">
        <is>
          <t>5110</t>
        </is>
      </c>
      <c r="D60" s="7" t="inlineStr">
        <is>
          <t>Outfitting - CVN RCOH</t>
        </is>
      </c>
      <c r="E60" s="13" t="inlineStr">
        <is>
          <t>[SUB]</t>
        </is>
      </c>
      <c r="F60" s="7" t="inlineStr">
        <is>
          <t>5110 / Outfitting</t>
        </is>
      </c>
      <c r="I60" s="14" t="n">
        <v>5</v>
      </c>
      <c r="J60" s="7" t="inlineStr">
        <is>
          <t>RCOH</t>
        </is>
      </c>
      <c r="K60" s="13" t="inlineStr">
        <is>
          <t>USN</t>
        </is>
      </c>
      <c r="L60" s="7" t="inlineStr">
        <is>
          <t>Combatant Ships</t>
        </is>
      </c>
      <c r="M60" s="7" t="inlineStr">
        <is>
          <t>Aircraft Carriers</t>
        </is>
      </c>
      <c r="N60" s="7" t="inlineStr">
        <is>
          <t>CVN</t>
        </is>
      </c>
      <c r="O60" s="15" t="n"/>
      <c r="S60" s="16" t="n">
        <v>12200</v>
      </c>
      <c r="AC60" s="23">
        <f>IF(OR(E60="",E60="[PARENT]"),"ADD",IF(E60="[ALT_VIEW]","ALT",""))</f>
        <v/>
      </c>
      <c r="AD60" s="21">
        <f>IF(Y60&lt;&gt;"",Y60,IF(U60&lt;&gt;"",U60,S60))</f>
        <v/>
      </c>
      <c r="AE60" s="21">
        <f>IF(AB60&lt;&gt;"",AB60,Z60)</f>
        <v/>
      </c>
      <c r="AF60" s="13" t="inlineStr">
        <is>
          <t>P-40 &gt; LI 5110 &gt; P-29/P-30 &gt; CVN-RCOH</t>
        </is>
      </c>
      <c r="AG60" s="7" t="inlineStr">
        <is>
          <t>395</t>
        </is>
      </c>
      <c r="AH60" s="7" t="inlineStr">
        <is>
          <t>5110</t>
        </is>
      </c>
    </row>
    <row r="61" ht="10" customHeight="1">
      <c r="A61" s="7" t="inlineStr">
        <is>
          <t>SCN</t>
        </is>
      </c>
      <c r="B61" s="7" t="inlineStr">
        <is>
          <t>Procurement</t>
        </is>
      </c>
      <c r="C61" s="7" t="inlineStr">
        <is>
          <t>5110</t>
        </is>
      </c>
      <c r="D61" s="7" t="inlineStr">
        <is>
          <t>Outfitting - DDG 1000</t>
        </is>
      </c>
      <c r="E61" s="13" t="inlineStr">
        <is>
          <t>[SUB]</t>
        </is>
      </c>
      <c r="F61" s="7" t="inlineStr">
        <is>
          <t>5110 / Outfitting</t>
        </is>
      </c>
      <c r="I61" s="14" t="n">
        <v>1</v>
      </c>
      <c r="J61" s="7" t="inlineStr">
        <is>
          <t>GFE / combat systems for newbuild</t>
        </is>
      </c>
      <c r="K61" s="13" t="inlineStr">
        <is>
          <t>USN</t>
        </is>
      </c>
      <c r="L61" s="7" t="inlineStr">
        <is>
          <t>Combatant Ships</t>
        </is>
      </c>
      <c r="M61" s="7" t="inlineStr">
        <is>
          <t>Surface Combatants</t>
        </is>
      </c>
      <c r="N61" s="7" t="inlineStr">
        <is>
          <t>DDG</t>
        </is>
      </c>
      <c r="O61" s="15" t="n"/>
      <c r="S61" s="16" t="n">
        <v>9</v>
      </c>
      <c r="AC61" s="23">
        <f>IF(OR(E61="",E61="[PARENT]"),"ADD",IF(E61="[ALT_VIEW]","ALT",""))</f>
        <v/>
      </c>
      <c r="AD61" s="21">
        <f>IF(Y61&lt;&gt;"",Y61,IF(U61&lt;&gt;"",U61,S61))</f>
        <v/>
      </c>
      <c r="AE61" s="21">
        <f>IF(AB61&lt;&gt;"",AB61,Z61)</f>
        <v/>
      </c>
      <c r="AF61" s="13" t="inlineStr">
        <is>
          <t>P-40 &gt; LI 5110 &gt; P-29/P-30 &gt; DDG 1000</t>
        </is>
      </c>
      <c r="AG61" s="7" t="inlineStr">
        <is>
          <t>395</t>
        </is>
      </c>
      <c r="AH61" s="7" t="inlineStr">
        <is>
          <t>5110</t>
        </is>
      </c>
    </row>
    <row r="62" ht="10" customHeight="1">
      <c r="A62" s="7" t="inlineStr">
        <is>
          <t>SCN</t>
        </is>
      </c>
      <c r="B62" s="7" t="inlineStr">
        <is>
          <t>Procurement</t>
        </is>
      </c>
      <c r="C62" s="7" t="inlineStr">
        <is>
          <t>5110</t>
        </is>
      </c>
      <c r="D62" s="7" t="inlineStr">
        <is>
          <t>Outfitting - DDG-51</t>
        </is>
      </c>
      <c r="E62" s="13" t="inlineStr">
        <is>
          <t>[SUB]</t>
        </is>
      </c>
      <c r="F62" s="7" t="inlineStr">
        <is>
          <t>5110 / Outfitting</t>
        </is>
      </c>
      <c r="I62" s="14" t="n">
        <v>1</v>
      </c>
      <c r="J62" s="7" t="inlineStr">
        <is>
          <t>GFE / combat systems for newbuild</t>
        </is>
      </c>
      <c r="K62" s="13" t="inlineStr">
        <is>
          <t>USN</t>
        </is>
      </c>
      <c r="L62" s="7" t="inlineStr">
        <is>
          <t>Combatant Ships</t>
        </is>
      </c>
      <c r="M62" s="7" t="inlineStr">
        <is>
          <t>Surface Combatants</t>
        </is>
      </c>
      <c r="N62" s="7" t="inlineStr">
        <is>
          <t>DDG</t>
        </is>
      </c>
      <c r="O62" s="15" t="n"/>
      <c r="S62" s="16" t="n">
        <v>167272</v>
      </c>
      <c r="AC62" s="23">
        <f>IF(OR(E62="",E62="[PARENT]"),"ADD",IF(E62="[ALT_VIEW]","ALT",""))</f>
        <v/>
      </c>
      <c r="AD62" s="21">
        <f>IF(Y62&lt;&gt;"",Y62,IF(U62&lt;&gt;"",U62,S62))</f>
        <v/>
      </c>
      <c r="AE62" s="21">
        <f>IF(AB62&lt;&gt;"",AB62,Z62)</f>
        <v/>
      </c>
      <c r="AF62" s="13" t="inlineStr">
        <is>
          <t>P-40 &gt; LI 5110 &gt; P-29/P-30 &gt; DDG</t>
        </is>
      </c>
      <c r="AG62" s="7" t="inlineStr">
        <is>
          <t>395</t>
        </is>
      </c>
      <c r="AH62" s="7" t="inlineStr">
        <is>
          <t>5110</t>
        </is>
      </c>
    </row>
    <row r="63" ht="10" customHeight="1">
      <c r="A63" s="7" t="inlineStr">
        <is>
          <t>SCN</t>
        </is>
      </c>
      <c r="B63" s="7" t="inlineStr">
        <is>
          <t>Procurement</t>
        </is>
      </c>
      <c r="C63" s="7" t="inlineStr">
        <is>
          <t>5110</t>
        </is>
      </c>
      <c r="D63" s="7" t="inlineStr">
        <is>
          <t>Outfitting - LCS</t>
        </is>
      </c>
      <c r="E63" s="13" t="inlineStr">
        <is>
          <t>[SUB]</t>
        </is>
      </c>
      <c r="F63" s="7" t="inlineStr">
        <is>
          <t>5110 / Outfitting</t>
        </is>
      </c>
      <c r="I63" s="14" t="n">
        <v>1</v>
      </c>
      <c r="J63" s="7" t="inlineStr">
        <is>
          <t>GFE / combat systems for newbuild</t>
        </is>
      </c>
      <c r="K63" s="13" t="inlineStr">
        <is>
          <t>USN</t>
        </is>
      </c>
      <c r="L63" s="7" t="inlineStr">
        <is>
          <t>Combatant Ships</t>
        </is>
      </c>
      <c r="M63" s="7" t="inlineStr">
        <is>
          <t>Surface Combatants</t>
        </is>
      </c>
      <c r="N63" s="7" t="inlineStr">
        <is>
          <t>LCS</t>
        </is>
      </c>
      <c r="O63" s="15" t="n"/>
      <c r="S63" s="16" t="n">
        <v>89186</v>
      </c>
      <c r="AC63" s="23">
        <f>IF(OR(E63="",E63="[PARENT]"),"ADD",IF(E63="[ALT_VIEW]","ALT",""))</f>
        <v/>
      </c>
      <c r="AD63" s="21">
        <f>IF(Y63&lt;&gt;"",Y63,IF(U63&lt;&gt;"",U63,S63))</f>
        <v/>
      </c>
      <c r="AE63" s="21">
        <f>IF(AB63&lt;&gt;"",AB63,Z63)</f>
        <v/>
      </c>
      <c r="AF63" s="13" t="inlineStr">
        <is>
          <t>P-40 &gt; LI 5110 &gt; P-29/P-30 &gt; LCS</t>
        </is>
      </c>
      <c r="AG63" s="7" t="inlineStr">
        <is>
          <t>395</t>
        </is>
      </c>
      <c r="AH63" s="7" t="inlineStr">
        <is>
          <t>5110</t>
        </is>
      </c>
    </row>
    <row r="64" ht="10" customHeight="1">
      <c r="A64" s="7" t="inlineStr">
        <is>
          <t>SCN</t>
        </is>
      </c>
      <c r="B64" s="7" t="inlineStr">
        <is>
          <t>Procurement</t>
        </is>
      </c>
      <c r="C64" s="7" t="inlineStr">
        <is>
          <t>5110</t>
        </is>
      </c>
      <c r="D64" s="7" t="inlineStr">
        <is>
          <t>Outfitting - LPD Flight II</t>
        </is>
      </c>
      <c r="E64" s="13" t="inlineStr">
        <is>
          <t>[SUB]</t>
        </is>
      </c>
      <c r="F64" s="7" t="inlineStr">
        <is>
          <t>5110 / Outfitting</t>
        </is>
      </c>
      <c r="I64" s="14" t="n">
        <v>1</v>
      </c>
      <c r="J64" s="7" t="inlineStr">
        <is>
          <t>GFE / combat systems for newbuild</t>
        </is>
      </c>
      <c r="K64" s="13" t="inlineStr">
        <is>
          <t>USN</t>
        </is>
      </c>
      <c r="L64" s="7" t="inlineStr">
        <is>
          <t>Combatant Ships</t>
        </is>
      </c>
      <c r="M64" s="7" t="inlineStr">
        <is>
          <t>Amphibious Warfare Ships</t>
        </is>
      </c>
      <c r="N64" s="7" t="inlineStr">
        <is>
          <t>LPD</t>
        </is>
      </c>
      <c r="O64" s="15" t="n"/>
      <c r="S64" s="16" t="n">
        <v>49090</v>
      </c>
      <c r="AC64" s="23">
        <f>IF(OR(E64="",E64="[PARENT]"),"ADD",IF(E64="[ALT_VIEW]","ALT",""))</f>
        <v/>
      </c>
      <c r="AD64" s="21">
        <f>IF(Y64&lt;&gt;"",Y64,IF(U64&lt;&gt;"",U64,S64))</f>
        <v/>
      </c>
      <c r="AE64" s="21">
        <f>IF(AB64&lt;&gt;"",AB64,Z64)</f>
        <v/>
      </c>
      <c r="AF64" s="13" t="inlineStr">
        <is>
          <t>P-40 &gt; LI 5110 &gt; P-29/P-30 &gt; LPD FLT II</t>
        </is>
      </c>
      <c r="AG64" s="7" t="inlineStr">
        <is>
          <t>395</t>
        </is>
      </c>
      <c r="AH64" s="7" t="inlineStr">
        <is>
          <t>5110</t>
        </is>
      </c>
    </row>
    <row r="65" ht="10" customHeight="1">
      <c r="A65" s="7" t="inlineStr">
        <is>
          <t>SCN</t>
        </is>
      </c>
      <c r="B65" s="7" t="inlineStr">
        <is>
          <t>Procurement</t>
        </is>
      </c>
      <c r="C65" s="7" t="inlineStr">
        <is>
          <t>5110</t>
        </is>
      </c>
      <c r="D65" s="7" t="inlineStr">
        <is>
          <t>Outfitting - LPD-17</t>
        </is>
      </c>
      <c r="E65" s="13" t="inlineStr">
        <is>
          <t>[SUB]</t>
        </is>
      </c>
      <c r="F65" s="7" t="inlineStr">
        <is>
          <t>5110 / Outfitting</t>
        </is>
      </c>
      <c r="I65" s="14" t="n">
        <v>1</v>
      </c>
      <c r="J65" s="7" t="inlineStr">
        <is>
          <t>GFE / combat systems for newbuild</t>
        </is>
      </c>
      <c r="K65" s="13" t="inlineStr">
        <is>
          <t>USN</t>
        </is>
      </c>
      <c r="L65" s="7" t="inlineStr">
        <is>
          <t>Combatant Ships</t>
        </is>
      </c>
      <c r="M65" s="7" t="inlineStr">
        <is>
          <t>Amphibious Warfare Ships</t>
        </is>
      </c>
      <c r="N65" s="7" t="inlineStr">
        <is>
          <t>LPD</t>
        </is>
      </c>
      <c r="O65" s="15" t="n"/>
      <c r="S65" s="16" t="n">
        <v>33000</v>
      </c>
      <c r="AC65" s="23">
        <f>IF(OR(E65="",E65="[PARENT]"),"ADD",IF(E65="[ALT_VIEW]","ALT",""))</f>
        <v/>
      </c>
      <c r="AD65" s="21">
        <f>IF(Y65&lt;&gt;"",Y65,IF(U65&lt;&gt;"",U65,S65))</f>
        <v/>
      </c>
      <c r="AE65" s="21">
        <f>IF(AB65&lt;&gt;"",AB65,Z65)</f>
        <v/>
      </c>
      <c r="AF65" s="13" t="inlineStr">
        <is>
          <t>P-40 &gt; LI 5110 &gt; P-29/P-30 &gt; LPD</t>
        </is>
      </c>
      <c r="AG65" s="7" t="inlineStr">
        <is>
          <t>395</t>
        </is>
      </c>
      <c r="AH65" s="7" t="inlineStr">
        <is>
          <t>5110</t>
        </is>
      </c>
    </row>
    <row r="66" ht="10" customHeight="1">
      <c r="A66" s="7" t="inlineStr">
        <is>
          <t>SCN</t>
        </is>
      </c>
      <c r="B66" s="7" t="inlineStr">
        <is>
          <t>Procurement</t>
        </is>
      </c>
      <c r="C66" s="7" t="inlineStr">
        <is>
          <t>5110</t>
        </is>
      </c>
      <c r="D66" s="7" t="inlineStr">
        <is>
          <t>Outfitting - ESB</t>
        </is>
      </c>
      <c r="E66" s="13" t="inlineStr">
        <is>
          <t>[SUB]</t>
        </is>
      </c>
      <c r="F66" s="7" t="inlineStr">
        <is>
          <t>5110 / Outfitting</t>
        </is>
      </c>
      <c r="I66" s="14" t="n">
        <v>1</v>
      </c>
      <c r="J66" s="7" t="inlineStr">
        <is>
          <t>GFE / combat systems for newbuild</t>
        </is>
      </c>
      <c r="K66" s="13" t="inlineStr">
        <is>
          <t>MSC</t>
        </is>
      </c>
      <c r="L66" s="7" t="inlineStr">
        <is>
          <t>Combatant Ships</t>
        </is>
      </c>
      <c r="M66" s="7" t="inlineStr">
        <is>
          <t>Expeditionary &amp; Seabasing Ships</t>
        </is>
      </c>
      <c r="N66" s="7" t="inlineStr">
        <is>
          <t>T-ESB</t>
        </is>
      </c>
      <c r="O66" s="15" t="n"/>
      <c r="S66" s="16" t="n">
        <v>11858</v>
      </c>
      <c r="AC66" s="23">
        <f>IF(OR(E66="",E66="[PARENT]"),"ADD",IF(E66="[ALT_VIEW]","ALT",""))</f>
        <v/>
      </c>
      <c r="AD66" s="21">
        <f>IF(Y66&lt;&gt;"",Y66,IF(U66&lt;&gt;"",U66,S66))</f>
        <v/>
      </c>
      <c r="AE66" s="21">
        <f>IF(AB66&lt;&gt;"",AB66,Z66)</f>
        <v/>
      </c>
      <c r="AF66" s="13" t="inlineStr">
        <is>
          <t>P-40 &gt; LI 5110 &gt; P-29/P-30 &gt; ESB</t>
        </is>
      </c>
      <c r="AG66" s="7" t="inlineStr">
        <is>
          <t>395</t>
        </is>
      </c>
      <c r="AH66" s="7" t="inlineStr">
        <is>
          <t>5110</t>
        </is>
      </c>
    </row>
    <row r="67" ht="10" customHeight="1">
      <c r="A67" s="7" t="inlineStr">
        <is>
          <t>SCN</t>
        </is>
      </c>
      <c r="B67" s="7" t="inlineStr">
        <is>
          <t>Procurement</t>
        </is>
      </c>
      <c r="C67" s="7" t="inlineStr">
        <is>
          <t>5110</t>
        </is>
      </c>
      <c r="D67" s="7" t="inlineStr">
        <is>
          <t>Outfitting - LHA</t>
        </is>
      </c>
      <c r="E67" s="13" t="inlineStr">
        <is>
          <t>[SUB]</t>
        </is>
      </c>
      <c r="F67" s="7" t="inlineStr">
        <is>
          <t>5110 / Outfitting</t>
        </is>
      </c>
      <c r="I67" s="14" t="n">
        <v>1</v>
      </c>
      <c r="J67" s="7" t="inlineStr">
        <is>
          <t>GFE / combat systems for newbuild</t>
        </is>
      </c>
      <c r="K67" s="13" t="inlineStr">
        <is>
          <t>USN</t>
        </is>
      </c>
      <c r="L67" s="7" t="inlineStr">
        <is>
          <t>Combatant Ships</t>
        </is>
      </c>
      <c r="M67" s="7" t="inlineStr">
        <is>
          <t>Amphibious Warfare Ships</t>
        </is>
      </c>
      <c r="N67" s="7" t="inlineStr">
        <is>
          <t>LHA</t>
        </is>
      </c>
      <c r="O67" s="15" t="n"/>
      <c r="S67" s="16" t="n">
        <v>23119</v>
      </c>
      <c r="AC67" s="23">
        <f>IF(OR(E67="",E67="[PARENT]"),"ADD",IF(E67="[ALT_VIEW]","ALT",""))</f>
        <v/>
      </c>
      <c r="AD67" s="21">
        <f>IF(Y67&lt;&gt;"",Y67,IF(U67&lt;&gt;"",U67,S67))</f>
        <v/>
      </c>
      <c r="AE67" s="21">
        <f>IF(AB67&lt;&gt;"",AB67,Z67)</f>
        <v/>
      </c>
      <c r="AF67" s="13" t="inlineStr">
        <is>
          <t>P-40 &gt; LI 5110 &gt; P-29/P-30 &gt; LHA</t>
        </is>
      </c>
      <c r="AG67" s="7" t="inlineStr">
        <is>
          <t>395</t>
        </is>
      </c>
      <c r="AH67" s="7" t="inlineStr">
        <is>
          <t>5110</t>
        </is>
      </c>
    </row>
    <row r="68" ht="10" customHeight="1">
      <c r="A68" s="7" t="inlineStr">
        <is>
          <t>SCN</t>
        </is>
      </c>
      <c r="B68" s="7" t="inlineStr">
        <is>
          <t>Procurement</t>
        </is>
      </c>
      <c r="C68" s="7" t="inlineStr">
        <is>
          <t>5110</t>
        </is>
      </c>
      <c r="D68" s="7" t="inlineStr">
        <is>
          <t>Outfitting - EPF</t>
        </is>
      </c>
      <c r="E68" s="13" t="inlineStr">
        <is>
          <t>[SUB]</t>
        </is>
      </c>
      <c r="F68" s="7" t="inlineStr">
        <is>
          <t>5110 / Outfitting</t>
        </is>
      </c>
      <c r="I68" s="14" t="n">
        <v>1</v>
      </c>
      <c r="J68" s="7" t="inlineStr">
        <is>
          <t>GFE / combat systems for newbuild</t>
        </is>
      </c>
      <c r="K68" s="13" t="inlineStr">
        <is>
          <t>MSC</t>
        </is>
      </c>
      <c r="L68" s="7" t="inlineStr">
        <is>
          <t>Combatant Ships</t>
        </is>
      </c>
      <c r="M68" s="7" t="inlineStr">
        <is>
          <t>Expeditionary &amp; Seabasing Ships</t>
        </is>
      </c>
      <c r="N68" s="7" t="inlineStr">
        <is>
          <t>T-EPF</t>
        </is>
      </c>
      <c r="O68" s="15" t="n"/>
      <c r="S68" s="16" t="n">
        <v>8554</v>
      </c>
      <c r="AC68" s="23">
        <f>IF(OR(E68="",E68="[PARENT]"),"ADD",IF(E68="[ALT_VIEW]","ALT",""))</f>
        <v/>
      </c>
      <c r="AD68" s="21">
        <f>IF(Y68&lt;&gt;"",Y68,IF(U68&lt;&gt;"",U68,S68))</f>
        <v/>
      </c>
      <c r="AE68" s="21">
        <f>IF(AB68&lt;&gt;"",AB68,Z68)</f>
        <v/>
      </c>
      <c r="AF68" s="13" t="inlineStr">
        <is>
          <t>P-40 &gt; LI 5110 &gt; P-29/P-30 &gt; EPF</t>
        </is>
      </c>
      <c r="AG68" s="7" t="inlineStr">
        <is>
          <t>395</t>
        </is>
      </c>
      <c r="AH68" s="7" t="inlineStr">
        <is>
          <t>5110</t>
        </is>
      </c>
    </row>
    <row r="69" ht="10" customHeight="1">
      <c r="A69" s="7" t="inlineStr">
        <is>
          <t>SCN</t>
        </is>
      </c>
      <c r="B69" s="7" t="inlineStr">
        <is>
          <t>Procurement</t>
        </is>
      </c>
      <c r="C69" s="7" t="inlineStr">
        <is>
          <t>5110</t>
        </is>
      </c>
      <c r="D69" s="7" t="inlineStr">
        <is>
          <t>Outfitting - T-AO</t>
        </is>
      </c>
      <c r="E69" s="13" t="inlineStr">
        <is>
          <t>[SUB]</t>
        </is>
      </c>
      <c r="F69" s="7" t="inlineStr">
        <is>
          <t>5110 / Outfitting</t>
        </is>
      </c>
      <c r="I69" s="14" t="n">
        <v>1</v>
      </c>
      <c r="J69" s="7" t="inlineStr">
        <is>
          <t>GFE / combat systems for newbuild</t>
        </is>
      </c>
      <c r="K69" s="13" t="inlineStr">
        <is>
          <t>MSC</t>
        </is>
      </c>
      <c r="L69" s="7" t="inlineStr">
        <is>
          <t>Combatant Ships</t>
        </is>
      </c>
      <c r="M69" s="7" t="inlineStr">
        <is>
          <t>Combat Logistics Ships</t>
        </is>
      </c>
      <c r="N69" s="7" t="inlineStr">
        <is>
          <t>T-AO</t>
        </is>
      </c>
      <c r="O69" s="15" t="n"/>
      <c r="S69" s="16" t="n">
        <v>63848</v>
      </c>
      <c r="AC69" s="23">
        <f>IF(OR(E69="",E69="[PARENT]"),"ADD",IF(E69="[ALT_VIEW]","ALT",""))</f>
        <v/>
      </c>
      <c r="AD69" s="21">
        <f>IF(Y69&lt;&gt;"",Y69,IF(U69&lt;&gt;"",U69,S69))</f>
        <v/>
      </c>
      <c r="AE69" s="21">
        <f>IF(AB69&lt;&gt;"",AB69,Z69)</f>
        <v/>
      </c>
      <c r="AF69" s="13" t="inlineStr">
        <is>
          <t>P-40 &gt; LI 5110 &gt; P-29/P-30 &gt; T-AO</t>
        </is>
      </c>
      <c r="AG69" s="7" t="inlineStr">
        <is>
          <t>395</t>
        </is>
      </c>
      <c r="AH69" s="7" t="inlineStr">
        <is>
          <t>5110</t>
        </is>
      </c>
    </row>
    <row r="70" ht="10" customHeight="1">
      <c r="A70" s="7" t="inlineStr">
        <is>
          <t>SCN</t>
        </is>
      </c>
      <c r="B70" s="7" t="inlineStr">
        <is>
          <t>Procurement</t>
        </is>
      </c>
      <c r="C70" s="7" t="inlineStr">
        <is>
          <t>5110</t>
        </is>
      </c>
      <c r="D70" s="7" t="inlineStr">
        <is>
          <t>Outfitting - T-ATS</t>
        </is>
      </c>
      <c r="E70" s="13" t="inlineStr">
        <is>
          <t>[SUB]</t>
        </is>
      </c>
      <c r="F70" s="7" t="inlineStr">
        <is>
          <t>5110 / Outfitting</t>
        </is>
      </c>
      <c r="I70" s="14" t="n">
        <v>1</v>
      </c>
      <c r="J70" s="7" t="inlineStr">
        <is>
          <t>GFE / combat systems for newbuild</t>
        </is>
      </c>
      <c r="K70" s="13" t="inlineStr">
        <is>
          <t>MSC</t>
        </is>
      </c>
      <c r="L70" s="7" t="inlineStr">
        <is>
          <t>Combatant Ships</t>
        </is>
      </c>
      <c r="M70" s="7" t="inlineStr">
        <is>
          <t>Salvage Ships &amp; Fleet Ocean Tugs</t>
        </is>
      </c>
      <c r="N70" s="7" t="inlineStr">
        <is>
          <t>T-ATS</t>
        </is>
      </c>
      <c r="O70" s="15" t="n"/>
      <c r="S70" s="16" t="n">
        <v>8837</v>
      </c>
      <c r="AC70" s="23">
        <f>IF(OR(E70="",E70="[PARENT]"),"ADD",IF(E70="[ALT_VIEW]","ALT",""))</f>
        <v/>
      </c>
      <c r="AD70" s="21">
        <f>IF(Y70&lt;&gt;"",Y70,IF(U70&lt;&gt;"",U70,S70))</f>
        <v/>
      </c>
      <c r="AE70" s="21">
        <f>IF(AB70&lt;&gt;"",AB70,Z70)</f>
        <v/>
      </c>
      <c r="AF70" s="13" t="inlineStr">
        <is>
          <t>P-40 &gt; LI 5110 &gt; P-29/P-30 &gt; T-ATS</t>
        </is>
      </c>
      <c r="AG70" s="7" t="inlineStr">
        <is>
          <t>395</t>
        </is>
      </c>
      <c r="AH70" s="7" t="inlineStr">
        <is>
          <t>5110</t>
        </is>
      </c>
    </row>
    <row r="71" ht="10" customHeight="1">
      <c r="A71" s="7" t="inlineStr">
        <is>
          <t>SCN</t>
        </is>
      </c>
      <c r="B71" s="7" t="inlineStr">
        <is>
          <t>Procurement</t>
        </is>
      </c>
      <c r="C71" s="7" t="inlineStr">
        <is>
          <t>5110</t>
        </is>
      </c>
      <c r="D71" s="7" t="inlineStr">
        <is>
          <t>Outfitting - T-AGS/AGOR</t>
        </is>
      </c>
      <c r="E71" s="13" t="inlineStr">
        <is>
          <t>[SUB]</t>
        </is>
      </c>
      <c r="F71" s="7" t="inlineStr">
        <is>
          <t>5110 / Outfitting</t>
        </is>
      </c>
      <c r="I71" s="14" t="n">
        <v>1</v>
      </c>
      <c r="J71" s="7" t="inlineStr">
        <is>
          <t>GFE / combat systems for newbuild</t>
        </is>
      </c>
      <c r="K71" s="13" t="inlineStr">
        <is>
          <t>MSC</t>
        </is>
      </c>
      <c r="L71" s="7" t="inlineStr">
        <is>
          <t>Auxiliary Ships</t>
        </is>
      </c>
      <c r="M71" s="7" t="inlineStr">
        <is>
          <t>Research, Survey &amp; Instrumentation Ships</t>
        </is>
      </c>
      <c r="N71" s="7" t="inlineStr">
        <is>
          <t>T-AGS</t>
        </is>
      </c>
      <c r="O71" s="15" t="n"/>
      <c r="S71" s="16" t="n">
        <v>8150</v>
      </c>
      <c r="AC71" s="23">
        <f>IF(OR(E71="",E71="[PARENT]"),"ADD",IF(E71="[ALT_VIEW]","ALT",""))</f>
        <v/>
      </c>
      <c r="AD71" s="21">
        <f>IF(Y71&lt;&gt;"",Y71,IF(U71&lt;&gt;"",U71,S71))</f>
        <v/>
      </c>
      <c r="AE71" s="21">
        <f>IF(AB71&lt;&gt;"",AB71,Z71)</f>
        <v/>
      </c>
      <c r="AF71" s="13" t="inlineStr">
        <is>
          <t>P-40 &gt; LI 5110 &gt; P-29/P-30 &gt; T-AGS/AGOR</t>
        </is>
      </c>
      <c r="AG71" s="7" t="inlineStr">
        <is>
          <t>395</t>
        </is>
      </c>
      <c r="AH71" s="7" t="inlineStr">
        <is>
          <t>5110</t>
        </is>
      </c>
    </row>
    <row r="72" ht="10" customHeight="1">
      <c r="A72" s="7" t="inlineStr">
        <is>
          <t>SCN</t>
        </is>
      </c>
      <c r="B72" s="7" t="inlineStr">
        <is>
          <t>Procurement</t>
        </is>
      </c>
      <c r="C72" s="7" t="inlineStr">
        <is>
          <t>5110</t>
        </is>
      </c>
      <c r="D72" s="7" t="inlineStr">
        <is>
          <t>Outfitting - LCU</t>
        </is>
      </c>
      <c r="E72" s="13" t="inlineStr">
        <is>
          <t>[SUB]</t>
        </is>
      </c>
      <c r="F72" s="7" t="inlineStr">
        <is>
          <t>5110 / Outfitting</t>
        </is>
      </c>
      <c r="I72" s="14" t="n">
        <v>1</v>
      </c>
      <c r="J72" s="7" t="inlineStr">
        <is>
          <t>GFE / combat systems for newbuild</t>
        </is>
      </c>
      <c r="K72" s="13" t="inlineStr">
        <is>
          <t>USN</t>
        </is>
      </c>
      <c r="L72" s="7" t="inlineStr">
        <is>
          <t>Combatant Crafts</t>
        </is>
      </c>
      <c r="M72" s="7" t="inlineStr">
        <is>
          <t>Amphibious Warfare Craft</t>
        </is>
      </c>
      <c r="N72" s="7" t="inlineStr">
        <is>
          <t>LCU</t>
        </is>
      </c>
      <c r="O72" s="15" t="n"/>
      <c r="S72" s="16" t="n">
        <v>9654</v>
      </c>
      <c r="AC72" s="23">
        <f>IF(OR(E72="",E72="[PARENT]"),"ADD",IF(E72="[ALT_VIEW]","ALT",""))</f>
        <v/>
      </c>
      <c r="AD72" s="21">
        <f>IF(Y72&lt;&gt;"",Y72,IF(U72&lt;&gt;"",U72,S72))</f>
        <v/>
      </c>
      <c r="AE72" s="21">
        <f>IF(AB72&lt;&gt;"",AB72,Z72)</f>
        <v/>
      </c>
      <c r="AF72" s="13" t="inlineStr">
        <is>
          <t>P-40 &gt; LI 5110 &gt; P-29/P-30 &gt; LCU</t>
        </is>
      </c>
      <c r="AG72" s="7" t="inlineStr">
        <is>
          <t>395</t>
        </is>
      </c>
      <c r="AH72" s="7" t="inlineStr">
        <is>
          <t>5110</t>
        </is>
      </c>
    </row>
    <row r="73" ht="10" customHeight="1">
      <c r="A73" s="7" t="inlineStr">
        <is>
          <t>SCN</t>
        </is>
      </c>
      <c r="B73" s="7" t="inlineStr">
        <is>
          <t>Procurement</t>
        </is>
      </c>
      <c r="C73" s="7" t="inlineStr">
        <is>
          <t>5110</t>
        </is>
      </c>
      <c r="D73" s="7" t="inlineStr">
        <is>
          <t>Outfitting - SSC (Ship to Shore Connector)</t>
        </is>
      </c>
      <c r="E73" s="13" t="inlineStr">
        <is>
          <t>[SUB]</t>
        </is>
      </c>
      <c r="F73" s="7" t="inlineStr">
        <is>
          <t>5110 / Outfitting</t>
        </is>
      </c>
      <c r="I73" s="14" t="n">
        <v>1</v>
      </c>
      <c r="J73" s="7" t="inlineStr">
        <is>
          <t>GFE / combat systems for newbuild</t>
        </is>
      </c>
      <c r="K73" s="13" t="inlineStr">
        <is>
          <t>USN</t>
        </is>
      </c>
      <c r="L73" s="7" t="inlineStr">
        <is>
          <t>Combatant Crafts</t>
        </is>
      </c>
      <c r="M73" s="7" t="inlineStr">
        <is>
          <t>Amphibious Warfare Craft</t>
        </is>
      </c>
      <c r="N73" s="7" t="inlineStr">
        <is>
          <t>LCAC</t>
        </is>
      </c>
      <c r="O73" s="15" t="n"/>
      <c r="S73" s="16" t="n">
        <v>17536</v>
      </c>
      <c r="W73" s="16" t="n">
        <v>239095</v>
      </c>
      <c r="X73" s="16" t="n">
        <v>320000</v>
      </c>
      <c r="Y73" s="16" t="n">
        <v>559095</v>
      </c>
      <c r="AC73" s="23">
        <f>IF(OR(E73="",E73="[PARENT]"),"ADD",IF(E73="[ALT_VIEW]","ALT",""))</f>
        <v/>
      </c>
      <c r="AD73" s="21">
        <f>IF(Y73&lt;&gt;"",Y73,IF(U73&lt;&gt;"",U73,S73))</f>
        <v/>
      </c>
      <c r="AE73" s="21">
        <f>IF(AB73&lt;&gt;"",AB73,Z73)</f>
        <v/>
      </c>
      <c r="AF73" s="13" t="inlineStr">
        <is>
          <t>P-40 &gt; LI 5110 &gt; P-29/P-30 &gt; LCAC SSC</t>
        </is>
      </c>
      <c r="AG73" s="7" t="inlineStr">
        <is>
          <t>395</t>
        </is>
      </c>
      <c r="AH73" s="7" t="inlineStr">
        <is>
          <t>5110</t>
        </is>
      </c>
    </row>
    <row r="74" ht="10" customHeight="1">
      <c r="A74" s="7" t="inlineStr">
        <is>
          <t>SCN</t>
        </is>
      </c>
      <c r="B74" s="7" t="inlineStr">
        <is>
          <t>Procurement</t>
        </is>
      </c>
      <c r="C74" s="7" t="inlineStr">
        <is>
          <t>5110</t>
        </is>
      </c>
      <c r="D74" s="7" t="inlineStr">
        <is>
          <t>Outfitting - LCAC SLEP</t>
        </is>
      </c>
      <c r="E74" s="13" t="inlineStr">
        <is>
          <t>[SUB]</t>
        </is>
      </c>
      <c r="F74" s="7" t="inlineStr">
        <is>
          <t>5110 / Outfitting</t>
        </is>
      </c>
      <c r="I74" s="14" t="n">
        <v>5</v>
      </c>
      <c r="J74" s="7" t="inlineStr">
        <is>
          <t>SLEP</t>
        </is>
      </c>
      <c r="K74" s="13" t="inlineStr">
        <is>
          <t>USN</t>
        </is>
      </c>
      <c r="L74" s="7" t="inlineStr">
        <is>
          <t>Combatant Crafts</t>
        </is>
      </c>
      <c r="M74" s="7" t="inlineStr">
        <is>
          <t>Amphibious Warfare Craft</t>
        </is>
      </c>
      <c r="N74" s="7" t="inlineStr">
        <is>
          <t>LCAC</t>
        </is>
      </c>
      <c r="O74" s="15" t="n"/>
      <c r="S74" s="16" t="n">
        <v>493</v>
      </c>
      <c r="W74" s="16" t="n">
        <v>37390</v>
      </c>
      <c r="X74" s="16" t="n">
        <v>0</v>
      </c>
      <c r="Y74" s="16" t="n">
        <v>37390</v>
      </c>
      <c r="AC74" s="23">
        <f>IF(OR(E74="",E74="[PARENT]"),"ADD",IF(E74="[ALT_VIEW]","ALT",""))</f>
        <v/>
      </c>
      <c r="AD74" s="21">
        <f>IF(Y74&lt;&gt;"",Y74,IF(U74&lt;&gt;"",U74,S74))</f>
        <v/>
      </c>
      <c r="AE74" s="21">
        <f>IF(AB74&lt;&gt;"",AB74,Z74)</f>
        <v/>
      </c>
      <c r="AF74" s="13" t="inlineStr">
        <is>
          <t>P-40 &gt; LI 5110 &gt; P-29/P-30 &gt; LCAC SLEP</t>
        </is>
      </c>
      <c r="AG74" s="7" t="inlineStr">
        <is>
          <t>395</t>
        </is>
      </c>
      <c r="AH74" s="7" t="inlineStr">
        <is>
          <t>5110</t>
        </is>
      </c>
    </row>
    <row r="75" ht="10" customHeight="1">
      <c r="A75" s="7" t="inlineStr">
        <is>
          <t>SCN</t>
        </is>
      </c>
      <c r="B75" s="7" t="inlineStr">
        <is>
          <t>Procurement</t>
        </is>
      </c>
      <c r="C75" s="7" t="inlineStr">
        <is>
          <t>5110</t>
        </is>
      </c>
      <c r="D75" s="7" t="inlineStr">
        <is>
          <t>Outfitting - PUBS / First Destination</t>
        </is>
      </c>
      <c r="E75" s="13" t="inlineStr">
        <is>
          <t>[SUB]</t>
        </is>
      </c>
      <c r="F75" s="7" t="inlineStr">
        <is>
          <t>5110 / Outfitting</t>
        </is>
      </c>
      <c r="I75" s="14" t="n">
        <v>1</v>
      </c>
      <c r="J75" s="7" t="inlineStr">
        <is>
          <t>GFE / combat systems for newbuild</t>
        </is>
      </c>
      <c r="K75" s="15" t="n"/>
      <c r="O75" s="15" t="n"/>
      <c r="S75" s="16" t="n">
        <v>16657</v>
      </c>
      <c r="AC75" s="23">
        <f>IF(OR(E75="",E75="[PARENT]"),"ADD",IF(E75="[ALT_VIEW]","ALT",""))</f>
        <v/>
      </c>
      <c r="AD75" s="21">
        <f>IF(Y75&lt;&gt;"",Y75,IF(U75&lt;&gt;"",U75,S75))</f>
        <v/>
      </c>
      <c r="AE75" s="21">
        <f>IF(AB75&lt;&gt;"",AB75,Z75)</f>
        <v/>
      </c>
      <c r="AF75" s="13" t="inlineStr">
        <is>
          <t>P-40 &gt; LI 5110 &gt; P-29/P-30 &gt; PUBS + FD</t>
        </is>
      </c>
      <c r="AG75" s="7" t="inlineStr">
        <is>
          <t>395</t>
        </is>
      </c>
      <c r="AH75" s="7" t="inlineStr">
        <is>
          <t>5110</t>
        </is>
      </c>
    </row>
    <row r="76" ht="10" customHeight="1">
      <c r="A76" s="7" t="inlineStr">
        <is>
          <t>SCN</t>
        </is>
      </c>
      <c r="B76" s="7" t="inlineStr">
        <is>
          <t>Procurement</t>
        </is>
      </c>
      <c r="C76" s="7" t="inlineStr">
        <is>
          <t>5112</t>
        </is>
      </c>
      <c r="D76" s="7" t="inlineStr">
        <is>
          <t>Ship to Shore Connector</t>
        </is>
      </c>
      <c r="E76" s="15" t="n"/>
      <c r="I76" s="14" t="n">
        <v>1</v>
      </c>
      <c r="J76" s="7" t="inlineStr">
        <is>
          <t>Full ship DD&amp;C</t>
        </is>
      </c>
      <c r="K76" s="13" t="inlineStr">
        <is>
          <t>USN</t>
        </is>
      </c>
      <c r="L76" s="7" t="inlineStr">
        <is>
          <t>Combatant Crafts</t>
        </is>
      </c>
      <c r="M76" s="7" t="inlineStr">
        <is>
          <t>Amphibious Warfare Craft</t>
        </is>
      </c>
      <c r="N76" s="7" t="inlineStr">
        <is>
          <t>LCAC</t>
        </is>
      </c>
      <c r="O76" s="15" t="n"/>
      <c r="P76" s="16" t="n">
        <v>628600</v>
      </c>
      <c r="Q76" s="16" t="n">
        <v>528039</v>
      </c>
      <c r="S76" s="16" t="n">
        <v>0</v>
      </c>
      <c r="T76" s="16" t="n">
        <v>239095</v>
      </c>
      <c r="U76" s="16" t="n">
        <v>239095</v>
      </c>
      <c r="W76" s="16" t="n">
        <v>239095</v>
      </c>
      <c r="X76" s="16" t="n">
        <v>320000</v>
      </c>
      <c r="Y76" s="16" t="n">
        <v>559095</v>
      </c>
      <c r="Z76" s="16" t="n">
        <v>733895</v>
      </c>
      <c r="AB76" s="16" t="n">
        <v>733895</v>
      </c>
      <c r="AC76" s="23">
        <f>IF(OR(E76="",E76="[PARENT]"),"ADD",IF(E76="[ALT_VIEW]","ALT",""))</f>
        <v/>
      </c>
      <c r="AD76" s="21">
        <f>IF(Y76&lt;&gt;"",Y76,IF(U76&lt;&gt;"",U76,S76))</f>
        <v/>
      </c>
      <c r="AE76" s="21">
        <f>IF(AB76&lt;&gt;"",AB76,Z76)</f>
        <v/>
      </c>
      <c r="AF76" s="13" t="inlineStr">
        <is>
          <t>P-40 Exhibit &gt; LI 5112 &gt; Ship to Shore Connector</t>
        </is>
      </c>
      <c r="AG76" s="7" t="inlineStr">
        <is>
          <t>407</t>
        </is>
      </c>
      <c r="AH76" s="7" t="inlineStr">
        <is>
          <t>5112</t>
        </is>
      </c>
    </row>
    <row r="77" ht="10" customHeight="1">
      <c r="A77" s="7" t="inlineStr">
        <is>
          <t>SCN</t>
        </is>
      </c>
      <c r="B77" s="7" t="inlineStr">
        <is>
          <t>Procurement</t>
        </is>
      </c>
      <c r="C77" s="7" t="inlineStr">
        <is>
          <t>5113</t>
        </is>
      </c>
      <c r="D77" s="7" t="inlineStr">
        <is>
          <t>Service Craft</t>
        </is>
      </c>
      <c r="E77" s="15" t="n"/>
      <c r="I77" s="14" t="n">
        <v>1</v>
      </c>
      <c r="J77" s="7" t="inlineStr">
        <is>
          <t>Full ship DD&amp;C</t>
        </is>
      </c>
      <c r="K77" s="15" t="n"/>
      <c r="O77" s="15" t="n"/>
      <c r="P77" s="16" t="n">
        <v>93815</v>
      </c>
      <c r="Q77" s="16" t="n">
        <v>41426</v>
      </c>
      <c r="S77" s="16" t="n">
        <v>34602</v>
      </c>
      <c r="T77" s="16" t="n">
        <v>0</v>
      </c>
      <c r="U77" s="16" t="n">
        <v>34602</v>
      </c>
      <c r="X77" s="16" t="n">
        <v>174602</v>
      </c>
      <c r="Y77" s="16" t="n">
        <v>174602</v>
      </c>
      <c r="Z77" s="16" t="n">
        <v>177079</v>
      </c>
      <c r="AB77" s="16" t="n">
        <v>177079</v>
      </c>
      <c r="AC77" s="23">
        <f>IF(OR(E77="",E77="[PARENT]"),"ADD",IF(E77="[ALT_VIEW]","ALT",""))</f>
        <v/>
      </c>
      <c r="AD77" s="21">
        <f>IF(Y77&lt;&gt;"",Y77,IF(U77&lt;&gt;"",U77,S77))</f>
        <v/>
      </c>
      <c r="AE77" s="21">
        <f>IF(AB77&lt;&gt;"",AB77,Z77)</f>
        <v/>
      </c>
      <c r="AF77" s="13" t="inlineStr">
        <is>
          <t>P-40 Exhibit &gt; LI 5113 &gt; Service Craft</t>
        </is>
      </c>
      <c r="AG77" s="7" t="inlineStr">
        <is>
          <t>413</t>
        </is>
      </c>
      <c r="AH77" s="7" t="inlineStr">
        <is>
          <t>5113</t>
        </is>
      </c>
    </row>
    <row r="78" ht="10" customHeight="1">
      <c r="A78" s="7" t="inlineStr">
        <is>
          <t>SCN</t>
        </is>
      </c>
      <c r="B78" s="7" t="inlineStr">
        <is>
          <t>Procurement</t>
        </is>
      </c>
      <c r="C78" s="7" t="inlineStr">
        <is>
          <t>5114</t>
        </is>
      </c>
      <c r="D78" s="7" t="inlineStr">
        <is>
          <t>Auxiliary Personnel Lighter</t>
        </is>
      </c>
      <c r="E78" s="15" t="n"/>
      <c r="I78" s="14" t="n">
        <v>1</v>
      </c>
      <c r="J78" s="7" t="inlineStr">
        <is>
          <t>Full ship DD&amp;C</t>
        </is>
      </c>
      <c r="K78" s="13" t="inlineStr">
        <is>
          <t>USN</t>
        </is>
      </c>
      <c r="L78" s="7" t="inlineStr">
        <is>
          <t>Support Crafts</t>
        </is>
      </c>
      <c r="M78" s="7" t="inlineStr">
        <is>
          <t>Other Craft, Non-Self-Propelled</t>
        </is>
      </c>
      <c r="N78" s="7" t="inlineStr">
        <is>
          <t>APL</t>
        </is>
      </c>
      <c r="O78" s="15" t="n"/>
      <c r="P78" s="16" t="n">
        <v>72000</v>
      </c>
      <c r="Q78" s="16" t="n">
        <v>76168</v>
      </c>
      <c r="S78" s="16" t="n">
        <v>0</v>
      </c>
      <c r="T78" s="16" t="n">
        <v>0</v>
      </c>
      <c r="U78" s="16" t="n">
        <v>0</v>
      </c>
      <c r="X78" s="16" t="n">
        <v>79000</v>
      </c>
      <c r="Y78" s="16" t="n">
        <v>79000</v>
      </c>
      <c r="Z78" s="16" t="n">
        <v>83000</v>
      </c>
      <c r="AB78" s="16" t="n">
        <v>83000</v>
      </c>
      <c r="AC78" s="23">
        <f>IF(OR(E78="",E78="[PARENT]"),"ADD",IF(E78="[ALT_VIEW]","ALT",""))</f>
        <v/>
      </c>
      <c r="AD78" s="21">
        <f>IF(Y78&lt;&gt;"",Y78,IF(U78&lt;&gt;"",U78,S78))</f>
        <v/>
      </c>
      <c r="AE78" s="21">
        <f>IF(AB78&lt;&gt;"",AB78,Z78)</f>
        <v/>
      </c>
      <c r="AF78" s="13" t="inlineStr">
        <is>
          <t>P-40 Exhibit &gt; LI 5114 &gt; Auxiliary Personnel Lighter</t>
        </is>
      </c>
      <c r="AG78" s="7" t="inlineStr">
        <is>
          <t>421</t>
        </is>
      </c>
      <c r="AH78" s="7" t="inlineStr">
        <is>
          <t>5114</t>
        </is>
      </c>
    </row>
    <row r="79" ht="10" customHeight="1">
      <c r="A79" s="7" t="inlineStr">
        <is>
          <t>SCN</t>
        </is>
      </c>
      <c r="B79" s="7" t="inlineStr">
        <is>
          <t>Procurement</t>
        </is>
      </c>
      <c r="C79" s="7" t="inlineStr">
        <is>
          <t>5139</t>
        </is>
      </c>
      <c r="D79" s="7" t="inlineStr">
        <is>
          <t>LCAC SLEP</t>
        </is>
      </c>
      <c r="E79" s="15" t="n"/>
      <c r="I79" s="14" t="n">
        <v>5</v>
      </c>
      <c r="J79" s="7" t="inlineStr">
        <is>
          <t>SLEP</t>
        </is>
      </c>
      <c r="K79" s="13" t="inlineStr">
        <is>
          <t>USN</t>
        </is>
      </c>
      <c r="L79" s="7" t="inlineStr">
        <is>
          <t>Combatant Crafts</t>
        </is>
      </c>
      <c r="M79" s="7" t="inlineStr">
        <is>
          <t>Amphibious Warfare Craft</t>
        </is>
      </c>
      <c r="N79" s="7" t="inlineStr">
        <is>
          <t>LCAC</t>
        </is>
      </c>
      <c r="O79" s="15" t="n"/>
      <c r="P79" s="16" t="n">
        <v>15286</v>
      </c>
      <c r="Q79" s="16" t="n">
        <v>45087</v>
      </c>
      <c r="S79" s="16" t="n">
        <v>0</v>
      </c>
      <c r="T79" s="16" t="n">
        <v>37390</v>
      </c>
      <c r="U79" s="16" t="n">
        <v>37390</v>
      </c>
      <c r="W79" s="16" t="n">
        <v>37390</v>
      </c>
      <c r="X79" s="16" t="n">
        <v>0</v>
      </c>
      <c r="Y79" s="16" t="n">
        <v>37390</v>
      </c>
      <c r="Z79" s="16" t="n">
        <v>37998</v>
      </c>
      <c r="AB79" s="16" t="n">
        <v>37998</v>
      </c>
      <c r="AC79" s="23">
        <f>IF(OR(E79="",E79="[PARENT]"),"ADD",IF(E79="[ALT_VIEW]","ALT",""))</f>
        <v/>
      </c>
      <c r="AD79" s="21">
        <f>IF(Y79&lt;&gt;"",Y79,IF(U79&lt;&gt;"",U79,S79))</f>
        <v/>
      </c>
      <c r="AE79" s="21">
        <f>IF(AB79&lt;&gt;"",AB79,Z79)</f>
        <v/>
      </c>
      <c r="AF79" s="13" t="inlineStr">
        <is>
          <t>P-40 Exhibit &gt; LI 5139 &gt; LCAC SLEP</t>
        </is>
      </c>
      <c r="AG79" s="7" t="inlineStr">
        <is>
          <t>425</t>
        </is>
      </c>
      <c r="AH79" s="7" t="inlineStr">
        <is>
          <t>5139</t>
        </is>
      </c>
    </row>
    <row r="80" ht="10" customHeight="1">
      <c r="A80" s="7" t="inlineStr">
        <is>
          <t>SCN</t>
        </is>
      </c>
      <c r="B80" s="7" t="inlineStr">
        <is>
          <t>Procurement</t>
        </is>
      </c>
      <c r="C80" s="7" t="inlineStr">
        <is>
          <t>5201</t>
        </is>
      </c>
      <c r="D80" s="7" t="inlineStr">
        <is>
          <t>Auxiliary Vessels (Used Sealift)</t>
        </is>
      </c>
      <c r="E80" s="15" t="n"/>
      <c r="I80" s="14" t="n">
        <v>1</v>
      </c>
      <c r="J80" s="7" t="inlineStr">
        <is>
          <t>Full ship DD&amp;C</t>
        </is>
      </c>
      <c r="K80" s="13" t="inlineStr">
        <is>
          <t>MSC</t>
        </is>
      </c>
      <c r="L80" s="7" t="inlineStr">
        <is>
          <t>Auxiliary Ships</t>
        </is>
      </c>
      <c r="M80" s="7" t="inlineStr">
        <is>
          <t>Cargo &amp; Vehicle Cargo Ships</t>
        </is>
      </c>
      <c r="N80" s="7" t="inlineStr">
        <is>
          <t>T-AKR</t>
        </is>
      </c>
      <c r="O80" s="15" t="n"/>
      <c r="P80" s="16" t="n">
        <v>142008</v>
      </c>
      <c r="Q80" s="16" t="n">
        <v>204939</v>
      </c>
      <c r="S80" s="16" t="n">
        <v>45000</v>
      </c>
      <c r="T80" s="16" t="n">
        <v>100000</v>
      </c>
      <c r="U80" s="16" t="n">
        <v>145000</v>
      </c>
      <c r="W80" s="16" t="n">
        <v>0</v>
      </c>
      <c r="X80" s="16" t="n">
        <v>290000</v>
      </c>
      <c r="Y80" s="16" t="n">
        <v>290000</v>
      </c>
      <c r="AA80" s="16" t="n">
        <v>130000</v>
      </c>
      <c r="AB80" s="16" t="n">
        <v>130000</v>
      </c>
      <c r="AC80" s="23">
        <f>IF(OR(E80="",E80="[PARENT]"),"ADD",IF(E80="[ALT_VIEW]","ALT",""))</f>
        <v/>
      </c>
      <c r="AD80" s="21">
        <f>IF(Y80&lt;&gt;"",Y80,IF(U80&lt;&gt;"",U80,S80))</f>
        <v/>
      </c>
      <c r="AE80" s="21">
        <f>IF(AB80&lt;&gt;"",AB80,Z80)</f>
        <v/>
      </c>
      <c r="AF80" s="13" t="inlineStr">
        <is>
          <t>P-40 Exhibit &gt; LI 5201 &gt; Auxiliary Vessels (Used Sealift)</t>
        </is>
      </c>
      <c r="AG80" s="7" t="inlineStr">
        <is>
          <t>429</t>
        </is>
      </c>
      <c r="AH80" s="7" t="inlineStr">
        <is>
          <t>5201</t>
        </is>
      </c>
      <c r="AJ80" s="7" t="inlineStr">
        <is>
          <t>Basic Construction</t>
        </is>
      </c>
    </row>
    <row r="81" ht="10" customHeight="1">
      <c r="A81" s="7" t="inlineStr">
        <is>
          <t>SCN</t>
        </is>
      </c>
      <c r="B81" s="7" t="inlineStr">
        <is>
          <t>Procurement</t>
        </is>
      </c>
      <c r="C81" s="7" t="inlineStr">
        <is>
          <t>5300</t>
        </is>
      </c>
      <c r="D81" s="7" t="inlineStr">
        <is>
          <t>Completion of PY Shipbuilding Programs</t>
        </is>
      </c>
      <c r="E81" s="15" t="n"/>
      <c r="I81" s="14" t="n">
        <v>1</v>
      </c>
      <c r="J81" s="7" t="inlineStr">
        <is>
          <t>Full ship DD&amp;C</t>
        </is>
      </c>
      <c r="K81" s="15" t="n"/>
      <c r="O81" s="15" t="n"/>
      <c r="Q81" s="16" t="n">
        <v>0</v>
      </c>
      <c r="S81" s="16" t="n">
        <v>1214295</v>
      </c>
      <c r="T81" s="16" t="n">
        <v>476551</v>
      </c>
      <c r="U81" s="16" t="n">
        <v>1690846</v>
      </c>
      <c r="W81" s="16" t="n">
        <v>0</v>
      </c>
      <c r="X81" s="16" t="n">
        <v>1676587</v>
      </c>
      <c r="Y81" s="16" t="n">
        <v>1676587</v>
      </c>
      <c r="Z81" s="16" t="n">
        <v>2611990</v>
      </c>
      <c r="AB81" s="16" t="n">
        <v>2611990</v>
      </c>
      <c r="AC81" s="23">
        <f>IF(OR(E81="",E81="[PARENT]"),"ADD",IF(E81="[ALT_VIEW]","ALT",""))</f>
        <v/>
      </c>
      <c r="AD81" s="21">
        <f>IF(Y81&lt;&gt;"",Y81,IF(U81&lt;&gt;"",U81,S81))</f>
        <v/>
      </c>
      <c r="AE81" s="21">
        <f>IF(AB81&lt;&gt;"",AB81,Z81)</f>
        <v/>
      </c>
      <c r="AF81" s="13" t="inlineStr">
        <is>
          <t>P-40 Exhibit &gt; LI 5300 &gt; Completion of PY Shpbldg Progr</t>
        </is>
      </c>
      <c r="AG81" s="7" t="inlineStr">
        <is>
          <t>433</t>
        </is>
      </c>
      <c r="AH81" s="7" t="inlineStr">
        <is>
          <t>5300</t>
        </is>
      </c>
    </row>
    <row r="82" ht="10" customHeight="1">
      <c r="A82" s="7" t="inlineStr">
        <is>
          <t>SCN</t>
        </is>
      </c>
      <c r="B82" s="7" t="inlineStr">
        <is>
          <t>Procurement</t>
        </is>
      </c>
      <c r="D82" s="7" t="inlineStr">
        <is>
          <t>Completion PY - AUX (T-AO Fleet Oiler)</t>
        </is>
      </c>
      <c r="E82" s="13" t="inlineStr">
        <is>
          <t>[SUB]</t>
        </is>
      </c>
      <c r="F82" s="7" t="inlineStr">
        <is>
          <t>5300 / Completion of PY Shpbldg</t>
        </is>
      </c>
      <c r="I82" s="14" t="n">
        <v>1</v>
      </c>
      <c r="J82" s="7" t="inlineStr">
        <is>
          <t>Full ship DD&amp;C</t>
        </is>
      </c>
      <c r="K82" s="13" t="inlineStr">
        <is>
          <t>MSC</t>
        </is>
      </c>
      <c r="L82" s="7" t="inlineStr">
        <is>
          <t>Combatant Ships</t>
        </is>
      </c>
      <c r="M82" s="7" t="inlineStr">
        <is>
          <t>Combat Logistics Ships</t>
        </is>
      </c>
      <c r="N82" s="7" t="inlineStr">
        <is>
          <t>T-AO</t>
        </is>
      </c>
      <c r="O82" s="15" t="n"/>
      <c r="S82" s="16" t="n">
        <v>19238</v>
      </c>
      <c r="T82" s="16" t="n">
        <v>76802</v>
      </c>
      <c r="U82" s="16" t="n">
        <v>96040</v>
      </c>
      <c r="AC82" s="23">
        <f>IF(OR(E82="",E82="[PARENT]"),"ADD",IF(E82="[ALT_VIEW]","ALT",""))</f>
        <v/>
      </c>
      <c r="AD82" s="21">
        <f>IF(Y82&lt;&gt;"",Y82,IF(U82&lt;&gt;"",U82,S82))</f>
        <v/>
      </c>
      <c r="AE82" s="21">
        <f>IF(AB82&lt;&gt;"",AB82,Z82)</f>
        <v/>
      </c>
      <c r="AF82" s="13" t="inlineStr">
        <is>
          <t>P-1 Exhibit &gt; BA 05 &gt; Line 49 &gt; AUX</t>
        </is>
      </c>
      <c r="AG82" s="7" t="inlineStr">
        <is>
          <t>19</t>
        </is>
      </c>
      <c r="AH82" s="7" t="inlineStr">
        <is>
          <t>5300</t>
        </is>
      </c>
    </row>
    <row r="83" ht="10" customHeight="1">
      <c r="A83" s="7" t="inlineStr">
        <is>
          <t>SCN</t>
        </is>
      </c>
      <c r="B83" s="7" t="inlineStr">
        <is>
          <t>Procurement</t>
        </is>
      </c>
      <c r="D83" s="7" t="inlineStr">
        <is>
          <t>Completion PY - MSAUX (T-ATS)</t>
        </is>
      </c>
      <c r="E83" s="13" t="inlineStr">
        <is>
          <t>[SUB]</t>
        </is>
      </c>
      <c r="F83" s="7" t="inlineStr">
        <is>
          <t>5300 / Completion of PY Shpbldg</t>
        </is>
      </c>
      <c r="I83" s="14" t="n">
        <v>1</v>
      </c>
      <c r="J83" s="7" t="inlineStr">
        <is>
          <t>Full ship DD&amp;C</t>
        </is>
      </c>
      <c r="K83" s="13" t="inlineStr">
        <is>
          <t>MSC</t>
        </is>
      </c>
      <c r="L83" s="7" t="inlineStr">
        <is>
          <t>Combatant Ships</t>
        </is>
      </c>
      <c r="M83" s="7" t="inlineStr">
        <is>
          <t>Salvage Ships &amp; Fleet Ocean Tugs</t>
        </is>
      </c>
      <c r="N83" s="7" t="inlineStr">
        <is>
          <t>T-ATS</t>
        </is>
      </c>
      <c r="O83" s="15" t="n"/>
      <c r="S83" s="16" t="n">
        <v>4650</v>
      </c>
      <c r="T83" s="16" t="n">
        <v>14259</v>
      </c>
      <c r="U83" s="16" t="n">
        <v>18909</v>
      </c>
      <c r="AC83" s="23">
        <f>IF(OR(E83="",E83="[PARENT]"),"ADD",IF(E83="[ALT_VIEW]","ALT",""))</f>
        <v/>
      </c>
      <c r="AD83" s="21">
        <f>IF(Y83&lt;&gt;"",Y83,IF(U83&lt;&gt;"",U83,S83))</f>
        <v/>
      </c>
      <c r="AE83" s="21">
        <f>IF(AB83&lt;&gt;"",AB83,Z83)</f>
        <v/>
      </c>
      <c r="AF83" s="13" t="inlineStr">
        <is>
          <t>P-1 Exhibit &gt; BA 05 &gt; Line 49 &gt; MSAUX</t>
        </is>
      </c>
      <c r="AG83" s="7" t="inlineStr">
        <is>
          <t>19</t>
        </is>
      </c>
      <c r="AH83" s="7" t="inlineStr">
        <is>
          <t>5300</t>
        </is>
      </c>
    </row>
    <row r="84" ht="10" customHeight="1">
      <c r="A84" s="7" t="inlineStr">
        <is>
          <t>SCN</t>
        </is>
      </c>
      <c r="B84" s="7" t="inlineStr">
        <is>
          <t>Procurement</t>
        </is>
      </c>
      <c r="D84" s="7" t="inlineStr">
        <is>
          <t>Completion PY - LHA R</t>
        </is>
      </c>
      <c r="E84" s="13" t="inlineStr">
        <is>
          <t>[SUB]</t>
        </is>
      </c>
      <c r="F84" s="7" t="inlineStr">
        <is>
          <t>5300 / Completion of PY Shpbldg</t>
        </is>
      </c>
      <c r="I84" s="14" t="n">
        <v>1</v>
      </c>
      <c r="J84" s="7" t="inlineStr">
        <is>
          <t>Full ship DD&amp;C</t>
        </is>
      </c>
      <c r="K84" s="13" t="inlineStr">
        <is>
          <t>USN</t>
        </is>
      </c>
      <c r="L84" s="7" t="inlineStr">
        <is>
          <t>Combatant Ships</t>
        </is>
      </c>
      <c r="M84" s="7" t="inlineStr">
        <is>
          <t>Amphibious Warfare Ships</t>
        </is>
      </c>
      <c r="N84" s="7" t="inlineStr">
        <is>
          <t>LHA</t>
        </is>
      </c>
      <c r="O84" s="15" t="n"/>
      <c r="S84" s="16" t="n">
        <v>0</v>
      </c>
      <c r="T84" s="16" t="n">
        <v>93603</v>
      </c>
      <c r="U84" s="16" t="n">
        <v>93603</v>
      </c>
      <c r="AC84" s="23">
        <f>IF(OR(E84="",E84="[PARENT]"),"ADD",IF(E84="[ALT_VIEW]","ALT",""))</f>
        <v/>
      </c>
      <c r="AD84" s="21">
        <f>IF(Y84&lt;&gt;"",Y84,IF(U84&lt;&gt;"",U84,S84))</f>
        <v/>
      </c>
      <c r="AE84" s="21">
        <f>IF(AB84&lt;&gt;"",AB84,Z84)</f>
        <v/>
      </c>
      <c r="AF84" s="13" t="inlineStr">
        <is>
          <t>P-1 Exhibit &gt; BA 05 &gt; Line 49 &gt; LHA R</t>
        </is>
      </c>
      <c r="AG84" s="7" t="inlineStr">
        <is>
          <t>19</t>
        </is>
      </c>
      <c r="AH84" s="7" t="inlineStr">
        <is>
          <t>5300</t>
        </is>
      </c>
    </row>
    <row r="85" ht="10" customHeight="1">
      <c r="A85" s="7" t="inlineStr">
        <is>
          <t>SCN</t>
        </is>
      </c>
      <c r="B85" s="7" t="inlineStr">
        <is>
          <t>Procurement</t>
        </is>
      </c>
      <c r="D85" s="7" t="inlineStr">
        <is>
          <t>Completion PY - CVN (Carrier Replacement)</t>
        </is>
      </c>
      <c r="E85" s="13" t="inlineStr">
        <is>
          <t>[SUB]</t>
        </is>
      </c>
      <c r="F85" s="7" t="inlineStr">
        <is>
          <t>5300 / Completion of PY Shpbldg</t>
        </is>
      </c>
      <c r="I85" s="14" t="n">
        <v>1</v>
      </c>
      <c r="J85" s="7" t="inlineStr">
        <is>
          <t>Full ship DD&amp;C</t>
        </is>
      </c>
      <c r="K85" s="13" t="inlineStr">
        <is>
          <t>USN</t>
        </is>
      </c>
      <c r="L85" s="7" t="inlineStr">
        <is>
          <t>Combatant Ships</t>
        </is>
      </c>
      <c r="M85" s="7" t="inlineStr">
        <is>
          <t>Aircraft Carriers</t>
        </is>
      </c>
      <c r="N85" s="7" t="inlineStr">
        <is>
          <t>CVN</t>
        </is>
      </c>
      <c r="O85" s="15" t="n"/>
      <c r="S85" s="16" t="n">
        <v>150000</v>
      </c>
      <c r="U85" s="16" t="n">
        <v>150000</v>
      </c>
      <c r="AC85" s="23">
        <f>IF(OR(E85="",E85="[PARENT]"),"ADD",IF(E85="[ALT_VIEW]","ALT",""))</f>
        <v/>
      </c>
      <c r="AD85" s="21">
        <f>IF(Y85&lt;&gt;"",Y85,IF(U85&lt;&gt;"",U85,S85))</f>
        <v/>
      </c>
      <c r="AE85" s="21">
        <f>IF(AB85&lt;&gt;"",AB85,Z85)</f>
        <v/>
      </c>
      <c r="AF85" s="13" t="inlineStr">
        <is>
          <t>P-1 Exhibit &gt; BA 05 &gt; Line 49 &gt; CVN</t>
        </is>
      </c>
      <c r="AG85" s="7" t="inlineStr">
        <is>
          <t>19</t>
        </is>
      </c>
      <c r="AH85" s="7" t="inlineStr">
        <is>
          <t>5300</t>
        </is>
      </c>
    </row>
    <row r="86" ht="10" customHeight="1">
      <c r="A86" s="7" t="inlineStr">
        <is>
          <t>SCN</t>
        </is>
      </c>
      <c r="B86" s="7" t="inlineStr">
        <is>
          <t>Procurement</t>
        </is>
      </c>
      <c r="D86" s="7" t="inlineStr">
        <is>
          <t>Completion PY - SSN-774 (Virginia Class)</t>
        </is>
      </c>
      <c r="E86" s="13" t="inlineStr">
        <is>
          <t>[SUB]</t>
        </is>
      </c>
      <c r="F86" s="7" t="inlineStr">
        <is>
          <t>5300 / Completion of PY Shpbldg</t>
        </is>
      </c>
      <c r="I86" s="14" t="n">
        <v>1</v>
      </c>
      <c r="J86" s="7" t="inlineStr">
        <is>
          <t>Full ship DD&amp;C</t>
        </is>
      </c>
      <c r="K86" s="13" t="inlineStr">
        <is>
          <t>USN</t>
        </is>
      </c>
      <c r="L86" s="7" t="inlineStr">
        <is>
          <t>Combatant Ships</t>
        </is>
      </c>
      <c r="M86" s="7" t="inlineStr">
        <is>
          <t>Submarines</t>
        </is>
      </c>
      <c r="N86" s="7" t="inlineStr">
        <is>
          <t>SSN</t>
        </is>
      </c>
      <c r="O86" s="15" t="n"/>
      <c r="S86" s="16" t="n">
        <v>510415</v>
      </c>
      <c r="U86" s="16" t="n">
        <v>510415</v>
      </c>
      <c r="AC86" s="23">
        <f>IF(OR(E86="",E86="[PARENT]"),"ADD",IF(E86="[ALT_VIEW]","ALT",""))</f>
        <v/>
      </c>
      <c r="AD86" s="21">
        <f>IF(Y86&lt;&gt;"",Y86,IF(U86&lt;&gt;"",U86,S86))</f>
        <v/>
      </c>
      <c r="AE86" s="21">
        <f>IF(AB86&lt;&gt;"",AB86,Z86)</f>
        <v/>
      </c>
      <c r="AF86" s="13" t="inlineStr">
        <is>
          <t>P-1 Exhibit &gt; BA 05 &gt; Line 49 &gt; SSN-774</t>
        </is>
      </c>
      <c r="AG86" s="7" t="inlineStr">
        <is>
          <t>19</t>
        </is>
      </c>
      <c r="AH86" s="7" t="inlineStr">
        <is>
          <t>5300</t>
        </is>
      </c>
    </row>
    <row r="87" ht="10" customHeight="1">
      <c r="A87" s="7" t="inlineStr">
        <is>
          <t>SCN</t>
        </is>
      </c>
      <c r="B87" s="7" t="inlineStr">
        <is>
          <t>Procurement</t>
        </is>
      </c>
      <c r="D87" s="7" t="inlineStr">
        <is>
          <t>Completion PY - TAGOS</t>
        </is>
      </c>
      <c r="E87" s="13" t="inlineStr">
        <is>
          <t>[SUB]</t>
        </is>
      </c>
      <c r="F87" s="7" t="inlineStr">
        <is>
          <t>5300 / Completion of PY Shpbldg</t>
        </is>
      </c>
      <c r="I87" s="14" t="n">
        <v>1</v>
      </c>
      <c r="J87" s="7" t="inlineStr">
        <is>
          <t>Full ship DD&amp;C</t>
        </is>
      </c>
      <c r="K87" s="13" t="inlineStr">
        <is>
          <t>MSC</t>
        </is>
      </c>
      <c r="L87" s="7" t="inlineStr">
        <is>
          <t>Combatant Ships</t>
        </is>
      </c>
      <c r="M87" s="7" t="inlineStr">
        <is>
          <t>Surveillance Ships</t>
        </is>
      </c>
      <c r="N87" s="7" t="inlineStr">
        <is>
          <t>T-AGOS</t>
        </is>
      </c>
      <c r="O87" s="15" t="n"/>
      <c r="S87" s="16" t="n">
        <v>8400</v>
      </c>
      <c r="T87" s="16" t="n">
        <v>21600</v>
      </c>
      <c r="U87" s="16" t="n">
        <v>30000</v>
      </c>
      <c r="AC87" s="23">
        <f>IF(OR(E87="",E87="[PARENT]"),"ADD",IF(E87="[ALT_VIEW]","ALT",""))</f>
        <v/>
      </c>
      <c r="AD87" s="21">
        <f>IF(Y87&lt;&gt;"",Y87,IF(U87&lt;&gt;"",U87,S87))</f>
        <v/>
      </c>
      <c r="AE87" s="21">
        <f>IF(AB87&lt;&gt;"",AB87,Z87)</f>
        <v/>
      </c>
      <c r="AF87" s="13" t="inlineStr">
        <is>
          <t>P-1 Exhibit &gt; BA 05 &gt; Line 49 &gt; TAGOS</t>
        </is>
      </c>
      <c r="AG87" s="7" t="inlineStr">
        <is>
          <t>19</t>
        </is>
      </c>
      <c r="AH87" s="7" t="inlineStr">
        <is>
          <t>5300</t>
        </is>
      </c>
    </row>
    <row r="88" ht="10" customHeight="1">
      <c r="A88" s="7" t="inlineStr">
        <is>
          <t>SCN</t>
        </is>
      </c>
      <c r="B88" s="7" t="inlineStr">
        <is>
          <t>Procurement</t>
        </is>
      </c>
      <c r="D88" s="7" t="inlineStr">
        <is>
          <t>Completion PY - CVN RCOH</t>
        </is>
      </c>
      <c r="E88" s="13" t="inlineStr">
        <is>
          <t>[SUB]</t>
        </is>
      </c>
      <c r="F88" s="7" t="inlineStr">
        <is>
          <t>5300 / Completion of PY Shpbldg</t>
        </is>
      </c>
      <c r="I88" s="14" t="n">
        <v>5</v>
      </c>
      <c r="J88" s="7" t="inlineStr">
        <is>
          <t>RCOH</t>
        </is>
      </c>
      <c r="K88" s="13" t="inlineStr">
        <is>
          <t>USN</t>
        </is>
      </c>
      <c r="L88" s="7" t="inlineStr">
        <is>
          <t>Combatant Ships</t>
        </is>
      </c>
      <c r="M88" s="7" t="inlineStr">
        <is>
          <t>Aircraft Carriers</t>
        </is>
      </c>
      <c r="N88" s="7" t="inlineStr">
        <is>
          <t>CVN</t>
        </is>
      </c>
      <c r="O88" s="15" t="n"/>
      <c r="S88" s="16" t="n">
        <v>483100</v>
      </c>
      <c r="U88" s="16" t="n">
        <v>483100</v>
      </c>
      <c r="AC88" s="23">
        <f>IF(OR(E88="",E88="[PARENT]"),"ADD",IF(E88="[ALT_VIEW]","ALT",""))</f>
        <v/>
      </c>
      <c r="AD88" s="21">
        <f>IF(Y88&lt;&gt;"",Y88,IF(U88&lt;&gt;"",U88,S88))</f>
        <v/>
      </c>
      <c r="AE88" s="21">
        <f>IF(AB88&lt;&gt;"",AB88,Z88)</f>
        <v/>
      </c>
      <c r="AF88" s="13" t="inlineStr">
        <is>
          <t>P-1 Exhibit &gt; BA 05 &gt; Line 49 &gt; CVN RCOH</t>
        </is>
      </c>
      <c r="AG88" s="7" t="inlineStr">
        <is>
          <t>19</t>
        </is>
      </c>
      <c r="AH88" s="7" t="inlineStr">
        <is>
          <t>5300</t>
        </is>
      </c>
    </row>
    <row r="89" ht="10" customHeight="1">
      <c r="A89" s="7" t="inlineStr">
        <is>
          <t>SCN</t>
        </is>
      </c>
      <c r="B89" s="7" t="inlineStr">
        <is>
          <t>Procurement</t>
        </is>
      </c>
      <c r="D89" s="7" t="inlineStr">
        <is>
          <t>Completion PY - LCS</t>
        </is>
      </c>
      <c r="E89" s="13" t="inlineStr">
        <is>
          <t>[SUB]</t>
        </is>
      </c>
      <c r="F89" s="7" t="inlineStr">
        <is>
          <t>5300 / Completion of PY Shpbldg</t>
        </is>
      </c>
      <c r="I89" s="14" t="n">
        <v>1</v>
      </c>
      <c r="J89" s="7" t="inlineStr">
        <is>
          <t>Full ship DD&amp;C</t>
        </is>
      </c>
      <c r="K89" s="13" t="inlineStr">
        <is>
          <t>USN</t>
        </is>
      </c>
      <c r="L89" s="7" t="inlineStr">
        <is>
          <t>Combatant Ships</t>
        </is>
      </c>
      <c r="M89" s="7" t="inlineStr">
        <is>
          <t>Surface Combatants</t>
        </is>
      </c>
      <c r="N89" s="7" t="inlineStr">
        <is>
          <t>LCS</t>
        </is>
      </c>
      <c r="O89" s="15" t="n"/>
      <c r="S89" s="16" t="n">
        <v>5766</v>
      </c>
      <c r="U89" s="16" t="n">
        <v>5766</v>
      </c>
      <c r="AC89" s="23">
        <f>IF(OR(E89="",E89="[PARENT]"),"ADD",IF(E89="[ALT_VIEW]","ALT",""))</f>
        <v/>
      </c>
      <c r="AD89" s="21">
        <f>IF(Y89&lt;&gt;"",Y89,IF(U89&lt;&gt;"",U89,S89))</f>
        <v/>
      </c>
      <c r="AE89" s="21">
        <f>IF(AB89&lt;&gt;"",AB89,Z89)</f>
        <v/>
      </c>
      <c r="AF89" s="13" t="inlineStr">
        <is>
          <t>P-1 Exhibit &gt; BA 05 &gt; Line 49 &gt; LCS</t>
        </is>
      </c>
      <c r="AG89" s="7" t="inlineStr">
        <is>
          <t>19</t>
        </is>
      </c>
      <c r="AH89" s="7" t="inlineStr">
        <is>
          <t>5300</t>
        </is>
      </c>
    </row>
    <row r="90" ht="10" customHeight="1">
      <c r="A90" s="7" t="inlineStr">
        <is>
          <t>SCN</t>
        </is>
      </c>
      <c r="B90" s="7" t="inlineStr">
        <is>
          <t>Procurement</t>
        </is>
      </c>
      <c r="D90" s="7" t="inlineStr">
        <is>
          <t>Completion PY - JHSV (EPF)</t>
        </is>
      </c>
      <c r="E90" s="13" t="inlineStr">
        <is>
          <t>[SUB]</t>
        </is>
      </c>
      <c r="F90" s="7" t="inlineStr">
        <is>
          <t>5300 / Completion of PY Shpbldg</t>
        </is>
      </c>
      <c r="I90" s="14" t="n">
        <v>1</v>
      </c>
      <c r="J90" s="7" t="inlineStr">
        <is>
          <t>Full ship DD&amp;C</t>
        </is>
      </c>
      <c r="K90" s="13" t="inlineStr">
        <is>
          <t>MSC</t>
        </is>
      </c>
      <c r="L90" s="7" t="inlineStr">
        <is>
          <t>Combatant Ships</t>
        </is>
      </c>
      <c r="M90" s="7" t="inlineStr">
        <is>
          <t>Expeditionary &amp; Seabasing Ships</t>
        </is>
      </c>
      <c r="N90" s="7" t="inlineStr">
        <is>
          <t>T-EPF</t>
        </is>
      </c>
      <c r="O90" s="15" t="n"/>
      <c r="S90" s="16" t="n">
        <v>11231</v>
      </c>
      <c r="U90" s="16" t="n">
        <v>11231</v>
      </c>
      <c r="AC90" s="23">
        <f>IF(OR(E90="",E90="[PARENT]"),"ADD",IF(E90="[ALT_VIEW]","ALT",""))</f>
        <v/>
      </c>
      <c r="AD90" s="21">
        <f>IF(Y90&lt;&gt;"",Y90,IF(U90&lt;&gt;"",U90,S90))</f>
        <v/>
      </c>
      <c r="AE90" s="21">
        <f>IF(AB90&lt;&gt;"",AB90,Z90)</f>
        <v/>
      </c>
      <c r="AF90" s="13" t="inlineStr">
        <is>
          <t>P-1 Exhibit &gt; BA 05 &gt; Line 49 &gt; JHSV</t>
        </is>
      </c>
      <c r="AG90" s="7" t="inlineStr">
        <is>
          <t>19</t>
        </is>
      </c>
      <c r="AH90" s="7" t="inlineStr">
        <is>
          <t>5300</t>
        </is>
      </c>
    </row>
    <row r="91" ht="10" customHeight="1">
      <c r="A91" s="7" t="inlineStr">
        <is>
          <t>SCN</t>
        </is>
      </c>
      <c r="B91" s="7" t="inlineStr">
        <is>
          <t>Procurement</t>
        </is>
      </c>
      <c r="D91" s="7" t="inlineStr">
        <is>
          <t>Completion PY - DDG</t>
        </is>
      </c>
      <c r="E91" s="13" t="inlineStr">
        <is>
          <t>[SUB]</t>
        </is>
      </c>
      <c r="F91" s="7" t="inlineStr">
        <is>
          <t>5300 / Completion of PY Shpbldg</t>
        </is>
      </c>
      <c r="I91" s="14" t="n">
        <v>1</v>
      </c>
      <c r="J91" s="7" t="inlineStr">
        <is>
          <t>Full ship DD&amp;C</t>
        </is>
      </c>
      <c r="K91" s="13" t="inlineStr">
        <is>
          <t>USN</t>
        </is>
      </c>
      <c r="L91" s="7" t="inlineStr">
        <is>
          <t>Combatant Ships</t>
        </is>
      </c>
      <c r="M91" s="7" t="inlineStr">
        <is>
          <t>Surface Combatants</t>
        </is>
      </c>
      <c r="N91" s="7" t="inlineStr">
        <is>
          <t>DDG</t>
        </is>
      </c>
      <c r="O91" s="15" t="n"/>
      <c r="S91" s="16" t="n">
        <v>0</v>
      </c>
      <c r="T91" s="16" t="n">
        <v>176845</v>
      </c>
      <c r="U91" s="16" t="n">
        <v>176845</v>
      </c>
      <c r="AC91" s="23">
        <f>IF(OR(E91="",E91="[PARENT]"),"ADD",IF(E91="[ALT_VIEW]","ALT",""))</f>
        <v/>
      </c>
      <c r="AD91" s="21">
        <f>IF(Y91&lt;&gt;"",Y91,IF(U91&lt;&gt;"",U91,S91))</f>
        <v/>
      </c>
      <c r="AE91" s="21">
        <f>IF(AB91&lt;&gt;"",AB91,Z91)</f>
        <v/>
      </c>
      <c r="AF91" s="13" t="inlineStr">
        <is>
          <t>P-1 Exhibit &gt; BA 05 &gt; Line 49 &gt; DDG</t>
        </is>
      </c>
      <c r="AG91" s="7" t="inlineStr">
        <is>
          <t>19</t>
        </is>
      </c>
      <c r="AH91" s="7" t="inlineStr">
        <is>
          <t>5300</t>
        </is>
      </c>
    </row>
    <row r="92" ht="10" customHeight="1">
      <c r="A92" s="7" t="inlineStr">
        <is>
          <t>SCN</t>
        </is>
      </c>
      <c r="B92" s="7" t="inlineStr">
        <is>
          <t>Procurement</t>
        </is>
      </c>
      <c r="D92" s="7" t="inlineStr">
        <is>
          <t>Completion PY - LPD 17</t>
        </is>
      </c>
      <c r="E92" s="13" t="inlineStr">
        <is>
          <t>[SUB]</t>
        </is>
      </c>
      <c r="F92" s="7" t="inlineStr">
        <is>
          <t>5300 / Completion of PY Shpbldg</t>
        </is>
      </c>
      <c r="I92" s="14" t="n">
        <v>1</v>
      </c>
      <c r="J92" s="7" t="inlineStr">
        <is>
          <t>Full ship DD&amp;C</t>
        </is>
      </c>
      <c r="K92" s="13" t="inlineStr">
        <is>
          <t>USN</t>
        </is>
      </c>
      <c r="L92" s="7" t="inlineStr">
        <is>
          <t>Combatant Ships</t>
        </is>
      </c>
      <c r="M92" s="7" t="inlineStr">
        <is>
          <t>Amphibious Warfare Ships</t>
        </is>
      </c>
      <c r="N92" s="7" t="inlineStr">
        <is>
          <t>LPD</t>
        </is>
      </c>
      <c r="O92" s="15" t="n"/>
      <c r="S92" s="16" t="n">
        <v>0</v>
      </c>
      <c r="T92" s="16" t="n">
        <v>93442</v>
      </c>
      <c r="U92" s="16" t="n">
        <v>93442</v>
      </c>
      <c r="AC92" s="23">
        <f>IF(OR(E92="",E92="[PARENT]"),"ADD",IF(E92="[ALT_VIEW]","ALT",""))</f>
        <v/>
      </c>
      <c r="AD92" s="21">
        <f>IF(Y92&lt;&gt;"",Y92,IF(U92&lt;&gt;"",U92,S92))</f>
        <v/>
      </c>
      <c r="AE92" s="21">
        <f>IF(AB92&lt;&gt;"",AB92,Z92)</f>
        <v/>
      </c>
      <c r="AF92" s="13" t="inlineStr">
        <is>
          <t>P-1 Exhibit &gt; BA 05 &gt; Line 49 &gt; LPD 17</t>
        </is>
      </c>
      <c r="AG92" s="7" t="inlineStr">
        <is>
          <t>19</t>
        </is>
      </c>
      <c r="AH92" s="7" t="inlineStr">
        <is>
          <t>5300</t>
        </is>
      </c>
    </row>
    <row r="93" ht="10" customHeight="1">
      <c r="A93" s="7" t="inlineStr">
        <is>
          <t>SCN</t>
        </is>
      </c>
      <c r="B93" s="7" t="inlineStr">
        <is>
          <t>Procurement</t>
        </is>
      </c>
      <c r="D93" s="7" t="inlineStr">
        <is>
          <t>Completion PY - TAGS</t>
        </is>
      </c>
      <c r="E93" s="13" t="inlineStr">
        <is>
          <t>[SUB]</t>
        </is>
      </c>
      <c r="F93" s="7" t="inlineStr">
        <is>
          <t>5300 / Completion of PY Shpbldg</t>
        </is>
      </c>
      <c r="I93" s="14" t="n">
        <v>1</v>
      </c>
      <c r="J93" s="7" t="inlineStr">
        <is>
          <t>Full ship DD&amp;C</t>
        </is>
      </c>
      <c r="K93" s="13" t="inlineStr">
        <is>
          <t>MSC</t>
        </is>
      </c>
      <c r="L93" s="7" t="inlineStr">
        <is>
          <t>Auxiliary Ships</t>
        </is>
      </c>
      <c r="M93" s="7" t="inlineStr">
        <is>
          <t>Research, Survey &amp; Instrumentation Ships</t>
        </is>
      </c>
      <c r="N93" s="7" t="inlineStr">
        <is>
          <t>T-AGS</t>
        </is>
      </c>
      <c r="O93" s="15" t="n"/>
      <c r="S93" s="16" t="n">
        <v>6015</v>
      </c>
      <c r="U93" s="16" t="n">
        <v>6015</v>
      </c>
      <c r="AC93" s="23">
        <f>IF(OR(E93="",E93="[PARENT]"),"ADD",IF(E93="[ALT_VIEW]","ALT",""))</f>
        <v/>
      </c>
      <c r="AD93" s="21">
        <f>IF(Y93&lt;&gt;"",Y93,IF(U93&lt;&gt;"",U93,S93))</f>
        <v/>
      </c>
      <c r="AE93" s="21">
        <f>IF(AB93&lt;&gt;"",AB93,Z93)</f>
        <v/>
      </c>
      <c r="AF93" s="13" t="inlineStr">
        <is>
          <t>P-1 Exhibit &gt; BA 05 &gt; Line 49 &gt; TAGS</t>
        </is>
      </c>
      <c r="AG93" s="7" t="inlineStr">
        <is>
          <t>19</t>
        </is>
      </c>
      <c r="AH93" s="7" t="inlineStr">
        <is>
          <t>5300</t>
        </is>
      </c>
    </row>
    <row r="94" ht="10" customHeight="1">
      <c r="A94" s="7" t="inlineStr">
        <is>
          <t>SCN</t>
        </is>
      </c>
      <c r="B94" s="7" t="inlineStr">
        <is>
          <t>Procurement</t>
        </is>
      </c>
      <c r="D94" s="7" t="inlineStr">
        <is>
          <t>Completion PY - LCAC (Ship to Shore Connector)</t>
        </is>
      </c>
      <c r="E94" s="13" t="inlineStr">
        <is>
          <t>[SUB]</t>
        </is>
      </c>
      <c r="F94" s="7" t="inlineStr">
        <is>
          <t>5300 / Completion of PY Shpbldg</t>
        </is>
      </c>
      <c r="I94" s="14" t="n">
        <v>1</v>
      </c>
      <c r="J94" s="7" t="inlineStr">
        <is>
          <t>Full ship DD&amp;C</t>
        </is>
      </c>
      <c r="K94" s="13" t="inlineStr">
        <is>
          <t>USN</t>
        </is>
      </c>
      <c r="L94" s="7" t="inlineStr">
        <is>
          <t>Combatant Crafts</t>
        </is>
      </c>
      <c r="M94" s="7" t="inlineStr">
        <is>
          <t>Amphibious Warfare Craft</t>
        </is>
      </c>
      <c r="N94" s="7" t="inlineStr">
        <is>
          <t>LCAC</t>
        </is>
      </c>
      <c r="O94" s="15" t="n"/>
      <c r="S94" s="16" t="n">
        <v>15480</v>
      </c>
      <c r="U94" s="16" t="n">
        <v>15480</v>
      </c>
      <c r="AC94" s="23">
        <f>IF(OR(E94="",E94="[PARENT]"),"ADD",IF(E94="[ALT_VIEW]","ALT",""))</f>
        <v/>
      </c>
      <c r="AD94" s="21">
        <f>IF(Y94&lt;&gt;"",Y94,IF(U94&lt;&gt;"",U94,S94))</f>
        <v/>
      </c>
      <c r="AE94" s="21">
        <f>IF(AB94&lt;&gt;"",AB94,Z94)</f>
        <v/>
      </c>
      <c r="AF94" s="13" t="inlineStr">
        <is>
          <t>P-1 Exhibit &gt; BA 05 &gt; Line 49 &gt; LCAC</t>
        </is>
      </c>
      <c r="AG94" s="7" t="inlineStr">
        <is>
          <t>19</t>
        </is>
      </c>
      <c r="AH94" s="7" t="inlineStr">
        <is>
          <t>5300</t>
        </is>
      </c>
    </row>
    <row r="95" ht="10" customHeight="1">
      <c r="A95" s="7" t="inlineStr">
        <is>
          <t>SCN</t>
        </is>
      </c>
      <c r="B95" s="7" t="inlineStr">
        <is>
          <t>Procurement</t>
        </is>
      </c>
      <c r="D95" s="7" t="inlineStr">
        <is>
          <t>COLUMBIA Class Submarine - P-5c - Plan Costs</t>
        </is>
      </c>
      <c r="E95" s="13" t="inlineStr">
        <is>
          <t>[ALT_VIEW]</t>
        </is>
      </c>
      <c r="F95" s="7" t="inlineStr">
        <is>
          <t>1045 / COLUMBIA Class Submarine</t>
        </is>
      </c>
      <c r="G95" s="7" t="inlineStr">
        <is>
          <t>P-5c</t>
        </is>
      </c>
      <c r="H95" s="7" t="inlineStr">
        <is>
          <t>Plan Costs</t>
        </is>
      </c>
      <c r="I95" s="14" t="n">
        <v>1</v>
      </c>
      <c r="J95" s="7" t="inlineStr">
        <is>
          <t>Full ship DD&amp;C</t>
        </is>
      </c>
      <c r="K95" s="13" t="inlineStr">
        <is>
          <t>USN</t>
        </is>
      </c>
      <c r="L95" s="7" t="inlineStr">
        <is>
          <t>Combatant Ships</t>
        </is>
      </c>
      <c r="M95" s="7" t="inlineStr">
        <is>
          <t>Submarines</t>
        </is>
      </c>
      <c r="N95" s="7" t="inlineStr">
        <is>
          <t>SSBN</t>
        </is>
      </c>
      <c r="O95" s="15" t="n"/>
      <c r="P95" s="16" t="n">
        <v>1443300</v>
      </c>
      <c r="S95" s="16" t="n">
        <v>969560</v>
      </c>
      <c r="U95" s="16" t="n">
        <v>969560</v>
      </c>
      <c r="AC95" s="23">
        <f>IF(OR(E95="",E95="[PARENT]"),"ADD",IF(E95="[ALT_VIEW]","ALT",""))</f>
        <v/>
      </c>
      <c r="AD95" s="21">
        <f>IF(Y95&lt;&gt;"",Y95,IF(U95&lt;&gt;"",U95,S95))</f>
        <v/>
      </c>
      <c r="AE95" s="21">
        <f>IF(AB95&lt;&gt;"",AB95,Z95)</f>
        <v/>
      </c>
      <c r="AF95" s="13" t="inlineStr">
        <is>
          <t>P-5c &gt; COLUMBIA Class Submarine &gt; Plan Costs</t>
        </is>
      </c>
      <c r="AG95" s="7" t="inlineStr">
        <is>
          <t>35</t>
        </is>
      </c>
      <c r="AH95" s="7" t="inlineStr">
        <is>
          <t>1045</t>
        </is>
      </c>
      <c r="AJ95" s="7" t="inlineStr">
        <is>
          <t>Plan</t>
        </is>
      </c>
    </row>
    <row r="96" ht="10" customHeight="1">
      <c r="A96" s="7" t="inlineStr">
        <is>
          <t>SCN</t>
        </is>
      </c>
      <c r="B96" s="7" t="inlineStr">
        <is>
          <t>Procurement</t>
        </is>
      </c>
      <c r="D96" s="7" t="inlineStr">
        <is>
          <t>COLUMBIA Class Submarine - P-5c - Basic Construction</t>
        </is>
      </c>
      <c r="E96" s="13" t="inlineStr">
        <is>
          <t>[ALT_VIEW]</t>
        </is>
      </c>
      <c r="F96" s="7" t="inlineStr">
        <is>
          <t>1045 / COLUMBIA Class Submarine</t>
        </is>
      </c>
      <c r="G96" s="7" t="inlineStr">
        <is>
          <t>P-5c</t>
        </is>
      </c>
      <c r="H96" s="7" t="inlineStr">
        <is>
          <t>Basic Construction</t>
        </is>
      </c>
      <c r="I96" s="14" t="n">
        <v>1</v>
      </c>
      <c r="J96" s="7" t="inlineStr">
        <is>
          <t>Full ship DD&amp;C</t>
        </is>
      </c>
      <c r="K96" s="13" t="inlineStr">
        <is>
          <t>USN</t>
        </is>
      </c>
      <c r="L96" s="7" t="inlineStr">
        <is>
          <t>Combatant Ships</t>
        </is>
      </c>
      <c r="M96" s="7" t="inlineStr">
        <is>
          <t>Submarines</t>
        </is>
      </c>
      <c r="N96" s="7" t="inlineStr">
        <is>
          <t>SSBN</t>
        </is>
      </c>
      <c r="O96" s="15" t="n"/>
      <c r="P96" s="16" t="n">
        <v>6355733</v>
      </c>
      <c r="S96" s="16" t="n">
        <v>7127344</v>
      </c>
      <c r="U96" s="16" t="n">
        <v>7127344</v>
      </c>
      <c r="AC96" s="23">
        <f>IF(OR(E96="",E96="[PARENT]"),"ADD",IF(E96="[ALT_VIEW]","ALT",""))</f>
        <v/>
      </c>
      <c r="AD96" s="21">
        <f>IF(Y96&lt;&gt;"",Y96,IF(U96&lt;&gt;"",U96,S96))</f>
        <v/>
      </c>
      <c r="AE96" s="21">
        <f>IF(AB96&lt;&gt;"",AB96,Z96)</f>
        <v/>
      </c>
      <c r="AF96" s="13" t="inlineStr">
        <is>
          <t>P-5c &gt; COLUMBIA Class Submarine &gt; Basic Construction</t>
        </is>
      </c>
      <c r="AG96" s="7" t="inlineStr">
        <is>
          <t>35</t>
        </is>
      </c>
      <c r="AH96" s="7" t="inlineStr">
        <is>
          <t>1045</t>
        </is>
      </c>
      <c r="AJ96" s="7" t="inlineStr">
        <is>
          <t>Basic Construction</t>
        </is>
      </c>
    </row>
    <row r="97" ht="10" customHeight="1">
      <c r="A97" s="7" t="inlineStr">
        <is>
          <t>SCN</t>
        </is>
      </c>
      <c r="B97" s="7" t="inlineStr">
        <is>
          <t>Procurement</t>
        </is>
      </c>
      <c r="D97" s="7" t="inlineStr">
        <is>
          <t>COLUMBIA Class Submarine - P-5c - Change Orders</t>
        </is>
      </c>
      <c r="E97" s="13" t="inlineStr">
        <is>
          <t>[ALT_VIEW]</t>
        </is>
      </c>
      <c r="F97" s="7" t="inlineStr">
        <is>
          <t>1045 / COLUMBIA Class Submarine</t>
        </is>
      </c>
      <c r="G97" s="7" t="inlineStr">
        <is>
          <t>P-5c</t>
        </is>
      </c>
      <c r="H97" s="7" t="inlineStr">
        <is>
          <t>Change Orders</t>
        </is>
      </c>
      <c r="I97" s="14" t="n">
        <v>1</v>
      </c>
      <c r="J97" s="7" t="inlineStr">
        <is>
          <t>Full ship DD&amp;C</t>
        </is>
      </c>
      <c r="K97" s="13" t="inlineStr">
        <is>
          <t>USN</t>
        </is>
      </c>
      <c r="L97" s="7" t="inlineStr">
        <is>
          <t>Combatant Ships</t>
        </is>
      </c>
      <c r="M97" s="7" t="inlineStr">
        <is>
          <t>Submarines</t>
        </is>
      </c>
      <c r="N97" s="7" t="inlineStr">
        <is>
          <t>SSBN</t>
        </is>
      </c>
      <c r="O97" s="15" t="n"/>
      <c r="P97" s="16" t="n">
        <v>143242</v>
      </c>
      <c r="S97" s="16" t="n">
        <v>179217</v>
      </c>
      <c r="U97" s="16" t="n">
        <v>179217</v>
      </c>
      <c r="AC97" s="23">
        <f>IF(OR(E97="",E97="[PARENT]"),"ADD",IF(E97="[ALT_VIEW]","ALT",""))</f>
        <v/>
      </c>
      <c r="AD97" s="21">
        <f>IF(Y97&lt;&gt;"",Y97,IF(U97&lt;&gt;"",U97,S97))</f>
        <v/>
      </c>
      <c r="AE97" s="21">
        <f>IF(AB97&lt;&gt;"",AB97,Z97)</f>
        <v/>
      </c>
      <c r="AF97" s="13" t="inlineStr">
        <is>
          <t>P-5c &gt; COLUMBIA Class Submarine &gt; Change Orders</t>
        </is>
      </c>
      <c r="AG97" s="7" t="inlineStr">
        <is>
          <t>35</t>
        </is>
      </c>
      <c r="AH97" s="7" t="inlineStr">
        <is>
          <t>1045</t>
        </is>
      </c>
      <c r="AJ97" s="7" t="inlineStr">
        <is>
          <t>Change Orders</t>
        </is>
      </c>
    </row>
    <row r="98" ht="10" customHeight="1">
      <c r="A98" s="7" t="inlineStr">
        <is>
          <t>SCN</t>
        </is>
      </c>
      <c r="B98" s="7" t="inlineStr">
        <is>
          <t>Procurement</t>
        </is>
      </c>
      <c r="D98" s="7" t="inlineStr">
        <is>
          <t>COLUMBIA Class Submarine - P-5c - Electronics</t>
        </is>
      </c>
      <c r="E98" s="13" t="inlineStr">
        <is>
          <t>[ALT_VIEW]</t>
        </is>
      </c>
      <c r="F98" s="7" t="inlineStr">
        <is>
          <t>1045 / COLUMBIA Class Submarine</t>
        </is>
      </c>
      <c r="G98" s="7" t="inlineStr">
        <is>
          <t>P-5c</t>
        </is>
      </c>
      <c r="H98" s="7" t="inlineStr">
        <is>
          <t>Electronics</t>
        </is>
      </c>
      <c r="I98" s="14" t="n">
        <v>1</v>
      </c>
      <c r="J98" s="7" t="inlineStr">
        <is>
          <t>Full ship DD&amp;C</t>
        </is>
      </c>
      <c r="K98" s="13" t="inlineStr">
        <is>
          <t>USN</t>
        </is>
      </c>
      <c r="L98" s="7" t="inlineStr">
        <is>
          <t>Combatant Ships</t>
        </is>
      </c>
      <c r="M98" s="7" t="inlineStr">
        <is>
          <t>Submarines</t>
        </is>
      </c>
      <c r="N98" s="7" t="inlineStr">
        <is>
          <t>SSBN</t>
        </is>
      </c>
      <c r="O98" s="15" t="n"/>
      <c r="P98" s="16" t="n">
        <v>349701</v>
      </c>
      <c r="S98" s="16" t="n">
        <v>361283</v>
      </c>
      <c r="U98" s="16" t="n">
        <v>361283</v>
      </c>
      <c r="AC98" s="23">
        <f>IF(OR(E98="",E98="[PARENT]"),"ADD",IF(E98="[ALT_VIEW]","ALT",""))</f>
        <v/>
      </c>
      <c r="AD98" s="21">
        <f>IF(Y98&lt;&gt;"",Y98,IF(U98&lt;&gt;"",U98,S98))</f>
        <v/>
      </c>
      <c r="AE98" s="21">
        <f>IF(AB98&lt;&gt;"",AB98,Z98)</f>
        <v/>
      </c>
      <c r="AF98" s="13" t="inlineStr">
        <is>
          <t>P-5c &gt; COLUMBIA Class Submarine &gt; Electronics</t>
        </is>
      </c>
      <c r="AG98" s="7" t="inlineStr">
        <is>
          <t>35</t>
        </is>
      </c>
      <c r="AH98" s="7" t="inlineStr">
        <is>
          <t>1045</t>
        </is>
      </c>
    </row>
    <row r="99" ht="10" customHeight="1">
      <c r="A99" s="7" t="inlineStr">
        <is>
          <t>SCN</t>
        </is>
      </c>
      <c r="B99" s="7" t="inlineStr">
        <is>
          <t>Procurement</t>
        </is>
      </c>
      <c r="D99" s="7" t="inlineStr">
        <is>
          <t>COLUMBIA Class Submarine - P-5c - Propulsion Equipment</t>
        </is>
      </c>
      <c r="E99" s="13" t="inlineStr">
        <is>
          <t>[ALT_VIEW]</t>
        </is>
      </c>
      <c r="F99" s="7" t="inlineStr">
        <is>
          <t>1045 / COLUMBIA Class Submarine</t>
        </is>
      </c>
      <c r="G99" s="7" t="inlineStr">
        <is>
          <t>P-5c</t>
        </is>
      </c>
      <c r="H99" s="7" t="inlineStr">
        <is>
          <t>Propulsion Equipment</t>
        </is>
      </c>
      <c r="I99" s="14" t="n">
        <v>1</v>
      </c>
      <c r="J99" s="7" t="inlineStr">
        <is>
          <t>Full ship DD&amp;C</t>
        </is>
      </c>
      <c r="K99" s="13" t="inlineStr">
        <is>
          <t>USN</t>
        </is>
      </c>
      <c r="L99" s="7" t="inlineStr">
        <is>
          <t>Combatant Ships</t>
        </is>
      </c>
      <c r="M99" s="7" t="inlineStr">
        <is>
          <t>Submarines</t>
        </is>
      </c>
      <c r="N99" s="7" t="inlineStr">
        <is>
          <t>SSBN</t>
        </is>
      </c>
      <c r="O99" s="15" t="n"/>
      <c r="P99" s="16" t="n">
        <v>1613999</v>
      </c>
      <c r="S99" s="16" t="n">
        <v>1294878</v>
      </c>
      <c r="U99" s="16" t="n">
        <v>1294878</v>
      </c>
      <c r="AC99" s="23">
        <f>IF(OR(E99="",E99="[PARENT]"),"ADD",IF(E99="[ALT_VIEW]","ALT",""))</f>
        <v/>
      </c>
      <c r="AD99" s="21">
        <f>IF(Y99&lt;&gt;"",Y99,IF(U99&lt;&gt;"",U99,S99))</f>
        <v/>
      </c>
      <c r="AE99" s="21">
        <f>IF(AB99&lt;&gt;"",AB99,Z99)</f>
        <v/>
      </c>
      <c r="AF99" s="13" t="inlineStr">
        <is>
          <t>P-5c &gt; COLUMBIA Class Submarine &gt; Propulsion Equipment</t>
        </is>
      </c>
      <c r="AG99" s="7" t="inlineStr">
        <is>
          <t>35</t>
        </is>
      </c>
      <c r="AH99" s="7" t="inlineStr">
        <is>
          <t>1045</t>
        </is>
      </c>
      <c r="AJ99" s="7" t="inlineStr">
        <is>
          <t>Propulsion Equipment</t>
        </is>
      </c>
    </row>
    <row r="100" ht="10" customHeight="1">
      <c r="A100" s="7" t="inlineStr">
        <is>
          <t>SCN</t>
        </is>
      </c>
      <c r="B100" s="7" t="inlineStr">
        <is>
          <t>Procurement</t>
        </is>
      </c>
      <c r="D100" s="7" t="inlineStr">
        <is>
          <t>COLUMBIA Class Submarine - P-5c - Hull, Mechanical, and Electrical</t>
        </is>
      </c>
      <c r="E100" s="13" t="inlineStr">
        <is>
          <t>[ALT_VIEW]</t>
        </is>
      </c>
      <c r="F100" s="7" t="inlineStr">
        <is>
          <t>1045 / COLUMBIA Class Submarine</t>
        </is>
      </c>
      <c r="G100" s="7" t="inlineStr">
        <is>
          <t>P-5c</t>
        </is>
      </c>
      <c r="H100" s="7" t="inlineStr">
        <is>
          <t>Hull, Mechanical, and Electrical</t>
        </is>
      </c>
      <c r="I100" s="14" t="n">
        <v>1</v>
      </c>
      <c r="J100" s="7" t="inlineStr">
        <is>
          <t>Full ship DD&amp;C</t>
        </is>
      </c>
      <c r="K100" s="13" t="inlineStr">
        <is>
          <t>USN</t>
        </is>
      </c>
      <c r="L100" s="7" t="inlineStr">
        <is>
          <t>Combatant Ships</t>
        </is>
      </c>
      <c r="M100" s="7" t="inlineStr">
        <is>
          <t>Submarines</t>
        </is>
      </c>
      <c r="N100" s="7" t="inlineStr">
        <is>
          <t>SSBN</t>
        </is>
      </c>
      <c r="O100" s="15" t="n"/>
      <c r="P100" s="16" t="n">
        <v>119108</v>
      </c>
      <c r="S100" s="16" t="n">
        <v>102496</v>
      </c>
      <c r="U100" s="16" t="n">
        <v>102496</v>
      </c>
      <c r="AC100" s="23">
        <f>IF(OR(E100="",E100="[PARENT]"),"ADD",IF(E100="[ALT_VIEW]","ALT",""))</f>
        <v/>
      </c>
      <c r="AD100" s="21">
        <f>IF(Y100&lt;&gt;"",Y100,IF(U100&lt;&gt;"",U100,S100))</f>
        <v/>
      </c>
      <c r="AE100" s="21">
        <f>IF(AB100&lt;&gt;"",AB100,Z100)</f>
        <v/>
      </c>
      <c r="AF100" s="13" t="inlineStr">
        <is>
          <t>P-5c &gt; COLUMBIA Class Submarine &gt; Hull, Mechanical, and Electrical</t>
        </is>
      </c>
      <c r="AG100" s="7" t="inlineStr">
        <is>
          <t>35</t>
        </is>
      </c>
      <c r="AH100" s="7" t="inlineStr">
        <is>
          <t>1045</t>
        </is>
      </c>
    </row>
    <row r="101" ht="10" customHeight="1">
      <c r="A101" s="7" t="inlineStr">
        <is>
          <t>SCN</t>
        </is>
      </c>
      <c r="B101" s="7" t="inlineStr">
        <is>
          <t>Procurement</t>
        </is>
      </c>
      <c r="D101" s="7" t="inlineStr">
        <is>
          <t>COLUMBIA Class Submarine - P-5c - Ordnance</t>
        </is>
      </c>
      <c r="E101" s="13" t="inlineStr">
        <is>
          <t>[ALT_VIEW]</t>
        </is>
      </c>
      <c r="F101" s="7" t="inlineStr">
        <is>
          <t>1045 / COLUMBIA Class Submarine</t>
        </is>
      </c>
      <c r="G101" s="7" t="inlineStr">
        <is>
          <t>P-5c</t>
        </is>
      </c>
      <c r="H101" s="7" t="inlineStr">
        <is>
          <t>Ordnance</t>
        </is>
      </c>
      <c r="I101" s="14" t="n">
        <v>1</v>
      </c>
      <c r="J101" s="7" t="inlineStr">
        <is>
          <t>Full ship DD&amp;C</t>
        </is>
      </c>
      <c r="K101" s="13" t="inlineStr">
        <is>
          <t>USN</t>
        </is>
      </c>
      <c r="L101" s="7" t="inlineStr">
        <is>
          <t>Combatant Ships</t>
        </is>
      </c>
      <c r="M101" s="7" t="inlineStr">
        <is>
          <t>Submarines</t>
        </is>
      </c>
      <c r="N101" s="7" t="inlineStr">
        <is>
          <t>SSBN</t>
        </is>
      </c>
      <c r="O101" s="15" t="n"/>
      <c r="P101" s="16" t="n">
        <v>596757</v>
      </c>
      <c r="S101" s="16" t="n">
        <v>465059</v>
      </c>
      <c r="U101" s="16" t="n">
        <v>465059</v>
      </c>
      <c r="AC101" s="23">
        <f>IF(OR(E101="",E101="[PARENT]"),"ADD",IF(E101="[ALT_VIEW]","ALT",""))</f>
        <v/>
      </c>
      <c r="AD101" s="21">
        <f>IF(Y101&lt;&gt;"",Y101,IF(U101&lt;&gt;"",U101,S101))</f>
        <v/>
      </c>
      <c r="AE101" s="21">
        <f>IF(AB101&lt;&gt;"",AB101,Z101)</f>
        <v/>
      </c>
      <c r="AF101" s="13" t="inlineStr">
        <is>
          <t>P-5c &gt; COLUMBIA Class Submarine &gt; Ordnance</t>
        </is>
      </c>
      <c r="AG101" s="7" t="inlineStr">
        <is>
          <t>35</t>
        </is>
      </c>
      <c r="AH101" s="7" t="inlineStr">
        <is>
          <t>1045</t>
        </is>
      </c>
    </row>
    <row r="102" ht="10" customHeight="1">
      <c r="A102" s="7" t="inlineStr">
        <is>
          <t>SCN</t>
        </is>
      </c>
      <c r="B102" s="7" t="inlineStr">
        <is>
          <t>Procurement</t>
        </is>
      </c>
      <c r="D102" s="7" t="inlineStr">
        <is>
          <t>COLUMBIA Class Submarine - P-5c - Other Cost</t>
        </is>
      </c>
      <c r="E102" s="13" t="inlineStr">
        <is>
          <t>[ALT_VIEW]</t>
        </is>
      </c>
      <c r="F102" s="7" t="inlineStr">
        <is>
          <t>1045 / COLUMBIA Class Submarine</t>
        </is>
      </c>
      <c r="G102" s="7" t="inlineStr">
        <is>
          <t>P-5c</t>
        </is>
      </c>
      <c r="H102" s="7" t="inlineStr">
        <is>
          <t>Other Cost</t>
        </is>
      </c>
      <c r="I102" s="14" t="n">
        <v>1</v>
      </c>
      <c r="J102" s="7" t="inlineStr">
        <is>
          <t>Full ship DD&amp;C</t>
        </is>
      </c>
      <c r="K102" s="13" t="inlineStr">
        <is>
          <t>USN</t>
        </is>
      </c>
      <c r="L102" s="7" t="inlineStr">
        <is>
          <t>Combatant Ships</t>
        </is>
      </c>
      <c r="M102" s="7" t="inlineStr">
        <is>
          <t>Submarines</t>
        </is>
      </c>
      <c r="N102" s="7" t="inlineStr">
        <is>
          <t>SSBN</t>
        </is>
      </c>
      <c r="O102" s="15" t="n"/>
      <c r="P102" s="16" t="n">
        <v>66618</v>
      </c>
      <c r="S102" s="16" t="n">
        <v>43887</v>
      </c>
      <c r="U102" s="16" t="n">
        <v>43887</v>
      </c>
      <c r="AC102" s="23">
        <f>IF(OR(E102="",E102="[PARENT]"),"ADD",IF(E102="[ALT_VIEW]","ALT",""))</f>
        <v/>
      </c>
      <c r="AD102" s="21">
        <f>IF(Y102&lt;&gt;"",Y102,IF(U102&lt;&gt;"",U102,S102))</f>
        <v/>
      </c>
      <c r="AE102" s="21">
        <f>IF(AB102&lt;&gt;"",AB102,Z102)</f>
        <v/>
      </c>
      <c r="AF102" s="13" t="inlineStr">
        <is>
          <t>P-5c &gt; COLUMBIA Class Submarine &gt; Other Cost</t>
        </is>
      </c>
      <c r="AG102" s="7" t="inlineStr">
        <is>
          <t>35</t>
        </is>
      </c>
      <c r="AH102" s="7" t="inlineStr">
        <is>
          <t>1045</t>
        </is>
      </c>
      <c r="AJ102" s="7" t="inlineStr">
        <is>
          <t>Other Costs</t>
        </is>
      </c>
    </row>
    <row r="103" ht="10" customHeight="1">
      <c r="A103" s="7" t="inlineStr">
        <is>
          <t>SCN</t>
        </is>
      </c>
      <c r="B103" s="7" t="inlineStr">
        <is>
          <t>Procurement</t>
        </is>
      </c>
      <c r="D103" s="7" t="inlineStr">
        <is>
          <t>COLUMBIA Class Submarine - P-8a Electronics - Sonar 1</t>
        </is>
      </c>
      <c r="E103" s="13" t="inlineStr">
        <is>
          <t>[ALT_VIEW]</t>
        </is>
      </c>
      <c r="F103" s="7" t="inlineStr">
        <is>
          <t>1045 / COLUMBIA Class Submarine</t>
        </is>
      </c>
      <c r="G103" s="7" t="inlineStr">
        <is>
          <t>P-8a</t>
        </is>
      </c>
      <c r="H103" s="7" t="inlineStr">
        <is>
          <t>Electronics</t>
        </is>
      </c>
      <c r="I103" s="14" t="n">
        <v>1</v>
      </c>
      <c r="J103" s="7" t="inlineStr">
        <is>
          <t>Full ship DD&amp;C</t>
        </is>
      </c>
      <c r="K103" s="13" t="inlineStr">
        <is>
          <t>USN</t>
        </is>
      </c>
      <c r="L103" s="7" t="inlineStr">
        <is>
          <t>Combatant Ships</t>
        </is>
      </c>
      <c r="M103" s="7" t="inlineStr">
        <is>
          <t>Submarines</t>
        </is>
      </c>
      <c r="N103" s="7" t="inlineStr">
        <is>
          <t>SSBN</t>
        </is>
      </c>
      <c r="O103" s="15" t="n"/>
      <c r="P103" s="16" t="n">
        <v>96649</v>
      </c>
      <c r="S103" s="16" t="n">
        <v>103540</v>
      </c>
      <c r="U103" s="16" t="n">
        <v>103540</v>
      </c>
      <c r="AC103" s="23">
        <f>IF(OR(E103="",E103="[PARENT]"),"ADD",IF(E103="[ALT_VIEW]","ALT",""))</f>
        <v/>
      </c>
      <c r="AD103" s="21">
        <f>IF(Y103&lt;&gt;"",Y103,IF(U103&lt;&gt;"",U103,S103))</f>
        <v/>
      </c>
      <c r="AE103" s="21">
        <f>IF(AB103&lt;&gt;"",AB103,Z103)</f>
        <v/>
      </c>
      <c r="AF103" s="13" t="inlineStr">
        <is>
          <t>P-8a &gt; COLUMBIA Class Submarine &gt; Electronics &gt; Sonar 1</t>
        </is>
      </c>
      <c r="AG103" s="7" t="inlineStr">
        <is>
          <t>38</t>
        </is>
      </c>
      <c r="AH103" s="7" t="inlineStr">
        <is>
          <t>1045</t>
        </is>
      </c>
      <c r="AJ103" s="7" t="inlineStr">
        <is>
          <t>Sonar</t>
        </is>
      </c>
    </row>
    <row r="104" ht="10" customHeight="1">
      <c r="A104" s="7" t="inlineStr">
        <is>
          <t>SCN</t>
        </is>
      </c>
      <c r="B104" s="7" t="inlineStr">
        <is>
          <t>Procurement</t>
        </is>
      </c>
      <c r="D104" s="7" t="inlineStr">
        <is>
          <t>COLUMBIA Class Submarine - P-8a Electronics - Combat Control 1</t>
        </is>
      </c>
      <c r="E104" s="13" t="inlineStr">
        <is>
          <t>[ALT_VIEW]</t>
        </is>
      </c>
      <c r="F104" s="7" t="inlineStr">
        <is>
          <t>1045 / COLUMBIA Class Submarine</t>
        </is>
      </c>
      <c r="G104" s="7" t="inlineStr">
        <is>
          <t>P-8a</t>
        </is>
      </c>
      <c r="H104" s="7" t="inlineStr">
        <is>
          <t>Electronics</t>
        </is>
      </c>
      <c r="I104" s="14" t="n">
        <v>1</v>
      </c>
      <c r="J104" s="7" t="inlineStr">
        <is>
          <t>Full ship DD&amp;C</t>
        </is>
      </c>
      <c r="K104" s="13" t="inlineStr">
        <is>
          <t>USN</t>
        </is>
      </c>
      <c r="L104" s="7" t="inlineStr">
        <is>
          <t>Combatant Ships</t>
        </is>
      </c>
      <c r="M104" s="7" t="inlineStr">
        <is>
          <t>Submarines</t>
        </is>
      </c>
      <c r="N104" s="7" t="inlineStr">
        <is>
          <t>SSBN</t>
        </is>
      </c>
      <c r="O104" s="15" t="n"/>
      <c r="P104" s="16" t="n">
        <v>16346</v>
      </c>
      <c r="S104" s="16" t="n">
        <v>19305</v>
      </c>
      <c r="U104" s="16" t="n">
        <v>19305</v>
      </c>
      <c r="AC104" s="23">
        <f>IF(OR(E104="",E104="[PARENT]"),"ADD",IF(E104="[ALT_VIEW]","ALT",""))</f>
        <v/>
      </c>
      <c r="AD104" s="21">
        <f>IF(Y104&lt;&gt;"",Y104,IF(U104&lt;&gt;"",U104,S104))</f>
        <v/>
      </c>
      <c r="AE104" s="21">
        <f>IF(AB104&lt;&gt;"",AB104,Z104)</f>
        <v/>
      </c>
      <c r="AF104" s="13" t="inlineStr">
        <is>
          <t>P-8a &gt; COLUMBIA Class Submarine &gt; Electronics &gt; Combat Control 1</t>
        </is>
      </c>
      <c r="AG104" s="7" t="inlineStr">
        <is>
          <t>38</t>
        </is>
      </c>
      <c r="AH104" s="7" t="inlineStr">
        <is>
          <t>1045</t>
        </is>
      </c>
      <c r="AJ104" s="7" t="inlineStr">
        <is>
          <t>Combat Control</t>
        </is>
      </c>
    </row>
    <row r="105" ht="10" customHeight="1">
      <c r="A105" s="7" t="inlineStr">
        <is>
          <t>SCN</t>
        </is>
      </c>
      <c r="B105" s="7" t="inlineStr">
        <is>
          <t>Procurement</t>
        </is>
      </c>
      <c r="D105" s="7" t="inlineStr">
        <is>
          <t>COLUMBIA Class Submarine - P-8a Electronics - CANES 1</t>
        </is>
      </c>
      <c r="E105" s="13" t="inlineStr">
        <is>
          <t>[ALT_VIEW]</t>
        </is>
      </c>
      <c r="F105" s="7" t="inlineStr">
        <is>
          <t>1045 / COLUMBIA Class Submarine</t>
        </is>
      </c>
      <c r="G105" s="7" t="inlineStr">
        <is>
          <t>P-8a</t>
        </is>
      </c>
      <c r="H105" s="7" t="inlineStr">
        <is>
          <t>Electronics</t>
        </is>
      </c>
      <c r="I105" s="14" t="n">
        <v>1</v>
      </c>
      <c r="J105" s="7" t="inlineStr">
        <is>
          <t>Full ship DD&amp;C</t>
        </is>
      </c>
      <c r="K105" s="13" t="inlineStr">
        <is>
          <t>USN</t>
        </is>
      </c>
      <c r="L105" s="7" t="inlineStr">
        <is>
          <t>Combatant Ships</t>
        </is>
      </c>
      <c r="M105" s="7" t="inlineStr">
        <is>
          <t>Submarines</t>
        </is>
      </c>
      <c r="N105" s="7" t="inlineStr">
        <is>
          <t>SSBN</t>
        </is>
      </c>
      <c r="O105" s="15" t="n"/>
      <c r="P105" s="16" t="n">
        <v>15642</v>
      </c>
      <c r="S105" s="16" t="n">
        <v>16270</v>
      </c>
      <c r="U105" s="16" t="n">
        <v>16270</v>
      </c>
      <c r="AC105" s="23">
        <f>IF(OR(E105="",E105="[PARENT]"),"ADD",IF(E105="[ALT_VIEW]","ALT",""))</f>
        <v/>
      </c>
      <c r="AD105" s="21">
        <f>IF(Y105&lt;&gt;"",Y105,IF(U105&lt;&gt;"",U105,S105))</f>
        <v/>
      </c>
      <c r="AE105" s="21">
        <f>IF(AB105&lt;&gt;"",AB105,Z105)</f>
        <v/>
      </c>
      <c r="AF105" s="13" t="inlineStr">
        <is>
          <t>P-8a &gt; COLUMBIA Class Submarine &gt; Electronics &gt; CANES 1</t>
        </is>
      </c>
      <c r="AG105" s="7" t="inlineStr">
        <is>
          <t>38</t>
        </is>
      </c>
      <c r="AH105" s="7" t="inlineStr">
        <is>
          <t>1045</t>
        </is>
      </c>
      <c r="AJ105" s="7" t="inlineStr">
        <is>
          <t>CANES</t>
        </is>
      </c>
    </row>
    <row r="106" ht="10" customHeight="1">
      <c r="A106" s="7" t="inlineStr">
        <is>
          <t>SCN</t>
        </is>
      </c>
      <c r="B106" s="7" t="inlineStr">
        <is>
          <t>Procurement</t>
        </is>
      </c>
      <c r="D106" s="7" t="inlineStr">
        <is>
          <t>COLUMBIA Class Submarine - P-8a Electronics - Electronic Warfare 1</t>
        </is>
      </c>
      <c r="E106" s="13" t="inlineStr">
        <is>
          <t>[ALT_VIEW]</t>
        </is>
      </c>
      <c r="F106" s="7" t="inlineStr">
        <is>
          <t>1045 / COLUMBIA Class Submarine</t>
        </is>
      </c>
      <c r="G106" s="7" t="inlineStr">
        <is>
          <t>P-8a</t>
        </is>
      </c>
      <c r="H106" s="7" t="inlineStr">
        <is>
          <t>Electronics</t>
        </is>
      </c>
      <c r="I106" s="14" t="n">
        <v>1</v>
      </c>
      <c r="J106" s="7" t="inlineStr">
        <is>
          <t>Full ship DD&amp;C</t>
        </is>
      </c>
      <c r="K106" s="13" t="inlineStr">
        <is>
          <t>USN</t>
        </is>
      </c>
      <c r="L106" s="7" t="inlineStr">
        <is>
          <t>Combatant Ships</t>
        </is>
      </c>
      <c r="M106" s="7" t="inlineStr">
        <is>
          <t>Submarines</t>
        </is>
      </c>
      <c r="N106" s="7" t="inlineStr">
        <is>
          <t>SSBN</t>
        </is>
      </c>
      <c r="O106" s="15" t="n"/>
      <c r="P106" s="16" t="n">
        <v>21677</v>
      </c>
      <c r="S106" s="16" t="n">
        <v>22550</v>
      </c>
      <c r="U106" s="16" t="n">
        <v>22550</v>
      </c>
      <c r="AC106" s="23">
        <f>IF(OR(E106="",E106="[PARENT]"),"ADD",IF(E106="[ALT_VIEW]","ALT",""))</f>
        <v/>
      </c>
      <c r="AD106" s="21">
        <f>IF(Y106&lt;&gt;"",Y106,IF(U106&lt;&gt;"",U106,S106))</f>
        <v/>
      </c>
      <c r="AE106" s="21">
        <f>IF(AB106&lt;&gt;"",AB106,Z106)</f>
        <v/>
      </c>
      <c r="AF106" s="13" t="inlineStr">
        <is>
          <t>P-8a &gt; COLUMBIA Class Submarine &gt; Electronics &gt; Electronic Warfare 1</t>
        </is>
      </c>
      <c r="AG106" s="7" t="inlineStr">
        <is>
          <t>38</t>
        </is>
      </c>
      <c r="AH106" s="7" t="inlineStr">
        <is>
          <t>1045</t>
        </is>
      </c>
      <c r="AJ106" s="7" t="inlineStr">
        <is>
          <t>Electronic Warfare</t>
        </is>
      </c>
    </row>
    <row r="107" ht="10" customHeight="1">
      <c r="A107" s="7" t="inlineStr">
        <is>
          <t>SCN</t>
        </is>
      </c>
      <c r="B107" s="7" t="inlineStr">
        <is>
          <t>Procurement</t>
        </is>
      </c>
      <c r="D107" s="7" t="inlineStr">
        <is>
          <t>COLUMBIA Class Submarine - P-8a Electronics - Photonics 1</t>
        </is>
      </c>
      <c r="E107" s="13" t="inlineStr">
        <is>
          <t>[ALT_VIEW]</t>
        </is>
      </c>
      <c r="F107" s="7" t="inlineStr">
        <is>
          <t>1045 / COLUMBIA Class Submarine</t>
        </is>
      </c>
      <c r="G107" s="7" t="inlineStr">
        <is>
          <t>P-8a</t>
        </is>
      </c>
      <c r="H107" s="7" t="inlineStr">
        <is>
          <t>Electronics</t>
        </is>
      </c>
      <c r="I107" s="14" t="n">
        <v>1</v>
      </c>
      <c r="J107" s="7" t="inlineStr">
        <is>
          <t>Full ship DD&amp;C</t>
        </is>
      </c>
      <c r="K107" s="13" t="inlineStr">
        <is>
          <t>USN</t>
        </is>
      </c>
      <c r="L107" s="7" t="inlineStr">
        <is>
          <t>Combatant Ships</t>
        </is>
      </c>
      <c r="M107" s="7" t="inlineStr">
        <is>
          <t>Submarines</t>
        </is>
      </c>
      <c r="N107" s="7" t="inlineStr">
        <is>
          <t>SSBN</t>
        </is>
      </c>
      <c r="O107" s="15" t="n"/>
      <c r="P107" s="16" t="n">
        <v>24149</v>
      </c>
      <c r="S107" s="16" t="n">
        <v>25125</v>
      </c>
      <c r="U107" s="16" t="n">
        <v>25125</v>
      </c>
      <c r="AC107" s="23">
        <f>IF(OR(E107="",E107="[PARENT]"),"ADD",IF(E107="[ALT_VIEW]","ALT",""))</f>
        <v/>
      </c>
      <c r="AD107" s="21">
        <f>IF(Y107&lt;&gt;"",Y107,IF(U107&lt;&gt;"",U107,S107))</f>
        <v/>
      </c>
      <c r="AE107" s="21">
        <f>IF(AB107&lt;&gt;"",AB107,Z107)</f>
        <v/>
      </c>
      <c r="AF107" s="13" t="inlineStr">
        <is>
          <t>P-8a &gt; COLUMBIA Class Submarine &gt; Electronics &gt; Photonics 1</t>
        </is>
      </c>
      <c r="AG107" s="7" t="inlineStr">
        <is>
          <t>38</t>
        </is>
      </c>
      <c r="AH107" s="7" t="inlineStr">
        <is>
          <t>1045</t>
        </is>
      </c>
      <c r="AJ107" s="7" t="inlineStr">
        <is>
          <t>Photonics</t>
        </is>
      </c>
    </row>
    <row r="108" ht="10" customHeight="1">
      <c r="A108" s="7" t="inlineStr">
        <is>
          <t>SCN</t>
        </is>
      </c>
      <c r="B108" s="7" t="inlineStr">
        <is>
          <t>Procurement</t>
        </is>
      </c>
      <c r="D108" s="7" t="inlineStr">
        <is>
          <t>COLUMBIA Class Submarine - P-8a Electronics - Universal Modular Masts (UMM) 1</t>
        </is>
      </c>
      <c r="E108" s="13" t="inlineStr">
        <is>
          <t>[ALT_VIEW]</t>
        </is>
      </c>
      <c r="F108" s="7" t="inlineStr">
        <is>
          <t>1045 / COLUMBIA Class Submarine</t>
        </is>
      </c>
      <c r="G108" s="7" t="inlineStr">
        <is>
          <t>P-8a</t>
        </is>
      </c>
      <c r="H108" s="7" t="inlineStr">
        <is>
          <t>Electronics</t>
        </is>
      </c>
      <c r="I108" s="14" t="n">
        <v>1</v>
      </c>
      <c r="J108" s="7" t="inlineStr">
        <is>
          <t>Full ship DD&amp;C</t>
        </is>
      </c>
      <c r="K108" s="13" t="inlineStr">
        <is>
          <t>USN</t>
        </is>
      </c>
      <c r="L108" s="7" t="inlineStr">
        <is>
          <t>Combatant Ships</t>
        </is>
      </c>
      <c r="M108" s="7" t="inlineStr">
        <is>
          <t>Submarines</t>
        </is>
      </c>
      <c r="N108" s="7" t="inlineStr">
        <is>
          <t>SSBN</t>
        </is>
      </c>
      <c r="O108" s="15" t="n"/>
      <c r="P108" s="16" t="n">
        <v>7814</v>
      </c>
      <c r="S108" s="16" t="n">
        <v>8130</v>
      </c>
      <c r="U108" s="16" t="n">
        <v>8130</v>
      </c>
      <c r="AC108" s="23">
        <f>IF(OR(E108="",E108="[PARENT]"),"ADD",IF(E108="[ALT_VIEW]","ALT",""))</f>
        <v/>
      </c>
      <c r="AD108" s="21">
        <f>IF(Y108&lt;&gt;"",Y108,IF(U108&lt;&gt;"",U108,S108))</f>
        <v/>
      </c>
      <c r="AE108" s="21">
        <f>IF(AB108&lt;&gt;"",AB108,Z108)</f>
        <v/>
      </c>
      <c r="AF108" s="13" t="inlineStr">
        <is>
          <t>P-8a &gt; COLUMBIA Class Submarine &gt; Electronics &gt; Universal Modular Masts (UMM) 1</t>
        </is>
      </c>
      <c r="AG108" s="7" t="inlineStr">
        <is>
          <t>38</t>
        </is>
      </c>
      <c r="AH108" s="7" t="inlineStr">
        <is>
          <t>1045</t>
        </is>
      </c>
      <c r="AJ108" s="7" t="inlineStr">
        <is>
          <t>Universal Modular Masts (UMM)</t>
        </is>
      </c>
    </row>
    <row r="109" ht="10" customHeight="1">
      <c r="A109" s="7" t="inlineStr">
        <is>
          <t>SCN</t>
        </is>
      </c>
      <c r="B109" s="7" t="inlineStr">
        <is>
          <t>Procurement</t>
        </is>
      </c>
      <c r="D109" s="7" t="inlineStr">
        <is>
          <t>COLUMBIA Class Submarine - P-8a Electronics - Exterior Communications 1</t>
        </is>
      </c>
      <c r="E109" s="13" t="inlineStr">
        <is>
          <t>[ALT_VIEW]</t>
        </is>
      </c>
      <c r="F109" s="7" t="inlineStr">
        <is>
          <t>1045 / COLUMBIA Class Submarine</t>
        </is>
      </c>
      <c r="G109" s="7" t="inlineStr">
        <is>
          <t>P-8a</t>
        </is>
      </c>
      <c r="H109" s="7" t="inlineStr">
        <is>
          <t>Electronics</t>
        </is>
      </c>
      <c r="I109" s="14" t="n">
        <v>1</v>
      </c>
      <c r="J109" s="7" t="inlineStr">
        <is>
          <t>Full ship DD&amp;C</t>
        </is>
      </c>
      <c r="K109" s="13" t="inlineStr">
        <is>
          <t>USN</t>
        </is>
      </c>
      <c r="L109" s="7" t="inlineStr">
        <is>
          <t>Combatant Ships</t>
        </is>
      </c>
      <c r="M109" s="7" t="inlineStr">
        <is>
          <t>Submarines</t>
        </is>
      </c>
      <c r="N109" s="7" t="inlineStr">
        <is>
          <t>SSBN</t>
        </is>
      </c>
      <c r="O109" s="15" t="n"/>
      <c r="P109" s="16" t="n">
        <v>41702</v>
      </c>
      <c r="S109" s="16" t="n">
        <v>43390</v>
      </c>
      <c r="U109" s="16" t="n">
        <v>43390</v>
      </c>
      <c r="AC109" s="23">
        <f>IF(OR(E109="",E109="[PARENT]"),"ADD",IF(E109="[ALT_VIEW]","ALT",""))</f>
        <v/>
      </c>
      <c r="AD109" s="21">
        <f>IF(Y109&lt;&gt;"",Y109,IF(U109&lt;&gt;"",U109,S109))</f>
        <v/>
      </c>
      <c r="AE109" s="21">
        <f>IF(AB109&lt;&gt;"",AB109,Z109)</f>
        <v/>
      </c>
      <c r="AF109" s="13" t="inlineStr">
        <is>
          <t>P-8a &gt; COLUMBIA Class Submarine &gt; Electronics &gt; Exterior Communications 1</t>
        </is>
      </c>
      <c r="AG109" s="7" t="inlineStr">
        <is>
          <t>38</t>
        </is>
      </c>
      <c r="AH109" s="7" t="inlineStr">
        <is>
          <t>1045</t>
        </is>
      </c>
      <c r="AJ109" s="7" t="inlineStr">
        <is>
          <t>Exterior Communications</t>
        </is>
      </c>
    </row>
    <row r="110" ht="10" customHeight="1">
      <c r="A110" s="7" t="inlineStr">
        <is>
          <t>SCN</t>
        </is>
      </c>
      <c r="B110" s="7" t="inlineStr">
        <is>
          <t>Procurement</t>
        </is>
      </c>
      <c r="D110" s="7" t="inlineStr">
        <is>
          <t>COLUMBIA Class Submarine - P-8a Electronics - System Level Activities 1</t>
        </is>
      </c>
      <c r="E110" s="13" t="inlineStr">
        <is>
          <t>[ALT_VIEW]</t>
        </is>
      </c>
      <c r="F110" s="7" t="inlineStr">
        <is>
          <t>1045 / COLUMBIA Class Submarine</t>
        </is>
      </c>
      <c r="G110" s="7" t="inlineStr">
        <is>
          <t>P-8a</t>
        </is>
      </c>
      <c r="H110" s="7" t="inlineStr">
        <is>
          <t>Electronics</t>
        </is>
      </c>
      <c r="I110" s="14" t="n">
        <v>1</v>
      </c>
      <c r="J110" s="7" t="inlineStr">
        <is>
          <t>Full ship DD&amp;C</t>
        </is>
      </c>
      <c r="K110" s="13" t="inlineStr">
        <is>
          <t>USN</t>
        </is>
      </c>
      <c r="L110" s="7" t="inlineStr">
        <is>
          <t>Combatant Ships</t>
        </is>
      </c>
      <c r="M110" s="7" t="inlineStr">
        <is>
          <t>Submarines</t>
        </is>
      </c>
      <c r="N110" s="7" t="inlineStr">
        <is>
          <t>SSBN</t>
        </is>
      </c>
      <c r="O110" s="15" t="n"/>
      <c r="P110" s="16" t="n">
        <v>43803</v>
      </c>
      <c r="S110" s="16" t="n">
        <v>37493</v>
      </c>
      <c r="U110" s="16" t="n">
        <v>37493</v>
      </c>
      <c r="AC110" s="23">
        <f>IF(OR(E110="",E110="[PARENT]"),"ADD",IF(E110="[ALT_VIEW]","ALT",""))</f>
        <v/>
      </c>
      <c r="AD110" s="21">
        <f>IF(Y110&lt;&gt;"",Y110,IF(U110&lt;&gt;"",U110,S110))</f>
        <v/>
      </c>
      <c r="AE110" s="21">
        <f>IF(AB110&lt;&gt;"",AB110,Z110)</f>
        <v/>
      </c>
      <c r="AF110" s="13" t="inlineStr">
        <is>
          <t>P-8a &gt; COLUMBIA Class Submarine &gt; Electronics &gt; System Level Activities 1</t>
        </is>
      </c>
      <c r="AG110" s="7" t="inlineStr">
        <is>
          <t>38</t>
        </is>
      </c>
      <c r="AH110" s="7" t="inlineStr">
        <is>
          <t>1045</t>
        </is>
      </c>
      <c r="AJ110" s="7" t="inlineStr">
        <is>
          <t>System Level Activities</t>
        </is>
      </c>
    </row>
    <row r="111" ht="10" customHeight="1">
      <c r="A111" s="7" t="inlineStr">
        <is>
          <t>SCN</t>
        </is>
      </c>
      <c r="B111" s="7" t="inlineStr">
        <is>
          <t>Procurement</t>
        </is>
      </c>
      <c r="D111" s="7" t="inlineStr">
        <is>
          <t>COLUMBIA Class Submarine - P-8a Electronics - RADAR 1</t>
        </is>
      </c>
      <c r="E111" s="13" t="inlineStr">
        <is>
          <t>[ALT_VIEW]</t>
        </is>
      </c>
      <c r="F111" s="7" t="inlineStr">
        <is>
          <t>1045 / COLUMBIA Class Submarine</t>
        </is>
      </c>
      <c r="G111" s="7" t="inlineStr">
        <is>
          <t>P-8a</t>
        </is>
      </c>
      <c r="H111" s="7" t="inlineStr">
        <is>
          <t>Electronics</t>
        </is>
      </c>
      <c r="I111" s="14" t="n">
        <v>1</v>
      </c>
      <c r="J111" s="7" t="inlineStr">
        <is>
          <t>Full ship DD&amp;C</t>
        </is>
      </c>
      <c r="K111" s="13" t="inlineStr">
        <is>
          <t>USN</t>
        </is>
      </c>
      <c r="L111" s="7" t="inlineStr">
        <is>
          <t>Combatant Ships</t>
        </is>
      </c>
      <c r="M111" s="7" t="inlineStr">
        <is>
          <t>Submarines</t>
        </is>
      </c>
      <c r="N111" s="7" t="inlineStr">
        <is>
          <t>SSBN</t>
        </is>
      </c>
      <c r="O111" s="15" t="n"/>
      <c r="P111" s="16" t="n">
        <v>1858</v>
      </c>
      <c r="S111" s="16" t="n">
        <v>1930</v>
      </c>
      <c r="U111" s="16" t="n">
        <v>1930</v>
      </c>
      <c r="AC111" s="23">
        <f>IF(OR(E111="",E111="[PARENT]"),"ADD",IF(E111="[ALT_VIEW]","ALT",""))</f>
        <v/>
      </c>
      <c r="AD111" s="21">
        <f>IF(Y111&lt;&gt;"",Y111,IF(U111&lt;&gt;"",U111,S111))</f>
        <v/>
      </c>
      <c r="AE111" s="21">
        <f>IF(AB111&lt;&gt;"",AB111,Z111)</f>
        <v/>
      </c>
      <c r="AF111" s="13" t="inlineStr">
        <is>
          <t>P-8a &gt; COLUMBIA Class Submarine &gt; Electronics &gt; RADAR 1</t>
        </is>
      </c>
      <c r="AG111" s="7" t="inlineStr">
        <is>
          <t>38</t>
        </is>
      </c>
      <c r="AH111" s="7" t="inlineStr">
        <is>
          <t>1045</t>
        </is>
      </c>
      <c r="AJ111" s="7" t="inlineStr">
        <is>
          <t>RADAR</t>
        </is>
      </c>
    </row>
    <row r="112" ht="10" customHeight="1">
      <c r="A112" s="7" t="inlineStr">
        <is>
          <t>SCN</t>
        </is>
      </c>
      <c r="B112" s="7" t="inlineStr">
        <is>
          <t>Procurement</t>
        </is>
      </c>
      <c r="D112" s="7" t="inlineStr">
        <is>
          <t>COLUMBIA Class Submarine - P-8a Electronics - Navigation 1</t>
        </is>
      </c>
      <c r="E112" s="13" t="inlineStr">
        <is>
          <t>[ALT_VIEW]</t>
        </is>
      </c>
      <c r="F112" s="7" t="inlineStr">
        <is>
          <t>1045 / COLUMBIA Class Submarine</t>
        </is>
      </c>
      <c r="G112" s="7" t="inlineStr">
        <is>
          <t>P-8a</t>
        </is>
      </c>
      <c r="H112" s="7" t="inlineStr">
        <is>
          <t>Electronics</t>
        </is>
      </c>
      <c r="I112" s="14" t="n">
        <v>1</v>
      </c>
      <c r="J112" s="7" t="inlineStr">
        <is>
          <t>Full ship DD&amp;C</t>
        </is>
      </c>
      <c r="K112" s="13" t="inlineStr">
        <is>
          <t>USN</t>
        </is>
      </c>
      <c r="L112" s="7" t="inlineStr">
        <is>
          <t>Combatant Ships</t>
        </is>
      </c>
      <c r="M112" s="7" t="inlineStr">
        <is>
          <t>Submarines</t>
        </is>
      </c>
      <c r="N112" s="7" t="inlineStr">
        <is>
          <t>SSBN</t>
        </is>
      </c>
      <c r="O112" s="15" t="n"/>
      <c r="P112" s="16" t="n">
        <v>2081</v>
      </c>
      <c r="S112" s="16" t="n">
        <v>2600</v>
      </c>
      <c r="U112" s="16" t="n">
        <v>2600</v>
      </c>
      <c r="AC112" s="23">
        <f>IF(OR(E112="",E112="[PARENT]"),"ADD",IF(E112="[ALT_VIEW]","ALT",""))</f>
        <v/>
      </c>
      <c r="AD112" s="21">
        <f>IF(Y112&lt;&gt;"",Y112,IF(U112&lt;&gt;"",U112,S112))</f>
        <v/>
      </c>
      <c r="AE112" s="21">
        <f>IF(AB112&lt;&gt;"",AB112,Z112)</f>
        <v/>
      </c>
      <c r="AF112" s="13" t="inlineStr">
        <is>
          <t>P-8a &gt; COLUMBIA Class Submarine &gt; Electronics &gt; Navigation 1</t>
        </is>
      </c>
      <c r="AG112" s="7" t="inlineStr">
        <is>
          <t>38</t>
        </is>
      </c>
      <c r="AH112" s="7" t="inlineStr">
        <is>
          <t>1045</t>
        </is>
      </c>
      <c r="AJ112" s="7" t="inlineStr">
        <is>
          <t>Navigation</t>
        </is>
      </c>
    </row>
    <row r="113" ht="10" customHeight="1">
      <c r="A113" s="7" t="inlineStr">
        <is>
          <t>SCN</t>
        </is>
      </c>
      <c r="B113" s="7" t="inlineStr">
        <is>
          <t>Procurement</t>
        </is>
      </c>
      <c r="D113" s="7" t="inlineStr">
        <is>
          <t>COLUMBIA Class Submarine - P-8a Electronics - CWITT 1</t>
        </is>
      </c>
      <c r="E113" s="13" t="inlineStr">
        <is>
          <t>[ALT_VIEW]</t>
        </is>
      </c>
      <c r="F113" s="7" t="inlineStr">
        <is>
          <t>1045 / COLUMBIA Class Submarine</t>
        </is>
      </c>
      <c r="G113" s="7" t="inlineStr">
        <is>
          <t>P-8a</t>
        </is>
      </c>
      <c r="H113" s="7" t="inlineStr">
        <is>
          <t>Electronics</t>
        </is>
      </c>
      <c r="I113" s="14" t="n">
        <v>1</v>
      </c>
      <c r="J113" s="7" t="inlineStr">
        <is>
          <t>Full ship DD&amp;C</t>
        </is>
      </c>
      <c r="K113" s="13" t="inlineStr">
        <is>
          <t>USN</t>
        </is>
      </c>
      <c r="L113" s="7" t="inlineStr">
        <is>
          <t>Combatant Ships</t>
        </is>
      </c>
      <c r="M113" s="7" t="inlineStr">
        <is>
          <t>Submarines</t>
        </is>
      </c>
      <c r="N113" s="7" t="inlineStr">
        <is>
          <t>SSBN</t>
        </is>
      </c>
      <c r="O113" s="15" t="n"/>
      <c r="P113" s="16" t="n">
        <v>23851</v>
      </c>
      <c r="S113" s="16" t="n">
        <v>27810</v>
      </c>
      <c r="U113" s="16" t="n">
        <v>27810</v>
      </c>
      <c r="AC113" s="23">
        <f>IF(OR(E113="",E113="[PARENT]"),"ADD",IF(E113="[ALT_VIEW]","ALT",""))</f>
        <v/>
      </c>
      <c r="AD113" s="21">
        <f>IF(Y113&lt;&gt;"",Y113,IF(U113&lt;&gt;"",U113,S113))</f>
        <v/>
      </c>
      <c r="AE113" s="21">
        <f>IF(AB113&lt;&gt;"",AB113,Z113)</f>
        <v/>
      </c>
      <c r="AF113" s="13" t="inlineStr">
        <is>
          <t>P-8a &gt; COLUMBIA Class Submarine &gt; Electronics &gt; CWITT 1</t>
        </is>
      </c>
      <c r="AG113" s="7" t="inlineStr">
        <is>
          <t>38</t>
        </is>
      </c>
      <c r="AH113" s="7" t="inlineStr">
        <is>
          <t>1045</t>
        </is>
      </c>
      <c r="AJ113" s="7" t="inlineStr">
        <is>
          <t>CWITT</t>
        </is>
      </c>
    </row>
    <row r="114" ht="10" customHeight="1">
      <c r="A114" s="7" t="inlineStr">
        <is>
          <t>SCN</t>
        </is>
      </c>
      <c r="B114" s="7" t="inlineStr">
        <is>
          <t>Procurement</t>
        </is>
      </c>
      <c r="D114" s="7" t="inlineStr">
        <is>
          <t>COLUMBIA Class Submarine - P-8a Electronics - Integration (NPES SE&amp;I) 1</t>
        </is>
      </c>
      <c r="E114" s="13" t="inlineStr">
        <is>
          <t>[ALT_VIEW]</t>
        </is>
      </c>
      <c r="F114" s="7" t="inlineStr">
        <is>
          <t>1045 / COLUMBIA Class Submarine</t>
        </is>
      </c>
      <c r="G114" s="7" t="inlineStr">
        <is>
          <t>P-8a</t>
        </is>
      </c>
      <c r="H114" s="7" t="inlineStr">
        <is>
          <t>Electronics</t>
        </is>
      </c>
      <c r="I114" s="14" t="n">
        <v>1</v>
      </c>
      <c r="J114" s="7" t="inlineStr">
        <is>
          <t>Full ship DD&amp;C</t>
        </is>
      </c>
      <c r="K114" s="13" t="inlineStr">
        <is>
          <t>USN</t>
        </is>
      </c>
      <c r="L114" s="7" t="inlineStr">
        <is>
          <t>Combatant Ships</t>
        </is>
      </c>
      <c r="M114" s="7" t="inlineStr">
        <is>
          <t>Submarines</t>
        </is>
      </c>
      <c r="N114" s="7" t="inlineStr">
        <is>
          <t>SSBN</t>
        </is>
      </c>
      <c r="O114" s="15" t="n"/>
      <c r="P114" s="16" t="n">
        <v>31400</v>
      </c>
      <c r="S114" s="16" t="n">
        <v>28900</v>
      </c>
      <c r="U114" s="16" t="n">
        <v>28900</v>
      </c>
      <c r="AC114" s="23">
        <f>IF(OR(E114="",E114="[PARENT]"),"ADD",IF(E114="[ALT_VIEW]","ALT",""))</f>
        <v/>
      </c>
      <c r="AD114" s="21">
        <f>IF(Y114&lt;&gt;"",Y114,IF(U114&lt;&gt;"",U114,S114))</f>
        <v/>
      </c>
      <c r="AE114" s="21">
        <f>IF(AB114&lt;&gt;"",AB114,Z114)</f>
        <v/>
      </c>
      <c r="AF114" s="13" t="inlineStr">
        <is>
          <t>P-8a &gt; COLUMBIA Class Submarine &gt; Electronics &gt; Integration (NPES SE&amp;I) 1</t>
        </is>
      </c>
      <c r="AG114" s="7" t="inlineStr">
        <is>
          <t>38</t>
        </is>
      </c>
      <c r="AH114" s="7" t="inlineStr">
        <is>
          <t>1045</t>
        </is>
      </c>
      <c r="AJ114" s="7" t="inlineStr">
        <is>
          <t>Non-Propulsion Electronics System, Systems Engineering and Integration (NPES SE&amp;I)</t>
        </is>
      </c>
    </row>
    <row r="115" ht="10" customHeight="1">
      <c r="A115" s="7" t="inlineStr">
        <is>
          <t>SCN</t>
        </is>
      </c>
      <c r="B115" s="7" t="inlineStr">
        <is>
          <t>Procurement</t>
        </is>
      </c>
      <c r="D115" s="7" t="inlineStr">
        <is>
          <t>COLUMBIA Class Submarine - P-8a Electronics - BRR-6 System 1</t>
        </is>
      </c>
      <c r="E115" s="13" t="inlineStr">
        <is>
          <t>[ALT_VIEW]</t>
        </is>
      </c>
      <c r="F115" s="7" t="inlineStr">
        <is>
          <t>1045 / COLUMBIA Class Submarine</t>
        </is>
      </c>
      <c r="G115" s="7" t="inlineStr">
        <is>
          <t>P-8a</t>
        </is>
      </c>
      <c r="H115" s="7" t="inlineStr">
        <is>
          <t>Electronics</t>
        </is>
      </c>
      <c r="I115" s="14" t="n">
        <v>1</v>
      </c>
      <c r="J115" s="7" t="inlineStr">
        <is>
          <t>Full ship DD&amp;C</t>
        </is>
      </c>
      <c r="K115" s="13" t="inlineStr">
        <is>
          <t>USN</t>
        </is>
      </c>
      <c r="L115" s="7" t="inlineStr">
        <is>
          <t>Combatant Ships</t>
        </is>
      </c>
      <c r="M115" s="7" t="inlineStr">
        <is>
          <t>Submarines</t>
        </is>
      </c>
      <c r="N115" s="7" t="inlineStr">
        <is>
          <t>SSBN</t>
        </is>
      </c>
      <c r="O115" s="15" t="n"/>
      <c r="P115" s="16" t="n">
        <v>14922</v>
      </c>
      <c r="S115" s="16" t="n">
        <v>18500</v>
      </c>
      <c r="U115" s="16" t="n">
        <v>18500</v>
      </c>
      <c r="AC115" s="23">
        <f>IF(OR(E115="",E115="[PARENT]"),"ADD",IF(E115="[ALT_VIEW]","ALT",""))</f>
        <v/>
      </c>
      <c r="AD115" s="21">
        <f>IF(Y115&lt;&gt;"",Y115,IF(U115&lt;&gt;"",U115,S115))</f>
        <v/>
      </c>
      <c r="AE115" s="21">
        <f>IF(AB115&lt;&gt;"",AB115,Z115)</f>
        <v/>
      </c>
      <c r="AF115" s="13" t="inlineStr">
        <is>
          <t>P-8a &gt; COLUMBIA Class Submarine &gt; Electronics &gt; BRR-6 System 1</t>
        </is>
      </c>
      <c r="AG115" s="7" t="inlineStr">
        <is>
          <t>38</t>
        </is>
      </c>
      <c r="AH115" s="7" t="inlineStr">
        <is>
          <t>1045</t>
        </is>
      </c>
      <c r="AJ115" s="7" t="inlineStr">
        <is>
          <t>BRR-6 System</t>
        </is>
      </c>
    </row>
    <row r="116" ht="10" customHeight="1">
      <c r="A116" s="7" t="inlineStr">
        <is>
          <t>SCN</t>
        </is>
      </c>
      <c r="B116" s="7" t="inlineStr">
        <is>
          <t>Procurement</t>
        </is>
      </c>
      <c r="D116" s="7" t="inlineStr">
        <is>
          <t>COLUMBIA Class Submarine - P-8a Electronics - BST-1 System 1</t>
        </is>
      </c>
      <c r="E116" s="13" t="inlineStr">
        <is>
          <t>[ALT_VIEW]</t>
        </is>
      </c>
      <c r="F116" s="7" t="inlineStr">
        <is>
          <t>1045 / COLUMBIA Class Submarine</t>
        </is>
      </c>
      <c r="G116" s="7" t="inlineStr">
        <is>
          <t>P-8a</t>
        </is>
      </c>
      <c r="H116" s="7" t="inlineStr">
        <is>
          <t>Electronics</t>
        </is>
      </c>
      <c r="I116" s="14" t="n">
        <v>1</v>
      </c>
      <c r="J116" s="7" t="inlineStr">
        <is>
          <t>Full ship DD&amp;C</t>
        </is>
      </c>
      <c r="K116" s="13" t="inlineStr">
        <is>
          <t>USN</t>
        </is>
      </c>
      <c r="L116" s="7" t="inlineStr">
        <is>
          <t>Combatant Ships</t>
        </is>
      </c>
      <c r="M116" s="7" t="inlineStr">
        <is>
          <t>Submarines</t>
        </is>
      </c>
      <c r="N116" s="7" t="inlineStr">
        <is>
          <t>SSBN</t>
        </is>
      </c>
      <c r="O116" s="15" t="n"/>
      <c r="P116" s="16" t="n">
        <v>4123</v>
      </c>
      <c r="S116" s="16" t="n">
        <v>5290</v>
      </c>
      <c r="U116" s="16" t="n">
        <v>5290</v>
      </c>
      <c r="AC116" s="23">
        <f>IF(OR(E116="",E116="[PARENT]"),"ADD",IF(E116="[ALT_VIEW]","ALT",""))</f>
        <v/>
      </c>
      <c r="AD116" s="21">
        <f>IF(Y116&lt;&gt;"",Y116,IF(U116&lt;&gt;"",U116,S116))</f>
        <v/>
      </c>
      <c r="AE116" s="21">
        <f>IF(AB116&lt;&gt;"",AB116,Z116)</f>
        <v/>
      </c>
      <c r="AF116" s="13" t="inlineStr">
        <is>
          <t>P-8a &gt; COLUMBIA Class Submarine &gt; Electronics &gt; BST-1 System 1</t>
        </is>
      </c>
      <c r="AG116" s="7" t="inlineStr">
        <is>
          <t>38</t>
        </is>
      </c>
      <c r="AH116" s="7" t="inlineStr">
        <is>
          <t>1045</t>
        </is>
      </c>
      <c r="AJ116" s="7" t="inlineStr">
        <is>
          <t>BST-1 System</t>
        </is>
      </c>
    </row>
    <row r="117" ht="10" customHeight="1">
      <c r="A117" s="7" t="inlineStr">
        <is>
          <t>SCN</t>
        </is>
      </c>
      <c r="B117" s="7" t="inlineStr">
        <is>
          <t>Procurement</t>
        </is>
      </c>
      <c r="D117" s="7" t="inlineStr">
        <is>
          <t>COLUMBIA Class Submarine - P-8a Electronics - External Countermeasures, IFF 1</t>
        </is>
      </c>
      <c r="E117" s="13" t="inlineStr">
        <is>
          <t>[ALT_VIEW]</t>
        </is>
      </c>
      <c r="F117" s="7" t="inlineStr">
        <is>
          <t>1045 / COLUMBIA Class Submarine</t>
        </is>
      </c>
      <c r="G117" s="7" t="inlineStr">
        <is>
          <t>P-8a</t>
        </is>
      </c>
      <c r="H117" s="7" t="inlineStr">
        <is>
          <t>Electronics</t>
        </is>
      </c>
      <c r="I117" s="14" t="n">
        <v>1</v>
      </c>
      <c r="J117" s="7" t="inlineStr">
        <is>
          <t>Full ship DD&amp;C</t>
        </is>
      </c>
      <c r="K117" s="13" t="inlineStr">
        <is>
          <t>USN</t>
        </is>
      </c>
      <c r="L117" s="7" t="inlineStr">
        <is>
          <t>Combatant Ships</t>
        </is>
      </c>
      <c r="M117" s="7" t="inlineStr">
        <is>
          <t>Submarines</t>
        </is>
      </c>
      <c r="N117" s="7" t="inlineStr">
        <is>
          <t>SSBN</t>
        </is>
      </c>
      <c r="O117" s="15" t="n"/>
      <c r="P117" s="16" t="n">
        <v>3684</v>
      </c>
      <c r="S117" s="16" t="n">
        <v>450</v>
      </c>
      <c r="U117" s="16" t="n">
        <v>450</v>
      </c>
      <c r="AC117" s="23">
        <f>IF(OR(E117="",E117="[PARENT]"),"ADD",IF(E117="[ALT_VIEW]","ALT",""))</f>
        <v/>
      </c>
      <c r="AD117" s="21">
        <f>IF(Y117&lt;&gt;"",Y117,IF(U117&lt;&gt;"",U117,S117))</f>
        <v/>
      </c>
      <c r="AE117" s="21">
        <f>IF(AB117&lt;&gt;"",AB117,Z117)</f>
        <v/>
      </c>
      <c r="AF117" s="13" t="inlineStr">
        <is>
          <t>P-8a &gt; COLUMBIA Class Submarine &gt; Electronics &gt; External Countermeasures, IFF 1</t>
        </is>
      </c>
      <c r="AG117" s="7" t="inlineStr">
        <is>
          <t>38</t>
        </is>
      </c>
      <c r="AH117" s="7" t="inlineStr">
        <is>
          <t>1045</t>
        </is>
      </c>
      <c r="AJ117" s="7" t="inlineStr">
        <is>
          <t>External Countermeasures, IFF</t>
        </is>
      </c>
    </row>
    <row r="118" ht="10" customHeight="1">
      <c r="A118" s="7" t="inlineStr">
        <is>
          <t>SCN</t>
        </is>
      </c>
      <c r="B118" s="7" t="inlineStr">
        <is>
          <t>Procurement</t>
        </is>
      </c>
      <c r="D118" s="7" t="inlineStr">
        <is>
          <t>COLUMBIA Class Submarine - P-8a Hull, Mechanical, and Electrical - Propulsor 1</t>
        </is>
      </c>
      <c r="E118" s="13" t="inlineStr">
        <is>
          <t>[ALT_VIEW]</t>
        </is>
      </c>
      <c r="F118" s="7" t="inlineStr">
        <is>
          <t>1045 / COLUMBIA Class Submarine</t>
        </is>
      </c>
      <c r="G118" s="7" t="inlineStr">
        <is>
          <t>P-8a</t>
        </is>
      </c>
      <c r="H118" s="7" t="inlineStr">
        <is>
          <t>Hull, Mechanical, and Electrical</t>
        </is>
      </c>
      <c r="I118" s="14" t="n">
        <v>1</v>
      </c>
      <c r="J118" s="7" t="inlineStr">
        <is>
          <t>Full ship DD&amp;C</t>
        </is>
      </c>
      <c r="K118" s="13" t="inlineStr">
        <is>
          <t>USN</t>
        </is>
      </c>
      <c r="L118" s="7" t="inlineStr">
        <is>
          <t>Combatant Ships</t>
        </is>
      </c>
      <c r="M118" s="7" t="inlineStr">
        <is>
          <t>Submarines</t>
        </is>
      </c>
      <c r="N118" s="7" t="inlineStr">
        <is>
          <t>SSBN</t>
        </is>
      </c>
      <c r="O118" s="15" t="n"/>
      <c r="P118" s="16" t="n">
        <v>88243</v>
      </c>
      <c r="S118" s="16" t="n">
        <v>79416</v>
      </c>
      <c r="U118" s="16" t="n">
        <v>79416</v>
      </c>
      <c r="AC118" s="23">
        <f>IF(OR(E118="",E118="[PARENT]"),"ADD",IF(E118="[ALT_VIEW]","ALT",""))</f>
        <v/>
      </c>
      <c r="AD118" s="21">
        <f>IF(Y118&lt;&gt;"",Y118,IF(U118&lt;&gt;"",U118,S118))</f>
        <v/>
      </c>
      <c r="AE118" s="21">
        <f>IF(AB118&lt;&gt;"",AB118,Z118)</f>
        <v/>
      </c>
      <c r="AF118" s="13" t="inlineStr">
        <is>
          <t>P-8a &gt; COLUMBIA Class Submarine &gt; Hull, Mechanical, and Electrical &gt; Propulsor 1</t>
        </is>
      </c>
      <c r="AG118" s="7" t="inlineStr">
        <is>
          <t>39</t>
        </is>
      </c>
      <c r="AH118" s="7" t="inlineStr">
        <is>
          <t>1045</t>
        </is>
      </c>
      <c r="AJ118" s="7" t="inlineStr">
        <is>
          <t>Propulsor</t>
        </is>
      </c>
    </row>
    <row r="119" ht="10" customHeight="1">
      <c r="A119" s="7" t="inlineStr">
        <is>
          <t>SCN</t>
        </is>
      </c>
      <c r="B119" s="7" t="inlineStr">
        <is>
          <t>Procurement</t>
        </is>
      </c>
      <c r="D119" s="7" t="inlineStr">
        <is>
          <t>COLUMBIA Class Submarine - P-8a Hull, Mechanical, and Electrical - Advanced Carbon Dioxide Removal Unit (ACRU) 1</t>
        </is>
      </c>
      <c r="E119" s="13" t="inlineStr">
        <is>
          <t>[ALT_VIEW]</t>
        </is>
      </c>
      <c r="F119" s="7" t="inlineStr">
        <is>
          <t>1045 / COLUMBIA Class Submarine</t>
        </is>
      </c>
      <c r="G119" s="7" t="inlineStr">
        <is>
          <t>P-8a</t>
        </is>
      </c>
      <c r="H119" s="7" t="inlineStr">
        <is>
          <t>Hull, Mechanical, and Electrical</t>
        </is>
      </c>
      <c r="I119" s="14" t="n">
        <v>1</v>
      </c>
      <c r="J119" s="7" t="inlineStr">
        <is>
          <t>Full ship DD&amp;C</t>
        </is>
      </c>
      <c r="K119" s="13" t="inlineStr">
        <is>
          <t>USN</t>
        </is>
      </c>
      <c r="L119" s="7" t="inlineStr">
        <is>
          <t>Combatant Ships</t>
        </is>
      </c>
      <c r="M119" s="7" t="inlineStr">
        <is>
          <t>Submarines</t>
        </is>
      </c>
      <c r="N119" s="7" t="inlineStr">
        <is>
          <t>SSBN</t>
        </is>
      </c>
      <c r="O119" s="15" t="n"/>
      <c r="P119" s="16" t="n">
        <v>9877</v>
      </c>
      <c r="S119" s="16" t="n">
        <v>8748</v>
      </c>
      <c r="U119" s="16" t="n">
        <v>8748</v>
      </c>
      <c r="AC119" s="23">
        <f>IF(OR(E119="",E119="[PARENT]"),"ADD",IF(E119="[ALT_VIEW]","ALT",""))</f>
        <v/>
      </c>
      <c r="AD119" s="21">
        <f>IF(Y119&lt;&gt;"",Y119,IF(U119&lt;&gt;"",U119,S119))</f>
        <v/>
      </c>
      <c r="AE119" s="21">
        <f>IF(AB119&lt;&gt;"",AB119,Z119)</f>
        <v/>
      </c>
      <c r="AF119" s="13" t="inlineStr">
        <is>
          <t>P-8a &gt; COLUMBIA Class Submarine &gt; Hull, Mechanical, and Electrical &gt; Advanced Carbon Dioxide Removal Unit (ACRU) 1</t>
        </is>
      </c>
      <c r="AG119" s="7" t="inlineStr">
        <is>
          <t>39</t>
        </is>
      </c>
      <c r="AH119" s="7" t="inlineStr">
        <is>
          <t>1045</t>
        </is>
      </c>
      <c r="AJ119" s="7" t="inlineStr">
        <is>
          <t>Advanced Carbon Dioxide Removal Unit (ACRU)</t>
        </is>
      </c>
    </row>
    <row r="120" ht="10" customHeight="1">
      <c r="A120" s="7" t="inlineStr">
        <is>
          <t>SCN</t>
        </is>
      </c>
      <c r="B120" s="7" t="inlineStr">
        <is>
          <t>Procurement</t>
        </is>
      </c>
      <c r="D120" s="7" t="inlineStr">
        <is>
          <t>COLUMBIA Class Submarine - P-8a Hull, Mechanical, and Electrical - HM&amp;E Installation and testing</t>
        </is>
      </c>
      <c r="E120" s="13" t="inlineStr">
        <is>
          <t>[ALT_VIEW]</t>
        </is>
      </c>
      <c r="F120" s="7" t="inlineStr">
        <is>
          <t>1045 / COLUMBIA Class Submarine</t>
        </is>
      </c>
      <c r="G120" s="7" t="inlineStr">
        <is>
          <t>P-8a</t>
        </is>
      </c>
      <c r="H120" s="7" t="inlineStr">
        <is>
          <t>Hull, Mechanical, and Electrical</t>
        </is>
      </c>
      <c r="I120" s="14" t="n">
        <v>1</v>
      </c>
      <c r="J120" s="7" t="inlineStr">
        <is>
          <t>Full ship DD&amp;C</t>
        </is>
      </c>
      <c r="K120" s="13" t="inlineStr">
        <is>
          <t>USN</t>
        </is>
      </c>
      <c r="L120" s="7" t="inlineStr">
        <is>
          <t>Combatant Ships</t>
        </is>
      </c>
      <c r="M120" s="7" t="inlineStr">
        <is>
          <t>Submarines</t>
        </is>
      </c>
      <c r="N120" s="7" t="inlineStr">
        <is>
          <t>SSBN</t>
        </is>
      </c>
      <c r="O120" s="15" t="n"/>
      <c r="P120" s="16" t="n">
        <v>12682</v>
      </c>
      <c r="S120" s="16" t="n">
        <v>13235</v>
      </c>
      <c r="U120" s="16" t="n">
        <v>13235</v>
      </c>
      <c r="AC120" s="23">
        <f>IF(OR(E120="",E120="[PARENT]"),"ADD",IF(E120="[ALT_VIEW]","ALT",""))</f>
        <v/>
      </c>
      <c r="AD120" s="21">
        <f>IF(Y120&lt;&gt;"",Y120,IF(U120&lt;&gt;"",U120,S120))</f>
        <v/>
      </c>
      <c r="AE120" s="21">
        <f>IF(AB120&lt;&gt;"",AB120,Z120)</f>
        <v/>
      </c>
      <c r="AF120" s="13" t="inlineStr">
        <is>
          <t>P-8a &gt; COLUMBIA Class Submarine &gt; Hull, Mechanical, and Electrical &gt; HM&amp;E Installation and testing</t>
        </is>
      </c>
      <c r="AG120" s="7" t="inlineStr">
        <is>
          <t>39</t>
        </is>
      </c>
      <c r="AH120" s="7" t="inlineStr">
        <is>
          <t>1045</t>
        </is>
      </c>
      <c r="AJ120" s="7" t="inlineStr">
        <is>
          <t>HM&amp;E Installation and testing</t>
        </is>
      </c>
    </row>
    <row r="121" ht="10" customHeight="1">
      <c r="A121" s="7" t="inlineStr">
        <is>
          <t>SCN</t>
        </is>
      </c>
      <c r="B121" s="7" t="inlineStr">
        <is>
          <t>Procurement</t>
        </is>
      </c>
      <c r="D121" s="7" t="inlineStr">
        <is>
          <t>COLUMBIA Class Submarine - P-8a Hull, Mechanical, and Electrical - T&amp;E</t>
        </is>
      </c>
      <c r="E121" s="13" t="inlineStr">
        <is>
          <t>[ALT_VIEW]</t>
        </is>
      </c>
      <c r="F121" s="7" t="inlineStr">
        <is>
          <t>1045 / COLUMBIA Class Submarine</t>
        </is>
      </c>
      <c r="G121" s="7" t="inlineStr">
        <is>
          <t>P-8a</t>
        </is>
      </c>
      <c r="H121" s="7" t="inlineStr">
        <is>
          <t>Hull, Mechanical, and Electrical</t>
        </is>
      </c>
      <c r="I121" s="14" t="n">
        <v>1</v>
      </c>
      <c r="J121" s="7" t="inlineStr">
        <is>
          <t>Full ship DD&amp;C</t>
        </is>
      </c>
      <c r="K121" s="13" t="inlineStr">
        <is>
          <t>USN</t>
        </is>
      </c>
      <c r="L121" s="7" t="inlineStr">
        <is>
          <t>Combatant Ships</t>
        </is>
      </c>
      <c r="M121" s="7" t="inlineStr">
        <is>
          <t>Submarines</t>
        </is>
      </c>
      <c r="N121" s="7" t="inlineStr">
        <is>
          <t>SSBN</t>
        </is>
      </c>
      <c r="O121" s="15" t="n"/>
      <c r="P121" s="16" t="n">
        <v>8033</v>
      </c>
      <c r="S121" s="16" t="n">
        <v>8374</v>
      </c>
      <c r="U121" s="16" t="n">
        <v>8374</v>
      </c>
      <c r="AC121" s="23">
        <f>IF(OR(E121="",E121="[PARENT]"),"ADD",IF(E121="[ALT_VIEW]","ALT",""))</f>
        <v/>
      </c>
      <c r="AD121" s="21">
        <f>IF(Y121&lt;&gt;"",Y121,IF(U121&lt;&gt;"",U121,S121))</f>
        <v/>
      </c>
      <c r="AE121" s="21">
        <f>IF(AB121&lt;&gt;"",AB121,Z121)</f>
        <v/>
      </c>
      <c r="AF121" s="13" t="inlineStr">
        <is>
          <t>P-8a &gt; COLUMBIA Class Submarine &gt; Hull, Mechanical, and Electrical &gt; T&amp;E</t>
        </is>
      </c>
      <c r="AG121" s="7" t="inlineStr">
        <is>
          <t>39</t>
        </is>
      </c>
      <c r="AH121" s="7" t="inlineStr">
        <is>
          <t>1045</t>
        </is>
      </c>
      <c r="AJ121" s="7" t="inlineStr">
        <is>
          <t>T&amp;E</t>
        </is>
      </c>
    </row>
    <row r="122" ht="10" customHeight="1">
      <c r="A122" s="7" t="inlineStr">
        <is>
          <t>SCN</t>
        </is>
      </c>
      <c r="B122" s="7" t="inlineStr">
        <is>
          <t>Procurement</t>
        </is>
      </c>
      <c r="D122" s="7" t="inlineStr">
        <is>
          <t>COLUMBIA Class Submarine - P-8a Hull, Mechanical, and Electrical - SUPSHIP responsible material</t>
        </is>
      </c>
      <c r="E122" s="13" t="inlineStr">
        <is>
          <t>[ALT_VIEW]</t>
        </is>
      </c>
      <c r="F122" s="7" t="inlineStr">
        <is>
          <t>1045 / COLUMBIA Class Submarine</t>
        </is>
      </c>
      <c r="G122" s="7" t="inlineStr">
        <is>
          <t>P-8a</t>
        </is>
      </c>
      <c r="H122" s="7" t="inlineStr">
        <is>
          <t>Hull, Mechanical, and Electrical</t>
        </is>
      </c>
      <c r="I122" s="14" t="n">
        <v>1</v>
      </c>
      <c r="J122" s="7" t="inlineStr">
        <is>
          <t>Full ship DD&amp;C</t>
        </is>
      </c>
      <c r="K122" s="13" t="inlineStr">
        <is>
          <t>USN</t>
        </is>
      </c>
      <c r="L122" s="7" t="inlineStr">
        <is>
          <t>Combatant Ships</t>
        </is>
      </c>
      <c r="M122" s="7" t="inlineStr">
        <is>
          <t>Submarines</t>
        </is>
      </c>
      <c r="N122" s="7" t="inlineStr">
        <is>
          <t>SSBN</t>
        </is>
      </c>
      <c r="O122" s="15" t="n"/>
      <c r="P122" s="16" t="n">
        <v>1402</v>
      </c>
      <c r="S122" s="16" t="n">
        <v>1471</v>
      </c>
      <c r="U122" s="16" t="n">
        <v>1471</v>
      </c>
      <c r="AC122" s="23">
        <f>IF(OR(E122="",E122="[PARENT]"),"ADD",IF(E122="[ALT_VIEW]","ALT",""))</f>
        <v/>
      </c>
      <c r="AD122" s="21">
        <f>IF(Y122&lt;&gt;"",Y122,IF(U122&lt;&gt;"",U122,S122))</f>
        <v/>
      </c>
      <c r="AE122" s="21">
        <f>IF(AB122&lt;&gt;"",AB122,Z122)</f>
        <v/>
      </c>
      <c r="AF122" s="13" t="inlineStr">
        <is>
          <t>P-8a &gt; COLUMBIA Class Submarine &gt; Hull, Mechanical, and Electrical &gt; SUPSHIP responsible material</t>
        </is>
      </c>
      <c r="AG122" s="7" t="inlineStr">
        <is>
          <t>39</t>
        </is>
      </c>
      <c r="AH122" s="7" t="inlineStr">
        <is>
          <t>1045</t>
        </is>
      </c>
      <c r="AJ122" s="7" t="inlineStr">
        <is>
          <t>SUPSHIP responsible material</t>
        </is>
      </c>
    </row>
    <row r="123" ht="10" customHeight="1">
      <c r="A123" s="7" t="inlineStr">
        <is>
          <t>SCN</t>
        </is>
      </c>
      <c r="B123" s="7" t="inlineStr">
        <is>
          <t>Procurement</t>
        </is>
      </c>
      <c r="D123" s="7" t="inlineStr">
        <is>
          <t>COLUMBIA Class Submarine - P-8a Hull, Mechanical, and Electrical - Naval Foundry Propeller Center (NFPC)</t>
        </is>
      </c>
      <c r="E123" s="13" t="inlineStr">
        <is>
          <t>[ALT_VIEW]</t>
        </is>
      </c>
      <c r="F123" s="7" t="inlineStr">
        <is>
          <t>1045 / COLUMBIA Class Submarine</t>
        </is>
      </c>
      <c r="G123" s="7" t="inlineStr">
        <is>
          <t>P-8a</t>
        </is>
      </c>
      <c r="H123" s="7" t="inlineStr">
        <is>
          <t>Hull, Mechanical, and Electrical</t>
        </is>
      </c>
      <c r="I123" s="14" t="n">
        <v>1</v>
      </c>
      <c r="J123" s="7" t="inlineStr">
        <is>
          <t>Full ship DD&amp;C</t>
        </is>
      </c>
      <c r="K123" s="13" t="inlineStr">
        <is>
          <t>USN</t>
        </is>
      </c>
      <c r="L123" s="7" t="inlineStr">
        <is>
          <t>Combatant Ships</t>
        </is>
      </c>
      <c r="M123" s="7" t="inlineStr">
        <is>
          <t>Submarines</t>
        </is>
      </c>
      <c r="N123" s="7" t="inlineStr">
        <is>
          <t>SSBN</t>
        </is>
      </c>
      <c r="O123" s="15" t="n"/>
      <c r="S123" s="16" t="n">
        <v>29749</v>
      </c>
      <c r="U123" s="16" t="n">
        <v>29749</v>
      </c>
      <c r="AC123" s="23">
        <f>IF(OR(E123="",E123="[PARENT]"),"ADD",IF(E123="[ALT_VIEW]","ALT",""))</f>
        <v/>
      </c>
      <c r="AD123" s="21">
        <f>IF(Y123&lt;&gt;"",Y123,IF(U123&lt;&gt;"",U123,S123))</f>
        <v/>
      </c>
      <c r="AE123" s="21">
        <f>IF(AB123&lt;&gt;"",AB123,Z123)</f>
        <v/>
      </c>
      <c r="AF123" s="13" t="inlineStr">
        <is>
          <t>P-8a &gt; COLUMBIA Class Submarine &gt; Hull, Mechanical, and Electrical &gt; Naval Foundry Propeller Center (NFPC)</t>
        </is>
      </c>
      <c r="AG123" s="7" t="inlineStr">
        <is>
          <t>39</t>
        </is>
      </c>
      <c r="AH123" s="7" t="inlineStr">
        <is>
          <t>1045</t>
        </is>
      </c>
      <c r="AJ123" s="7" t="inlineStr">
        <is>
          <t>Naval Foundry Propeller Center (NFPC)</t>
        </is>
      </c>
    </row>
    <row r="124" ht="10" customHeight="1">
      <c r="A124" s="7" t="inlineStr">
        <is>
          <t>SCN</t>
        </is>
      </c>
      <c r="B124" s="7" t="inlineStr">
        <is>
          <t>Procurement</t>
        </is>
      </c>
      <c r="D124" s="7" t="inlineStr">
        <is>
          <t>COLUMBIA Class Submarine - P-8a Ordnance - Strategic Weapons System (SWS) Launcher 1</t>
        </is>
      </c>
      <c r="E124" s="13" t="inlineStr">
        <is>
          <t>[ALT_VIEW]</t>
        </is>
      </c>
      <c r="F124" s="7" t="inlineStr">
        <is>
          <t>1045 / COLUMBIA Class Submarine</t>
        </is>
      </c>
      <c r="G124" s="7" t="inlineStr">
        <is>
          <t>P-8a</t>
        </is>
      </c>
      <c r="H124" s="7" t="inlineStr">
        <is>
          <t>Ordnance</t>
        </is>
      </c>
      <c r="I124" s="14" t="n">
        <v>1</v>
      </c>
      <c r="J124" s="7" t="inlineStr">
        <is>
          <t>Full ship DD&amp;C</t>
        </is>
      </c>
      <c r="K124" s="13" t="inlineStr">
        <is>
          <t>USN</t>
        </is>
      </c>
      <c r="L124" s="7" t="inlineStr">
        <is>
          <t>Combatant Ships</t>
        </is>
      </c>
      <c r="M124" s="7" t="inlineStr">
        <is>
          <t>Submarines</t>
        </is>
      </c>
      <c r="N124" s="7" t="inlineStr">
        <is>
          <t>SSBN</t>
        </is>
      </c>
      <c r="O124" s="15" t="n"/>
      <c r="P124" s="16" t="n">
        <v>289404</v>
      </c>
      <c r="S124" s="16" t="n">
        <v>222711</v>
      </c>
      <c r="U124" s="16" t="n">
        <v>222711</v>
      </c>
      <c r="AC124" s="23">
        <f>IF(OR(E124="",E124="[PARENT]"),"ADD",IF(E124="[ALT_VIEW]","ALT",""))</f>
        <v/>
      </c>
      <c r="AD124" s="21">
        <f>IF(Y124&lt;&gt;"",Y124,IF(U124&lt;&gt;"",U124,S124))</f>
        <v/>
      </c>
      <c r="AE124" s="21">
        <f>IF(AB124&lt;&gt;"",AB124,Z124)</f>
        <v/>
      </c>
      <c r="AF124" s="13" t="inlineStr">
        <is>
          <t>P-8a &gt; COLUMBIA Class Submarine &gt; Ordnance &gt; Strategic Weapons System (SWS) Launcher 1</t>
        </is>
      </c>
      <c r="AG124" s="7" t="inlineStr">
        <is>
          <t>40</t>
        </is>
      </c>
      <c r="AH124" s="7" t="inlineStr">
        <is>
          <t>1045</t>
        </is>
      </c>
      <c r="AJ124" s="7" t="inlineStr">
        <is>
          <t>Strategic Weapons System (SWS) Launcher</t>
        </is>
      </c>
    </row>
    <row r="125" ht="10" customHeight="1">
      <c r="A125" s="7" t="inlineStr">
        <is>
          <t>SCN</t>
        </is>
      </c>
      <c r="B125" s="7" t="inlineStr">
        <is>
          <t>Procurement</t>
        </is>
      </c>
      <c r="D125" s="7" t="inlineStr">
        <is>
          <t>COLUMBIA Class Submarine - P-8a Ordnance - SWS Fire Control 1</t>
        </is>
      </c>
      <c r="E125" s="13" t="inlineStr">
        <is>
          <t>[ALT_VIEW]</t>
        </is>
      </c>
      <c r="F125" s="7" t="inlineStr">
        <is>
          <t>1045 / COLUMBIA Class Submarine</t>
        </is>
      </c>
      <c r="G125" s="7" t="inlineStr">
        <is>
          <t>P-8a</t>
        </is>
      </c>
      <c r="H125" s="7" t="inlineStr">
        <is>
          <t>Ordnance</t>
        </is>
      </c>
      <c r="I125" s="14" t="n">
        <v>1</v>
      </c>
      <c r="J125" s="7" t="inlineStr">
        <is>
          <t>Full ship DD&amp;C</t>
        </is>
      </c>
      <c r="K125" s="13" t="inlineStr">
        <is>
          <t>USN</t>
        </is>
      </c>
      <c r="L125" s="7" t="inlineStr">
        <is>
          <t>Combatant Ships</t>
        </is>
      </c>
      <c r="M125" s="7" t="inlineStr">
        <is>
          <t>Submarines</t>
        </is>
      </c>
      <c r="N125" s="7" t="inlineStr">
        <is>
          <t>SSBN</t>
        </is>
      </c>
      <c r="O125" s="15" t="n"/>
      <c r="P125" s="16" t="n">
        <v>129156</v>
      </c>
      <c r="S125" s="16" t="n">
        <v>105112</v>
      </c>
      <c r="U125" s="16" t="n">
        <v>105112</v>
      </c>
      <c r="AC125" s="23">
        <f>IF(OR(E125="",E125="[PARENT]"),"ADD",IF(E125="[ALT_VIEW]","ALT",""))</f>
        <v/>
      </c>
      <c r="AD125" s="21">
        <f>IF(Y125&lt;&gt;"",Y125,IF(U125&lt;&gt;"",U125,S125))</f>
        <v/>
      </c>
      <c r="AE125" s="21">
        <f>IF(AB125&lt;&gt;"",AB125,Z125)</f>
        <v/>
      </c>
      <c r="AF125" s="13" t="inlineStr">
        <is>
          <t>P-8a &gt; COLUMBIA Class Submarine &gt; Ordnance &gt; SWS Fire Control 1</t>
        </is>
      </c>
      <c r="AG125" s="7" t="inlineStr">
        <is>
          <t>40</t>
        </is>
      </c>
      <c r="AH125" s="7" t="inlineStr">
        <is>
          <t>1045</t>
        </is>
      </c>
      <c r="AJ125" s="7" t="inlineStr">
        <is>
          <t>SWS Fire Control</t>
        </is>
      </c>
    </row>
    <row r="126" ht="10" customHeight="1">
      <c r="A126" s="7" t="inlineStr">
        <is>
          <t>SCN</t>
        </is>
      </c>
      <c r="B126" s="7" t="inlineStr">
        <is>
          <t>Procurement</t>
        </is>
      </c>
      <c r="D126" s="7" t="inlineStr">
        <is>
          <t>COLUMBIA Class Submarine - P-8a Ordnance - SWS Navigation 1</t>
        </is>
      </c>
      <c r="E126" s="13" t="inlineStr">
        <is>
          <t>[ALT_VIEW]</t>
        </is>
      </c>
      <c r="F126" s="7" t="inlineStr">
        <is>
          <t>1045 / COLUMBIA Class Submarine</t>
        </is>
      </c>
      <c r="G126" s="7" t="inlineStr">
        <is>
          <t>P-8a</t>
        </is>
      </c>
      <c r="H126" s="7" t="inlineStr">
        <is>
          <t>Ordnance</t>
        </is>
      </c>
      <c r="I126" s="14" t="n">
        <v>1</v>
      </c>
      <c r="J126" s="7" t="inlineStr">
        <is>
          <t>Full ship DD&amp;C</t>
        </is>
      </c>
      <c r="K126" s="13" t="inlineStr">
        <is>
          <t>USN</t>
        </is>
      </c>
      <c r="L126" s="7" t="inlineStr">
        <is>
          <t>Combatant Ships</t>
        </is>
      </c>
      <c r="M126" s="7" t="inlineStr">
        <is>
          <t>Submarines</t>
        </is>
      </c>
      <c r="N126" s="7" t="inlineStr">
        <is>
          <t>SSBN</t>
        </is>
      </c>
      <c r="O126" s="15" t="n"/>
      <c r="P126" s="16" t="n">
        <v>49961</v>
      </c>
      <c r="S126" s="16" t="n">
        <v>37443</v>
      </c>
      <c r="U126" s="16" t="n">
        <v>37443</v>
      </c>
      <c r="AC126" s="23">
        <f>IF(OR(E126="",E126="[PARENT]"),"ADD",IF(E126="[ALT_VIEW]","ALT",""))</f>
        <v/>
      </c>
      <c r="AD126" s="21">
        <f>IF(Y126&lt;&gt;"",Y126,IF(U126&lt;&gt;"",U126,S126))</f>
        <v/>
      </c>
      <c r="AE126" s="21">
        <f>IF(AB126&lt;&gt;"",AB126,Z126)</f>
        <v/>
      </c>
      <c r="AF126" s="13" t="inlineStr">
        <is>
          <t>P-8a &gt; COLUMBIA Class Submarine &gt; Ordnance &gt; SWS Navigation 1</t>
        </is>
      </c>
      <c r="AG126" s="7" t="inlineStr">
        <is>
          <t>40</t>
        </is>
      </c>
      <c r="AH126" s="7" t="inlineStr">
        <is>
          <t>1045</t>
        </is>
      </c>
      <c r="AJ126" s="7" t="inlineStr">
        <is>
          <t>SWS Navigation</t>
        </is>
      </c>
    </row>
    <row r="127" ht="10" customHeight="1">
      <c r="A127" s="7" t="inlineStr">
        <is>
          <t>SCN</t>
        </is>
      </c>
      <c r="B127" s="7" t="inlineStr">
        <is>
          <t>Procurement</t>
        </is>
      </c>
      <c r="D127" s="7" t="inlineStr">
        <is>
          <t>COLUMBIA Class Submarine - P-8a Ordnance - SWS System Level Activities</t>
        </is>
      </c>
      <c r="E127" s="13" t="inlineStr">
        <is>
          <t>[ALT_VIEW]</t>
        </is>
      </c>
      <c r="F127" s="7" t="inlineStr">
        <is>
          <t>1045 / COLUMBIA Class Submarine</t>
        </is>
      </c>
      <c r="G127" s="7" t="inlineStr">
        <is>
          <t>P-8a</t>
        </is>
      </c>
      <c r="H127" s="7" t="inlineStr">
        <is>
          <t>Ordnance</t>
        </is>
      </c>
      <c r="I127" s="14" t="n">
        <v>1</v>
      </c>
      <c r="J127" s="7" t="inlineStr">
        <is>
          <t>Full ship DD&amp;C</t>
        </is>
      </c>
      <c r="K127" s="13" t="inlineStr">
        <is>
          <t>USN</t>
        </is>
      </c>
      <c r="L127" s="7" t="inlineStr">
        <is>
          <t>Combatant Ships</t>
        </is>
      </c>
      <c r="M127" s="7" t="inlineStr">
        <is>
          <t>Submarines</t>
        </is>
      </c>
      <c r="N127" s="7" t="inlineStr">
        <is>
          <t>SSBN</t>
        </is>
      </c>
      <c r="O127" s="15" t="n"/>
      <c r="P127" s="16" t="n">
        <v>78881</v>
      </c>
      <c r="S127" s="16" t="n">
        <v>64948</v>
      </c>
      <c r="U127" s="16" t="n">
        <v>64948</v>
      </c>
      <c r="AC127" s="23">
        <f>IF(OR(E127="",E127="[PARENT]"),"ADD",IF(E127="[ALT_VIEW]","ALT",""))</f>
        <v/>
      </c>
      <c r="AD127" s="21">
        <f>IF(Y127&lt;&gt;"",Y127,IF(U127&lt;&gt;"",U127,S127))</f>
        <v/>
      </c>
      <c r="AE127" s="21">
        <f>IF(AB127&lt;&gt;"",AB127,Z127)</f>
        <v/>
      </c>
      <c r="AF127" s="13" t="inlineStr">
        <is>
          <t>P-8a &gt; COLUMBIA Class Submarine &gt; Ordnance &gt; SWS System Level Activities</t>
        </is>
      </c>
      <c r="AG127" s="7" t="inlineStr">
        <is>
          <t>40</t>
        </is>
      </c>
      <c r="AH127" s="7" t="inlineStr">
        <is>
          <t>1045</t>
        </is>
      </c>
      <c r="AJ127" s="7" t="inlineStr">
        <is>
          <t>SWS System Level Activities</t>
        </is>
      </c>
    </row>
    <row r="128" ht="10" customHeight="1">
      <c r="A128" s="7" t="inlineStr">
        <is>
          <t>SCN</t>
        </is>
      </c>
      <c r="B128" s="7" t="inlineStr">
        <is>
          <t>Procurement</t>
        </is>
      </c>
      <c r="D128" s="7" t="inlineStr">
        <is>
          <t>COLUMBIA Class Submarine - P-8a Ordnance - SWS Reentry Subsystem</t>
        </is>
      </c>
      <c r="E128" s="13" t="inlineStr">
        <is>
          <t>[ALT_VIEW]</t>
        </is>
      </c>
      <c r="F128" s="7" t="inlineStr">
        <is>
          <t>1045 / COLUMBIA Class Submarine</t>
        </is>
      </c>
      <c r="G128" s="7" t="inlineStr">
        <is>
          <t>P-8a</t>
        </is>
      </c>
      <c r="H128" s="7" t="inlineStr">
        <is>
          <t>Ordnance</t>
        </is>
      </c>
      <c r="I128" s="14" t="n">
        <v>1</v>
      </c>
      <c r="J128" s="7" t="inlineStr">
        <is>
          <t>Full ship DD&amp;C</t>
        </is>
      </c>
      <c r="K128" s="13" t="inlineStr">
        <is>
          <t>USN</t>
        </is>
      </c>
      <c r="L128" s="7" t="inlineStr">
        <is>
          <t>Combatant Ships</t>
        </is>
      </c>
      <c r="M128" s="7" t="inlineStr">
        <is>
          <t>Submarines</t>
        </is>
      </c>
      <c r="N128" s="7" t="inlineStr">
        <is>
          <t>SSBN</t>
        </is>
      </c>
      <c r="O128" s="15" t="n"/>
      <c r="S128" s="16" t="n">
        <v>7373</v>
      </c>
      <c r="U128" s="16" t="n">
        <v>7373</v>
      </c>
      <c r="AC128" s="23">
        <f>IF(OR(E128="",E128="[PARENT]"),"ADD",IF(E128="[ALT_VIEW]","ALT",""))</f>
        <v/>
      </c>
      <c r="AD128" s="21">
        <f>IF(Y128&lt;&gt;"",Y128,IF(U128&lt;&gt;"",U128,S128))</f>
        <v/>
      </c>
      <c r="AE128" s="21">
        <f>IF(AB128&lt;&gt;"",AB128,Z128)</f>
        <v/>
      </c>
      <c r="AF128" s="13" t="inlineStr">
        <is>
          <t>P-8a &gt; COLUMBIA Class Submarine &gt; Ordnance &gt; SWS Reentry Subsystem</t>
        </is>
      </c>
      <c r="AG128" s="7" t="inlineStr">
        <is>
          <t>40</t>
        </is>
      </c>
      <c r="AH128" s="7" t="inlineStr">
        <is>
          <t>1045</t>
        </is>
      </c>
      <c r="AJ128" s="7" t="inlineStr">
        <is>
          <t>SWS Reentry Subsystem</t>
        </is>
      </c>
    </row>
    <row r="129" ht="10" customHeight="1">
      <c r="A129" s="7" t="inlineStr">
        <is>
          <t>SCN</t>
        </is>
      </c>
      <c r="B129" s="7" t="inlineStr">
        <is>
          <t>Procurement</t>
        </is>
      </c>
      <c r="D129" s="7" t="inlineStr">
        <is>
          <t>COLUMBIA Class Submarine - P-8a Ordnance - SWS Guidance Subsystem</t>
        </is>
      </c>
      <c r="E129" s="13" t="inlineStr">
        <is>
          <t>[ALT_VIEW]</t>
        </is>
      </c>
      <c r="F129" s="7" t="inlineStr">
        <is>
          <t>1045 / COLUMBIA Class Submarine</t>
        </is>
      </c>
      <c r="G129" s="7" t="inlineStr">
        <is>
          <t>P-8a</t>
        </is>
      </c>
      <c r="H129" s="7" t="inlineStr">
        <is>
          <t>Ordnance</t>
        </is>
      </c>
      <c r="I129" s="14" t="n">
        <v>1</v>
      </c>
      <c r="J129" s="7" t="inlineStr">
        <is>
          <t>Full ship DD&amp;C</t>
        </is>
      </c>
      <c r="K129" s="13" t="inlineStr">
        <is>
          <t>USN</t>
        </is>
      </c>
      <c r="L129" s="7" t="inlineStr">
        <is>
          <t>Combatant Ships</t>
        </is>
      </c>
      <c r="M129" s="7" t="inlineStr">
        <is>
          <t>Submarines</t>
        </is>
      </c>
      <c r="N129" s="7" t="inlineStr">
        <is>
          <t>SSBN</t>
        </is>
      </c>
      <c r="O129" s="15" t="n"/>
      <c r="P129" s="16" t="n">
        <v>2091</v>
      </c>
      <c r="S129" s="16" t="n">
        <v>1331</v>
      </c>
      <c r="U129" s="16" t="n">
        <v>1331</v>
      </c>
      <c r="AC129" s="23">
        <f>IF(OR(E129="",E129="[PARENT]"),"ADD",IF(E129="[ALT_VIEW]","ALT",""))</f>
        <v/>
      </c>
      <c r="AD129" s="21">
        <f>IF(Y129&lt;&gt;"",Y129,IF(U129&lt;&gt;"",U129,S129))</f>
        <v/>
      </c>
      <c r="AE129" s="21">
        <f>IF(AB129&lt;&gt;"",AB129,Z129)</f>
        <v/>
      </c>
      <c r="AF129" s="13" t="inlineStr">
        <is>
          <t>P-8a &gt; COLUMBIA Class Submarine &gt; Ordnance &gt; SWS Guidance Subsystem</t>
        </is>
      </c>
      <c r="AG129" s="7" t="inlineStr">
        <is>
          <t>40</t>
        </is>
      </c>
      <c r="AH129" s="7" t="inlineStr">
        <is>
          <t>1045</t>
        </is>
      </c>
      <c r="AJ129" s="7" t="inlineStr">
        <is>
          <t>SWS Guidance Subsystem</t>
        </is>
      </c>
    </row>
    <row r="130" ht="10" customHeight="1">
      <c r="A130" s="7" t="inlineStr">
        <is>
          <t>SCN</t>
        </is>
      </c>
      <c r="B130" s="7" t="inlineStr">
        <is>
          <t>Procurement</t>
        </is>
      </c>
      <c r="D130" s="7" t="inlineStr">
        <is>
          <t>COLUMBIA Class Submarine - P-8a Ordnance - SWS Missile Integration Activities</t>
        </is>
      </c>
      <c r="E130" s="13" t="inlineStr">
        <is>
          <t>[ALT_VIEW]</t>
        </is>
      </c>
      <c r="F130" s="7" t="inlineStr">
        <is>
          <t>1045 / COLUMBIA Class Submarine</t>
        </is>
      </c>
      <c r="G130" s="7" t="inlineStr">
        <is>
          <t>P-8a</t>
        </is>
      </c>
      <c r="H130" s="7" t="inlineStr">
        <is>
          <t>Ordnance</t>
        </is>
      </c>
      <c r="I130" s="14" t="n">
        <v>1</v>
      </c>
      <c r="J130" s="7" t="inlineStr">
        <is>
          <t>Full ship DD&amp;C</t>
        </is>
      </c>
      <c r="K130" s="13" t="inlineStr">
        <is>
          <t>USN</t>
        </is>
      </c>
      <c r="L130" s="7" t="inlineStr">
        <is>
          <t>Combatant Ships</t>
        </is>
      </c>
      <c r="M130" s="7" t="inlineStr">
        <is>
          <t>Submarines</t>
        </is>
      </c>
      <c r="N130" s="7" t="inlineStr">
        <is>
          <t>SSBN</t>
        </is>
      </c>
      <c r="O130" s="15" t="n"/>
      <c r="P130" s="16" t="n">
        <v>45422</v>
      </c>
      <c r="S130" s="16" t="n">
        <v>31573</v>
      </c>
      <c r="U130" s="16" t="n">
        <v>31573</v>
      </c>
      <c r="AC130" s="23">
        <f>IF(OR(E130="",E130="[PARENT]"),"ADD",IF(E130="[ALT_VIEW]","ALT",""))</f>
        <v/>
      </c>
      <c r="AD130" s="21">
        <f>IF(Y130&lt;&gt;"",Y130,IF(U130&lt;&gt;"",U130,S130))</f>
        <v/>
      </c>
      <c r="AE130" s="21">
        <f>IF(AB130&lt;&gt;"",AB130,Z130)</f>
        <v/>
      </c>
      <c r="AF130" s="13" t="inlineStr">
        <is>
          <t>P-8a &gt; COLUMBIA Class Submarine &gt; Ordnance &gt; SWS Missile Integration Activities</t>
        </is>
      </c>
      <c r="AG130" s="7" t="inlineStr">
        <is>
          <t>40</t>
        </is>
      </c>
      <c r="AH130" s="7" t="inlineStr">
        <is>
          <t>1045</t>
        </is>
      </c>
      <c r="AJ130" s="7" t="inlineStr">
        <is>
          <t>SWS Missile Integration Activities</t>
        </is>
      </c>
    </row>
    <row r="131" ht="10" customHeight="1">
      <c r="A131" s="7" t="inlineStr">
        <is>
          <t>SCN</t>
        </is>
      </c>
      <c r="B131" s="7" t="inlineStr">
        <is>
          <t>Procurement</t>
        </is>
      </c>
      <c r="D131" s="7" t="inlineStr">
        <is>
          <t>COLUMBIA Class Submarine - P-8a Ordnance - SWS Test Instrumentation Subsystem</t>
        </is>
      </c>
      <c r="E131" s="13" t="inlineStr">
        <is>
          <t>[ALT_VIEW]</t>
        </is>
      </c>
      <c r="F131" s="7" t="inlineStr">
        <is>
          <t>1045 / COLUMBIA Class Submarine</t>
        </is>
      </c>
      <c r="G131" s="7" t="inlineStr">
        <is>
          <t>P-8a</t>
        </is>
      </c>
      <c r="H131" s="7" t="inlineStr">
        <is>
          <t>Ordnance</t>
        </is>
      </c>
      <c r="I131" s="14" t="n">
        <v>1</v>
      </c>
      <c r="J131" s="7" t="inlineStr">
        <is>
          <t>Full ship DD&amp;C</t>
        </is>
      </c>
      <c r="K131" s="13" t="inlineStr">
        <is>
          <t>USN</t>
        </is>
      </c>
      <c r="L131" s="7" t="inlineStr">
        <is>
          <t>Combatant Ships</t>
        </is>
      </c>
      <c r="M131" s="7" t="inlineStr">
        <is>
          <t>Submarines</t>
        </is>
      </c>
      <c r="N131" s="7" t="inlineStr">
        <is>
          <t>SSBN</t>
        </is>
      </c>
      <c r="O131" s="15" t="n"/>
      <c r="P131" s="16" t="n">
        <v>1842</v>
      </c>
      <c r="S131" s="16" t="n">
        <v>1941</v>
      </c>
      <c r="U131" s="16" t="n">
        <v>1941</v>
      </c>
      <c r="AC131" s="23">
        <f>IF(OR(E131="",E131="[PARENT]"),"ADD",IF(E131="[ALT_VIEW]","ALT",""))</f>
        <v/>
      </c>
      <c r="AD131" s="21">
        <f>IF(Y131&lt;&gt;"",Y131,IF(U131&lt;&gt;"",U131,S131))</f>
        <v/>
      </c>
      <c r="AE131" s="21">
        <f>IF(AB131&lt;&gt;"",AB131,Z131)</f>
        <v/>
      </c>
      <c r="AF131" s="13" t="inlineStr">
        <is>
          <t>P-8a &gt; COLUMBIA Class Submarine &gt; Ordnance &gt; SWS Test Instrumentation Subsystem</t>
        </is>
      </c>
      <c r="AG131" s="7" t="inlineStr">
        <is>
          <t>40</t>
        </is>
      </c>
      <c r="AH131" s="7" t="inlineStr">
        <is>
          <t>1045</t>
        </is>
      </c>
      <c r="AJ131" s="7" t="inlineStr">
        <is>
          <t>SWS Test Instrumentation Subsystem</t>
        </is>
      </c>
    </row>
    <row r="132" ht="10" customHeight="1">
      <c r="A132" s="7" t="inlineStr">
        <is>
          <t>SCN</t>
        </is>
      </c>
      <c r="B132" s="7" t="inlineStr">
        <is>
          <t>Procurement</t>
        </is>
      </c>
      <c r="D132" s="7" t="inlineStr">
        <is>
          <t>COLUMBIA Class Submarine - P-35 Sonar - Major Hardware                                                                              1</t>
        </is>
      </c>
      <c r="E132" s="13" t="inlineStr">
        <is>
          <t>[ALT_VIEW]</t>
        </is>
      </c>
      <c r="F132" s="7" t="inlineStr">
        <is>
          <t>1045 / COLUMBIA Class Submarine</t>
        </is>
      </c>
      <c r="G132" s="7" t="inlineStr">
        <is>
          <t>P-35</t>
        </is>
      </c>
      <c r="I132" s="14" t="n">
        <v>1</v>
      </c>
      <c r="J132" s="7" t="inlineStr">
        <is>
          <t>Full ship DD&amp;C</t>
        </is>
      </c>
      <c r="K132" s="13" t="inlineStr">
        <is>
          <t>USN</t>
        </is>
      </c>
      <c r="L132" s="7" t="inlineStr">
        <is>
          <t>Combatant Ships</t>
        </is>
      </c>
      <c r="M132" s="7" t="inlineStr">
        <is>
          <t>Submarines</t>
        </is>
      </c>
      <c r="N132" s="7" t="inlineStr">
        <is>
          <t>SSBN</t>
        </is>
      </c>
      <c r="O132" s="15" t="n"/>
      <c r="P132" s="16" t="n">
        <v>61855</v>
      </c>
      <c r="S132" s="16" t="n">
        <v>66266</v>
      </c>
      <c r="U132" s="16" t="n">
        <v>66266</v>
      </c>
      <c r="AC132" s="23">
        <f>IF(OR(E132="",E132="[PARENT]"),"ADD",IF(E132="[ALT_VIEW]","ALT",""))</f>
        <v/>
      </c>
      <c r="AD132" s="21">
        <f>IF(Y132&lt;&gt;"",Y132,IF(U132&lt;&gt;"",U132,S132))</f>
        <v/>
      </c>
      <c r="AE132" s="21">
        <f>IF(AB132&lt;&gt;"",AB132,Z132)</f>
        <v/>
      </c>
      <c r="AF132" s="13" t="inlineStr">
        <is>
          <t>P-35 &gt; COLUMBIA Class Submarine &gt; Sonar &gt; Major Hardware                                                                              1</t>
        </is>
      </c>
      <c r="AG132" s="7" t="inlineStr">
        <is>
          <t>41</t>
        </is>
      </c>
      <c r="AH132" s="7" t="inlineStr">
        <is>
          <t>1045</t>
        </is>
      </c>
      <c r="AJ132" s="7" t="inlineStr">
        <is>
          <t>Sonar [SSBN 828]</t>
        </is>
      </c>
    </row>
    <row r="133" ht="10" customHeight="1">
      <c r="A133" s="7" t="inlineStr">
        <is>
          <t>SCN</t>
        </is>
      </c>
      <c r="B133" s="7" t="inlineStr">
        <is>
          <t>Procurement</t>
        </is>
      </c>
      <c r="D133" s="7" t="inlineStr">
        <is>
          <t>COLUMBIA Class Submarine - P-35 Sonar - Technical Engineering Services</t>
        </is>
      </c>
      <c r="E133" s="13" t="inlineStr">
        <is>
          <t>[ALT_VIEW]</t>
        </is>
      </c>
      <c r="F133" s="7" t="inlineStr">
        <is>
          <t>1045 / COLUMBIA Class Submarine</t>
        </is>
      </c>
      <c r="G133" s="7" t="inlineStr">
        <is>
          <t>P-35</t>
        </is>
      </c>
      <c r="I133" s="14" t="n">
        <v>1</v>
      </c>
      <c r="J133" s="7" t="inlineStr">
        <is>
          <t>Full ship DD&amp;C</t>
        </is>
      </c>
      <c r="K133" s="13" t="inlineStr">
        <is>
          <t>USN</t>
        </is>
      </c>
      <c r="L133" s="7" t="inlineStr">
        <is>
          <t>Combatant Ships</t>
        </is>
      </c>
      <c r="M133" s="7" t="inlineStr">
        <is>
          <t>Submarines</t>
        </is>
      </c>
      <c r="N133" s="7" t="inlineStr">
        <is>
          <t>SSBN</t>
        </is>
      </c>
      <c r="O133" s="15" t="n"/>
      <c r="P133" s="16" t="n">
        <v>17880</v>
      </c>
      <c r="S133" s="16" t="n">
        <v>19154</v>
      </c>
      <c r="U133" s="16" t="n">
        <v>19154</v>
      </c>
      <c r="AC133" s="23">
        <f>IF(OR(E133="",E133="[PARENT]"),"ADD",IF(E133="[ALT_VIEW]","ALT",""))</f>
        <v/>
      </c>
      <c r="AD133" s="21">
        <f>IF(Y133&lt;&gt;"",Y133,IF(U133&lt;&gt;"",U133,S133))</f>
        <v/>
      </c>
      <c r="AE133" s="21">
        <f>IF(AB133&lt;&gt;"",AB133,Z133)</f>
        <v/>
      </c>
      <c r="AF133" s="13" t="inlineStr">
        <is>
          <t>P-35 &gt; COLUMBIA Class Submarine &gt; Sonar &gt; Technical Engineering Services</t>
        </is>
      </c>
      <c r="AG133" s="7" t="inlineStr">
        <is>
          <t>41</t>
        </is>
      </c>
      <c r="AH133" s="7" t="inlineStr">
        <is>
          <t>1045</t>
        </is>
      </c>
      <c r="AJ133" s="7" t="inlineStr">
        <is>
          <t>Sonar</t>
        </is>
      </c>
    </row>
    <row r="134" ht="10" customHeight="1">
      <c r="A134" s="7" t="inlineStr">
        <is>
          <t>SCN</t>
        </is>
      </c>
      <c r="B134" s="7" t="inlineStr">
        <is>
          <t>Procurement</t>
        </is>
      </c>
      <c r="D134" s="7" t="inlineStr">
        <is>
          <t>COLUMBIA Class Submarine - P-35 Sonar - Other Costs</t>
        </is>
      </c>
      <c r="E134" s="13" t="inlineStr">
        <is>
          <t>[ALT_VIEW]</t>
        </is>
      </c>
      <c r="F134" s="7" t="inlineStr">
        <is>
          <t>1045 / COLUMBIA Class Submarine</t>
        </is>
      </c>
      <c r="G134" s="7" t="inlineStr">
        <is>
          <t>P-35</t>
        </is>
      </c>
      <c r="I134" s="14" t="n">
        <v>1</v>
      </c>
      <c r="J134" s="7" t="inlineStr">
        <is>
          <t>Full ship DD&amp;C</t>
        </is>
      </c>
      <c r="K134" s="13" t="inlineStr">
        <is>
          <t>USN</t>
        </is>
      </c>
      <c r="L134" s="7" t="inlineStr">
        <is>
          <t>Combatant Ships</t>
        </is>
      </c>
      <c r="M134" s="7" t="inlineStr">
        <is>
          <t>Submarines</t>
        </is>
      </c>
      <c r="N134" s="7" t="inlineStr">
        <is>
          <t>SSBN</t>
        </is>
      </c>
      <c r="O134" s="15" t="n"/>
      <c r="P134" s="16" t="n">
        <v>16914</v>
      </c>
      <c r="S134" s="16" t="n">
        <v>18120</v>
      </c>
      <c r="U134" s="16" t="n">
        <v>18120</v>
      </c>
      <c r="AC134" s="23">
        <f>IF(OR(E134="",E134="[PARENT]"),"ADD",IF(E134="[ALT_VIEW]","ALT",""))</f>
        <v/>
      </c>
      <c r="AD134" s="21">
        <f>IF(Y134&lt;&gt;"",Y134,IF(U134&lt;&gt;"",U134,S134))</f>
        <v/>
      </c>
      <c r="AE134" s="21">
        <f>IF(AB134&lt;&gt;"",AB134,Z134)</f>
        <v/>
      </c>
      <c r="AF134" s="13" t="inlineStr">
        <is>
          <t>P-35 &gt; COLUMBIA Class Submarine &gt; Sonar &gt; Other Costs</t>
        </is>
      </c>
      <c r="AG134" s="7" t="inlineStr">
        <is>
          <t>41</t>
        </is>
      </c>
      <c r="AH134" s="7" t="inlineStr">
        <is>
          <t>1045</t>
        </is>
      </c>
      <c r="AJ134" s="7" t="inlineStr">
        <is>
          <t>Sonar</t>
        </is>
      </c>
    </row>
    <row r="135" ht="10" customHeight="1">
      <c r="A135" s="7" t="inlineStr">
        <is>
          <t>SCN</t>
        </is>
      </c>
      <c r="B135" s="7" t="inlineStr">
        <is>
          <t>Procurement</t>
        </is>
      </c>
      <c r="D135" s="7" t="inlineStr">
        <is>
          <t>COLUMBIA Class Submarine - P-35 Combat Control - Major Hardware                                                                         1</t>
        </is>
      </c>
      <c r="E135" s="13" t="inlineStr">
        <is>
          <t>[ALT_VIEW]</t>
        </is>
      </c>
      <c r="F135" s="7" t="inlineStr">
        <is>
          <t>1045 / COLUMBIA Class Submarine</t>
        </is>
      </c>
      <c r="G135" s="7" t="inlineStr">
        <is>
          <t>P-35</t>
        </is>
      </c>
      <c r="I135" s="14" t="n">
        <v>1</v>
      </c>
      <c r="J135" s="7" t="inlineStr">
        <is>
          <t>Full ship DD&amp;C</t>
        </is>
      </c>
      <c r="K135" s="13" t="inlineStr">
        <is>
          <t>USN</t>
        </is>
      </c>
      <c r="L135" s="7" t="inlineStr">
        <is>
          <t>Combatant Ships</t>
        </is>
      </c>
      <c r="M135" s="7" t="inlineStr">
        <is>
          <t>Submarines</t>
        </is>
      </c>
      <c r="N135" s="7" t="inlineStr">
        <is>
          <t>SSBN</t>
        </is>
      </c>
      <c r="O135" s="15" t="n"/>
      <c r="P135" s="16" t="n">
        <v>5149</v>
      </c>
      <c r="S135" s="16" t="n">
        <v>6081</v>
      </c>
      <c r="U135" s="16" t="n">
        <v>6081</v>
      </c>
      <c r="AC135" s="23">
        <f>IF(OR(E135="",E135="[PARENT]"),"ADD",IF(E135="[ALT_VIEW]","ALT",""))</f>
        <v/>
      </c>
      <c r="AD135" s="21">
        <f>IF(Y135&lt;&gt;"",Y135,IF(U135&lt;&gt;"",U135,S135))</f>
        <v/>
      </c>
      <c r="AE135" s="21">
        <f>IF(AB135&lt;&gt;"",AB135,Z135)</f>
        <v/>
      </c>
      <c r="AF135" s="13" t="inlineStr">
        <is>
          <t>P-35 &gt; COLUMBIA Class Submarine &gt; Combat Control &gt; Major Hardware                                                                         1</t>
        </is>
      </c>
      <c r="AG135" s="7" t="inlineStr">
        <is>
          <t>43</t>
        </is>
      </c>
      <c r="AH135" s="7" t="inlineStr">
        <is>
          <t>1045</t>
        </is>
      </c>
      <c r="AJ135" s="7" t="inlineStr">
        <is>
          <t>Combat Control [SSBN 828]</t>
        </is>
      </c>
    </row>
    <row r="136" ht="10" customHeight="1">
      <c r="A136" s="7" t="inlineStr">
        <is>
          <t>SCN</t>
        </is>
      </c>
      <c r="B136" s="7" t="inlineStr">
        <is>
          <t>Procurement</t>
        </is>
      </c>
      <c r="D136" s="7" t="inlineStr">
        <is>
          <t>COLUMBIA Class Submarine - P-35 Combat Control - Technical Engineering Services</t>
        </is>
      </c>
      <c r="E136" s="13" t="inlineStr">
        <is>
          <t>[ALT_VIEW]</t>
        </is>
      </c>
      <c r="F136" s="7" t="inlineStr">
        <is>
          <t>1045 / COLUMBIA Class Submarine</t>
        </is>
      </c>
      <c r="G136" s="7" t="inlineStr">
        <is>
          <t>P-35</t>
        </is>
      </c>
      <c r="I136" s="14" t="n">
        <v>1</v>
      </c>
      <c r="J136" s="7" t="inlineStr">
        <is>
          <t>Full ship DD&amp;C</t>
        </is>
      </c>
      <c r="K136" s="13" t="inlineStr">
        <is>
          <t>USN</t>
        </is>
      </c>
      <c r="L136" s="7" t="inlineStr">
        <is>
          <t>Combatant Ships</t>
        </is>
      </c>
      <c r="M136" s="7" t="inlineStr">
        <is>
          <t>Submarines</t>
        </is>
      </c>
      <c r="N136" s="7" t="inlineStr">
        <is>
          <t>SSBN</t>
        </is>
      </c>
      <c r="O136" s="15" t="n"/>
      <c r="P136" s="16" t="n">
        <v>3678</v>
      </c>
      <c r="S136" s="16" t="n">
        <v>4344</v>
      </c>
      <c r="U136" s="16" t="n">
        <v>4344</v>
      </c>
      <c r="AC136" s="23">
        <f>IF(OR(E136="",E136="[PARENT]"),"ADD",IF(E136="[ALT_VIEW]","ALT",""))</f>
        <v/>
      </c>
      <c r="AD136" s="21">
        <f>IF(Y136&lt;&gt;"",Y136,IF(U136&lt;&gt;"",U136,S136))</f>
        <v/>
      </c>
      <c r="AE136" s="21">
        <f>IF(AB136&lt;&gt;"",AB136,Z136)</f>
        <v/>
      </c>
      <c r="AF136" s="13" t="inlineStr">
        <is>
          <t>P-35 &gt; COLUMBIA Class Submarine &gt; Combat Control &gt; Technical Engineering Services</t>
        </is>
      </c>
      <c r="AG136" s="7" t="inlineStr">
        <is>
          <t>43</t>
        </is>
      </c>
      <c r="AH136" s="7" t="inlineStr">
        <is>
          <t>1045</t>
        </is>
      </c>
      <c r="AJ136" s="7" t="inlineStr">
        <is>
          <t>Combat Control</t>
        </is>
      </c>
    </row>
    <row r="137" ht="10" customHeight="1">
      <c r="A137" s="7" t="inlineStr">
        <is>
          <t>SCN</t>
        </is>
      </c>
      <c r="B137" s="7" t="inlineStr">
        <is>
          <t>Procurement</t>
        </is>
      </c>
      <c r="D137" s="7" t="inlineStr">
        <is>
          <t>COLUMBIA Class Submarine - P-35 Combat Control - Other Costs</t>
        </is>
      </c>
      <c r="E137" s="13" t="inlineStr">
        <is>
          <t>[ALT_VIEW]</t>
        </is>
      </c>
      <c r="F137" s="7" t="inlineStr">
        <is>
          <t>1045 / COLUMBIA Class Submarine</t>
        </is>
      </c>
      <c r="G137" s="7" t="inlineStr">
        <is>
          <t>P-35</t>
        </is>
      </c>
      <c r="I137" s="14" t="n">
        <v>1</v>
      </c>
      <c r="J137" s="7" t="inlineStr">
        <is>
          <t>Full ship DD&amp;C</t>
        </is>
      </c>
      <c r="K137" s="13" t="inlineStr">
        <is>
          <t>USN</t>
        </is>
      </c>
      <c r="L137" s="7" t="inlineStr">
        <is>
          <t>Combatant Ships</t>
        </is>
      </c>
      <c r="M137" s="7" t="inlineStr">
        <is>
          <t>Submarines</t>
        </is>
      </c>
      <c r="N137" s="7" t="inlineStr">
        <is>
          <t>SSBN</t>
        </is>
      </c>
      <c r="O137" s="15" t="n"/>
      <c r="P137" s="16" t="n">
        <v>7519</v>
      </c>
      <c r="S137" s="16" t="n">
        <v>8880</v>
      </c>
      <c r="U137" s="16" t="n">
        <v>8880</v>
      </c>
      <c r="AC137" s="23">
        <f>IF(OR(E137="",E137="[PARENT]"),"ADD",IF(E137="[ALT_VIEW]","ALT",""))</f>
        <v/>
      </c>
      <c r="AD137" s="21">
        <f>IF(Y137&lt;&gt;"",Y137,IF(U137&lt;&gt;"",U137,S137))</f>
        <v/>
      </c>
      <c r="AE137" s="21">
        <f>IF(AB137&lt;&gt;"",AB137,Z137)</f>
        <v/>
      </c>
      <c r="AF137" s="13" t="inlineStr">
        <is>
          <t>P-35 &gt; COLUMBIA Class Submarine &gt; Combat Control &gt; Other Costs</t>
        </is>
      </c>
      <c r="AG137" s="7" t="inlineStr">
        <is>
          <t>43</t>
        </is>
      </c>
      <c r="AH137" s="7" t="inlineStr">
        <is>
          <t>1045</t>
        </is>
      </c>
      <c r="AJ137" s="7" t="inlineStr">
        <is>
          <t>Combat Control</t>
        </is>
      </c>
    </row>
    <row r="138" ht="10" customHeight="1">
      <c r="A138" s="7" t="inlineStr">
        <is>
          <t>SCN</t>
        </is>
      </c>
      <c r="B138" s="7" t="inlineStr">
        <is>
          <t>Procurement</t>
        </is>
      </c>
      <c r="D138" s="7" t="inlineStr">
        <is>
          <t>COLUMBIA Class Submarine - P-35 CANES - Major Hardware                                                                           1</t>
        </is>
      </c>
      <c r="E138" s="13" t="inlineStr">
        <is>
          <t>[ALT_VIEW]</t>
        </is>
      </c>
      <c r="F138" s="7" t="inlineStr">
        <is>
          <t>1045 / COLUMBIA Class Submarine</t>
        </is>
      </c>
      <c r="G138" s="7" t="inlineStr">
        <is>
          <t>P-35</t>
        </is>
      </c>
      <c r="I138" s="14" t="n">
        <v>1</v>
      </c>
      <c r="J138" s="7" t="inlineStr">
        <is>
          <t>Full ship DD&amp;C</t>
        </is>
      </c>
      <c r="K138" s="13" t="inlineStr">
        <is>
          <t>USN</t>
        </is>
      </c>
      <c r="L138" s="7" t="inlineStr">
        <is>
          <t>Combatant Ships</t>
        </is>
      </c>
      <c r="M138" s="7" t="inlineStr">
        <is>
          <t>Submarines</t>
        </is>
      </c>
      <c r="N138" s="7" t="inlineStr">
        <is>
          <t>SSBN</t>
        </is>
      </c>
      <c r="O138" s="15" t="n"/>
      <c r="P138" s="16" t="n">
        <v>4302</v>
      </c>
      <c r="S138" s="16" t="n">
        <v>4962</v>
      </c>
      <c r="U138" s="16" t="n">
        <v>4962</v>
      </c>
      <c r="AC138" s="23">
        <f>IF(OR(E138="",E138="[PARENT]"),"ADD",IF(E138="[ALT_VIEW]","ALT",""))</f>
        <v/>
      </c>
      <c r="AD138" s="21">
        <f>IF(Y138&lt;&gt;"",Y138,IF(U138&lt;&gt;"",U138,S138))</f>
        <v/>
      </c>
      <c r="AE138" s="21">
        <f>IF(AB138&lt;&gt;"",AB138,Z138)</f>
        <v/>
      </c>
      <c r="AF138" s="13" t="inlineStr">
        <is>
          <t>P-35 &gt; COLUMBIA Class Submarine &gt; CANES &gt; Major Hardware                                                                           1</t>
        </is>
      </c>
      <c r="AG138" s="7" t="inlineStr">
        <is>
          <t>44</t>
        </is>
      </c>
      <c r="AH138" s="7" t="inlineStr">
        <is>
          <t>1045</t>
        </is>
      </c>
      <c r="AJ138" s="7" t="inlineStr">
        <is>
          <t>CANES [SSBN 828]</t>
        </is>
      </c>
    </row>
    <row r="139" ht="10" customHeight="1">
      <c r="A139" s="7" t="inlineStr">
        <is>
          <t>SCN</t>
        </is>
      </c>
      <c r="B139" s="7" t="inlineStr">
        <is>
          <t>Procurement</t>
        </is>
      </c>
      <c r="D139" s="7" t="inlineStr">
        <is>
          <t>COLUMBIA Class Submarine - P-35 CANES - Technical Data and Documentation</t>
        </is>
      </c>
      <c r="E139" s="13" t="inlineStr">
        <is>
          <t>[ALT_VIEW]</t>
        </is>
      </c>
      <c r="F139" s="7" t="inlineStr">
        <is>
          <t>1045 / COLUMBIA Class Submarine</t>
        </is>
      </c>
      <c r="G139" s="7" t="inlineStr">
        <is>
          <t>P-35</t>
        </is>
      </c>
      <c r="I139" s="14" t="n">
        <v>1</v>
      </c>
      <c r="J139" s="7" t="inlineStr">
        <is>
          <t>Full ship DD&amp;C</t>
        </is>
      </c>
      <c r="K139" s="13" t="inlineStr">
        <is>
          <t>USN</t>
        </is>
      </c>
      <c r="L139" s="7" t="inlineStr">
        <is>
          <t>Combatant Ships</t>
        </is>
      </c>
      <c r="M139" s="7" t="inlineStr">
        <is>
          <t>Submarines</t>
        </is>
      </c>
      <c r="N139" s="7" t="inlineStr">
        <is>
          <t>SSBN</t>
        </is>
      </c>
      <c r="O139" s="15" t="n"/>
      <c r="P139" s="16" t="n">
        <v>4614</v>
      </c>
      <c r="S139" s="16" t="n">
        <v>4393</v>
      </c>
      <c r="U139" s="16" t="n">
        <v>4393</v>
      </c>
      <c r="AC139" s="23">
        <f>IF(OR(E139="",E139="[PARENT]"),"ADD",IF(E139="[ALT_VIEW]","ALT",""))</f>
        <v/>
      </c>
      <c r="AD139" s="21">
        <f>IF(Y139&lt;&gt;"",Y139,IF(U139&lt;&gt;"",U139,S139))</f>
        <v/>
      </c>
      <c r="AE139" s="21">
        <f>IF(AB139&lt;&gt;"",AB139,Z139)</f>
        <v/>
      </c>
      <c r="AF139" s="13" t="inlineStr">
        <is>
          <t>P-35 &gt; COLUMBIA Class Submarine &gt; CANES &gt; Technical Data and Documentation</t>
        </is>
      </c>
      <c r="AG139" s="7" t="inlineStr">
        <is>
          <t>44</t>
        </is>
      </c>
      <c r="AH139" s="7" t="inlineStr">
        <is>
          <t>1045</t>
        </is>
      </c>
      <c r="AJ139" s="7" t="inlineStr">
        <is>
          <t>CANES</t>
        </is>
      </c>
    </row>
    <row r="140" ht="10" customHeight="1">
      <c r="A140" s="7" t="inlineStr">
        <is>
          <t>SCN</t>
        </is>
      </c>
      <c r="B140" s="7" t="inlineStr">
        <is>
          <t>Procurement</t>
        </is>
      </c>
      <c r="D140" s="7" t="inlineStr">
        <is>
          <t>COLUMBIA Class Submarine - P-35 CANES - Other Costs</t>
        </is>
      </c>
      <c r="E140" s="13" t="inlineStr">
        <is>
          <t>[ALT_VIEW]</t>
        </is>
      </c>
      <c r="F140" s="7" t="inlineStr">
        <is>
          <t>1045 / COLUMBIA Class Submarine</t>
        </is>
      </c>
      <c r="G140" s="7" t="inlineStr">
        <is>
          <t>P-35</t>
        </is>
      </c>
      <c r="I140" s="14" t="n">
        <v>1</v>
      </c>
      <c r="J140" s="7" t="inlineStr">
        <is>
          <t>Full ship DD&amp;C</t>
        </is>
      </c>
      <c r="K140" s="13" t="inlineStr">
        <is>
          <t>USN</t>
        </is>
      </c>
      <c r="L140" s="7" t="inlineStr">
        <is>
          <t>Combatant Ships</t>
        </is>
      </c>
      <c r="M140" s="7" t="inlineStr">
        <is>
          <t>Submarines</t>
        </is>
      </c>
      <c r="N140" s="7" t="inlineStr">
        <is>
          <t>SSBN</t>
        </is>
      </c>
      <c r="O140" s="15" t="n"/>
      <c r="P140" s="16" t="n">
        <v>6726</v>
      </c>
      <c r="S140" s="16" t="n">
        <v>6915</v>
      </c>
      <c r="U140" s="16" t="n">
        <v>6915</v>
      </c>
      <c r="AC140" s="23">
        <f>IF(OR(E140="",E140="[PARENT]"),"ADD",IF(E140="[ALT_VIEW]","ALT",""))</f>
        <v/>
      </c>
      <c r="AD140" s="21">
        <f>IF(Y140&lt;&gt;"",Y140,IF(U140&lt;&gt;"",U140,S140))</f>
        <v/>
      </c>
      <c r="AE140" s="21">
        <f>IF(AB140&lt;&gt;"",AB140,Z140)</f>
        <v/>
      </c>
      <c r="AF140" s="13" t="inlineStr">
        <is>
          <t>P-35 &gt; COLUMBIA Class Submarine &gt; CANES &gt; Other Costs</t>
        </is>
      </c>
      <c r="AG140" s="7" t="inlineStr">
        <is>
          <t>44</t>
        </is>
      </c>
      <c r="AH140" s="7" t="inlineStr">
        <is>
          <t>1045</t>
        </is>
      </c>
      <c r="AJ140" s="7" t="inlineStr">
        <is>
          <t>CANES</t>
        </is>
      </c>
    </row>
    <row r="141" ht="10" customHeight="1">
      <c r="A141" s="7" t="inlineStr">
        <is>
          <t>SCN</t>
        </is>
      </c>
      <c r="B141" s="7" t="inlineStr">
        <is>
          <t>Procurement</t>
        </is>
      </c>
      <c r="D141" s="7" t="inlineStr">
        <is>
          <t>COLUMBIA Class Submarine - P-35 Electronic Warfare - Major Hardware                                                                            1</t>
        </is>
      </c>
      <c r="E141" s="13" t="inlineStr">
        <is>
          <t>[ALT_VIEW]</t>
        </is>
      </c>
      <c r="F141" s="7" t="inlineStr">
        <is>
          <t>1045 / COLUMBIA Class Submarine</t>
        </is>
      </c>
      <c r="G141" s="7" t="inlineStr">
        <is>
          <t>P-35</t>
        </is>
      </c>
      <c r="I141" s="14" t="n">
        <v>1</v>
      </c>
      <c r="J141" s="7" t="inlineStr">
        <is>
          <t>Full ship DD&amp;C</t>
        </is>
      </c>
      <c r="K141" s="13" t="inlineStr">
        <is>
          <t>USN</t>
        </is>
      </c>
      <c r="L141" s="7" t="inlineStr">
        <is>
          <t>Combatant Ships</t>
        </is>
      </c>
      <c r="M141" s="7" t="inlineStr">
        <is>
          <t>Submarines</t>
        </is>
      </c>
      <c r="N141" s="7" t="inlineStr">
        <is>
          <t>SSBN</t>
        </is>
      </c>
      <c r="O141" s="15" t="n"/>
      <c r="P141" s="16" t="n">
        <v>11922</v>
      </c>
      <c r="S141" s="16" t="n">
        <v>12403</v>
      </c>
      <c r="U141" s="16" t="n">
        <v>12403</v>
      </c>
      <c r="AC141" s="23">
        <f>IF(OR(E141="",E141="[PARENT]"),"ADD",IF(E141="[ALT_VIEW]","ALT",""))</f>
        <v/>
      </c>
      <c r="AD141" s="21">
        <f>IF(Y141&lt;&gt;"",Y141,IF(U141&lt;&gt;"",U141,S141))</f>
        <v/>
      </c>
      <c r="AE141" s="21">
        <f>IF(AB141&lt;&gt;"",AB141,Z141)</f>
        <v/>
      </c>
      <c r="AF141" s="13" t="inlineStr">
        <is>
          <t>P-35 &gt; COLUMBIA Class Submarine &gt; Electronic Warfare &gt; Major Hardware                                                                            1</t>
        </is>
      </c>
      <c r="AG141" s="7" t="inlineStr">
        <is>
          <t>45</t>
        </is>
      </c>
      <c r="AH141" s="7" t="inlineStr">
        <is>
          <t>1045</t>
        </is>
      </c>
      <c r="AJ141" s="7" t="inlineStr">
        <is>
          <t>Electronic Warfare [SSBN 828]</t>
        </is>
      </c>
    </row>
    <row r="142" ht="10" customHeight="1">
      <c r="A142" s="7" t="inlineStr">
        <is>
          <t>SCN</t>
        </is>
      </c>
      <c r="B142" s="7" t="inlineStr">
        <is>
          <t>Procurement</t>
        </is>
      </c>
      <c r="D142" s="7" t="inlineStr">
        <is>
          <t>COLUMBIA Class Submarine - P-35 Electronic Warfare - Technical Engineering Services</t>
        </is>
      </c>
      <c r="E142" s="13" t="inlineStr">
        <is>
          <t>[ALT_VIEW]</t>
        </is>
      </c>
      <c r="F142" s="7" t="inlineStr">
        <is>
          <t>1045 / COLUMBIA Class Submarine</t>
        </is>
      </c>
      <c r="G142" s="7" t="inlineStr">
        <is>
          <t>P-35</t>
        </is>
      </c>
      <c r="I142" s="14" t="n">
        <v>1</v>
      </c>
      <c r="J142" s="7" t="inlineStr">
        <is>
          <t>Full ship DD&amp;C</t>
        </is>
      </c>
      <c r="K142" s="13" t="inlineStr">
        <is>
          <t>USN</t>
        </is>
      </c>
      <c r="L142" s="7" t="inlineStr">
        <is>
          <t>Combatant Ships</t>
        </is>
      </c>
      <c r="M142" s="7" t="inlineStr">
        <is>
          <t>Submarines</t>
        </is>
      </c>
      <c r="N142" s="7" t="inlineStr">
        <is>
          <t>SSBN</t>
        </is>
      </c>
      <c r="O142" s="15" t="n"/>
      <c r="P142" s="16" t="n">
        <v>5311</v>
      </c>
      <c r="S142" s="16" t="n">
        <v>5524</v>
      </c>
      <c r="U142" s="16" t="n">
        <v>5524</v>
      </c>
      <c r="AC142" s="23">
        <f>IF(OR(E142="",E142="[PARENT]"),"ADD",IF(E142="[ALT_VIEW]","ALT",""))</f>
        <v/>
      </c>
      <c r="AD142" s="21">
        <f>IF(Y142&lt;&gt;"",Y142,IF(U142&lt;&gt;"",U142,S142))</f>
        <v/>
      </c>
      <c r="AE142" s="21">
        <f>IF(AB142&lt;&gt;"",AB142,Z142)</f>
        <v/>
      </c>
      <c r="AF142" s="13" t="inlineStr">
        <is>
          <t>P-35 &gt; COLUMBIA Class Submarine &gt; Electronic Warfare &gt; Technical Engineering Services</t>
        </is>
      </c>
      <c r="AG142" s="7" t="inlineStr">
        <is>
          <t>45</t>
        </is>
      </c>
      <c r="AH142" s="7" t="inlineStr">
        <is>
          <t>1045</t>
        </is>
      </c>
      <c r="AJ142" s="7" t="inlineStr">
        <is>
          <t>Electronic Warfare</t>
        </is>
      </c>
    </row>
    <row r="143" ht="10" customHeight="1">
      <c r="A143" s="7" t="inlineStr">
        <is>
          <t>SCN</t>
        </is>
      </c>
      <c r="B143" s="7" t="inlineStr">
        <is>
          <t>Procurement</t>
        </is>
      </c>
      <c r="D143" s="7" t="inlineStr">
        <is>
          <t>COLUMBIA Class Submarine - P-35 Electronic Warfare - Other Costs</t>
        </is>
      </c>
      <c r="E143" s="13" t="inlineStr">
        <is>
          <t>[ALT_VIEW]</t>
        </is>
      </c>
      <c r="F143" s="7" t="inlineStr">
        <is>
          <t>1045 / COLUMBIA Class Submarine</t>
        </is>
      </c>
      <c r="G143" s="7" t="inlineStr">
        <is>
          <t>P-35</t>
        </is>
      </c>
      <c r="I143" s="14" t="n">
        <v>1</v>
      </c>
      <c r="J143" s="7" t="inlineStr">
        <is>
          <t>Full ship DD&amp;C</t>
        </is>
      </c>
      <c r="K143" s="13" t="inlineStr">
        <is>
          <t>USN</t>
        </is>
      </c>
      <c r="L143" s="7" t="inlineStr">
        <is>
          <t>Combatant Ships</t>
        </is>
      </c>
      <c r="M143" s="7" t="inlineStr">
        <is>
          <t>Submarines</t>
        </is>
      </c>
      <c r="N143" s="7" t="inlineStr">
        <is>
          <t>SSBN</t>
        </is>
      </c>
      <c r="O143" s="15" t="n"/>
      <c r="P143" s="16" t="n">
        <v>4444</v>
      </c>
      <c r="S143" s="16" t="n">
        <v>4623</v>
      </c>
      <c r="U143" s="16" t="n">
        <v>4623</v>
      </c>
      <c r="AC143" s="23">
        <f>IF(OR(E143="",E143="[PARENT]"),"ADD",IF(E143="[ALT_VIEW]","ALT",""))</f>
        <v/>
      </c>
      <c r="AD143" s="21">
        <f>IF(Y143&lt;&gt;"",Y143,IF(U143&lt;&gt;"",U143,S143))</f>
        <v/>
      </c>
      <c r="AE143" s="21">
        <f>IF(AB143&lt;&gt;"",AB143,Z143)</f>
        <v/>
      </c>
      <c r="AF143" s="13" t="inlineStr">
        <is>
          <t>P-35 &gt; COLUMBIA Class Submarine &gt; Electronic Warfare &gt; Other Costs</t>
        </is>
      </c>
      <c r="AG143" s="7" t="inlineStr">
        <is>
          <t>45</t>
        </is>
      </c>
      <c r="AH143" s="7" t="inlineStr">
        <is>
          <t>1045</t>
        </is>
      </c>
      <c r="AJ143" s="7" t="inlineStr">
        <is>
          <t>Electronic Warfare</t>
        </is>
      </c>
    </row>
    <row r="144" ht="10" customHeight="1">
      <c r="A144" s="7" t="inlineStr">
        <is>
          <t>SCN</t>
        </is>
      </c>
      <c r="B144" s="7" t="inlineStr">
        <is>
          <t>Procurement</t>
        </is>
      </c>
      <c r="D144" s="7" t="inlineStr">
        <is>
          <t>COLUMBIA Class Submarine - P-35 Photonics - Major Hardware                                                                            1</t>
        </is>
      </c>
      <c r="E144" s="13" t="inlineStr">
        <is>
          <t>[ALT_VIEW]</t>
        </is>
      </c>
      <c r="F144" s="7" t="inlineStr">
        <is>
          <t>1045 / COLUMBIA Class Submarine</t>
        </is>
      </c>
      <c r="G144" s="7" t="inlineStr">
        <is>
          <t>P-35</t>
        </is>
      </c>
      <c r="I144" s="14" t="n">
        <v>1</v>
      </c>
      <c r="J144" s="7" t="inlineStr">
        <is>
          <t>Full ship DD&amp;C</t>
        </is>
      </c>
      <c r="K144" s="13" t="inlineStr">
        <is>
          <t>USN</t>
        </is>
      </c>
      <c r="L144" s="7" t="inlineStr">
        <is>
          <t>Combatant Ships</t>
        </is>
      </c>
      <c r="M144" s="7" t="inlineStr">
        <is>
          <t>Submarines</t>
        </is>
      </c>
      <c r="N144" s="7" t="inlineStr">
        <is>
          <t>SSBN</t>
        </is>
      </c>
      <c r="O144" s="15" t="n"/>
      <c r="P144" s="16" t="n">
        <v>16421</v>
      </c>
      <c r="S144" s="16" t="n">
        <v>17085</v>
      </c>
      <c r="U144" s="16" t="n">
        <v>17085</v>
      </c>
      <c r="AC144" s="23">
        <f>IF(OR(E144="",E144="[PARENT]"),"ADD",IF(E144="[ALT_VIEW]","ALT",""))</f>
        <v/>
      </c>
      <c r="AD144" s="21">
        <f>IF(Y144&lt;&gt;"",Y144,IF(U144&lt;&gt;"",U144,S144))</f>
        <v/>
      </c>
      <c r="AE144" s="21">
        <f>IF(AB144&lt;&gt;"",AB144,Z144)</f>
        <v/>
      </c>
      <c r="AF144" s="13" t="inlineStr">
        <is>
          <t>P-35 &gt; COLUMBIA Class Submarine &gt; Photonics &gt; Major Hardware                                                                            1</t>
        </is>
      </c>
      <c r="AG144" s="7" t="inlineStr">
        <is>
          <t>46</t>
        </is>
      </c>
      <c r="AH144" s="7" t="inlineStr">
        <is>
          <t>1045</t>
        </is>
      </c>
      <c r="AJ144" s="7" t="inlineStr">
        <is>
          <t>Photonics [SSBN 828]</t>
        </is>
      </c>
    </row>
    <row r="145" ht="10" customHeight="1">
      <c r="A145" s="7" t="inlineStr">
        <is>
          <t>SCN</t>
        </is>
      </c>
      <c r="B145" s="7" t="inlineStr">
        <is>
          <t>Procurement</t>
        </is>
      </c>
      <c r="D145" s="7" t="inlineStr">
        <is>
          <t>COLUMBIA Class Submarine - P-35 Photonics - Technical Engineering Services</t>
        </is>
      </c>
      <c r="E145" s="13" t="inlineStr">
        <is>
          <t>[ALT_VIEW]</t>
        </is>
      </c>
      <c r="F145" s="7" t="inlineStr">
        <is>
          <t>1045 / COLUMBIA Class Submarine</t>
        </is>
      </c>
      <c r="G145" s="7" t="inlineStr">
        <is>
          <t>P-35</t>
        </is>
      </c>
      <c r="I145" s="14" t="n">
        <v>1</v>
      </c>
      <c r="J145" s="7" t="inlineStr">
        <is>
          <t>Full ship DD&amp;C</t>
        </is>
      </c>
      <c r="K145" s="13" t="inlineStr">
        <is>
          <t>USN</t>
        </is>
      </c>
      <c r="L145" s="7" t="inlineStr">
        <is>
          <t>Combatant Ships</t>
        </is>
      </c>
      <c r="M145" s="7" t="inlineStr">
        <is>
          <t>Submarines</t>
        </is>
      </c>
      <c r="N145" s="7" t="inlineStr">
        <is>
          <t>SSBN</t>
        </is>
      </c>
      <c r="O145" s="15" t="n"/>
      <c r="P145" s="16" t="n">
        <v>3623</v>
      </c>
      <c r="S145" s="16" t="n">
        <v>3769</v>
      </c>
      <c r="U145" s="16" t="n">
        <v>3769</v>
      </c>
      <c r="AC145" s="23">
        <f>IF(OR(E145="",E145="[PARENT]"),"ADD",IF(E145="[ALT_VIEW]","ALT",""))</f>
        <v/>
      </c>
      <c r="AD145" s="21">
        <f>IF(Y145&lt;&gt;"",Y145,IF(U145&lt;&gt;"",U145,S145))</f>
        <v/>
      </c>
      <c r="AE145" s="21">
        <f>IF(AB145&lt;&gt;"",AB145,Z145)</f>
        <v/>
      </c>
      <c r="AF145" s="13" t="inlineStr">
        <is>
          <t>P-35 &gt; COLUMBIA Class Submarine &gt; Photonics &gt; Technical Engineering Services</t>
        </is>
      </c>
      <c r="AG145" s="7" t="inlineStr">
        <is>
          <t>46</t>
        </is>
      </c>
      <c r="AH145" s="7" t="inlineStr">
        <is>
          <t>1045</t>
        </is>
      </c>
      <c r="AJ145" s="7" t="inlineStr">
        <is>
          <t>Photonics</t>
        </is>
      </c>
    </row>
    <row r="146" ht="10" customHeight="1">
      <c r="A146" s="7" t="inlineStr">
        <is>
          <t>SCN</t>
        </is>
      </c>
      <c r="B146" s="7" t="inlineStr">
        <is>
          <t>Procurement</t>
        </is>
      </c>
      <c r="D146" s="7" t="inlineStr">
        <is>
          <t>COLUMBIA Class Submarine - P-35 Photonics - Other Costs</t>
        </is>
      </c>
      <c r="E146" s="13" t="inlineStr">
        <is>
          <t>[ALT_VIEW]</t>
        </is>
      </c>
      <c r="F146" s="7" t="inlineStr">
        <is>
          <t>1045 / COLUMBIA Class Submarine</t>
        </is>
      </c>
      <c r="G146" s="7" t="inlineStr">
        <is>
          <t>P-35</t>
        </is>
      </c>
      <c r="I146" s="14" t="n">
        <v>1</v>
      </c>
      <c r="J146" s="7" t="inlineStr">
        <is>
          <t>Full ship DD&amp;C</t>
        </is>
      </c>
      <c r="K146" s="13" t="inlineStr">
        <is>
          <t>USN</t>
        </is>
      </c>
      <c r="L146" s="7" t="inlineStr">
        <is>
          <t>Combatant Ships</t>
        </is>
      </c>
      <c r="M146" s="7" t="inlineStr">
        <is>
          <t>Submarines</t>
        </is>
      </c>
      <c r="N146" s="7" t="inlineStr">
        <is>
          <t>SSBN</t>
        </is>
      </c>
      <c r="O146" s="15" t="n"/>
      <c r="P146" s="16" t="n">
        <v>4105</v>
      </c>
      <c r="S146" s="16" t="n">
        <v>4271</v>
      </c>
      <c r="U146" s="16" t="n">
        <v>4271</v>
      </c>
      <c r="AC146" s="23">
        <f>IF(OR(E146="",E146="[PARENT]"),"ADD",IF(E146="[ALT_VIEW]","ALT",""))</f>
        <v/>
      </c>
      <c r="AD146" s="21">
        <f>IF(Y146&lt;&gt;"",Y146,IF(U146&lt;&gt;"",U146,S146))</f>
        <v/>
      </c>
      <c r="AE146" s="21">
        <f>IF(AB146&lt;&gt;"",AB146,Z146)</f>
        <v/>
      </c>
      <c r="AF146" s="13" t="inlineStr">
        <is>
          <t>P-35 &gt; COLUMBIA Class Submarine &gt; Photonics &gt; Other Costs</t>
        </is>
      </c>
      <c r="AG146" s="7" t="inlineStr">
        <is>
          <t>46</t>
        </is>
      </c>
      <c r="AH146" s="7" t="inlineStr">
        <is>
          <t>1045</t>
        </is>
      </c>
      <c r="AJ146" s="7" t="inlineStr">
        <is>
          <t>Photonics</t>
        </is>
      </c>
    </row>
    <row r="147" ht="10" customHeight="1">
      <c r="A147" s="7" t="inlineStr">
        <is>
          <t>SCN</t>
        </is>
      </c>
      <c r="B147" s="7" t="inlineStr">
        <is>
          <t>Procurement</t>
        </is>
      </c>
      <c r="D147" s="7" t="inlineStr">
        <is>
          <t>COLUMBIA Class Submarine - P-35 Universal Modular Masts (UMM) - Major Hardware                                                                            1</t>
        </is>
      </c>
      <c r="E147" s="13" t="inlineStr">
        <is>
          <t>[ALT_VIEW]</t>
        </is>
      </c>
      <c r="F147" s="7" t="inlineStr">
        <is>
          <t>1045 / COLUMBIA Class Submarine</t>
        </is>
      </c>
      <c r="G147" s="7" t="inlineStr">
        <is>
          <t>P-35</t>
        </is>
      </c>
      <c r="I147" s="14" t="n">
        <v>1</v>
      </c>
      <c r="J147" s="7" t="inlineStr">
        <is>
          <t>Full ship DD&amp;C</t>
        </is>
      </c>
      <c r="K147" s="13" t="inlineStr">
        <is>
          <t>USN</t>
        </is>
      </c>
      <c r="L147" s="7" t="inlineStr">
        <is>
          <t>Combatant Ships</t>
        </is>
      </c>
      <c r="M147" s="7" t="inlineStr">
        <is>
          <t>Submarines</t>
        </is>
      </c>
      <c r="N147" s="7" t="inlineStr">
        <is>
          <t>SSBN</t>
        </is>
      </c>
      <c r="O147" s="15" t="n"/>
      <c r="P147" s="16" t="n">
        <v>5587</v>
      </c>
      <c r="S147" s="16" t="n">
        <v>5813</v>
      </c>
      <c r="U147" s="16" t="n">
        <v>5813</v>
      </c>
      <c r="AC147" s="23">
        <f>IF(OR(E147="",E147="[PARENT]"),"ADD",IF(E147="[ALT_VIEW]","ALT",""))</f>
        <v/>
      </c>
      <c r="AD147" s="21">
        <f>IF(Y147&lt;&gt;"",Y147,IF(U147&lt;&gt;"",U147,S147))</f>
        <v/>
      </c>
      <c r="AE147" s="21">
        <f>IF(AB147&lt;&gt;"",AB147,Z147)</f>
        <v/>
      </c>
      <c r="AF147" s="13" t="inlineStr">
        <is>
          <t>P-35 &gt; COLUMBIA Class Submarine &gt; Universal Modular Masts (UMM) &gt; Major Hardware                                                                            1</t>
        </is>
      </c>
      <c r="AG147" s="7" t="inlineStr">
        <is>
          <t>47</t>
        </is>
      </c>
      <c r="AH147" s="7" t="inlineStr">
        <is>
          <t>1045</t>
        </is>
      </c>
      <c r="AJ147" s="7" t="inlineStr">
        <is>
          <t>Universal Modular Masts (UMM) [SSBN 828]</t>
        </is>
      </c>
    </row>
    <row r="148" ht="10" customHeight="1">
      <c r="A148" s="7" t="inlineStr">
        <is>
          <t>SCN</t>
        </is>
      </c>
      <c r="B148" s="7" t="inlineStr">
        <is>
          <t>Procurement</t>
        </is>
      </c>
      <c r="D148" s="7" t="inlineStr">
        <is>
          <t>COLUMBIA Class Submarine - P-35 Universal Modular Masts (UMM) - Technical Engineering Services</t>
        </is>
      </c>
      <c r="E148" s="13" t="inlineStr">
        <is>
          <t>[ALT_VIEW]</t>
        </is>
      </c>
      <c r="F148" s="7" t="inlineStr">
        <is>
          <t>1045 / COLUMBIA Class Submarine</t>
        </is>
      </c>
      <c r="G148" s="7" t="inlineStr">
        <is>
          <t>P-35</t>
        </is>
      </c>
      <c r="I148" s="14" t="n">
        <v>1</v>
      </c>
      <c r="J148" s="7" t="inlineStr">
        <is>
          <t>Full ship DD&amp;C</t>
        </is>
      </c>
      <c r="K148" s="13" t="inlineStr">
        <is>
          <t>USN</t>
        </is>
      </c>
      <c r="L148" s="7" t="inlineStr">
        <is>
          <t>Combatant Ships</t>
        </is>
      </c>
      <c r="M148" s="7" t="inlineStr">
        <is>
          <t>Submarines</t>
        </is>
      </c>
      <c r="N148" s="7" t="inlineStr">
        <is>
          <t>SSBN</t>
        </is>
      </c>
      <c r="O148" s="15" t="n"/>
      <c r="P148" s="16" t="n">
        <v>1641</v>
      </c>
      <c r="S148" s="16" t="n">
        <v>1707</v>
      </c>
      <c r="U148" s="16" t="n">
        <v>1707</v>
      </c>
      <c r="AC148" s="23">
        <f>IF(OR(E148="",E148="[PARENT]"),"ADD",IF(E148="[ALT_VIEW]","ALT",""))</f>
        <v/>
      </c>
      <c r="AD148" s="21">
        <f>IF(Y148&lt;&gt;"",Y148,IF(U148&lt;&gt;"",U148,S148))</f>
        <v/>
      </c>
      <c r="AE148" s="21">
        <f>IF(AB148&lt;&gt;"",AB148,Z148)</f>
        <v/>
      </c>
      <c r="AF148" s="13" t="inlineStr">
        <is>
          <t>P-35 &gt; COLUMBIA Class Submarine &gt; Universal Modular Masts (UMM) &gt; Technical Engineering Services</t>
        </is>
      </c>
      <c r="AG148" s="7" t="inlineStr">
        <is>
          <t>47</t>
        </is>
      </c>
      <c r="AH148" s="7" t="inlineStr">
        <is>
          <t>1045</t>
        </is>
      </c>
      <c r="AJ148" s="7" t="inlineStr">
        <is>
          <t>Universal Modular Masts (UMM)</t>
        </is>
      </c>
    </row>
    <row r="149" ht="10" customHeight="1">
      <c r="A149" s="7" t="inlineStr">
        <is>
          <t>SCN</t>
        </is>
      </c>
      <c r="B149" s="7" t="inlineStr">
        <is>
          <t>Procurement</t>
        </is>
      </c>
      <c r="D149" s="7" t="inlineStr">
        <is>
          <t>COLUMBIA Class Submarine - P-35 Universal Modular Masts (UMM) - Other Costs</t>
        </is>
      </c>
      <c r="E149" s="13" t="inlineStr">
        <is>
          <t>[ALT_VIEW]</t>
        </is>
      </c>
      <c r="F149" s="7" t="inlineStr">
        <is>
          <t>1045 / COLUMBIA Class Submarine</t>
        </is>
      </c>
      <c r="G149" s="7" t="inlineStr">
        <is>
          <t>P-35</t>
        </is>
      </c>
      <c r="I149" s="14" t="n">
        <v>1</v>
      </c>
      <c r="J149" s="7" t="inlineStr">
        <is>
          <t>Full ship DD&amp;C</t>
        </is>
      </c>
      <c r="K149" s="13" t="inlineStr">
        <is>
          <t>USN</t>
        </is>
      </c>
      <c r="L149" s="7" t="inlineStr">
        <is>
          <t>Combatant Ships</t>
        </is>
      </c>
      <c r="M149" s="7" t="inlineStr">
        <is>
          <t>Submarines</t>
        </is>
      </c>
      <c r="N149" s="7" t="inlineStr">
        <is>
          <t>SSBN</t>
        </is>
      </c>
      <c r="O149" s="15" t="n"/>
      <c r="P149" s="16" t="n">
        <v>586</v>
      </c>
      <c r="S149" s="16" t="n">
        <v>610</v>
      </c>
      <c r="U149" s="16" t="n">
        <v>610</v>
      </c>
      <c r="AC149" s="23">
        <f>IF(OR(E149="",E149="[PARENT]"),"ADD",IF(E149="[ALT_VIEW]","ALT",""))</f>
        <v/>
      </c>
      <c r="AD149" s="21">
        <f>IF(Y149&lt;&gt;"",Y149,IF(U149&lt;&gt;"",U149,S149))</f>
        <v/>
      </c>
      <c r="AE149" s="21">
        <f>IF(AB149&lt;&gt;"",AB149,Z149)</f>
        <v/>
      </c>
      <c r="AF149" s="13" t="inlineStr">
        <is>
          <t>P-35 &gt; COLUMBIA Class Submarine &gt; Universal Modular Masts (UMM) &gt; Other Costs</t>
        </is>
      </c>
      <c r="AG149" s="7" t="inlineStr">
        <is>
          <t>47</t>
        </is>
      </c>
      <c r="AH149" s="7" t="inlineStr">
        <is>
          <t>1045</t>
        </is>
      </c>
      <c r="AJ149" s="7" t="inlineStr">
        <is>
          <t>Universal Modular Masts (UMM)</t>
        </is>
      </c>
    </row>
    <row r="150" ht="10" customHeight="1">
      <c r="A150" s="7" t="inlineStr">
        <is>
          <t>SCN</t>
        </is>
      </c>
      <c r="B150" s="7" t="inlineStr">
        <is>
          <t>Procurement</t>
        </is>
      </c>
      <c r="D150" s="7" t="inlineStr">
        <is>
          <t>COLUMBIA Class Submarine - P-35 Exterior Communications - Major Hardware                                                                            1</t>
        </is>
      </c>
      <c r="E150" s="13" t="inlineStr">
        <is>
          <t>[ALT_VIEW]</t>
        </is>
      </c>
      <c r="F150" s="7" t="inlineStr">
        <is>
          <t>1045 / COLUMBIA Class Submarine</t>
        </is>
      </c>
      <c r="G150" s="7" t="inlineStr">
        <is>
          <t>P-35</t>
        </is>
      </c>
      <c r="I150" s="14" t="n">
        <v>1</v>
      </c>
      <c r="J150" s="7" t="inlineStr">
        <is>
          <t>Full ship DD&amp;C</t>
        </is>
      </c>
      <c r="K150" s="13" t="inlineStr">
        <is>
          <t>USN</t>
        </is>
      </c>
      <c r="L150" s="7" t="inlineStr">
        <is>
          <t>Combatant Ships</t>
        </is>
      </c>
      <c r="M150" s="7" t="inlineStr">
        <is>
          <t>Submarines</t>
        </is>
      </c>
      <c r="N150" s="7" t="inlineStr">
        <is>
          <t>SSBN</t>
        </is>
      </c>
      <c r="O150" s="15" t="n"/>
      <c r="P150" s="16" t="n">
        <v>26064</v>
      </c>
      <c r="S150" s="16" t="n">
        <v>27119</v>
      </c>
      <c r="U150" s="16" t="n">
        <v>27119</v>
      </c>
      <c r="AC150" s="23">
        <f>IF(OR(E150="",E150="[PARENT]"),"ADD",IF(E150="[ALT_VIEW]","ALT",""))</f>
        <v/>
      </c>
      <c r="AD150" s="21">
        <f>IF(Y150&lt;&gt;"",Y150,IF(U150&lt;&gt;"",U150,S150))</f>
        <v/>
      </c>
      <c r="AE150" s="21">
        <f>IF(AB150&lt;&gt;"",AB150,Z150)</f>
        <v/>
      </c>
      <c r="AF150" s="13" t="inlineStr">
        <is>
          <t>P-35 &gt; COLUMBIA Class Submarine &gt; Exterior Communications &gt; Major Hardware                                                                            1</t>
        </is>
      </c>
      <c r="AG150" s="7" t="inlineStr">
        <is>
          <t>48</t>
        </is>
      </c>
      <c r="AH150" s="7" t="inlineStr">
        <is>
          <t>1045</t>
        </is>
      </c>
      <c r="AJ150" s="7" t="inlineStr">
        <is>
          <t>Exterior Communications [SSBN 828]</t>
        </is>
      </c>
    </row>
    <row r="151" ht="10" customHeight="1">
      <c r="A151" s="7" t="inlineStr">
        <is>
          <t>SCN</t>
        </is>
      </c>
      <c r="B151" s="7" t="inlineStr">
        <is>
          <t>Procurement</t>
        </is>
      </c>
      <c r="D151" s="7" t="inlineStr">
        <is>
          <t>COLUMBIA Class Submarine - P-35 Exterior Communications - Technical Engineering Services</t>
        </is>
      </c>
      <c r="E151" s="13" t="inlineStr">
        <is>
          <t>[ALT_VIEW]</t>
        </is>
      </c>
      <c r="F151" s="7" t="inlineStr">
        <is>
          <t>1045 / COLUMBIA Class Submarine</t>
        </is>
      </c>
      <c r="G151" s="7" t="inlineStr">
        <is>
          <t>P-35</t>
        </is>
      </c>
      <c r="I151" s="14" t="n">
        <v>1</v>
      </c>
      <c r="J151" s="7" t="inlineStr">
        <is>
          <t>Full ship DD&amp;C</t>
        </is>
      </c>
      <c r="K151" s="13" t="inlineStr">
        <is>
          <t>USN</t>
        </is>
      </c>
      <c r="L151" s="7" t="inlineStr">
        <is>
          <t>Combatant Ships</t>
        </is>
      </c>
      <c r="M151" s="7" t="inlineStr">
        <is>
          <t>Submarines</t>
        </is>
      </c>
      <c r="N151" s="7" t="inlineStr">
        <is>
          <t>SSBN</t>
        </is>
      </c>
      <c r="O151" s="15" t="n"/>
      <c r="P151" s="16" t="n">
        <v>8132</v>
      </c>
      <c r="S151" s="16" t="n">
        <v>8461</v>
      </c>
      <c r="U151" s="16" t="n">
        <v>8461</v>
      </c>
      <c r="AC151" s="23">
        <f>IF(OR(E151="",E151="[PARENT]"),"ADD",IF(E151="[ALT_VIEW]","ALT",""))</f>
        <v/>
      </c>
      <c r="AD151" s="21">
        <f>IF(Y151&lt;&gt;"",Y151,IF(U151&lt;&gt;"",U151,S151))</f>
        <v/>
      </c>
      <c r="AE151" s="21">
        <f>IF(AB151&lt;&gt;"",AB151,Z151)</f>
        <v/>
      </c>
      <c r="AF151" s="13" t="inlineStr">
        <is>
          <t>P-35 &gt; COLUMBIA Class Submarine &gt; Exterior Communications &gt; Technical Engineering Services</t>
        </is>
      </c>
      <c r="AG151" s="7" t="inlineStr">
        <is>
          <t>48</t>
        </is>
      </c>
      <c r="AH151" s="7" t="inlineStr">
        <is>
          <t>1045</t>
        </is>
      </c>
      <c r="AJ151" s="7" t="inlineStr">
        <is>
          <t>Exterior Communications</t>
        </is>
      </c>
    </row>
    <row r="152" ht="10" customHeight="1">
      <c r="A152" s="7" t="inlineStr">
        <is>
          <t>SCN</t>
        </is>
      </c>
      <c r="B152" s="7" t="inlineStr">
        <is>
          <t>Procurement</t>
        </is>
      </c>
      <c r="D152" s="7" t="inlineStr">
        <is>
          <t>COLUMBIA Class Submarine - P-35 Exterior Communications - Other Costs</t>
        </is>
      </c>
      <c r="E152" s="13" t="inlineStr">
        <is>
          <t>[ALT_VIEW]</t>
        </is>
      </c>
      <c r="F152" s="7" t="inlineStr">
        <is>
          <t>1045 / COLUMBIA Class Submarine</t>
        </is>
      </c>
      <c r="G152" s="7" t="inlineStr">
        <is>
          <t>P-35</t>
        </is>
      </c>
      <c r="I152" s="14" t="n">
        <v>1</v>
      </c>
      <c r="J152" s="7" t="inlineStr">
        <is>
          <t>Full ship DD&amp;C</t>
        </is>
      </c>
      <c r="K152" s="13" t="inlineStr">
        <is>
          <t>USN</t>
        </is>
      </c>
      <c r="L152" s="7" t="inlineStr">
        <is>
          <t>Combatant Ships</t>
        </is>
      </c>
      <c r="M152" s="7" t="inlineStr">
        <is>
          <t>Submarines</t>
        </is>
      </c>
      <c r="N152" s="7" t="inlineStr">
        <is>
          <t>SSBN</t>
        </is>
      </c>
      <c r="O152" s="15" t="n"/>
      <c r="P152" s="16" t="n">
        <v>7506</v>
      </c>
      <c r="S152" s="16" t="n">
        <v>7810</v>
      </c>
      <c r="U152" s="16" t="n">
        <v>7810</v>
      </c>
      <c r="AC152" s="23">
        <f>IF(OR(E152="",E152="[PARENT]"),"ADD",IF(E152="[ALT_VIEW]","ALT",""))</f>
        <v/>
      </c>
      <c r="AD152" s="21">
        <f>IF(Y152&lt;&gt;"",Y152,IF(U152&lt;&gt;"",U152,S152))</f>
        <v/>
      </c>
      <c r="AE152" s="21">
        <f>IF(AB152&lt;&gt;"",AB152,Z152)</f>
        <v/>
      </c>
      <c r="AF152" s="13" t="inlineStr">
        <is>
          <t>P-35 &gt; COLUMBIA Class Submarine &gt; Exterior Communications &gt; Other Costs</t>
        </is>
      </c>
      <c r="AG152" s="7" t="inlineStr">
        <is>
          <t>48</t>
        </is>
      </c>
      <c r="AH152" s="7" t="inlineStr">
        <is>
          <t>1045</t>
        </is>
      </c>
      <c r="AJ152" s="7" t="inlineStr">
        <is>
          <t>Advanced Carbon Dioxide Removal Unit (ACRU) [SSBN 827]</t>
        </is>
      </c>
    </row>
    <row r="153" ht="10" customHeight="1">
      <c r="A153" s="7" t="inlineStr">
        <is>
          <t>SCN</t>
        </is>
      </c>
      <c r="B153" s="7" t="inlineStr">
        <is>
          <t>Procurement</t>
        </is>
      </c>
      <c r="D153" s="7" t="inlineStr">
        <is>
          <t>COLUMBIA Class Submarine - P-35 Propulsor - Major Hardware                                                                             1</t>
        </is>
      </c>
      <c r="E153" s="13" t="inlineStr">
        <is>
          <t>[ALT_VIEW]</t>
        </is>
      </c>
      <c r="F153" s="7" t="inlineStr">
        <is>
          <t>1045 / COLUMBIA Class Submarine</t>
        </is>
      </c>
      <c r="G153" s="7" t="inlineStr">
        <is>
          <t>P-35</t>
        </is>
      </c>
      <c r="I153" s="14" t="n">
        <v>1</v>
      </c>
      <c r="J153" s="7" t="inlineStr">
        <is>
          <t>Full ship DD&amp;C</t>
        </is>
      </c>
      <c r="K153" s="13" t="inlineStr">
        <is>
          <t>USN</t>
        </is>
      </c>
      <c r="L153" s="7" t="inlineStr">
        <is>
          <t>Combatant Ships</t>
        </is>
      </c>
      <c r="M153" s="7" t="inlineStr">
        <is>
          <t>Submarines</t>
        </is>
      </c>
      <c r="N153" s="7" t="inlineStr">
        <is>
          <t>SSBN</t>
        </is>
      </c>
      <c r="O153" s="15" t="n"/>
      <c r="P153" s="16" t="n">
        <v>78187</v>
      </c>
      <c r="S153" s="16" t="n">
        <v>71372</v>
      </c>
      <c r="U153" s="16" t="n">
        <v>71372</v>
      </c>
      <c r="AC153" s="23">
        <f>IF(OR(E153="",E153="[PARENT]"),"ADD",IF(E153="[ALT_VIEW]","ALT",""))</f>
        <v/>
      </c>
      <c r="AD153" s="21">
        <f>IF(Y153&lt;&gt;"",Y153,IF(U153&lt;&gt;"",U153,S153))</f>
        <v/>
      </c>
      <c r="AE153" s="21">
        <f>IF(AB153&lt;&gt;"",AB153,Z153)</f>
        <v/>
      </c>
      <c r="AF153" s="13" t="inlineStr">
        <is>
          <t>P-35 &gt; COLUMBIA Class Submarine &gt; Propulsor &gt; Major Hardware                                                                             1</t>
        </is>
      </c>
      <c r="AG153" s="7" t="inlineStr">
        <is>
          <t>49</t>
        </is>
      </c>
      <c r="AH153" s="7" t="inlineStr">
        <is>
          <t>1045</t>
        </is>
      </c>
      <c r="AJ153" s="7" t="inlineStr">
        <is>
          <t>Propulsor [SSBN 828]</t>
        </is>
      </c>
    </row>
    <row r="154" ht="10" customHeight="1">
      <c r="A154" s="7" t="inlineStr">
        <is>
          <t>SCN</t>
        </is>
      </c>
      <c r="B154" s="7" t="inlineStr">
        <is>
          <t>Procurement</t>
        </is>
      </c>
      <c r="D154" s="7" t="inlineStr">
        <is>
          <t>COLUMBIA Class Submarine - P-35 Propulsor - Technical Engineering Services</t>
        </is>
      </c>
      <c r="E154" s="13" t="inlineStr">
        <is>
          <t>[ALT_VIEW]</t>
        </is>
      </c>
      <c r="F154" s="7" t="inlineStr">
        <is>
          <t>1045 / COLUMBIA Class Submarine</t>
        </is>
      </c>
      <c r="G154" s="7" t="inlineStr">
        <is>
          <t>P-35</t>
        </is>
      </c>
      <c r="I154" s="14" t="n">
        <v>1</v>
      </c>
      <c r="J154" s="7" t="inlineStr">
        <is>
          <t>Full ship DD&amp;C</t>
        </is>
      </c>
      <c r="K154" s="13" t="inlineStr">
        <is>
          <t>USN</t>
        </is>
      </c>
      <c r="L154" s="7" t="inlineStr">
        <is>
          <t>Combatant Ships</t>
        </is>
      </c>
      <c r="M154" s="7" t="inlineStr">
        <is>
          <t>Submarines</t>
        </is>
      </c>
      <c r="N154" s="7" t="inlineStr">
        <is>
          <t>SSBN</t>
        </is>
      </c>
      <c r="O154" s="15" t="n"/>
      <c r="P154" s="16" t="n">
        <v>10056</v>
      </c>
      <c r="S154" s="16" t="n">
        <v>8044</v>
      </c>
      <c r="U154" s="16" t="n">
        <v>8044</v>
      </c>
      <c r="AC154" s="23">
        <f>IF(OR(E154="",E154="[PARENT]"),"ADD",IF(E154="[ALT_VIEW]","ALT",""))</f>
        <v/>
      </c>
      <c r="AD154" s="21">
        <f>IF(Y154&lt;&gt;"",Y154,IF(U154&lt;&gt;"",U154,S154))</f>
        <v/>
      </c>
      <c r="AE154" s="21">
        <f>IF(AB154&lt;&gt;"",AB154,Z154)</f>
        <v/>
      </c>
      <c r="AF154" s="13" t="inlineStr">
        <is>
          <t>P-35 &gt; COLUMBIA Class Submarine &gt; Propulsor &gt; Technical Engineering Services</t>
        </is>
      </c>
      <c r="AG154" s="7" t="inlineStr">
        <is>
          <t>49</t>
        </is>
      </c>
      <c r="AH154" s="7" t="inlineStr">
        <is>
          <t>1045</t>
        </is>
      </c>
      <c r="AJ154" s="7" t="inlineStr">
        <is>
          <t>Propulsor</t>
        </is>
      </c>
    </row>
    <row r="155" ht="10" customHeight="1">
      <c r="A155" s="7" t="inlineStr">
        <is>
          <t>SCN</t>
        </is>
      </c>
      <c r="B155" s="7" t="inlineStr">
        <is>
          <t>Procurement</t>
        </is>
      </c>
      <c r="D155" s="7" t="inlineStr">
        <is>
          <t>COLUMBIA Class Submarine - P-35 Advanced Carbon Dioxide Removal Unit (ACRU) - Major Hardware                                                                             1</t>
        </is>
      </c>
      <c r="E155" s="13" t="inlineStr">
        <is>
          <t>[ALT_VIEW]</t>
        </is>
      </c>
      <c r="F155" s="7" t="inlineStr">
        <is>
          <t>1045 / COLUMBIA Class Submarine</t>
        </is>
      </c>
      <c r="G155" s="7" t="inlineStr">
        <is>
          <t>P-35</t>
        </is>
      </c>
      <c r="I155" s="14" t="n">
        <v>1</v>
      </c>
      <c r="J155" s="7" t="inlineStr">
        <is>
          <t>Full ship DD&amp;C</t>
        </is>
      </c>
      <c r="K155" s="13" t="inlineStr">
        <is>
          <t>USN</t>
        </is>
      </c>
      <c r="L155" s="7" t="inlineStr">
        <is>
          <t>Combatant Ships</t>
        </is>
      </c>
      <c r="M155" s="7" t="inlineStr">
        <is>
          <t>Submarines</t>
        </is>
      </c>
      <c r="N155" s="7" t="inlineStr">
        <is>
          <t>SSBN</t>
        </is>
      </c>
      <c r="O155" s="15" t="n"/>
      <c r="P155" s="16" t="n">
        <v>7868</v>
      </c>
      <c r="S155" s="16" t="n">
        <v>7483</v>
      </c>
      <c r="U155" s="16" t="n">
        <v>7483</v>
      </c>
      <c r="AC155" s="23">
        <f>IF(OR(E155="",E155="[PARENT]"),"ADD",IF(E155="[ALT_VIEW]","ALT",""))</f>
        <v/>
      </c>
      <c r="AD155" s="21">
        <f>IF(Y155&lt;&gt;"",Y155,IF(U155&lt;&gt;"",U155,S155))</f>
        <v/>
      </c>
      <c r="AE155" s="21">
        <f>IF(AB155&lt;&gt;"",AB155,Z155)</f>
        <v/>
      </c>
      <c r="AF155" s="13" t="inlineStr">
        <is>
          <t>P-35 &gt; COLUMBIA Class Submarine &gt; Advanced Carbon Dioxide Removal Unit (ACRU) &gt; Major Hardware                                                                             1</t>
        </is>
      </c>
      <c r="AG155" s="7" t="inlineStr">
        <is>
          <t>50</t>
        </is>
      </c>
      <c r="AH155" s="7" t="inlineStr">
        <is>
          <t>1045</t>
        </is>
      </c>
    </row>
    <row r="156" ht="10" customHeight="1">
      <c r="A156" s="7" t="inlineStr">
        <is>
          <t>SCN</t>
        </is>
      </c>
      <c r="B156" s="7" t="inlineStr">
        <is>
          <t>Procurement</t>
        </is>
      </c>
      <c r="D156" s="7" t="inlineStr">
        <is>
          <t>COLUMBIA Class Submarine - P-35 Advanced Carbon Dioxide Removal Unit (ACRU) - Technical Engineering Services</t>
        </is>
      </c>
      <c r="E156" s="13" t="inlineStr">
        <is>
          <t>[ALT_VIEW]</t>
        </is>
      </c>
      <c r="F156" s="7" t="inlineStr">
        <is>
          <t>1045 / COLUMBIA Class Submarine</t>
        </is>
      </c>
      <c r="G156" s="7" t="inlineStr">
        <is>
          <t>P-35</t>
        </is>
      </c>
      <c r="I156" s="14" t="n">
        <v>1</v>
      </c>
      <c r="J156" s="7" t="inlineStr">
        <is>
          <t>Full ship DD&amp;C</t>
        </is>
      </c>
      <c r="K156" s="13" t="inlineStr">
        <is>
          <t>USN</t>
        </is>
      </c>
      <c r="L156" s="7" t="inlineStr">
        <is>
          <t>Combatant Ships</t>
        </is>
      </c>
      <c r="M156" s="7" t="inlineStr">
        <is>
          <t>Submarines</t>
        </is>
      </c>
      <c r="N156" s="7" t="inlineStr">
        <is>
          <t>SSBN</t>
        </is>
      </c>
      <c r="O156" s="15" t="n"/>
      <c r="P156" s="16" t="n">
        <v>1623</v>
      </c>
      <c r="S156" s="16" t="n">
        <v>309</v>
      </c>
      <c r="U156" s="16" t="n">
        <v>309</v>
      </c>
      <c r="AC156" s="23">
        <f>IF(OR(E156="",E156="[PARENT]"),"ADD",IF(E156="[ALT_VIEW]","ALT",""))</f>
        <v/>
      </c>
      <c r="AD156" s="21">
        <f>IF(Y156&lt;&gt;"",Y156,IF(U156&lt;&gt;"",U156,S156))</f>
        <v/>
      </c>
      <c r="AE156" s="21">
        <f>IF(AB156&lt;&gt;"",AB156,Z156)</f>
        <v/>
      </c>
      <c r="AF156" s="13" t="inlineStr">
        <is>
          <t>P-35 &gt; COLUMBIA Class Submarine &gt; Advanced Carbon Dioxide Removal Unit (ACRU) &gt; Technical Engineering Services</t>
        </is>
      </c>
      <c r="AG156" s="7" t="inlineStr">
        <is>
          <t>50</t>
        </is>
      </c>
      <c r="AH156" s="7" t="inlineStr">
        <is>
          <t>1045</t>
        </is>
      </c>
    </row>
    <row r="157" ht="10" customHeight="1">
      <c r="A157" s="7" t="inlineStr">
        <is>
          <t>SCN</t>
        </is>
      </c>
      <c r="B157" s="7" t="inlineStr">
        <is>
          <t>Procurement</t>
        </is>
      </c>
      <c r="D157" s="7" t="inlineStr">
        <is>
          <t>COLUMBIA Class Submarine - P-35 Advanced Carbon Dioxide Removal Unit (ACRU) - Other Costs</t>
        </is>
      </c>
      <c r="E157" s="13" t="inlineStr">
        <is>
          <t>[ALT_VIEW]</t>
        </is>
      </c>
      <c r="F157" s="7" t="inlineStr">
        <is>
          <t>1045 / COLUMBIA Class Submarine</t>
        </is>
      </c>
      <c r="G157" s="7" t="inlineStr">
        <is>
          <t>P-35</t>
        </is>
      </c>
      <c r="I157" s="14" t="n">
        <v>1</v>
      </c>
      <c r="J157" s="7" t="inlineStr">
        <is>
          <t>Full ship DD&amp;C</t>
        </is>
      </c>
      <c r="K157" s="13" t="inlineStr">
        <is>
          <t>USN</t>
        </is>
      </c>
      <c r="L157" s="7" t="inlineStr">
        <is>
          <t>Combatant Ships</t>
        </is>
      </c>
      <c r="M157" s="7" t="inlineStr">
        <is>
          <t>Submarines</t>
        </is>
      </c>
      <c r="N157" s="7" t="inlineStr">
        <is>
          <t>SSBN</t>
        </is>
      </c>
      <c r="O157" s="15" t="n"/>
      <c r="P157" s="16" t="n">
        <v>386</v>
      </c>
      <c r="S157" s="16" t="n">
        <v>956</v>
      </c>
      <c r="U157" s="16" t="n">
        <v>956</v>
      </c>
      <c r="AC157" s="23">
        <f>IF(OR(E157="",E157="[PARENT]"),"ADD",IF(E157="[ALT_VIEW]","ALT",""))</f>
        <v/>
      </c>
      <c r="AD157" s="21">
        <f>IF(Y157&lt;&gt;"",Y157,IF(U157&lt;&gt;"",U157,S157))</f>
        <v/>
      </c>
      <c r="AE157" s="21">
        <f>IF(AB157&lt;&gt;"",AB157,Z157)</f>
        <v/>
      </c>
      <c r="AF157" s="13" t="inlineStr">
        <is>
          <t>P-35 &gt; COLUMBIA Class Submarine &gt; Advanced Carbon Dioxide Removal Unit (ACRU) &gt; Other Costs</t>
        </is>
      </c>
      <c r="AG157" s="7" t="inlineStr">
        <is>
          <t>50</t>
        </is>
      </c>
      <c r="AH157" s="7" t="inlineStr">
        <is>
          <t>1045</t>
        </is>
      </c>
    </row>
    <row r="158" ht="10" customHeight="1">
      <c r="A158" s="7" t="inlineStr">
        <is>
          <t>SCN</t>
        </is>
      </c>
      <c r="B158" s="7" t="inlineStr">
        <is>
          <t>Procurement</t>
        </is>
      </c>
      <c r="D158" s="7" t="inlineStr">
        <is>
          <t>COLUMBIA Class Submarine - P-35 Strategic Weapons System (SWS) Launcher - Major Hardware                                                                           1</t>
        </is>
      </c>
      <c r="E158" s="13" t="inlineStr">
        <is>
          <t>[ALT_VIEW]</t>
        </is>
      </c>
      <c r="F158" s="7" t="inlineStr">
        <is>
          <t>1045 / COLUMBIA Class Submarine</t>
        </is>
      </c>
      <c r="G158" s="7" t="inlineStr">
        <is>
          <t>P-35</t>
        </is>
      </c>
      <c r="I158" s="14" t="n">
        <v>1</v>
      </c>
      <c r="J158" s="7" t="inlineStr">
        <is>
          <t>Full ship DD&amp;C</t>
        </is>
      </c>
      <c r="K158" s="13" t="inlineStr">
        <is>
          <t>USN</t>
        </is>
      </c>
      <c r="L158" s="7" t="inlineStr">
        <is>
          <t>Combatant Ships</t>
        </is>
      </c>
      <c r="M158" s="7" t="inlineStr">
        <is>
          <t>Submarines</t>
        </is>
      </c>
      <c r="N158" s="7" t="inlineStr">
        <is>
          <t>SSBN</t>
        </is>
      </c>
      <c r="O158" s="15" t="n"/>
      <c r="P158" s="16" t="n">
        <v>223582</v>
      </c>
      <c r="S158" s="16" t="n">
        <v>193789</v>
      </c>
      <c r="U158" s="16" t="n">
        <v>193789</v>
      </c>
      <c r="AC158" s="23">
        <f>IF(OR(E158="",E158="[PARENT]"),"ADD",IF(E158="[ALT_VIEW]","ALT",""))</f>
        <v/>
      </c>
      <c r="AD158" s="21">
        <f>IF(Y158&lt;&gt;"",Y158,IF(U158&lt;&gt;"",U158,S158))</f>
        <v/>
      </c>
      <c r="AE158" s="21">
        <f>IF(AB158&lt;&gt;"",AB158,Z158)</f>
        <v/>
      </c>
      <c r="AF158" s="13" t="inlineStr">
        <is>
          <t>P-35 &gt; COLUMBIA Class Submarine &gt; Strategic Weapons System (SWS) Launcher &gt; Major Hardware                                                                           1</t>
        </is>
      </c>
      <c r="AG158" s="7" t="inlineStr">
        <is>
          <t>51</t>
        </is>
      </c>
      <c r="AH158" s="7" t="inlineStr">
        <is>
          <t>1045</t>
        </is>
      </c>
      <c r="AJ158" s="7" t="inlineStr">
        <is>
          <t>Strategic Weapons System (SWS) Launcher [SSBN 828]</t>
        </is>
      </c>
    </row>
    <row r="159" ht="10" customHeight="1">
      <c r="A159" s="7" t="inlineStr">
        <is>
          <t>SCN</t>
        </is>
      </c>
      <c r="B159" s="7" t="inlineStr">
        <is>
          <t>Procurement</t>
        </is>
      </c>
      <c r="D159" s="7" t="inlineStr">
        <is>
          <t>COLUMBIA Class Submarine - P-35 Strategic Weapons System (SWS) Launcher - Technical Engineering Services</t>
        </is>
      </c>
      <c r="E159" s="13" t="inlineStr">
        <is>
          <t>[ALT_VIEW]</t>
        </is>
      </c>
      <c r="F159" s="7" t="inlineStr">
        <is>
          <t>1045 / COLUMBIA Class Submarine</t>
        </is>
      </c>
      <c r="G159" s="7" t="inlineStr">
        <is>
          <t>P-35</t>
        </is>
      </c>
      <c r="I159" s="14" t="n">
        <v>1</v>
      </c>
      <c r="J159" s="7" t="inlineStr">
        <is>
          <t>Full ship DD&amp;C</t>
        </is>
      </c>
      <c r="K159" s="13" t="inlineStr">
        <is>
          <t>USN</t>
        </is>
      </c>
      <c r="L159" s="7" t="inlineStr">
        <is>
          <t>Combatant Ships</t>
        </is>
      </c>
      <c r="M159" s="7" t="inlineStr">
        <is>
          <t>Submarines</t>
        </is>
      </c>
      <c r="N159" s="7" t="inlineStr">
        <is>
          <t>SSBN</t>
        </is>
      </c>
      <c r="O159" s="15" t="n"/>
      <c r="P159" s="16" t="n">
        <v>65822</v>
      </c>
      <c r="S159" s="16" t="n">
        <v>28922</v>
      </c>
      <c r="U159" s="16" t="n">
        <v>28922</v>
      </c>
      <c r="AC159" s="23">
        <f>IF(OR(E159="",E159="[PARENT]"),"ADD",IF(E159="[ALT_VIEW]","ALT",""))</f>
        <v/>
      </c>
      <c r="AD159" s="21">
        <f>IF(Y159&lt;&gt;"",Y159,IF(U159&lt;&gt;"",U159,S159))</f>
        <v/>
      </c>
      <c r="AE159" s="21">
        <f>IF(AB159&lt;&gt;"",AB159,Z159)</f>
        <v/>
      </c>
      <c r="AF159" s="13" t="inlineStr">
        <is>
          <t>P-35 &gt; COLUMBIA Class Submarine &gt; Strategic Weapons System (SWS) Launcher &gt; Technical Engineering Services</t>
        </is>
      </c>
      <c r="AG159" s="7" t="inlineStr">
        <is>
          <t>51</t>
        </is>
      </c>
      <c r="AH159" s="7" t="inlineStr">
        <is>
          <t>1045</t>
        </is>
      </c>
      <c r="AJ159" s="7" t="inlineStr">
        <is>
          <t>Strategic Weapons System (SWS) Launcher</t>
        </is>
      </c>
    </row>
    <row r="160" ht="10" customHeight="1">
      <c r="A160" s="7" t="inlineStr">
        <is>
          <t>SCN</t>
        </is>
      </c>
      <c r="B160" s="7" t="inlineStr">
        <is>
          <t>Procurement</t>
        </is>
      </c>
      <c r="D160" s="7" t="inlineStr">
        <is>
          <t>COLUMBIA Class Submarine - P-35 SWS Fire Control - Major Hardware                                                                           1</t>
        </is>
      </c>
      <c r="E160" s="13" t="inlineStr">
        <is>
          <t>[ALT_VIEW]</t>
        </is>
      </c>
      <c r="F160" s="7" t="inlineStr">
        <is>
          <t>1045 / COLUMBIA Class Submarine</t>
        </is>
      </c>
      <c r="G160" s="7" t="inlineStr">
        <is>
          <t>P-35</t>
        </is>
      </c>
      <c r="I160" s="14" t="n">
        <v>1</v>
      </c>
      <c r="J160" s="7" t="inlineStr">
        <is>
          <t>Full ship DD&amp;C</t>
        </is>
      </c>
      <c r="K160" s="13" t="inlineStr">
        <is>
          <t>USN</t>
        </is>
      </c>
      <c r="L160" s="7" t="inlineStr">
        <is>
          <t>Combatant Ships</t>
        </is>
      </c>
      <c r="M160" s="7" t="inlineStr">
        <is>
          <t>Submarines</t>
        </is>
      </c>
      <c r="N160" s="7" t="inlineStr">
        <is>
          <t>SSBN</t>
        </is>
      </c>
      <c r="O160" s="15" t="n"/>
      <c r="P160" s="16" t="n">
        <v>71295</v>
      </c>
      <c r="S160" s="16" t="n">
        <v>70108</v>
      </c>
      <c r="U160" s="16" t="n">
        <v>70108</v>
      </c>
      <c r="AC160" s="23">
        <f>IF(OR(E160="",E160="[PARENT]"),"ADD",IF(E160="[ALT_VIEW]","ALT",""))</f>
        <v/>
      </c>
      <c r="AD160" s="21">
        <f>IF(Y160&lt;&gt;"",Y160,IF(U160&lt;&gt;"",U160,S160))</f>
        <v/>
      </c>
      <c r="AE160" s="21">
        <f>IF(AB160&lt;&gt;"",AB160,Z160)</f>
        <v/>
      </c>
      <c r="AF160" s="13" t="inlineStr">
        <is>
          <t>P-35 &gt; COLUMBIA Class Submarine &gt; SWS Fire Control &gt; Major Hardware                                                                           1</t>
        </is>
      </c>
      <c r="AG160" s="7" t="inlineStr">
        <is>
          <t>53</t>
        </is>
      </c>
      <c r="AH160" s="7" t="inlineStr">
        <is>
          <t>1045</t>
        </is>
      </c>
      <c r="AJ160" s="7" t="inlineStr">
        <is>
          <t>SWS Fire Control [SSBN 828]</t>
        </is>
      </c>
    </row>
    <row r="161" ht="10" customHeight="1">
      <c r="A161" s="7" t="inlineStr">
        <is>
          <t>SCN</t>
        </is>
      </c>
      <c r="B161" s="7" t="inlineStr">
        <is>
          <t>Procurement</t>
        </is>
      </c>
      <c r="D161" s="7" t="inlineStr">
        <is>
          <t>COLUMBIA Class Submarine - P-35 SWS Fire Control - Technical Engineering Services</t>
        </is>
      </c>
      <c r="E161" s="13" t="inlineStr">
        <is>
          <t>[ALT_VIEW]</t>
        </is>
      </c>
      <c r="F161" s="7" t="inlineStr">
        <is>
          <t>1045 / COLUMBIA Class Submarine</t>
        </is>
      </c>
      <c r="G161" s="7" t="inlineStr">
        <is>
          <t>P-35</t>
        </is>
      </c>
      <c r="I161" s="14" t="n">
        <v>1</v>
      </c>
      <c r="J161" s="7" t="inlineStr">
        <is>
          <t>Full ship DD&amp;C</t>
        </is>
      </c>
      <c r="K161" s="13" t="inlineStr">
        <is>
          <t>USN</t>
        </is>
      </c>
      <c r="L161" s="7" t="inlineStr">
        <is>
          <t>Combatant Ships</t>
        </is>
      </c>
      <c r="M161" s="7" t="inlineStr">
        <is>
          <t>Submarines</t>
        </is>
      </c>
      <c r="N161" s="7" t="inlineStr">
        <is>
          <t>SSBN</t>
        </is>
      </c>
      <c r="O161" s="15" t="n"/>
      <c r="P161" s="16" t="n">
        <v>57861</v>
      </c>
      <c r="S161" s="16" t="n">
        <v>35004</v>
      </c>
      <c r="U161" s="16" t="n">
        <v>35004</v>
      </c>
      <c r="AC161" s="23">
        <f>IF(OR(E161="",E161="[PARENT]"),"ADD",IF(E161="[ALT_VIEW]","ALT",""))</f>
        <v/>
      </c>
      <c r="AD161" s="21">
        <f>IF(Y161&lt;&gt;"",Y161,IF(U161&lt;&gt;"",U161,S161))</f>
        <v/>
      </c>
      <c r="AE161" s="21">
        <f>IF(AB161&lt;&gt;"",AB161,Z161)</f>
        <v/>
      </c>
      <c r="AF161" s="13" t="inlineStr">
        <is>
          <t>P-35 &gt; COLUMBIA Class Submarine &gt; SWS Fire Control &gt; Technical Engineering Services</t>
        </is>
      </c>
      <c r="AG161" s="7" t="inlineStr">
        <is>
          <t>53</t>
        </is>
      </c>
      <c r="AH161" s="7" t="inlineStr">
        <is>
          <t>1045</t>
        </is>
      </c>
      <c r="AJ161" s="7" t="inlineStr">
        <is>
          <t>SWS Fire Control</t>
        </is>
      </c>
    </row>
    <row r="162" ht="10" customHeight="1">
      <c r="A162" s="7" t="inlineStr">
        <is>
          <t>SCN</t>
        </is>
      </c>
      <c r="B162" s="7" t="inlineStr">
        <is>
          <t>Procurement</t>
        </is>
      </c>
      <c r="D162" s="7" t="inlineStr">
        <is>
          <t>COLUMBIA Class Submarine - P-35 SWS Navigation - Major Hardware                                                                           1</t>
        </is>
      </c>
      <c r="E162" s="13" t="inlineStr">
        <is>
          <t>[ALT_VIEW]</t>
        </is>
      </c>
      <c r="F162" s="7" t="inlineStr">
        <is>
          <t>1045 / COLUMBIA Class Submarine</t>
        </is>
      </c>
      <c r="G162" s="7" t="inlineStr">
        <is>
          <t>P-35</t>
        </is>
      </c>
      <c r="I162" s="14" t="n">
        <v>1</v>
      </c>
      <c r="J162" s="7" t="inlineStr">
        <is>
          <t>Full ship DD&amp;C</t>
        </is>
      </c>
      <c r="K162" s="13" t="inlineStr">
        <is>
          <t>USN</t>
        </is>
      </c>
      <c r="L162" s="7" t="inlineStr">
        <is>
          <t>Combatant Ships</t>
        </is>
      </c>
      <c r="M162" s="7" t="inlineStr">
        <is>
          <t>Submarines</t>
        </is>
      </c>
      <c r="N162" s="7" t="inlineStr">
        <is>
          <t>SSBN</t>
        </is>
      </c>
      <c r="O162" s="15" t="n"/>
      <c r="P162" s="16" t="n">
        <v>31266</v>
      </c>
      <c r="S162" s="16" t="n">
        <v>27220</v>
      </c>
      <c r="U162" s="16" t="n">
        <v>27220</v>
      </c>
      <c r="AC162" s="23">
        <f>IF(OR(E162="",E162="[PARENT]"),"ADD",IF(E162="[ALT_VIEW]","ALT",""))</f>
        <v/>
      </c>
      <c r="AD162" s="21">
        <f>IF(Y162&lt;&gt;"",Y162,IF(U162&lt;&gt;"",U162,S162))</f>
        <v/>
      </c>
      <c r="AE162" s="21">
        <f>IF(AB162&lt;&gt;"",AB162,Z162)</f>
        <v/>
      </c>
      <c r="AF162" s="13" t="inlineStr">
        <is>
          <t>P-35 &gt; COLUMBIA Class Submarine &gt; SWS Navigation &gt; Major Hardware                                                                           1</t>
        </is>
      </c>
      <c r="AG162" s="7" t="inlineStr">
        <is>
          <t>55</t>
        </is>
      </c>
      <c r="AH162" s="7" t="inlineStr">
        <is>
          <t>1045</t>
        </is>
      </c>
      <c r="AJ162" s="7" t="inlineStr">
        <is>
          <t>SWS Navigation [SSBN 828]</t>
        </is>
      </c>
    </row>
    <row r="163" ht="10" customHeight="1">
      <c r="A163" s="7" t="inlineStr">
        <is>
          <t>SCN</t>
        </is>
      </c>
      <c r="B163" s="7" t="inlineStr">
        <is>
          <t>Procurement</t>
        </is>
      </c>
      <c r="D163" s="7" t="inlineStr">
        <is>
          <t>COLUMBIA Class Submarine - P-35 SWS Navigation - Technical Engineering Services</t>
        </is>
      </c>
      <c r="E163" s="13" t="inlineStr">
        <is>
          <t>[ALT_VIEW]</t>
        </is>
      </c>
      <c r="F163" s="7" t="inlineStr">
        <is>
          <t>1045 / COLUMBIA Class Submarine</t>
        </is>
      </c>
      <c r="G163" s="7" t="inlineStr">
        <is>
          <t>P-35</t>
        </is>
      </c>
      <c r="I163" s="14" t="n">
        <v>1</v>
      </c>
      <c r="J163" s="7" t="inlineStr">
        <is>
          <t>Full ship DD&amp;C</t>
        </is>
      </c>
      <c r="K163" s="13" t="inlineStr">
        <is>
          <t>USN</t>
        </is>
      </c>
      <c r="L163" s="7" t="inlineStr">
        <is>
          <t>Combatant Ships</t>
        </is>
      </c>
      <c r="M163" s="7" t="inlineStr">
        <is>
          <t>Submarines</t>
        </is>
      </c>
      <c r="N163" s="7" t="inlineStr">
        <is>
          <t>SSBN</t>
        </is>
      </c>
      <c r="O163" s="15" t="n"/>
      <c r="P163" s="16" t="n">
        <v>18695</v>
      </c>
      <c r="S163" s="16" t="n">
        <v>10223</v>
      </c>
      <c r="U163" s="16" t="n">
        <v>10223</v>
      </c>
      <c r="AC163" s="23">
        <f>IF(OR(E163="",E163="[PARENT]"),"ADD",IF(E163="[ALT_VIEW]","ALT",""))</f>
        <v/>
      </c>
      <c r="AD163" s="21">
        <f>IF(Y163&lt;&gt;"",Y163,IF(U163&lt;&gt;"",U163,S163))</f>
        <v/>
      </c>
      <c r="AE163" s="21">
        <f>IF(AB163&lt;&gt;"",AB163,Z163)</f>
        <v/>
      </c>
      <c r="AF163" s="13" t="inlineStr">
        <is>
          <t>P-35 &gt; COLUMBIA Class Submarine &gt; SWS Navigation &gt; Technical Engineering Services</t>
        </is>
      </c>
      <c r="AG163" s="7" t="inlineStr">
        <is>
          <t>55</t>
        </is>
      </c>
      <c r="AH163" s="7" t="inlineStr">
        <is>
          <t>1045</t>
        </is>
      </c>
      <c r="AJ163" s="7" t="inlineStr">
        <is>
          <t>SWS Navigation</t>
        </is>
      </c>
    </row>
    <row r="164" ht="10" customHeight="1">
      <c r="A164" s="7" t="inlineStr">
        <is>
          <t>SCN</t>
        </is>
      </c>
      <c r="B164" s="7" t="inlineStr">
        <is>
          <t>Procurement</t>
        </is>
      </c>
      <c r="D164" s="7" t="inlineStr">
        <is>
          <t>COLUMBIA Class Submarine - P-10 - PLANS - Supplier Development- Maritime Industrial Base - SSBN 837 (2)</t>
        </is>
      </c>
      <c r="E164" s="13" t="inlineStr">
        <is>
          <t>[SUB]</t>
        </is>
      </c>
      <c r="F164" s="7" t="inlineStr">
        <is>
          <t>1045 / COLUMBIA Class Submarine AP</t>
        </is>
      </c>
      <c r="I164" s="14" t="n">
        <v>1</v>
      </c>
      <c r="J164" s="7" t="inlineStr">
        <is>
          <t>Advance procurement / LLTM</t>
        </is>
      </c>
      <c r="K164" s="13" t="inlineStr">
        <is>
          <t>USN</t>
        </is>
      </c>
      <c r="L164" s="7" t="inlineStr">
        <is>
          <t>Combatant Ships</t>
        </is>
      </c>
      <c r="M164" s="7" t="inlineStr">
        <is>
          <t>Submarines</t>
        </is>
      </c>
      <c r="N164" s="7" t="inlineStr">
        <is>
          <t>SSBN</t>
        </is>
      </c>
      <c r="O164" s="15" t="n"/>
      <c r="P164" s="16" t="n">
        <v>2355000</v>
      </c>
      <c r="Q164" s="16" t="n">
        <v>1954000</v>
      </c>
      <c r="S164" s="16" t="n">
        <v>1352000</v>
      </c>
      <c r="U164" s="16" t="n">
        <v>1352000</v>
      </c>
      <c r="AC164" s="23">
        <f>IF(OR(E164="",E164="[PARENT]"),"ADD",IF(E164="[ALT_VIEW]","ALT",""))</f>
        <v/>
      </c>
      <c r="AD164" s="21">
        <f>IF(Y164&lt;&gt;"",Y164,IF(U164&lt;&gt;"",U164,S164))</f>
        <v/>
      </c>
      <c r="AE164" s="21">
        <f>IF(AB164&lt;&gt;"",AB164,Z164)</f>
        <v/>
      </c>
      <c r="AF164" s="13" t="inlineStr">
        <is>
          <t>P-10 &gt; COLUMBIA Class Submarine &gt; PLANS - Supplier Development- Maritime Industrial Base - SSBN 837 (2)</t>
        </is>
      </c>
      <c r="AG164" s="7" t="inlineStr">
        <is>
          <t>57</t>
        </is>
      </c>
      <c r="AH164" s="7" t="inlineStr">
        <is>
          <t>1045</t>
        </is>
      </c>
      <c r="AJ164" s="7" t="inlineStr">
        <is>
          <t>SSBN 837</t>
        </is>
      </c>
    </row>
    <row r="165" ht="10" customHeight="1">
      <c r="A165" s="7" t="inlineStr">
        <is>
          <t>SCN</t>
        </is>
      </c>
      <c r="B165" s="7" t="inlineStr">
        <is>
          <t>Procurement</t>
        </is>
      </c>
      <c r="D165" s="7" t="inlineStr">
        <is>
          <t>COLUMBIA Class Submarine - P-10 - PLANS - SSBN 828</t>
        </is>
      </c>
      <c r="E165" s="13" t="inlineStr">
        <is>
          <t>[SUB]</t>
        </is>
      </c>
      <c r="F165" s="7" t="inlineStr">
        <is>
          <t>1045 / COLUMBIA Class Submarine AP</t>
        </is>
      </c>
      <c r="I165" s="14" t="n">
        <v>1</v>
      </c>
      <c r="J165" s="7" t="inlineStr">
        <is>
          <t>Advance procurement / LLTM</t>
        </is>
      </c>
      <c r="K165" s="13" t="inlineStr">
        <is>
          <t>USN</t>
        </is>
      </c>
      <c r="L165" s="7" t="inlineStr">
        <is>
          <t>Combatant Ships</t>
        </is>
      </c>
      <c r="M165" s="7" t="inlineStr">
        <is>
          <t>Submarines</t>
        </is>
      </c>
      <c r="N165" s="7" t="inlineStr">
        <is>
          <t>SSBN</t>
        </is>
      </c>
      <c r="O165" s="15" t="n"/>
      <c r="Q165" s="16" t="n">
        <v>70000</v>
      </c>
      <c r="S165" s="16" t="n">
        <v>0</v>
      </c>
      <c r="U165" s="16" t="n">
        <v>0</v>
      </c>
      <c r="AC165" s="23">
        <f>IF(OR(E165="",E165="[PARENT]"),"ADD",IF(E165="[ALT_VIEW]","ALT",""))</f>
        <v/>
      </c>
      <c r="AD165" s="21">
        <f>IF(Y165&lt;&gt;"",Y165,IF(U165&lt;&gt;"",U165,S165))</f>
        <v/>
      </c>
      <c r="AE165" s="21">
        <f>IF(AB165&lt;&gt;"",AB165,Z165)</f>
        <v/>
      </c>
      <c r="AF165" s="13" t="inlineStr">
        <is>
          <t>P-10 &gt; COLUMBIA Class Submarine &gt; PLANS - SSBN 828</t>
        </is>
      </c>
      <c r="AG165" s="7" t="inlineStr">
        <is>
          <t>57</t>
        </is>
      </c>
      <c r="AH165" s="7" t="inlineStr">
        <is>
          <t>1045</t>
        </is>
      </c>
      <c r="AJ165" s="7" t="inlineStr">
        <is>
          <t>SSBN 828</t>
        </is>
      </c>
    </row>
    <row r="166" ht="10" customHeight="1">
      <c r="A166" s="7" t="inlineStr">
        <is>
          <t>SCN</t>
        </is>
      </c>
      <c r="B166" s="7" t="inlineStr">
        <is>
          <t>Procurement</t>
        </is>
      </c>
      <c r="D166" s="7" t="inlineStr">
        <is>
          <t>COLUMBIA Class Submarine - P-10 - PLANS - SSBN 829</t>
        </is>
      </c>
      <c r="E166" s="13" t="inlineStr">
        <is>
          <t>[SUB]</t>
        </is>
      </c>
      <c r="F166" s="7" t="inlineStr">
        <is>
          <t>1045 / COLUMBIA Class Submarine AP</t>
        </is>
      </c>
      <c r="I166" s="14" t="n">
        <v>1</v>
      </c>
      <c r="J166" s="7" t="inlineStr">
        <is>
          <t>Advance procurement / LLTM</t>
        </is>
      </c>
      <c r="K166" s="13" t="inlineStr">
        <is>
          <t>USN</t>
        </is>
      </c>
      <c r="L166" s="7" t="inlineStr">
        <is>
          <t>Combatant Ships</t>
        </is>
      </c>
      <c r="M166" s="7" t="inlineStr">
        <is>
          <t>Submarines</t>
        </is>
      </c>
      <c r="N166" s="7" t="inlineStr">
        <is>
          <t>SSBN</t>
        </is>
      </c>
      <c r="O166" s="15" t="n"/>
      <c r="Q166" s="16" t="n">
        <v>53189</v>
      </c>
      <c r="S166" s="16" t="n">
        <v>51989</v>
      </c>
      <c r="U166" s="16" t="n">
        <v>51989</v>
      </c>
      <c r="AC166" s="23">
        <f>IF(OR(E166="",E166="[PARENT]"),"ADD",IF(E166="[ALT_VIEW]","ALT",""))</f>
        <v/>
      </c>
      <c r="AD166" s="21">
        <f>IF(Y166&lt;&gt;"",Y166,IF(U166&lt;&gt;"",U166,S166))</f>
        <v/>
      </c>
      <c r="AE166" s="21">
        <f>IF(AB166&lt;&gt;"",AB166,Z166)</f>
        <v/>
      </c>
      <c r="AF166" s="13" t="inlineStr">
        <is>
          <t>P-10 &gt; COLUMBIA Class Submarine &gt; PLANS - SSBN 829</t>
        </is>
      </c>
      <c r="AG166" s="7" t="inlineStr">
        <is>
          <t>57</t>
        </is>
      </c>
      <c r="AH166" s="7" t="inlineStr">
        <is>
          <t>1045</t>
        </is>
      </c>
      <c r="AJ166" s="7" t="inlineStr">
        <is>
          <t>SSBN 829</t>
        </is>
      </c>
    </row>
    <row r="167" ht="10" customHeight="1">
      <c r="A167" s="7" t="inlineStr">
        <is>
          <t>SCN</t>
        </is>
      </c>
      <c r="B167" s="7" t="inlineStr">
        <is>
          <t>Procurement</t>
        </is>
      </c>
      <c r="D167" s="7" t="inlineStr">
        <is>
          <t>COLUMBIA Class Submarine - P-10 - PLANS - SSBN 830</t>
        </is>
      </c>
      <c r="E167" s="13" t="inlineStr">
        <is>
          <t>[SUB]</t>
        </is>
      </c>
      <c r="F167" s="7" t="inlineStr">
        <is>
          <t>1045 / COLUMBIA Class Submarine AP</t>
        </is>
      </c>
      <c r="I167" s="14" t="n">
        <v>1</v>
      </c>
      <c r="J167" s="7" t="inlineStr">
        <is>
          <t>Advance procurement / LLTM</t>
        </is>
      </c>
      <c r="K167" s="13" t="inlineStr">
        <is>
          <t>USN</t>
        </is>
      </c>
      <c r="L167" s="7" t="inlineStr">
        <is>
          <t>Combatant Ships</t>
        </is>
      </c>
      <c r="M167" s="7" t="inlineStr">
        <is>
          <t>Submarines</t>
        </is>
      </c>
      <c r="N167" s="7" t="inlineStr">
        <is>
          <t>SSBN</t>
        </is>
      </c>
      <c r="O167" s="15" t="n"/>
      <c r="S167" s="16" t="n">
        <v>3260</v>
      </c>
      <c r="U167" s="16" t="n">
        <v>3260</v>
      </c>
      <c r="AC167" s="23">
        <f>IF(OR(E167="",E167="[PARENT]"),"ADD",IF(E167="[ALT_VIEW]","ALT",""))</f>
        <v/>
      </c>
      <c r="AD167" s="21">
        <f>IF(Y167&lt;&gt;"",Y167,IF(U167&lt;&gt;"",U167,S167))</f>
        <v/>
      </c>
      <c r="AE167" s="21">
        <f>IF(AB167&lt;&gt;"",AB167,Z167)</f>
        <v/>
      </c>
      <c r="AF167" s="13" t="inlineStr">
        <is>
          <t>P-10 &gt; COLUMBIA Class Submarine &gt; PLANS - SSBN 830</t>
        </is>
      </c>
      <c r="AG167" s="7" t="inlineStr">
        <is>
          <t>57</t>
        </is>
      </c>
      <c r="AH167" s="7" t="inlineStr">
        <is>
          <t>1045</t>
        </is>
      </c>
      <c r="AJ167" s="7" t="inlineStr">
        <is>
          <t>SSBN 830</t>
        </is>
      </c>
    </row>
    <row r="168" ht="10" customHeight="1">
      <c r="A168" s="7" t="inlineStr">
        <is>
          <t>SCN</t>
        </is>
      </c>
      <c r="B168" s="7" t="inlineStr">
        <is>
          <t>Procurement</t>
        </is>
      </c>
      <c r="D168" s="7" t="inlineStr">
        <is>
          <t>COLUMBIA Class Submarine - P-10 - PLANS - SSBN 831</t>
        </is>
      </c>
      <c r="E168" s="13" t="inlineStr">
        <is>
          <t>[SUB]</t>
        </is>
      </c>
      <c r="F168" s="7" t="inlineStr">
        <is>
          <t>1045 / COLUMBIA Class Submarine AP</t>
        </is>
      </c>
      <c r="I168" s="14" t="n">
        <v>1</v>
      </c>
      <c r="J168" s="7" t="inlineStr">
        <is>
          <t>Advance procurement / LLTM</t>
        </is>
      </c>
      <c r="K168" s="13" t="inlineStr">
        <is>
          <t>USN</t>
        </is>
      </c>
      <c r="L168" s="7" t="inlineStr">
        <is>
          <t>Combatant Ships</t>
        </is>
      </c>
      <c r="M168" s="7" t="inlineStr">
        <is>
          <t>Submarines</t>
        </is>
      </c>
      <c r="N168" s="7" t="inlineStr">
        <is>
          <t>SSBN</t>
        </is>
      </c>
      <c r="O168" s="15" t="n"/>
      <c r="S168" s="16" t="n">
        <v>0</v>
      </c>
      <c r="U168" s="16" t="n">
        <v>0</v>
      </c>
      <c r="AC168" s="23">
        <f>IF(OR(E168="",E168="[PARENT]"),"ADD",IF(E168="[ALT_VIEW]","ALT",""))</f>
        <v/>
      </c>
      <c r="AD168" s="21">
        <f>IF(Y168&lt;&gt;"",Y168,IF(U168&lt;&gt;"",U168,S168))</f>
        <v/>
      </c>
      <c r="AE168" s="21">
        <f>IF(AB168&lt;&gt;"",AB168,Z168)</f>
        <v/>
      </c>
      <c r="AF168" s="13" t="inlineStr">
        <is>
          <t>P-10 &gt; COLUMBIA Class Submarine &gt; PLANS - SSBN 831</t>
        </is>
      </c>
      <c r="AG168" s="7" t="inlineStr">
        <is>
          <t>57</t>
        </is>
      </c>
      <c r="AH168" s="7" t="inlineStr">
        <is>
          <t>1045</t>
        </is>
      </c>
      <c r="AJ168" s="7" t="inlineStr">
        <is>
          <t>SSBN 831</t>
        </is>
      </c>
    </row>
    <row r="169" ht="10" customHeight="1">
      <c r="A169" s="7" t="inlineStr">
        <is>
          <t>SCN</t>
        </is>
      </c>
      <c r="B169" s="7" t="inlineStr">
        <is>
          <t>Procurement</t>
        </is>
      </c>
      <c r="D169" s="7" t="inlineStr">
        <is>
          <t>COLUMBIA Class Submarine - P-10 - PLANS - SSBN 832</t>
        </is>
      </c>
      <c r="E169" s="13" t="inlineStr">
        <is>
          <t>[SUB]</t>
        </is>
      </c>
      <c r="F169" s="7" t="inlineStr">
        <is>
          <t>1045 / COLUMBIA Class Submarine AP</t>
        </is>
      </c>
      <c r="I169" s="14" t="n">
        <v>1</v>
      </c>
      <c r="J169" s="7" t="inlineStr">
        <is>
          <t>Advance procurement / LLTM</t>
        </is>
      </c>
      <c r="K169" s="13" t="inlineStr">
        <is>
          <t>USN</t>
        </is>
      </c>
      <c r="L169" s="7" t="inlineStr">
        <is>
          <t>Combatant Ships</t>
        </is>
      </c>
      <c r="M169" s="7" t="inlineStr">
        <is>
          <t>Submarines</t>
        </is>
      </c>
      <c r="N169" s="7" t="inlineStr">
        <is>
          <t>SSBN</t>
        </is>
      </c>
      <c r="O169" s="15" t="n"/>
      <c r="S169" s="16" t="n">
        <v>0</v>
      </c>
      <c r="U169" s="16" t="n">
        <v>0</v>
      </c>
      <c r="AC169" s="23">
        <f>IF(OR(E169="",E169="[PARENT]"),"ADD",IF(E169="[ALT_VIEW]","ALT",""))</f>
        <v/>
      </c>
      <c r="AD169" s="21">
        <f>IF(Y169&lt;&gt;"",Y169,IF(U169&lt;&gt;"",U169,S169))</f>
        <v/>
      </c>
      <c r="AE169" s="21">
        <f>IF(AB169&lt;&gt;"",AB169,Z169)</f>
        <v/>
      </c>
      <c r="AF169" s="13" t="inlineStr">
        <is>
          <t>P-10 &gt; COLUMBIA Class Submarine &gt; PLANS - SSBN 832</t>
        </is>
      </c>
      <c r="AG169" s="7" t="inlineStr">
        <is>
          <t>57</t>
        </is>
      </c>
      <c r="AH169" s="7" t="inlineStr">
        <is>
          <t>1045</t>
        </is>
      </c>
      <c r="AJ169" s="7" t="inlineStr">
        <is>
          <t>SSBN 832</t>
        </is>
      </c>
    </row>
    <row r="170" ht="10" customHeight="1">
      <c r="A170" s="7" t="inlineStr">
        <is>
          <t>SCN</t>
        </is>
      </c>
      <c r="B170" s="7" t="inlineStr">
        <is>
          <t>Procurement</t>
        </is>
      </c>
      <c r="D170" s="7" t="inlineStr">
        <is>
          <t>COLUMBIA Class Submarine - P-10 - PLANS - SSBN 833</t>
        </is>
      </c>
      <c r="E170" s="13" t="inlineStr">
        <is>
          <t>[SUB]</t>
        </is>
      </c>
      <c r="F170" s="7" t="inlineStr">
        <is>
          <t>1045 / COLUMBIA Class Submarine AP</t>
        </is>
      </c>
      <c r="I170" s="14" t="n">
        <v>1</v>
      </c>
      <c r="J170" s="7" t="inlineStr">
        <is>
          <t>Advance procurement / LLTM</t>
        </is>
      </c>
      <c r="K170" s="13" t="inlineStr">
        <is>
          <t>USN</t>
        </is>
      </c>
      <c r="L170" s="7" t="inlineStr">
        <is>
          <t>Combatant Ships</t>
        </is>
      </c>
      <c r="M170" s="7" t="inlineStr">
        <is>
          <t>Submarines</t>
        </is>
      </c>
      <c r="N170" s="7" t="inlineStr">
        <is>
          <t>SSBN</t>
        </is>
      </c>
      <c r="O170" s="15" t="n"/>
      <c r="S170" s="16" t="n">
        <v>0</v>
      </c>
      <c r="U170" s="16" t="n">
        <v>0</v>
      </c>
      <c r="AC170" s="23">
        <f>IF(OR(E170="",E170="[PARENT]"),"ADD",IF(E170="[ALT_VIEW]","ALT",""))</f>
        <v/>
      </c>
      <c r="AD170" s="21">
        <f>IF(Y170&lt;&gt;"",Y170,IF(U170&lt;&gt;"",U170,S170))</f>
        <v/>
      </c>
      <c r="AE170" s="21">
        <f>IF(AB170&lt;&gt;"",AB170,Z170)</f>
        <v/>
      </c>
      <c r="AF170" s="13" t="inlineStr">
        <is>
          <t>P-10 &gt; COLUMBIA Class Submarine &gt; PLANS - SSBN 833</t>
        </is>
      </c>
      <c r="AG170" s="7" t="inlineStr">
        <is>
          <t>57</t>
        </is>
      </c>
      <c r="AH170" s="7" t="inlineStr">
        <is>
          <t>1045</t>
        </is>
      </c>
      <c r="AJ170" s="7" t="inlineStr">
        <is>
          <t>SSBN 833</t>
        </is>
      </c>
    </row>
    <row r="171" ht="10" customHeight="1">
      <c r="A171" s="7" t="inlineStr">
        <is>
          <t>SCN</t>
        </is>
      </c>
      <c r="B171" s="7" t="inlineStr">
        <is>
          <t>Procurement</t>
        </is>
      </c>
      <c r="D171" s="7" t="inlineStr">
        <is>
          <t>COLUMBIA Class Submarine - P-10 - PLANS - SSBN 834</t>
        </is>
      </c>
      <c r="E171" s="13" t="inlineStr">
        <is>
          <t>[SUB]</t>
        </is>
      </c>
      <c r="F171" s="7" t="inlineStr">
        <is>
          <t>1045 / COLUMBIA Class Submarine AP</t>
        </is>
      </c>
      <c r="I171" s="14" t="n">
        <v>1</v>
      </c>
      <c r="J171" s="7" t="inlineStr">
        <is>
          <t>Advance procurement / LLTM</t>
        </is>
      </c>
      <c r="K171" s="13" t="inlineStr">
        <is>
          <t>USN</t>
        </is>
      </c>
      <c r="L171" s="7" t="inlineStr">
        <is>
          <t>Combatant Ships</t>
        </is>
      </c>
      <c r="M171" s="7" t="inlineStr">
        <is>
          <t>Submarines</t>
        </is>
      </c>
      <c r="N171" s="7" t="inlineStr">
        <is>
          <t>SSBN</t>
        </is>
      </c>
      <c r="O171" s="15" t="n"/>
      <c r="S171" s="16" t="n">
        <v>0</v>
      </c>
      <c r="U171" s="16" t="n">
        <v>0</v>
      </c>
      <c r="AC171" s="23">
        <f>IF(OR(E171="",E171="[PARENT]"),"ADD",IF(E171="[ALT_VIEW]","ALT",""))</f>
        <v/>
      </c>
      <c r="AD171" s="21">
        <f>IF(Y171&lt;&gt;"",Y171,IF(U171&lt;&gt;"",U171,S171))</f>
        <v/>
      </c>
      <c r="AE171" s="21">
        <f>IF(AB171&lt;&gt;"",AB171,Z171)</f>
        <v/>
      </c>
      <c r="AF171" s="13" t="inlineStr">
        <is>
          <t>P-10 &gt; COLUMBIA Class Submarine &gt; PLANS - SSBN 834</t>
        </is>
      </c>
      <c r="AG171" s="7" t="inlineStr">
        <is>
          <t>57</t>
        </is>
      </c>
      <c r="AH171" s="7" t="inlineStr">
        <is>
          <t>1045</t>
        </is>
      </c>
      <c r="AJ171" s="7" t="inlineStr">
        <is>
          <t>SSBN 834</t>
        </is>
      </c>
    </row>
    <row r="172" ht="10" customHeight="1">
      <c r="A172" s="7" t="inlineStr">
        <is>
          <t>SCN</t>
        </is>
      </c>
      <c r="B172" s="7" t="inlineStr">
        <is>
          <t>Procurement</t>
        </is>
      </c>
      <c r="D172" s="7" t="inlineStr">
        <is>
          <t>COLUMBIA Class Submarine - P-10 - BASIC CONSTRUCTION (3) - SHIPBUILDER PROCURED LLTM - SSBN 827</t>
        </is>
      </c>
      <c r="E172" s="13" t="inlineStr">
        <is>
          <t>[SUB]</t>
        </is>
      </c>
      <c r="F172" s="7" t="inlineStr">
        <is>
          <t>1045 / COLUMBIA Class Submarine AP</t>
        </is>
      </c>
      <c r="I172" s="14" t="n">
        <v>1</v>
      </c>
      <c r="J172" s="7" t="inlineStr">
        <is>
          <t>Advance procurement / LLTM</t>
        </is>
      </c>
      <c r="K172" s="13" t="inlineStr">
        <is>
          <t>USN</t>
        </is>
      </c>
      <c r="L172" s="7" t="inlineStr">
        <is>
          <t>Combatant Ships</t>
        </is>
      </c>
      <c r="M172" s="7" t="inlineStr">
        <is>
          <t>Submarines</t>
        </is>
      </c>
      <c r="N172" s="7" t="inlineStr">
        <is>
          <t>SSBN</t>
        </is>
      </c>
      <c r="O172" s="15" t="n"/>
      <c r="S172" s="16" t="n">
        <v>0</v>
      </c>
      <c r="U172" s="16" t="n">
        <v>0</v>
      </c>
      <c r="AC172" s="23">
        <f>IF(OR(E172="",E172="[PARENT]"),"ADD",IF(E172="[ALT_VIEW]","ALT",""))</f>
        <v/>
      </c>
      <c r="AD172" s="21">
        <f>IF(Y172&lt;&gt;"",Y172,IF(U172&lt;&gt;"",U172,S172))</f>
        <v/>
      </c>
      <c r="AE172" s="21">
        <f>IF(AB172&lt;&gt;"",AB172,Z172)</f>
        <v/>
      </c>
      <c r="AF172" s="13" t="inlineStr">
        <is>
          <t>P-10 &gt; COLUMBIA Class Submarine &gt; BASIC CONSTRUCTION (3) - SHIPBUILDER PROCURED LLTM - SSBN 827</t>
        </is>
      </c>
      <c r="AG172" s="7" t="inlineStr">
        <is>
          <t>57</t>
        </is>
      </c>
      <c r="AH172" s="7" t="inlineStr">
        <is>
          <t>1045</t>
        </is>
      </c>
      <c r="AJ172" s="7" t="inlineStr">
        <is>
          <t>SSBN 827</t>
        </is>
      </c>
    </row>
    <row r="173" ht="10" customHeight="1">
      <c r="A173" s="7" t="inlineStr">
        <is>
          <t>SCN</t>
        </is>
      </c>
      <c r="B173" s="7" t="inlineStr">
        <is>
          <t>Procurement</t>
        </is>
      </c>
      <c r="D173" s="7" t="inlineStr">
        <is>
          <t>COLUMBIA Class Submarine - P-10 - BASIC CONSTRUCTION (3) - SHIPBUILDER PROCURED LLTM - SSBN 828</t>
        </is>
      </c>
      <c r="E173" s="13" t="inlineStr">
        <is>
          <t>[SUB]</t>
        </is>
      </c>
      <c r="F173" s="7" t="inlineStr">
        <is>
          <t>1045 / COLUMBIA Class Submarine AP</t>
        </is>
      </c>
      <c r="I173" s="14" t="n">
        <v>1</v>
      </c>
      <c r="J173" s="7" t="inlineStr">
        <is>
          <t>Advance procurement / LLTM</t>
        </is>
      </c>
      <c r="K173" s="13" t="inlineStr">
        <is>
          <t>USN</t>
        </is>
      </c>
      <c r="L173" s="7" t="inlineStr">
        <is>
          <t>Combatant Ships</t>
        </is>
      </c>
      <c r="M173" s="7" t="inlineStr">
        <is>
          <t>Submarines</t>
        </is>
      </c>
      <c r="N173" s="7" t="inlineStr">
        <is>
          <t>SSBN</t>
        </is>
      </c>
      <c r="O173" s="15" t="n"/>
      <c r="P173" s="16" t="n">
        <v>192009</v>
      </c>
      <c r="Q173" s="16" t="n">
        <v>495224</v>
      </c>
      <c r="S173" s="16" t="n">
        <v>0</v>
      </c>
      <c r="U173" s="16" t="n">
        <v>0</v>
      </c>
      <c r="AC173" s="23">
        <f>IF(OR(E173="",E173="[PARENT]"),"ADD",IF(E173="[ALT_VIEW]","ALT",""))</f>
        <v/>
      </c>
      <c r="AD173" s="21">
        <f>IF(Y173&lt;&gt;"",Y173,IF(U173&lt;&gt;"",U173,S173))</f>
        <v/>
      </c>
      <c r="AE173" s="21">
        <f>IF(AB173&lt;&gt;"",AB173,Z173)</f>
        <v/>
      </c>
      <c r="AF173" s="13" t="inlineStr">
        <is>
          <t>P-10 &gt; COLUMBIA Class Submarine &gt; BASIC CONSTRUCTION (3) - SHIPBUILDER PROCURED LLTM - SSBN 828</t>
        </is>
      </c>
      <c r="AG173" s="7" t="inlineStr">
        <is>
          <t>57</t>
        </is>
      </c>
      <c r="AH173" s="7" t="inlineStr">
        <is>
          <t>1045</t>
        </is>
      </c>
      <c r="AJ173" s="7" t="inlineStr">
        <is>
          <t>SSBN 828</t>
        </is>
      </c>
    </row>
    <row r="174" ht="10" customHeight="1">
      <c r="A174" s="7" t="inlineStr">
        <is>
          <t>SCN</t>
        </is>
      </c>
      <c r="B174" s="7" t="inlineStr">
        <is>
          <t>Procurement</t>
        </is>
      </c>
      <c r="D174" s="7" t="inlineStr">
        <is>
          <t>COLUMBIA Class Submarine - P-10 - BASIC CONSTRUCTION (3) - SHIPBUILDER PROCURED LLTM - SSBN 829</t>
        </is>
      </c>
      <c r="E174" s="13" t="inlineStr">
        <is>
          <t>[SUB]</t>
        </is>
      </c>
      <c r="F174" s="7" t="inlineStr">
        <is>
          <t>1045 / COLUMBIA Class Submarine AP</t>
        </is>
      </c>
      <c r="I174" s="14" t="n">
        <v>1</v>
      </c>
      <c r="J174" s="7" t="inlineStr">
        <is>
          <t>Advance procurement / LLTM</t>
        </is>
      </c>
      <c r="K174" s="13" t="inlineStr">
        <is>
          <t>USN</t>
        </is>
      </c>
      <c r="L174" s="7" t="inlineStr">
        <is>
          <t>Combatant Ships</t>
        </is>
      </c>
      <c r="M174" s="7" t="inlineStr">
        <is>
          <t>Submarines</t>
        </is>
      </c>
      <c r="N174" s="7" t="inlineStr">
        <is>
          <t>SSBN</t>
        </is>
      </c>
      <c r="O174" s="15" t="n"/>
      <c r="P174" s="16" t="n">
        <v>172948</v>
      </c>
      <c r="Q174" s="16" t="n">
        <v>121403</v>
      </c>
      <c r="S174" s="16" t="n">
        <v>203000</v>
      </c>
      <c r="U174" s="16" t="n">
        <v>203000</v>
      </c>
      <c r="AC174" s="23">
        <f>IF(OR(E174="",E174="[PARENT]"),"ADD",IF(E174="[ALT_VIEW]","ALT",""))</f>
        <v/>
      </c>
      <c r="AD174" s="21">
        <f>IF(Y174&lt;&gt;"",Y174,IF(U174&lt;&gt;"",U174,S174))</f>
        <v/>
      </c>
      <c r="AE174" s="21">
        <f>IF(AB174&lt;&gt;"",AB174,Z174)</f>
        <v/>
      </c>
      <c r="AF174" s="13" t="inlineStr">
        <is>
          <t>P-10 &gt; COLUMBIA Class Submarine &gt; BASIC CONSTRUCTION (3) - SHIPBUILDER PROCURED LLTM - SSBN 829</t>
        </is>
      </c>
      <c r="AG174" s="7" t="inlineStr">
        <is>
          <t>57</t>
        </is>
      </c>
      <c r="AH174" s="7" t="inlineStr">
        <is>
          <t>1045</t>
        </is>
      </c>
      <c r="AJ174" s="7" t="inlineStr">
        <is>
          <t>SSBN 829</t>
        </is>
      </c>
    </row>
    <row r="175" ht="10" customHeight="1">
      <c r="A175" s="7" t="inlineStr">
        <is>
          <t>SCN</t>
        </is>
      </c>
      <c r="B175" s="7" t="inlineStr">
        <is>
          <t>Procurement</t>
        </is>
      </c>
      <c r="D175" s="7" t="inlineStr">
        <is>
          <t>COLUMBIA Class Submarine - P-10 - BASIC CONSTRUCTION (3) - SHIPBUILDER PROCURED LLTM - SSBN 830</t>
        </is>
      </c>
      <c r="E175" s="13" t="inlineStr">
        <is>
          <t>[SUB]</t>
        </is>
      </c>
      <c r="F175" s="7" t="inlineStr">
        <is>
          <t>1045 / COLUMBIA Class Submarine AP</t>
        </is>
      </c>
      <c r="I175" s="14" t="n">
        <v>1</v>
      </c>
      <c r="J175" s="7" t="inlineStr">
        <is>
          <t>Advance procurement / LLTM</t>
        </is>
      </c>
      <c r="K175" s="13" t="inlineStr">
        <is>
          <t>USN</t>
        </is>
      </c>
      <c r="L175" s="7" t="inlineStr">
        <is>
          <t>Combatant Ships</t>
        </is>
      </c>
      <c r="M175" s="7" t="inlineStr">
        <is>
          <t>Submarines</t>
        </is>
      </c>
      <c r="N175" s="7" t="inlineStr">
        <is>
          <t>SSBN</t>
        </is>
      </c>
      <c r="O175" s="15" t="n"/>
      <c r="Q175" s="16" t="n">
        <v>193773</v>
      </c>
      <c r="S175" s="16" t="n">
        <v>150730</v>
      </c>
      <c r="U175" s="16" t="n">
        <v>150730</v>
      </c>
      <c r="AC175" s="23">
        <f>IF(OR(E175="",E175="[PARENT]"),"ADD",IF(E175="[ALT_VIEW]","ALT",""))</f>
        <v/>
      </c>
      <c r="AD175" s="21">
        <f>IF(Y175&lt;&gt;"",Y175,IF(U175&lt;&gt;"",U175,S175))</f>
        <v/>
      </c>
      <c r="AE175" s="21">
        <f>IF(AB175&lt;&gt;"",AB175,Z175)</f>
        <v/>
      </c>
      <c r="AF175" s="13" t="inlineStr">
        <is>
          <t>P-10 &gt; COLUMBIA Class Submarine &gt; BASIC CONSTRUCTION (3) - SHIPBUILDER PROCURED LLTM - SSBN 830</t>
        </is>
      </c>
      <c r="AG175" s="7" t="inlineStr">
        <is>
          <t>57</t>
        </is>
      </c>
      <c r="AH175" s="7" t="inlineStr">
        <is>
          <t>1045</t>
        </is>
      </c>
      <c r="AJ175" s="7" t="inlineStr">
        <is>
          <t>SSBN 830</t>
        </is>
      </c>
    </row>
    <row r="176" ht="10" customHeight="1">
      <c r="A176" s="7" t="inlineStr">
        <is>
          <t>SCN</t>
        </is>
      </c>
      <c r="B176" s="7" t="inlineStr">
        <is>
          <t>Procurement</t>
        </is>
      </c>
      <c r="D176" s="7" t="inlineStr">
        <is>
          <t>COLUMBIA Class Submarine - P-10 - BASIC CONSTRUCTION (3) - SHIPBUILDER PROCURED LLTM - SSBN 831</t>
        </is>
      </c>
      <c r="E176" s="13" t="inlineStr">
        <is>
          <t>[SUB]</t>
        </is>
      </c>
      <c r="F176" s="7" t="inlineStr">
        <is>
          <t>1045 / COLUMBIA Class Submarine AP</t>
        </is>
      </c>
      <c r="I176" s="14" t="n">
        <v>1</v>
      </c>
      <c r="J176" s="7" t="inlineStr">
        <is>
          <t>Advance procurement / LLTM</t>
        </is>
      </c>
      <c r="K176" s="13" t="inlineStr">
        <is>
          <t>USN</t>
        </is>
      </c>
      <c r="L176" s="7" t="inlineStr">
        <is>
          <t>Combatant Ships</t>
        </is>
      </c>
      <c r="M176" s="7" t="inlineStr">
        <is>
          <t>Submarines</t>
        </is>
      </c>
      <c r="N176" s="7" t="inlineStr">
        <is>
          <t>SSBN</t>
        </is>
      </c>
      <c r="O176" s="15" t="n"/>
      <c r="S176" s="16" t="n">
        <v>161523</v>
      </c>
      <c r="U176" s="16" t="n">
        <v>161523</v>
      </c>
      <c r="AC176" s="23">
        <f>IF(OR(E176="",E176="[PARENT]"),"ADD",IF(E176="[ALT_VIEW]","ALT",""))</f>
        <v/>
      </c>
      <c r="AD176" s="21">
        <f>IF(Y176&lt;&gt;"",Y176,IF(U176&lt;&gt;"",U176,S176))</f>
        <v/>
      </c>
      <c r="AE176" s="21">
        <f>IF(AB176&lt;&gt;"",AB176,Z176)</f>
        <v/>
      </c>
      <c r="AF176" s="13" t="inlineStr">
        <is>
          <t>P-10 &gt; COLUMBIA Class Submarine &gt; BASIC CONSTRUCTION (3) - SHIPBUILDER PROCURED LLTM - SSBN 831</t>
        </is>
      </c>
      <c r="AG176" s="7" t="inlineStr">
        <is>
          <t>57</t>
        </is>
      </c>
      <c r="AH176" s="7" t="inlineStr">
        <is>
          <t>1045</t>
        </is>
      </c>
      <c r="AJ176" s="7" t="inlineStr">
        <is>
          <t>SSBN 831</t>
        </is>
      </c>
    </row>
    <row r="177" ht="10" customHeight="1">
      <c r="A177" s="7" t="inlineStr">
        <is>
          <t>SCN</t>
        </is>
      </c>
      <c r="B177" s="7" t="inlineStr">
        <is>
          <t>Procurement</t>
        </is>
      </c>
      <c r="D177" s="7" t="inlineStr">
        <is>
          <t>COLUMBIA Class Submarine - P-10 - BASIC CONSTRUCTION (3) - SHIPBUILDER PROCURED LLTM - SSBN 832</t>
        </is>
      </c>
      <c r="E177" s="13" t="inlineStr">
        <is>
          <t>[SUB]</t>
        </is>
      </c>
      <c r="F177" s="7" t="inlineStr">
        <is>
          <t>1045 / COLUMBIA Class Submarine AP</t>
        </is>
      </c>
      <c r="I177" s="14" t="n">
        <v>1</v>
      </c>
      <c r="J177" s="7" t="inlineStr">
        <is>
          <t>Advance procurement / LLTM</t>
        </is>
      </c>
      <c r="K177" s="13" t="inlineStr">
        <is>
          <t>USN</t>
        </is>
      </c>
      <c r="L177" s="7" t="inlineStr">
        <is>
          <t>Combatant Ships</t>
        </is>
      </c>
      <c r="M177" s="7" t="inlineStr">
        <is>
          <t>Submarines</t>
        </is>
      </c>
      <c r="N177" s="7" t="inlineStr">
        <is>
          <t>SSBN</t>
        </is>
      </c>
      <c r="O177" s="15" t="n"/>
      <c r="S177" s="16" t="n">
        <v>0</v>
      </c>
      <c r="U177" s="16" t="n">
        <v>0</v>
      </c>
      <c r="AC177" s="23">
        <f>IF(OR(E177="",E177="[PARENT]"),"ADD",IF(E177="[ALT_VIEW]","ALT",""))</f>
        <v/>
      </c>
      <c r="AD177" s="21">
        <f>IF(Y177&lt;&gt;"",Y177,IF(U177&lt;&gt;"",U177,S177))</f>
        <v/>
      </c>
      <c r="AE177" s="21">
        <f>IF(AB177&lt;&gt;"",AB177,Z177)</f>
        <v/>
      </c>
      <c r="AF177" s="13" t="inlineStr">
        <is>
          <t>P-10 &gt; COLUMBIA Class Submarine &gt; BASIC CONSTRUCTION (3) - SHIPBUILDER PROCURED LLTM - SSBN 832</t>
        </is>
      </c>
      <c r="AG177" s="7" t="inlineStr">
        <is>
          <t>57</t>
        </is>
      </c>
      <c r="AH177" s="7" t="inlineStr">
        <is>
          <t>1045</t>
        </is>
      </c>
    </row>
    <row r="178" ht="10" customHeight="1">
      <c r="A178" s="7" t="inlineStr">
        <is>
          <t>SCN</t>
        </is>
      </c>
      <c r="B178" s="7" t="inlineStr">
        <is>
          <t>Procurement</t>
        </is>
      </c>
      <c r="D178" s="7" t="inlineStr">
        <is>
          <t>COLUMBIA Class Submarine - P-10 - BASIC CONSTRUCTION (3) - SHIPBUILDER PROCURED LLTM - SSBN 833</t>
        </is>
      </c>
      <c r="E178" s="13" t="inlineStr">
        <is>
          <t>[SUB]</t>
        </is>
      </c>
      <c r="F178" s="7" t="inlineStr">
        <is>
          <t>1045 / COLUMBIA Class Submarine AP</t>
        </is>
      </c>
      <c r="I178" s="14" t="n">
        <v>1</v>
      </c>
      <c r="J178" s="7" t="inlineStr">
        <is>
          <t>Advance procurement / LLTM</t>
        </is>
      </c>
      <c r="K178" s="13" t="inlineStr">
        <is>
          <t>USN</t>
        </is>
      </c>
      <c r="L178" s="7" t="inlineStr">
        <is>
          <t>Combatant Ships</t>
        </is>
      </c>
      <c r="M178" s="7" t="inlineStr">
        <is>
          <t>Submarines</t>
        </is>
      </c>
      <c r="N178" s="7" t="inlineStr">
        <is>
          <t>SSBN</t>
        </is>
      </c>
      <c r="O178" s="15" t="n"/>
      <c r="S178" s="16" t="n">
        <v>0</v>
      </c>
      <c r="U178" s="16" t="n">
        <v>0</v>
      </c>
      <c r="AC178" s="23">
        <f>IF(OR(E178="",E178="[PARENT]"),"ADD",IF(E178="[ALT_VIEW]","ALT",""))</f>
        <v/>
      </c>
      <c r="AD178" s="21">
        <f>IF(Y178&lt;&gt;"",Y178,IF(U178&lt;&gt;"",U178,S178))</f>
        <v/>
      </c>
      <c r="AE178" s="21">
        <f>IF(AB178&lt;&gt;"",AB178,Z178)</f>
        <v/>
      </c>
      <c r="AF178" s="13" t="inlineStr">
        <is>
          <t>P-10 &gt; COLUMBIA Class Submarine &gt; BASIC CONSTRUCTION (3) - SHIPBUILDER PROCURED LLTM - SSBN 833</t>
        </is>
      </c>
      <c r="AG178" s="7" t="inlineStr">
        <is>
          <t>57</t>
        </is>
      </c>
      <c r="AH178" s="7" t="inlineStr">
        <is>
          <t>1045</t>
        </is>
      </c>
    </row>
    <row r="179" ht="10" customHeight="1">
      <c r="A179" s="7" t="inlineStr">
        <is>
          <t>SCN</t>
        </is>
      </c>
      <c r="B179" s="7" t="inlineStr">
        <is>
          <t>Procurement</t>
        </is>
      </c>
      <c r="D179" s="7" t="inlineStr">
        <is>
          <t>COLUMBIA Class Submarine - P-10 - BASIC CONSTRUCTION (3) - SHIPBUILDER PROCURED LLTM - SSBN 834</t>
        </is>
      </c>
      <c r="E179" s="13" t="inlineStr">
        <is>
          <t>[SUB]</t>
        </is>
      </c>
      <c r="F179" s="7" t="inlineStr">
        <is>
          <t>1045 / COLUMBIA Class Submarine AP</t>
        </is>
      </c>
      <c r="I179" s="14" t="n">
        <v>1</v>
      </c>
      <c r="J179" s="7" t="inlineStr">
        <is>
          <t>Advance procurement / LLTM</t>
        </is>
      </c>
      <c r="K179" s="13" t="inlineStr">
        <is>
          <t>USN</t>
        </is>
      </c>
      <c r="L179" s="7" t="inlineStr">
        <is>
          <t>Combatant Ships</t>
        </is>
      </c>
      <c r="M179" s="7" t="inlineStr">
        <is>
          <t>Submarines</t>
        </is>
      </c>
      <c r="N179" s="7" t="inlineStr">
        <is>
          <t>SSBN</t>
        </is>
      </c>
      <c r="O179" s="15" t="n"/>
      <c r="S179" s="16" t="n">
        <v>0</v>
      </c>
      <c r="U179" s="16" t="n">
        <v>0</v>
      </c>
      <c r="AC179" s="23">
        <f>IF(OR(E179="",E179="[PARENT]"),"ADD",IF(E179="[ALT_VIEW]","ALT",""))</f>
        <v/>
      </c>
      <c r="AD179" s="21">
        <f>IF(Y179&lt;&gt;"",Y179,IF(U179&lt;&gt;"",U179,S179))</f>
        <v/>
      </c>
      <c r="AE179" s="21">
        <f>IF(AB179&lt;&gt;"",AB179,Z179)</f>
        <v/>
      </c>
      <c r="AF179" s="13" t="inlineStr">
        <is>
          <t>P-10 &gt; COLUMBIA Class Submarine &gt; BASIC CONSTRUCTION (3) - SHIPBUILDER PROCURED LLTM - SSBN 834</t>
        </is>
      </c>
      <c r="AG179" s="7" t="inlineStr">
        <is>
          <t>57</t>
        </is>
      </c>
      <c r="AH179" s="7" t="inlineStr">
        <is>
          <t>1045</t>
        </is>
      </c>
    </row>
    <row r="180" ht="10" customHeight="1">
      <c r="A180" s="7" t="inlineStr">
        <is>
          <t>SCN</t>
        </is>
      </c>
      <c r="B180" s="7" t="inlineStr">
        <is>
          <t>Procurement</t>
        </is>
      </c>
      <c r="D180" s="7" t="inlineStr">
        <is>
          <t>COLUMBIA Class Submarine - P-10 - BASIC CONSTRUCTION (3) - SHIPBUILDER PROCURED LLTM - SSBN 835</t>
        </is>
      </c>
      <c r="E180" s="13" t="inlineStr">
        <is>
          <t>[SUB]</t>
        </is>
      </c>
      <c r="F180" s="7" t="inlineStr">
        <is>
          <t>1045 / COLUMBIA Class Submarine AP</t>
        </is>
      </c>
      <c r="I180" s="14" t="n">
        <v>1</v>
      </c>
      <c r="J180" s="7" t="inlineStr">
        <is>
          <t>Advance procurement / LLTM</t>
        </is>
      </c>
      <c r="K180" s="13" t="inlineStr">
        <is>
          <t>USN</t>
        </is>
      </c>
      <c r="L180" s="7" t="inlineStr">
        <is>
          <t>Combatant Ships</t>
        </is>
      </c>
      <c r="M180" s="7" t="inlineStr">
        <is>
          <t>Submarines</t>
        </is>
      </c>
      <c r="N180" s="7" t="inlineStr">
        <is>
          <t>SSBN</t>
        </is>
      </c>
      <c r="O180" s="15" t="n"/>
      <c r="S180" s="16" t="n">
        <v>0</v>
      </c>
      <c r="U180" s="16" t="n">
        <v>0</v>
      </c>
      <c r="AC180" s="23">
        <f>IF(OR(E180="",E180="[PARENT]"),"ADD",IF(E180="[ALT_VIEW]","ALT",""))</f>
        <v/>
      </c>
      <c r="AD180" s="21">
        <f>IF(Y180&lt;&gt;"",Y180,IF(U180&lt;&gt;"",U180,S180))</f>
        <v/>
      </c>
      <c r="AE180" s="21">
        <f>IF(AB180&lt;&gt;"",AB180,Z180)</f>
        <v/>
      </c>
      <c r="AF180" s="13" t="inlineStr">
        <is>
          <t>P-10 &gt; COLUMBIA Class Submarine &gt; BASIC CONSTRUCTION (3) - SHIPBUILDER PROCURED LLTM - SSBN 835</t>
        </is>
      </c>
      <c r="AG180" s="7" t="inlineStr">
        <is>
          <t>57</t>
        </is>
      </c>
      <c r="AH180" s="7" t="inlineStr">
        <is>
          <t>1045</t>
        </is>
      </c>
      <c r="AJ180" s="7" t="inlineStr">
        <is>
          <t>SSBN 835</t>
        </is>
      </c>
    </row>
    <row r="181" ht="10" customHeight="1">
      <c r="A181" s="7" t="inlineStr">
        <is>
          <t>SCN</t>
        </is>
      </c>
      <c r="B181" s="7" t="inlineStr">
        <is>
          <t>Procurement</t>
        </is>
      </c>
      <c r="D181" s="7" t="inlineStr">
        <is>
          <t>COLUMBIA Class Submarine - P-10 - BASIC CONSTRUCTION (4) - MISSILE TUBE CONTINUOUS PRODUCTION &amp; OUTFITTING - SSBN 827</t>
        </is>
      </c>
      <c r="E181" s="13" t="inlineStr">
        <is>
          <t>[SUB]</t>
        </is>
      </c>
      <c r="F181" s="7" t="inlineStr">
        <is>
          <t>1045 / COLUMBIA Class Submarine AP</t>
        </is>
      </c>
      <c r="I181" s="14" t="n">
        <v>1</v>
      </c>
      <c r="J181" s="7" t="inlineStr">
        <is>
          <t>Advance procurement / LLTM</t>
        </is>
      </c>
      <c r="K181" s="13" t="inlineStr">
        <is>
          <t>USN</t>
        </is>
      </c>
      <c r="L181" s="7" t="inlineStr">
        <is>
          <t>Combatant Ships</t>
        </is>
      </c>
      <c r="M181" s="7" t="inlineStr">
        <is>
          <t>Submarines</t>
        </is>
      </c>
      <c r="N181" s="7" t="inlineStr">
        <is>
          <t>SSBN</t>
        </is>
      </c>
      <c r="O181" s="15" t="n"/>
      <c r="S181" s="16" t="n">
        <v>0</v>
      </c>
      <c r="U181" s="16" t="n">
        <v>0</v>
      </c>
      <c r="AC181" s="23">
        <f>IF(OR(E181="",E181="[PARENT]"),"ADD",IF(E181="[ALT_VIEW]","ALT",""))</f>
        <v/>
      </c>
      <c r="AD181" s="21">
        <f>IF(Y181&lt;&gt;"",Y181,IF(U181&lt;&gt;"",U181,S181))</f>
        <v/>
      </c>
      <c r="AE181" s="21">
        <f>IF(AB181&lt;&gt;"",AB181,Z181)</f>
        <v/>
      </c>
      <c r="AF181" s="13" t="inlineStr">
        <is>
          <t>P-10 &gt; COLUMBIA Class Submarine &gt; BASIC CONSTRUCTION (4) - MISSILE TUBE CONTINUOUS PRODUCTION &amp; OUTFITTING - SSBN 827</t>
        </is>
      </c>
      <c r="AG181" s="7" t="inlineStr">
        <is>
          <t>57</t>
        </is>
      </c>
      <c r="AH181" s="7" t="inlineStr">
        <is>
          <t>1045</t>
        </is>
      </c>
    </row>
    <row r="182" ht="10" customHeight="1">
      <c r="A182" s="7" t="inlineStr">
        <is>
          <t>SCN</t>
        </is>
      </c>
      <c r="B182" s="7" t="inlineStr">
        <is>
          <t>Procurement</t>
        </is>
      </c>
      <c r="D182" s="7" t="inlineStr">
        <is>
          <t>COLUMBIA Class Submarine - P-10 - BASIC CONSTRUCTION (4) - MISSILE TUBE CONTINUOUS PRODUCTION &amp; OUTFITTING - SSBN 828</t>
        </is>
      </c>
      <c r="E182" s="13" t="inlineStr">
        <is>
          <t>[SUB]</t>
        </is>
      </c>
      <c r="F182" s="7" t="inlineStr">
        <is>
          <t>1045 / COLUMBIA Class Submarine AP</t>
        </is>
      </c>
      <c r="I182" s="14" t="n">
        <v>1</v>
      </c>
      <c r="J182" s="7" t="inlineStr">
        <is>
          <t>Advance procurement / LLTM</t>
        </is>
      </c>
      <c r="K182" s="13" t="inlineStr">
        <is>
          <t>USN</t>
        </is>
      </c>
      <c r="L182" s="7" t="inlineStr">
        <is>
          <t>Combatant Ships</t>
        </is>
      </c>
      <c r="M182" s="7" t="inlineStr">
        <is>
          <t>Submarines</t>
        </is>
      </c>
      <c r="N182" s="7" t="inlineStr">
        <is>
          <t>SSBN</t>
        </is>
      </c>
      <c r="O182" s="15" t="n"/>
      <c r="P182" s="16" t="n">
        <v>33104</v>
      </c>
      <c r="S182" s="16" t="n">
        <v>0</v>
      </c>
      <c r="U182" s="16" t="n">
        <v>0</v>
      </c>
      <c r="AC182" s="23">
        <f>IF(OR(E182="",E182="[PARENT]"),"ADD",IF(E182="[ALT_VIEW]","ALT",""))</f>
        <v/>
      </c>
      <c r="AD182" s="21">
        <f>IF(Y182&lt;&gt;"",Y182,IF(U182&lt;&gt;"",U182,S182))</f>
        <v/>
      </c>
      <c r="AE182" s="21">
        <f>IF(AB182&lt;&gt;"",AB182,Z182)</f>
        <v/>
      </c>
      <c r="AF182" s="13" t="inlineStr">
        <is>
          <t>P-10 &gt; COLUMBIA Class Submarine &gt; BASIC CONSTRUCTION (4) - MISSILE TUBE CONTINUOUS PRODUCTION &amp; OUTFITTING - SSBN 828</t>
        </is>
      </c>
      <c r="AG182" s="7" t="inlineStr">
        <is>
          <t>57</t>
        </is>
      </c>
      <c r="AH182" s="7" t="inlineStr">
        <is>
          <t>1045</t>
        </is>
      </c>
      <c r="AJ182" s="7" t="inlineStr">
        <is>
          <t>SSBN 828</t>
        </is>
      </c>
    </row>
    <row r="183" ht="10" customHeight="1">
      <c r="A183" s="7" t="inlineStr">
        <is>
          <t>SCN</t>
        </is>
      </c>
      <c r="B183" s="7" t="inlineStr">
        <is>
          <t>Procurement</t>
        </is>
      </c>
      <c r="D183" s="7" t="inlineStr">
        <is>
          <t>COLUMBIA Class Submarine - P-10 - BASIC CONSTRUCTION (4) - MISSILE TUBE CONTINUOUS PRODUCTION &amp; OUTFITTING - SSBN 829</t>
        </is>
      </c>
      <c r="E183" s="13" t="inlineStr">
        <is>
          <t>[SUB]</t>
        </is>
      </c>
      <c r="F183" s="7" t="inlineStr">
        <is>
          <t>1045 / COLUMBIA Class Submarine AP</t>
        </is>
      </c>
      <c r="I183" s="14" t="n">
        <v>1</v>
      </c>
      <c r="J183" s="7" t="inlineStr">
        <is>
          <t>Advance procurement / LLTM</t>
        </is>
      </c>
      <c r="K183" s="13" t="inlineStr">
        <is>
          <t>USN</t>
        </is>
      </c>
      <c r="L183" s="7" t="inlineStr">
        <is>
          <t>Combatant Ships</t>
        </is>
      </c>
      <c r="M183" s="7" t="inlineStr">
        <is>
          <t>Submarines</t>
        </is>
      </c>
      <c r="N183" s="7" t="inlineStr">
        <is>
          <t>SSBN</t>
        </is>
      </c>
      <c r="O183" s="15" t="n"/>
      <c r="P183" s="16" t="n">
        <v>58909</v>
      </c>
      <c r="S183" s="16" t="n">
        <v>0</v>
      </c>
      <c r="U183" s="16" t="n">
        <v>0</v>
      </c>
      <c r="AC183" s="23">
        <f>IF(OR(E183="",E183="[PARENT]"),"ADD",IF(E183="[ALT_VIEW]","ALT",""))</f>
        <v/>
      </c>
      <c r="AD183" s="21">
        <f>IF(Y183&lt;&gt;"",Y183,IF(U183&lt;&gt;"",U183,S183))</f>
        <v/>
      </c>
      <c r="AE183" s="21">
        <f>IF(AB183&lt;&gt;"",AB183,Z183)</f>
        <v/>
      </c>
      <c r="AF183" s="13" t="inlineStr">
        <is>
          <t>P-10 &gt; COLUMBIA Class Submarine &gt; BASIC CONSTRUCTION (4) - MISSILE TUBE CONTINUOUS PRODUCTION &amp; OUTFITTING - SSBN 829</t>
        </is>
      </c>
      <c r="AG183" s="7" t="inlineStr">
        <is>
          <t>57</t>
        </is>
      </c>
      <c r="AH183" s="7" t="inlineStr">
        <is>
          <t>1045</t>
        </is>
      </c>
      <c r="AJ183" s="7" t="inlineStr">
        <is>
          <t>SSBN 829</t>
        </is>
      </c>
    </row>
    <row r="184" ht="10" customHeight="1">
      <c r="A184" s="7" t="inlineStr">
        <is>
          <t>SCN</t>
        </is>
      </c>
      <c r="B184" s="7" t="inlineStr">
        <is>
          <t>Procurement</t>
        </is>
      </c>
      <c r="D184" s="7" t="inlineStr">
        <is>
          <t>COLUMBIA Class Submarine - P-10 - BASIC CONSTRUCTION (4) - MISSILE TUBE CONTINUOUS PRODUCTION &amp; OUTFITTING - SSBN 830</t>
        </is>
      </c>
      <c r="E184" s="13" t="inlineStr">
        <is>
          <t>[SUB]</t>
        </is>
      </c>
      <c r="F184" s="7" t="inlineStr">
        <is>
          <t>1045 / COLUMBIA Class Submarine AP</t>
        </is>
      </c>
      <c r="I184" s="14" t="n">
        <v>1</v>
      </c>
      <c r="J184" s="7" t="inlineStr">
        <is>
          <t>Advance procurement / LLTM</t>
        </is>
      </c>
      <c r="K184" s="13" t="inlineStr">
        <is>
          <t>USN</t>
        </is>
      </c>
      <c r="L184" s="7" t="inlineStr">
        <is>
          <t>Combatant Ships</t>
        </is>
      </c>
      <c r="M184" s="7" t="inlineStr">
        <is>
          <t>Submarines</t>
        </is>
      </c>
      <c r="N184" s="7" t="inlineStr">
        <is>
          <t>SSBN</t>
        </is>
      </c>
      <c r="O184" s="15" t="n"/>
      <c r="P184" s="16" t="n">
        <v>63393</v>
      </c>
      <c r="Q184" s="16" t="n">
        <v>133496</v>
      </c>
      <c r="S184" s="16" t="n">
        <v>36374</v>
      </c>
      <c r="U184" s="16" t="n">
        <v>36374</v>
      </c>
      <c r="AC184" s="23">
        <f>IF(OR(E184="",E184="[PARENT]"),"ADD",IF(E184="[ALT_VIEW]","ALT",""))</f>
        <v/>
      </c>
      <c r="AD184" s="21">
        <f>IF(Y184&lt;&gt;"",Y184,IF(U184&lt;&gt;"",U184,S184))</f>
        <v/>
      </c>
      <c r="AE184" s="21">
        <f>IF(AB184&lt;&gt;"",AB184,Z184)</f>
        <v/>
      </c>
      <c r="AF184" s="13" t="inlineStr">
        <is>
          <t>P-10 &gt; COLUMBIA Class Submarine &gt; BASIC CONSTRUCTION (4) - MISSILE TUBE CONTINUOUS PRODUCTION &amp; OUTFITTING - SSBN 830</t>
        </is>
      </c>
      <c r="AG184" s="7" t="inlineStr">
        <is>
          <t>57</t>
        </is>
      </c>
      <c r="AH184" s="7" t="inlineStr">
        <is>
          <t>1045</t>
        </is>
      </c>
      <c r="AJ184" s="7" t="inlineStr">
        <is>
          <t>SSBN 830</t>
        </is>
      </c>
    </row>
    <row r="185" ht="10" customHeight="1">
      <c r="A185" s="7" t="inlineStr">
        <is>
          <t>SCN</t>
        </is>
      </c>
      <c r="B185" s="7" t="inlineStr">
        <is>
          <t>Procurement</t>
        </is>
      </c>
      <c r="D185" s="7" t="inlineStr">
        <is>
          <t>COLUMBIA Class Submarine - P-10 - BASIC CONSTRUCTION (4) - MISSILE TUBE CONTINUOUS PRODUCTION &amp; OUTFITTING - SSBN 831</t>
        </is>
      </c>
      <c r="E185" s="13" t="inlineStr">
        <is>
          <t>[SUB]</t>
        </is>
      </c>
      <c r="F185" s="7" t="inlineStr">
        <is>
          <t>1045 / COLUMBIA Class Submarine AP</t>
        </is>
      </c>
      <c r="I185" s="14" t="n">
        <v>1</v>
      </c>
      <c r="J185" s="7" t="inlineStr">
        <is>
          <t>Advance procurement / LLTM</t>
        </is>
      </c>
      <c r="K185" s="13" t="inlineStr">
        <is>
          <t>USN</t>
        </is>
      </c>
      <c r="L185" s="7" t="inlineStr">
        <is>
          <t>Combatant Ships</t>
        </is>
      </c>
      <c r="M185" s="7" t="inlineStr">
        <is>
          <t>Submarines</t>
        </is>
      </c>
      <c r="N185" s="7" t="inlineStr">
        <is>
          <t>SSBN</t>
        </is>
      </c>
      <c r="O185" s="15" t="n"/>
      <c r="P185" s="16" t="n">
        <v>18730</v>
      </c>
      <c r="Q185" s="16" t="n">
        <v>63059</v>
      </c>
      <c r="S185" s="16" t="n">
        <v>139961</v>
      </c>
      <c r="U185" s="16" t="n">
        <v>139961</v>
      </c>
      <c r="AC185" s="23">
        <f>IF(OR(E185="",E185="[PARENT]"),"ADD",IF(E185="[ALT_VIEW]","ALT",""))</f>
        <v/>
      </c>
      <c r="AD185" s="21">
        <f>IF(Y185&lt;&gt;"",Y185,IF(U185&lt;&gt;"",U185,S185))</f>
        <v/>
      </c>
      <c r="AE185" s="21">
        <f>IF(AB185&lt;&gt;"",AB185,Z185)</f>
        <v/>
      </c>
      <c r="AF185" s="13" t="inlineStr">
        <is>
          <t>P-10 &gt; COLUMBIA Class Submarine &gt; BASIC CONSTRUCTION (4) - MISSILE TUBE CONTINUOUS PRODUCTION &amp; OUTFITTING - SSBN 831</t>
        </is>
      </c>
      <c r="AG185" s="7" t="inlineStr">
        <is>
          <t>57</t>
        </is>
      </c>
      <c r="AH185" s="7" t="inlineStr">
        <is>
          <t>1045</t>
        </is>
      </c>
      <c r="AJ185" s="7" t="inlineStr">
        <is>
          <t>SSBN 831</t>
        </is>
      </c>
    </row>
    <row r="186" ht="10" customHeight="1">
      <c r="A186" s="7" t="inlineStr">
        <is>
          <t>SCN</t>
        </is>
      </c>
      <c r="B186" s="7" t="inlineStr">
        <is>
          <t>Procurement</t>
        </is>
      </c>
      <c r="D186" s="7" t="inlineStr">
        <is>
          <t>COLUMBIA Class Submarine - P-10 - BASIC CONSTRUCTION (4) - MISSILE TUBE CONTINUOUS PRODUCTION &amp; OUTFITTING - SSBN 832</t>
        </is>
      </c>
      <c r="E186" s="13" t="inlineStr">
        <is>
          <t>[SUB]</t>
        </is>
      </c>
      <c r="F186" s="7" t="inlineStr">
        <is>
          <t>1045 / COLUMBIA Class Submarine AP</t>
        </is>
      </c>
      <c r="I186" s="14" t="n">
        <v>1</v>
      </c>
      <c r="J186" s="7" t="inlineStr">
        <is>
          <t>Advance procurement / LLTM</t>
        </is>
      </c>
      <c r="K186" s="13" t="inlineStr">
        <is>
          <t>USN</t>
        </is>
      </c>
      <c r="L186" s="7" t="inlineStr">
        <is>
          <t>Combatant Ships</t>
        </is>
      </c>
      <c r="M186" s="7" t="inlineStr">
        <is>
          <t>Submarines</t>
        </is>
      </c>
      <c r="N186" s="7" t="inlineStr">
        <is>
          <t>SSBN</t>
        </is>
      </c>
      <c r="O186" s="15" t="n"/>
      <c r="Q186" s="16" t="n">
        <v>19706</v>
      </c>
      <c r="S186" s="16" t="n">
        <v>64025</v>
      </c>
      <c r="U186" s="16" t="n">
        <v>64025</v>
      </c>
      <c r="AC186" s="23">
        <f>IF(OR(E186="",E186="[PARENT]"),"ADD",IF(E186="[ALT_VIEW]","ALT",""))</f>
        <v/>
      </c>
      <c r="AD186" s="21">
        <f>IF(Y186&lt;&gt;"",Y186,IF(U186&lt;&gt;"",U186,S186))</f>
        <v/>
      </c>
      <c r="AE186" s="21">
        <f>IF(AB186&lt;&gt;"",AB186,Z186)</f>
        <v/>
      </c>
      <c r="AF186" s="13" t="inlineStr">
        <is>
          <t>P-10 &gt; COLUMBIA Class Submarine &gt; BASIC CONSTRUCTION (4) - MISSILE TUBE CONTINUOUS PRODUCTION &amp; OUTFITTING - SSBN 832</t>
        </is>
      </c>
      <c r="AG186" s="7" t="inlineStr">
        <is>
          <t>57</t>
        </is>
      </c>
      <c r="AH186" s="7" t="inlineStr">
        <is>
          <t>1045</t>
        </is>
      </c>
      <c r="AJ186" s="7" t="inlineStr">
        <is>
          <t>SSBN 832</t>
        </is>
      </c>
    </row>
    <row r="187" ht="10" customHeight="1">
      <c r="A187" s="7" t="inlineStr">
        <is>
          <t>SCN</t>
        </is>
      </c>
      <c r="B187" s="7" t="inlineStr">
        <is>
          <t>Procurement</t>
        </is>
      </c>
      <c r="D187" s="7" t="inlineStr">
        <is>
          <t>COLUMBIA Class Submarine - P-10 - BASIC CONSTRUCTION (4) - MISSILE TUBE CONTINUOUS PRODUCTION &amp; OUTFITTING - SSBN 833</t>
        </is>
      </c>
      <c r="E187" s="13" t="inlineStr">
        <is>
          <t>[SUB]</t>
        </is>
      </c>
      <c r="F187" s="7" t="inlineStr">
        <is>
          <t>1045 / COLUMBIA Class Submarine AP</t>
        </is>
      </c>
      <c r="I187" s="14" t="n">
        <v>1</v>
      </c>
      <c r="J187" s="7" t="inlineStr">
        <is>
          <t>Advance procurement / LLTM</t>
        </is>
      </c>
      <c r="K187" s="13" t="inlineStr">
        <is>
          <t>USN</t>
        </is>
      </c>
      <c r="L187" s="7" t="inlineStr">
        <is>
          <t>Combatant Ships</t>
        </is>
      </c>
      <c r="M187" s="7" t="inlineStr">
        <is>
          <t>Submarines</t>
        </is>
      </c>
      <c r="N187" s="7" t="inlineStr">
        <is>
          <t>SSBN</t>
        </is>
      </c>
      <c r="O187" s="15" t="n"/>
      <c r="S187" s="16" t="n">
        <v>20931</v>
      </c>
      <c r="U187" s="16" t="n">
        <v>20931</v>
      </c>
      <c r="AC187" s="23">
        <f>IF(OR(E187="",E187="[PARENT]"),"ADD",IF(E187="[ALT_VIEW]","ALT",""))</f>
        <v/>
      </c>
      <c r="AD187" s="21">
        <f>IF(Y187&lt;&gt;"",Y187,IF(U187&lt;&gt;"",U187,S187))</f>
        <v/>
      </c>
      <c r="AE187" s="21">
        <f>IF(AB187&lt;&gt;"",AB187,Z187)</f>
        <v/>
      </c>
      <c r="AF187" s="13" t="inlineStr">
        <is>
          <t>P-10 &gt; COLUMBIA Class Submarine &gt; BASIC CONSTRUCTION (4) - MISSILE TUBE CONTINUOUS PRODUCTION &amp; OUTFITTING - SSBN 833</t>
        </is>
      </c>
      <c r="AG187" s="7" t="inlineStr">
        <is>
          <t>57</t>
        </is>
      </c>
      <c r="AH187" s="7" t="inlineStr">
        <is>
          <t>1045</t>
        </is>
      </c>
      <c r="AJ187" s="7" t="inlineStr">
        <is>
          <t>SSBN 833</t>
        </is>
      </c>
    </row>
    <row r="188" ht="10" customHeight="1">
      <c r="A188" s="7" t="inlineStr">
        <is>
          <t>SCN</t>
        </is>
      </c>
      <c r="B188" s="7" t="inlineStr">
        <is>
          <t>Procurement</t>
        </is>
      </c>
      <c r="D188" s="7" t="inlineStr">
        <is>
          <t>COLUMBIA Class Submarine - P-10 - SSBN 834</t>
        </is>
      </c>
      <c r="E188" s="13" t="inlineStr">
        <is>
          <t>[SUB]</t>
        </is>
      </c>
      <c r="F188" s="7" t="inlineStr">
        <is>
          <t>1045 / COLUMBIA Class Submarine AP</t>
        </is>
      </c>
      <c r="I188" s="14" t="n">
        <v>1</v>
      </c>
      <c r="J188" s="7" t="inlineStr">
        <is>
          <t>Advance procurement / LLTM</t>
        </is>
      </c>
      <c r="K188" s="13" t="inlineStr">
        <is>
          <t>USN</t>
        </is>
      </c>
      <c r="L188" s="7" t="inlineStr">
        <is>
          <t>Combatant Ships</t>
        </is>
      </c>
      <c r="M188" s="7" t="inlineStr">
        <is>
          <t>Submarines</t>
        </is>
      </c>
      <c r="N188" s="7" t="inlineStr">
        <is>
          <t>SSBN</t>
        </is>
      </c>
      <c r="O188" s="15" t="n"/>
      <c r="S188" s="16" t="n">
        <v>0</v>
      </c>
      <c r="U188" s="16" t="n">
        <v>0</v>
      </c>
      <c r="AC188" s="23">
        <f>IF(OR(E188="",E188="[PARENT]"),"ADD",IF(E188="[ALT_VIEW]","ALT",""))</f>
        <v/>
      </c>
      <c r="AD188" s="21">
        <f>IF(Y188&lt;&gt;"",Y188,IF(U188&lt;&gt;"",U188,S188))</f>
        <v/>
      </c>
      <c r="AE188" s="21">
        <f>IF(AB188&lt;&gt;"",AB188,Z188)</f>
        <v/>
      </c>
      <c r="AF188" s="13" t="inlineStr">
        <is>
          <t>P-10 &gt; COLUMBIA Class Submarine &gt; SSBN 834</t>
        </is>
      </c>
      <c r="AG188" s="7" t="inlineStr">
        <is>
          <t>58</t>
        </is>
      </c>
      <c r="AH188" s="7" t="inlineStr">
        <is>
          <t>1045</t>
        </is>
      </c>
    </row>
    <row r="189" ht="10" customHeight="1">
      <c r="A189" s="7" t="inlineStr">
        <is>
          <t>SCN</t>
        </is>
      </c>
      <c r="B189" s="7" t="inlineStr">
        <is>
          <t>Procurement</t>
        </is>
      </c>
      <c r="D189" s="7" t="inlineStr">
        <is>
          <t>COLUMBIA Class Submarine - P-10 - SSBN 835</t>
        </is>
      </c>
      <c r="E189" s="13" t="inlineStr">
        <is>
          <t>[SUB]</t>
        </is>
      </c>
      <c r="F189" s="7" t="inlineStr">
        <is>
          <t>1045 / COLUMBIA Class Submarine AP</t>
        </is>
      </c>
      <c r="I189" s="14" t="n">
        <v>1</v>
      </c>
      <c r="J189" s="7" t="inlineStr">
        <is>
          <t>Advance procurement / LLTM</t>
        </is>
      </c>
      <c r="K189" s="13" t="inlineStr">
        <is>
          <t>USN</t>
        </is>
      </c>
      <c r="L189" s="7" t="inlineStr">
        <is>
          <t>Combatant Ships</t>
        </is>
      </c>
      <c r="M189" s="7" t="inlineStr">
        <is>
          <t>Submarines</t>
        </is>
      </c>
      <c r="N189" s="7" t="inlineStr">
        <is>
          <t>SSBN</t>
        </is>
      </c>
      <c r="O189" s="15" t="n"/>
      <c r="S189" s="16" t="n">
        <v>0</v>
      </c>
      <c r="U189" s="16" t="n">
        <v>0</v>
      </c>
      <c r="AC189" s="23">
        <f>IF(OR(E189="",E189="[PARENT]"),"ADD",IF(E189="[ALT_VIEW]","ALT",""))</f>
        <v/>
      </c>
      <c r="AD189" s="21">
        <f>IF(Y189&lt;&gt;"",Y189,IF(U189&lt;&gt;"",U189,S189))</f>
        <v/>
      </c>
      <c r="AE189" s="21">
        <f>IF(AB189&lt;&gt;"",AB189,Z189)</f>
        <v/>
      </c>
      <c r="AF189" s="13" t="inlineStr">
        <is>
          <t>P-10 &gt; COLUMBIA Class Submarine &gt; SSBN 835</t>
        </is>
      </c>
      <c r="AG189" s="7" t="inlineStr">
        <is>
          <t>58</t>
        </is>
      </c>
      <c r="AH189" s="7" t="inlineStr">
        <is>
          <t>1045</t>
        </is>
      </c>
    </row>
    <row r="190" ht="10" customHeight="1">
      <c r="A190" s="7" t="inlineStr">
        <is>
          <t>SCN</t>
        </is>
      </c>
      <c r="B190" s="7" t="inlineStr">
        <is>
          <t>Procurement</t>
        </is>
      </c>
      <c r="D190" s="7" t="inlineStr">
        <is>
          <t>COLUMBIA Class Submarine - P-10 - SSBN 836</t>
        </is>
      </c>
      <c r="E190" s="13" t="inlineStr">
        <is>
          <t>[SUB]</t>
        </is>
      </c>
      <c r="F190" s="7" t="inlineStr">
        <is>
          <t>1045 / COLUMBIA Class Submarine AP</t>
        </is>
      </c>
      <c r="I190" s="14" t="n">
        <v>1</v>
      </c>
      <c r="J190" s="7" t="inlineStr">
        <is>
          <t>Advance procurement / LLTM</t>
        </is>
      </c>
      <c r="K190" s="13" t="inlineStr">
        <is>
          <t>USN</t>
        </is>
      </c>
      <c r="L190" s="7" t="inlineStr">
        <is>
          <t>Combatant Ships</t>
        </is>
      </c>
      <c r="M190" s="7" t="inlineStr">
        <is>
          <t>Submarines</t>
        </is>
      </c>
      <c r="N190" s="7" t="inlineStr">
        <is>
          <t>SSBN</t>
        </is>
      </c>
      <c r="O190" s="15" t="n"/>
      <c r="S190" s="16" t="n">
        <v>0</v>
      </c>
      <c r="U190" s="16" t="n">
        <v>0</v>
      </c>
      <c r="AC190" s="23">
        <f>IF(OR(E190="",E190="[PARENT]"),"ADD",IF(E190="[ALT_VIEW]","ALT",""))</f>
        <v/>
      </c>
      <c r="AD190" s="21">
        <f>IF(Y190&lt;&gt;"",Y190,IF(U190&lt;&gt;"",U190,S190))</f>
        <v/>
      </c>
      <c r="AE190" s="21">
        <f>IF(AB190&lt;&gt;"",AB190,Z190)</f>
        <v/>
      </c>
      <c r="AF190" s="13" t="inlineStr">
        <is>
          <t>P-10 &gt; COLUMBIA Class Submarine &gt; SSBN 836</t>
        </is>
      </c>
      <c r="AG190" s="7" t="inlineStr">
        <is>
          <t>58</t>
        </is>
      </c>
      <c r="AH190" s="7" t="inlineStr">
        <is>
          <t>1045</t>
        </is>
      </c>
      <c r="AJ190" s="7" t="inlineStr">
        <is>
          <t>SSBN 836</t>
        </is>
      </c>
    </row>
    <row r="191" ht="10" customHeight="1">
      <c r="A191" s="7" t="inlineStr">
        <is>
          <t>SCN</t>
        </is>
      </c>
      <c r="B191" s="7" t="inlineStr">
        <is>
          <t>Procurement</t>
        </is>
      </c>
      <c r="D191" s="7" t="inlineStr">
        <is>
          <t>COLUMBIA Class Submarine - P-10 - SSBN 837</t>
        </is>
      </c>
      <c r="E191" s="13" t="inlineStr">
        <is>
          <t>[SUB]</t>
        </is>
      </c>
      <c r="F191" s="7" t="inlineStr">
        <is>
          <t>1045 / COLUMBIA Class Submarine AP</t>
        </is>
      </c>
      <c r="I191" s="14" t="n">
        <v>1</v>
      </c>
      <c r="J191" s="7" t="inlineStr">
        <is>
          <t>Advance procurement / LLTM</t>
        </is>
      </c>
      <c r="K191" s="13" t="inlineStr">
        <is>
          <t>USN</t>
        </is>
      </c>
      <c r="L191" s="7" t="inlineStr">
        <is>
          <t>Combatant Ships</t>
        </is>
      </c>
      <c r="M191" s="7" t="inlineStr">
        <is>
          <t>Submarines</t>
        </is>
      </c>
      <c r="N191" s="7" t="inlineStr">
        <is>
          <t>SSBN</t>
        </is>
      </c>
      <c r="O191" s="15" t="n"/>
      <c r="S191" s="16" t="n">
        <v>0</v>
      </c>
      <c r="U191" s="16" t="n">
        <v>0</v>
      </c>
      <c r="AC191" s="23">
        <f>IF(OR(E191="",E191="[PARENT]"),"ADD",IF(E191="[ALT_VIEW]","ALT",""))</f>
        <v/>
      </c>
      <c r="AD191" s="21">
        <f>IF(Y191&lt;&gt;"",Y191,IF(U191&lt;&gt;"",U191,S191))</f>
        <v/>
      </c>
      <c r="AE191" s="21">
        <f>IF(AB191&lt;&gt;"",AB191,Z191)</f>
        <v/>
      </c>
      <c r="AF191" s="13" t="inlineStr">
        <is>
          <t>P-10 &gt; COLUMBIA Class Submarine &gt; SSBN 837</t>
        </is>
      </c>
      <c r="AG191" s="7" t="inlineStr">
        <is>
          <t>58</t>
        </is>
      </c>
      <c r="AH191" s="7" t="inlineStr">
        <is>
          <t>1045</t>
        </is>
      </c>
    </row>
    <row r="192" ht="10" customHeight="1">
      <c r="A192" s="7" t="inlineStr">
        <is>
          <t>SCN</t>
        </is>
      </c>
      <c r="B192" s="7" t="inlineStr">
        <is>
          <t>Procurement</t>
        </is>
      </c>
      <c r="D192" s="7" t="inlineStr">
        <is>
          <t>COLUMBIA Class Submarine - P-10 - BASIC CONSTRUCTION (5) - ADVANCE CONSTRUCTION - SSBN 827</t>
        </is>
      </c>
      <c r="E192" s="13" t="inlineStr">
        <is>
          <t>[SUB]</t>
        </is>
      </c>
      <c r="F192" s="7" t="inlineStr">
        <is>
          <t>1045 / COLUMBIA Class Submarine AP</t>
        </is>
      </c>
      <c r="I192" s="14" t="n">
        <v>1</v>
      </c>
      <c r="J192" s="7" t="inlineStr">
        <is>
          <t>Advance procurement / LLTM</t>
        </is>
      </c>
      <c r="K192" s="13" t="inlineStr">
        <is>
          <t>USN</t>
        </is>
      </c>
      <c r="L192" s="7" t="inlineStr">
        <is>
          <t>Combatant Ships</t>
        </is>
      </c>
      <c r="M192" s="7" t="inlineStr">
        <is>
          <t>Submarines</t>
        </is>
      </c>
      <c r="N192" s="7" t="inlineStr">
        <is>
          <t>SSBN</t>
        </is>
      </c>
      <c r="O192" s="15" t="n"/>
      <c r="S192" s="16" t="n">
        <v>0</v>
      </c>
      <c r="U192" s="16" t="n">
        <v>0</v>
      </c>
      <c r="AC192" s="23">
        <f>IF(OR(E192="",E192="[PARENT]"),"ADD",IF(E192="[ALT_VIEW]","ALT",""))</f>
        <v/>
      </c>
      <c r="AD192" s="21">
        <f>IF(Y192&lt;&gt;"",Y192,IF(U192&lt;&gt;"",U192,S192))</f>
        <v/>
      </c>
      <c r="AE192" s="21">
        <f>IF(AB192&lt;&gt;"",AB192,Z192)</f>
        <v/>
      </c>
      <c r="AF192" s="13" t="inlineStr">
        <is>
          <t>P-10 &gt; COLUMBIA Class Submarine &gt; BASIC CONSTRUCTION (5) - ADVANCE CONSTRUCTION - SSBN 827</t>
        </is>
      </c>
      <c r="AG192" s="7" t="inlineStr">
        <is>
          <t>58</t>
        </is>
      </c>
      <c r="AH192" s="7" t="inlineStr">
        <is>
          <t>1045</t>
        </is>
      </c>
    </row>
    <row r="193" ht="10" customHeight="1">
      <c r="A193" s="7" t="inlineStr">
        <is>
          <t>SCN</t>
        </is>
      </c>
      <c r="B193" s="7" t="inlineStr">
        <is>
          <t>Procurement</t>
        </is>
      </c>
      <c r="D193" s="7" t="inlineStr">
        <is>
          <t>COLUMBIA Class Submarine - P-10 - BASIC CONSTRUCTION (5) - ADVANCE CONSTRUCTION - SSBN 828</t>
        </is>
      </c>
      <c r="E193" s="13" t="inlineStr">
        <is>
          <t>[SUB]</t>
        </is>
      </c>
      <c r="F193" s="7" t="inlineStr">
        <is>
          <t>1045 / COLUMBIA Class Submarine AP</t>
        </is>
      </c>
      <c r="I193" s="14" t="n">
        <v>1</v>
      </c>
      <c r="J193" s="7" t="inlineStr">
        <is>
          <t>Advance procurement / LLTM</t>
        </is>
      </c>
      <c r="K193" s="13" t="inlineStr">
        <is>
          <t>USN</t>
        </is>
      </c>
      <c r="L193" s="7" t="inlineStr">
        <is>
          <t>Combatant Ships</t>
        </is>
      </c>
      <c r="M193" s="7" t="inlineStr">
        <is>
          <t>Submarines</t>
        </is>
      </c>
      <c r="N193" s="7" t="inlineStr">
        <is>
          <t>SSBN</t>
        </is>
      </c>
      <c r="O193" s="15" t="n"/>
      <c r="P193" s="16" t="n">
        <v>91882</v>
      </c>
      <c r="Q193" s="16" t="n">
        <v>501264</v>
      </c>
      <c r="S193" s="16" t="n">
        <v>0</v>
      </c>
      <c r="U193" s="16" t="n">
        <v>0</v>
      </c>
      <c r="AC193" s="23">
        <f>IF(OR(E193="",E193="[PARENT]"),"ADD",IF(E193="[ALT_VIEW]","ALT",""))</f>
        <v/>
      </c>
      <c r="AD193" s="21">
        <f>IF(Y193&lt;&gt;"",Y193,IF(U193&lt;&gt;"",U193,S193))</f>
        <v/>
      </c>
      <c r="AE193" s="21">
        <f>IF(AB193&lt;&gt;"",AB193,Z193)</f>
        <v/>
      </c>
      <c r="AF193" s="13" t="inlineStr">
        <is>
          <t>P-10 &gt; COLUMBIA Class Submarine &gt; BASIC CONSTRUCTION (5) - ADVANCE CONSTRUCTION - SSBN 828</t>
        </is>
      </c>
      <c r="AG193" s="7" t="inlineStr">
        <is>
          <t>58</t>
        </is>
      </c>
      <c r="AH193" s="7" t="inlineStr">
        <is>
          <t>1045</t>
        </is>
      </c>
      <c r="AJ193" s="7" t="inlineStr">
        <is>
          <t>SSBN 828</t>
        </is>
      </c>
    </row>
    <row r="194" ht="10" customHeight="1">
      <c r="A194" s="7" t="inlineStr">
        <is>
          <t>SCN</t>
        </is>
      </c>
      <c r="B194" s="7" t="inlineStr">
        <is>
          <t>Procurement</t>
        </is>
      </c>
      <c r="D194" s="7" t="inlineStr">
        <is>
          <t>COLUMBIA Class Submarine - P-10 - BASIC CONSTRUCTION (5) - ADVANCE CONSTRUCTION - SSBN 829</t>
        </is>
      </c>
      <c r="E194" s="13" t="inlineStr">
        <is>
          <t>[SUB]</t>
        </is>
      </c>
      <c r="F194" s="7" t="inlineStr">
        <is>
          <t>1045 / COLUMBIA Class Submarine AP</t>
        </is>
      </c>
      <c r="I194" s="14" t="n">
        <v>1</v>
      </c>
      <c r="J194" s="7" t="inlineStr">
        <is>
          <t>Advance procurement / LLTM</t>
        </is>
      </c>
      <c r="K194" s="13" t="inlineStr">
        <is>
          <t>USN</t>
        </is>
      </c>
      <c r="L194" s="7" t="inlineStr">
        <is>
          <t>Combatant Ships</t>
        </is>
      </c>
      <c r="M194" s="7" t="inlineStr">
        <is>
          <t>Submarines</t>
        </is>
      </c>
      <c r="N194" s="7" t="inlineStr">
        <is>
          <t>SSBN</t>
        </is>
      </c>
      <c r="O194" s="15" t="n"/>
      <c r="P194" s="16" t="n">
        <v>32796</v>
      </c>
      <c r="Q194" s="16" t="n">
        <v>73909</v>
      </c>
      <c r="S194" s="16" t="n">
        <v>449046</v>
      </c>
      <c r="U194" s="16" t="n">
        <v>449046</v>
      </c>
      <c r="AC194" s="23">
        <f>IF(OR(E194="",E194="[PARENT]"),"ADD",IF(E194="[ALT_VIEW]","ALT",""))</f>
        <v/>
      </c>
      <c r="AD194" s="21">
        <f>IF(Y194&lt;&gt;"",Y194,IF(U194&lt;&gt;"",U194,S194))</f>
        <v/>
      </c>
      <c r="AE194" s="21">
        <f>IF(AB194&lt;&gt;"",AB194,Z194)</f>
        <v/>
      </c>
      <c r="AF194" s="13" t="inlineStr">
        <is>
          <t>P-10 &gt; COLUMBIA Class Submarine &gt; BASIC CONSTRUCTION (5) - ADVANCE CONSTRUCTION - SSBN 829</t>
        </is>
      </c>
      <c r="AG194" s="7" t="inlineStr">
        <is>
          <t>58</t>
        </is>
      </c>
      <c r="AH194" s="7" t="inlineStr">
        <is>
          <t>1045</t>
        </is>
      </c>
      <c r="AJ194" s="7" t="inlineStr">
        <is>
          <t>SSBN 829</t>
        </is>
      </c>
    </row>
    <row r="195" ht="10" customHeight="1">
      <c r="A195" s="7" t="inlineStr">
        <is>
          <t>SCN</t>
        </is>
      </c>
      <c r="B195" s="7" t="inlineStr">
        <is>
          <t>Procurement</t>
        </is>
      </c>
      <c r="D195" s="7" t="inlineStr">
        <is>
          <t>COLUMBIA Class Submarine - P-10 - BASIC CONSTRUCTION (5) - ADVANCE CONSTRUCTION - SSBN 830</t>
        </is>
      </c>
      <c r="E195" s="13" t="inlineStr">
        <is>
          <t>[SUB]</t>
        </is>
      </c>
      <c r="F195" s="7" t="inlineStr">
        <is>
          <t>1045 / COLUMBIA Class Submarine AP</t>
        </is>
      </c>
      <c r="I195" s="14" t="n">
        <v>1</v>
      </c>
      <c r="J195" s="7" t="inlineStr">
        <is>
          <t>Advance procurement / LLTM</t>
        </is>
      </c>
      <c r="K195" s="13" t="inlineStr">
        <is>
          <t>USN</t>
        </is>
      </c>
      <c r="L195" s="7" t="inlineStr">
        <is>
          <t>Combatant Ships</t>
        </is>
      </c>
      <c r="M195" s="7" t="inlineStr">
        <is>
          <t>Submarines</t>
        </is>
      </c>
      <c r="N195" s="7" t="inlineStr">
        <is>
          <t>SSBN</t>
        </is>
      </c>
      <c r="O195" s="15" t="n"/>
      <c r="Q195" s="16" t="n">
        <v>33554</v>
      </c>
      <c r="S195" s="16" t="n">
        <v>100394</v>
      </c>
      <c r="U195" s="16" t="n">
        <v>100394</v>
      </c>
      <c r="AC195" s="23">
        <f>IF(OR(E195="",E195="[PARENT]"),"ADD",IF(E195="[ALT_VIEW]","ALT",""))</f>
        <v/>
      </c>
      <c r="AD195" s="21">
        <f>IF(Y195&lt;&gt;"",Y195,IF(U195&lt;&gt;"",U195,S195))</f>
        <v/>
      </c>
      <c r="AE195" s="21">
        <f>IF(AB195&lt;&gt;"",AB195,Z195)</f>
        <v/>
      </c>
      <c r="AF195" s="13" t="inlineStr">
        <is>
          <t>P-10 &gt; COLUMBIA Class Submarine &gt; BASIC CONSTRUCTION (5) - ADVANCE CONSTRUCTION - SSBN 830</t>
        </is>
      </c>
      <c r="AG195" s="7" t="inlineStr">
        <is>
          <t>58</t>
        </is>
      </c>
      <c r="AH195" s="7" t="inlineStr">
        <is>
          <t>1045</t>
        </is>
      </c>
      <c r="AJ195" s="7" t="inlineStr">
        <is>
          <t>SSBN 830</t>
        </is>
      </c>
    </row>
    <row r="196" ht="10" customHeight="1">
      <c r="A196" s="7" t="inlineStr">
        <is>
          <t>SCN</t>
        </is>
      </c>
      <c r="B196" s="7" t="inlineStr">
        <is>
          <t>Procurement</t>
        </is>
      </c>
      <c r="D196" s="7" t="inlineStr">
        <is>
          <t>COLUMBIA Class Submarine - P-10 - BASIC CONSTRUCTION (5) - ADVANCE CONSTRUCTION - SSBN 831</t>
        </is>
      </c>
      <c r="E196" s="13" t="inlineStr">
        <is>
          <t>[SUB]</t>
        </is>
      </c>
      <c r="F196" s="7" t="inlineStr">
        <is>
          <t>1045 / COLUMBIA Class Submarine AP</t>
        </is>
      </c>
      <c r="I196" s="14" t="n">
        <v>1</v>
      </c>
      <c r="J196" s="7" t="inlineStr">
        <is>
          <t>Advance procurement / LLTM</t>
        </is>
      </c>
      <c r="K196" s="13" t="inlineStr">
        <is>
          <t>USN</t>
        </is>
      </c>
      <c r="L196" s="7" t="inlineStr">
        <is>
          <t>Combatant Ships</t>
        </is>
      </c>
      <c r="M196" s="7" t="inlineStr">
        <is>
          <t>Submarines</t>
        </is>
      </c>
      <c r="N196" s="7" t="inlineStr">
        <is>
          <t>SSBN</t>
        </is>
      </c>
      <c r="O196" s="15" t="n"/>
      <c r="S196" s="16" t="n">
        <v>34342</v>
      </c>
      <c r="U196" s="16" t="n">
        <v>34342</v>
      </c>
      <c r="AC196" s="23">
        <f>IF(OR(E196="",E196="[PARENT]"),"ADD",IF(E196="[ALT_VIEW]","ALT",""))</f>
        <v/>
      </c>
      <c r="AD196" s="21">
        <f>IF(Y196&lt;&gt;"",Y196,IF(U196&lt;&gt;"",U196,S196))</f>
        <v/>
      </c>
      <c r="AE196" s="21">
        <f>IF(AB196&lt;&gt;"",AB196,Z196)</f>
        <v/>
      </c>
      <c r="AF196" s="13" t="inlineStr">
        <is>
          <t>P-10 &gt; COLUMBIA Class Submarine &gt; BASIC CONSTRUCTION (5) - ADVANCE CONSTRUCTION - SSBN 831</t>
        </is>
      </c>
      <c r="AG196" s="7" t="inlineStr">
        <is>
          <t>58</t>
        </is>
      </c>
      <c r="AH196" s="7" t="inlineStr">
        <is>
          <t>1045</t>
        </is>
      </c>
      <c r="AJ196" s="7" t="inlineStr">
        <is>
          <t>SSBN 831</t>
        </is>
      </c>
    </row>
    <row r="197" ht="10" customHeight="1">
      <c r="A197" s="7" t="inlineStr">
        <is>
          <t>SCN</t>
        </is>
      </c>
      <c r="B197" s="7" t="inlineStr">
        <is>
          <t>Procurement</t>
        </is>
      </c>
      <c r="D197" s="7" t="inlineStr">
        <is>
          <t>COLUMBIA Class Submarine - P-10 - BASIC CONSTRUCTION (5) - ADVANCE CONSTRUCTION - SSBN 832</t>
        </is>
      </c>
      <c r="E197" s="13" t="inlineStr">
        <is>
          <t>[SUB]</t>
        </is>
      </c>
      <c r="F197" s="7" t="inlineStr">
        <is>
          <t>1045 / COLUMBIA Class Submarine AP</t>
        </is>
      </c>
      <c r="I197" s="14" t="n">
        <v>1</v>
      </c>
      <c r="J197" s="7" t="inlineStr">
        <is>
          <t>Advance procurement / LLTM</t>
        </is>
      </c>
      <c r="K197" s="13" t="inlineStr">
        <is>
          <t>USN</t>
        </is>
      </c>
      <c r="L197" s="7" t="inlineStr">
        <is>
          <t>Combatant Ships</t>
        </is>
      </c>
      <c r="M197" s="7" t="inlineStr">
        <is>
          <t>Submarines</t>
        </is>
      </c>
      <c r="N197" s="7" t="inlineStr">
        <is>
          <t>SSBN</t>
        </is>
      </c>
      <c r="O197" s="15" t="n"/>
      <c r="S197" s="16" t="n">
        <v>0</v>
      </c>
      <c r="U197" s="16" t="n">
        <v>0</v>
      </c>
      <c r="AC197" s="23">
        <f>IF(OR(E197="",E197="[PARENT]"),"ADD",IF(E197="[ALT_VIEW]","ALT",""))</f>
        <v/>
      </c>
      <c r="AD197" s="21">
        <f>IF(Y197&lt;&gt;"",Y197,IF(U197&lt;&gt;"",U197,S197))</f>
        <v/>
      </c>
      <c r="AE197" s="21">
        <f>IF(AB197&lt;&gt;"",AB197,Z197)</f>
        <v/>
      </c>
      <c r="AF197" s="13" t="inlineStr">
        <is>
          <t>P-10 &gt; COLUMBIA Class Submarine &gt; BASIC CONSTRUCTION (5) - ADVANCE CONSTRUCTION - SSBN 832</t>
        </is>
      </c>
      <c r="AG197" s="7" t="inlineStr">
        <is>
          <t>58</t>
        </is>
      </c>
      <c r="AH197" s="7" t="inlineStr">
        <is>
          <t>1045</t>
        </is>
      </c>
    </row>
    <row r="198" ht="10" customHeight="1">
      <c r="A198" s="7" t="inlineStr">
        <is>
          <t>SCN</t>
        </is>
      </c>
      <c r="B198" s="7" t="inlineStr">
        <is>
          <t>Procurement</t>
        </is>
      </c>
      <c r="D198" s="7" t="inlineStr">
        <is>
          <t>COLUMBIA Class Submarine - P-10 - BASIC CONSTRUCTION (5) - ADVANCE CONSTRUCTION - SSBN 833</t>
        </is>
      </c>
      <c r="E198" s="13" t="inlineStr">
        <is>
          <t>[SUB]</t>
        </is>
      </c>
      <c r="F198" s="7" t="inlineStr">
        <is>
          <t>1045 / COLUMBIA Class Submarine AP</t>
        </is>
      </c>
      <c r="I198" s="14" t="n">
        <v>1</v>
      </c>
      <c r="J198" s="7" t="inlineStr">
        <is>
          <t>Advance procurement / LLTM</t>
        </is>
      </c>
      <c r="K198" s="13" t="inlineStr">
        <is>
          <t>USN</t>
        </is>
      </c>
      <c r="L198" s="7" t="inlineStr">
        <is>
          <t>Combatant Ships</t>
        </is>
      </c>
      <c r="M198" s="7" t="inlineStr">
        <is>
          <t>Submarines</t>
        </is>
      </c>
      <c r="N198" s="7" t="inlineStr">
        <is>
          <t>SSBN</t>
        </is>
      </c>
      <c r="O198" s="15" t="n"/>
      <c r="S198" s="16" t="n">
        <v>0</v>
      </c>
      <c r="U198" s="16" t="n">
        <v>0</v>
      </c>
      <c r="AC198" s="23">
        <f>IF(OR(E198="",E198="[PARENT]"),"ADD",IF(E198="[ALT_VIEW]","ALT",""))</f>
        <v/>
      </c>
      <c r="AD198" s="21">
        <f>IF(Y198&lt;&gt;"",Y198,IF(U198&lt;&gt;"",U198,S198))</f>
        <v/>
      </c>
      <c r="AE198" s="21">
        <f>IF(AB198&lt;&gt;"",AB198,Z198)</f>
        <v/>
      </c>
      <c r="AF198" s="13" t="inlineStr">
        <is>
          <t>P-10 &gt; COLUMBIA Class Submarine &gt; BASIC CONSTRUCTION (5) - ADVANCE CONSTRUCTION - SSBN 833</t>
        </is>
      </c>
      <c r="AG198" s="7" t="inlineStr">
        <is>
          <t>58</t>
        </is>
      </c>
      <c r="AH198" s="7" t="inlineStr">
        <is>
          <t>1045</t>
        </is>
      </c>
    </row>
    <row r="199" ht="10" customHeight="1">
      <c r="A199" s="7" t="inlineStr">
        <is>
          <t>SCN</t>
        </is>
      </c>
      <c r="B199" s="7" t="inlineStr">
        <is>
          <t>Procurement</t>
        </is>
      </c>
      <c r="D199" s="7" t="inlineStr">
        <is>
          <t>COLUMBIA Class Submarine - P-10 - BASIC CONSTRUCTION (5) - ADVANCE CONSTRUCTION - SSBN 834</t>
        </is>
      </c>
      <c r="E199" s="13" t="inlineStr">
        <is>
          <t>[SUB]</t>
        </is>
      </c>
      <c r="F199" s="7" t="inlineStr">
        <is>
          <t>1045 / COLUMBIA Class Submarine AP</t>
        </is>
      </c>
      <c r="I199" s="14" t="n">
        <v>1</v>
      </c>
      <c r="J199" s="7" t="inlineStr">
        <is>
          <t>Advance procurement / LLTM</t>
        </is>
      </c>
      <c r="K199" s="13" t="inlineStr">
        <is>
          <t>USN</t>
        </is>
      </c>
      <c r="L199" s="7" t="inlineStr">
        <is>
          <t>Combatant Ships</t>
        </is>
      </c>
      <c r="M199" s="7" t="inlineStr">
        <is>
          <t>Submarines</t>
        </is>
      </c>
      <c r="N199" s="7" t="inlineStr">
        <is>
          <t>SSBN</t>
        </is>
      </c>
      <c r="O199" s="15" t="n"/>
      <c r="S199" s="16" t="n">
        <v>0</v>
      </c>
      <c r="U199" s="16" t="n">
        <v>0</v>
      </c>
      <c r="AC199" s="23">
        <f>IF(OR(E199="",E199="[PARENT]"),"ADD",IF(E199="[ALT_VIEW]","ALT",""))</f>
        <v/>
      </c>
      <c r="AD199" s="21">
        <f>IF(Y199&lt;&gt;"",Y199,IF(U199&lt;&gt;"",U199,S199))</f>
        <v/>
      </c>
      <c r="AE199" s="21">
        <f>IF(AB199&lt;&gt;"",AB199,Z199)</f>
        <v/>
      </c>
      <c r="AF199" s="13" t="inlineStr">
        <is>
          <t>P-10 &gt; COLUMBIA Class Submarine &gt; BASIC CONSTRUCTION (5) - ADVANCE CONSTRUCTION - SSBN 834</t>
        </is>
      </c>
      <c r="AG199" s="7" t="inlineStr">
        <is>
          <t>58</t>
        </is>
      </c>
      <c r="AH199" s="7" t="inlineStr">
        <is>
          <t>1045</t>
        </is>
      </c>
    </row>
    <row r="200" ht="10" customHeight="1">
      <c r="A200" s="7" t="inlineStr">
        <is>
          <t>SCN</t>
        </is>
      </c>
      <c r="B200" s="7" t="inlineStr">
        <is>
          <t>Procurement</t>
        </is>
      </c>
      <c r="D200" s="7" t="inlineStr">
        <is>
          <t>COLUMBIA Class Submarine - P-10 - BASIC CONSTRUCTION (5) - ADVANCE CONSTRUCTION - SSBN 835</t>
        </is>
      </c>
      <c r="E200" s="13" t="inlineStr">
        <is>
          <t>[SUB]</t>
        </is>
      </c>
      <c r="F200" s="7" t="inlineStr">
        <is>
          <t>1045 / COLUMBIA Class Submarine AP</t>
        </is>
      </c>
      <c r="I200" s="14" t="n">
        <v>1</v>
      </c>
      <c r="J200" s="7" t="inlineStr">
        <is>
          <t>Advance procurement / LLTM</t>
        </is>
      </c>
      <c r="K200" s="13" t="inlineStr">
        <is>
          <t>USN</t>
        </is>
      </c>
      <c r="L200" s="7" t="inlineStr">
        <is>
          <t>Combatant Ships</t>
        </is>
      </c>
      <c r="M200" s="7" t="inlineStr">
        <is>
          <t>Submarines</t>
        </is>
      </c>
      <c r="N200" s="7" t="inlineStr">
        <is>
          <t>SSBN</t>
        </is>
      </c>
      <c r="O200" s="15" t="n"/>
      <c r="S200" s="16" t="n">
        <v>0</v>
      </c>
      <c r="U200" s="16" t="n">
        <v>0</v>
      </c>
      <c r="AC200" s="23">
        <f>IF(OR(E200="",E200="[PARENT]"),"ADD",IF(E200="[ALT_VIEW]","ALT",""))</f>
        <v/>
      </c>
      <c r="AD200" s="21">
        <f>IF(Y200&lt;&gt;"",Y200,IF(U200&lt;&gt;"",U200,S200))</f>
        <v/>
      </c>
      <c r="AE200" s="21">
        <f>IF(AB200&lt;&gt;"",AB200,Z200)</f>
        <v/>
      </c>
      <c r="AF200" s="13" t="inlineStr">
        <is>
          <t>P-10 &gt; COLUMBIA Class Submarine &gt; BASIC CONSTRUCTION (5) - ADVANCE CONSTRUCTION - SSBN 835</t>
        </is>
      </c>
      <c r="AG200" s="7" t="inlineStr">
        <is>
          <t>58</t>
        </is>
      </c>
      <c r="AH200" s="7" t="inlineStr">
        <is>
          <t>1045</t>
        </is>
      </c>
    </row>
    <row r="201" ht="10" customHeight="1">
      <c r="A201" s="7" t="inlineStr">
        <is>
          <t>SCN</t>
        </is>
      </c>
      <c r="B201" s="7" t="inlineStr">
        <is>
          <t>Procurement</t>
        </is>
      </c>
      <c r="D201" s="7" t="inlineStr">
        <is>
          <t>COLUMBIA Class Submarine - P-10 - BASIC CONSTRUCTION (6) - EOQ IN SUPPORT OF MULTI-PROGRAM PROCUREMENT - SSBN 829</t>
        </is>
      </c>
      <c r="E201" s="13" t="inlineStr">
        <is>
          <t>[SUB]</t>
        </is>
      </c>
      <c r="F201" s="7" t="inlineStr">
        <is>
          <t>1045 / COLUMBIA Class Submarine AP</t>
        </is>
      </c>
      <c r="I201" s="14" t="n">
        <v>1</v>
      </c>
      <c r="J201" s="7" t="inlineStr">
        <is>
          <t>Advance procurement / LLTM</t>
        </is>
      </c>
      <c r="K201" s="13" t="inlineStr">
        <is>
          <t>USN</t>
        </is>
      </c>
      <c r="L201" s="7" t="inlineStr">
        <is>
          <t>Combatant Ships</t>
        </is>
      </c>
      <c r="M201" s="7" t="inlineStr">
        <is>
          <t>Submarines</t>
        </is>
      </c>
      <c r="N201" s="7" t="inlineStr">
        <is>
          <t>SSBN</t>
        </is>
      </c>
      <c r="O201" s="15" t="n"/>
      <c r="P201" s="16" t="n">
        <v>201588</v>
      </c>
      <c r="S201" s="16" t="n">
        <v>0</v>
      </c>
      <c r="U201" s="16" t="n">
        <v>0</v>
      </c>
      <c r="AC201" s="23">
        <f>IF(OR(E201="",E201="[PARENT]"),"ADD",IF(E201="[ALT_VIEW]","ALT",""))</f>
        <v/>
      </c>
      <c r="AD201" s="21">
        <f>IF(Y201&lt;&gt;"",Y201,IF(U201&lt;&gt;"",U201,S201))</f>
        <v/>
      </c>
      <c r="AE201" s="21">
        <f>IF(AB201&lt;&gt;"",AB201,Z201)</f>
        <v/>
      </c>
      <c r="AF201" s="13" t="inlineStr">
        <is>
          <t>P-10 &gt; COLUMBIA Class Submarine &gt; BASIC CONSTRUCTION (6) - EOQ IN SUPPORT OF MULTI-PROGRAM PROCUREMENT - SSBN 829</t>
        </is>
      </c>
      <c r="AG201" s="7" t="inlineStr">
        <is>
          <t>58</t>
        </is>
      </c>
      <c r="AH201" s="7" t="inlineStr">
        <is>
          <t>1045</t>
        </is>
      </c>
      <c r="AJ201" s="7" t="inlineStr">
        <is>
          <t>SSBN 829</t>
        </is>
      </c>
    </row>
    <row r="202" ht="10" customHeight="1">
      <c r="A202" s="7" t="inlineStr">
        <is>
          <t>SCN</t>
        </is>
      </c>
      <c r="B202" s="7" t="inlineStr">
        <is>
          <t>Procurement</t>
        </is>
      </c>
      <c r="D202" s="7" t="inlineStr">
        <is>
          <t>COLUMBIA Class Submarine - P-10 - BASIC CONSTRUCTION (6) - EOQ IN SUPPORT OF MULTI-PROGRAM PROCUREMENT - SSBN 830</t>
        </is>
      </c>
      <c r="E202" s="13" t="inlineStr">
        <is>
          <t>[SUB]</t>
        </is>
      </c>
      <c r="F202" s="7" t="inlineStr">
        <is>
          <t>1045 / COLUMBIA Class Submarine AP</t>
        </is>
      </c>
      <c r="I202" s="14" t="n">
        <v>1</v>
      </c>
      <c r="J202" s="7" t="inlineStr">
        <is>
          <t>Advance procurement / LLTM</t>
        </is>
      </c>
      <c r="K202" s="13" t="inlineStr">
        <is>
          <t>USN</t>
        </is>
      </c>
      <c r="L202" s="7" t="inlineStr">
        <is>
          <t>Combatant Ships</t>
        </is>
      </c>
      <c r="M202" s="7" t="inlineStr">
        <is>
          <t>Submarines</t>
        </is>
      </c>
      <c r="N202" s="7" t="inlineStr">
        <is>
          <t>SSBN</t>
        </is>
      </c>
      <c r="O202" s="15" t="n"/>
      <c r="P202" s="16" t="n">
        <v>201598</v>
      </c>
      <c r="Q202" s="16" t="n">
        <v>103412</v>
      </c>
      <c r="S202" s="16" t="n">
        <v>0</v>
      </c>
      <c r="U202" s="16" t="n">
        <v>0</v>
      </c>
      <c r="AC202" s="23">
        <f>IF(OR(E202="",E202="[PARENT]"),"ADD",IF(E202="[ALT_VIEW]","ALT",""))</f>
        <v/>
      </c>
      <c r="AD202" s="21">
        <f>IF(Y202&lt;&gt;"",Y202,IF(U202&lt;&gt;"",U202,S202))</f>
        <v/>
      </c>
      <c r="AE202" s="21">
        <f>IF(AB202&lt;&gt;"",AB202,Z202)</f>
        <v/>
      </c>
      <c r="AF202" s="13" t="inlineStr">
        <is>
          <t>P-10 &gt; COLUMBIA Class Submarine &gt; BASIC CONSTRUCTION (6) - EOQ IN SUPPORT OF MULTI-PROGRAM PROCUREMENT - SSBN 830</t>
        </is>
      </c>
      <c r="AG202" s="7" t="inlineStr">
        <is>
          <t>58</t>
        </is>
      </c>
      <c r="AH202" s="7" t="inlineStr">
        <is>
          <t>1045</t>
        </is>
      </c>
      <c r="AJ202" s="7" t="inlineStr">
        <is>
          <t>SSBN 830</t>
        </is>
      </c>
    </row>
    <row r="203" ht="10" customHeight="1">
      <c r="A203" s="7" t="inlineStr">
        <is>
          <t>SCN</t>
        </is>
      </c>
      <c r="B203" s="7" t="inlineStr">
        <is>
          <t>Procurement</t>
        </is>
      </c>
      <c r="D203" s="7" t="inlineStr">
        <is>
          <t>COLUMBIA Class Submarine - P-10 - BASIC CONSTRUCTION (6) - EOQ IN SUPPORT OF MULTI-PROGRAM PROCUREMENT - SSBN 831</t>
        </is>
      </c>
      <c r="E203" s="13" t="inlineStr">
        <is>
          <t>[SUB]</t>
        </is>
      </c>
      <c r="F203" s="7" t="inlineStr">
        <is>
          <t>1045 / COLUMBIA Class Submarine AP</t>
        </is>
      </c>
      <c r="I203" s="14" t="n">
        <v>1</v>
      </c>
      <c r="J203" s="7" t="inlineStr">
        <is>
          <t>Advance procurement / LLTM</t>
        </is>
      </c>
      <c r="K203" s="13" t="inlineStr">
        <is>
          <t>USN</t>
        </is>
      </c>
      <c r="L203" s="7" t="inlineStr">
        <is>
          <t>Combatant Ships</t>
        </is>
      </c>
      <c r="M203" s="7" t="inlineStr">
        <is>
          <t>Submarines</t>
        </is>
      </c>
      <c r="N203" s="7" t="inlineStr">
        <is>
          <t>SSBN</t>
        </is>
      </c>
      <c r="O203" s="15" t="n"/>
      <c r="P203" s="16" t="n">
        <v>100851</v>
      </c>
      <c r="Q203" s="16" t="n">
        <v>111918</v>
      </c>
      <c r="S203" s="16" t="n">
        <v>104926</v>
      </c>
      <c r="U203" s="16" t="n">
        <v>104926</v>
      </c>
      <c r="AC203" s="23">
        <f>IF(OR(E203="",E203="[PARENT]"),"ADD",IF(E203="[ALT_VIEW]","ALT",""))</f>
        <v/>
      </c>
      <c r="AD203" s="21">
        <f>IF(Y203&lt;&gt;"",Y203,IF(U203&lt;&gt;"",U203,S203))</f>
        <v/>
      </c>
      <c r="AE203" s="21">
        <f>IF(AB203&lt;&gt;"",AB203,Z203)</f>
        <v/>
      </c>
      <c r="AF203" s="13" t="inlineStr">
        <is>
          <t>P-10 &gt; COLUMBIA Class Submarine &gt; BASIC CONSTRUCTION (6) - EOQ IN SUPPORT OF MULTI-PROGRAM PROCUREMENT - SSBN 831</t>
        </is>
      </c>
      <c r="AG203" s="7" t="inlineStr">
        <is>
          <t>58</t>
        </is>
      </c>
      <c r="AH203" s="7" t="inlineStr">
        <is>
          <t>1045</t>
        </is>
      </c>
      <c r="AJ203" s="7" t="inlineStr">
        <is>
          <t>SSBN 831</t>
        </is>
      </c>
    </row>
    <row r="204" ht="10" customHeight="1">
      <c r="A204" s="7" t="inlineStr">
        <is>
          <t>SCN</t>
        </is>
      </c>
      <c r="B204" s="7" t="inlineStr">
        <is>
          <t>Procurement</t>
        </is>
      </c>
      <c r="D204" s="7" t="inlineStr">
        <is>
          <t>COLUMBIA Class Submarine - P-10 - BASIC CONSTRUCTION (6) - EOQ IN SUPPORT OF MULTI-PROGRAM PROCUREMENT - SSBN 832</t>
        </is>
      </c>
      <c r="E204" s="13" t="inlineStr">
        <is>
          <t>[SUB]</t>
        </is>
      </c>
      <c r="F204" s="7" t="inlineStr">
        <is>
          <t>1045 / COLUMBIA Class Submarine AP</t>
        </is>
      </c>
      <c r="I204" s="14" t="n">
        <v>1</v>
      </c>
      <c r="J204" s="7" t="inlineStr">
        <is>
          <t>Advance procurement / LLTM</t>
        </is>
      </c>
      <c r="K204" s="13" t="inlineStr">
        <is>
          <t>USN</t>
        </is>
      </c>
      <c r="L204" s="7" t="inlineStr">
        <is>
          <t>Combatant Ships</t>
        </is>
      </c>
      <c r="M204" s="7" t="inlineStr">
        <is>
          <t>Submarines</t>
        </is>
      </c>
      <c r="N204" s="7" t="inlineStr">
        <is>
          <t>SSBN</t>
        </is>
      </c>
      <c r="O204" s="15" t="n"/>
      <c r="P204" s="16" t="n">
        <v>101023</v>
      </c>
      <c r="Q204" s="16" t="n">
        <v>102935</v>
      </c>
      <c r="S204" s="16" t="n">
        <v>104927</v>
      </c>
      <c r="U204" s="16" t="n">
        <v>104927</v>
      </c>
      <c r="AC204" s="23">
        <f>IF(OR(E204="",E204="[PARENT]"),"ADD",IF(E204="[ALT_VIEW]","ALT",""))</f>
        <v/>
      </c>
      <c r="AD204" s="21">
        <f>IF(Y204&lt;&gt;"",Y204,IF(U204&lt;&gt;"",U204,S204))</f>
        <v/>
      </c>
      <c r="AE204" s="21">
        <f>IF(AB204&lt;&gt;"",AB204,Z204)</f>
        <v/>
      </c>
      <c r="AF204" s="13" t="inlineStr">
        <is>
          <t>P-10 &gt; COLUMBIA Class Submarine &gt; BASIC CONSTRUCTION (6) - EOQ IN SUPPORT OF MULTI-PROGRAM PROCUREMENT - SSBN 832</t>
        </is>
      </c>
      <c r="AG204" s="7" t="inlineStr">
        <is>
          <t>58</t>
        </is>
      </c>
      <c r="AH204" s="7" t="inlineStr">
        <is>
          <t>1045</t>
        </is>
      </c>
      <c r="AJ204" s="7" t="inlineStr">
        <is>
          <t>SSBN 832</t>
        </is>
      </c>
    </row>
    <row r="205" ht="10" customHeight="1">
      <c r="A205" s="7" t="inlineStr">
        <is>
          <t>SCN</t>
        </is>
      </c>
      <c r="B205" s="7" t="inlineStr">
        <is>
          <t>Procurement</t>
        </is>
      </c>
      <c r="D205" s="7" t="inlineStr">
        <is>
          <t>COLUMBIA Class Submarine - P-10 - BASIC CONSTRUCTION (6) - EOQ IN SUPPORT OF MULTI-PROGRAM PROCUREMENT - SSBN 833</t>
        </is>
      </c>
      <c r="E205" s="13" t="inlineStr">
        <is>
          <t>[SUB]</t>
        </is>
      </c>
      <c r="F205" s="7" t="inlineStr">
        <is>
          <t>1045 / COLUMBIA Class Submarine AP</t>
        </is>
      </c>
      <c r="I205" s="14" t="n">
        <v>1</v>
      </c>
      <c r="J205" s="7" t="inlineStr">
        <is>
          <t>Advance procurement / LLTM</t>
        </is>
      </c>
      <c r="K205" s="13" t="inlineStr">
        <is>
          <t>USN</t>
        </is>
      </c>
      <c r="L205" s="7" t="inlineStr">
        <is>
          <t>Combatant Ships</t>
        </is>
      </c>
      <c r="M205" s="7" t="inlineStr">
        <is>
          <t>Submarines</t>
        </is>
      </c>
      <c r="N205" s="7" t="inlineStr">
        <is>
          <t>SSBN</t>
        </is>
      </c>
      <c r="O205" s="15" t="n"/>
      <c r="S205" s="16" t="n">
        <v>0</v>
      </c>
      <c r="U205" s="16" t="n">
        <v>0</v>
      </c>
      <c r="AC205" s="23">
        <f>IF(OR(E205="",E205="[PARENT]"),"ADD",IF(E205="[ALT_VIEW]","ALT",""))</f>
        <v/>
      </c>
      <c r="AD205" s="21">
        <f>IF(Y205&lt;&gt;"",Y205,IF(U205&lt;&gt;"",U205,S205))</f>
        <v/>
      </c>
      <c r="AE205" s="21">
        <f>IF(AB205&lt;&gt;"",AB205,Z205)</f>
        <v/>
      </c>
      <c r="AF205" s="13" t="inlineStr">
        <is>
          <t>P-10 &gt; COLUMBIA Class Submarine &gt; BASIC CONSTRUCTION (6) - EOQ IN SUPPORT OF MULTI-PROGRAM PROCUREMENT - SSBN 833</t>
        </is>
      </c>
      <c r="AG205" s="7" t="inlineStr">
        <is>
          <t>58</t>
        </is>
      </c>
      <c r="AH205" s="7" t="inlineStr">
        <is>
          <t>1045</t>
        </is>
      </c>
    </row>
    <row r="206" ht="10" customHeight="1">
      <c r="A206" s="7" t="inlineStr">
        <is>
          <t>SCN</t>
        </is>
      </c>
      <c r="B206" s="7" t="inlineStr">
        <is>
          <t>Procurement</t>
        </is>
      </c>
      <c r="D206" s="7" t="inlineStr">
        <is>
          <t>COLUMBIA Class Submarine - P-10 - BASIC CONSTRUCTION (6) - EOQ IN SUPPORT OF MULTI-PROGRAM PROCUREMENT - SSBN 834</t>
        </is>
      </c>
      <c r="E206" s="13" t="inlineStr">
        <is>
          <t>[SUB]</t>
        </is>
      </c>
      <c r="F206" s="7" t="inlineStr">
        <is>
          <t>1045 / COLUMBIA Class Submarine AP</t>
        </is>
      </c>
      <c r="I206" s="14" t="n">
        <v>1</v>
      </c>
      <c r="J206" s="7" t="inlineStr">
        <is>
          <t>Advance procurement / LLTM</t>
        </is>
      </c>
      <c r="K206" s="13" t="inlineStr">
        <is>
          <t>USN</t>
        </is>
      </c>
      <c r="L206" s="7" t="inlineStr">
        <is>
          <t>Combatant Ships</t>
        </is>
      </c>
      <c r="M206" s="7" t="inlineStr">
        <is>
          <t>Submarines</t>
        </is>
      </c>
      <c r="N206" s="7" t="inlineStr">
        <is>
          <t>SSBN</t>
        </is>
      </c>
      <c r="O206" s="15" t="n"/>
      <c r="S206" s="16" t="n">
        <v>0</v>
      </c>
      <c r="U206" s="16" t="n">
        <v>0</v>
      </c>
      <c r="AC206" s="23">
        <f>IF(OR(E206="",E206="[PARENT]"),"ADD",IF(E206="[ALT_VIEW]","ALT",""))</f>
        <v/>
      </c>
      <c r="AD206" s="21">
        <f>IF(Y206&lt;&gt;"",Y206,IF(U206&lt;&gt;"",U206,S206))</f>
        <v/>
      </c>
      <c r="AE206" s="21">
        <f>IF(AB206&lt;&gt;"",AB206,Z206)</f>
        <v/>
      </c>
      <c r="AF206" s="13" t="inlineStr">
        <is>
          <t>P-10 &gt; COLUMBIA Class Submarine &gt; BASIC CONSTRUCTION (6) - EOQ IN SUPPORT OF MULTI-PROGRAM PROCUREMENT - SSBN 834</t>
        </is>
      </c>
      <c r="AG206" s="7" t="inlineStr">
        <is>
          <t>58</t>
        </is>
      </c>
      <c r="AH206" s="7" t="inlineStr">
        <is>
          <t>1045</t>
        </is>
      </c>
    </row>
    <row r="207" ht="10" customHeight="1">
      <c r="A207" s="7" t="inlineStr">
        <is>
          <t>SCN</t>
        </is>
      </c>
      <c r="B207" s="7" t="inlineStr">
        <is>
          <t>Procurement</t>
        </is>
      </c>
      <c r="D207" s="7" t="inlineStr">
        <is>
          <t>COLUMBIA Class Submarine - P-10 - BASIC CONSTRUCTION (6) - EOQ IN SUPPORT OF MULTI-PROGRAM PROCUREMENT - SSBN 835</t>
        </is>
      </c>
      <c r="E207" s="13" t="inlineStr">
        <is>
          <t>[SUB]</t>
        </is>
      </c>
      <c r="F207" s="7" t="inlineStr">
        <is>
          <t>1045 / COLUMBIA Class Submarine AP</t>
        </is>
      </c>
      <c r="I207" s="14" t="n">
        <v>1</v>
      </c>
      <c r="J207" s="7" t="inlineStr">
        <is>
          <t>Advance procurement / LLTM</t>
        </is>
      </c>
      <c r="K207" s="13" t="inlineStr">
        <is>
          <t>USN</t>
        </is>
      </c>
      <c r="L207" s="7" t="inlineStr">
        <is>
          <t>Combatant Ships</t>
        </is>
      </c>
      <c r="M207" s="7" t="inlineStr">
        <is>
          <t>Submarines</t>
        </is>
      </c>
      <c r="N207" s="7" t="inlineStr">
        <is>
          <t>SSBN</t>
        </is>
      </c>
      <c r="O207" s="15" t="n"/>
      <c r="S207" s="16" t="n">
        <v>0</v>
      </c>
      <c r="U207" s="16" t="n">
        <v>0</v>
      </c>
      <c r="AC207" s="23">
        <f>IF(OR(E207="",E207="[PARENT]"),"ADD",IF(E207="[ALT_VIEW]","ALT",""))</f>
        <v/>
      </c>
      <c r="AD207" s="21">
        <f>IF(Y207&lt;&gt;"",Y207,IF(U207&lt;&gt;"",U207,S207))</f>
        <v/>
      </c>
      <c r="AE207" s="21">
        <f>IF(AB207&lt;&gt;"",AB207,Z207)</f>
        <v/>
      </c>
      <c r="AF207" s="13" t="inlineStr">
        <is>
          <t>P-10 &gt; COLUMBIA Class Submarine &gt; BASIC CONSTRUCTION (6) - EOQ IN SUPPORT OF MULTI-PROGRAM PROCUREMENT - SSBN 835</t>
        </is>
      </c>
      <c r="AG207" s="7" t="inlineStr">
        <is>
          <t>58</t>
        </is>
      </c>
      <c r="AH207" s="7" t="inlineStr">
        <is>
          <t>1045</t>
        </is>
      </c>
    </row>
    <row r="208" ht="10" customHeight="1">
      <c r="A208" s="7" t="inlineStr">
        <is>
          <t>SCN</t>
        </is>
      </c>
      <c r="B208" s="7" t="inlineStr">
        <is>
          <t>Procurement</t>
        </is>
      </c>
      <c r="D208" s="7" t="inlineStr">
        <is>
          <t>COLUMBIA Class Submarine - P-10 - BASIC CONSTRUCTION (6) - EOQ IN SUPPORT OF MULTI-PROGRAM PROCUREMENT - SSBN 836</t>
        </is>
      </c>
      <c r="E208" s="13" t="inlineStr">
        <is>
          <t>[SUB]</t>
        </is>
      </c>
      <c r="F208" s="7" t="inlineStr">
        <is>
          <t>1045 / COLUMBIA Class Submarine AP</t>
        </is>
      </c>
      <c r="I208" s="14" t="n">
        <v>1</v>
      </c>
      <c r="J208" s="7" t="inlineStr">
        <is>
          <t>Advance procurement / LLTM</t>
        </is>
      </c>
      <c r="K208" s="13" t="inlineStr">
        <is>
          <t>USN</t>
        </is>
      </c>
      <c r="L208" s="7" t="inlineStr">
        <is>
          <t>Combatant Ships</t>
        </is>
      </c>
      <c r="M208" s="7" t="inlineStr">
        <is>
          <t>Submarines</t>
        </is>
      </c>
      <c r="N208" s="7" t="inlineStr">
        <is>
          <t>SSBN</t>
        </is>
      </c>
      <c r="O208" s="15" t="n"/>
      <c r="S208" s="16" t="n">
        <v>0</v>
      </c>
      <c r="U208" s="16" t="n">
        <v>0</v>
      </c>
      <c r="AC208" s="23">
        <f>IF(OR(E208="",E208="[PARENT]"),"ADD",IF(E208="[ALT_VIEW]","ALT",""))</f>
        <v/>
      </c>
      <c r="AD208" s="21">
        <f>IF(Y208&lt;&gt;"",Y208,IF(U208&lt;&gt;"",U208,S208))</f>
        <v/>
      </c>
      <c r="AE208" s="21">
        <f>IF(AB208&lt;&gt;"",AB208,Z208)</f>
        <v/>
      </c>
      <c r="AF208" s="13" t="inlineStr">
        <is>
          <t>P-10 &gt; COLUMBIA Class Submarine &gt; BASIC CONSTRUCTION (6) - EOQ IN SUPPORT OF MULTI-PROGRAM PROCUREMENT - SSBN 836</t>
        </is>
      </c>
      <c r="AG208" s="7" t="inlineStr">
        <is>
          <t>58</t>
        </is>
      </c>
      <c r="AH208" s="7" t="inlineStr">
        <is>
          <t>1045</t>
        </is>
      </c>
    </row>
    <row r="209" ht="10" customHeight="1">
      <c r="A209" s="7" t="inlineStr">
        <is>
          <t>SCN</t>
        </is>
      </c>
      <c r="B209" s="7" t="inlineStr">
        <is>
          <t>Procurement</t>
        </is>
      </c>
      <c r="D209" s="7" t="inlineStr">
        <is>
          <t>COLUMBIA Class Submarine - P-10 - BASIC CONSTRUCTION (6) - EOQ IN SUPPORT OF MULTI-PROGRAM PROCUREMENT - SSBN 837 - Production Backup Units</t>
        </is>
      </c>
      <c r="E209" s="13" t="inlineStr">
        <is>
          <t>[SUB]</t>
        </is>
      </c>
      <c r="F209" s="7" t="inlineStr">
        <is>
          <t>1045 / COLUMBIA Class Submarine AP</t>
        </is>
      </c>
      <c r="I209" s="14" t="n">
        <v>1</v>
      </c>
      <c r="J209" s="7" t="inlineStr">
        <is>
          <t>Advance procurement / LLTM</t>
        </is>
      </c>
      <c r="K209" s="13" t="inlineStr">
        <is>
          <t>USN</t>
        </is>
      </c>
      <c r="L209" s="7" t="inlineStr">
        <is>
          <t>Combatant Ships</t>
        </is>
      </c>
      <c r="M209" s="7" t="inlineStr">
        <is>
          <t>Submarines</t>
        </is>
      </c>
      <c r="N209" s="7" t="inlineStr">
        <is>
          <t>SSBN</t>
        </is>
      </c>
      <c r="O209" s="15" t="n"/>
      <c r="P209" s="16" t="n">
        <v>164568</v>
      </c>
      <c r="Q209" s="16" t="n">
        <v>171001</v>
      </c>
      <c r="S209" s="16" t="n">
        <v>166792</v>
      </c>
      <c r="U209" s="16" t="n">
        <v>166792</v>
      </c>
      <c r="AC209" s="23">
        <f>IF(OR(E209="",E209="[PARENT]"),"ADD",IF(E209="[ALT_VIEW]","ALT",""))</f>
        <v/>
      </c>
      <c r="AD209" s="21">
        <f>IF(Y209&lt;&gt;"",Y209,IF(U209&lt;&gt;"",U209,S209))</f>
        <v/>
      </c>
      <c r="AE209" s="21">
        <f>IF(AB209&lt;&gt;"",AB209,Z209)</f>
        <v/>
      </c>
      <c r="AF209" s="13" t="inlineStr">
        <is>
          <t>P-10 &gt; COLUMBIA Class Submarine &gt; BASIC CONSTRUCTION (6) - EOQ IN SUPPORT OF MULTI-PROGRAM PROCUREMENT - SSBN 837 - Production Backup Units</t>
        </is>
      </c>
      <c r="AG209" s="7" t="inlineStr">
        <is>
          <t>58</t>
        </is>
      </c>
      <c r="AH209" s="7" t="inlineStr">
        <is>
          <t>1045</t>
        </is>
      </c>
      <c r="AJ209" s="7" t="inlineStr">
        <is>
          <t>SSBN 837 - Production Backup Units</t>
        </is>
      </c>
    </row>
    <row r="210" ht="10" customHeight="1">
      <c r="A210" s="7" t="inlineStr">
        <is>
          <t>SCN</t>
        </is>
      </c>
      <c r="B210" s="7" t="inlineStr">
        <is>
          <t>Procurement</t>
        </is>
      </c>
      <c r="D210" s="7" t="inlineStr">
        <is>
          <t>COLUMBIA Class Submarine - P-10 - SSBN 827</t>
        </is>
      </c>
      <c r="E210" s="13" t="inlineStr">
        <is>
          <t>[SUB]</t>
        </is>
      </c>
      <c r="F210" s="7" t="inlineStr">
        <is>
          <t>1045 / COLUMBIA Class Submarine AP</t>
        </is>
      </c>
      <c r="I210" s="14" t="n">
        <v>1</v>
      </c>
      <c r="J210" s="7" t="inlineStr">
        <is>
          <t>Advance procurement / LLTM</t>
        </is>
      </c>
      <c r="K210" s="13" t="inlineStr">
        <is>
          <t>USN</t>
        </is>
      </c>
      <c r="L210" s="7" t="inlineStr">
        <is>
          <t>Combatant Ships</t>
        </is>
      </c>
      <c r="M210" s="7" t="inlineStr">
        <is>
          <t>Submarines</t>
        </is>
      </c>
      <c r="N210" s="7" t="inlineStr">
        <is>
          <t>SSBN</t>
        </is>
      </c>
      <c r="O210" s="15" t="n"/>
      <c r="S210" s="16" t="n">
        <v>0</v>
      </c>
      <c r="U210" s="16" t="n">
        <v>0</v>
      </c>
      <c r="AC210" s="23">
        <f>IF(OR(E210="",E210="[PARENT]"),"ADD",IF(E210="[ALT_VIEW]","ALT",""))</f>
        <v/>
      </c>
      <c r="AD210" s="21">
        <f>IF(Y210&lt;&gt;"",Y210,IF(U210&lt;&gt;"",U210,S210))</f>
        <v/>
      </c>
      <c r="AE210" s="21">
        <f>IF(AB210&lt;&gt;"",AB210,Z210)</f>
        <v/>
      </c>
      <c r="AF210" s="13" t="inlineStr">
        <is>
          <t>P-10 &gt; COLUMBIA Class Submarine &gt; SSBN 827</t>
        </is>
      </c>
      <c r="AG210" s="7" t="inlineStr">
        <is>
          <t>59</t>
        </is>
      </c>
      <c r="AH210" s="7" t="inlineStr">
        <is>
          <t>1045</t>
        </is>
      </c>
    </row>
    <row r="211" ht="10" customHeight="1">
      <c r="A211" s="7" t="inlineStr">
        <is>
          <t>SCN</t>
        </is>
      </c>
      <c r="B211" s="7" t="inlineStr">
        <is>
          <t>Procurement</t>
        </is>
      </c>
      <c r="D211" s="7" t="inlineStr">
        <is>
          <t>COLUMBIA Class Submarine - P-10 - SSBN 828</t>
        </is>
      </c>
      <c r="E211" s="13" t="inlineStr">
        <is>
          <t>[SUB]</t>
        </is>
      </c>
      <c r="F211" s="7" t="inlineStr">
        <is>
          <t>1045 / COLUMBIA Class Submarine AP</t>
        </is>
      </c>
      <c r="I211" s="14" t="n">
        <v>1</v>
      </c>
      <c r="J211" s="7" t="inlineStr">
        <is>
          <t>Advance procurement / LLTM</t>
        </is>
      </c>
      <c r="K211" s="13" t="inlineStr">
        <is>
          <t>USN</t>
        </is>
      </c>
      <c r="L211" s="7" t="inlineStr">
        <is>
          <t>Combatant Ships</t>
        </is>
      </c>
      <c r="M211" s="7" t="inlineStr">
        <is>
          <t>Submarines</t>
        </is>
      </c>
      <c r="N211" s="7" t="inlineStr">
        <is>
          <t>SSBN</t>
        </is>
      </c>
      <c r="O211" s="15" t="n"/>
      <c r="P211" s="16" t="n">
        <v>16268</v>
      </c>
      <c r="Q211" s="16" t="n">
        <v>15299</v>
      </c>
      <c r="S211" s="16" t="n">
        <v>0</v>
      </c>
      <c r="U211" s="16" t="n">
        <v>0</v>
      </c>
      <c r="AC211" s="23">
        <f>IF(OR(E211="",E211="[PARENT]"),"ADD",IF(E211="[ALT_VIEW]","ALT",""))</f>
        <v/>
      </c>
      <c r="AD211" s="21">
        <f>IF(Y211&lt;&gt;"",Y211,IF(U211&lt;&gt;"",U211,S211))</f>
        <v/>
      </c>
      <c r="AE211" s="21">
        <f>IF(AB211&lt;&gt;"",AB211,Z211)</f>
        <v/>
      </c>
      <c r="AF211" s="13" t="inlineStr">
        <is>
          <t>P-10 &gt; COLUMBIA Class Submarine &gt; SSBN 828</t>
        </is>
      </c>
      <c r="AG211" s="7" t="inlineStr">
        <is>
          <t>59</t>
        </is>
      </c>
      <c r="AH211" s="7" t="inlineStr">
        <is>
          <t>1045</t>
        </is>
      </c>
      <c r="AJ211" s="7" t="inlineStr">
        <is>
          <t>SSBN 828</t>
        </is>
      </c>
    </row>
    <row r="212" ht="10" customHeight="1">
      <c r="A212" s="7" t="inlineStr">
        <is>
          <t>SCN</t>
        </is>
      </c>
      <c r="B212" s="7" t="inlineStr">
        <is>
          <t>Procurement</t>
        </is>
      </c>
      <c r="D212" s="7" t="inlineStr">
        <is>
          <t>COLUMBIA Class Submarine - P-10 - SSBN 829</t>
        </is>
      </c>
      <c r="E212" s="13" t="inlineStr">
        <is>
          <t>[SUB]</t>
        </is>
      </c>
      <c r="F212" s="7" t="inlineStr">
        <is>
          <t>1045 / COLUMBIA Class Submarine AP</t>
        </is>
      </c>
      <c r="I212" s="14" t="n">
        <v>1</v>
      </c>
      <c r="J212" s="7" t="inlineStr">
        <is>
          <t>Advance procurement / LLTM</t>
        </is>
      </c>
      <c r="K212" s="13" t="inlineStr">
        <is>
          <t>USN</t>
        </is>
      </c>
      <c r="L212" s="7" t="inlineStr">
        <is>
          <t>Combatant Ships</t>
        </is>
      </c>
      <c r="M212" s="7" t="inlineStr">
        <is>
          <t>Submarines</t>
        </is>
      </c>
      <c r="N212" s="7" t="inlineStr">
        <is>
          <t>SSBN</t>
        </is>
      </c>
      <c r="O212" s="15" t="n"/>
      <c r="P212" s="16" t="n">
        <v>5789</v>
      </c>
      <c r="Q212" s="16" t="n">
        <v>11660</v>
      </c>
      <c r="S212" s="16" t="n">
        <v>14476</v>
      </c>
      <c r="U212" s="16" t="n">
        <v>14476</v>
      </c>
      <c r="AC212" s="23">
        <f>IF(OR(E212="",E212="[PARENT]"),"ADD",IF(E212="[ALT_VIEW]","ALT",""))</f>
        <v/>
      </c>
      <c r="AD212" s="21">
        <f>IF(Y212&lt;&gt;"",Y212,IF(U212&lt;&gt;"",U212,S212))</f>
        <v/>
      </c>
      <c r="AE212" s="21">
        <f>IF(AB212&lt;&gt;"",AB212,Z212)</f>
        <v/>
      </c>
      <c r="AF212" s="13" t="inlineStr">
        <is>
          <t>P-10 &gt; COLUMBIA Class Submarine &gt; SSBN 829</t>
        </is>
      </c>
      <c r="AG212" s="7" t="inlineStr">
        <is>
          <t>59</t>
        </is>
      </c>
      <c r="AH212" s="7" t="inlineStr">
        <is>
          <t>1045</t>
        </is>
      </c>
      <c r="AJ212" s="7" t="inlineStr">
        <is>
          <t>SSBN 829</t>
        </is>
      </c>
    </row>
    <row r="213" ht="10" customHeight="1">
      <c r="A213" s="7" t="inlineStr">
        <is>
          <t>SCN</t>
        </is>
      </c>
      <c r="B213" s="7" t="inlineStr">
        <is>
          <t>Procurement</t>
        </is>
      </c>
      <c r="D213" s="7" t="inlineStr">
        <is>
          <t>COLUMBIA Class Submarine - P-10 - SSBN 830</t>
        </is>
      </c>
      <c r="E213" s="13" t="inlineStr">
        <is>
          <t>[SUB]</t>
        </is>
      </c>
      <c r="F213" s="7" t="inlineStr">
        <is>
          <t>1045 / COLUMBIA Class Submarine AP</t>
        </is>
      </c>
      <c r="I213" s="14" t="n">
        <v>1</v>
      </c>
      <c r="J213" s="7" t="inlineStr">
        <is>
          <t>Advance procurement / LLTM</t>
        </is>
      </c>
      <c r="K213" s="13" t="inlineStr">
        <is>
          <t>USN</t>
        </is>
      </c>
      <c r="L213" s="7" t="inlineStr">
        <is>
          <t>Combatant Ships</t>
        </is>
      </c>
      <c r="M213" s="7" t="inlineStr">
        <is>
          <t>Submarines</t>
        </is>
      </c>
      <c r="N213" s="7" t="inlineStr">
        <is>
          <t>SSBN</t>
        </is>
      </c>
      <c r="O213" s="15" t="n"/>
      <c r="P213" s="16" t="n">
        <v>4000</v>
      </c>
      <c r="Q213" s="16" t="n">
        <v>7531</v>
      </c>
      <c r="S213" s="16" t="n">
        <v>11057</v>
      </c>
      <c r="U213" s="16" t="n">
        <v>11057</v>
      </c>
      <c r="AC213" s="23">
        <f>IF(OR(E213="",E213="[PARENT]"),"ADD",IF(E213="[ALT_VIEW]","ALT",""))</f>
        <v/>
      </c>
      <c r="AD213" s="21">
        <f>IF(Y213&lt;&gt;"",Y213,IF(U213&lt;&gt;"",U213,S213))</f>
        <v/>
      </c>
      <c r="AE213" s="21">
        <f>IF(AB213&lt;&gt;"",AB213,Z213)</f>
        <v/>
      </c>
      <c r="AF213" s="13" t="inlineStr">
        <is>
          <t>P-10 &gt; COLUMBIA Class Submarine &gt; SSBN 830</t>
        </is>
      </c>
      <c r="AG213" s="7" t="inlineStr">
        <is>
          <t>59</t>
        </is>
      </c>
      <c r="AH213" s="7" t="inlineStr">
        <is>
          <t>1045</t>
        </is>
      </c>
      <c r="AJ213" s="7" t="inlineStr">
        <is>
          <t>SSBN 830</t>
        </is>
      </c>
    </row>
    <row r="214" ht="10" customHeight="1">
      <c r="A214" s="7" t="inlineStr">
        <is>
          <t>SCN</t>
        </is>
      </c>
      <c r="B214" s="7" t="inlineStr">
        <is>
          <t>Procurement</t>
        </is>
      </c>
      <c r="D214" s="7" t="inlineStr">
        <is>
          <t>COLUMBIA Class Submarine - P-10 - SSBN 831</t>
        </is>
      </c>
      <c r="E214" s="13" t="inlineStr">
        <is>
          <t>[SUB]</t>
        </is>
      </c>
      <c r="F214" s="7" t="inlineStr">
        <is>
          <t>1045 / COLUMBIA Class Submarine AP</t>
        </is>
      </c>
      <c r="I214" s="14" t="n">
        <v>1</v>
      </c>
      <c r="J214" s="7" t="inlineStr">
        <is>
          <t>Advance procurement / LLTM</t>
        </is>
      </c>
      <c r="K214" s="13" t="inlineStr">
        <is>
          <t>USN</t>
        </is>
      </c>
      <c r="L214" s="7" t="inlineStr">
        <is>
          <t>Combatant Ships</t>
        </is>
      </c>
      <c r="M214" s="7" t="inlineStr">
        <is>
          <t>Submarines</t>
        </is>
      </c>
      <c r="N214" s="7" t="inlineStr">
        <is>
          <t>SSBN</t>
        </is>
      </c>
      <c r="O214" s="15" t="n"/>
      <c r="P214" s="16" t="n">
        <v>4610</v>
      </c>
      <c r="Q214" s="16" t="n">
        <v>4683</v>
      </c>
      <c r="S214" s="16" t="n">
        <v>7968</v>
      </c>
      <c r="U214" s="16" t="n">
        <v>7968</v>
      </c>
      <c r="AC214" s="23">
        <f>IF(OR(E214="",E214="[PARENT]"),"ADD",IF(E214="[ALT_VIEW]","ALT",""))</f>
        <v/>
      </c>
      <c r="AD214" s="21">
        <f>IF(Y214&lt;&gt;"",Y214,IF(U214&lt;&gt;"",U214,S214))</f>
        <v/>
      </c>
      <c r="AE214" s="21">
        <f>IF(AB214&lt;&gt;"",AB214,Z214)</f>
        <v/>
      </c>
      <c r="AF214" s="13" t="inlineStr">
        <is>
          <t>P-10 &gt; COLUMBIA Class Submarine &gt; SSBN 831</t>
        </is>
      </c>
      <c r="AG214" s="7" t="inlineStr">
        <is>
          <t>59</t>
        </is>
      </c>
      <c r="AH214" s="7" t="inlineStr">
        <is>
          <t>1045</t>
        </is>
      </c>
      <c r="AJ214" s="7" t="inlineStr">
        <is>
          <t>SSBN 831</t>
        </is>
      </c>
    </row>
    <row r="215" ht="10" customHeight="1">
      <c r="A215" s="7" t="inlineStr">
        <is>
          <t>SCN</t>
        </is>
      </c>
      <c r="B215" s="7" t="inlineStr">
        <is>
          <t>Procurement</t>
        </is>
      </c>
      <c r="D215" s="7" t="inlineStr">
        <is>
          <t>COLUMBIA Class Submarine - P-10 - SSBN 832</t>
        </is>
      </c>
      <c r="E215" s="13" t="inlineStr">
        <is>
          <t>[SUB]</t>
        </is>
      </c>
      <c r="F215" s="7" t="inlineStr">
        <is>
          <t>1045 / COLUMBIA Class Submarine AP</t>
        </is>
      </c>
      <c r="I215" s="14" t="n">
        <v>1</v>
      </c>
      <c r="J215" s="7" t="inlineStr">
        <is>
          <t>Advance procurement / LLTM</t>
        </is>
      </c>
      <c r="K215" s="13" t="inlineStr">
        <is>
          <t>USN</t>
        </is>
      </c>
      <c r="L215" s="7" t="inlineStr">
        <is>
          <t>Combatant Ships</t>
        </is>
      </c>
      <c r="M215" s="7" t="inlineStr">
        <is>
          <t>Submarines</t>
        </is>
      </c>
      <c r="N215" s="7" t="inlineStr">
        <is>
          <t>SSBN</t>
        </is>
      </c>
      <c r="O215" s="15" t="n"/>
      <c r="Q215" s="16" t="n">
        <v>5420</v>
      </c>
      <c r="S215" s="16" t="n">
        <v>5737</v>
      </c>
      <c r="U215" s="16" t="n">
        <v>5737</v>
      </c>
      <c r="AC215" s="23">
        <f>IF(OR(E215="",E215="[PARENT]"),"ADD",IF(E215="[ALT_VIEW]","ALT",""))</f>
        <v/>
      </c>
      <c r="AD215" s="21">
        <f>IF(Y215&lt;&gt;"",Y215,IF(U215&lt;&gt;"",U215,S215))</f>
        <v/>
      </c>
      <c r="AE215" s="21">
        <f>IF(AB215&lt;&gt;"",AB215,Z215)</f>
        <v/>
      </c>
      <c r="AF215" s="13" t="inlineStr">
        <is>
          <t>P-10 &gt; COLUMBIA Class Submarine &gt; SSBN 832</t>
        </is>
      </c>
      <c r="AG215" s="7" t="inlineStr">
        <is>
          <t>59</t>
        </is>
      </c>
      <c r="AH215" s="7" t="inlineStr">
        <is>
          <t>1045</t>
        </is>
      </c>
      <c r="AJ215" s="7" t="inlineStr">
        <is>
          <t>SSBN 832</t>
        </is>
      </c>
    </row>
    <row r="216" ht="10" customHeight="1">
      <c r="A216" s="7" t="inlineStr">
        <is>
          <t>SCN</t>
        </is>
      </c>
      <c r="B216" s="7" t="inlineStr">
        <is>
          <t>Procurement</t>
        </is>
      </c>
      <c r="D216" s="7" t="inlineStr">
        <is>
          <t>COLUMBIA Class Submarine - P-10 - SSBN 833</t>
        </is>
      </c>
      <c r="E216" s="13" t="inlineStr">
        <is>
          <t>[SUB]</t>
        </is>
      </c>
      <c r="F216" s="7" t="inlineStr">
        <is>
          <t>1045 / COLUMBIA Class Submarine AP</t>
        </is>
      </c>
      <c r="I216" s="14" t="n">
        <v>1</v>
      </c>
      <c r="J216" s="7" t="inlineStr">
        <is>
          <t>Advance procurement / LLTM</t>
        </is>
      </c>
      <c r="K216" s="13" t="inlineStr">
        <is>
          <t>USN</t>
        </is>
      </c>
      <c r="L216" s="7" t="inlineStr">
        <is>
          <t>Combatant Ships</t>
        </is>
      </c>
      <c r="M216" s="7" t="inlineStr">
        <is>
          <t>Submarines</t>
        </is>
      </c>
      <c r="N216" s="7" t="inlineStr">
        <is>
          <t>SSBN</t>
        </is>
      </c>
      <c r="O216" s="15" t="n"/>
      <c r="P216" s="16" t="n">
        <v>940</v>
      </c>
      <c r="Q216" s="16" t="n">
        <v>1111</v>
      </c>
      <c r="S216" s="16" t="n">
        <v>5752</v>
      </c>
      <c r="U216" s="16" t="n">
        <v>5752</v>
      </c>
      <c r="AC216" s="23">
        <f>IF(OR(E216="",E216="[PARENT]"),"ADD",IF(E216="[ALT_VIEW]","ALT",""))</f>
        <v/>
      </c>
      <c r="AD216" s="21">
        <f>IF(Y216&lt;&gt;"",Y216,IF(U216&lt;&gt;"",U216,S216))</f>
        <v/>
      </c>
      <c r="AE216" s="21">
        <f>IF(AB216&lt;&gt;"",AB216,Z216)</f>
        <v/>
      </c>
      <c r="AF216" s="13" t="inlineStr">
        <is>
          <t>P-10 &gt; COLUMBIA Class Submarine &gt; SSBN 833</t>
        </is>
      </c>
      <c r="AG216" s="7" t="inlineStr">
        <is>
          <t>59</t>
        </is>
      </c>
      <c r="AH216" s="7" t="inlineStr">
        <is>
          <t>1045</t>
        </is>
      </c>
      <c r="AJ216" s="7" t="inlineStr">
        <is>
          <t>SSBN 833</t>
        </is>
      </c>
    </row>
    <row r="217" ht="10" customHeight="1">
      <c r="A217" s="7" t="inlineStr">
        <is>
          <t>SCN</t>
        </is>
      </c>
      <c r="B217" s="7" t="inlineStr">
        <is>
          <t>Procurement</t>
        </is>
      </c>
      <c r="D217" s="7" t="inlineStr">
        <is>
          <t>COLUMBIA Class Submarine - P-10 - SSBN 834</t>
        </is>
      </c>
      <c r="E217" s="13" t="inlineStr">
        <is>
          <t>[SUB]</t>
        </is>
      </c>
      <c r="F217" s="7" t="inlineStr">
        <is>
          <t>1045 / COLUMBIA Class Submarine AP</t>
        </is>
      </c>
      <c r="I217" s="14" t="n">
        <v>1</v>
      </c>
      <c r="J217" s="7" t="inlineStr">
        <is>
          <t>Advance procurement / LLTM</t>
        </is>
      </c>
      <c r="K217" s="13" t="inlineStr">
        <is>
          <t>USN</t>
        </is>
      </c>
      <c r="L217" s="7" t="inlineStr">
        <is>
          <t>Combatant Ships</t>
        </is>
      </c>
      <c r="M217" s="7" t="inlineStr">
        <is>
          <t>Submarines</t>
        </is>
      </c>
      <c r="N217" s="7" t="inlineStr">
        <is>
          <t>SSBN</t>
        </is>
      </c>
      <c r="O217" s="15" t="n"/>
      <c r="Q217" s="16" t="n">
        <v>1616</v>
      </c>
      <c r="S217" s="16" t="n">
        <v>0</v>
      </c>
      <c r="U217" s="16" t="n">
        <v>0</v>
      </c>
      <c r="AC217" s="23">
        <f>IF(OR(E217="",E217="[PARENT]"),"ADD",IF(E217="[ALT_VIEW]","ALT",""))</f>
        <v/>
      </c>
      <c r="AD217" s="21">
        <f>IF(Y217&lt;&gt;"",Y217,IF(U217&lt;&gt;"",U217,S217))</f>
        <v/>
      </c>
      <c r="AE217" s="21">
        <f>IF(AB217&lt;&gt;"",AB217,Z217)</f>
        <v/>
      </c>
      <c r="AF217" s="13" t="inlineStr">
        <is>
          <t>P-10 &gt; COLUMBIA Class Submarine &gt; SSBN 834</t>
        </is>
      </c>
      <c r="AG217" s="7" t="inlineStr">
        <is>
          <t>59</t>
        </is>
      </c>
      <c r="AH217" s="7" t="inlineStr">
        <is>
          <t>1045</t>
        </is>
      </c>
      <c r="AJ217" s="7" t="inlineStr">
        <is>
          <t>SSBN 834</t>
        </is>
      </c>
    </row>
    <row r="218" ht="10" customHeight="1">
      <c r="A218" s="7" t="inlineStr">
        <is>
          <t>SCN</t>
        </is>
      </c>
      <c r="B218" s="7" t="inlineStr">
        <is>
          <t>Procurement</t>
        </is>
      </c>
      <c r="D218" s="7" t="inlineStr">
        <is>
          <t>COLUMBIA Class Submarine - P-10 - SSBN 835</t>
        </is>
      </c>
      <c r="E218" s="13" t="inlineStr">
        <is>
          <t>[SUB]</t>
        </is>
      </c>
      <c r="F218" s="7" t="inlineStr">
        <is>
          <t>1045 / COLUMBIA Class Submarine AP</t>
        </is>
      </c>
      <c r="I218" s="14" t="n">
        <v>1</v>
      </c>
      <c r="J218" s="7" t="inlineStr">
        <is>
          <t>Advance procurement / LLTM</t>
        </is>
      </c>
      <c r="K218" s="13" t="inlineStr">
        <is>
          <t>USN</t>
        </is>
      </c>
      <c r="L218" s="7" t="inlineStr">
        <is>
          <t>Combatant Ships</t>
        </is>
      </c>
      <c r="M218" s="7" t="inlineStr">
        <is>
          <t>Submarines</t>
        </is>
      </c>
      <c r="N218" s="7" t="inlineStr">
        <is>
          <t>SSBN</t>
        </is>
      </c>
      <c r="O218" s="15" t="n"/>
      <c r="S218" s="16" t="n">
        <v>1165</v>
      </c>
      <c r="U218" s="16" t="n">
        <v>1165</v>
      </c>
      <c r="AC218" s="23">
        <f>IF(OR(E218="",E218="[PARENT]"),"ADD",IF(E218="[ALT_VIEW]","ALT",""))</f>
        <v/>
      </c>
      <c r="AD218" s="21">
        <f>IF(Y218&lt;&gt;"",Y218,IF(U218&lt;&gt;"",U218,S218))</f>
        <v/>
      </c>
      <c r="AE218" s="21">
        <f>IF(AB218&lt;&gt;"",AB218,Z218)</f>
        <v/>
      </c>
      <c r="AF218" s="13" t="inlineStr">
        <is>
          <t>P-10 &gt; COLUMBIA Class Submarine &gt; SSBN 835</t>
        </is>
      </c>
      <c r="AG218" s="7" t="inlineStr">
        <is>
          <t>59</t>
        </is>
      </c>
      <c r="AH218" s="7" t="inlineStr">
        <is>
          <t>1045</t>
        </is>
      </c>
      <c r="AJ218" s="7" t="inlineStr">
        <is>
          <t>SSBN 835</t>
        </is>
      </c>
    </row>
    <row r="219" ht="10" customHeight="1">
      <c r="A219" s="7" t="inlineStr">
        <is>
          <t>SCN</t>
        </is>
      </c>
      <c r="B219" s="7" t="inlineStr">
        <is>
          <t>Procurement</t>
        </is>
      </c>
      <c r="D219" s="7" t="inlineStr">
        <is>
          <t>COLUMBIA Class Submarine - P-10 - NUCLEAR PROPULSION PLANT EQUIPMENT (8) - SSBN 828 (In Support of AC)</t>
        </is>
      </c>
      <c r="E219" s="13" t="inlineStr">
        <is>
          <t>[SUB]</t>
        </is>
      </c>
      <c r="F219" s="7" t="inlineStr">
        <is>
          <t>1045 / COLUMBIA Class Submarine AP</t>
        </is>
      </c>
      <c r="I219" s="14" t="n">
        <v>1</v>
      </c>
      <c r="J219" s="7" t="inlineStr">
        <is>
          <t>Advance procurement / LLTM</t>
        </is>
      </c>
      <c r="K219" s="13" t="inlineStr">
        <is>
          <t>USN</t>
        </is>
      </c>
      <c r="L219" s="7" t="inlineStr">
        <is>
          <t>Combatant Ships</t>
        </is>
      </c>
      <c r="M219" s="7" t="inlineStr">
        <is>
          <t>Submarines</t>
        </is>
      </c>
      <c r="N219" s="7" t="inlineStr">
        <is>
          <t>SSBN</t>
        </is>
      </c>
      <c r="O219" s="15" t="n"/>
      <c r="P219" s="16" t="n">
        <v>522192</v>
      </c>
      <c r="S219" s="16" t="n">
        <v>0</v>
      </c>
      <c r="U219" s="16" t="n">
        <v>0</v>
      </c>
      <c r="AC219" s="23">
        <f>IF(OR(E219="",E219="[PARENT]"),"ADD",IF(E219="[ALT_VIEW]","ALT",""))</f>
        <v/>
      </c>
      <c r="AD219" s="21">
        <f>IF(Y219&lt;&gt;"",Y219,IF(U219&lt;&gt;"",U219,S219))</f>
        <v/>
      </c>
      <c r="AE219" s="21">
        <f>IF(AB219&lt;&gt;"",AB219,Z219)</f>
        <v/>
      </c>
      <c r="AF219" s="13" t="inlineStr">
        <is>
          <t>P-10 &gt; COLUMBIA Class Submarine &gt; NUCLEAR PROPULSION PLANT EQUIPMENT (8) - SSBN 828 (In Support of AC)</t>
        </is>
      </c>
      <c r="AG219" s="7" t="inlineStr">
        <is>
          <t>59</t>
        </is>
      </c>
      <c r="AH219" s="7" t="inlineStr">
        <is>
          <t>1045</t>
        </is>
      </c>
      <c r="AJ219" s="7" t="inlineStr">
        <is>
          <t>SSBN 828 (In Support of AC)</t>
        </is>
      </c>
    </row>
    <row r="220" ht="10" customHeight="1">
      <c r="A220" s="7" t="inlineStr">
        <is>
          <t>SCN</t>
        </is>
      </c>
      <c r="B220" s="7" t="inlineStr">
        <is>
          <t>Procurement</t>
        </is>
      </c>
      <c r="D220" s="7" t="inlineStr">
        <is>
          <t>COLUMBIA Class Submarine - P-10 - NUCLEAR PROPULSION PLANT EQUIPMENT (8) - SSBN 829 (In Support of AC)</t>
        </is>
      </c>
      <c r="E220" s="13" t="inlineStr">
        <is>
          <t>[SUB]</t>
        </is>
      </c>
      <c r="F220" s="7" t="inlineStr">
        <is>
          <t>1045 / COLUMBIA Class Submarine AP</t>
        </is>
      </c>
      <c r="I220" s="14" t="n">
        <v>1</v>
      </c>
      <c r="J220" s="7" t="inlineStr">
        <is>
          <t>Advance procurement / LLTM</t>
        </is>
      </c>
      <c r="K220" s="13" t="inlineStr">
        <is>
          <t>USN</t>
        </is>
      </c>
      <c r="L220" s="7" t="inlineStr">
        <is>
          <t>Combatant Ships</t>
        </is>
      </c>
      <c r="M220" s="7" t="inlineStr">
        <is>
          <t>Submarines</t>
        </is>
      </c>
      <c r="N220" s="7" t="inlineStr">
        <is>
          <t>SSBN</t>
        </is>
      </c>
      <c r="O220" s="15" t="n"/>
      <c r="P220" s="16" t="n">
        <v>750213</v>
      </c>
      <c r="Q220" s="16" t="n">
        <v>791760</v>
      </c>
      <c r="S220" s="16" t="n">
        <v>0</v>
      </c>
      <c r="U220" s="16" t="n">
        <v>0</v>
      </c>
      <c r="AC220" s="23">
        <f>IF(OR(E220="",E220="[PARENT]"),"ADD",IF(E220="[ALT_VIEW]","ALT",""))</f>
        <v/>
      </c>
      <c r="AD220" s="21">
        <f>IF(Y220&lt;&gt;"",Y220,IF(U220&lt;&gt;"",U220,S220))</f>
        <v/>
      </c>
      <c r="AE220" s="21">
        <f>IF(AB220&lt;&gt;"",AB220,Z220)</f>
        <v/>
      </c>
      <c r="AF220" s="13" t="inlineStr">
        <is>
          <t>P-10 &gt; COLUMBIA Class Submarine &gt; NUCLEAR PROPULSION PLANT EQUIPMENT (8) - SSBN 829 (In Support of AC)</t>
        </is>
      </c>
      <c r="AG220" s="7" t="inlineStr">
        <is>
          <t>59</t>
        </is>
      </c>
      <c r="AH220" s="7" t="inlineStr">
        <is>
          <t>1045</t>
        </is>
      </c>
      <c r="AJ220" s="7" t="inlineStr">
        <is>
          <t>SSBN 829 (In Support of AC)</t>
        </is>
      </c>
    </row>
    <row r="221" ht="10" customHeight="1">
      <c r="A221" s="7" t="inlineStr">
        <is>
          <t>SCN</t>
        </is>
      </c>
      <c r="B221" s="7" t="inlineStr">
        <is>
          <t>Procurement</t>
        </is>
      </c>
      <c r="D221" s="7" t="inlineStr">
        <is>
          <t>COLUMBIA Class Submarine - P-10 - NUCLEAR PROPULSION PLANT EQUIPMENT (8) - SSBN 830 (In support of AC)</t>
        </is>
      </c>
      <c r="E221" s="13" t="inlineStr">
        <is>
          <t>[SUB]</t>
        </is>
      </c>
      <c r="F221" s="7" t="inlineStr">
        <is>
          <t>1045 / COLUMBIA Class Submarine AP</t>
        </is>
      </c>
      <c r="I221" s="14" t="n">
        <v>1</v>
      </c>
      <c r="J221" s="7" t="inlineStr">
        <is>
          <t>Advance procurement / LLTM</t>
        </is>
      </c>
      <c r="K221" s="13" t="inlineStr">
        <is>
          <t>USN</t>
        </is>
      </c>
      <c r="L221" s="7" t="inlineStr">
        <is>
          <t>Combatant Ships</t>
        </is>
      </c>
      <c r="M221" s="7" t="inlineStr">
        <is>
          <t>Submarines</t>
        </is>
      </c>
      <c r="N221" s="7" t="inlineStr">
        <is>
          <t>SSBN</t>
        </is>
      </c>
      <c r="O221" s="15" t="n"/>
      <c r="Q221" s="16" t="n">
        <v>734937</v>
      </c>
      <c r="S221" s="16" t="n">
        <v>711053</v>
      </c>
      <c r="U221" s="16" t="n">
        <v>711053</v>
      </c>
      <c r="AC221" s="23">
        <f>IF(OR(E221="",E221="[PARENT]"),"ADD",IF(E221="[ALT_VIEW]","ALT",""))</f>
        <v/>
      </c>
      <c r="AD221" s="21">
        <f>IF(Y221&lt;&gt;"",Y221,IF(U221&lt;&gt;"",U221,S221))</f>
        <v/>
      </c>
      <c r="AE221" s="21">
        <f>IF(AB221&lt;&gt;"",AB221,Z221)</f>
        <v/>
      </c>
      <c r="AF221" s="13" t="inlineStr">
        <is>
          <t>P-10 &gt; COLUMBIA Class Submarine &gt; NUCLEAR PROPULSION PLANT EQUIPMENT (8) - SSBN 830 (In support of AC)</t>
        </is>
      </c>
      <c r="AG221" s="7" t="inlineStr">
        <is>
          <t>59</t>
        </is>
      </c>
      <c r="AH221" s="7" t="inlineStr">
        <is>
          <t>1045</t>
        </is>
      </c>
      <c r="AJ221" s="7" t="inlineStr">
        <is>
          <t>SSBN 830 (In support of AC)</t>
        </is>
      </c>
    </row>
    <row r="222" ht="10" customHeight="1">
      <c r="A222" s="7" t="inlineStr">
        <is>
          <t>SCN</t>
        </is>
      </c>
      <c r="B222" s="7" t="inlineStr">
        <is>
          <t>Procurement</t>
        </is>
      </c>
      <c r="D222" s="7" t="inlineStr">
        <is>
          <t>COLUMBIA Class Submarine - P-10 - NUCLEAR PROPULSION PLANT EQUIPMENT (8) - SSBN 831 (In Support of AC)</t>
        </is>
      </c>
      <c r="E222" s="13" t="inlineStr">
        <is>
          <t>[SUB]</t>
        </is>
      </c>
      <c r="F222" s="7" t="inlineStr">
        <is>
          <t>1045 / COLUMBIA Class Submarine AP</t>
        </is>
      </c>
      <c r="I222" s="14" t="n">
        <v>1</v>
      </c>
      <c r="J222" s="7" t="inlineStr">
        <is>
          <t>Advance procurement / LLTM</t>
        </is>
      </c>
      <c r="K222" s="13" t="inlineStr">
        <is>
          <t>USN</t>
        </is>
      </c>
      <c r="L222" s="7" t="inlineStr">
        <is>
          <t>Combatant Ships</t>
        </is>
      </c>
      <c r="M222" s="7" t="inlineStr">
        <is>
          <t>Submarines</t>
        </is>
      </c>
      <c r="N222" s="7" t="inlineStr">
        <is>
          <t>SSBN</t>
        </is>
      </c>
      <c r="O222" s="15" t="n"/>
      <c r="S222" s="16" t="n">
        <v>729475</v>
      </c>
      <c r="U222" s="16" t="n">
        <v>729475</v>
      </c>
      <c r="AC222" s="23">
        <f>IF(OR(E222="",E222="[PARENT]"),"ADD",IF(E222="[ALT_VIEW]","ALT",""))</f>
        <v/>
      </c>
      <c r="AD222" s="21">
        <f>IF(Y222&lt;&gt;"",Y222,IF(U222&lt;&gt;"",U222,S222))</f>
        <v/>
      </c>
      <c r="AE222" s="21">
        <f>IF(AB222&lt;&gt;"",AB222,Z222)</f>
        <v/>
      </c>
      <c r="AF222" s="13" t="inlineStr">
        <is>
          <t>P-10 &gt; COLUMBIA Class Submarine &gt; NUCLEAR PROPULSION PLANT EQUIPMENT (8) - SSBN 831 (In Support of AC)</t>
        </is>
      </c>
      <c r="AG222" s="7" t="inlineStr">
        <is>
          <t>59</t>
        </is>
      </c>
      <c r="AH222" s="7" t="inlineStr">
        <is>
          <t>1045</t>
        </is>
      </c>
      <c r="AJ222" s="7" t="inlineStr">
        <is>
          <t>SSBN 831 (In Support of AC)</t>
        </is>
      </c>
    </row>
    <row r="223" ht="10" customHeight="1">
      <c r="A223" s="7" t="inlineStr">
        <is>
          <t>SCN</t>
        </is>
      </c>
      <c r="B223" s="7" t="inlineStr">
        <is>
          <t>Procurement</t>
        </is>
      </c>
      <c r="D223" s="7" t="inlineStr">
        <is>
          <t>COLUMBIA Class Submarine - P-10 - NUCLEAR PROPULSION PLANT EQUIPMENT (8) - SSBN 832 (In Support of AC)</t>
        </is>
      </c>
      <c r="E223" s="13" t="inlineStr">
        <is>
          <t>[SUB]</t>
        </is>
      </c>
      <c r="F223" s="7" t="inlineStr">
        <is>
          <t>1045 / COLUMBIA Class Submarine AP</t>
        </is>
      </c>
      <c r="I223" s="14" t="n">
        <v>1</v>
      </c>
      <c r="J223" s="7" t="inlineStr">
        <is>
          <t>Advance procurement / LLTM</t>
        </is>
      </c>
      <c r="K223" s="13" t="inlineStr">
        <is>
          <t>USN</t>
        </is>
      </c>
      <c r="L223" s="7" t="inlineStr">
        <is>
          <t>Combatant Ships</t>
        </is>
      </c>
      <c r="M223" s="7" t="inlineStr">
        <is>
          <t>Submarines</t>
        </is>
      </c>
      <c r="N223" s="7" t="inlineStr">
        <is>
          <t>SSBN</t>
        </is>
      </c>
      <c r="O223" s="15" t="n"/>
      <c r="S223" s="16" t="n">
        <v>0</v>
      </c>
      <c r="U223" s="16" t="n">
        <v>0</v>
      </c>
      <c r="AC223" s="23">
        <f>IF(OR(E223="",E223="[PARENT]"),"ADD",IF(E223="[ALT_VIEW]","ALT",""))</f>
        <v/>
      </c>
      <c r="AD223" s="21">
        <f>IF(Y223&lt;&gt;"",Y223,IF(U223&lt;&gt;"",U223,S223))</f>
        <v/>
      </c>
      <c r="AE223" s="21">
        <f>IF(AB223&lt;&gt;"",AB223,Z223)</f>
        <v/>
      </c>
      <c r="AF223" s="13" t="inlineStr">
        <is>
          <t>P-10 &gt; COLUMBIA Class Submarine &gt; NUCLEAR PROPULSION PLANT EQUIPMENT (8) - SSBN 832 (In Support of AC)</t>
        </is>
      </c>
      <c r="AG223" s="7" t="inlineStr">
        <is>
          <t>59</t>
        </is>
      </c>
      <c r="AH223" s="7" t="inlineStr">
        <is>
          <t>1045</t>
        </is>
      </c>
      <c r="AJ223" s="7" t="inlineStr">
        <is>
          <t>SSBN 832 (In Support of AC)</t>
        </is>
      </c>
    </row>
    <row r="224" ht="10" customHeight="1">
      <c r="A224" s="7" t="inlineStr">
        <is>
          <t>SCN</t>
        </is>
      </c>
      <c r="B224" s="7" t="inlineStr">
        <is>
          <t>Procurement</t>
        </is>
      </c>
      <c r="D224" s="7" t="inlineStr">
        <is>
          <t>COLUMBIA Class Submarine - P-10 - NUCLEAR PROPULSION PLANT EQUIPMENT (8) - SSBN 833 (In Support of AC)</t>
        </is>
      </c>
      <c r="E224" s="13" t="inlineStr">
        <is>
          <t>[SUB]</t>
        </is>
      </c>
      <c r="F224" s="7" t="inlineStr">
        <is>
          <t>1045 / COLUMBIA Class Submarine AP</t>
        </is>
      </c>
      <c r="I224" s="14" t="n">
        <v>1</v>
      </c>
      <c r="J224" s="7" t="inlineStr">
        <is>
          <t>Advance procurement / LLTM</t>
        </is>
      </c>
      <c r="K224" s="13" t="inlineStr">
        <is>
          <t>USN</t>
        </is>
      </c>
      <c r="L224" s="7" t="inlineStr">
        <is>
          <t>Combatant Ships</t>
        </is>
      </c>
      <c r="M224" s="7" t="inlineStr">
        <is>
          <t>Submarines</t>
        </is>
      </c>
      <c r="N224" s="7" t="inlineStr">
        <is>
          <t>SSBN</t>
        </is>
      </c>
      <c r="O224" s="15" t="n"/>
      <c r="S224" s="16" t="n">
        <v>0</v>
      </c>
      <c r="U224" s="16" t="n">
        <v>0</v>
      </c>
      <c r="AC224" s="23">
        <f>IF(OR(E224="",E224="[PARENT]"),"ADD",IF(E224="[ALT_VIEW]","ALT",""))</f>
        <v/>
      </c>
      <c r="AD224" s="21">
        <f>IF(Y224&lt;&gt;"",Y224,IF(U224&lt;&gt;"",U224,S224))</f>
        <v/>
      </c>
      <c r="AE224" s="21">
        <f>IF(AB224&lt;&gt;"",AB224,Z224)</f>
        <v/>
      </c>
      <c r="AF224" s="13" t="inlineStr">
        <is>
          <t>P-10 &gt; COLUMBIA Class Submarine &gt; NUCLEAR PROPULSION PLANT EQUIPMENT (8) - SSBN 833 (In Support of AC)</t>
        </is>
      </c>
      <c r="AG224" s="7" t="inlineStr">
        <is>
          <t>59</t>
        </is>
      </c>
      <c r="AH224" s="7" t="inlineStr">
        <is>
          <t>1045</t>
        </is>
      </c>
      <c r="AJ224" s="7" t="inlineStr">
        <is>
          <t>SSBN 833 (In Support of AC)</t>
        </is>
      </c>
    </row>
    <row r="225" ht="10" customHeight="1">
      <c r="A225" s="7" t="inlineStr">
        <is>
          <t>SCN</t>
        </is>
      </c>
      <c r="B225" s="7" t="inlineStr">
        <is>
          <t>Procurement</t>
        </is>
      </c>
      <c r="D225" s="7" t="inlineStr">
        <is>
          <t>COLUMBIA Class Submarine - P-10 - NUCLEAR PROPULSION PLANT EQUIPMENT (8) - SSBN 834 (In Support of AC)</t>
        </is>
      </c>
      <c r="E225" s="13" t="inlineStr">
        <is>
          <t>[SUB]</t>
        </is>
      </c>
      <c r="F225" s="7" t="inlineStr">
        <is>
          <t>1045 / COLUMBIA Class Submarine AP</t>
        </is>
      </c>
      <c r="I225" s="14" t="n">
        <v>1</v>
      </c>
      <c r="J225" s="7" t="inlineStr">
        <is>
          <t>Advance procurement / LLTM</t>
        </is>
      </c>
      <c r="K225" s="13" t="inlineStr">
        <is>
          <t>USN</t>
        </is>
      </c>
      <c r="L225" s="7" t="inlineStr">
        <is>
          <t>Combatant Ships</t>
        </is>
      </c>
      <c r="M225" s="7" t="inlineStr">
        <is>
          <t>Submarines</t>
        </is>
      </c>
      <c r="N225" s="7" t="inlineStr">
        <is>
          <t>SSBN</t>
        </is>
      </c>
      <c r="O225" s="15" t="n"/>
      <c r="S225" s="16" t="n">
        <v>0</v>
      </c>
      <c r="U225" s="16" t="n">
        <v>0</v>
      </c>
      <c r="AC225" s="23">
        <f>IF(OR(E225="",E225="[PARENT]"),"ADD",IF(E225="[ALT_VIEW]","ALT",""))</f>
        <v/>
      </c>
      <c r="AD225" s="21">
        <f>IF(Y225&lt;&gt;"",Y225,IF(U225&lt;&gt;"",U225,S225))</f>
        <v/>
      </c>
      <c r="AE225" s="21">
        <f>IF(AB225&lt;&gt;"",AB225,Z225)</f>
        <v/>
      </c>
      <c r="AF225" s="13" t="inlineStr">
        <is>
          <t>P-10 &gt; COLUMBIA Class Submarine &gt; NUCLEAR PROPULSION PLANT EQUIPMENT (8) - SSBN 834 (In Support of AC)</t>
        </is>
      </c>
      <c r="AG225" s="7" t="inlineStr">
        <is>
          <t>59</t>
        </is>
      </c>
      <c r="AH225" s="7" t="inlineStr">
        <is>
          <t>1045</t>
        </is>
      </c>
      <c r="AJ225" s="7" t="inlineStr">
        <is>
          <t>SSBN 834 (In Support of AC)</t>
        </is>
      </c>
    </row>
    <row r="226" ht="10" customHeight="1">
      <c r="A226" s="7" t="inlineStr">
        <is>
          <t>SCN</t>
        </is>
      </c>
      <c r="B226" s="7" t="inlineStr">
        <is>
          <t>Procurement</t>
        </is>
      </c>
      <c r="D226" s="7" t="inlineStr">
        <is>
          <t>COLUMBIA Class Submarine - P-10 - NUCLEAR PROPULSION PLANT EQUIPMENT (8) - SSBN 835</t>
        </is>
      </c>
      <c r="E226" s="13" t="inlineStr">
        <is>
          <t>[SUB]</t>
        </is>
      </c>
      <c r="F226" s="7" t="inlineStr">
        <is>
          <t>1045 / COLUMBIA Class Submarine AP</t>
        </is>
      </c>
      <c r="I226" s="14" t="n">
        <v>1</v>
      </c>
      <c r="J226" s="7" t="inlineStr">
        <is>
          <t>Advance procurement / LLTM</t>
        </is>
      </c>
      <c r="K226" s="13" t="inlineStr">
        <is>
          <t>USN</t>
        </is>
      </c>
      <c r="L226" s="7" t="inlineStr">
        <is>
          <t>Combatant Ships</t>
        </is>
      </c>
      <c r="M226" s="7" t="inlineStr">
        <is>
          <t>Submarines</t>
        </is>
      </c>
      <c r="N226" s="7" t="inlineStr">
        <is>
          <t>SSBN</t>
        </is>
      </c>
      <c r="O226" s="15" t="n"/>
      <c r="S226" s="16" t="n">
        <v>0</v>
      </c>
      <c r="U226" s="16" t="n">
        <v>0</v>
      </c>
      <c r="AC226" s="23">
        <f>IF(OR(E226="",E226="[PARENT]"),"ADD",IF(E226="[ALT_VIEW]","ALT",""))</f>
        <v/>
      </c>
      <c r="AD226" s="21">
        <f>IF(Y226&lt;&gt;"",Y226,IF(U226&lt;&gt;"",U226,S226))</f>
        <v/>
      </c>
      <c r="AE226" s="21">
        <f>IF(AB226&lt;&gt;"",AB226,Z226)</f>
        <v/>
      </c>
      <c r="AF226" s="13" t="inlineStr">
        <is>
          <t>P-10 &gt; COLUMBIA Class Submarine &gt; NUCLEAR PROPULSION PLANT EQUIPMENT (8) - SSBN 835</t>
        </is>
      </c>
      <c r="AG226" s="7" t="inlineStr">
        <is>
          <t>59</t>
        </is>
      </c>
      <c r="AH226" s="7" t="inlineStr">
        <is>
          <t>1045</t>
        </is>
      </c>
    </row>
    <row r="227" ht="10" customHeight="1">
      <c r="A227" s="7" t="inlineStr">
        <is>
          <t>SCN</t>
        </is>
      </c>
      <c r="B227" s="7" t="inlineStr">
        <is>
          <t>Procurement</t>
        </is>
      </c>
      <c r="D227" s="7" t="inlineStr">
        <is>
          <t>COLUMBIA Class Submarine - P-10 - HM&amp;E (9) - SSBN 827 (In Support of AC)</t>
        </is>
      </c>
      <c r="E227" s="13" t="inlineStr">
        <is>
          <t>[SUB]</t>
        </is>
      </c>
      <c r="F227" s="7" t="inlineStr">
        <is>
          <t>1045 / COLUMBIA Class Submarine AP</t>
        </is>
      </c>
      <c r="I227" s="14" t="n">
        <v>1</v>
      </c>
      <c r="J227" s="7" t="inlineStr">
        <is>
          <t>Advance procurement / LLTM</t>
        </is>
      </c>
      <c r="K227" s="13" t="inlineStr">
        <is>
          <t>USN</t>
        </is>
      </c>
      <c r="L227" s="7" t="inlineStr">
        <is>
          <t>Combatant Ships</t>
        </is>
      </c>
      <c r="M227" s="7" t="inlineStr">
        <is>
          <t>Submarines</t>
        </is>
      </c>
      <c r="N227" s="7" t="inlineStr">
        <is>
          <t>SSBN</t>
        </is>
      </c>
      <c r="O227" s="15" t="n"/>
      <c r="S227" s="16" t="n">
        <v>0</v>
      </c>
      <c r="U227" s="16" t="n">
        <v>0</v>
      </c>
      <c r="AC227" s="23">
        <f>IF(OR(E227="",E227="[PARENT]"),"ADD",IF(E227="[ALT_VIEW]","ALT",""))</f>
        <v/>
      </c>
      <c r="AD227" s="21">
        <f>IF(Y227&lt;&gt;"",Y227,IF(U227&lt;&gt;"",U227,S227))</f>
        <v/>
      </c>
      <c r="AE227" s="21">
        <f>IF(AB227&lt;&gt;"",AB227,Z227)</f>
        <v/>
      </c>
      <c r="AF227" s="13" t="inlineStr">
        <is>
          <t>P-10 &gt; COLUMBIA Class Submarine &gt; HM&amp;E (9) - SSBN 827 (In Support of AC)</t>
        </is>
      </c>
      <c r="AG227" s="7" t="inlineStr">
        <is>
          <t>59</t>
        </is>
      </c>
      <c r="AH227" s="7" t="inlineStr">
        <is>
          <t>1045</t>
        </is>
      </c>
      <c r="AJ227" s="7" t="inlineStr">
        <is>
          <t>SSBN 827 (In Support of AC)</t>
        </is>
      </c>
    </row>
    <row r="228" ht="10" customHeight="1">
      <c r="A228" s="7" t="inlineStr">
        <is>
          <t>SCN</t>
        </is>
      </c>
      <c r="B228" s="7" t="inlineStr">
        <is>
          <t>Procurement</t>
        </is>
      </c>
      <c r="D228" s="7" t="inlineStr">
        <is>
          <t>COLUMBIA Class Submarine - P-10 - HM&amp;E (9) - SSBN 828 (In support of AC)</t>
        </is>
      </c>
      <c r="E228" s="13" t="inlineStr">
        <is>
          <t>[SUB]</t>
        </is>
      </c>
      <c r="F228" s="7" t="inlineStr">
        <is>
          <t>1045 / COLUMBIA Class Submarine AP</t>
        </is>
      </c>
      <c r="I228" s="14" t="n">
        <v>1</v>
      </c>
      <c r="J228" s="7" t="inlineStr">
        <is>
          <t>Advance procurement / LLTM</t>
        </is>
      </c>
      <c r="K228" s="13" t="inlineStr">
        <is>
          <t>USN</t>
        </is>
      </c>
      <c r="L228" s="7" t="inlineStr">
        <is>
          <t>Combatant Ships</t>
        </is>
      </c>
      <c r="M228" s="7" t="inlineStr">
        <is>
          <t>Submarines</t>
        </is>
      </c>
      <c r="N228" s="7" t="inlineStr">
        <is>
          <t>SSBN</t>
        </is>
      </c>
      <c r="O228" s="15" t="n"/>
      <c r="P228" s="16" t="n">
        <v>30739</v>
      </c>
      <c r="Q228" s="16" t="n">
        <v>5860</v>
      </c>
      <c r="S228" s="16" t="n">
        <v>0</v>
      </c>
      <c r="U228" s="16" t="n">
        <v>0</v>
      </c>
      <c r="AC228" s="23">
        <f>IF(OR(E228="",E228="[PARENT]"),"ADD",IF(E228="[ALT_VIEW]","ALT",""))</f>
        <v/>
      </c>
      <c r="AD228" s="21">
        <f>IF(Y228&lt;&gt;"",Y228,IF(U228&lt;&gt;"",U228,S228))</f>
        <v/>
      </c>
      <c r="AE228" s="21">
        <f>IF(AB228&lt;&gt;"",AB228,Z228)</f>
        <v/>
      </c>
      <c r="AF228" s="13" t="inlineStr">
        <is>
          <t>P-10 &gt; COLUMBIA Class Submarine &gt; HM&amp;E (9) - SSBN 828 (In support of AC)</t>
        </is>
      </c>
      <c r="AG228" s="7" t="inlineStr">
        <is>
          <t>59</t>
        </is>
      </c>
      <c r="AH228" s="7" t="inlineStr">
        <is>
          <t>1045</t>
        </is>
      </c>
      <c r="AJ228" s="7" t="inlineStr">
        <is>
          <t>SSBN 828 (In support of AC)</t>
        </is>
      </c>
    </row>
    <row r="229" ht="10" customHeight="1">
      <c r="A229" s="7" t="inlineStr">
        <is>
          <t>SCN</t>
        </is>
      </c>
      <c r="B229" s="7" t="inlineStr">
        <is>
          <t>Procurement</t>
        </is>
      </c>
      <c r="D229" s="7" t="inlineStr">
        <is>
          <t>COLUMBIA Class Submarine - P-10 - HM&amp;E (9) - SSBN 829 (In Support of AC)</t>
        </is>
      </c>
      <c r="E229" s="13" t="inlineStr">
        <is>
          <t>[SUB]</t>
        </is>
      </c>
      <c r="F229" s="7" t="inlineStr">
        <is>
          <t>1045 / COLUMBIA Class Submarine AP</t>
        </is>
      </c>
      <c r="I229" s="14" t="n">
        <v>1</v>
      </c>
      <c r="J229" s="7" t="inlineStr">
        <is>
          <t>Advance procurement / LLTM</t>
        </is>
      </c>
      <c r="K229" s="13" t="inlineStr">
        <is>
          <t>USN</t>
        </is>
      </c>
      <c r="L229" s="7" t="inlineStr">
        <is>
          <t>Combatant Ships</t>
        </is>
      </c>
      <c r="M229" s="7" t="inlineStr">
        <is>
          <t>Submarines</t>
        </is>
      </c>
      <c r="N229" s="7" t="inlineStr">
        <is>
          <t>SSBN</t>
        </is>
      </c>
      <c r="O229" s="15" t="n"/>
      <c r="P229" s="16" t="n">
        <v>36085</v>
      </c>
      <c r="Q229" s="16" t="n">
        <v>31468</v>
      </c>
      <c r="S229" s="16" t="n">
        <v>8415</v>
      </c>
      <c r="U229" s="16" t="n">
        <v>8415</v>
      </c>
      <c r="AC229" s="23">
        <f>IF(OR(E229="",E229="[PARENT]"),"ADD",IF(E229="[ALT_VIEW]","ALT",""))</f>
        <v/>
      </c>
      <c r="AD229" s="21">
        <f>IF(Y229&lt;&gt;"",Y229,IF(U229&lt;&gt;"",U229,S229))</f>
        <v/>
      </c>
      <c r="AE229" s="21">
        <f>IF(AB229&lt;&gt;"",AB229,Z229)</f>
        <v/>
      </c>
      <c r="AF229" s="13" t="inlineStr">
        <is>
          <t>P-10 &gt; COLUMBIA Class Submarine &gt; HM&amp;E (9) - SSBN 829 (In Support of AC)</t>
        </is>
      </c>
      <c r="AG229" s="7" t="inlineStr">
        <is>
          <t>59</t>
        </is>
      </c>
      <c r="AH229" s="7" t="inlineStr">
        <is>
          <t>1045</t>
        </is>
      </c>
      <c r="AJ229" s="7" t="inlineStr">
        <is>
          <t>SSBN 829 (In Support of AC)</t>
        </is>
      </c>
    </row>
    <row r="230" ht="10" customHeight="1">
      <c r="A230" s="7" t="inlineStr">
        <is>
          <t>SCN</t>
        </is>
      </c>
      <c r="B230" s="7" t="inlineStr">
        <is>
          <t>Procurement</t>
        </is>
      </c>
      <c r="D230" s="7" t="inlineStr">
        <is>
          <t>COLUMBIA Class Submarine - P-10 - HM&amp;E (9) - SSBN 830 (In Support of AC)</t>
        </is>
      </c>
      <c r="E230" s="13" t="inlineStr">
        <is>
          <t>[SUB]</t>
        </is>
      </c>
      <c r="F230" s="7" t="inlineStr">
        <is>
          <t>1045 / COLUMBIA Class Submarine AP</t>
        </is>
      </c>
      <c r="I230" s="14" t="n">
        <v>1</v>
      </c>
      <c r="J230" s="7" t="inlineStr">
        <is>
          <t>Advance procurement / LLTM</t>
        </is>
      </c>
      <c r="K230" s="13" t="inlineStr">
        <is>
          <t>USN</t>
        </is>
      </c>
      <c r="L230" s="7" t="inlineStr">
        <is>
          <t>Combatant Ships</t>
        </is>
      </c>
      <c r="M230" s="7" t="inlineStr">
        <is>
          <t>Submarines</t>
        </is>
      </c>
      <c r="N230" s="7" t="inlineStr">
        <is>
          <t>SSBN</t>
        </is>
      </c>
      <c r="O230" s="15" t="n"/>
      <c r="Q230" s="16" t="n">
        <v>38147</v>
      </c>
      <c r="S230" s="16" t="n">
        <v>28330</v>
      </c>
      <c r="U230" s="16" t="n">
        <v>28330</v>
      </c>
      <c r="AC230" s="23">
        <f>IF(OR(E230="",E230="[PARENT]"),"ADD",IF(E230="[ALT_VIEW]","ALT",""))</f>
        <v/>
      </c>
      <c r="AD230" s="21">
        <f>IF(Y230&lt;&gt;"",Y230,IF(U230&lt;&gt;"",U230,S230))</f>
        <v/>
      </c>
      <c r="AE230" s="21">
        <f>IF(AB230&lt;&gt;"",AB230,Z230)</f>
        <v/>
      </c>
      <c r="AF230" s="13" t="inlineStr">
        <is>
          <t>P-10 &gt; COLUMBIA Class Submarine &gt; HM&amp;E (9) - SSBN 830 (In Support of AC)</t>
        </is>
      </c>
      <c r="AG230" s="7" t="inlineStr">
        <is>
          <t>59</t>
        </is>
      </c>
      <c r="AH230" s="7" t="inlineStr">
        <is>
          <t>1045</t>
        </is>
      </c>
      <c r="AJ230" s="7" t="inlineStr">
        <is>
          <t>SSBN 830 (In Support of AC)</t>
        </is>
      </c>
    </row>
    <row r="231" ht="10" customHeight="1">
      <c r="A231" s="7" t="inlineStr">
        <is>
          <t>SCN</t>
        </is>
      </c>
      <c r="B231" s="7" t="inlineStr">
        <is>
          <t>Procurement</t>
        </is>
      </c>
      <c r="D231" s="7" t="inlineStr">
        <is>
          <t>COLUMBIA Class Submarine - P-10 - HM&amp;E (9) - SSBN 831 (In Support of AC)</t>
        </is>
      </c>
      <c r="E231" s="13" t="inlineStr">
        <is>
          <t>[SUB]</t>
        </is>
      </c>
      <c r="F231" s="7" t="inlineStr">
        <is>
          <t>1045 / COLUMBIA Class Submarine AP</t>
        </is>
      </c>
      <c r="I231" s="14" t="n">
        <v>1</v>
      </c>
      <c r="J231" s="7" t="inlineStr">
        <is>
          <t>Advance procurement / LLTM</t>
        </is>
      </c>
      <c r="K231" s="13" t="inlineStr">
        <is>
          <t>USN</t>
        </is>
      </c>
      <c r="L231" s="7" t="inlineStr">
        <is>
          <t>Combatant Ships</t>
        </is>
      </c>
      <c r="M231" s="7" t="inlineStr">
        <is>
          <t>Submarines</t>
        </is>
      </c>
      <c r="N231" s="7" t="inlineStr">
        <is>
          <t>SSBN</t>
        </is>
      </c>
      <c r="O231" s="15" t="n"/>
      <c r="S231" s="16" t="n">
        <v>43408</v>
      </c>
      <c r="U231" s="16" t="n">
        <v>43408</v>
      </c>
      <c r="AC231" s="23">
        <f>IF(OR(E231="",E231="[PARENT]"),"ADD",IF(E231="[ALT_VIEW]","ALT",""))</f>
        <v/>
      </c>
      <c r="AD231" s="21">
        <f>IF(Y231&lt;&gt;"",Y231,IF(U231&lt;&gt;"",U231,S231))</f>
        <v/>
      </c>
      <c r="AE231" s="21">
        <f>IF(AB231&lt;&gt;"",AB231,Z231)</f>
        <v/>
      </c>
      <c r="AF231" s="13" t="inlineStr">
        <is>
          <t>P-10 &gt; COLUMBIA Class Submarine &gt; HM&amp;E (9) - SSBN 831 (In Support of AC)</t>
        </is>
      </c>
      <c r="AG231" s="7" t="inlineStr">
        <is>
          <t>59</t>
        </is>
      </c>
      <c r="AH231" s="7" t="inlineStr">
        <is>
          <t>1045</t>
        </is>
      </c>
      <c r="AJ231" s="7" t="inlineStr">
        <is>
          <t>SSBN 831 (In Support of AC)</t>
        </is>
      </c>
    </row>
    <row r="232" ht="10" customHeight="1">
      <c r="A232" s="7" t="inlineStr">
        <is>
          <t>SCN</t>
        </is>
      </c>
      <c r="B232" s="7" t="inlineStr">
        <is>
          <t>Procurement</t>
        </is>
      </c>
      <c r="D232" s="7" t="inlineStr">
        <is>
          <t>COLUMBIA Class Submarine - P-10 - SSBN 832 (In Support of AC)</t>
        </is>
      </c>
      <c r="E232" s="13" t="inlineStr">
        <is>
          <t>[SUB]</t>
        </is>
      </c>
      <c r="F232" s="7" t="inlineStr">
        <is>
          <t>1045 / COLUMBIA Class Submarine AP</t>
        </is>
      </c>
      <c r="I232" s="14" t="n">
        <v>1</v>
      </c>
      <c r="J232" s="7" t="inlineStr">
        <is>
          <t>Advance procurement / LLTM</t>
        </is>
      </c>
      <c r="K232" s="13" t="inlineStr">
        <is>
          <t>USN</t>
        </is>
      </c>
      <c r="L232" s="7" t="inlineStr">
        <is>
          <t>Combatant Ships</t>
        </is>
      </c>
      <c r="M232" s="7" t="inlineStr">
        <is>
          <t>Submarines</t>
        </is>
      </c>
      <c r="N232" s="7" t="inlineStr">
        <is>
          <t>SSBN</t>
        </is>
      </c>
      <c r="O232" s="15" t="n"/>
      <c r="S232" s="16" t="n">
        <v>6049</v>
      </c>
      <c r="U232" s="16" t="n">
        <v>6049</v>
      </c>
      <c r="AC232" s="23">
        <f>IF(OR(E232="",E232="[PARENT]"),"ADD",IF(E232="[ALT_VIEW]","ALT",""))</f>
        <v/>
      </c>
      <c r="AD232" s="21">
        <f>IF(Y232&lt;&gt;"",Y232,IF(U232&lt;&gt;"",U232,S232))</f>
        <v/>
      </c>
      <c r="AE232" s="21">
        <f>IF(AB232&lt;&gt;"",AB232,Z232)</f>
        <v/>
      </c>
      <c r="AF232" s="13" t="inlineStr">
        <is>
          <t>P-10 &gt; COLUMBIA Class Submarine &gt; SSBN 832 (In Support of AC)</t>
        </is>
      </c>
      <c r="AG232" s="7" t="inlineStr">
        <is>
          <t>60</t>
        </is>
      </c>
      <c r="AH232" s="7" t="inlineStr">
        <is>
          <t>1045</t>
        </is>
      </c>
      <c r="AJ232" s="7" t="inlineStr">
        <is>
          <t>SSBN 832 (In Support of AC)</t>
        </is>
      </c>
    </row>
    <row r="233" ht="10" customHeight="1">
      <c r="A233" s="7" t="inlineStr">
        <is>
          <t>SCN</t>
        </is>
      </c>
      <c r="B233" s="7" t="inlineStr">
        <is>
          <t>Procurement</t>
        </is>
      </c>
      <c r="D233" s="7" t="inlineStr">
        <is>
          <t>COLUMBIA Class Submarine - P-10 - SSBN 833 (In Support of AC)</t>
        </is>
      </c>
      <c r="E233" s="13" t="inlineStr">
        <is>
          <t>[SUB]</t>
        </is>
      </c>
      <c r="F233" s="7" t="inlineStr">
        <is>
          <t>1045 / COLUMBIA Class Submarine AP</t>
        </is>
      </c>
      <c r="I233" s="14" t="n">
        <v>1</v>
      </c>
      <c r="J233" s="7" t="inlineStr">
        <is>
          <t>Advance procurement / LLTM</t>
        </is>
      </c>
      <c r="K233" s="13" t="inlineStr">
        <is>
          <t>USN</t>
        </is>
      </c>
      <c r="L233" s="7" t="inlineStr">
        <is>
          <t>Combatant Ships</t>
        </is>
      </c>
      <c r="M233" s="7" t="inlineStr">
        <is>
          <t>Submarines</t>
        </is>
      </c>
      <c r="N233" s="7" t="inlineStr">
        <is>
          <t>SSBN</t>
        </is>
      </c>
      <c r="O233" s="15" t="n"/>
      <c r="S233" s="16" t="n">
        <v>0</v>
      </c>
      <c r="U233" s="16" t="n">
        <v>0</v>
      </c>
      <c r="AC233" s="23">
        <f>IF(OR(E233="",E233="[PARENT]"),"ADD",IF(E233="[ALT_VIEW]","ALT",""))</f>
        <v/>
      </c>
      <c r="AD233" s="21">
        <f>IF(Y233&lt;&gt;"",Y233,IF(U233&lt;&gt;"",U233,S233))</f>
        <v/>
      </c>
      <c r="AE233" s="21">
        <f>IF(AB233&lt;&gt;"",AB233,Z233)</f>
        <v/>
      </c>
      <c r="AF233" s="13" t="inlineStr">
        <is>
          <t>P-10 &gt; COLUMBIA Class Submarine &gt; SSBN 833 (In Support of AC)</t>
        </is>
      </c>
      <c r="AG233" s="7" t="inlineStr">
        <is>
          <t>60</t>
        </is>
      </c>
      <c r="AH233" s="7" t="inlineStr">
        <is>
          <t>1045</t>
        </is>
      </c>
    </row>
    <row r="234" ht="10" customHeight="1">
      <c r="A234" s="7" t="inlineStr">
        <is>
          <t>SCN</t>
        </is>
      </c>
      <c r="B234" s="7" t="inlineStr">
        <is>
          <t>Procurement</t>
        </is>
      </c>
      <c r="D234" s="7" t="inlineStr">
        <is>
          <t>COLUMBIA Class Submarine - P-10 - SSBN 834 (In Support of AC)</t>
        </is>
      </c>
      <c r="E234" s="13" t="inlineStr">
        <is>
          <t>[SUB]</t>
        </is>
      </c>
      <c r="F234" s="7" t="inlineStr">
        <is>
          <t>1045 / COLUMBIA Class Submarine AP</t>
        </is>
      </c>
      <c r="I234" s="14" t="n">
        <v>1</v>
      </c>
      <c r="J234" s="7" t="inlineStr">
        <is>
          <t>Advance procurement / LLTM</t>
        </is>
      </c>
      <c r="K234" s="13" t="inlineStr">
        <is>
          <t>USN</t>
        </is>
      </c>
      <c r="L234" s="7" t="inlineStr">
        <is>
          <t>Combatant Ships</t>
        </is>
      </c>
      <c r="M234" s="7" t="inlineStr">
        <is>
          <t>Submarines</t>
        </is>
      </c>
      <c r="N234" s="7" t="inlineStr">
        <is>
          <t>SSBN</t>
        </is>
      </c>
      <c r="O234" s="15" t="n"/>
      <c r="S234" s="16" t="n">
        <v>0</v>
      </c>
      <c r="U234" s="16" t="n">
        <v>0</v>
      </c>
      <c r="AC234" s="23">
        <f>IF(OR(E234="",E234="[PARENT]"),"ADD",IF(E234="[ALT_VIEW]","ALT",""))</f>
        <v/>
      </c>
      <c r="AD234" s="21">
        <f>IF(Y234&lt;&gt;"",Y234,IF(U234&lt;&gt;"",U234,S234))</f>
        <v/>
      </c>
      <c r="AE234" s="21">
        <f>IF(AB234&lt;&gt;"",AB234,Z234)</f>
        <v/>
      </c>
      <c r="AF234" s="13" t="inlineStr">
        <is>
          <t>P-10 &gt; COLUMBIA Class Submarine &gt; SSBN 834 (In Support of AC)</t>
        </is>
      </c>
      <c r="AG234" s="7" t="inlineStr">
        <is>
          <t>60</t>
        </is>
      </c>
      <c r="AH234" s="7" t="inlineStr">
        <is>
          <t>1045</t>
        </is>
      </c>
    </row>
    <row r="235" ht="10" customHeight="1">
      <c r="A235" s="7" t="inlineStr">
        <is>
          <t>SCN</t>
        </is>
      </c>
      <c r="B235" s="7" t="inlineStr">
        <is>
          <t>Procurement</t>
        </is>
      </c>
      <c r="D235" s="7" t="inlineStr">
        <is>
          <t>COLUMBIA Class Submarine - P-10 - SSBN 835 (In Support of AC)</t>
        </is>
      </c>
      <c r="E235" s="13" t="inlineStr">
        <is>
          <t>[SUB]</t>
        </is>
      </c>
      <c r="F235" s="7" t="inlineStr">
        <is>
          <t>1045 / COLUMBIA Class Submarine AP</t>
        </is>
      </c>
      <c r="I235" s="14" t="n">
        <v>1</v>
      </c>
      <c r="J235" s="7" t="inlineStr">
        <is>
          <t>Advance procurement / LLTM</t>
        </is>
      </c>
      <c r="K235" s="13" t="inlineStr">
        <is>
          <t>USN</t>
        </is>
      </c>
      <c r="L235" s="7" t="inlineStr">
        <is>
          <t>Combatant Ships</t>
        </is>
      </c>
      <c r="M235" s="7" t="inlineStr">
        <is>
          <t>Submarines</t>
        </is>
      </c>
      <c r="N235" s="7" t="inlineStr">
        <is>
          <t>SSBN</t>
        </is>
      </c>
      <c r="O235" s="15" t="n"/>
      <c r="S235" s="16" t="n">
        <v>0</v>
      </c>
      <c r="U235" s="16" t="n">
        <v>0</v>
      </c>
      <c r="AC235" s="23">
        <f>IF(OR(E235="",E235="[PARENT]"),"ADD",IF(E235="[ALT_VIEW]","ALT",""))</f>
        <v/>
      </c>
      <c r="AD235" s="21">
        <f>IF(Y235&lt;&gt;"",Y235,IF(U235&lt;&gt;"",U235,S235))</f>
        <v/>
      </c>
      <c r="AE235" s="21">
        <f>IF(AB235&lt;&gt;"",AB235,Z235)</f>
        <v/>
      </c>
      <c r="AF235" s="13" t="inlineStr">
        <is>
          <t>P-10 &gt; COLUMBIA Class Submarine &gt; SSBN 835 (In Support of AC)</t>
        </is>
      </c>
      <c r="AG235" s="7" t="inlineStr">
        <is>
          <t>60</t>
        </is>
      </c>
      <c r="AH235" s="7" t="inlineStr">
        <is>
          <t>1045</t>
        </is>
      </c>
      <c r="AJ235" s="7" t="inlineStr">
        <is>
          <t>SSBN 835 (In Support of AC)</t>
        </is>
      </c>
    </row>
    <row r="236" ht="10" customHeight="1">
      <c r="A236" s="7" t="inlineStr">
        <is>
          <t>SCN</t>
        </is>
      </c>
      <c r="B236" s="7" t="inlineStr">
        <is>
          <t>Procurement</t>
        </is>
      </c>
      <c r="D236" s="7" t="inlineStr">
        <is>
          <t>COLUMBIA Class Submarine - P-10 - SSBN 836 (In Support of AC)</t>
        </is>
      </c>
      <c r="E236" s="13" t="inlineStr">
        <is>
          <t>[SUB]</t>
        </is>
      </c>
      <c r="F236" s="7" t="inlineStr">
        <is>
          <t>1045 / COLUMBIA Class Submarine AP</t>
        </is>
      </c>
      <c r="I236" s="14" t="n">
        <v>1</v>
      </c>
      <c r="J236" s="7" t="inlineStr">
        <is>
          <t>Advance procurement / LLTM</t>
        </is>
      </c>
      <c r="K236" s="13" t="inlineStr">
        <is>
          <t>USN</t>
        </is>
      </c>
      <c r="L236" s="7" t="inlineStr">
        <is>
          <t>Combatant Ships</t>
        </is>
      </c>
      <c r="M236" s="7" t="inlineStr">
        <is>
          <t>Submarines</t>
        </is>
      </c>
      <c r="N236" s="7" t="inlineStr">
        <is>
          <t>SSBN</t>
        </is>
      </c>
      <c r="O236" s="15" t="n"/>
      <c r="S236" s="16" t="n">
        <v>0</v>
      </c>
      <c r="U236" s="16" t="n">
        <v>0</v>
      </c>
      <c r="AC236" s="23">
        <f>IF(OR(E236="",E236="[PARENT]"),"ADD",IF(E236="[ALT_VIEW]","ALT",""))</f>
        <v/>
      </c>
      <c r="AD236" s="21">
        <f>IF(Y236&lt;&gt;"",Y236,IF(U236&lt;&gt;"",U236,S236))</f>
        <v/>
      </c>
      <c r="AE236" s="21">
        <f>IF(AB236&lt;&gt;"",AB236,Z236)</f>
        <v/>
      </c>
      <c r="AF236" s="13" t="inlineStr">
        <is>
          <t>P-10 &gt; COLUMBIA Class Submarine &gt; SSBN 836 (In Support of AC)</t>
        </is>
      </c>
      <c r="AG236" s="7" t="inlineStr">
        <is>
          <t>60</t>
        </is>
      </c>
      <c r="AH236" s="7" t="inlineStr">
        <is>
          <t>1045</t>
        </is>
      </c>
      <c r="AJ236" s="7" t="inlineStr">
        <is>
          <t>SSBN 836 (In Support of AC)</t>
        </is>
      </c>
    </row>
    <row r="237" ht="10" customHeight="1">
      <c r="A237" s="7" t="inlineStr">
        <is>
          <t>SCN</t>
        </is>
      </c>
      <c r="B237" s="7" t="inlineStr">
        <is>
          <t>Procurement</t>
        </is>
      </c>
      <c r="D237" s="7" t="inlineStr">
        <is>
          <t>COLUMBIA Class Submarine - P-10 - SSBN 837 (In Support of AC)</t>
        </is>
      </c>
      <c r="E237" s="13" t="inlineStr">
        <is>
          <t>[SUB]</t>
        </is>
      </c>
      <c r="F237" s="7" t="inlineStr">
        <is>
          <t>1045 / COLUMBIA Class Submarine AP</t>
        </is>
      </c>
      <c r="I237" s="14" t="n">
        <v>1</v>
      </c>
      <c r="J237" s="7" t="inlineStr">
        <is>
          <t>Advance procurement / LLTM</t>
        </is>
      </c>
      <c r="K237" s="13" t="inlineStr">
        <is>
          <t>USN</t>
        </is>
      </c>
      <c r="L237" s="7" t="inlineStr">
        <is>
          <t>Combatant Ships</t>
        </is>
      </c>
      <c r="M237" s="7" t="inlineStr">
        <is>
          <t>Submarines</t>
        </is>
      </c>
      <c r="N237" s="7" t="inlineStr">
        <is>
          <t>SSBN</t>
        </is>
      </c>
      <c r="O237" s="15" t="n"/>
      <c r="S237" s="16" t="n">
        <v>0</v>
      </c>
      <c r="U237" s="16" t="n">
        <v>0</v>
      </c>
      <c r="AC237" s="23">
        <f>IF(OR(E237="",E237="[PARENT]"),"ADD",IF(E237="[ALT_VIEW]","ALT",""))</f>
        <v/>
      </c>
      <c r="AD237" s="21">
        <f>IF(Y237&lt;&gt;"",Y237,IF(U237&lt;&gt;"",U237,S237))</f>
        <v/>
      </c>
      <c r="AE237" s="21">
        <f>IF(AB237&lt;&gt;"",AB237,Z237)</f>
        <v/>
      </c>
      <c r="AF237" s="13" t="inlineStr">
        <is>
          <t>P-10 &gt; COLUMBIA Class Submarine &gt; SSBN 837 (In Support of AC)</t>
        </is>
      </c>
      <c r="AG237" s="7" t="inlineStr">
        <is>
          <t>60</t>
        </is>
      </c>
      <c r="AH237" s="7" t="inlineStr">
        <is>
          <t>1045</t>
        </is>
      </c>
      <c r="AJ237" s="7" t="inlineStr">
        <is>
          <t>SSBN 837 (In Support of AC)</t>
        </is>
      </c>
    </row>
    <row r="238" ht="10" customHeight="1">
      <c r="A238" s="7" t="inlineStr">
        <is>
          <t>SCN</t>
        </is>
      </c>
      <c r="B238" s="7" t="inlineStr">
        <is>
          <t>Procurement</t>
        </is>
      </c>
      <c r="D238" s="7" t="inlineStr">
        <is>
          <t>COLUMBIA Class Submarine - P-10 - ORDNANCE SWS SHIPBOARD SYSTEMS (10) - LLTM - SSBN 827 (In Support of AC)</t>
        </is>
      </c>
      <c r="E238" s="13" t="inlineStr">
        <is>
          <t>[SUB]</t>
        </is>
      </c>
      <c r="F238" s="7" t="inlineStr">
        <is>
          <t>1045 / COLUMBIA Class Submarine AP</t>
        </is>
      </c>
      <c r="I238" s="14" t="n">
        <v>1</v>
      </c>
      <c r="J238" s="7" t="inlineStr">
        <is>
          <t>Advance procurement / LLTM</t>
        </is>
      </c>
      <c r="K238" s="13" t="inlineStr">
        <is>
          <t>USN</t>
        </is>
      </c>
      <c r="L238" s="7" t="inlineStr">
        <is>
          <t>Combatant Ships</t>
        </is>
      </c>
      <c r="M238" s="7" t="inlineStr">
        <is>
          <t>Submarines</t>
        </is>
      </c>
      <c r="N238" s="7" t="inlineStr">
        <is>
          <t>SSBN</t>
        </is>
      </c>
      <c r="O238" s="15" t="n"/>
      <c r="S238" s="16" t="n">
        <v>0</v>
      </c>
      <c r="U238" s="16" t="n">
        <v>0</v>
      </c>
      <c r="AC238" s="23">
        <f>IF(OR(E238="",E238="[PARENT]"),"ADD",IF(E238="[ALT_VIEW]","ALT",""))</f>
        <v/>
      </c>
      <c r="AD238" s="21">
        <f>IF(Y238&lt;&gt;"",Y238,IF(U238&lt;&gt;"",U238,S238))</f>
        <v/>
      </c>
      <c r="AE238" s="21">
        <f>IF(AB238&lt;&gt;"",AB238,Z238)</f>
        <v/>
      </c>
      <c r="AF238" s="13" t="inlineStr">
        <is>
          <t>P-10 &gt; COLUMBIA Class Submarine &gt; ORDNANCE SWS SHIPBOARD SYSTEMS (10) - LLTM - SSBN 827 (In Support of AC)</t>
        </is>
      </c>
      <c r="AG238" s="7" t="inlineStr">
        <is>
          <t>60</t>
        </is>
      </c>
      <c r="AH238" s="7" t="inlineStr">
        <is>
          <t>1045</t>
        </is>
      </c>
    </row>
    <row r="239" ht="10" customHeight="1">
      <c r="A239" s="7" t="inlineStr">
        <is>
          <t>SCN</t>
        </is>
      </c>
      <c r="B239" s="7" t="inlineStr">
        <is>
          <t>Procurement</t>
        </is>
      </c>
      <c r="D239" s="7" t="inlineStr">
        <is>
          <t>COLUMBIA Class Submarine - P-10 - ORDNANCE SWS SHIPBOARD SYSTEMS (10) - LLTM - SSBN 828 (In Support of AC)</t>
        </is>
      </c>
      <c r="E239" s="13" t="inlineStr">
        <is>
          <t>[SUB]</t>
        </is>
      </c>
      <c r="F239" s="7" t="inlineStr">
        <is>
          <t>1045 / COLUMBIA Class Submarine AP</t>
        </is>
      </c>
      <c r="I239" s="14" t="n">
        <v>1</v>
      </c>
      <c r="J239" s="7" t="inlineStr">
        <is>
          <t>Advance procurement / LLTM</t>
        </is>
      </c>
      <c r="K239" s="13" t="inlineStr">
        <is>
          <t>USN</t>
        </is>
      </c>
      <c r="L239" s="7" t="inlineStr">
        <is>
          <t>Combatant Ships</t>
        </is>
      </c>
      <c r="M239" s="7" t="inlineStr">
        <is>
          <t>Submarines</t>
        </is>
      </c>
      <c r="N239" s="7" t="inlineStr">
        <is>
          <t>SSBN</t>
        </is>
      </c>
      <c r="O239" s="15" t="n"/>
      <c r="P239" s="16" t="n">
        <v>54102</v>
      </c>
      <c r="Q239" s="16" t="n">
        <v>24641</v>
      </c>
      <c r="S239" s="16" t="n">
        <v>0</v>
      </c>
      <c r="U239" s="16" t="n">
        <v>0</v>
      </c>
      <c r="AC239" s="23">
        <f>IF(OR(E239="",E239="[PARENT]"),"ADD",IF(E239="[ALT_VIEW]","ALT",""))</f>
        <v/>
      </c>
      <c r="AD239" s="21">
        <f>IF(Y239&lt;&gt;"",Y239,IF(U239&lt;&gt;"",U239,S239))</f>
        <v/>
      </c>
      <c r="AE239" s="21">
        <f>IF(AB239&lt;&gt;"",AB239,Z239)</f>
        <v/>
      </c>
      <c r="AF239" s="13" t="inlineStr">
        <is>
          <t>P-10 &gt; COLUMBIA Class Submarine &gt; ORDNANCE SWS SHIPBOARD SYSTEMS (10) - LLTM - SSBN 828 (In Support of AC)</t>
        </is>
      </c>
      <c r="AG239" s="7" t="inlineStr">
        <is>
          <t>60</t>
        </is>
      </c>
      <c r="AH239" s="7" t="inlineStr">
        <is>
          <t>1045</t>
        </is>
      </c>
      <c r="AJ239" s="7" t="inlineStr">
        <is>
          <t>SSBN 828 (In Support of AC)</t>
        </is>
      </c>
    </row>
    <row r="240" ht="10" customHeight="1">
      <c r="A240" s="7" t="inlineStr">
        <is>
          <t>SCN</t>
        </is>
      </c>
      <c r="B240" s="7" t="inlineStr">
        <is>
          <t>Procurement</t>
        </is>
      </c>
      <c r="D240" s="7" t="inlineStr">
        <is>
          <t>COLUMBIA Class Submarine - P-10 - ORDNANCE SWS SHIPBOARD SYSTEMS (10) - LLTM - SSBN 829 (In Support of AC)</t>
        </is>
      </c>
      <c r="E240" s="13" t="inlineStr">
        <is>
          <t>[SUB]</t>
        </is>
      </c>
      <c r="F240" s="7" t="inlineStr">
        <is>
          <t>1045 / COLUMBIA Class Submarine AP</t>
        </is>
      </c>
      <c r="I240" s="14" t="n">
        <v>1</v>
      </c>
      <c r="J240" s="7" t="inlineStr">
        <is>
          <t>Advance procurement / LLTM</t>
        </is>
      </c>
      <c r="K240" s="13" t="inlineStr">
        <is>
          <t>USN</t>
        </is>
      </c>
      <c r="L240" s="7" t="inlineStr">
        <is>
          <t>Combatant Ships</t>
        </is>
      </c>
      <c r="M240" s="7" t="inlineStr">
        <is>
          <t>Submarines</t>
        </is>
      </c>
      <c r="N240" s="7" t="inlineStr">
        <is>
          <t>SSBN</t>
        </is>
      </c>
      <c r="O240" s="15" t="n"/>
      <c r="P240" s="16" t="n">
        <v>12390</v>
      </c>
      <c r="Q240" s="16" t="n">
        <v>60219</v>
      </c>
      <c r="S240" s="16" t="n">
        <v>29510</v>
      </c>
      <c r="U240" s="16" t="n">
        <v>29510</v>
      </c>
      <c r="AC240" s="23">
        <f>IF(OR(E240="",E240="[PARENT]"),"ADD",IF(E240="[ALT_VIEW]","ALT",""))</f>
        <v/>
      </c>
      <c r="AD240" s="21">
        <f>IF(Y240&lt;&gt;"",Y240,IF(U240&lt;&gt;"",U240,S240))</f>
        <v/>
      </c>
      <c r="AE240" s="21">
        <f>IF(AB240&lt;&gt;"",AB240,Z240)</f>
        <v/>
      </c>
      <c r="AF240" s="13" t="inlineStr">
        <is>
          <t>P-10 &gt; COLUMBIA Class Submarine &gt; ORDNANCE SWS SHIPBOARD SYSTEMS (10) - LLTM - SSBN 829 (In Support of AC)</t>
        </is>
      </c>
      <c r="AG240" s="7" t="inlineStr">
        <is>
          <t>60</t>
        </is>
      </c>
      <c r="AH240" s="7" t="inlineStr">
        <is>
          <t>1045</t>
        </is>
      </c>
      <c r="AJ240" s="7" t="inlineStr">
        <is>
          <t>SSBN 829 (In Support of AC)</t>
        </is>
      </c>
    </row>
    <row r="241" ht="10" customHeight="1">
      <c r="A241" s="7" t="inlineStr">
        <is>
          <t>SCN</t>
        </is>
      </c>
      <c r="B241" s="7" t="inlineStr">
        <is>
          <t>Procurement</t>
        </is>
      </c>
      <c r="D241" s="7" t="inlineStr">
        <is>
          <t>COLUMBIA Class Submarine - P-10 - ORDNANCE SWS SHIPBOARD SYSTEMS (10) - LLTM - SSBN 830 (In Support of AC)</t>
        </is>
      </c>
      <c r="E241" s="13" t="inlineStr">
        <is>
          <t>[SUB]</t>
        </is>
      </c>
      <c r="F241" s="7" t="inlineStr">
        <is>
          <t>1045 / COLUMBIA Class Submarine AP</t>
        </is>
      </c>
      <c r="I241" s="14" t="n">
        <v>1</v>
      </c>
      <c r="J241" s="7" t="inlineStr">
        <is>
          <t>Advance procurement / LLTM</t>
        </is>
      </c>
      <c r="K241" s="13" t="inlineStr">
        <is>
          <t>USN</t>
        </is>
      </c>
      <c r="L241" s="7" t="inlineStr">
        <is>
          <t>Combatant Ships</t>
        </is>
      </c>
      <c r="M241" s="7" t="inlineStr">
        <is>
          <t>Submarines</t>
        </is>
      </c>
      <c r="N241" s="7" t="inlineStr">
        <is>
          <t>SSBN</t>
        </is>
      </c>
      <c r="O241" s="15" t="n"/>
      <c r="P241" s="16" t="n">
        <v>5375</v>
      </c>
      <c r="Q241" s="16" t="n">
        <v>44826</v>
      </c>
      <c r="S241" s="16" t="n">
        <v>46009</v>
      </c>
      <c r="U241" s="16" t="n">
        <v>46009</v>
      </c>
      <c r="AC241" s="23">
        <f>IF(OR(E241="",E241="[PARENT]"),"ADD",IF(E241="[ALT_VIEW]","ALT",""))</f>
        <v/>
      </c>
      <c r="AD241" s="21">
        <f>IF(Y241&lt;&gt;"",Y241,IF(U241&lt;&gt;"",U241,S241))</f>
        <v/>
      </c>
      <c r="AE241" s="21">
        <f>IF(AB241&lt;&gt;"",AB241,Z241)</f>
        <v/>
      </c>
      <c r="AF241" s="13" t="inlineStr">
        <is>
          <t>P-10 &gt; COLUMBIA Class Submarine &gt; ORDNANCE SWS SHIPBOARD SYSTEMS (10) - LLTM - SSBN 830 (In Support of AC)</t>
        </is>
      </c>
      <c r="AG241" s="7" t="inlineStr">
        <is>
          <t>60</t>
        </is>
      </c>
      <c r="AH241" s="7" t="inlineStr">
        <is>
          <t>1045</t>
        </is>
      </c>
      <c r="AJ241" s="7" t="inlineStr">
        <is>
          <t>SSBN 830 (In Support of AC)</t>
        </is>
      </c>
    </row>
    <row r="242" ht="10" customHeight="1">
      <c r="A242" s="7" t="inlineStr">
        <is>
          <t>SCN</t>
        </is>
      </c>
      <c r="B242" s="7" t="inlineStr">
        <is>
          <t>Procurement</t>
        </is>
      </c>
      <c r="D242" s="7" t="inlineStr">
        <is>
          <t>COLUMBIA Class Submarine - P-10 - ORDNANCE SWS SHIPBOARD SYSTEMS (10) - LLTM - SSBN 831 (In Support of AC)</t>
        </is>
      </c>
      <c r="E242" s="13" t="inlineStr">
        <is>
          <t>[SUB]</t>
        </is>
      </c>
      <c r="F242" s="7" t="inlineStr">
        <is>
          <t>1045 / COLUMBIA Class Submarine AP</t>
        </is>
      </c>
      <c r="I242" s="14" t="n">
        <v>1</v>
      </c>
      <c r="J242" s="7" t="inlineStr">
        <is>
          <t>Advance procurement / LLTM</t>
        </is>
      </c>
      <c r="K242" s="13" t="inlineStr">
        <is>
          <t>USN</t>
        </is>
      </c>
      <c r="L242" s="7" t="inlineStr">
        <is>
          <t>Combatant Ships</t>
        </is>
      </c>
      <c r="M242" s="7" t="inlineStr">
        <is>
          <t>Submarines</t>
        </is>
      </c>
      <c r="N242" s="7" t="inlineStr">
        <is>
          <t>SSBN</t>
        </is>
      </c>
      <c r="O242" s="15" t="n"/>
      <c r="Q242" s="16" t="n">
        <v>5429</v>
      </c>
      <c r="S242" s="16" t="n">
        <v>35875</v>
      </c>
      <c r="U242" s="16" t="n">
        <v>35875</v>
      </c>
      <c r="AC242" s="23">
        <f>IF(OR(E242="",E242="[PARENT]"),"ADD",IF(E242="[ALT_VIEW]","ALT",""))</f>
        <v/>
      </c>
      <c r="AD242" s="21">
        <f>IF(Y242&lt;&gt;"",Y242,IF(U242&lt;&gt;"",U242,S242))</f>
        <v/>
      </c>
      <c r="AE242" s="21">
        <f>IF(AB242&lt;&gt;"",AB242,Z242)</f>
        <v/>
      </c>
      <c r="AF242" s="13" t="inlineStr">
        <is>
          <t>P-10 &gt; COLUMBIA Class Submarine &gt; ORDNANCE SWS SHIPBOARD SYSTEMS (10) - LLTM - SSBN 831 (In Support of AC)</t>
        </is>
      </c>
      <c r="AG242" s="7" t="inlineStr">
        <is>
          <t>60</t>
        </is>
      </c>
      <c r="AH242" s="7" t="inlineStr">
        <is>
          <t>1045</t>
        </is>
      </c>
      <c r="AJ242" s="7" t="inlineStr">
        <is>
          <t>SSBN 831 (In Support of AC)</t>
        </is>
      </c>
    </row>
    <row r="243" ht="10" customHeight="1">
      <c r="A243" s="7" t="inlineStr">
        <is>
          <t>SCN</t>
        </is>
      </c>
      <c r="B243" s="7" t="inlineStr">
        <is>
          <t>Procurement</t>
        </is>
      </c>
      <c r="D243" s="7" t="inlineStr">
        <is>
          <t>COLUMBIA Class Submarine - P-10 - ORDNANCE SWS SHIPBOARD SYSTEMS (10) - LLTM - SSBN 832 (In Support of AC)</t>
        </is>
      </c>
      <c r="E243" s="13" t="inlineStr">
        <is>
          <t>[SUB]</t>
        </is>
      </c>
      <c r="F243" s="7" t="inlineStr">
        <is>
          <t>1045 / COLUMBIA Class Submarine AP</t>
        </is>
      </c>
      <c r="I243" s="14" t="n">
        <v>1</v>
      </c>
      <c r="J243" s="7" t="inlineStr">
        <is>
          <t>Advance procurement / LLTM</t>
        </is>
      </c>
      <c r="K243" s="13" t="inlineStr">
        <is>
          <t>USN</t>
        </is>
      </c>
      <c r="L243" s="7" t="inlineStr">
        <is>
          <t>Combatant Ships</t>
        </is>
      </c>
      <c r="M243" s="7" t="inlineStr">
        <is>
          <t>Submarines</t>
        </is>
      </c>
      <c r="N243" s="7" t="inlineStr">
        <is>
          <t>SSBN</t>
        </is>
      </c>
      <c r="O243" s="15" t="n"/>
      <c r="S243" s="16" t="n">
        <v>12952</v>
      </c>
      <c r="U243" s="16" t="n">
        <v>12952</v>
      </c>
      <c r="AC243" s="23">
        <f>IF(OR(E243="",E243="[PARENT]"),"ADD",IF(E243="[ALT_VIEW]","ALT",""))</f>
        <v/>
      </c>
      <c r="AD243" s="21">
        <f>IF(Y243&lt;&gt;"",Y243,IF(U243&lt;&gt;"",U243,S243))</f>
        <v/>
      </c>
      <c r="AE243" s="21">
        <f>IF(AB243&lt;&gt;"",AB243,Z243)</f>
        <v/>
      </c>
      <c r="AF243" s="13" t="inlineStr">
        <is>
          <t>P-10 &gt; COLUMBIA Class Submarine &gt; ORDNANCE SWS SHIPBOARD SYSTEMS (10) - LLTM - SSBN 832 (In Support of AC)</t>
        </is>
      </c>
      <c r="AG243" s="7" t="inlineStr">
        <is>
          <t>60</t>
        </is>
      </c>
      <c r="AH243" s="7" t="inlineStr">
        <is>
          <t>1045</t>
        </is>
      </c>
      <c r="AJ243" s="7" t="inlineStr">
        <is>
          <t>SSBN 832 (In Support of AC)</t>
        </is>
      </c>
    </row>
    <row r="244" ht="10" customHeight="1">
      <c r="A244" s="7" t="inlineStr">
        <is>
          <t>SCN</t>
        </is>
      </c>
      <c r="B244" s="7" t="inlineStr">
        <is>
          <t>Procurement</t>
        </is>
      </c>
      <c r="D244" s="7" t="inlineStr">
        <is>
          <t>COLUMBIA Class Submarine - P-10 - ORDNANCE SWS SHIPBOARD SYSTEMS (10) - LLTM - SSBN 833 (In Support of AC)</t>
        </is>
      </c>
      <c r="E244" s="13" t="inlineStr">
        <is>
          <t>[SUB]</t>
        </is>
      </c>
      <c r="F244" s="7" t="inlineStr">
        <is>
          <t>1045 / COLUMBIA Class Submarine AP</t>
        </is>
      </c>
      <c r="I244" s="14" t="n">
        <v>1</v>
      </c>
      <c r="J244" s="7" t="inlineStr">
        <is>
          <t>Advance procurement / LLTM</t>
        </is>
      </c>
      <c r="K244" s="13" t="inlineStr">
        <is>
          <t>USN</t>
        </is>
      </c>
      <c r="L244" s="7" t="inlineStr">
        <is>
          <t>Combatant Ships</t>
        </is>
      </c>
      <c r="M244" s="7" t="inlineStr">
        <is>
          <t>Submarines</t>
        </is>
      </c>
      <c r="N244" s="7" t="inlineStr">
        <is>
          <t>SSBN</t>
        </is>
      </c>
      <c r="O244" s="15" t="n"/>
      <c r="S244" s="16" t="n">
        <v>0</v>
      </c>
      <c r="U244" s="16" t="n">
        <v>0</v>
      </c>
      <c r="AC244" s="23">
        <f>IF(OR(E244="",E244="[PARENT]"),"ADD",IF(E244="[ALT_VIEW]","ALT",""))</f>
        <v/>
      </c>
      <c r="AD244" s="21">
        <f>IF(Y244&lt;&gt;"",Y244,IF(U244&lt;&gt;"",U244,S244))</f>
        <v/>
      </c>
      <c r="AE244" s="21">
        <f>IF(AB244&lt;&gt;"",AB244,Z244)</f>
        <v/>
      </c>
      <c r="AF244" s="13" t="inlineStr">
        <is>
          <t>P-10 &gt; COLUMBIA Class Submarine &gt; ORDNANCE SWS SHIPBOARD SYSTEMS (10) - LLTM - SSBN 833 (In Support of AC)</t>
        </is>
      </c>
      <c r="AG244" s="7" t="inlineStr">
        <is>
          <t>60</t>
        </is>
      </c>
      <c r="AH244" s="7" t="inlineStr">
        <is>
          <t>1045</t>
        </is>
      </c>
    </row>
    <row r="245" ht="10" customHeight="1">
      <c r="A245" s="7" t="inlineStr">
        <is>
          <t>SCN</t>
        </is>
      </c>
      <c r="B245" s="7" t="inlineStr">
        <is>
          <t>Procurement</t>
        </is>
      </c>
      <c r="D245" s="7" t="inlineStr">
        <is>
          <t>COLUMBIA Class Submarine - P-10 - ORDNANCE SWS SHIPBOARD SYSTEMS (10) - LLTM - SSBN 834 (In Support of AC)</t>
        </is>
      </c>
      <c r="E245" s="13" t="inlineStr">
        <is>
          <t>[SUB]</t>
        </is>
      </c>
      <c r="F245" s="7" t="inlineStr">
        <is>
          <t>1045 / COLUMBIA Class Submarine AP</t>
        </is>
      </c>
      <c r="I245" s="14" t="n">
        <v>1</v>
      </c>
      <c r="J245" s="7" t="inlineStr">
        <is>
          <t>Advance procurement / LLTM</t>
        </is>
      </c>
      <c r="K245" s="13" t="inlineStr">
        <is>
          <t>USN</t>
        </is>
      </c>
      <c r="L245" s="7" t="inlineStr">
        <is>
          <t>Combatant Ships</t>
        </is>
      </c>
      <c r="M245" s="7" t="inlineStr">
        <is>
          <t>Submarines</t>
        </is>
      </c>
      <c r="N245" s="7" t="inlineStr">
        <is>
          <t>SSBN</t>
        </is>
      </c>
      <c r="O245" s="15" t="n"/>
      <c r="S245" s="16" t="n">
        <v>0</v>
      </c>
      <c r="U245" s="16" t="n">
        <v>0</v>
      </c>
      <c r="AC245" s="23">
        <f>IF(OR(E245="",E245="[PARENT]"),"ADD",IF(E245="[ALT_VIEW]","ALT",""))</f>
        <v/>
      </c>
      <c r="AD245" s="21">
        <f>IF(Y245&lt;&gt;"",Y245,IF(U245&lt;&gt;"",U245,S245))</f>
        <v/>
      </c>
      <c r="AE245" s="21">
        <f>IF(AB245&lt;&gt;"",AB245,Z245)</f>
        <v/>
      </c>
      <c r="AF245" s="13" t="inlineStr">
        <is>
          <t>P-10 &gt; COLUMBIA Class Submarine &gt; ORDNANCE SWS SHIPBOARD SYSTEMS (10) - LLTM - SSBN 834 (In Support of AC)</t>
        </is>
      </c>
      <c r="AG245" s="7" t="inlineStr">
        <is>
          <t>60</t>
        </is>
      </c>
      <c r="AH245" s="7" t="inlineStr">
        <is>
          <t>1045</t>
        </is>
      </c>
    </row>
    <row r="246" ht="10" customHeight="1">
      <c r="A246" s="7" t="inlineStr">
        <is>
          <t>SCN</t>
        </is>
      </c>
      <c r="B246" s="7" t="inlineStr">
        <is>
          <t>Procurement</t>
        </is>
      </c>
      <c r="D246" s="7" t="inlineStr">
        <is>
          <t>COLUMBIA Class Submarine - P-10 - ORDNANCE SWS SHIPBOARD SYSTEMS (10) - LLTM - SSBN 835 (In Support of AC)</t>
        </is>
      </c>
      <c r="E246" s="13" t="inlineStr">
        <is>
          <t>[SUB]</t>
        </is>
      </c>
      <c r="F246" s="7" t="inlineStr">
        <is>
          <t>1045 / COLUMBIA Class Submarine AP</t>
        </is>
      </c>
      <c r="I246" s="14" t="n">
        <v>1</v>
      </c>
      <c r="J246" s="7" t="inlineStr">
        <is>
          <t>Advance procurement / LLTM</t>
        </is>
      </c>
      <c r="K246" s="13" t="inlineStr">
        <is>
          <t>USN</t>
        </is>
      </c>
      <c r="L246" s="7" t="inlineStr">
        <is>
          <t>Combatant Ships</t>
        </is>
      </c>
      <c r="M246" s="7" t="inlineStr">
        <is>
          <t>Submarines</t>
        </is>
      </c>
      <c r="N246" s="7" t="inlineStr">
        <is>
          <t>SSBN</t>
        </is>
      </c>
      <c r="O246" s="15" t="n"/>
      <c r="S246" s="16" t="n">
        <v>0</v>
      </c>
      <c r="U246" s="16" t="n">
        <v>0</v>
      </c>
      <c r="AC246" s="23">
        <f>IF(OR(E246="",E246="[PARENT]"),"ADD",IF(E246="[ALT_VIEW]","ALT",""))</f>
        <v/>
      </c>
      <c r="AD246" s="21">
        <f>IF(Y246&lt;&gt;"",Y246,IF(U246&lt;&gt;"",U246,S246))</f>
        <v/>
      </c>
      <c r="AE246" s="21">
        <f>IF(AB246&lt;&gt;"",AB246,Z246)</f>
        <v/>
      </c>
      <c r="AF246" s="13" t="inlineStr">
        <is>
          <t>P-10 &gt; COLUMBIA Class Submarine &gt; ORDNANCE SWS SHIPBOARD SYSTEMS (10) - LLTM - SSBN 835 (In Support of AC)</t>
        </is>
      </c>
      <c r="AG246" s="7" t="inlineStr">
        <is>
          <t>60</t>
        </is>
      </c>
      <c r="AH246" s="7" t="inlineStr">
        <is>
          <t>1045</t>
        </is>
      </c>
    </row>
    <row r="247" ht="10" customHeight="1">
      <c r="A247" s="7" t="inlineStr">
        <is>
          <t>SCN</t>
        </is>
      </c>
      <c r="B247" s="7" t="inlineStr">
        <is>
          <t>Procurement</t>
        </is>
      </c>
      <c r="D247" s="7" t="inlineStr">
        <is>
          <t>COLUMBIA Class Submarine - P-10 - ORDNANCE SWS SHIPBOARD SYSTEMS (10) - LLTM - SSBN 836 (In Support of AC)</t>
        </is>
      </c>
      <c r="E247" s="13" t="inlineStr">
        <is>
          <t>[SUB]</t>
        </is>
      </c>
      <c r="F247" s="7" t="inlineStr">
        <is>
          <t>1045 / COLUMBIA Class Submarine AP</t>
        </is>
      </c>
      <c r="I247" s="14" t="n">
        <v>1</v>
      </c>
      <c r="J247" s="7" t="inlineStr">
        <is>
          <t>Advance procurement / LLTM</t>
        </is>
      </c>
      <c r="K247" s="13" t="inlineStr">
        <is>
          <t>USN</t>
        </is>
      </c>
      <c r="L247" s="7" t="inlineStr">
        <is>
          <t>Combatant Ships</t>
        </is>
      </c>
      <c r="M247" s="7" t="inlineStr">
        <is>
          <t>Submarines</t>
        </is>
      </c>
      <c r="N247" s="7" t="inlineStr">
        <is>
          <t>SSBN</t>
        </is>
      </c>
      <c r="O247" s="15" t="n"/>
      <c r="S247" s="16" t="n">
        <v>0</v>
      </c>
      <c r="U247" s="16" t="n">
        <v>0</v>
      </c>
      <c r="AC247" s="23">
        <f>IF(OR(E247="",E247="[PARENT]"),"ADD",IF(E247="[ALT_VIEW]","ALT",""))</f>
        <v/>
      </c>
      <c r="AD247" s="21">
        <f>IF(Y247&lt;&gt;"",Y247,IF(U247&lt;&gt;"",U247,S247))</f>
        <v/>
      </c>
      <c r="AE247" s="21">
        <f>IF(AB247&lt;&gt;"",AB247,Z247)</f>
        <v/>
      </c>
      <c r="AF247" s="13" t="inlineStr">
        <is>
          <t>P-10 &gt; COLUMBIA Class Submarine &gt; ORDNANCE SWS SHIPBOARD SYSTEMS (10) - LLTM - SSBN 836 (In Support of AC)</t>
        </is>
      </c>
      <c r="AG247" s="7" t="inlineStr">
        <is>
          <t>60</t>
        </is>
      </c>
      <c r="AH247" s="7" t="inlineStr">
        <is>
          <t>1045</t>
        </is>
      </c>
    </row>
    <row r="248" ht="10" customHeight="1">
      <c r="A248" s="7" t="inlineStr">
        <is>
          <t>SCN</t>
        </is>
      </c>
      <c r="B248" s="7" t="inlineStr">
        <is>
          <t>Procurement</t>
        </is>
      </c>
      <c r="D248" s="7" t="inlineStr">
        <is>
          <t>COLUMBIA Class Submarine - P-10 - ORDNANCE SWS SHIPBOARD SYSTEMS (10) - LLTM - SSBN 837 (In Support of AC)</t>
        </is>
      </c>
      <c r="E248" s="13" t="inlineStr">
        <is>
          <t>[SUB]</t>
        </is>
      </c>
      <c r="F248" s="7" t="inlineStr">
        <is>
          <t>1045 / COLUMBIA Class Submarine AP</t>
        </is>
      </c>
      <c r="I248" s="14" t="n">
        <v>1</v>
      </c>
      <c r="J248" s="7" t="inlineStr">
        <is>
          <t>Advance procurement / LLTM</t>
        </is>
      </c>
      <c r="K248" s="13" t="inlineStr">
        <is>
          <t>USN</t>
        </is>
      </c>
      <c r="L248" s="7" t="inlineStr">
        <is>
          <t>Combatant Ships</t>
        </is>
      </c>
      <c r="M248" s="7" t="inlineStr">
        <is>
          <t>Submarines</t>
        </is>
      </c>
      <c r="N248" s="7" t="inlineStr">
        <is>
          <t>SSBN</t>
        </is>
      </c>
      <c r="O248" s="15" t="n"/>
      <c r="S248" s="16" t="n">
        <v>0</v>
      </c>
      <c r="U248" s="16" t="n">
        <v>0</v>
      </c>
      <c r="AC248" s="23">
        <f>IF(OR(E248="",E248="[PARENT]"),"ADD",IF(E248="[ALT_VIEW]","ALT",""))</f>
        <v/>
      </c>
      <c r="AD248" s="21">
        <f>IF(Y248&lt;&gt;"",Y248,IF(U248&lt;&gt;"",U248,S248))</f>
        <v/>
      </c>
      <c r="AE248" s="21">
        <f>IF(AB248&lt;&gt;"",AB248,Z248)</f>
        <v/>
      </c>
      <c r="AF248" s="13" t="inlineStr">
        <is>
          <t>P-10 &gt; COLUMBIA Class Submarine &gt; ORDNANCE SWS SHIPBOARD SYSTEMS (10) - LLTM - SSBN 837 (In Support of AC)</t>
        </is>
      </c>
      <c r="AG248" s="7" t="inlineStr">
        <is>
          <t>60</t>
        </is>
      </c>
      <c r="AH248" s="7" t="inlineStr">
        <is>
          <t>1045</t>
        </is>
      </c>
    </row>
    <row r="249" ht="10" customHeight="1">
      <c r="A249" s="7" t="inlineStr">
        <is>
          <t>SCN</t>
        </is>
      </c>
      <c r="B249" s="7" t="inlineStr">
        <is>
          <t>Procurement</t>
        </is>
      </c>
      <c r="D249" s="7" t="inlineStr">
        <is>
          <t>COLUMBIA Class Submarine - P-10 - ORDNANCE SWS SHIPBOARD SYSTEMS (11) - ECONOMIC ORDER QUANTITY - SSBN 827</t>
        </is>
      </c>
      <c r="E249" s="13" t="inlineStr">
        <is>
          <t>[SUB]</t>
        </is>
      </c>
      <c r="F249" s="7" t="inlineStr">
        <is>
          <t>1045 / COLUMBIA Class Submarine AP</t>
        </is>
      </c>
      <c r="I249" s="14" t="n">
        <v>1</v>
      </c>
      <c r="J249" s="7" t="inlineStr">
        <is>
          <t>Advance procurement / LLTM</t>
        </is>
      </c>
      <c r="K249" s="13" t="inlineStr">
        <is>
          <t>USN</t>
        </is>
      </c>
      <c r="L249" s="7" t="inlineStr">
        <is>
          <t>Combatant Ships</t>
        </is>
      </c>
      <c r="M249" s="7" t="inlineStr">
        <is>
          <t>Submarines</t>
        </is>
      </c>
      <c r="N249" s="7" t="inlineStr">
        <is>
          <t>SSBN</t>
        </is>
      </c>
      <c r="O249" s="15" t="n"/>
      <c r="S249" s="16" t="n">
        <v>0</v>
      </c>
      <c r="U249" s="16" t="n">
        <v>0</v>
      </c>
      <c r="AC249" s="23">
        <f>IF(OR(E249="",E249="[PARENT]"),"ADD",IF(E249="[ALT_VIEW]","ALT",""))</f>
        <v/>
      </c>
      <c r="AD249" s="21">
        <f>IF(Y249&lt;&gt;"",Y249,IF(U249&lt;&gt;"",U249,S249))</f>
        <v/>
      </c>
      <c r="AE249" s="21">
        <f>IF(AB249&lt;&gt;"",AB249,Z249)</f>
        <v/>
      </c>
      <c r="AF249" s="13" t="inlineStr">
        <is>
          <t>P-10 &gt; COLUMBIA Class Submarine &gt; ORDNANCE SWS SHIPBOARD SYSTEMS (11) - ECONOMIC ORDER QUANTITY - SSBN 827</t>
        </is>
      </c>
      <c r="AG249" s="7" t="inlineStr">
        <is>
          <t>60</t>
        </is>
      </c>
      <c r="AH249" s="7" t="inlineStr">
        <is>
          <t>1045</t>
        </is>
      </c>
    </row>
    <row r="250" ht="10" customHeight="1">
      <c r="A250" s="7" t="inlineStr">
        <is>
          <t>SCN</t>
        </is>
      </c>
      <c r="B250" s="7" t="inlineStr">
        <is>
          <t>Procurement</t>
        </is>
      </c>
      <c r="D250" s="7" t="inlineStr">
        <is>
          <t>COLUMBIA Class Submarine - P-10 - ORDNANCE SWS SHIPBOARD SYSTEMS (11) - ECONOMIC ORDER QUANTITY - SSBN 828</t>
        </is>
      </c>
      <c r="E250" s="13" t="inlineStr">
        <is>
          <t>[SUB]</t>
        </is>
      </c>
      <c r="F250" s="7" t="inlineStr">
        <is>
          <t>1045 / COLUMBIA Class Submarine AP</t>
        </is>
      </c>
      <c r="I250" s="14" t="n">
        <v>1</v>
      </c>
      <c r="J250" s="7" t="inlineStr">
        <is>
          <t>Advance procurement / LLTM</t>
        </is>
      </c>
      <c r="K250" s="13" t="inlineStr">
        <is>
          <t>USN</t>
        </is>
      </c>
      <c r="L250" s="7" t="inlineStr">
        <is>
          <t>Combatant Ships</t>
        </is>
      </c>
      <c r="M250" s="7" t="inlineStr">
        <is>
          <t>Submarines</t>
        </is>
      </c>
      <c r="N250" s="7" t="inlineStr">
        <is>
          <t>SSBN</t>
        </is>
      </c>
      <c r="O250" s="15" t="n"/>
      <c r="P250" s="16" t="n">
        <v>929</v>
      </c>
      <c r="Q250" s="16" t="n">
        <v>255</v>
      </c>
      <c r="S250" s="16" t="n">
        <v>0</v>
      </c>
      <c r="U250" s="16" t="n">
        <v>0</v>
      </c>
      <c r="AC250" s="23">
        <f>IF(OR(E250="",E250="[PARENT]"),"ADD",IF(E250="[ALT_VIEW]","ALT",""))</f>
        <v/>
      </c>
      <c r="AD250" s="21">
        <f>IF(Y250&lt;&gt;"",Y250,IF(U250&lt;&gt;"",U250,S250))</f>
        <v/>
      </c>
      <c r="AE250" s="21">
        <f>IF(AB250&lt;&gt;"",AB250,Z250)</f>
        <v/>
      </c>
      <c r="AF250" s="13" t="inlineStr">
        <is>
          <t>P-10 &gt; COLUMBIA Class Submarine &gt; ORDNANCE SWS SHIPBOARD SYSTEMS (11) - ECONOMIC ORDER QUANTITY - SSBN 828</t>
        </is>
      </c>
      <c r="AG250" s="7" t="inlineStr">
        <is>
          <t>60</t>
        </is>
      </c>
      <c r="AH250" s="7" t="inlineStr">
        <is>
          <t>1045</t>
        </is>
      </c>
      <c r="AJ250" s="7" t="inlineStr">
        <is>
          <t>SSBN 828</t>
        </is>
      </c>
    </row>
    <row r="251" ht="10" customHeight="1">
      <c r="A251" s="7" t="inlineStr">
        <is>
          <t>SCN</t>
        </is>
      </c>
      <c r="B251" s="7" t="inlineStr">
        <is>
          <t>Procurement</t>
        </is>
      </c>
      <c r="D251" s="7" t="inlineStr">
        <is>
          <t>COLUMBIA Class Submarine - P-10 - ORDNANCE SWS SHIPBOARD SYSTEMS (11) - ECONOMIC ORDER QUANTITY - SSBN 829</t>
        </is>
      </c>
      <c r="E251" s="13" t="inlineStr">
        <is>
          <t>[SUB]</t>
        </is>
      </c>
      <c r="F251" s="7" t="inlineStr">
        <is>
          <t>1045 / COLUMBIA Class Submarine AP</t>
        </is>
      </c>
      <c r="I251" s="14" t="n">
        <v>1</v>
      </c>
      <c r="J251" s="7" t="inlineStr">
        <is>
          <t>Advance procurement / LLTM</t>
        </is>
      </c>
      <c r="K251" s="13" t="inlineStr">
        <is>
          <t>USN</t>
        </is>
      </c>
      <c r="L251" s="7" t="inlineStr">
        <is>
          <t>Combatant Ships</t>
        </is>
      </c>
      <c r="M251" s="7" t="inlineStr">
        <is>
          <t>Submarines</t>
        </is>
      </c>
      <c r="N251" s="7" t="inlineStr">
        <is>
          <t>SSBN</t>
        </is>
      </c>
      <c r="O251" s="15" t="n"/>
      <c r="P251" s="16" t="n">
        <v>929</v>
      </c>
      <c r="Q251" s="16" t="n">
        <v>255</v>
      </c>
      <c r="S251" s="16" t="n">
        <v>250</v>
      </c>
      <c r="U251" s="16" t="n">
        <v>250</v>
      </c>
      <c r="AC251" s="23">
        <f>IF(OR(E251="",E251="[PARENT]"),"ADD",IF(E251="[ALT_VIEW]","ALT",""))</f>
        <v/>
      </c>
      <c r="AD251" s="21">
        <f>IF(Y251&lt;&gt;"",Y251,IF(U251&lt;&gt;"",U251,S251))</f>
        <v/>
      </c>
      <c r="AE251" s="21">
        <f>IF(AB251&lt;&gt;"",AB251,Z251)</f>
        <v/>
      </c>
      <c r="AF251" s="13" t="inlineStr">
        <is>
          <t>P-10 &gt; COLUMBIA Class Submarine &gt; ORDNANCE SWS SHIPBOARD SYSTEMS (11) - ECONOMIC ORDER QUANTITY - SSBN 829</t>
        </is>
      </c>
      <c r="AG251" s="7" t="inlineStr">
        <is>
          <t>60</t>
        </is>
      </c>
      <c r="AH251" s="7" t="inlineStr">
        <is>
          <t>1045</t>
        </is>
      </c>
      <c r="AJ251" s="7" t="inlineStr">
        <is>
          <t>SSBN 829</t>
        </is>
      </c>
    </row>
    <row r="252" ht="10" customHeight="1">
      <c r="A252" s="7" t="inlineStr">
        <is>
          <t>SCN</t>
        </is>
      </c>
      <c r="B252" s="7" t="inlineStr">
        <is>
          <t>Procurement</t>
        </is>
      </c>
      <c r="D252" s="7" t="inlineStr">
        <is>
          <t>COLUMBIA Class Submarine - P-10 - ORDNANCE SWS SHIPBOARD SYSTEMS (11) - ECONOMIC ORDER QUANTITY - SSBN 830</t>
        </is>
      </c>
      <c r="E252" s="13" t="inlineStr">
        <is>
          <t>[SUB]</t>
        </is>
      </c>
      <c r="F252" s="7" t="inlineStr">
        <is>
          <t>1045 / COLUMBIA Class Submarine AP</t>
        </is>
      </c>
      <c r="I252" s="14" t="n">
        <v>1</v>
      </c>
      <c r="J252" s="7" t="inlineStr">
        <is>
          <t>Advance procurement / LLTM</t>
        </is>
      </c>
      <c r="K252" s="13" t="inlineStr">
        <is>
          <t>USN</t>
        </is>
      </c>
      <c r="L252" s="7" t="inlineStr">
        <is>
          <t>Combatant Ships</t>
        </is>
      </c>
      <c r="M252" s="7" t="inlineStr">
        <is>
          <t>Submarines</t>
        </is>
      </c>
      <c r="N252" s="7" t="inlineStr">
        <is>
          <t>SSBN</t>
        </is>
      </c>
      <c r="O252" s="15" t="n"/>
      <c r="P252" s="16" t="n">
        <v>929</v>
      </c>
      <c r="Q252" s="16" t="n">
        <v>255</v>
      </c>
      <c r="S252" s="16" t="n">
        <v>250</v>
      </c>
      <c r="U252" s="16" t="n">
        <v>250</v>
      </c>
      <c r="AC252" s="23">
        <f>IF(OR(E252="",E252="[PARENT]"),"ADD",IF(E252="[ALT_VIEW]","ALT",""))</f>
        <v/>
      </c>
      <c r="AD252" s="21">
        <f>IF(Y252&lt;&gt;"",Y252,IF(U252&lt;&gt;"",U252,S252))</f>
        <v/>
      </c>
      <c r="AE252" s="21">
        <f>IF(AB252&lt;&gt;"",AB252,Z252)</f>
        <v/>
      </c>
      <c r="AF252" s="13" t="inlineStr">
        <is>
          <t>P-10 &gt; COLUMBIA Class Submarine &gt; ORDNANCE SWS SHIPBOARD SYSTEMS (11) - ECONOMIC ORDER QUANTITY - SSBN 830</t>
        </is>
      </c>
      <c r="AG252" s="7" t="inlineStr">
        <is>
          <t>60</t>
        </is>
      </c>
      <c r="AH252" s="7" t="inlineStr">
        <is>
          <t>1045</t>
        </is>
      </c>
      <c r="AJ252" s="7" t="inlineStr">
        <is>
          <t>SSBN 830</t>
        </is>
      </c>
    </row>
    <row r="253" ht="10" customHeight="1">
      <c r="A253" s="7" t="inlineStr">
        <is>
          <t>SCN</t>
        </is>
      </c>
      <c r="B253" s="7" t="inlineStr">
        <is>
          <t>Procurement</t>
        </is>
      </c>
      <c r="D253" s="7" t="inlineStr">
        <is>
          <t>COLUMBIA Class Submarine - P-10 - ORDNANCE SWS SHIPBOARD SYSTEMS (11) - ECONOMIC ORDER QUANTITY - SSBN 831</t>
        </is>
      </c>
      <c r="E253" s="13" t="inlineStr">
        <is>
          <t>[SUB]</t>
        </is>
      </c>
      <c r="F253" s="7" t="inlineStr">
        <is>
          <t>1045 / COLUMBIA Class Submarine AP</t>
        </is>
      </c>
      <c r="I253" s="14" t="n">
        <v>1</v>
      </c>
      <c r="J253" s="7" t="inlineStr">
        <is>
          <t>Advance procurement / LLTM</t>
        </is>
      </c>
      <c r="K253" s="13" t="inlineStr">
        <is>
          <t>USN</t>
        </is>
      </c>
      <c r="L253" s="7" t="inlineStr">
        <is>
          <t>Combatant Ships</t>
        </is>
      </c>
      <c r="M253" s="7" t="inlineStr">
        <is>
          <t>Submarines</t>
        </is>
      </c>
      <c r="N253" s="7" t="inlineStr">
        <is>
          <t>SSBN</t>
        </is>
      </c>
      <c r="O253" s="15" t="n"/>
      <c r="P253" s="16" t="n">
        <v>929</v>
      </c>
      <c r="Q253" s="16" t="n">
        <v>255</v>
      </c>
      <c r="S253" s="16" t="n">
        <v>250</v>
      </c>
      <c r="U253" s="16" t="n">
        <v>250</v>
      </c>
      <c r="AC253" s="23">
        <f>IF(OR(E253="",E253="[PARENT]"),"ADD",IF(E253="[ALT_VIEW]","ALT",""))</f>
        <v/>
      </c>
      <c r="AD253" s="21">
        <f>IF(Y253&lt;&gt;"",Y253,IF(U253&lt;&gt;"",U253,S253))</f>
        <v/>
      </c>
      <c r="AE253" s="21">
        <f>IF(AB253&lt;&gt;"",AB253,Z253)</f>
        <v/>
      </c>
      <c r="AF253" s="13" t="inlineStr">
        <is>
          <t>P-10 &gt; COLUMBIA Class Submarine &gt; ORDNANCE SWS SHIPBOARD SYSTEMS (11) - ECONOMIC ORDER QUANTITY - SSBN 831</t>
        </is>
      </c>
      <c r="AG253" s="7" t="inlineStr">
        <is>
          <t>60</t>
        </is>
      </c>
      <c r="AH253" s="7" t="inlineStr">
        <is>
          <t>1045</t>
        </is>
      </c>
      <c r="AJ253" s="7" t="inlineStr">
        <is>
          <t>SSBN 831</t>
        </is>
      </c>
    </row>
    <row r="254" ht="10" customHeight="1">
      <c r="A254" s="7" t="inlineStr">
        <is>
          <t>SCN</t>
        </is>
      </c>
      <c r="B254" s="7" t="inlineStr">
        <is>
          <t>Procurement</t>
        </is>
      </c>
      <c r="D254" s="7" t="inlineStr">
        <is>
          <t>COLUMBIA Class Submarine - P-10 - ORDNANCE SWS SHIPBOARD SYSTEMS (11) - ECONOMIC ORDER QUANTITY - SSBN 832</t>
        </is>
      </c>
      <c r="E254" s="13" t="inlineStr">
        <is>
          <t>[SUB]</t>
        </is>
      </c>
      <c r="F254" s="7" t="inlineStr">
        <is>
          <t>1045 / COLUMBIA Class Submarine AP</t>
        </is>
      </c>
      <c r="I254" s="14" t="n">
        <v>1</v>
      </c>
      <c r="J254" s="7" t="inlineStr">
        <is>
          <t>Advance procurement / LLTM</t>
        </is>
      </c>
      <c r="K254" s="13" t="inlineStr">
        <is>
          <t>USN</t>
        </is>
      </c>
      <c r="L254" s="7" t="inlineStr">
        <is>
          <t>Combatant Ships</t>
        </is>
      </c>
      <c r="M254" s="7" t="inlineStr">
        <is>
          <t>Submarines</t>
        </is>
      </c>
      <c r="N254" s="7" t="inlineStr">
        <is>
          <t>SSBN</t>
        </is>
      </c>
      <c r="O254" s="15" t="n"/>
      <c r="P254" s="16" t="n">
        <v>929</v>
      </c>
      <c r="Q254" s="16" t="n">
        <v>669</v>
      </c>
      <c r="S254" s="16" t="n">
        <v>250</v>
      </c>
      <c r="U254" s="16" t="n">
        <v>250</v>
      </c>
      <c r="AC254" s="23">
        <f>IF(OR(E254="",E254="[PARENT]"),"ADD",IF(E254="[ALT_VIEW]","ALT",""))</f>
        <v/>
      </c>
      <c r="AD254" s="21">
        <f>IF(Y254&lt;&gt;"",Y254,IF(U254&lt;&gt;"",U254,S254))</f>
        <v/>
      </c>
      <c r="AE254" s="21">
        <f>IF(AB254&lt;&gt;"",AB254,Z254)</f>
        <v/>
      </c>
      <c r="AF254" s="13" t="inlineStr">
        <is>
          <t>P-10 &gt; COLUMBIA Class Submarine &gt; ORDNANCE SWS SHIPBOARD SYSTEMS (11) - ECONOMIC ORDER QUANTITY - SSBN 832</t>
        </is>
      </c>
      <c r="AG254" s="7" t="inlineStr">
        <is>
          <t>60</t>
        </is>
      </c>
      <c r="AH254" s="7" t="inlineStr">
        <is>
          <t>1045</t>
        </is>
      </c>
      <c r="AJ254" s="7" t="inlineStr">
        <is>
          <t>SSBN 832</t>
        </is>
      </c>
    </row>
    <row r="255" ht="10" customHeight="1">
      <c r="A255" s="7" t="inlineStr">
        <is>
          <t>SCN</t>
        </is>
      </c>
      <c r="B255" s="7" t="inlineStr">
        <is>
          <t>Procurement</t>
        </is>
      </c>
      <c r="D255" s="7" t="inlineStr">
        <is>
          <t>COLUMBIA Class Submarine - P-10 - ORDNANCE SWS SHIPBOARD SYSTEMS (11) - ECONOMIC ORDER QUANTITY - SSBN 833</t>
        </is>
      </c>
      <c r="E255" s="13" t="inlineStr">
        <is>
          <t>[SUB]</t>
        </is>
      </c>
      <c r="F255" s="7" t="inlineStr">
        <is>
          <t>1045 / COLUMBIA Class Submarine AP</t>
        </is>
      </c>
      <c r="I255" s="14" t="n">
        <v>1</v>
      </c>
      <c r="J255" s="7" t="inlineStr">
        <is>
          <t>Advance procurement / LLTM</t>
        </is>
      </c>
      <c r="K255" s="13" t="inlineStr">
        <is>
          <t>USN</t>
        </is>
      </c>
      <c r="L255" s="7" t="inlineStr">
        <is>
          <t>Combatant Ships</t>
        </is>
      </c>
      <c r="M255" s="7" t="inlineStr">
        <is>
          <t>Submarines</t>
        </is>
      </c>
      <c r="N255" s="7" t="inlineStr">
        <is>
          <t>SSBN</t>
        </is>
      </c>
      <c r="O255" s="15" t="n"/>
      <c r="P255" s="16" t="n">
        <v>929</v>
      </c>
      <c r="Q255" s="16" t="n">
        <v>669</v>
      </c>
      <c r="S255" s="16" t="n">
        <v>899</v>
      </c>
      <c r="U255" s="16" t="n">
        <v>899</v>
      </c>
      <c r="AC255" s="23">
        <f>IF(OR(E255="",E255="[PARENT]"),"ADD",IF(E255="[ALT_VIEW]","ALT",""))</f>
        <v/>
      </c>
      <c r="AD255" s="21">
        <f>IF(Y255&lt;&gt;"",Y255,IF(U255&lt;&gt;"",U255,S255))</f>
        <v/>
      </c>
      <c r="AE255" s="21">
        <f>IF(AB255&lt;&gt;"",AB255,Z255)</f>
        <v/>
      </c>
      <c r="AF255" s="13" t="inlineStr">
        <is>
          <t>P-10 &gt; COLUMBIA Class Submarine &gt; ORDNANCE SWS SHIPBOARD SYSTEMS (11) - ECONOMIC ORDER QUANTITY - SSBN 833</t>
        </is>
      </c>
      <c r="AG255" s="7" t="inlineStr">
        <is>
          <t>60</t>
        </is>
      </c>
      <c r="AH255" s="7" t="inlineStr">
        <is>
          <t>1045</t>
        </is>
      </c>
      <c r="AJ255" s="7" t="inlineStr">
        <is>
          <t>SSBN 833</t>
        </is>
      </c>
    </row>
    <row r="256" ht="10" customHeight="1">
      <c r="A256" s="7" t="inlineStr">
        <is>
          <t>SCN</t>
        </is>
      </c>
      <c r="B256" s="7" t="inlineStr">
        <is>
          <t>Procurement</t>
        </is>
      </c>
      <c r="D256" s="7" t="inlineStr">
        <is>
          <t>COLUMBIA Class Submarine - P-10 - ORDNANCE SWS SHIPBOARD SYSTEMS (11) - ECONOMIC ORDER QUANTITY - SSBN 834</t>
        </is>
      </c>
      <c r="E256" s="13" t="inlineStr">
        <is>
          <t>[SUB]</t>
        </is>
      </c>
      <c r="F256" s="7" t="inlineStr">
        <is>
          <t>1045 / COLUMBIA Class Submarine AP</t>
        </is>
      </c>
      <c r="I256" s="14" t="n">
        <v>1</v>
      </c>
      <c r="J256" s="7" t="inlineStr">
        <is>
          <t>Advance procurement / LLTM</t>
        </is>
      </c>
      <c r="K256" s="13" t="inlineStr">
        <is>
          <t>USN</t>
        </is>
      </c>
      <c r="L256" s="7" t="inlineStr">
        <is>
          <t>Combatant Ships</t>
        </is>
      </c>
      <c r="M256" s="7" t="inlineStr">
        <is>
          <t>Submarines</t>
        </is>
      </c>
      <c r="N256" s="7" t="inlineStr">
        <is>
          <t>SSBN</t>
        </is>
      </c>
      <c r="O256" s="15" t="n"/>
      <c r="P256" s="16" t="n">
        <v>929</v>
      </c>
      <c r="Q256" s="16" t="n">
        <v>669</v>
      </c>
      <c r="S256" s="16" t="n">
        <v>899</v>
      </c>
      <c r="U256" s="16" t="n">
        <v>899</v>
      </c>
      <c r="AC256" s="23">
        <f>IF(OR(E256="",E256="[PARENT]"),"ADD",IF(E256="[ALT_VIEW]","ALT",""))</f>
        <v/>
      </c>
      <c r="AD256" s="21">
        <f>IF(Y256&lt;&gt;"",Y256,IF(U256&lt;&gt;"",U256,S256))</f>
        <v/>
      </c>
      <c r="AE256" s="21">
        <f>IF(AB256&lt;&gt;"",AB256,Z256)</f>
        <v/>
      </c>
      <c r="AF256" s="13" t="inlineStr">
        <is>
          <t>P-10 &gt; COLUMBIA Class Submarine &gt; ORDNANCE SWS SHIPBOARD SYSTEMS (11) - ECONOMIC ORDER QUANTITY - SSBN 834</t>
        </is>
      </c>
      <c r="AG256" s="7" t="inlineStr">
        <is>
          <t>60</t>
        </is>
      </c>
      <c r="AH256" s="7" t="inlineStr">
        <is>
          <t>1045</t>
        </is>
      </c>
      <c r="AJ256" s="7" t="inlineStr">
        <is>
          <t>SSBN 834</t>
        </is>
      </c>
    </row>
    <row r="257" ht="10" customHeight="1">
      <c r="A257" s="7" t="inlineStr">
        <is>
          <t>SCN</t>
        </is>
      </c>
      <c r="B257" s="7" t="inlineStr">
        <is>
          <t>Procurement</t>
        </is>
      </c>
      <c r="D257" s="7" t="inlineStr">
        <is>
          <t>COLUMBIA Class Submarine - P-10 - SSBN 835</t>
        </is>
      </c>
      <c r="E257" s="13" t="inlineStr">
        <is>
          <t>[SUB]</t>
        </is>
      </c>
      <c r="F257" s="7" t="inlineStr">
        <is>
          <t>1045 / COLUMBIA Class Submarine AP</t>
        </is>
      </c>
      <c r="I257" s="14" t="n">
        <v>1</v>
      </c>
      <c r="J257" s="7" t="inlineStr">
        <is>
          <t>Advance procurement / LLTM</t>
        </is>
      </c>
      <c r="K257" s="13" t="inlineStr">
        <is>
          <t>USN</t>
        </is>
      </c>
      <c r="L257" s="7" t="inlineStr">
        <is>
          <t>Combatant Ships</t>
        </is>
      </c>
      <c r="M257" s="7" t="inlineStr">
        <is>
          <t>Submarines</t>
        </is>
      </c>
      <c r="N257" s="7" t="inlineStr">
        <is>
          <t>SSBN</t>
        </is>
      </c>
      <c r="O257" s="15" t="n"/>
      <c r="P257" s="16" t="n">
        <v>929</v>
      </c>
      <c r="Q257" s="16" t="n">
        <v>672</v>
      </c>
      <c r="S257" s="16" t="n">
        <v>899</v>
      </c>
      <c r="U257" s="16" t="n">
        <v>899</v>
      </c>
      <c r="AC257" s="23">
        <f>IF(OR(E257="",E257="[PARENT]"),"ADD",IF(E257="[ALT_VIEW]","ALT",""))</f>
        <v/>
      </c>
      <c r="AD257" s="21">
        <f>IF(Y257&lt;&gt;"",Y257,IF(U257&lt;&gt;"",U257,S257))</f>
        <v/>
      </c>
      <c r="AE257" s="21">
        <f>IF(AB257&lt;&gt;"",AB257,Z257)</f>
        <v/>
      </c>
      <c r="AF257" s="13" t="inlineStr">
        <is>
          <t>P-10 &gt; COLUMBIA Class Submarine &gt; SSBN 835</t>
        </is>
      </c>
      <c r="AG257" s="7" t="inlineStr">
        <is>
          <t>61</t>
        </is>
      </c>
      <c r="AH257" s="7" t="inlineStr">
        <is>
          <t>1045</t>
        </is>
      </c>
      <c r="AJ257" s="7" t="inlineStr">
        <is>
          <t>SSBN 835</t>
        </is>
      </c>
    </row>
    <row r="258" ht="10" customHeight="1">
      <c r="A258" s="7" t="inlineStr">
        <is>
          <t>SCN</t>
        </is>
      </c>
      <c r="B258" s="7" t="inlineStr">
        <is>
          <t>Procurement</t>
        </is>
      </c>
      <c r="D258" s="7" t="inlineStr">
        <is>
          <t>COLUMBIA Class Submarine - P-10 - SSBN 836</t>
        </is>
      </c>
      <c r="E258" s="13" t="inlineStr">
        <is>
          <t>[SUB]</t>
        </is>
      </c>
      <c r="F258" s="7" t="inlineStr">
        <is>
          <t>1045 / COLUMBIA Class Submarine AP</t>
        </is>
      </c>
      <c r="I258" s="14" t="n">
        <v>1</v>
      </c>
      <c r="J258" s="7" t="inlineStr">
        <is>
          <t>Advance procurement / LLTM</t>
        </is>
      </c>
      <c r="K258" s="13" t="inlineStr">
        <is>
          <t>USN</t>
        </is>
      </c>
      <c r="L258" s="7" t="inlineStr">
        <is>
          <t>Combatant Ships</t>
        </is>
      </c>
      <c r="M258" s="7" t="inlineStr">
        <is>
          <t>Submarines</t>
        </is>
      </c>
      <c r="N258" s="7" t="inlineStr">
        <is>
          <t>SSBN</t>
        </is>
      </c>
      <c r="O258" s="15" t="n"/>
      <c r="P258" s="16" t="n">
        <v>936</v>
      </c>
      <c r="Q258" s="16" t="n">
        <v>667</v>
      </c>
      <c r="S258" s="16" t="n">
        <v>913</v>
      </c>
      <c r="U258" s="16" t="n">
        <v>913</v>
      </c>
      <c r="AC258" s="23">
        <f>IF(OR(E258="",E258="[PARENT]"),"ADD",IF(E258="[ALT_VIEW]","ALT",""))</f>
        <v/>
      </c>
      <c r="AD258" s="21">
        <f>IF(Y258&lt;&gt;"",Y258,IF(U258&lt;&gt;"",U258,S258))</f>
        <v/>
      </c>
      <c r="AE258" s="21">
        <f>IF(AB258&lt;&gt;"",AB258,Z258)</f>
        <v/>
      </c>
      <c r="AF258" s="13" t="inlineStr">
        <is>
          <t>P-10 &gt; COLUMBIA Class Submarine &gt; SSBN 836</t>
        </is>
      </c>
      <c r="AG258" s="7" t="inlineStr">
        <is>
          <t>61</t>
        </is>
      </c>
      <c r="AH258" s="7" t="inlineStr">
        <is>
          <t>1045</t>
        </is>
      </c>
      <c r="AJ258" s="7" t="inlineStr">
        <is>
          <t>SSBN 836</t>
        </is>
      </c>
    </row>
    <row r="259" ht="10" customHeight="1">
      <c r="A259" s="7" t="inlineStr">
        <is>
          <t>SCN</t>
        </is>
      </c>
      <c r="B259" s="7" t="inlineStr">
        <is>
          <t>Procurement</t>
        </is>
      </c>
      <c r="D259" s="7" t="inlineStr">
        <is>
          <t>COLUMBIA Class Submarine - P-10 - SSBN 837</t>
        </is>
      </c>
      <c r="E259" s="13" t="inlineStr">
        <is>
          <t>[SUB]</t>
        </is>
      </c>
      <c r="F259" s="7" t="inlineStr">
        <is>
          <t>1045 / COLUMBIA Class Submarine AP</t>
        </is>
      </c>
      <c r="I259" s="14" t="n">
        <v>1</v>
      </c>
      <c r="J259" s="7" t="inlineStr">
        <is>
          <t>Advance procurement / LLTM</t>
        </is>
      </c>
      <c r="K259" s="13" t="inlineStr">
        <is>
          <t>USN</t>
        </is>
      </c>
      <c r="L259" s="7" t="inlineStr">
        <is>
          <t>Combatant Ships</t>
        </is>
      </c>
      <c r="M259" s="7" t="inlineStr">
        <is>
          <t>Submarines</t>
        </is>
      </c>
      <c r="N259" s="7" t="inlineStr">
        <is>
          <t>SSBN</t>
        </is>
      </c>
      <c r="O259" s="15" t="n"/>
      <c r="P259" s="16" t="n">
        <v>929</v>
      </c>
      <c r="Q259" s="16" t="n">
        <v>669</v>
      </c>
      <c r="S259" s="16" t="n">
        <v>899</v>
      </c>
      <c r="U259" s="16" t="n">
        <v>899</v>
      </c>
      <c r="AC259" s="23">
        <f>IF(OR(E259="",E259="[PARENT]"),"ADD",IF(E259="[ALT_VIEW]","ALT",""))</f>
        <v/>
      </c>
      <c r="AD259" s="21">
        <f>IF(Y259&lt;&gt;"",Y259,IF(U259&lt;&gt;"",U259,S259))</f>
        <v/>
      </c>
      <c r="AE259" s="21">
        <f>IF(AB259&lt;&gt;"",AB259,Z259)</f>
        <v/>
      </c>
      <c r="AF259" s="13" t="inlineStr">
        <is>
          <t>P-10 &gt; COLUMBIA Class Submarine &gt; SSBN 837</t>
        </is>
      </c>
      <c r="AG259" s="7" t="inlineStr">
        <is>
          <t>61</t>
        </is>
      </c>
      <c r="AH259" s="7" t="inlineStr">
        <is>
          <t>1045</t>
        </is>
      </c>
      <c r="AJ259" s="7" t="inlineStr">
        <is>
          <t>SSBN 837</t>
        </is>
      </c>
    </row>
    <row r="260" ht="10" customHeight="1">
      <c r="A260" s="7" t="inlineStr">
        <is>
          <t>SCN</t>
        </is>
      </c>
      <c r="B260" s="7" t="inlineStr">
        <is>
          <t>Procurement</t>
        </is>
      </c>
      <c r="D260" s="7" t="inlineStr">
        <is>
          <t>COLUMBIA Class Submarine - P-10 - ORDNANCE SWS SHIPBOARD SYSTEMS (12) - CONTINUOUS PRODUCTION - SSBN 828</t>
        </is>
      </c>
      <c r="E260" s="13" t="inlineStr">
        <is>
          <t>[SUB]</t>
        </is>
      </c>
      <c r="F260" s="7" t="inlineStr">
        <is>
          <t>1045 / COLUMBIA Class Submarine AP</t>
        </is>
      </c>
      <c r="I260" s="14" t="n">
        <v>1</v>
      </c>
      <c r="J260" s="7" t="inlineStr">
        <is>
          <t>Advance procurement / LLTM</t>
        </is>
      </c>
      <c r="K260" s="13" t="inlineStr">
        <is>
          <t>USN</t>
        </is>
      </c>
      <c r="L260" s="7" t="inlineStr">
        <is>
          <t>Combatant Ships</t>
        </is>
      </c>
      <c r="M260" s="7" t="inlineStr">
        <is>
          <t>Submarines</t>
        </is>
      </c>
      <c r="N260" s="7" t="inlineStr">
        <is>
          <t>SSBN</t>
        </is>
      </c>
      <c r="O260" s="15" t="n"/>
      <c r="S260" s="16" t="n">
        <v>0</v>
      </c>
      <c r="U260" s="16" t="n">
        <v>0</v>
      </c>
      <c r="AC260" s="23">
        <f>IF(OR(E260="",E260="[PARENT]"),"ADD",IF(E260="[ALT_VIEW]","ALT",""))</f>
        <v/>
      </c>
      <c r="AD260" s="21">
        <f>IF(Y260&lt;&gt;"",Y260,IF(U260&lt;&gt;"",U260,S260))</f>
        <v/>
      </c>
      <c r="AE260" s="21">
        <f>IF(AB260&lt;&gt;"",AB260,Z260)</f>
        <v/>
      </c>
      <c r="AF260" s="13" t="inlineStr">
        <is>
          <t>P-10 &gt; COLUMBIA Class Submarine &gt; ORDNANCE SWS SHIPBOARD SYSTEMS (12) - CONTINUOUS PRODUCTION - SSBN 828</t>
        </is>
      </c>
      <c r="AG260" s="7" t="inlineStr">
        <is>
          <t>61</t>
        </is>
      </c>
      <c r="AH260" s="7" t="inlineStr">
        <is>
          <t>1045</t>
        </is>
      </c>
    </row>
    <row r="261" ht="10" customHeight="1">
      <c r="A261" s="7" t="inlineStr">
        <is>
          <t>SCN</t>
        </is>
      </c>
      <c r="B261" s="7" t="inlineStr">
        <is>
          <t>Procurement</t>
        </is>
      </c>
      <c r="D261" s="7" t="inlineStr">
        <is>
          <t>COLUMBIA Class Submarine - P-10 - ORDNANCE SWS SHIPBOARD SYSTEMS (12) - CONTINUOUS PRODUCTION - SSBN 829</t>
        </is>
      </c>
      <c r="E261" s="13" t="inlineStr">
        <is>
          <t>[SUB]</t>
        </is>
      </c>
      <c r="F261" s="7" t="inlineStr">
        <is>
          <t>1045 / COLUMBIA Class Submarine AP</t>
        </is>
      </c>
      <c r="I261" s="14" t="n">
        <v>1</v>
      </c>
      <c r="J261" s="7" t="inlineStr">
        <is>
          <t>Advance procurement / LLTM</t>
        </is>
      </c>
      <c r="K261" s="13" t="inlineStr">
        <is>
          <t>USN</t>
        </is>
      </c>
      <c r="L261" s="7" t="inlineStr">
        <is>
          <t>Combatant Ships</t>
        </is>
      </c>
      <c r="M261" s="7" t="inlineStr">
        <is>
          <t>Submarines</t>
        </is>
      </c>
      <c r="N261" s="7" t="inlineStr">
        <is>
          <t>SSBN</t>
        </is>
      </c>
      <c r="O261" s="15" t="n"/>
      <c r="P261" s="16" t="n">
        <v>27632</v>
      </c>
      <c r="Q261" s="16" t="n">
        <v>1870</v>
      </c>
      <c r="S261" s="16" t="n">
        <v>7376</v>
      </c>
      <c r="U261" s="16" t="n">
        <v>7376</v>
      </c>
      <c r="AC261" s="23">
        <f>IF(OR(E261="",E261="[PARENT]"),"ADD",IF(E261="[ALT_VIEW]","ALT",""))</f>
        <v/>
      </c>
      <c r="AD261" s="21">
        <f>IF(Y261&lt;&gt;"",Y261,IF(U261&lt;&gt;"",U261,S261))</f>
        <v/>
      </c>
      <c r="AE261" s="21">
        <f>IF(AB261&lt;&gt;"",AB261,Z261)</f>
        <v/>
      </c>
      <c r="AF261" s="13" t="inlineStr">
        <is>
          <t>P-10 &gt; COLUMBIA Class Submarine &gt; ORDNANCE SWS SHIPBOARD SYSTEMS (12) - CONTINUOUS PRODUCTION - SSBN 829</t>
        </is>
      </c>
      <c r="AG261" s="7" t="inlineStr">
        <is>
          <t>61</t>
        </is>
      </c>
      <c r="AH261" s="7" t="inlineStr">
        <is>
          <t>1045</t>
        </is>
      </c>
      <c r="AJ261" s="7" t="inlineStr">
        <is>
          <t>SSBN 829</t>
        </is>
      </c>
    </row>
    <row r="262" ht="10" customHeight="1">
      <c r="A262" s="7" t="inlineStr">
        <is>
          <t>SCN</t>
        </is>
      </c>
      <c r="B262" s="7" t="inlineStr">
        <is>
          <t>Procurement</t>
        </is>
      </c>
      <c r="D262" s="7" t="inlineStr">
        <is>
          <t>COLUMBIA Class Submarine - P-10 - ORDNANCE SWS SHIPBOARD SYSTEMS (12) - CONTINUOUS PRODUCTION - SSBN 830</t>
        </is>
      </c>
      <c r="E262" s="13" t="inlineStr">
        <is>
          <t>[SUB]</t>
        </is>
      </c>
      <c r="F262" s="7" t="inlineStr">
        <is>
          <t>1045 / COLUMBIA Class Submarine AP</t>
        </is>
      </c>
      <c r="I262" s="14" t="n">
        <v>1</v>
      </c>
      <c r="J262" s="7" t="inlineStr">
        <is>
          <t>Advance procurement / LLTM</t>
        </is>
      </c>
      <c r="K262" s="13" t="inlineStr">
        <is>
          <t>USN</t>
        </is>
      </c>
      <c r="L262" s="7" t="inlineStr">
        <is>
          <t>Combatant Ships</t>
        </is>
      </c>
      <c r="M262" s="7" t="inlineStr">
        <is>
          <t>Submarines</t>
        </is>
      </c>
      <c r="N262" s="7" t="inlineStr">
        <is>
          <t>SSBN</t>
        </is>
      </c>
      <c r="O262" s="15" t="n"/>
      <c r="P262" s="16" t="n">
        <v>31643</v>
      </c>
      <c r="Q262" s="16" t="n">
        <v>28871</v>
      </c>
      <c r="S262" s="16" t="n">
        <v>6000</v>
      </c>
      <c r="U262" s="16" t="n">
        <v>6000</v>
      </c>
      <c r="AC262" s="23">
        <f>IF(OR(E262="",E262="[PARENT]"),"ADD",IF(E262="[ALT_VIEW]","ALT",""))</f>
        <v/>
      </c>
      <c r="AD262" s="21">
        <f>IF(Y262&lt;&gt;"",Y262,IF(U262&lt;&gt;"",U262,S262))</f>
        <v/>
      </c>
      <c r="AE262" s="21">
        <f>IF(AB262&lt;&gt;"",AB262,Z262)</f>
        <v/>
      </c>
      <c r="AF262" s="13" t="inlineStr">
        <is>
          <t>P-10 &gt; COLUMBIA Class Submarine &gt; ORDNANCE SWS SHIPBOARD SYSTEMS (12) - CONTINUOUS PRODUCTION - SSBN 830</t>
        </is>
      </c>
      <c r="AG262" s="7" t="inlineStr">
        <is>
          <t>61</t>
        </is>
      </c>
      <c r="AH262" s="7" t="inlineStr">
        <is>
          <t>1045</t>
        </is>
      </c>
      <c r="AJ262" s="7" t="inlineStr">
        <is>
          <t>SSBN 830</t>
        </is>
      </c>
    </row>
    <row r="263" ht="10" customHeight="1">
      <c r="A263" s="7" t="inlineStr">
        <is>
          <t>SCN</t>
        </is>
      </c>
      <c r="B263" s="7" t="inlineStr">
        <is>
          <t>Procurement</t>
        </is>
      </c>
      <c r="D263" s="7" t="inlineStr">
        <is>
          <t>COLUMBIA Class Submarine - P-10 - ORDNANCE SWS SHIPBOARD SYSTEMS (12) - CONTINUOUS PRODUCTION - SSBN 831</t>
        </is>
      </c>
      <c r="E263" s="13" t="inlineStr">
        <is>
          <t>[SUB]</t>
        </is>
      </c>
      <c r="F263" s="7" t="inlineStr">
        <is>
          <t>1045 / COLUMBIA Class Submarine AP</t>
        </is>
      </c>
      <c r="I263" s="14" t="n">
        <v>1</v>
      </c>
      <c r="J263" s="7" t="inlineStr">
        <is>
          <t>Advance procurement / LLTM</t>
        </is>
      </c>
      <c r="K263" s="13" t="inlineStr">
        <is>
          <t>USN</t>
        </is>
      </c>
      <c r="L263" s="7" t="inlineStr">
        <is>
          <t>Combatant Ships</t>
        </is>
      </c>
      <c r="M263" s="7" t="inlineStr">
        <is>
          <t>Submarines</t>
        </is>
      </c>
      <c r="N263" s="7" t="inlineStr">
        <is>
          <t>SSBN</t>
        </is>
      </c>
      <c r="O263" s="15" t="n"/>
      <c r="P263" s="16" t="n">
        <v>8889</v>
      </c>
      <c r="Q263" s="16" t="n">
        <v>31735</v>
      </c>
      <c r="S263" s="16" t="n">
        <v>39441</v>
      </c>
      <c r="U263" s="16" t="n">
        <v>39441</v>
      </c>
      <c r="AC263" s="23">
        <f>IF(OR(E263="",E263="[PARENT]"),"ADD",IF(E263="[ALT_VIEW]","ALT",""))</f>
        <v/>
      </c>
      <c r="AD263" s="21">
        <f>IF(Y263&lt;&gt;"",Y263,IF(U263&lt;&gt;"",U263,S263))</f>
        <v/>
      </c>
      <c r="AE263" s="21">
        <f>IF(AB263&lt;&gt;"",AB263,Z263)</f>
        <v/>
      </c>
      <c r="AF263" s="13" t="inlineStr">
        <is>
          <t>P-10 &gt; COLUMBIA Class Submarine &gt; ORDNANCE SWS SHIPBOARD SYSTEMS (12) - CONTINUOUS PRODUCTION - SSBN 831</t>
        </is>
      </c>
      <c r="AG263" s="7" t="inlineStr">
        <is>
          <t>61</t>
        </is>
      </c>
      <c r="AH263" s="7" t="inlineStr">
        <is>
          <t>1045</t>
        </is>
      </c>
      <c r="AJ263" s="7" t="inlineStr">
        <is>
          <t>SSBN 831</t>
        </is>
      </c>
    </row>
    <row r="264" ht="10" customHeight="1">
      <c r="A264" s="7" t="inlineStr">
        <is>
          <t>SCN</t>
        </is>
      </c>
      <c r="B264" s="7" t="inlineStr">
        <is>
          <t>Procurement</t>
        </is>
      </c>
      <c r="D264" s="7" t="inlineStr">
        <is>
          <t>COLUMBIA Class Submarine - P-10 - ORDNANCE SWS SHIPBOARD SYSTEMS (12) - CONTINUOUS PRODUCTION - SSBN 832</t>
        </is>
      </c>
      <c r="E264" s="13" t="inlineStr">
        <is>
          <t>[SUB]</t>
        </is>
      </c>
      <c r="F264" s="7" t="inlineStr">
        <is>
          <t>1045 / COLUMBIA Class Submarine AP</t>
        </is>
      </c>
      <c r="I264" s="14" t="n">
        <v>1</v>
      </c>
      <c r="J264" s="7" t="inlineStr">
        <is>
          <t>Advance procurement / LLTM</t>
        </is>
      </c>
      <c r="K264" s="13" t="inlineStr">
        <is>
          <t>USN</t>
        </is>
      </c>
      <c r="L264" s="7" t="inlineStr">
        <is>
          <t>Combatant Ships</t>
        </is>
      </c>
      <c r="M264" s="7" t="inlineStr">
        <is>
          <t>Submarines</t>
        </is>
      </c>
      <c r="N264" s="7" t="inlineStr">
        <is>
          <t>SSBN</t>
        </is>
      </c>
      <c r="O264" s="15" t="n"/>
      <c r="P264" s="16" t="n">
        <v>8889</v>
      </c>
      <c r="Q264" s="16" t="n">
        <v>9039</v>
      </c>
      <c r="S264" s="16" t="n">
        <v>32778</v>
      </c>
      <c r="U264" s="16" t="n">
        <v>32778</v>
      </c>
      <c r="AC264" s="23">
        <f>IF(OR(E264="",E264="[PARENT]"),"ADD",IF(E264="[ALT_VIEW]","ALT",""))</f>
        <v/>
      </c>
      <c r="AD264" s="21">
        <f>IF(Y264&lt;&gt;"",Y264,IF(U264&lt;&gt;"",U264,S264))</f>
        <v/>
      </c>
      <c r="AE264" s="21">
        <f>IF(AB264&lt;&gt;"",AB264,Z264)</f>
        <v/>
      </c>
      <c r="AF264" s="13" t="inlineStr">
        <is>
          <t>P-10 &gt; COLUMBIA Class Submarine &gt; ORDNANCE SWS SHIPBOARD SYSTEMS (12) - CONTINUOUS PRODUCTION - SSBN 832</t>
        </is>
      </c>
      <c r="AG264" s="7" t="inlineStr">
        <is>
          <t>61</t>
        </is>
      </c>
      <c r="AH264" s="7" t="inlineStr">
        <is>
          <t>1045</t>
        </is>
      </c>
      <c r="AJ264" s="7" t="inlineStr">
        <is>
          <t>SSBN 832</t>
        </is>
      </c>
    </row>
    <row r="265" ht="10" customHeight="1">
      <c r="A265" s="7" t="inlineStr">
        <is>
          <t>SCN</t>
        </is>
      </c>
      <c r="B265" s="7" t="inlineStr">
        <is>
          <t>Procurement</t>
        </is>
      </c>
      <c r="D265" s="7" t="inlineStr">
        <is>
          <t>COLUMBIA Class Submarine - P-10 - ORDNANCE SWS SHIPBOARD SYSTEMS (12) - CONTINUOUS PRODUCTION - SSBN 833</t>
        </is>
      </c>
      <c r="E265" s="13" t="inlineStr">
        <is>
          <t>[SUB]</t>
        </is>
      </c>
      <c r="F265" s="7" t="inlineStr">
        <is>
          <t>1045 / COLUMBIA Class Submarine AP</t>
        </is>
      </c>
      <c r="I265" s="14" t="n">
        <v>1</v>
      </c>
      <c r="J265" s="7" t="inlineStr">
        <is>
          <t>Advance procurement / LLTM</t>
        </is>
      </c>
      <c r="K265" s="13" t="inlineStr">
        <is>
          <t>USN</t>
        </is>
      </c>
      <c r="L265" s="7" t="inlineStr">
        <is>
          <t>Combatant Ships</t>
        </is>
      </c>
      <c r="M265" s="7" t="inlineStr">
        <is>
          <t>Submarines</t>
        </is>
      </c>
      <c r="N265" s="7" t="inlineStr">
        <is>
          <t>SSBN</t>
        </is>
      </c>
      <c r="O265" s="15" t="n"/>
      <c r="P265" s="16" t="n">
        <v>6084</v>
      </c>
      <c r="Q265" s="16" t="n">
        <v>9062</v>
      </c>
      <c r="S265" s="16" t="n">
        <v>5998</v>
      </c>
      <c r="U265" s="16" t="n">
        <v>5998</v>
      </c>
      <c r="AC265" s="23">
        <f>IF(OR(E265="",E265="[PARENT]"),"ADD",IF(E265="[ALT_VIEW]","ALT",""))</f>
        <v/>
      </c>
      <c r="AD265" s="21">
        <f>IF(Y265&lt;&gt;"",Y265,IF(U265&lt;&gt;"",U265,S265))</f>
        <v/>
      </c>
      <c r="AE265" s="21">
        <f>IF(AB265&lt;&gt;"",AB265,Z265)</f>
        <v/>
      </c>
      <c r="AF265" s="13" t="inlineStr">
        <is>
          <t>P-10 &gt; COLUMBIA Class Submarine &gt; ORDNANCE SWS SHIPBOARD SYSTEMS (12) - CONTINUOUS PRODUCTION - SSBN 833</t>
        </is>
      </c>
      <c r="AG265" s="7" t="inlineStr">
        <is>
          <t>61</t>
        </is>
      </c>
      <c r="AH265" s="7" t="inlineStr">
        <is>
          <t>1045</t>
        </is>
      </c>
      <c r="AJ265" s="7" t="inlineStr">
        <is>
          <t>SSBN 833</t>
        </is>
      </c>
    </row>
    <row r="266" ht="10" customHeight="1">
      <c r="A266" s="7" t="inlineStr">
        <is>
          <t>SCN</t>
        </is>
      </c>
      <c r="B266" s="7" t="inlineStr">
        <is>
          <t>Procurement</t>
        </is>
      </c>
      <c r="D266" s="7" t="inlineStr">
        <is>
          <t>COLUMBIA Class Submarine - P-10 - ORDNANCE SWS SHIPBOARD SYSTEMS (12) - CONTINUOUS PRODUCTION - SSBN 834</t>
        </is>
      </c>
      <c r="E266" s="13" t="inlineStr">
        <is>
          <t>[SUB]</t>
        </is>
      </c>
      <c r="F266" s="7" t="inlineStr">
        <is>
          <t>1045 / COLUMBIA Class Submarine AP</t>
        </is>
      </c>
      <c r="I266" s="14" t="n">
        <v>1</v>
      </c>
      <c r="J266" s="7" t="inlineStr">
        <is>
          <t>Advance procurement / LLTM</t>
        </is>
      </c>
      <c r="K266" s="13" t="inlineStr">
        <is>
          <t>USN</t>
        </is>
      </c>
      <c r="L266" s="7" t="inlineStr">
        <is>
          <t>Combatant Ships</t>
        </is>
      </c>
      <c r="M266" s="7" t="inlineStr">
        <is>
          <t>Submarines</t>
        </is>
      </c>
      <c r="N266" s="7" t="inlineStr">
        <is>
          <t>SSBN</t>
        </is>
      </c>
      <c r="O266" s="15" t="n"/>
      <c r="P266" s="16" t="n">
        <v>1779</v>
      </c>
      <c r="Q266" s="16" t="n">
        <v>6206</v>
      </c>
      <c r="S266" s="16" t="n">
        <v>7721</v>
      </c>
      <c r="U266" s="16" t="n">
        <v>7721</v>
      </c>
      <c r="AC266" s="23">
        <f>IF(OR(E266="",E266="[PARENT]"),"ADD",IF(E266="[ALT_VIEW]","ALT",""))</f>
        <v/>
      </c>
      <c r="AD266" s="21">
        <f>IF(Y266&lt;&gt;"",Y266,IF(U266&lt;&gt;"",U266,S266))</f>
        <v/>
      </c>
      <c r="AE266" s="21">
        <f>IF(AB266&lt;&gt;"",AB266,Z266)</f>
        <v/>
      </c>
      <c r="AF266" s="13" t="inlineStr">
        <is>
          <t>P-10 &gt; COLUMBIA Class Submarine &gt; ORDNANCE SWS SHIPBOARD SYSTEMS (12) - CONTINUOUS PRODUCTION - SSBN 834</t>
        </is>
      </c>
      <c r="AG266" s="7" t="inlineStr">
        <is>
          <t>61</t>
        </is>
      </c>
      <c r="AH266" s="7" t="inlineStr">
        <is>
          <t>1045</t>
        </is>
      </c>
      <c r="AJ266" s="7" t="inlineStr">
        <is>
          <t>SSBN 834</t>
        </is>
      </c>
    </row>
    <row r="267" ht="10" customHeight="1">
      <c r="A267" s="7" t="inlineStr">
        <is>
          <t>SCN</t>
        </is>
      </c>
      <c r="B267" s="7" t="inlineStr">
        <is>
          <t>Procurement</t>
        </is>
      </c>
      <c r="D267" s="7" t="inlineStr">
        <is>
          <t>COLUMBIA Class Submarine - P-10 - ORDNANCE SWS SHIPBOARD SYSTEMS (12) - CONTINUOUS PRODUCTION - SSBN 835</t>
        </is>
      </c>
      <c r="E267" s="13" t="inlineStr">
        <is>
          <t>[SUB]</t>
        </is>
      </c>
      <c r="F267" s="7" t="inlineStr">
        <is>
          <t>1045 / COLUMBIA Class Submarine AP</t>
        </is>
      </c>
      <c r="I267" s="14" t="n">
        <v>1</v>
      </c>
      <c r="J267" s="7" t="inlineStr">
        <is>
          <t>Advance procurement / LLTM</t>
        </is>
      </c>
      <c r="K267" s="13" t="inlineStr">
        <is>
          <t>USN</t>
        </is>
      </c>
      <c r="L267" s="7" t="inlineStr">
        <is>
          <t>Combatant Ships</t>
        </is>
      </c>
      <c r="M267" s="7" t="inlineStr">
        <is>
          <t>Submarines</t>
        </is>
      </c>
      <c r="N267" s="7" t="inlineStr">
        <is>
          <t>SSBN</t>
        </is>
      </c>
      <c r="O267" s="15" t="n"/>
      <c r="P267" s="16" t="n">
        <v>4001</v>
      </c>
      <c r="S267" s="16" t="n">
        <v>8891</v>
      </c>
      <c r="U267" s="16" t="n">
        <v>8891</v>
      </c>
      <c r="AC267" s="23">
        <f>IF(OR(E267="",E267="[PARENT]"),"ADD",IF(E267="[ALT_VIEW]","ALT",""))</f>
        <v/>
      </c>
      <c r="AD267" s="21">
        <f>IF(Y267&lt;&gt;"",Y267,IF(U267&lt;&gt;"",U267,S267))</f>
        <v/>
      </c>
      <c r="AE267" s="21">
        <f>IF(AB267&lt;&gt;"",AB267,Z267)</f>
        <v/>
      </c>
      <c r="AF267" s="13" t="inlineStr">
        <is>
          <t>P-10 &gt; COLUMBIA Class Submarine &gt; ORDNANCE SWS SHIPBOARD SYSTEMS (12) - CONTINUOUS PRODUCTION - SSBN 835</t>
        </is>
      </c>
      <c r="AG267" s="7" t="inlineStr">
        <is>
          <t>61</t>
        </is>
      </c>
      <c r="AH267" s="7" t="inlineStr">
        <is>
          <t>1045</t>
        </is>
      </c>
      <c r="AJ267" s="7" t="inlineStr">
        <is>
          <t>SSBN 835</t>
        </is>
      </c>
    </row>
    <row r="268" ht="10" customHeight="1">
      <c r="A268" s="7" t="inlineStr">
        <is>
          <t>SCN</t>
        </is>
      </c>
      <c r="B268" s="7" t="inlineStr">
        <is>
          <t>Procurement</t>
        </is>
      </c>
      <c r="D268" s="7" t="inlineStr">
        <is>
          <t>COLUMBIA Class Submarine - P-10 - ORDNANCE SWS SHIPBOARD SYSTEMS (12) - CONTINUOUS PRODUCTION - SSBN 836</t>
        </is>
      </c>
      <c r="E268" s="13" t="inlineStr">
        <is>
          <t>[SUB]</t>
        </is>
      </c>
      <c r="F268" s="7" t="inlineStr">
        <is>
          <t>1045 / COLUMBIA Class Submarine AP</t>
        </is>
      </c>
      <c r="I268" s="14" t="n">
        <v>1</v>
      </c>
      <c r="J268" s="7" t="inlineStr">
        <is>
          <t>Advance procurement / LLTM</t>
        </is>
      </c>
      <c r="K268" s="13" t="inlineStr">
        <is>
          <t>USN</t>
        </is>
      </c>
      <c r="L268" s="7" t="inlineStr">
        <is>
          <t>Combatant Ships</t>
        </is>
      </c>
      <c r="M268" s="7" t="inlineStr">
        <is>
          <t>Submarines</t>
        </is>
      </c>
      <c r="N268" s="7" t="inlineStr">
        <is>
          <t>SSBN</t>
        </is>
      </c>
      <c r="O268" s="15" t="n"/>
      <c r="P268" s="16" t="n">
        <v>3994</v>
      </c>
      <c r="S268" s="16" t="n">
        <v>0</v>
      </c>
      <c r="U268" s="16" t="n">
        <v>0</v>
      </c>
      <c r="AC268" s="23">
        <f>IF(OR(E268="",E268="[PARENT]"),"ADD",IF(E268="[ALT_VIEW]","ALT",""))</f>
        <v/>
      </c>
      <c r="AD268" s="21">
        <f>IF(Y268&lt;&gt;"",Y268,IF(U268&lt;&gt;"",U268,S268))</f>
        <v/>
      </c>
      <c r="AE268" s="21">
        <f>IF(AB268&lt;&gt;"",AB268,Z268)</f>
        <v/>
      </c>
      <c r="AF268" s="13" t="inlineStr">
        <is>
          <t>P-10 &gt; COLUMBIA Class Submarine &gt; ORDNANCE SWS SHIPBOARD SYSTEMS (12) - CONTINUOUS PRODUCTION - SSBN 836</t>
        </is>
      </c>
      <c r="AG268" s="7" t="inlineStr">
        <is>
          <t>61</t>
        </is>
      </c>
      <c r="AH268" s="7" t="inlineStr">
        <is>
          <t>1045</t>
        </is>
      </c>
      <c r="AJ268" s="7" t="inlineStr">
        <is>
          <t>SSBN 836</t>
        </is>
      </c>
    </row>
    <row r="269" ht="10" customHeight="1">
      <c r="A269" s="7" t="inlineStr">
        <is>
          <t>SCN</t>
        </is>
      </c>
      <c r="B269" s="7" t="inlineStr">
        <is>
          <t>Procurement</t>
        </is>
      </c>
      <c r="D269" s="7" t="inlineStr">
        <is>
          <t>COLUMBIA Class Submarine - P-10 - ORDNANCE SWS SHIPBOARD SYSTEMS (12) - CONTINUOUS PRODUCTION - SSBN 837</t>
        </is>
      </c>
      <c r="E269" s="13" t="inlineStr">
        <is>
          <t>[SUB]</t>
        </is>
      </c>
      <c r="F269" s="7" t="inlineStr">
        <is>
          <t>1045 / COLUMBIA Class Submarine AP</t>
        </is>
      </c>
      <c r="I269" s="14" t="n">
        <v>1</v>
      </c>
      <c r="J269" s="7" t="inlineStr">
        <is>
          <t>Advance procurement / LLTM</t>
        </is>
      </c>
      <c r="K269" s="13" t="inlineStr">
        <is>
          <t>USN</t>
        </is>
      </c>
      <c r="L269" s="7" t="inlineStr">
        <is>
          <t>Combatant Ships</t>
        </is>
      </c>
      <c r="M269" s="7" t="inlineStr">
        <is>
          <t>Submarines</t>
        </is>
      </c>
      <c r="N269" s="7" t="inlineStr">
        <is>
          <t>SSBN</t>
        </is>
      </c>
      <c r="O269" s="15" t="n"/>
      <c r="P269" s="16" t="n">
        <v>3994</v>
      </c>
      <c r="S269" s="16" t="n">
        <v>0</v>
      </c>
      <c r="U269" s="16" t="n">
        <v>0</v>
      </c>
      <c r="AC269" s="23">
        <f>IF(OR(E269="",E269="[PARENT]"),"ADD",IF(E269="[ALT_VIEW]","ALT",""))</f>
        <v/>
      </c>
      <c r="AD269" s="21">
        <f>IF(Y269&lt;&gt;"",Y269,IF(U269&lt;&gt;"",U269,S269))</f>
        <v/>
      </c>
      <c r="AE269" s="21">
        <f>IF(AB269&lt;&gt;"",AB269,Z269)</f>
        <v/>
      </c>
      <c r="AF269" s="13" t="inlineStr">
        <is>
          <t>P-10 &gt; COLUMBIA Class Submarine &gt; ORDNANCE SWS SHIPBOARD SYSTEMS (12) - CONTINUOUS PRODUCTION - SSBN 837</t>
        </is>
      </c>
      <c r="AG269" s="7" t="inlineStr">
        <is>
          <t>61</t>
        </is>
      </c>
      <c r="AH269" s="7" t="inlineStr">
        <is>
          <t>1045</t>
        </is>
      </c>
      <c r="AJ269" s="7" t="inlineStr">
        <is>
          <t>SSBN 837</t>
        </is>
      </c>
    </row>
    <row r="270" ht="10" customHeight="1">
      <c r="A270" s="7" t="inlineStr">
        <is>
          <t>SCN</t>
        </is>
      </c>
      <c r="B270" s="7" t="inlineStr">
        <is>
          <t>Procurement</t>
        </is>
      </c>
      <c r="D270" s="7" t="inlineStr">
        <is>
          <t>COLUMBIA Class Submarine - P-10 - ELECTRONICS (13) - SSBN 827</t>
        </is>
      </c>
      <c r="E270" s="13" t="inlineStr">
        <is>
          <t>[SUB]</t>
        </is>
      </c>
      <c r="F270" s="7" t="inlineStr">
        <is>
          <t>1045 / COLUMBIA Class Submarine AP</t>
        </is>
      </c>
      <c r="I270" s="14" t="n">
        <v>1</v>
      </c>
      <c r="J270" s="7" t="inlineStr">
        <is>
          <t>Advance procurement / LLTM</t>
        </is>
      </c>
      <c r="K270" s="13" t="inlineStr">
        <is>
          <t>USN</t>
        </is>
      </c>
      <c r="L270" s="7" t="inlineStr">
        <is>
          <t>Combatant Ships</t>
        </is>
      </c>
      <c r="M270" s="7" t="inlineStr">
        <is>
          <t>Submarines</t>
        </is>
      </c>
      <c r="N270" s="7" t="inlineStr">
        <is>
          <t>SSBN</t>
        </is>
      </c>
      <c r="O270" s="15" t="n"/>
      <c r="S270" s="16" t="n">
        <v>0</v>
      </c>
      <c r="U270" s="16" t="n">
        <v>0</v>
      </c>
      <c r="AC270" s="23">
        <f>IF(OR(E270="",E270="[PARENT]"),"ADD",IF(E270="[ALT_VIEW]","ALT",""))</f>
        <v/>
      </c>
      <c r="AD270" s="21">
        <f>IF(Y270&lt;&gt;"",Y270,IF(U270&lt;&gt;"",U270,S270))</f>
        <v/>
      </c>
      <c r="AE270" s="21">
        <f>IF(AB270&lt;&gt;"",AB270,Z270)</f>
        <v/>
      </c>
      <c r="AF270" s="13" t="inlineStr">
        <is>
          <t>P-10 &gt; COLUMBIA Class Submarine &gt; ELECTRONICS (13) - SSBN 827</t>
        </is>
      </c>
      <c r="AG270" s="7" t="inlineStr">
        <is>
          <t>61</t>
        </is>
      </c>
      <c r="AH270" s="7" t="inlineStr">
        <is>
          <t>1045</t>
        </is>
      </c>
    </row>
    <row r="271" ht="10" customHeight="1">
      <c r="A271" s="7" t="inlineStr">
        <is>
          <t>SCN</t>
        </is>
      </c>
      <c r="B271" s="7" t="inlineStr">
        <is>
          <t>Procurement</t>
        </is>
      </c>
      <c r="D271" s="7" t="inlineStr">
        <is>
          <t>COLUMBIA Class Submarine - P-10 - ELECTRONICS (13) - SSBN 828</t>
        </is>
      </c>
      <c r="E271" s="13" t="inlineStr">
        <is>
          <t>[SUB]</t>
        </is>
      </c>
      <c r="F271" s="7" t="inlineStr">
        <is>
          <t>1045 / COLUMBIA Class Submarine AP</t>
        </is>
      </c>
      <c r="I271" s="14" t="n">
        <v>1</v>
      </c>
      <c r="J271" s="7" t="inlineStr">
        <is>
          <t>Advance procurement / LLTM</t>
        </is>
      </c>
      <c r="K271" s="13" t="inlineStr">
        <is>
          <t>USN</t>
        </is>
      </c>
      <c r="L271" s="7" t="inlineStr">
        <is>
          <t>Combatant Ships</t>
        </is>
      </c>
      <c r="M271" s="7" t="inlineStr">
        <is>
          <t>Submarines</t>
        </is>
      </c>
      <c r="N271" s="7" t="inlineStr">
        <is>
          <t>SSBN</t>
        </is>
      </c>
      <c r="O271" s="15" t="n"/>
      <c r="P271" s="16" t="n">
        <v>8430</v>
      </c>
      <c r="Q271" s="16" t="n">
        <v>58633</v>
      </c>
      <c r="S271" s="16" t="n">
        <v>0</v>
      </c>
      <c r="U271" s="16" t="n">
        <v>0</v>
      </c>
      <c r="AC271" s="23">
        <f>IF(OR(E271="",E271="[PARENT]"),"ADD",IF(E271="[ALT_VIEW]","ALT",""))</f>
        <v/>
      </c>
      <c r="AD271" s="21">
        <f>IF(Y271&lt;&gt;"",Y271,IF(U271&lt;&gt;"",U271,S271))</f>
        <v/>
      </c>
      <c r="AE271" s="21">
        <f>IF(AB271&lt;&gt;"",AB271,Z271)</f>
        <v/>
      </c>
      <c r="AF271" s="13" t="inlineStr">
        <is>
          <t>P-10 &gt; COLUMBIA Class Submarine &gt; ELECTRONICS (13) - SSBN 828</t>
        </is>
      </c>
      <c r="AG271" s="7" t="inlineStr">
        <is>
          <t>61</t>
        </is>
      </c>
      <c r="AH271" s="7" t="inlineStr">
        <is>
          <t>1045</t>
        </is>
      </c>
      <c r="AJ271" s="7" t="inlineStr">
        <is>
          <t>SSBN 828</t>
        </is>
      </c>
    </row>
    <row r="272" ht="10" customHeight="1">
      <c r="A272" s="7" t="inlineStr">
        <is>
          <t>SCN</t>
        </is>
      </c>
      <c r="B272" s="7" t="inlineStr">
        <is>
          <t>Procurement</t>
        </is>
      </c>
      <c r="D272" s="7" t="inlineStr">
        <is>
          <t>COLUMBIA Class Submarine - P-10 - ELECTRONICS (13) - SSBN 829</t>
        </is>
      </c>
      <c r="E272" s="13" t="inlineStr">
        <is>
          <t>[SUB]</t>
        </is>
      </c>
      <c r="F272" s="7" t="inlineStr">
        <is>
          <t>1045 / COLUMBIA Class Submarine AP</t>
        </is>
      </c>
      <c r="I272" s="14" t="n">
        <v>1</v>
      </c>
      <c r="J272" s="7" t="inlineStr">
        <is>
          <t>Advance procurement / LLTM</t>
        </is>
      </c>
      <c r="K272" s="13" t="inlineStr">
        <is>
          <t>USN</t>
        </is>
      </c>
      <c r="L272" s="7" t="inlineStr">
        <is>
          <t>Combatant Ships</t>
        </is>
      </c>
      <c r="M272" s="7" t="inlineStr">
        <is>
          <t>Submarines</t>
        </is>
      </c>
      <c r="N272" s="7" t="inlineStr">
        <is>
          <t>SSBN</t>
        </is>
      </c>
      <c r="O272" s="15" t="n"/>
      <c r="Q272" s="16" t="n">
        <v>19538</v>
      </c>
      <c r="S272" s="16" t="n">
        <v>85951</v>
      </c>
      <c r="U272" s="16" t="n">
        <v>85951</v>
      </c>
      <c r="AC272" s="23">
        <f>IF(OR(E272="",E272="[PARENT]"),"ADD",IF(E272="[ALT_VIEW]","ALT",""))</f>
        <v/>
      </c>
      <c r="AD272" s="21">
        <f>IF(Y272&lt;&gt;"",Y272,IF(U272&lt;&gt;"",U272,S272))</f>
        <v/>
      </c>
      <c r="AE272" s="21">
        <f>IF(AB272&lt;&gt;"",AB272,Z272)</f>
        <v/>
      </c>
      <c r="AF272" s="13" t="inlineStr">
        <is>
          <t>P-10 &gt; COLUMBIA Class Submarine &gt; ELECTRONICS (13) - SSBN 829</t>
        </is>
      </c>
      <c r="AG272" s="7" t="inlineStr">
        <is>
          <t>61</t>
        </is>
      </c>
      <c r="AH272" s="7" t="inlineStr">
        <is>
          <t>1045</t>
        </is>
      </c>
      <c r="AJ272" s="7" t="inlineStr">
        <is>
          <t>SSBN 829</t>
        </is>
      </c>
    </row>
    <row r="273" ht="10" customHeight="1">
      <c r="A273" s="7" t="inlineStr">
        <is>
          <t>SCN</t>
        </is>
      </c>
      <c r="B273" s="7" t="inlineStr">
        <is>
          <t>Procurement</t>
        </is>
      </c>
      <c r="D273" s="7" t="inlineStr">
        <is>
          <t>COLUMBIA Class Submarine - P-10 - ELECTRONICS (13) - SSBN 830</t>
        </is>
      </c>
      <c r="E273" s="13" t="inlineStr">
        <is>
          <t>[SUB]</t>
        </is>
      </c>
      <c r="F273" s="7" t="inlineStr">
        <is>
          <t>1045 / COLUMBIA Class Submarine AP</t>
        </is>
      </c>
      <c r="I273" s="14" t="n">
        <v>1</v>
      </c>
      <c r="J273" s="7" t="inlineStr">
        <is>
          <t>Advance procurement / LLTM</t>
        </is>
      </c>
      <c r="K273" s="13" t="inlineStr">
        <is>
          <t>USN</t>
        </is>
      </c>
      <c r="L273" s="7" t="inlineStr">
        <is>
          <t>Combatant Ships</t>
        </is>
      </c>
      <c r="M273" s="7" t="inlineStr">
        <is>
          <t>Submarines</t>
        </is>
      </c>
      <c r="N273" s="7" t="inlineStr">
        <is>
          <t>SSBN</t>
        </is>
      </c>
      <c r="O273" s="15" t="n"/>
      <c r="S273" s="16" t="n">
        <v>24650</v>
      </c>
      <c r="U273" s="16" t="n">
        <v>24650</v>
      </c>
      <c r="AC273" s="23">
        <f>IF(OR(E273="",E273="[PARENT]"),"ADD",IF(E273="[ALT_VIEW]","ALT",""))</f>
        <v/>
      </c>
      <c r="AD273" s="21">
        <f>IF(Y273&lt;&gt;"",Y273,IF(U273&lt;&gt;"",U273,S273))</f>
        <v/>
      </c>
      <c r="AE273" s="21">
        <f>IF(AB273&lt;&gt;"",AB273,Z273)</f>
        <v/>
      </c>
      <c r="AF273" s="13" t="inlineStr">
        <is>
          <t>P-10 &gt; COLUMBIA Class Submarine &gt; ELECTRONICS (13) - SSBN 830</t>
        </is>
      </c>
      <c r="AG273" s="7" t="inlineStr">
        <is>
          <t>61</t>
        </is>
      </c>
      <c r="AH273" s="7" t="inlineStr">
        <is>
          <t>1045</t>
        </is>
      </c>
      <c r="AJ273" s="7" t="inlineStr">
        <is>
          <t>SSBN 830</t>
        </is>
      </c>
    </row>
    <row r="274" ht="10" customHeight="1">
      <c r="A274" s="7" t="inlineStr">
        <is>
          <t>SCN</t>
        </is>
      </c>
      <c r="B274" s="7" t="inlineStr">
        <is>
          <t>Procurement</t>
        </is>
      </c>
      <c r="D274" s="7" t="inlineStr">
        <is>
          <t>COLUMBIA Class Submarine - P-10 - ELECTRONICS (13) - SSBN 831</t>
        </is>
      </c>
      <c r="E274" s="13" t="inlineStr">
        <is>
          <t>[SUB]</t>
        </is>
      </c>
      <c r="F274" s="7" t="inlineStr">
        <is>
          <t>1045 / COLUMBIA Class Submarine AP</t>
        </is>
      </c>
      <c r="I274" s="14" t="n">
        <v>1</v>
      </c>
      <c r="J274" s="7" t="inlineStr">
        <is>
          <t>Advance procurement / LLTM</t>
        </is>
      </c>
      <c r="K274" s="13" t="inlineStr">
        <is>
          <t>USN</t>
        </is>
      </c>
      <c r="L274" s="7" t="inlineStr">
        <is>
          <t>Combatant Ships</t>
        </is>
      </c>
      <c r="M274" s="7" t="inlineStr">
        <is>
          <t>Submarines</t>
        </is>
      </c>
      <c r="N274" s="7" t="inlineStr">
        <is>
          <t>SSBN</t>
        </is>
      </c>
      <c r="O274" s="15" t="n"/>
      <c r="S274" s="16" t="n">
        <v>0</v>
      </c>
      <c r="U274" s="16" t="n">
        <v>0</v>
      </c>
      <c r="AC274" s="23">
        <f>IF(OR(E274="",E274="[PARENT]"),"ADD",IF(E274="[ALT_VIEW]","ALT",""))</f>
        <v/>
      </c>
      <c r="AD274" s="21">
        <f>IF(Y274&lt;&gt;"",Y274,IF(U274&lt;&gt;"",U274,S274))</f>
        <v/>
      </c>
      <c r="AE274" s="21">
        <f>IF(AB274&lt;&gt;"",AB274,Z274)</f>
        <v/>
      </c>
      <c r="AF274" s="13" t="inlineStr">
        <is>
          <t>P-10 &gt; COLUMBIA Class Submarine &gt; ELECTRONICS (13) - SSBN 831</t>
        </is>
      </c>
      <c r="AG274" s="7" t="inlineStr">
        <is>
          <t>61</t>
        </is>
      </c>
      <c r="AH274" s="7" t="inlineStr">
        <is>
          <t>1045</t>
        </is>
      </c>
    </row>
    <row r="275" ht="10" customHeight="1">
      <c r="A275" s="7" t="inlineStr">
        <is>
          <t>SCN</t>
        </is>
      </c>
      <c r="B275" s="7" t="inlineStr">
        <is>
          <t>Procurement</t>
        </is>
      </c>
      <c r="D275" s="7" t="inlineStr">
        <is>
          <t>COLUMBIA Class Submarine - P-10 - ELECTRONICS (13) - SSBN 832</t>
        </is>
      </c>
      <c r="E275" s="13" t="inlineStr">
        <is>
          <t>[SUB]</t>
        </is>
      </c>
      <c r="F275" s="7" t="inlineStr">
        <is>
          <t>1045 / COLUMBIA Class Submarine AP</t>
        </is>
      </c>
      <c r="I275" s="14" t="n">
        <v>1</v>
      </c>
      <c r="J275" s="7" t="inlineStr">
        <is>
          <t>Advance procurement / LLTM</t>
        </is>
      </c>
      <c r="K275" s="13" t="inlineStr">
        <is>
          <t>USN</t>
        </is>
      </c>
      <c r="L275" s="7" t="inlineStr">
        <is>
          <t>Combatant Ships</t>
        </is>
      </c>
      <c r="M275" s="7" t="inlineStr">
        <is>
          <t>Submarines</t>
        </is>
      </c>
      <c r="N275" s="7" t="inlineStr">
        <is>
          <t>SSBN</t>
        </is>
      </c>
      <c r="O275" s="15" t="n"/>
      <c r="S275" s="16" t="n">
        <v>0</v>
      </c>
      <c r="U275" s="16" t="n">
        <v>0</v>
      </c>
      <c r="AC275" s="23">
        <f>IF(OR(E275="",E275="[PARENT]"),"ADD",IF(E275="[ALT_VIEW]","ALT",""))</f>
        <v/>
      </c>
      <c r="AD275" s="21">
        <f>IF(Y275&lt;&gt;"",Y275,IF(U275&lt;&gt;"",U275,S275))</f>
        <v/>
      </c>
      <c r="AE275" s="21">
        <f>IF(AB275&lt;&gt;"",AB275,Z275)</f>
        <v/>
      </c>
      <c r="AF275" s="13" t="inlineStr">
        <is>
          <t>P-10 &gt; COLUMBIA Class Submarine &gt; ELECTRONICS (13) - SSBN 832</t>
        </is>
      </c>
      <c r="AG275" s="7" t="inlineStr">
        <is>
          <t>61</t>
        </is>
      </c>
      <c r="AH275" s="7" t="inlineStr">
        <is>
          <t>1045</t>
        </is>
      </c>
    </row>
    <row r="276" ht="10" customHeight="1">
      <c r="A276" s="7" t="inlineStr">
        <is>
          <t>SCN</t>
        </is>
      </c>
      <c r="B276" s="7" t="inlineStr">
        <is>
          <t>Procurement</t>
        </is>
      </c>
      <c r="D276" s="7" t="inlineStr">
        <is>
          <t>COLUMBIA Class Submarine - P-10 - ELECTRONICS (13) - SSBN 833</t>
        </is>
      </c>
      <c r="E276" s="13" t="inlineStr">
        <is>
          <t>[SUB]</t>
        </is>
      </c>
      <c r="F276" s="7" t="inlineStr">
        <is>
          <t>1045 / COLUMBIA Class Submarine AP</t>
        </is>
      </c>
      <c r="I276" s="14" t="n">
        <v>1</v>
      </c>
      <c r="J276" s="7" t="inlineStr">
        <is>
          <t>Advance procurement / LLTM</t>
        </is>
      </c>
      <c r="K276" s="13" t="inlineStr">
        <is>
          <t>USN</t>
        </is>
      </c>
      <c r="L276" s="7" t="inlineStr">
        <is>
          <t>Combatant Ships</t>
        </is>
      </c>
      <c r="M276" s="7" t="inlineStr">
        <is>
          <t>Submarines</t>
        </is>
      </c>
      <c r="N276" s="7" t="inlineStr">
        <is>
          <t>SSBN</t>
        </is>
      </c>
      <c r="O276" s="15" t="n"/>
      <c r="S276" s="16" t="n">
        <v>0</v>
      </c>
      <c r="U276" s="16" t="n">
        <v>0</v>
      </c>
      <c r="AC276" s="23">
        <f>IF(OR(E276="",E276="[PARENT]"),"ADD",IF(E276="[ALT_VIEW]","ALT",""))</f>
        <v/>
      </c>
      <c r="AD276" s="21">
        <f>IF(Y276&lt;&gt;"",Y276,IF(U276&lt;&gt;"",U276,S276))</f>
        <v/>
      </c>
      <c r="AE276" s="21">
        <f>IF(AB276&lt;&gt;"",AB276,Z276)</f>
        <v/>
      </c>
      <c r="AF276" s="13" t="inlineStr">
        <is>
          <t>P-10 &gt; COLUMBIA Class Submarine &gt; ELECTRONICS (13) - SSBN 833</t>
        </is>
      </c>
      <c r="AG276" s="7" t="inlineStr">
        <is>
          <t>61</t>
        </is>
      </c>
      <c r="AH276" s="7" t="inlineStr">
        <is>
          <t>1045</t>
        </is>
      </c>
    </row>
    <row r="277" ht="10" customHeight="1">
      <c r="A277" s="7" t="inlineStr">
        <is>
          <t>SCN</t>
        </is>
      </c>
      <c r="B277" s="7" t="inlineStr">
        <is>
          <t>Procurement</t>
        </is>
      </c>
      <c r="D277" s="7" t="inlineStr">
        <is>
          <t>COLUMBIA Class Submarine - P-10 - ELECTRONICS (13) - SSBN 834</t>
        </is>
      </c>
      <c r="E277" s="13" t="inlineStr">
        <is>
          <t>[SUB]</t>
        </is>
      </c>
      <c r="F277" s="7" t="inlineStr">
        <is>
          <t>1045 / COLUMBIA Class Submarine AP</t>
        </is>
      </c>
      <c r="I277" s="14" t="n">
        <v>1</v>
      </c>
      <c r="J277" s="7" t="inlineStr">
        <is>
          <t>Advance procurement / LLTM</t>
        </is>
      </c>
      <c r="K277" s="13" t="inlineStr">
        <is>
          <t>USN</t>
        </is>
      </c>
      <c r="L277" s="7" t="inlineStr">
        <is>
          <t>Combatant Ships</t>
        </is>
      </c>
      <c r="M277" s="7" t="inlineStr">
        <is>
          <t>Submarines</t>
        </is>
      </c>
      <c r="N277" s="7" t="inlineStr">
        <is>
          <t>SSBN</t>
        </is>
      </c>
      <c r="O277" s="15" t="n"/>
      <c r="S277" s="16" t="n">
        <v>0</v>
      </c>
      <c r="U277" s="16" t="n">
        <v>0</v>
      </c>
      <c r="AC277" s="23">
        <f>IF(OR(E277="",E277="[PARENT]"),"ADD",IF(E277="[ALT_VIEW]","ALT",""))</f>
        <v/>
      </c>
      <c r="AD277" s="21">
        <f>IF(Y277&lt;&gt;"",Y277,IF(U277&lt;&gt;"",U277,S277))</f>
        <v/>
      </c>
      <c r="AE277" s="21">
        <f>IF(AB277&lt;&gt;"",AB277,Z277)</f>
        <v/>
      </c>
      <c r="AF277" s="13" t="inlineStr">
        <is>
          <t>P-10 &gt; COLUMBIA Class Submarine &gt; ELECTRONICS (13) - SSBN 834</t>
        </is>
      </c>
      <c r="AG277" s="7" t="inlineStr">
        <is>
          <t>61</t>
        </is>
      </c>
      <c r="AH277" s="7" t="inlineStr">
        <is>
          <t>1045</t>
        </is>
      </c>
    </row>
    <row r="278" ht="10" customHeight="1">
      <c r="A278" s="7" t="inlineStr">
        <is>
          <t>SCN</t>
        </is>
      </c>
      <c r="B278" s="7" t="inlineStr">
        <is>
          <t>Procurement</t>
        </is>
      </c>
      <c r="D278" s="7" t="inlineStr">
        <is>
          <t>COLUMBIA Class Submarine - P-10 - ELECTRONICS (13) - SSBN 828</t>
        </is>
      </c>
      <c r="E278" s="13" t="inlineStr">
        <is>
          <t>[SUB]</t>
        </is>
      </c>
      <c r="F278" s="7" t="inlineStr">
        <is>
          <t>1045 / COLUMBIA Class Submarine AP</t>
        </is>
      </c>
      <c r="I278" s="14" t="n">
        <v>1</v>
      </c>
      <c r="J278" s="7" t="inlineStr">
        <is>
          <t>Advance procurement / LLTM</t>
        </is>
      </c>
      <c r="K278" s="13" t="inlineStr">
        <is>
          <t>USN</t>
        </is>
      </c>
      <c r="L278" s="7" t="inlineStr">
        <is>
          <t>Combatant Ships</t>
        </is>
      </c>
      <c r="M278" s="7" t="inlineStr">
        <is>
          <t>Submarines</t>
        </is>
      </c>
      <c r="N278" s="7" t="inlineStr">
        <is>
          <t>SSBN</t>
        </is>
      </c>
      <c r="O278" s="15" t="n"/>
      <c r="Q278" s="16" t="n">
        <v>11900</v>
      </c>
      <c r="S278" s="16" t="n">
        <v>0</v>
      </c>
      <c r="U278" s="16" t="n">
        <v>0</v>
      </c>
      <c r="AC278" s="23">
        <f>IF(OR(E278="",E278="[PARENT]"),"ADD",IF(E278="[ALT_VIEW]","ALT",""))</f>
        <v/>
      </c>
      <c r="AD278" s="21">
        <f>IF(Y278&lt;&gt;"",Y278,IF(U278&lt;&gt;"",U278,S278))</f>
        <v/>
      </c>
      <c r="AE278" s="21">
        <f>IF(AB278&lt;&gt;"",AB278,Z278)</f>
        <v/>
      </c>
      <c r="AF278" s="13" t="inlineStr">
        <is>
          <t>P-10 &gt; COLUMBIA Class Submarine &gt; ELECTRONICS (13) - SSBN 828</t>
        </is>
      </c>
      <c r="AG278" s="7" t="inlineStr">
        <is>
          <t>61</t>
        </is>
      </c>
      <c r="AH278" s="7" t="inlineStr">
        <is>
          <t>1045</t>
        </is>
      </c>
      <c r="AJ278" s="7" t="inlineStr">
        <is>
          <t>SSBN 828</t>
        </is>
      </c>
    </row>
    <row r="279" ht="10" customHeight="1">
      <c r="A279" s="7" t="inlineStr">
        <is>
          <t>SCN</t>
        </is>
      </c>
      <c r="B279" s="7" t="inlineStr">
        <is>
          <t>Procurement</t>
        </is>
      </c>
      <c r="D279" s="7" t="inlineStr">
        <is>
          <t>COLUMBIA Class Submarine - P-10 - SSBN 829</t>
        </is>
      </c>
      <c r="E279" s="13" t="inlineStr">
        <is>
          <t>[SUB]</t>
        </is>
      </c>
      <c r="F279" s="7" t="inlineStr">
        <is>
          <t>1045 / COLUMBIA Class Submarine AP</t>
        </is>
      </c>
      <c r="I279" s="14" t="n">
        <v>1</v>
      </c>
      <c r="J279" s="7" t="inlineStr">
        <is>
          <t>Advance procurement / LLTM</t>
        </is>
      </c>
      <c r="K279" s="13" t="inlineStr">
        <is>
          <t>USN</t>
        </is>
      </c>
      <c r="L279" s="7" t="inlineStr">
        <is>
          <t>Combatant Ships</t>
        </is>
      </c>
      <c r="M279" s="7" t="inlineStr">
        <is>
          <t>Submarines</t>
        </is>
      </c>
      <c r="N279" s="7" t="inlineStr">
        <is>
          <t>SSBN</t>
        </is>
      </c>
      <c r="O279" s="15" t="n"/>
      <c r="Q279" s="16" t="n">
        <v>11900</v>
      </c>
      <c r="S279" s="16" t="n">
        <v>0</v>
      </c>
      <c r="U279" s="16" t="n">
        <v>0</v>
      </c>
      <c r="AC279" s="23">
        <f>IF(OR(E279="",E279="[PARENT]"),"ADD",IF(E279="[ALT_VIEW]","ALT",""))</f>
        <v/>
      </c>
      <c r="AD279" s="21">
        <f>IF(Y279&lt;&gt;"",Y279,IF(U279&lt;&gt;"",U279,S279))</f>
        <v/>
      </c>
      <c r="AE279" s="21">
        <f>IF(AB279&lt;&gt;"",AB279,Z279)</f>
        <v/>
      </c>
      <c r="AF279" s="13" t="inlineStr">
        <is>
          <t>P-10 &gt; COLUMBIA Class Submarine &gt; SSBN 829</t>
        </is>
      </c>
      <c r="AG279" s="7" t="inlineStr">
        <is>
          <t>62</t>
        </is>
      </c>
      <c r="AH279" s="7" t="inlineStr">
        <is>
          <t>1045</t>
        </is>
      </c>
      <c r="AJ279" s="7" t="inlineStr">
        <is>
          <t>SSBN 829</t>
        </is>
      </c>
    </row>
    <row r="280" ht="10" customHeight="1">
      <c r="A280" s="7" t="inlineStr">
        <is>
          <t>SCN</t>
        </is>
      </c>
      <c r="B280" s="7" t="inlineStr">
        <is>
          <t>Procurement</t>
        </is>
      </c>
      <c r="D280" s="7" t="inlineStr">
        <is>
          <t>COLUMBIA Class Submarine - P-10 - SSBN 830</t>
        </is>
      </c>
      <c r="E280" s="13" t="inlineStr">
        <is>
          <t>[SUB]</t>
        </is>
      </c>
      <c r="F280" s="7" t="inlineStr">
        <is>
          <t>1045 / COLUMBIA Class Submarine AP</t>
        </is>
      </c>
      <c r="I280" s="14" t="n">
        <v>1</v>
      </c>
      <c r="J280" s="7" t="inlineStr">
        <is>
          <t>Advance procurement / LLTM</t>
        </is>
      </c>
      <c r="K280" s="13" t="inlineStr">
        <is>
          <t>USN</t>
        </is>
      </c>
      <c r="L280" s="7" t="inlineStr">
        <is>
          <t>Combatant Ships</t>
        </is>
      </c>
      <c r="M280" s="7" t="inlineStr">
        <is>
          <t>Submarines</t>
        </is>
      </c>
      <c r="N280" s="7" t="inlineStr">
        <is>
          <t>SSBN</t>
        </is>
      </c>
      <c r="O280" s="15" t="n"/>
      <c r="Q280" s="16" t="n">
        <v>11900</v>
      </c>
      <c r="S280" s="16" t="n">
        <v>0</v>
      </c>
      <c r="U280" s="16" t="n">
        <v>0</v>
      </c>
      <c r="AC280" s="23">
        <f>IF(OR(E280="",E280="[PARENT]"),"ADD",IF(E280="[ALT_VIEW]","ALT",""))</f>
        <v/>
      </c>
      <c r="AD280" s="21">
        <f>IF(Y280&lt;&gt;"",Y280,IF(U280&lt;&gt;"",U280,S280))</f>
        <v/>
      </c>
      <c r="AE280" s="21">
        <f>IF(AB280&lt;&gt;"",AB280,Z280)</f>
        <v/>
      </c>
      <c r="AF280" s="13" t="inlineStr">
        <is>
          <t>P-10 &gt; COLUMBIA Class Submarine &gt; SSBN 830</t>
        </is>
      </c>
      <c r="AG280" s="7" t="inlineStr">
        <is>
          <t>62</t>
        </is>
      </c>
      <c r="AH280" s="7" t="inlineStr">
        <is>
          <t>1045</t>
        </is>
      </c>
      <c r="AJ280" s="7" t="inlineStr">
        <is>
          <t>SSBN 830</t>
        </is>
      </c>
    </row>
    <row r="281" ht="10" customHeight="1">
      <c r="A281" s="7" t="inlineStr">
        <is>
          <t>SCN</t>
        </is>
      </c>
      <c r="B281" s="7" t="inlineStr">
        <is>
          <t>Procurement</t>
        </is>
      </c>
      <c r="D281" s="7" t="inlineStr">
        <is>
          <t>COLUMBIA Class Submarine - P-10 - SSBN 831</t>
        </is>
      </c>
      <c r="E281" s="13" t="inlineStr">
        <is>
          <t>[SUB]</t>
        </is>
      </c>
      <c r="F281" s="7" t="inlineStr">
        <is>
          <t>1045 / COLUMBIA Class Submarine AP</t>
        </is>
      </c>
      <c r="I281" s="14" t="n">
        <v>1</v>
      </c>
      <c r="J281" s="7" t="inlineStr">
        <is>
          <t>Advance procurement / LLTM</t>
        </is>
      </c>
      <c r="K281" s="13" t="inlineStr">
        <is>
          <t>USN</t>
        </is>
      </c>
      <c r="L281" s="7" t="inlineStr">
        <is>
          <t>Combatant Ships</t>
        </is>
      </c>
      <c r="M281" s="7" t="inlineStr">
        <is>
          <t>Submarines</t>
        </is>
      </c>
      <c r="N281" s="7" t="inlineStr">
        <is>
          <t>SSBN</t>
        </is>
      </c>
      <c r="O281" s="15" t="n"/>
      <c r="Q281" s="16" t="n">
        <v>11900</v>
      </c>
      <c r="S281" s="16" t="n">
        <v>0</v>
      </c>
      <c r="U281" s="16" t="n">
        <v>0</v>
      </c>
      <c r="AC281" s="23">
        <f>IF(OR(E281="",E281="[PARENT]"),"ADD",IF(E281="[ALT_VIEW]","ALT",""))</f>
        <v/>
      </c>
      <c r="AD281" s="21">
        <f>IF(Y281&lt;&gt;"",Y281,IF(U281&lt;&gt;"",U281,S281))</f>
        <v/>
      </c>
      <c r="AE281" s="21">
        <f>IF(AB281&lt;&gt;"",AB281,Z281)</f>
        <v/>
      </c>
      <c r="AF281" s="13" t="inlineStr">
        <is>
          <t>P-10 &gt; COLUMBIA Class Submarine &gt; SSBN 831</t>
        </is>
      </c>
      <c r="AG281" s="7" t="inlineStr">
        <is>
          <t>62</t>
        </is>
      </c>
      <c r="AH281" s="7" t="inlineStr">
        <is>
          <t>1045</t>
        </is>
      </c>
      <c r="AJ281" s="7" t="inlineStr">
        <is>
          <t>SSBN 831</t>
        </is>
      </c>
    </row>
    <row r="282" ht="10" customHeight="1">
      <c r="A282" s="7" t="inlineStr">
        <is>
          <t>SCN</t>
        </is>
      </c>
      <c r="B282" s="7" t="inlineStr">
        <is>
          <t>Procurement</t>
        </is>
      </c>
      <c r="D282" s="7" t="inlineStr">
        <is>
          <t>COLUMBIA Class Submarine - P-10 - SSBN 832</t>
        </is>
      </c>
      <c r="E282" s="13" t="inlineStr">
        <is>
          <t>[SUB]</t>
        </is>
      </c>
      <c r="F282" s="7" t="inlineStr">
        <is>
          <t>1045 / COLUMBIA Class Submarine AP</t>
        </is>
      </c>
      <c r="I282" s="14" t="n">
        <v>1</v>
      </c>
      <c r="J282" s="7" t="inlineStr">
        <is>
          <t>Advance procurement / LLTM</t>
        </is>
      </c>
      <c r="K282" s="13" t="inlineStr">
        <is>
          <t>USN</t>
        </is>
      </c>
      <c r="L282" s="7" t="inlineStr">
        <is>
          <t>Combatant Ships</t>
        </is>
      </c>
      <c r="M282" s="7" t="inlineStr">
        <is>
          <t>Submarines</t>
        </is>
      </c>
      <c r="N282" s="7" t="inlineStr">
        <is>
          <t>SSBN</t>
        </is>
      </c>
      <c r="O282" s="15" t="n"/>
      <c r="Q282" s="16" t="n">
        <v>11900</v>
      </c>
      <c r="S282" s="16" t="n">
        <v>0</v>
      </c>
      <c r="U282" s="16" t="n">
        <v>0</v>
      </c>
      <c r="AC282" s="23">
        <f>IF(OR(E282="",E282="[PARENT]"),"ADD",IF(E282="[ALT_VIEW]","ALT",""))</f>
        <v/>
      </c>
      <c r="AD282" s="21">
        <f>IF(Y282&lt;&gt;"",Y282,IF(U282&lt;&gt;"",U282,S282))</f>
        <v/>
      </c>
      <c r="AE282" s="21">
        <f>IF(AB282&lt;&gt;"",AB282,Z282)</f>
        <v/>
      </c>
      <c r="AF282" s="13" t="inlineStr">
        <is>
          <t>P-10 &gt; COLUMBIA Class Submarine &gt; SSBN 832</t>
        </is>
      </c>
      <c r="AG282" s="7" t="inlineStr">
        <is>
          <t>62</t>
        </is>
      </c>
      <c r="AH282" s="7" t="inlineStr">
        <is>
          <t>1045</t>
        </is>
      </c>
      <c r="AJ282" s="7" t="inlineStr">
        <is>
          <t>SSBN 832</t>
        </is>
      </c>
    </row>
    <row r="283" ht="10" customHeight="1">
      <c r="A283" s="7" t="inlineStr">
        <is>
          <t>SCN</t>
        </is>
      </c>
      <c r="B283" s="7" t="inlineStr">
        <is>
          <t>Procurement</t>
        </is>
      </c>
      <c r="D283" s="7" t="inlineStr">
        <is>
          <t>COLUMBIA Class Submarine - P-10 - PLANS - Supplier Development- Maritime Industrial Base - SSBN 837 (2)</t>
        </is>
      </c>
      <c r="E283" s="13" t="inlineStr">
        <is>
          <t>[SUB]</t>
        </is>
      </c>
      <c r="F283" s="7" t="inlineStr">
        <is>
          <t>1045 / COLUMBIA Class Submarine AP</t>
        </is>
      </c>
      <c r="I283" s="14" t="n">
        <v>1</v>
      </c>
      <c r="J283" s="7" t="inlineStr">
        <is>
          <t>Advance procurement / LLTM</t>
        </is>
      </c>
      <c r="K283" s="13" t="inlineStr">
        <is>
          <t>USN</t>
        </is>
      </c>
      <c r="L283" s="7" t="inlineStr">
        <is>
          <t>Combatant Ships</t>
        </is>
      </c>
      <c r="M283" s="7" t="inlineStr">
        <is>
          <t>Submarines</t>
        </is>
      </c>
      <c r="N283" s="7" t="inlineStr">
        <is>
          <t>SSBN</t>
        </is>
      </c>
      <c r="O283" s="15" t="n"/>
      <c r="S283" s="16" t="n">
        <v>1352000</v>
      </c>
      <c r="U283" s="16" t="n">
        <v>1352000</v>
      </c>
      <c r="AC283" s="23">
        <f>IF(OR(E283="",E283="[PARENT]"),"ADD",IF(E283="[ALT_VIEW]","ALT",""))</f>
        <v/>
      </c>
      <c r="AD283" s="21">
        <f>IF(Y283&lt;&gt;"",Y283,IF(U283&lt;&gt;"",U283,S283))</f>
        <v/>
      </c>
      <c r="AE283" s="21">
        <f>IF(AB283&lt;&gt;"",AB283,Z283)</f>
        <v/>
      </c>
      <c r="AF283" s="13" t="inlineStr">
        <is>
          <t>P-10 &gt; COLUMBIA Class Submarine &gt; PLANS - Supplier Development- Maritime Industrial Base - SSBN 837 (2)</t>
        </is>
      </c>
      <c r="AG283" s="7" t="inlineStr">
        <is>
          <t>63</t>
        </is>
      </c>
      <c r="AH283" s="7" t="inlineStr">
        <is>
          <t>1045</t>
        </is>
      </c>
    </row>
    <row r="284" ht="10" customHeight="1">
      <c r="A284" s="7" t="inlineStr">
        <is>
          <t>SCN</t>
        </is>
      </c>
      <c r="B284" s="7" t="inlineStr">
        <is>
          <t>Procurement</t>
        </is>
      </c>
      <c r="D284" s="7" t="inlineStr">
        <is>
          <t>COLUMBIA Class Submarine - P-10 - PLANS - SSBN 828</t>
        </is>
      </c>
      <c r="E284" s="13" t="inlineStr">
        <is>
          <t>[SUB]</t>
        </is>
      </c>
      <c r="F284" s="7" t="inlineStr">
        <is>
          <t>1045 / COLUMBIA Class Submarine AP</t>
        </is>
      </c>
      <c r="I284" s="14" t="n">
        <v>1</v>
      </c>
      <c r="J284" s="7" t="inlineStr">
        <is>
          <t>Advance procurement / LLTM</t>
        </is>
      </c>
      <c r="K284" s="13" t="inlineStr">
        <is>
          <t>USN</t>
        </is>
      </c>
      <c r="L284" s="7" t="inlineStr">
        <is>
          <t>Combatant Ships</t>
        </is>
      </c>
      <c r="M284" s="7" t="inlineStr">
        <is>
          <t>Submarines</t>
        </is>
      </c>
      <c r="N284" s="7" t="inlineStr">
        <is>
          <t>SSBN</t>
        </is>
      </c>
      <c r="O284" s="15" t="n"/>
      <c r="S284" s="16" t="n">
        <v>0</v>
      </c>
      <c r="U284" s="16" t="n">
        <v>0</v>
      </c>
      <c r="AC284" s="23">
        <f>IF(OR(E284="",E284="[PARENT]"),"ADD",IF(E284="[ALT_VIEW]","ALT",""))</f>
        <v/>
      </c>
      <c r="AD284" s="21">
        <f>IF(Y284&lt;&gt;"",Y284,IF(U284&lt;&gt;"",U284,S284))</f>
        <v/>
      </c>
      <c r="AE284" s="21">
        <f>IF(AB284&lt;&gt;"",AB284,Z284)</f>
        <v/>
      </c>
      <c r="AF284" s="13" t="inlineStr">
        <is>
          <t>P-10 &gt; COLUMBIA Class Submarine &gt; PLANS - SSBN 828</t>
        </is>
      </c>
      <c r="AG284" s="7" t="inlineStr">
        <is>
          <t>63</t>
        </is>
      </c>
      <c r="AH284" s="7" t="inlineStr">
        <is>
          <t>1045</t>
        </is>
      </c>
    </row>
    <row r="285" ht="10" customHeight="1">
      <c r="A285" s="7" t="inlineStr">
        <is>
          <t>SCN</t>
        </is>
      </c>
      <c r="B285" s="7" t="inlineStr">
        <is>
          <t>Procurement</t>
        </is>
      </c>
      <c r="D285" s="7" t="inlineStr">
        <is>
          <t>COLUMBIA Class Submarine - P-10 - PLANS - SSBN 829</t>
        </is>
      </c>
      <c r="E285" s="13" t="inlineStr">
        <is>
          <t>[SUB]</t>
        </is>
      </c>
      <c r="F285" s="7" t="inlineStr">
        <is>
          <t>1045 / COLUMBIA Class Submarine AP</t>
        </is>
      </c>
      <c r="I285" s="14" t="n">
        <v>1</v>
      </c>
      <c r="J285" s="7" t="inlineStr">
        <is>
          <t>Advance procurement / LLTM</t>
        </is>
      </c>
      <c r="K285" s="13" t="inlineStr">
        <is>
          <t>USN</t>
        </is>
      </c>
      <c r="L285" s="7" t="inlineStr">
        <is>
          <t>Combatant Ships</t>
        </is>
      </c>
      <c r="M285" s="7" t="inlineStr">
        <is>
          <t>Submarines</t>
        </is>
      </c>
      <c r="N285" s="7" t="inlineStr">
        <is>
          <t>SSBN</t>
        </is>
      </c>
      <c r="O285" s="15" t="n"/>
      <c r="S285" s="16" t="n">
        <v>51989</v>
      </c>
      <c r="U285" s="16" t="n">
        <v>51989</v>
      </c>
      <c r="AC285" s="23">
        <f>IF(OR(E285="",E285="[PARENT]"),"ADD",IF(E285="[ALT_VIEW]","ALT",""))</f>
        <v/>
      </c>
      <c r="AD285" s="21">
        <f>IF(Y285&lt;&gt;"",Y285,IF(U285&lt;&gt;"",U285,S285))</f>
        <v/>
      </c>
      <c r="AE285" s="21">
        <f>IF(AB285&lt;&gt;"",AB285,Z285)</f>
        <v/>
      </c>
      <c r="AF285" s="13" t="inlineStr">
        <is>
          <t>P-10 &gt; COLUMBIA Class Submarine &gt; PLANS - SSBN 829</t>
        </is>
      </c>
      <c r="AG285" s="7" t="inlineStr">
        <is>
          <t>63</t>
        </is>
      </c>
      <c r="AH285" s="7" t="inlineStr">
        <is>
          <t>1045</t>
        </is>
      </c>
    </row>
    <row r="286" ht="10" customHeight="1">
      <c r="A286" s="7" t="inlineStr">
        <is>
          <t>SCN</t>
        </is>
      </c>
      <c r="B286" s="7" t="inlineStr">
        <is>
          <t>Procurement</t>
        </is>
      </c>
      <c r="D286" s="7" t="inlineStr">
        <is>
          <t>COLUMBIA Class Submarine - P-10 - BASIC CONSTRUCTION (3) - SHIPBUILDER PROCURED LLTM - SSBN 828</t>
        </is>
      </c>
      <c r="E286" s="13" t="inlineStr">
        <is>
          <t>[SUB]</t>
        </is>
      </c>
      <c r="F286" s="7" t="inlineStr">
        <is>
          <t>1045 / COLUMBIA Class Submarine AP</t>
        </is>
      </c>
      <c r="I286" s="14" t="n">
        <v>1</v>
      </c>
      <c r="J286" s="7" t="inlineStr">
        <is>
          <t>Advance procurement / LLTM</t>
        </is>
      </c>
      <c r="K286" s="13" t="inlineStr">
        <is>
          <t>USN</t>
        </is>
      </c>
      <c r="L286" s="7" t="inlineStr">
        <is>
          <t>Combatant Ships</t>
        </is>
      </c>
      <c r="M286" s="7" t="inlineStr">
        <is>
          <t>Submarines</t>
        </is>
      </c>
      <c r="N286" s="7" t="inlineStr">
        <is>
          <t>SSBN</t>
        </is>
      </c>
      <c r="O286" s="15" t="n"/>
      <c r="S286" s="16" t="n">
        <v>0</v>
      </c>
      <c r="U286" s="16" t="n">
        <v>0</v>
      </c>
      <c r="AC286" s="23">
        <f>IF(OR(E286="",E286="[PARENT]"),"ADD",IF(E286="[ALT_VIEW]","ALT",""))</f>
        <v/>
      </c>
      <c r="AD286" s="21">
        <f>IF(Y286&lt;&gt;"",Y286,IF(U286&lt;&gt;"",U286,S286))</f>
        <v/>
      </c>
      <c r="AE286" s="21">
        <f>IF(AB286&lt;&gt;"",AB286,Z286)</f>
        <v/>
      </c>
      <c r="AF286" s="13" t="inlineStr">
        <is>
          <t>P-10 &gt; COLUMBIA Class Submarine &gt; BASIC CONSTRUCTION (3) - SHIPBUILDER PROCURED LLTM - SSBN 828</t>
        </is>
      </c>
      <c r="AG286" s="7" t="inlineStr">
        <is>
          <t>63</t>
        </is>
      </c>
      <c r="AH286" s="7" t="inlineStr">
        <is>
          <t>1045</t>
        </is>
      </c>
    </row>
    <row r="287" ht="10" customHeight="1">
      <c r="A287" s="7" t="inlineStr">
        <is>
          <t>SCN</t>
        </is>
      </c>
      <c r="B287" s="7" t="inlineStr">
        <is>
          <t>Procurement</t>
        </is>
      </c>
      <c r="D287" s="7" t="inlineStr">
        <is>
          <t>COLUMBIA Class Submarine - P-10 - BASIC CONSTRUCTION (3) - SHIPBUILDER PROCURED LLTM - SSBN 829</t>
        </is>
      </c>
      <c r="E287" s="13" t="inlineStr">
        <is>
          <t>[SUB]</t>
        </is>
      </c>
      <c r="F287" s="7" t="inlineStr">
        <is>
          <t>1045 / COLUMBIA Class Submarine AP</t>
        </is>
      </c>
      <c r="I287" s="14" t="n">
        <v>1</v>
      </c>
      <c r="J287" s="7" t="inlineStr">
        <is>
          <t>Advance procurement / LLTM</t>
        </is>
      </c>
      <c r="K287" s="13" t="inlineStr">
        <is>
          <t>USN</t>
        </is>
      </c>
      <c r="L287" s="7" t="inlineStr">
        <is>
          <t>Combatant Ships</t>
        </is>
      </c>
      <c r="M287" s="7" t="inlineStr">
        <is>
          <t>Submarines</t>
        </is>
      </c>
      <c r="N287" s="7" t="inlineStr">
        <is>
          <t>SSBN</t>
        </is>
      </c>
      <c r="O287" s="15" t="n"/>
      <c r="S287" s="16" t="n">
        <v>203000</v>
      </c>
      <c r="U287" s="16" t="n">
        <v>203000</v>
      </c>
      <c r="AC287" s="23">
        <f>IF(OR(E287="",E287="[PARENT]"),"ADD",IF(E287="[ALT_VIEW]","ALT",""))</f>
        <v/>
      </c>
      <c r="AD287" s="21">
        <f>IF(Y287&lt;&gt;"",Y287,IF(U287&lt;&gt;"",U287,S287))</f>
        <v/>
      </c>
      <c r="AE287" s="21">
        <f>IF(AB287&lt;&gt;"",AB287,Z287)</f>
        <v/>
      </c>
      <c r="AF287" s="13" t="inlineStr">
        <is>
          <t>P-10 &gt; COLUMBIA Class Submarine &gt; BASIC CONSTRUCTION (3) - SHIPBUILDER PROCURED LLTM - SSBN 829</t>
        </is>
      </c>
      <c r="AG287" s="7" t="inlineStr">
        <is>
          <t>63</t>
        </is>
      </c>
      <c r="AH287" s="7" t="inlineStr">
        <is>
          <t>1045</t>
        </is>
      </c>
    </row>
    <row r="288" ht="10" customHeight="1">
      <c r="A288" s="7" t="inlineStr">
        <is>
          <t>SCN</t>
        </is>
      </c>
      <c r="B288" s="7" t="inlineStr">
        <is>
          <t>Procurement</t>
        </is>
      </c>
      <c r="D288" s="7" t="inlineStr">
        <is>
          <t>COLUMBIA Class Submarine - P-10 - BASIC CONSTRUCTION (3) - SHIPBUILDER PROCURED LLTM - SSBN 830</t>
        </is>
      </c>
      <c r="E288" s="13" t="inlineStr">
        <is>
          <t>[SUB]</t>
        </is>
      </c>
      <c r="F288" s="7" t="inlineStr">
        <is>
          <t>1045 / COLUMBIA Class Submarine AP</t>
        </is>
      </c>
      <c r="I288" s="14" t="n">
        <v>1</v>
      </c>
      <c r="J288" s="7" t="inlineStr">
        <is>
          <t>Advance procurement / LLTM</t>
        </is>
      </c>
      <c r="K288" s="13" t="inlineStr">
        <is>
          <t>USN</t>
        </is>
      </c>
      <c r="L288" s="7" t="inlineStr">
        <is>
          <t>Combatant Ships</t>
        </is>
      </c>
      <c r="M288" s="7" t="inlineStr">
        <is>
          <t>Submarines</t>
        </is>
      </c>
      <c r="N288" s="7" t="inlineStr">
        <is>
          <t>SSBN</t>
        </is>
      </c>
      <c r="O288" s="15" t="n"/>
      <c r="S288" s="16" t="n">
        <v>150730</v>
      </c>
      <c r="U288" s="16" t="n">
        <v>150730</v>
      </c>
      <c r="AC288" s="23">
        <f>IF(OR(E288="",E288="[PARENT]"),"ADD",IF(E288="[ALT_VIEW]","ALT",""))</f>
        <v/>
      </c>
      <c r="AD288" s="21">
        <f>IF(Y288&lt;&gt;"",Y288,IF(U288&lt;&gt;"",U288,S288))</f>
        <v/>
      </c>
      <c r="AE288" s="21">
        <f>IF(AB288&lt;&gt;"",AB288,Z288)</f>
        <v/>
      </c>
      <c r="AF288" s="13" t="inlineStr">
        <is>
          <t>P-10 &gt; COLUMBIA Class Submarine &gt; BASIC CONSTRUCTION (3) - SHIPBUILDER PROCURED LLTM - SSBN 830</t>
        </is>
      </c>
      <c r="AG288" s="7" t="inlineStr">
        <is>
          <t>63</t>
        </is>
      </c>
      <c r="AH288" s="7" t="inlineStr">
        <is>
          <t>1045</t>
        </is>
      </c>
    </row>
    <row r="289" ht="10" customHeight="1">
      <c r="A289" s="7" t="inlineStr">
        <is>
          <t>SCN</t>
        </is>
      </c>
      <c r="B289" s="7" t="inlineStr">
        <is>
          <t>Procurement</t>
        </is>
      </c>
      <c r="D289" s="7" t="inlineStr">
        <is>
          <t>COLUMBIA Class Submarine - P-10 - BASIC CONSTRUCTION (4) - MISSILE TUBE CONTINUOUS PRODUCTION &amp; OUTFITTING - SSBN 828</t>
        </is>
      </c>
      <c r="E289" s="13" t="inlineStr">
        <is>
          <t>[SUB]</t>
        </is>
      </c>
      <c r="F289" s="7" t="inlineStr">
        <is>
          <t>1045 / COLUMBIA Class Submarine AP</t>
        </is>
      </c>
      <c r="I289" s="14" t="n">
        <v>1</v>
      </c>
      <c r="J289" s="7" t="inlineStr">
        <is>
          <t>Advance procurement / LLTM</t>
        </is>
      </c>
      <c r="K289" s="13" t="inlineStr">
        <is>
          <t>USN</t>
        </is>
      </c>
      <c r="L289" s="7" t="inlineStr">
        <is>
          <t>Combatant Ships</t>
        </is>
      </c>
      <c r="M289" s="7" t="inlineStr">
        <is>
          <t>Submarines</t>
        </is>
      </c>
      <c r="N289" s="7" t="inlineStr">
        <is>
          <t>SSBN</t>
        </is>
      </c>
      <c r="O289" s="15" t="n"/>
      <c r="S289" s="16" t="n">
        <v>0</v>
      </c>
      <c r="U289" s="16" t="n">
        <v>0</v>
      </c>
      <c r="AC289" s="23">
        <f>IF(OR(E289="",E289="[PARENT]"),"ADD",IF(E289="[ALT_VIEW]","ALT",""))</f>
        <v/>
      </c>
      <c r="AD289" s="21">
        <f>IF(Y289&lt;&gt;"",Y289,IF(U289&lt;&gt;"",U289,S289))</f>
        <v/>
      </c>
      <c r="AE289" s="21">
        <f>IF(AB289&lt;&gt;"",AB289,Z289)</f>
        <v/>
      </c>
      <c r="AF289" s="13" t="inlineStr">
        <is>
          <t>P-10 &gt; COLUMBIA Class Submarine &gt; BASIC CONSTRUCTION (4) - MISSILE TUBE CONTINUOUS PRODUCTION &amp; OUTFITTING - SSBN 828</t>
        </is>
      </c>
      <c r="AG289" s="7" t="inlineStr">
        <is>
          <t>63</t>
        </is>
      </c>
      <c r="AH289" s="7" t="inlineStr">
        <is>
          <t>1045</t>
        </is>
      </c>
    </row>
    <row r="290" ht="10" customHeight="1">
      <c r="A290" s="7" t="inlineStr">
        <is>
          <t>SCN</t>
        </is>
      </c>
      <c r="B290" s="7" t="inlineStr">
        <is>
          <t>Procurement</t>
        </is>
      </c>
      <c r="D290" s="7" t="inlineStr">
        <is>
          <t>COLUMBIA Class Submarine - P-10 - BASIC CONSTRUCTION (4) - MISSILE TUBE CONTINUOUS PRODUCTION &amp; OUTFITTING - SSBN 829</t>
        </is>
      </c>
      <c r="E290" s="13" t="inlineStr">
        <is>
          <t>[SUB]</t>
        </is>
      </c>
      <c r="F290" s="7" t="inlineStr">
        <is>
          <t>1045 / COLUMBIA Class Submarine AP</t>
        </is>
      </c>
      <c r="I290" s="14" t="n">
        <v>1</v>
      </c>
      <c r="J290" s="7" t="inlineStr">
        <is>
          <t>Advance procurement / LLTM</t>
        </is>
      </c>
      <c r="K290" s="13" t="inlineStr">
        <is>
          <t>USN</t>
        </is>
      </c>
      <c r="L290" s="7" t="inlineStr">
        <is>
          <t>Combatant Ships</t>
        </is>
      </c>
      <c r="M290" s="7" t="inlineStr">
        <is>
          <t>Submarines</t>
        </is>
      </c>
      <c r="N290" s="7" t="inlineStr">
        <is>
          <t>SSBN</t>
        </is>
      </c>
      <c r="O290" s="15" t="n"/>
      <c r="S290" s="16" t="n">
        <v>0</v>
      </c>
      <c r="U290" s="16" t="n">
        <v>0</v>
      </c>
      <c r="AC290" s="23">
        <f>IF(OR(E290="",E290="[PARENT]"),"ADD",IF(E290="[ALT_VIEW]","ALT",""))</f>
        <v/>
      </c>
      <c r="AD290" s="21">
        <f>IF(Y290&lt;&gt;"",Y290,IF(U290&lt;&gt;"",U290,S290))</f>
        <v/>
      </c>
      <c r="AE290" s="21">
        <f>IF(AB290&lt;&gt;"",AB290,Z290)</f>
        <v/>
      </c>
      <c r="AF290" s="13" t="inlineStr">
        <is>
          <t>P-10 &gt; COLUMBIA Class Submarine &gt; BASIC CONSTRUCTION (4) - MISSILE TUBE CONTINUOUS PRODUCTION &amp; OUTFITTING - SSBN 829</t>
        </is>
      </c>
      <c r="AG290" s="7" t="inlineStr">
        <is>
          <t>63</t>
        </is>
      </c>
      <c r="AH290" s="7" t="inlineStr">
        <is>
          <t>1045</t>
        </is>
      </c>
    </row>
    <row r="291" ht="10" customHeight="1">
      <c r="A291" s="7" t="inlineStr">
        <is>
          <t>SCN</t>
        </is>
      </c>
      <c r="B291" s="7" t="inlineStr">
        <is>
          <t>Procurement</t>
        </is>
      </c>
      <c r="D291" s="7" t="inlineStr">
        <is>
          <t>COLUMBIA Class Submarine - P-10 - BASIC CONSTRUCTION (4) - MISSILE TUBE CONTINUOUS PRODUCTION &amp; OUTFITTING - SSBN 830</t>
        </is>
      </c>
      <c r="E291" s="13" t="inlineStr">
        <is>
          <t>[SUB]</t>
        </is>
      </c>
      <c r="F291" s="7" t="inlineStr">
        <is>
          <t>1045 / COLUMBIA Class Submarine AP</t>
        </is>
      </c>
      <c r="I291" s="14" t="n">
        <v>1</v>
      </c>
      <c r="J291" s="7" t="inlineStr">
        <is>
          <t>Advance procurement / LLTM</t>
        </is>
      </c>
      <c r="K291" s="13" t="inlineStr">
        <is>
          <t>USN</t>
        </is>
      </c>
      <c r="L291" s="7" t="inlineStr">
        <is>
          <t>Combatant Ships</t>
        </is>
      </c>
      <c r="M291" s="7" t="inlineStr">
        <is>
          <t>Submarines</t>
        </is>
      </c>
      <c r="N291" s="7" t="inlineStr">
        <is>
          <t>SSBN</t>
        </is>
      </c>
      <c r="O291" s="15" t="n"/>
      <c r="S291" s="16" t="n">
        <v>36374</v>
      </c>
      <c r="U291" s="16" t="n">
        <v>36374</v>
      </c>
      <c r="AC291" s="23">
        <f>IF(OR(E291="",E291="[PARENT]"),"ADD",IF(E291="[ALT_VIEW]","ALT",""))</f>
        <v/>
      </c>
      <c r="AD291" s="21">
        <f>IF(Y291&lt;&gt;"",Y291,IF(U291&lt;&gt;"",U291,S291))</f>
        <v/>
      </c>
      <c r="AE291" s="21">
        <f>IF(AB291&lt;&gt;"",AB291,Z291)</f>
        <v/>
      </c>
      <c r="AF291" s="13" t="inlineStr">
        <is>
          <t>P-10 &gt; COLUMBIA Class Submarine &gt; BASIC CONSTRUCTION (4) - MISSILE TUBE CONTINUOUS PRODUCTION &amp; OUTFITTING - SSBN 830</t>
        </is>
      </c>
      <c r="AG291" s="7" t="inlineStr">
        <is>
          <t>63</t>
        </is>
      </c>
      <c r="AH291" s="7" t="inlineStr">
        <is>
          <t>1045</t>
        </is>
      </c>
    </row>
    <row r="292" ht="10" customHeight="1">
      <c r="A292" s="7" t="inlineStr">
        <is>
          <t>SCN</t>
        </is>
      </c>
      <c r="B292" s="7" t="inlineStr">
        <is>
          <t>Procurement</t>
        </is>
      </c>
      <c r="D292" s="7" t="inlineStr">
        <is>
          <t>COLUMBIA Class Submarine - P-10 - BASIC CONSTRUCTION (4) - MISSILE TUBE CONTINUOUS PRODUCTION &amp; OUTFITTING - SSBN 831</t>
        </is>
      </c>
      <c r="E292" s="13" t="inlineStr">
        <is>
          <t>[SUB]</t>
        </is>
      </c>
      <c r="F292" s="7" t="inlineStr">
        <is>
          <t>1045 / COLUMBIA Class Submarine AP</t>
        </is>
      </c>
      <c r="I292" s="14" t="n">
        <v>1</v>
      </c>
      <c r="J292" s="7" t="inlineStr">
        <is>
          <t>Advance procurement / LLTM</t>
        </is>
      </c>
      <c r="K292" s="13" t="inlineStr">
        <is>
          <t>USN</t>
        </is>
      </c>
      <c r="L292" s="7" t="inlineStr">
        <is>
          <t>Combatant Ships</t>
        </is>
      </c>
      <c r="M292" s="7" t="inlineStr">
        <is>
          <t>Submarines</t>
        </is>
      </c>
      <c r="N292" s="7" t="inlineStr">
        <is>
          <t>SSBN</t>
        </is>
      </c>
      <c r="O292" s="15" t="n"/>
      <c r="S292" s="16" t="n">
        <v>139961</v>
      </c>
      <c r="U292" s="16" t="n">
        <v>139961</v>
      </c>
      <c r="AC292" s="23">
        <f>IF(OR(E292="",E292="[PARENT]"),"ADD",IF(E292="[ALT_VIEW]","ALT",""))</f>
        <v/>
      </c>
      <c r="AD292" s="21">
        <f>IF(Y292&lt;&gt;"",Y292,IF(U292&lt;&gt;"",U292,S292))</f>
        <v/>
      </c>
      <c r="AE292" s="21">
        <f>IF(AB292&lt;&gt;"",AB292,Z292)</f>
        <v/>
      </c>
      <c r="AF292" s="13" t="inlineStr">
        <is>
          <t>P-10 &gt; COLUMBIA Class Submarine &gt; BASIC CONSTRUCTION (4) - MISSILE TUBE CONTINUOUS PRODUCTION &amp; OUTFITTING - SSBN 831</t>
        </is>
      </c>
      <c r="AG292" s="7" t="inlineStr">
        <is>
          <t>63</t>
        </is>
      </c>
      <c r="AH292" s="7" t="inlineStr">
        <is>
          <t>1045</t>
        </is>
      </c>
    </row>
    <row r="293" ht="10" customHeight="1">
      <c r="A293" s="7" t="inlineStr">
        <is>
          <t>SCN</t>
        </is>
      </c>
      <c r="B293" s="7" t="inlineStr">
        <is>
          <t>Procurement</t>
        </is>
      </c>
      <c r="D293" s="7" t="inlineStr">
        <is>
          <t>COLUMBIA Class Submarine - P-10 - BASIC CONSTRUCTION (4) - MISSILE TUBE CONTINUOUS PRODUCTION &amp; OUTFITTING - SSBN 832</t>
        </is>
      </c>
      <c r="E293" s="13" t="inlineStr">
        <is>
          <t>[SUB]</t>
        </is>
      </c>
      <c r="F293" s="7" t="inlineStr">
        <is>
          <t>1045 / COLUMBIA Class Submarine AP</t>
        </is>
      </c>
      <c r="I293" s="14" t="n">
        <v>1</v>
      </c>
      <c r="J293" s="7" t="inlineStr">
        <is>
          <t>Advance procurement / LLTM</t>
        </is>
      </c>
      <c r="K293" s="13" t="inlineStr">
        <is>
          <t>USN</t>
        </is>
      </c>
      <c r="L293" s="7" t="inlineStr">
        <is>
          <t>Combatant Ships</t>
        </is>
      </c>
      <c r="M293" s="7" t="inlineStr">
        <is>
          <t>Submarines</t>
        </is>
      </c>
      <c r="N293" s="7" t="inlineStr">
        <is>
          <t>SSBN</t>
        </is>
      </c>
      <c r="O293" s="15" t="n"/>
      <c r="S293" s="16" t="n">
        <v>64025</v>
      </c>
      <c r="U293" s="16" t="n">
        <v>64025</v>
      </c>
      <c r="AC293" s="23">
        <f>IF(OR(E293="",E293="[PARENT]"),"ADD",IF(E293="[ALT_VIEW]","ALT",""))</f>
        <v/>
      </c>
      <c r="AD293" s="21">
        <f>IF(Y293&lt;&gt;"",Y293,IF(U293&lt;&gt;"",U293,S293))</f>
        <v/>
      </c>
      <c r="AE293" s="21">
        <f>IF(AB293&lt;&gt;"",AB293,Z293)</f>
        <v/>
      </c>
      <c r="AF293" s="13" t="inlineStr">
        <is>
          <t>P-10 &gt; COLUMBIA Class Submarine &gt; BASIC CONSTRUCTION (4) - MISSILE TUBE CONTINUOUS PRODUCTION &amp; OUTFITTING - SSBN 832</t>
        </is>
      </c>
      <c r="AG293" s="7" t="inlineStr">
        <is>
          <t>63</t>
        </is>
      </c>
      <c r="AH293" s="7" t="inlineStr">
        <is>
          <t>1045</t>
        </is>
      </c>
    </row>
    <row r="294" ht="10" customHeight="1">
      <c r="A294" s="7" t="inlineStr">
        <is>
          <t>SCN</t>
        </is>
      </c>
      <c r="B294" s="7" t="inlineStr">
        <is>
          <t>Procurement</t>
        </is>
      </c>
      <c r="D294" s="7" t="inlineStr">
        <is>
          <t>COLUMBIA Class Submarine - P-10 - BASIC CONSTRUCTION (4) - MISSILE TUBE CONTINUOUS PRODUCTION &amp; OUTFITTING - SSBN 834</t>
        </is>
      </c>
      <c r="E294" s="13" t="inlineStr">
        <is>
          <t>[SUB]</t>
        </is>
      </c>
      <c r="F294" s="7" t="inlineStr">
        <is>
          <t>1045 / COLUMBIA Class Submarine AP</t>
        </is>
      </c>
      <c r="I294" s="14" t="n">
        <v>1</v>
      </c>
      <c r="J294" s="7" t="inlineStr">
        <is>
          <t>Advance procurement / LLTM</t>
        </is>
      </c>
      <c r="K294" s="13" t="inlineStr">
        <is>
          <t>USN</t>
        </is>
      </c>
      <c r="L294" s="7" t="inlineStr">
        <is>
          <t>Combatant Ships</t>
        </is>
      </c>
      <c r="M294" s="7" t="inlineStr">
        <is>
          <t>Submarines</t>
        </is>
      </c>
      <c r="N294" s="7" t="inlineStr">
        <is>
          <t>SSBN</t>
        </is>
      </c>
      <c r="O294" s="15" t="n"/>
      <c r="S294" s="16" t="n">
        <v>0</v>
      </c>
      <c r="U294" s="16" t="n">
        <v>0</v>
      </c>
      <c r="AC294" s="23">
        <f>IF(OR(E294="",E294="[PARENT]"),"ADD",IF(E294="[ALT_VIEW]","ALT",""))</f>
        <v/>
      </c>
      <c r="AD294" s="21">
        <f>IF(Y294&lt;&gt;"",Y294,IF(U294&lt;&gt;"",U294,S294))</f>
        <v/>
      </c>
      <c r="AE294" s="21">
        <f>IF(AB294&lt;&gt;"",AB294,Z294)</f>
        <v/>
      </c>
      <c r="AF294" s="13" t="inlineStr">
        <is>
          <t>P-10 &gt; COLUMBIA Class Submarine &gt; BASIC CONSTRUCTION (4) - MISSILE TUBE CONTINUOUS PRODUCTION &amp; OUTFITTING - SSBN 834</t>
        </is>
      </c>
      <c r="AG294" s="7" t="inlineStr">
        <is>
          <t>63</t>
        </is>
      </c>
      <c r="AH294" s="7" t="inlineStr">
        <is>
          <t>1045</t>
        </is>
      </c>
    </row>
    <row r="295" ht="10" customHeight="1">
      <c r="A295" s="7" t="inlineStr">
        <is>
          <t>SCN</t>
        </is>
      </c>
      <c r="B295" s="7" t="inlineStr">
        <is>
          <t>Procurement</t>
        </is>
      </c>
      <c r="D295" s="7" t="inlineStr">
        <is>
          <t>COLUMBIA Class Submarine - P-10 - BASIC CONSTRUCTION (4) - MISSILE TUBE CONTINUOUS PRODUCTION &amp; OUTFITTING - SSBN 835</t>
        </is>
      </c>
      <c r="E295" s="13" t="inlineStr">
        <is>
          <t>[SUB]</t>
        </is>
      </c>
      <c r="F295" s="7" t="inlineStr">
        <is>
          <t>1045 / COLUMBIA Class Submarine AP</t>
        </is>
      </c>
      <c r="I295" s="14" t="n">
        <v>1</v>
      </c>
      <c r="J295" s="7" t="inlineStr">
        <is>
          <t>Advance procurement / LLTM</t>
        </is>
      </c>
      <c r="K295" s="13" t="inlineStr">
        <is>
          <t>USN</t>
        </is>
      </c>
      <c r="L295" s="7" t="inlineStr">
        <is>
          <t>Combatant Ships</t>
        </is>
      </c>
      <c r="M295" s="7" t="inlineStr">
        <is>
          <t>Submarines</t>
        </is>
      </c>
      <c r="N295" s="7" t="inlineStr">
        <is>
          <t>SSBN</t>
        </is>
      </c>
      <c r="O295" s="15" t="n"/>
      <c r="S295" s="16" t="n">
        <v>0</v>
      </c>
      <c r="U295" s="16" t="n">
        <v>0</v>
      </c>
      <c r="AC295" s="23">
        <f>IF(OR(E295="",E295="[PARENT]"),"ADD",IF(E295="[ALT_VIEW]","ALT",""))</f>
        <v/>
      </c>
      <c r="AD295" s="21">
        <f>IF(Y295&lt;&gt;"",Y295,IF(U295&lt;&gt;"",U295,S295))</f>
        <v/>
      </c>
      <c r="AE295" s="21">
        <f>IF(AB295&lt;&gt;"",AB295,Z295)</f>
        <v/>
      </c>
      <c r="AF295" s="13" t="inlineStr">
        <is>
          <t>P-10 &gt; COLUMBIA Class Submarine &gt; BASIC CONSTRUCTION (4) - MISSILE TUBE CONTINUOUS PRODUCTION &amp; OUTFITTING - SSBN 835</t>
        </is>
      </c>
      <c r="AG295" s="7" t="inlineStr">
        <is>
          <t>63</t>
        </is>
      </c>
      <c r="AH295" s="7" t="inlineStr">
        <is>
          <t>1045</t>
        </is>
      </c>
    </row>
    <row r="296" ht="10" customHeight="1">
      <c r="A296" s="7" t="inlineStr">
        <is>
          <t>SCN</t>
        </is>
      </c>
      <c r="B296" s="7" t="inlineStr">
        <is>
          <t>Procurement</t>
        </is>
      </c>
      <c r="D296" s="7" t="inlineStr">
        <is>
          <t>COLUMBIA Class Submarine - P-10 - BASIC CONSTRUCTION (4) - MISSILE TUBE CONTINUOUS PRODUCTION &amp; OUTFITTING - SSBN 836</t>
        </is>
      </c>
      <c r="E296" s="13" t="inlineStr">
        <is>
          <t>[SUB]</t>
        </is>
      </c>
      <c r="F296" s="7" t="inlineStr">
        <is>
          <t>1045 / COLUMBIA Class Submarine AP</t>
        </is>
      </c>
      <c r="I296" s="14" t="n">
        <v>1</v>
      </c>
      <c r="J296" s="7" t="inlineStr">
        <is>
          <t>Advance procurement / LLTM</t>
        </is>
      </c>
      <c r="K296" s="13" t="inlineStr">
        <is>
          <t>USN</t>
        </is>
      </c>
      <c r="L296" s="7" t="inlineStr">
        <is>
          <t>Combatant Ships</t>
        </is>
      </c>
      <c r="M296" s="7" t="inlineStr">
        <is>
          <t>Submarines</t>
        </is>
      </c>
      <c r="N296" s="7" t="inlineStr">
        <is>
          <t>SSBN</t>
        </is>
      </c>
      <c r="O296" s="15" t="n"/>
      <c r="S296" s="16" t="n">
        <v>0</v>
      </c>
      <c r="U296" s="16" t="n">
        <v>0</v>
      </c>
      <c r="AC296" s="23">
        <f>IF(OR(E296="",E296="[PARENT]"),"ADD",IF(E296="[ALT_VIEW]","ALT",""))</f>
        <v/>
      </c>
      <c r="AD296" s="21">
        <f>IF(Y296&lt;&gt;"",Y296,IF(U296&lt;&gt;"",U296,S296))</f>
        <v/>
      </c>
      <c r="AE296" s="21">
        <f>IF(AB296&lt;&gt;"",AB296,Z296)</f>
        <v/>
      </c>
      <c r="AF296" s="13" t="inlineStr">
        <is>
          <t>P-10 &gt; COLUMBIA Class Submarine &gt; BASIC CONSTRUCTION (4) - MISSILE TUBE CONTINUOUS PRODUCTION &amp; OUTFITTING - SSBN 836</t>
        </is>
      </c>
      <c r="AG296" s="7" t="inlineStr">
        <is>
          <t>63</t>
        </is>
      </c>
      <c r="AH296" s="7" t="inlineStr">
        <is>
          <t>1045</t>
        </is>
      </c>
    </row>
    <row r="297" ht="10" customHeight="1">
      <c r="A297" s="7" t="inlineStr">
        <is>
          <t>SCN</t>
        </is>
      </c>
      <c r="B297" s="7" t="inlineStr">
        <is>
          <t>Procurement</t>
        </is>
      </c>
      <c r="D297" s="7" t="inlineStr">
        <is>
          <t>COLUMBIA Class Submarine - P-10 - BASIC CONSTRUCTION (5) - ADVANCE CONSTRUCTION - SSBN 828</t>
        </is>
      </c>
      <c r="E297" s="13" t="inlineStr">
        <is>
          <t>[SUB]</t>
        </is>
      </c>
      <c r="F297" s="7" t="inlineStr">
        <is>
          <t>1045 / COLUMBIA Class Submarine AP</t>
        </is>
      </c>
      <c r="I297" s="14" t="n">
        <v>1</v>
      </c>
      <c r="J297" s="7" t="inlineStr">
        <is>
          <t>Advance procurement / LLTM</t>
        </is>
      </c>
      <c r="K297" s="13" t="inlineStr">
        <is>
          <t>USN</t>
        </is>
      </c>
      <c r="L297" s="7" t="inlineStr">
        <is>
          <t>Combatant Ships</t>
        </is>
      </c>
      <c r="M297" s="7" t="inlineStr">
        <is>
          <t>Submarines</t>
        </is>
      </c>
      <c r="N297" s="7" t="inlineStr">
        <is>
          <t>SSBN</t>
        </is>
      </c>
      <c r="O297" s="15" t="n"/>
      <c r="S297" s="16" t="n">
        <v>0</v>
      </c>
      <c r="U297" s="16" t="n">
        <v>0</v>
      </c>
      <c r="AC297" s="23">
        <f>IF(OR(E297="",E297="[PARENT]"),"ADD",IF(E297="[ALT_VIEW]","ALT",""))</f>
        <v/>
      </c>
      <c r="AD297" s="21">
        <f>IF(Y297&lt;&gt;"",Y297,IF(U297&lt;&gt;"",U297,S297))</f>
        <v/>
      </c>
      <c r="AE297" s="21">
        <f>IF(AB297&lt;&gt;"",AB297,Z297)</f>
        <v/>
      </c>
      <c r="AF297" s="13" t="inlineStr">
        <is>
          <t>P-10 &gt; COLUMBIA Class Submarine &gt; BASIC CONSTRUCTION (5) - ADVANCE CONSTRUCTION - SSBN 828</t>
        </is>
      </c>
      <c r="AG297" s="7" t="inlineStr">
        <is>
          <t>64</t>
        </is>
      </c>
      <c r="AH297" s="7" t="inlineStr">
        <is>
          <t>1045</t>
        </is>
      </c>
    </row>
    <row r="298" ht="10" customHeight="1">
      <c r="A298" s="7" t="inlineStr">
        <is>
          <t>SCN</t>
        </is>
      </c>
      <c r="B298" s="7" t="inlineStr">
        <is>
          <t>Procurement</t>
        </is>
      </c>
      <c r="D298" s="7" t="inlineStr">
        <is>
          <t>COLUMBIA Class Submarine - P-10 - BASIC CONSTRUCTION (5) - ADVANCE CONSTRUCTION - SSBN 829</t>
        </is>
      </c>
      <c r="E298" s="13" t="inlineStr">
        <is>
          <t>[SUB]</t>
        </is>
      </c>
      <c r="F298" s="7" t="inlineStr">
        <is>
          <t>1045 / COLUMBIA Class Submarine AP</t>
        </is>
      </c>
      <c r="I298" s="14" t="n">
        <v>1</v>
      </c>
      <c r="J298" s="7" t="inlineStr">
        <is>
          <t>Advance procurement / LLTM</t>
        </is>
      </c>
      <c r="K298" s="13" t="inlineStr">
        <is>
          <t>USN</t>
        </is>
      </c>
      <c r="L298" s="7" t="inlineStr">
        <is>
          <t>Combatant Ships</t>
        </is>
      </c>
      <c r="M298" s="7" t="inlineStr">
        <is>
          <t>Submarines</t>
        </is>
      </c>
      <c r="N298" s="7" t="inlineStr">
        <is>
          <t>SSBN</t>
        </is>
      </c>
      <c r="O298" s="15" t="n"/>
      <c r="S298" s="16" t="n">
        <v>449046</v>
      </c>
      <c r="U298" s="16" t="n">
        <v>449046</v>
      </c>
      <c r="AC298" s="23">
        <f>IF(OR(E298="",E298="[PARENT]"),"ADD",IF(E298="[ALT_VIEW]","ALT",""))</f>
        <v/>
      </c>
      <c r="AD298" s="21">
        <f>IF(Y298&lt;&gt;"",Y298,IF(U298&lt;&gt;"",U298,S298))</f>
        <v/>
      </c>
      <c r="AE298" s="21">
        <f>IF(AB298&lt;&gt;"",AB298,Z298)</f>
        <v/>
      </c>
      <c r="AF298" s="13" t="inlineStr">
        <is>
          <t>P-10 &gt; COLUMBIA Class Submarine &gt; BASIC CONSTRUCTION (5) - ADVANCE CONSTRUCTION - SSBN 829</t>
        </is>
      </c>
      <c r="AG298" s="7" t="inlineStr">
        <is>
          <t>64</t>
        </is>
      </c>
      <c r="AH298" s="7" t="inlineStr">
        <is>
          <t>1045</t>
        </is>
      </c>
    </row>
    <row r="299" ht="10" customHeight="1">
      <c r="A299" s="7" t="inlineStr">
        <is>
          <t>SCN</t>
        </is>
      </c>
      <c r="B299" s="7" t="inlineStr">
        <is>
          <t>Procurement</t>
        </is>
      </c>
      <c r="D299" s="7" t="inlineStr">
        <is>
          <t>COLUMBIA Class Submarine - P-10 - BASIC CONSTRUCTION (5) - ADVANCE CONSTRUCTION - SSBN 830</t>
        </is>
      </c>
      <c r="E299" s="13" t="inlineStr">
        <is>
          <t>[SUB]</t>
        </is>
      </c>
      <c r="F299" s="7" t="inlineStr">
        <is>
          <t>1045 / COLUMBIA Class Submarine AP</t>
        </is>
      </c>
      <c r="I299" s="14" t="n">
        <v>1</v>
      </c>
      <c r="J299" s="7" t="inlineStr">
        <is>
          <t>Advance procurement / LLTM</t>
        </is>
      </c>
      <c r="K299" s="13" t="inlineStr">
        <is>
          <t>USN</t>
        </is>
      </c>
      <c r="L299" s="7" t="inlineStr">
        <is>
          <t>Combatant Ships</t>
        </is>
      </c>
      <c r="M299" s="7" t="inlineStr">
        <is>
          <t>Submarines</t>
        </is>
      </c>
      <c r="N299" s="7" t="inlineStr">
        <is>
          <t>SSBN</t>
        </is>
      </c>
      <c r="O299" s="15" t="n"/>
      <c r="S299" s="16" t="n">
        <v>100394</v>
      </c>
      <c r="U299" s="16" t="n">
        <v>100394</v>
      </c>
      <c r="AC299" s="23">
        <f>IF(OR(E299="",E299="[PARENT]"),"ADD",IF(E299="[ALT_VIEW]","ALT",""))</f>
        <v/>
      </c>
      <c r="AD299" s="21">
        <f>IF(Y299&lt;&gt;"",Y299,IF(U299&lt;&gt;"",U299,S299))</f>
        <v/>
      </c>
      <c r="AE299" s="21">
        <f>IF(AB299&lt;&gt;"",AB299,Z299)</f>
        <v/>
      </c>
      <c r="AF299" s="13" t="inlineStr">
        <is>
          <t>P-10 &gt; COLUMBIA Class Submarine &gt; BASIC CONSTRUCTION (5) - ADVANCE CONSTRUCTION - SSBN 830</t>
        </is>
      </c>
      <c r="AG299" s="7" t="inlineStr">
        <is>
          <t>64</t>
        </is>
      </c>
      <c r="AH299" s="7" t="inlineStr">
        <is>
          <t>1045</t>
        </is>
      </c>
    </row>
    <row r="300" ht="10" customHeight="1">
      <c r="A300" s="7" t="inlineStr">
        <is>
          <t>SCN</t>
        </is>
      </c>
      <c r="B300" s="7" t="inlineStr">
        <is>
          <t>Procurement</t>
        </is>
      </c>
      <c r="D300" s="7" t="inlineStr">
        <is>
          <t>COLUMBIA Class Submarine - P-10 - BASIC CONSTRUCTION (6) - EOQ IN SUPPORT OF MULTI-PROGRAM PROCUREMENT - SSBN 829</t>
        </is>
      </c>
      <c r="E300" s="13" t="inlineStr">
        <is>
          <t>[SUB]</t>
        </is>
      </c>
      <c r="F300" s="7" t="inlineStr">
        <is>
          <t>1045 / COLUMBIA Class Submarine AP</t>
        </is>
      </c>
      <c r="I300" s="14" t="n">
        <v>1</v>
      </c>
      <c r="J300" s="7" t="inlineStr">
        <is>
          <t>Advance procurement / LLTM</t>
        </is>
      </c>
      <c r="K300" s="13" t="inlineStr">
        <is>
          <t>USN</t>
        </is>
      </c>
      <c r="L300" s="7" t="inlineStr">
        <is>
          <t>Combatant Ships</t>
        </is>
      </c>
      <c r="M300" s="7" t="inlineStr">
        <is>
          <t>Submarines</t>
        </is>
      </c>
      <c r="N300" s="7" t="inlineStr">
        <is>
          <t>SSBN</t>
        </is>
      </c>
      <c r="O300" s="15" t="n"/>
      <c r="S300" s="16" t="n">
        <v>0</v>
      </c>
      <c r="U300" s="16" t="n">
        <v>0</v>
      </c>
      <c r="AC300" s="23">
        <f>IF(OR(E300="",E300="[PARENT]"),"ADD",IF(E300="[ALT_VIEW]","ALT",""))</f>
        <v/>
      </c>
      <c r="AD300" s="21">
        <f>IF(Y300&lt;&gt;"",Y300,IF(U300&lt;&gt;"",U300,S300))</f>
        <v/>
      </c>
      <c r="AE300" s="21">
        <f>IF(AB300&lt;&gt;"",AB300,Z300)</f>
        <v/>
      </c>
      <c r="AF300" s="13" t="inlineStr">
        <is>
          <t>P-10 &gt; COLUMBIA Class Submarine &gt; BASIC CONSTRUCTION (6) - EOQ IN SUPPORT OF MULTI-PROGRAM PROCUREMENT - SSBN 829</t>
        </is>
      </c>
      <c r="AG300" s="7" t="inlineStr">
        <is>
          <t>64</t>
        </is>
      </c>
      <c r="AH300" s="7" t="inlineStr">
        <is>
          <t>1045</t>
        </is>
      </c>
    </row>
    <row r="301" ht="10" customHeight="1">
      <c r="A301" s="7" t="inlineStr">
        <is>
          <t>SCN</t>
        </is>
      </c>
      <c r="B301" s="7" t="inlineStr">
        <is>
          <t>Procurement</t>
        </is>
      </c>
      <c r="D301" s="7" t="inlineStr">
        <is>
          <t>COLUMBIA Class Submarine - P-10 - BASIC CONSTRUCTION (6) - EOQ IN SUPPORT OF MULTI-PROGRAM PROCUREMENT - SSBN 830</t>
        </is>
      </c>
      <c r="E301" s="13" t="inlineStr">
        <is>
          <t>[SUB]</t>
        </is>
      </c>
      <c r="F301" s="7" t="inlineStr">
        <is>
          <t>1045 / COLUMBIA Class Submarine AP</t>
        </is>
      </c>
      <c r="I301" s="14" t="n">
        <v>1</v>
      </c>
      <c r="J301" s="7" t="inlineStr">
        <is>
          <t>Advance procurement / LLTM</t>
        </is>
      </c>
      <c r="K301" s="13" t="inlineStr">
        <is>
          <t>USN</t>
        </is>
      </c>
      <c r="L301" s="7" t="inlineStr">
        <is>
          <t>Combatant Ships</t>
        </is>
      </c>
      <c r="M301" s="7" t="inlineStr">
        <is>
          <t>Submarines</t>
        </is>
      </c>
      <c r="N301" s="7" t="inlineStr">
        <is>
          <t>SSBN</t>
        </is>
      </c>
      <c r="O301" s="15" t="n"/>
      <c r="S301" s="16" t="n">
        <v>0</v>
      </c>
      <c r="U301" s="16" t="n">
        <v>0</v>
      </c>
      <c r="AC301" s="23">
        <f>IF(OR(E301="",E301="[PARENT]"),"ADD",IF(E301="[ALT_VIEW]","ALT",""))</f>
        <v/>
      </c>
      <c r="AD301" s="21">
        <f>IF(Y301&lt;&gt;"",Y301,IF(U301&lt;&gt;"",U301,S301))</f>
        <v/>
      </c>
      <c r="AE301" s="21">
        <f>IF(AB301&lt;&gt;"",AB301,Z301)</f>
        <v/>
      </c>
      <c r="AF301" s="13" t="inlineStr">
        <is>
          <t>P-10 &gt; COLUMBIA Class Submarine &gt; BASIC CONSTRUCTION (6) - EOQ IN SUPPORT OF MULTI-PROGRAM PROCUREMENT - SSBN 830</t>
        </is>
      </c>
      <c r="AG301" s="7" t="inlineStr">
        <is>
          <t>64</t>
        </is>
      </c>
      <c r="AH301" s="7" t="inlineStr">
        <is>
          <t>1045</t>
        </is>
      </c>
    </row>
    <row r="302" ht="10" customHeight="1">
      <c r="A302" s="7" t="inlineStr">
        <is>
          <t>SCN</t>
        </is>
      </c>
      <c r="B302" s="7" t="inlineStr">
        <is>
          <t>Procurement</t>
        </is>
      </c>
      <c r="D302" s="7" t="inlineStr">
        <is>
          <t>COLUMBIA Class Submarine - P-10 - BASIC CONSTRUCTION (6) - EOQ IN SUPPORT OF MULTI-PROGRAM PROCUREMENT - SSBN 831</t>
        </is>
      </c>
      <c r="E302" s="13" t="inlineStr">
        <is>
          <t>[SUB]</t>
        </is>
      </c>
      <c r="F302" s="7" t="inlineStr">
        <is>
          <t>1045 / COLUMBIA Class Submarine AP</t>
        </is>
      </c>
      <c r="I302" s="14" t="n">
        <v>1</v>
      </c>
      <c r="J302" s="7" t="inlineStr">
        <is>
          <t>Advance procurement / LLTM</t>
        </is>
      </c>
      <c r="K302" s="13" t="inlineStr">
        <is>
          <t>USN</t>
        </is>
      </c>
      <c r="L302" s="7" t="inlineStr">
        <is>
          <t>Combatant Ships</t>
        </is>
      </c>
      <c r="M302" s="7" t="inlineStr">
        <is>
          <t>Submarines</t>
        </is>
      </c>
      <c r="N302" s="7" t="inlineStr">
        <is>
          <t>SSBN</t>
        </is>
      </c>
      <c r="O302" s="15" t="n"/>
      <c r="S302" s="16" t="n">
        <v>104926</v>
      </c>
      <c r="U302" s="16" t="n">
        <v>104926</v>
      </c>
      <c r="AC302" s="23">
        <f>IF(OR(E302="",E302="[PARENT]"),"ADD",IF(E302="[ALT_VIEW]","ALT",""))</f>
        <v/>
      </c>
      <c r="AD302" s="21">
        <f>IF(Y302&lt;&gt;"",Y302,IF(U302&lt;&gt;"",U302,S302))</f>
        <v/>
      </c>
      <c r="AE302" s="21">
        <f>IF(AB302&lt;&gt;"",AB302,Z302)</f>
        <v/>
      </c>
      <c r="AF302" s="13" t="inlineStr">
        <is>
          <t>P-10 &gt; COLUMBIA Class Submarine &gt; BASIC CONSTRUCTION (6) - EOQ IN SUPPORT OF MULTI-PROGRAM PROCUREMENT - SSBN 831</t>
        </is>
      </c>
      <c r="AG302" s="7" t="inlineStr">
        <is>
          <t>64</t>
        </is>
      </c>
      <c r="AH302" s="7" t="inlineStr">
        <is>
          <t>1045</t>
        </is>
      </c>
    </row>
    <row r="303" ht="10" customHeight="1">
      <c r="A303" s="7" t="inlineStr">
        <is>
          <t>SCN</t>
        </is>
      </c>
      <c r="B303" s="7" t="inlineStr">
        <is>
          <t>Procurement</t>
        </is>
      </c>
      <c r="D303" s="7" t="inlineStr">
        <is>
          <t>COLUMBIA Class Submarine - P-10 - BASIC CONSTRUCTION (6) - EOQ IN SUPPORT OF MULTI-PROGRAM PROCUREMENT - SSBN 832</t>
        </is>
      </c>
      <c r="E303" s="13" t="inlineStr">
        <is>
          <t>[SUB]</t>
        </is>
      </c>
      <c r="F303" s="7" t="inlineStr">
        <is>
          <t>1045 / COLUMBIA Class Submarine AP</t>
        </is>
      </c>
      <c r="I303" s="14" t="n">
        <v>1</v>
      </c>
      <c r="J303" s="7" t="inlineStr">
        <is>
          <t>Advance procurement / LLTM</t>
        </is>
      </c>
      <c r="K303" s="13" t="inlineStr">
        <is>
          <t>USN</t>
        </is>
      </c>
      <c r="L303" s="7" t="inlineStr">
        <is>
          <t>Combatant Ships</t>
        </is>
      </c>
      <c r="M303" s="7" t="inlineStr">
        <is>
          <t>Submarines</t>
        </is>
      </c>
      <c r="N303" s="7" t="inlineStr">
        <is>
          <t>SSBN</t>
        </is>
      </c>
      <c r="O303" s="15" t="n"/>
      <c r="S303" s="16" t="n">
        <v>104927</v>
      </c>
      <c r="U303" s="16" t="n">
        <v>104927</v>
      </c>
      <c r="AC303" s="23">
        <f>IF(OR(E303="",E303="[PARENT]"),"ADD",IF(E303="[ALT_VIEW]","ALT",""))</f>
        <v/>
      </c>
      <c r="AD303" s="21">
        <f>IF(Y303&lt;&gt;"",Y303,IF(U303&lt;&gt;"",U303,S303))</f>
        <v/>
      </c>
      <c r="AE303" s="21">
        <f>IF(AB303&lt;&gt;"",AB303,Z303)</f>
        <v/>
      </c>
      <c r="AF303" s="13" t="inlineStr">
        <is>
          <t>P-10 &gt; COLUMBIA Class Submarine &gt; BASIC CONSTRUCTION (6) - EOQ IN SUPPORT OF MULTI-PROGRAM PROCUREMENT - SSBN 832</t>
        </is>
      </c>
      <c r="AG303" s="7" t="inlineStr">
        <is>
          <t>64</t>
        </is>
      </c>
      <c r="AH303" s="7" t="inlineStr">
        <is>
          <t>1045</t>
        </is>
      </c>
    </row>
    <row r="304" ht="10" customHeight="1">
      <c r="A304" s="7" t="inlineStr">
        <is>
          <t>SCN</t>
        </is>
      </c>
      <c r="B304" s="7" t="inlineStr">
        <is>
          <t>Procurement</t>
        </is>
      </c>
      <c r="D304" s="7" t="inlineStr">
        <is>
          <t>COLUMBIA Class Submarine - P-10 - BASIC CONSTRUCTION (6) - EOQ IN SUPPORT OF MULTI-PROGRAM PROCUREMENT - SSBN 837 - Production Backup Units</t>
        </is>
      </c>
      <c r="E304" s="13" t="inlineStr">
        <is>
          <t>[SUB]</t>
        </is>
      </c>
      <c r="F304" s="7" t="inlineStr">
        <is>
          <t>1045 / COLUMBIA Class Submarine AP</t>
        </is>
      </c>
      <c r="I304" s="14" t="n">
        <v>1</v>
      </c>
      <c r="J304" s="7" t="inlineStr">
        <is>
          <t>Advance procurement / LLTM</t>
        </is>
      </c>
      <c r="K304" s="13" t="inlineStr">
        <is>
          <t>USN</t>
        </is>
      </c>
      <c r="L304" s="7" t="inlineStr">
        <is>
          <t>Combatant Ships</t>
        </is>
      </c>
      <c r="M304" s="7" t="inlineStr">
        <is>
          <t>Submarines</t>
        </is>
      </c>
      <c r="N304" s="7" t="inlineStr">
        <is>
          <t>SSBN</t>
        </is>
      </c>
      <c r="O304" s="15" t="n"/>
      <c r="S304" s="16" t="n">
        <v>166792</v>
      </c>
      <c r="U304" s="16" t="n">
        <v>166792</v>
      </c>
      <c r="AC304" s="23">
        <f>IF(OR(E304="",E304="[PARENT]"),"ADD",IF(E304="[ALT_VIEW]","ALT",""))</f>
        <v/>
      </c>
      <c r="AD304" s="21">
        <f>IF(Y304&lt;&gt;"",Y304,IF(U304&lt;&gt;"",U304,S304))</f>
        <v/>
      </c>
      <c r="AE304" s="21">
        <f>IF(AB304&lt;&gt;"",AB304,Z304)</f>
        <v/>
      </c>
      <c r="AF304" s="13" t="inlineStr">
        <is>
          <t>P-10 &gt; COLUMBIA Class Submarine &gt; BASIC CONSTRUCTION (6) - EOQ IN SUPPORT OF MULTI-PROGRAM PROCUREMENT - SSBN 837 - Production Backup Units</t>
        </is>
      </c>
      <c r="AG304" s="7" t="inlineStr">
        <is>
          <t>64</t>
        </is>
      </c>
      <c r="AH304" s="7" t="inlineStr">
        <is>
          <t>1045</t>
        </is>
      </c>
    </row>
    <row r="305" ht="10" customHeight="1">
      <c r="A305" s="7" t="inlineStr">
        <is>
          <t>SCN</t>
        </is>
      </c>
      <c r="B305" s="7" t="inlineStr">
        <is>
          <t>Procurement</t>
        </is>
      </c>
      <c r="D305" s="7" t="inlineStr">
        <is>
          <t>COLUMBIA Class Submarine - P-10 - BASIC CONSTRUCTION (7) - SHIPYARD MANUFACTURED ITEMS CONTINUOUS PRODUCTION - SSBN 828</t>
        </is>
      </c>
      <c r="E305" s="13" t="inlineStr">
        <is>
          <t>[SUB]</t>
        </is>
      </c>
      <c r="F305" s="7" t="inlineStr">
        <is>
          <t>1045 / COLUMBIA Class Submarine AP</t>
        </is>
      </c>
      <c r="I305" s="14" t="n">
        <v>1</v>
      </c>
      <c r="J305" s="7" t="inlineStr">
        <is>
          <t>Advance procurement / LLTM</t>
        </is>
      </c>
      <c r="K305" s="13" t="inlineStr">
        <is>
          <t>USN</t>
        </is>
      </c>
      <c r="L305" s="7" t="inlineStr">
        <is>
          <t>Combatant Ships</t>
        </is>
      </c>
      <c r="M305" s="7" t="inlineStr">
        <is>
          <t>Submarines</t>
        </is>
      </c>
      <c r="N305" s="7" t="inlineStr">
        <is>
          <t>SSBN</t>
        </is>
      </c>
      <c r="O305" s="15" t="n"/>
      <c r="S305" s="16" t="n">
        <v>0</v>
      </c>
      <c r="U305" s="16" t="n">
        <v>0</v>
      </c>
      <c r="AC305" s="23">
        <f>IF(OR(E305="",E305="[PARENT]"),"ADD",IF(E305="[ALT_VIEW]","ALT",""))</f>
        <v/>
      </c>
      <c r="AD305" s="21">
        <f>IF(Y305&lt;&gt;"",Y305,IF(U305&lt;&gt;"",U305,S305))</f>
        <v/>
      </c>
      <c r="AE305" s="21">
        <f>IF(AB305&lt;&gt;"",AB305,Z305)</f>
        <v/>
      </c>
      <c r="AF305" s="13" t="inlineStr">
        <is>
          <t>P-10 &gt; COLUMBIA Class Submarine &gt; BASIC CONSTRUCTION (7) - SHIPYARD MANUFACTURED ITEMS CONTINUOUS PRODUCTION - SSBN 828</t>
        </is>
      </c>
      <c r="AG305" s="7" t="inlineStr">
        <is>
          <t>64</t>
        </is>
      </c>
      <c r="AH305" s="7" t="inlineStr">
        <is>
          <t>1045</t>
        </is>
      </c>
    </row>
    <row r="306" ht="10" customHeight="1">
      <c r="A306" s="7" t="inlineStr">
        <is>
          <t>SCN</t>
        </is>
      </c>
      <c r="B306" s="7" t="inlineStr">
        <is>
          <t>Procurement</t>
        </is>
      </c>
      <c r="D306" s="7" t="inlineStr">
        <is>
          <t>COLUMBIA Class Submarine - P-10 - BASIC CONSTRUCTION (7) - SHIPYARD MANUFACTURED ITEMS CONTINUOUS PRODUCTION - SSBN 829</t>
        </is>
      </c>
      <c r="E306" s="13" t="inlineStr">
        <is>
          <t>[SUB]</t>
        </is>
      </c>
      <c r="F306" s="7" t="inlineStr">
        <is>
          <t>1045 / COLUMBIA Class Submarine AP</t>
        </is>
      </c>
      <c r="I306" s="14" t="n">
        <v>1</v>
      </c>
      <c r="J306" s="7" t="inlineStr">
        <is>
          <t>Advance procurement / LLTM</t>
        </is>
      </c>
      <c r="K306" s="13" t="inlineStr">
        <is>
          <t>USN</t>
        </is>
      </c>
      <c r="L306" s="7" t="inlineStr">
        <is>
          <t>Combatant Ships</t>
        </is>
      </c>
      <c r="M306" s="7" t="inlineStr">
        <is>
          <t>Submarines</t>
        </is>
      </c>
      <c r="N306" s="7" t="inlineStr">
        <is>
          <t>SSBN</t>
        </is>
      </c>
      <c r="O306" s="15" t="n"/>
      <c r="S306" s="16" t="n">
        <v>14476</v>
      </c>
      <c r="U306" s="16" t="n">
        <v>14476</v>
      </c>
      <c r="AC306" s="23">
        <f>IF(OR(E306="",E306="[PARENT]"),"ADD",IF(E306="[ALT_VIEW]","ALT",""))</f>
        <v/>
      </c>
      <c r="AD306" s="21">
        <f>IF(Y306&lt;&gt;"",Y306,IF(U306&lt;&gt;"",U306,S306))</f>
        <v/>
      </c>
      <c r="AE306" s="21">
        <f>IF(AB306&lt;&gt;"",AB306,Z306)</f>
        <v/>
      </c>
      <c r="AF306" s="13" t="inlineStr">
        <is>
          <t>P-10 &gt; COLUMBIA Class Submarine &gt; BASIC CONSTRUCTION (7) - SHIPYARD MANUFACTURED ITEMS CONTINUOUS PRODUCTION - SSBN 829</t>
        </is>
      </c>
      <c r="AG306" s="7" t="inlineStr">
        <is>
          <t>64</t>
        </is>
      </c>
      <c r="AH306" s="7" t="inlineStr">
        <is>
          <t>1045</t>
        </is>
      </c>
    </row>
    <row r="307" ht="10" customHeight="1">
      <c r="A307" s="7" t="inlineStr">
        <is>
          <t>SCN</t>
        </is>
      </c>
      <c r="B307" s="7" t="inlineStr">
        <is>
          <t>Procurement</t>
        </is>
      </c>
      <c r="D307" s="7" t="inlineStr">
        <is>
          <t>COLUMBIA Class Submarine - P-10 - BASIC CONSTRUCTION (7) - SHIPYARD MANUFACTURED ITEMS CONTINUOUS PRODUCTION - SSBN 830</t>
        </is>
      </c>
      <c r="E307" s="13" t="inlineStr">
        <is>
          <t>[SUB]</t>
        </is>
      </c>
      <c r="F307" s="7" t="inlineStr">
        <is>
          <t>1045 / COLUMBIA Class Submarine AP</t>
        </is>
      </c>
      <c r="I307" s="14" t="n">
        <v>1</v>
      </c>
      <c r="J307" s="7" t="inlineStr">
        <is>
          <t>Advance procurement / LLTM</t>
        </is>
      </c>
      <c r="K307" s="13" t="inlineStr">
        <is>
          <t>USN</t>
        </is>
      </c>
      <c r="L307" s="7" t="inlineStr">
        <is>
          <t>Combatant Ships</t>
        </is>
      </c>
      <c r="M307" s="7" t="inlineStr">
        <is>
          <t>Submarines</t>
        </is>
      </c>
      <c r="N307" s="7" t="inlineStr">
        <is>
          <t>SSBN</t>
        </is>
      </c>
      <c r="O307" s="15" t="n"/>
      <c r="S307" s="16" t="n">
        <v>11057</v>
      </c>
      <c r="U307" s="16" t="n">
        <v>11057</v>
      </c>
      <c r="AC307" s="23">
        <f>IF(OR(E307="",E307="[PARENT]"),"ADD",IF(E307="[ALT_VIEW]","ALT",""))</f>
        <v/>
      </c>
      <c r="AD307" s="21">
        <f>IF(Y307&lt;&gt;"",Y307,IF(U307&lt;&gt;"",U307,S307))</f>
        <v/>
      </c>
      <c r="AE307" s="21">
        <f>IF(AB307&lt;&gt;"",AB307,Z307)</f>
        <v/>
      </c>
      <c r="AF307" s="13" t="inlineStr">
        <is>
          <t>P-10 &gt; COLUMBIA Class Submarine &gt; BASIC CONSTRUCTION (7) - SHIPYARD MANUFACTURED ITEMS CONTINUOUS PRODUCTION - SSBN 830</t>
        </is>
      </c>
      <c r="AG307" s="7" t="inlineStr">
        <is>
          <t>64</t>
        </is>
      </c>
      <c r="AH307" s="7" t="inlineStr">
        <is>
          <t>1045</t>
        </is>
      </c>
    </row>
    <row r="308" ht="10" customHeight="1">
      <c r="A308" s="7" t="inlineStr">
        <is>
          <t>SCN</t>
        </is>
      </c>
      <c r="B308" s="7" t="inlineStr">
        <is>
          <t>Procurement</t>
        </is>
      </c>
      <c r="D308" s="7" t="inlineStr">
        <is>
          <t>COLUMBIA Class Submarine - P-10 - BASIC CONSTRUCTION (7) - SHIPYARD MANUFACTURED ITEMS CONTINUOUS PRODUCTION - SSBN 831</t>
        </is>
      </c>
      <c r="E308" s="13" t="inlineStr">
        <is>
          <t>[SUB]</t>
        </is>
      </c>
      <c r="F308" s="7" t="inlineStr">
        <is>
          <t>1045 / COLUMBIA Class Submarine AP</t>
        </is>
      </c>
      <c r="I308" s="14" t="n">
        <v>1</v>
      </c>
      <c r="J308" s="7" t="inlineStr">
        <is>
          <t>Advance procurement / LLTM</t>
        </is>
      </c>
      <c r="K308" s="13" t="inlineStr">
        <is>
          <t>USN</t>
        </is>
      </c>
      <c r="L308" s="7" t="inlineStr">
        <is>
          <t>Combatant Ships</t>
        </is>
      </c>
      <c r="M308" s="7" t="inlineStr">
        <is>
          <t>Submarines</t>
        </is>
      </c>
      <c r="N308" s="7" t="inlineStr">
        <is>
          <t>SSBN</t>
        </is>
      </c>
      <c r="O308" s="15" t="n"/>
      <c r="S308" s="16" t="n">
        <v>7968</v>
      </c>
      <c r="U308" s="16" t="n">
        <v>7968</v>
      </c>
      <c r="AC308" s="23">
        <f>IF(OR(E308="",E308="[PARENT]"),"ADD",IF(E308="[ALT_VIEW]","ALT",""))</f>
        <v/>
      </c>
      <c r="AD308" s="21">
        <f>IF(Y308&lt;&gt;"",Y308,IF(U308&lt;&gt;"",U308,S308))</f>
        <v/>
      </c>
      <c r="AE308" s="21">
        <f>IF(AB308&lt;&gt;"",AB308,Z308)</f>
        <v/>
      </c>
      <c r="AF308" s="13" t="inlineStr">
        <is>
          <t>P-10 &gt; COLUMBIA Class Submarine &gt; BASIC CONSTRUCTION (7) - SHIPYARD MANUFACTURED ITEMS CONTINUOUS PRODUCTION - SSBN 831</t>
        </is>
      </c>
      <c r="AG308" s="7" t="inlineStr">
        <is>
          <t>64</t>
        </is>
      </c>
      <c r="AH308" s="7" t="inlineStr">
        <is>
          <t>1045</t>
        </is>
      </c>
    </row>
    <row r="309" ht="10" customHeight="1">
      <c r="A309" s="7" t="inlineStr">
        <is>
          <t>SCN</t>
        </is>
      </c>
      <c r="B309" s="7" t="inlineStr">
        <is>
          <t>Procurement</t>
        </is>
      </c>
      <c r="D309" s="7" t="inlineStr">
        <is>
          <t>COLUMBIA Class Submarine - P-10 - SSBN 832</t>
        </is>
      </c>
      <c r="E309" s="13" t="inlineStr">
        <is>
          <t>[SUB]</t>
        </is>
      </c>
      <c r="F309" s="7" t="inlineStr">
        <is>
          <t>1045 / COLUMBIA Class Submarine AP</t>
        </is>
      </c>
      <c r="I309" s="14" t="n">
        <v>1</v>
      </c>
      <c r="J309" s="7" t="inlineStr">
        <is>
          <t>Advance procurement / LLTM</t>
        </is>
      </c>
      <c r="K309" s="13" t="inlineStr">
        <is>
          <t>USN</t>
        </is>
      </c>
      <c r="L309" s="7" t="inlineStr">
        <is>
          <t>Combatant Ships</t>
        </is>
      </c>
      <c r="M309" s="7" t="inlineStr">
        <is>
          <t>Submarines</t>
        </is>
      </c>
      <c r="N309" s="7" t="inlineStr">
        <is>
          <t>SSBN</t>
        </is>
      </c>
      <c r="O309" s="15" t="n"/>
      <c r="S309" s="16" t="n">
        <v>5737</v>
      </c>
      <c r="U309" s="16" t="n">
        <v>5737</v>
      </c>
      <c r="AC309" s="23">
        <f>IF(OR(E309="",E309="[PARENT]"),"ADD",IF(E309="[ALT_VIEW]","ALT",""))</f>
        <v/>
      </c>
      <c r="AD309" s="21">
        <f>IF(Y309&lt;&gt;"",Y309,IF(U309&lt;&gt;"",U309,S309))</f>
        <v/>
      </c>
      <c r="AE309" s="21">
        <f>IF(AB309&lt;&gt;"",AB309,Z309)</f>
        <v/>
      </c>
      <c r="AF309" s="13" t="inlineStr">
        <is>
          <t>P-10 &gt; COLUMBIA Class Submarine &gt; SSBN 832</t>
        </is>
      </c>
      <c r="AG309" s="7" t="inlineStr">
        <is>
          <t>65</t>
        </is>
      </c>
      <c r="AH309" s="7" t="inlineStr">
        <is>
          <t>1045</t>
        </is>
      </c>
    </row>
    <row r="310" ht="10" customHeight="1">
      <c r="A310" s="7" t="inlineStr">
        <is>
          <t>SCN</t>
        </is>
      </c>
      <c r="B310" s="7" t="inlineStr">
        <is>
          <t>Procurement</t>
        </is>
      </c>
      <c r="D310" s="7" t="inlineStr">
        <is>
          <t>COLUMBIA Class Submarine - P-10 - SSBN 833</t>
        </is>
      </c>
      <c r="E310" s="13" t="inlineStr">
        <is>
          <t>[SUB]</t>
        </is>
      </c>
      <c r="F310" s="7" t="inlineStr">
        <is>
          <t>1045 / COLUMBIA Class Submarine AP</t>
        </is>
      </c>
      <c r="I310" s="14" t="n">
        <v>1</v>
      </c>
      <c r="J310" s="7" t="inlineStr">
        <is>
          <t>Advance procurement / LLTM</t>
        </is>
      </c>
      <c r="K310" s="13" t="inlineStr">
        <is>
          <t>USN</t>
        </is>
      </c>
      <c r="L310" s="7" t="inlineStr">
        <is>
          <t>Combatant Ships</t>
        </is>
      </c>
      <c r="M310" s="7" t="inlineStr">
        <is>
          <t>Submarines</t>
        </is>
      </c>
      <c r="N310" s="7" t="inlineStr">
        <is>
          <t>SSBN</t>
        </is>
      </c>
      <c r="O310" s="15" t="n"/>
      <c r="S310" s="16" t="n">
        <v>5752</v>
      </c>
      <c r="U310" s="16" t="n">
        <v>5752</v>
      </c>
      <c r="AC310" s="23">
        <f>IF(OR(E310="",E310="[PARENT]"),"ADD",IF(E310="[ALT_VIEW]","ALT",""))</f>
        <v/>
      </c>
      <c r="AD310" s="21">
        <f>IF(Y310&lt;&gt;"",Y310,IF(U310&lt;&gt;"",U310,S310))</f>
        <v/>
      </c>
      <c r="AE310" s="21">
        <f>IF(AB310&lt;&gt;"",AB310,Z310)</f>
        <v/>
      </c>
      <c r="AF310" s="13" t="inlineStr">
        <is>
          <t>P-10 &gt; COLUMBIA Class Submarine &gt; SSBN 833</t>
        </is>
      </c>
      <c r="AG310" s="7" t="inlineStr">
        <is>
          <t>65</t>
        </is>
      </c>
      <c r="AH310" s="7" t="inlineStr">
        <is>
          <t>1045</t>
        </is>
      </c>
    </row>
    <row r="311" ht="10" customHeight="1">
      <c r="A311" s="7" t="inlineStr">
        <is>
          <t>SCN</t>
        </is>
      </c>
      <c r="B311" s="7" t="inlineStr">
        <is>
          <t>Procurement</t>
        </is>
      </c>
      <c r="D311" s="7" t="inlineStr">
        <is>
          <t>COLUMBIA Class Submarine - P-10 - NUCLEAR PROPULSION PLANT EQUIPMENT (8) - SSBN 828 (In Support of AC)</t>
        </is>
      </c>
      <c r="E311" s="13" t="inlineStr">
        <is>
          <t>[SUB]</t>
        </is>
      </c>
      <c r="F311" s="7" t="inlineStr">
        <is>
          <t>1045 / COLUMBIA Class Submarine AP</t>
        </is>
      </c>
      <c r="I311" s="14" t="n">
        <v>1</v>
      </c>
      <c r="J311" s="7" t="inlineStr">
        <is>
          <t>Advance procurement / LLTM</t>
        </is>
      </c>
      <c r="K311" s="13" t="inlineStr">
        <is>
          <t>USN</t>
        </is>
      </c>
      <c r="L311" s="7" t="inlineStr">
        <is>
          <t>Combatant Ships</t>
        </is>
      </c>
      <c r="M311" s="7" t="inlineStr">
        <is>
          <t>Submarines</t>
        </is>
      </c>
      <c r="N311" s="7" t="inlineStr">
        <is>
          <t>SSBN</t>
        </is>
      </c>
      <c r="O311" s="15" t="n"/>
      <c r="S311" s="16" t="n">
        <v>0</v>
      </c>
      <c r="U311" s="16" t="n">
        <v>0</v>
      </c>
      <c r="AC311" s="23">
        <f>IF(OR(E311="",E311="[PARENT]"),"ADD",IF(E311="[ALT_VIEW]","ALT",""))</f>
        <v/>
      </c>
      <c r="AD311" s="21">
        <f>IF(Y311&lt;&gt;"",Y311,IF(U311&lt;&gt;"",U311,S311))</f>
        <v/>
      </c>
      <c r="AE311" s="21">
        <f>IF(AB311&lt;&gt;"",AB311,Z311)</f>
        <v/>
      </c>
      <c r="AF311" s="13" t="inlineStr">
        <is>
          <t>P-10 &gt; COLUMBIA Class Submarine &gt; NUCLEAR PROPULSION PLANT EQUIPMENT (8) - SSBN 828 (In Support of AC)</t>
        </is>
      </c>
      <c r="AG311" s="7" t="inlineStr">
        <is>
          <t>65</t>
        </is>
      </c>
      <c r="AH311" s="7" t="inlineStr">
        <is>
          <t>1045</t>
        </is>
      </c>
    </row>
    <row r="312" ht="10" customHeight="1">
      <c r="A312" s="7" t="inlineStr">
        <is>
          <t>SCN</t>
        </is>
      </c>
      <c r="B312" s="7" t="inlineStr">
        <is>
          <t>Procurement</t>
        </is>
      </c>
      <c r="D312" s="7" t="inlineStr">
        <is>
          <t>COLUMBIA Class Submarine - P-10 - NUCLEAR PROPULSION PLANT EQUIPMENT (8) - SSBN 829 (In Support of AC)</t>
        </is>
      </c>
      <c r="E312" s="13" t="inlineStr">
        <is>
          <t>[SUB]</t>
        </is>
      </c>
      <c r="F312" s="7" t="inlineStr">
        <is>
          <t>1045 / COLUMBIA Class Submarine AP</t>
        </is>
      </c>
      <c r="I312" s="14" t="n">
        <v>1</v>
      </c>
      <c r="J312" s="7" t="inlineStr">
        <is>
          <t>Advance procurement / LLTM</t>
        </is>
      </c>
      <c r="K312" s="13" t="inlineStr">
        <is>
          <t>USN</t>
        </is>
      </c>
      <c r="L312" s="7" t="inlineStr">
        <is>
          <t>Combatant Ships</t>
        </is>
      </c>
      <c r="M312" s="7" t="inlineStr">
        <is>
          <t>Submarines</t>
        </is>
      </c>
      <c r="N312" s="7" t="inlineStr">
        <is>
          <t>SSBN</t>
        </is>
      </c>
      <c r="O312" s="15" t="n"/>
      <c r="S312" s="16" t="n">
        <v>0</v>
      </c>
      <c r="U312" s="16" t="n">
        <v>0</v>
      </c>
      <c r="AC312" s="23">
        <f>IF(OR(E312="",E312="[PARENT]"),"ADD",IF(E312="[ALT_VIEW]","ALT",""))</f>
        <v/>
      </c>
      <c r="AD312" s="21">
        <f>IF(Y312&lt;&gt;"",Y312,IF(U312&lt;&gt;"",U312,S312))</f>
        <v/>
      </c>
      <c r="AE312" s="21">
        <f>IF(AB312&lt;&gt;"",AB312,Z312)</f>
        <v/>
      </c>
      <c r="AF312" s="13" t="inlineStr">
        <is>
          <t>P-10 &gt; COLUMBIA Class Submarine &gt; NUCLEAR PROPULSION PLANT EQUIPMENT (8) - SSBN 829 (In Support of AC)</t>
        </is>
      </c>
      <c r="AG312" s="7" t="inlineStr">
        <is>
          <t>65</t>
        </is>
      </c>
      <c r="AH312" s="7" t="inlineStr">
        <is>
          <t>1045</t>
        </is>
      </c>
    </row>
    <row r="313" ht="10" customHeight="1">
      <c r="A313" s="7" t="inlineStr">
        <is>
          <t>SCN</t>
        </is>
      </c>
      <c r="B313" s="7" t="inlineStr">
        <is>
          <t>Procurement</t>
        </is>
      </c>
      <c r="D313" s="7" t="inlineStr">
        <is>
          <t>COLUMBIA Class Submarine - P-10 - NUCLEAR PROPULSION PLANT EQUIPMENT (8) - SSBN 830 (In support of AC)</t>
        </is>
      </c>
      <c r="E313" s="13" t="inlineStr">
        <is>
          <t>[SUB]</t>
        </is>
      </c>
      <c r="F313" s="7" t="inlineStr">
        <is>
          <t>1045 / COLUMBIA Class Submarine AP</t>
        </is>
      </c>
      <c r="I313" s="14" t="n">
        <v>1</v>
      </c>
      <c r="J313" s="7" t="inlineStr">
        <is>
          <t>Advance procurement / LLTM</t>
        </is>
      </c>
      <c r="K313" s="13" t="inlineStr">
        <is>
          <t>USN</t>
        </is>
      </c>
      <c r="L313" s="7" t="inlineStr">
        <is>
          <t>Combatant Ships</t>
        </is>
      </c>
      <c r="M313" s="7" t="inlineStr">
        <is>
          <t>Submarines</t>
        </is>
      </c>
      <c r="N313" s="7" t="inlineStr">
        <is>
          <t>SSBN</t>
        </is>
      </c>
      <c r="O313" s="15" t="n"/>
      <c r="S313" s="16" t="n">
        <v>711053</v>
      </c>
      <c r="U313" s="16" t="n">
        <v>711053</v>
      </c>
      <c r="AC313" s="23">
        <f>IF(OR(E313="",E313="[PARENT]"),"ADD",IF(E313="[ALT_VIEW]","ALT",""))</f>
        <v/>
      </c>
      <c r="AD313" s="21">
        <f>IF(Y313&lt;&gt;"",Y313,IF(U313&lt;&gt;"",U313,S313))</f>
        <v/>
      </c>
      <c r="AE313" s="21">
        <f>IF(AB313&lt;&gt;"",AB313,Z313)</f>
        <v/>
      </c>
      <c r="AF313" s="13" t="inlineStr">
        <is>
          <t>P-10 &gt; COLUMBIA Class Submarine &gt; NUCLEAR PROPULSION PLANT EQUIPMENT (8) - SSBN 830 (In support of AC)</t>
        </is>
      </c>
      <c r="AG313" s="7" t="inlineStr">
        <is>
          <t>65</t>
        </is>
      </c>
      <c r="AH313" s="7" t="inlineStr">
        <is>
          <t>1045</t>
        </is>
      </c>
    </row>
    <row r="314" ht="10" customHeight="1">
      <c r="A314" s="7" t="inlineStr">
        <is>
          <t>SCN</t>
        </is>
      </c>
      <c r="B314" s="7" t="inlineStr">
        <is>
          <t>Procurement</t>
        </is>
      </c>
      <c r="D314" s="7" t="inlineStr">
        <is>
          <t>COLUMBIA Class Submarine - P-10 - HM&amp;E (9) - SSBN 828 (In support of AC)</t>
        </is>
      </c>
      <c r="E314" s="13" t="inlineStr">
        <is>
          <t>[SUB]</t>
        </is>
      </c>
      <c r="F314" s="7" t="inlineStr">
        <is>
          <t>1045 / COLUMBIA Class Submarine AP</t>
        </is>
      </c>
      <c r="I314" s="14" t="n">
        <v>1</v>
      </c>
      <c r="J314" s="7" t="inlineStr">
        <is>
          <t>Advance procurement / LLTM</t>
        </is>
      </c>
      <c r="K314" s="13" t="inlineStr">
        <is>
          <t>USN</t>
        </is>
      </c>
      <c r="L314" s="7" t="inlineStr">
        <is>
          <t>Combatant Ships</t>
        </is>
      </c>
      <c r="M314" s="7" t="inlineStr">
        <is>
          <t>Submarines</t>
        </is>
      </c>
      <c r="N314" s="7" t="inlineStr">
        <is>
          <t>SSBN</t>
        </is>
      </c>
      <c r="O314" s="15" t="n"/>
      <c r="S314" s="16" t="n">
        <v>0</v>
      </c>
      <c r="U314" s="16" t="n">
        <v>0</v>
      </c>
      <c r="AC314" s="23">
        <f>IF(OR(E314="",E314="[PARENT]"),"ADD",IF(E314="[ALT_VIEW]","ALT",""))</f>
        <v/>
      </c>
      <c r="AD314" s="21">
        <f>IF(Y314&lt;&gt;"",Y314,IF(U314&lt;&gt;"",U314,S314))</f>
        <v/>
      </c>
      <c r="AE314" s="21">
        <f>IF(AB314&lt;&gt;"",AB314,Z314)</f>
        <v/>
      </c>
      <c r="AF314" s="13" t="inlineStr">
        <is>
          <t>P-10 &gt; COLUMBIA Class Submarine &gt; HM&amp;E (9) - SSBN 828 (In support of AC)</t>
        </is>
      </c>
      <c r="AG314" s="7" t="inlineStr">
        <is>
          <t>65</t>
        </is>
      </c>
      <c r="AH314" s="7" t="inlineStr">
        <is>
          <t>1045</t>
        </is>
      </c>
    </row>
    <row r="315" ht="10" customHeight="1">
      <c r="A315" s="7" t="inlineStr">
        <is>
          <t>SCN</t>
        </is>
      </c>
      <c r="B315" s="7" t="inlineStr">
        <is>
          <t>Procurement</t>
        </is>
      </c>
      <c r="D315" s="7" t="inlineStr">
        <is>
          <t>COLUMBIA Class Submarine - P-10 - HM&amp;E (9) - SSBN 829 (In Support of AC)</t>
        </is>
      </c>
      <c r="E315" s="13" t="inlineStr">
        <is>
          <t>[SUB]</t>
        </is>
      </c>
      <c r="F315" s="7" t="inlineStr">
        <is>
          <t>1045 / COLUMBIA Class Submarine AP</t>
        </is>
      </c>
      <c r="I315" s="14" t="n">
        <v>1</v>
      </c>
      <c r="J315" s="7" t="inlineStr">
        <is>
          <t>Advance procurement / LLTM</t>
        </is>
      </c>
      <c r="K315" s="13" t="inlineStr">
        <is>
          <t>USN</t>
        </is>
      </c>
      <c r="L315" s="7" t="inlineStr">
        <is>
          <t>Combatant Ships</t>
        </is>
      </c>
      <c r="M315" s="7" t="inlineStr">
        <is>
          <t>Submarines</t>
        </is>
      </c>
      <c r="N315" s="7" t="inlineStr">
        <is>
          <t>SSBN</t>
        </is>
      </c>
      <c r="O315" s="15" t="n"/>
      <c r="S315" s="16" t="n">
        <v>8415</v>
      </c>
      <c r="U315" s="16" t="n">
        <v>8415</v>
      </c>
      <c r="AC315" s="23">
        <f>IF(OR(E315="",E315="[PARENT]"),"ADD",IF(E315="[ALT_VIEW]","ALT",""))</f>
        <v/>
      </c>
      <c r="AD315" s="21">
        <f>IF(Y315&lt;&gt;"",Y315,IF(U315&lt;&gt;"",U315,S315))</f>
        <v/>
      </c>
      <c r="AE315" s="21">
        <f>IF(AB315&lt;&gt;"",AB315,Z315)</f>
        <v/>
      </c>
      <c r="AF315" s="13" t="inlineStr">
        <is>
          <t>P-10 &gt; COLUMBIA Class Submarine &gt; HM&amp;E (9) - SSBN 829 (In Support of AC)</t>
        </is>
      </c>
      <c r="AG315" s="7" t="inlineStr">
        <is>
          <t>65</t>
        </is>
      </c>
      <c r="AH315" s="7" t="inlineStr">
        <is>
          <t>1045</t>
        </is>
      </c>
    </row>
    <row r="316" ht="10" customHeight="1">
      <c r="A316" s="7" t="inlineStr">
        <is>
          <t>SCN</t>
        </is>
      </c>
      <c r="B316" s="7" t="inlineStr">
        <is>
          <t>Procurement</t>
        </is>
      </c>
      <c r="D316" s="7" t="inlineStr">
        <is>
          <t>COLUMBIA Class Submarine - P-10 - HM&amp;E (9) - SSBN 830 (In Support of AC)</t>
        </is>
      </c>
      <c r="E316" s="13" t="inlineStr">
        <is>
          <t>[SUB]</t>
        </is>
      </c>
      <c r="F316" s="7" t="inlineStr">
        <is>
          <t>1045 / COLUMBIA Class Submarine AP</t>
        </is>
      </c>
      <c r="I316" s="14" t="n">
        <v>1</v>
      </c>
      <c r="J316" s="7" t="inlineStr">
        <is>
          <t>Advance procurement / LLTM</t>
        </is>
      </c>
      <c r="K316" s="13" t="inlineStr">
        <is>
          <t>USN</t>
        </is>
      </c>
      <c r="L316" s="7" t="inlineStr">
        <is>
          <t>Combatant Ships</t>
        </is>
      </c>
      <c r="M316" s="7" t="inlineStr">
        <is>
          <t>Submarines</t>
        </is>
      </c>
      <c r="N316" s="7" t="inlineStr">
        <is>
          <t>SSBN</t>
        </is>
      </c>
      <c r="O316" s="15" t="n"/>
      <c r="S316" s="16" t="n">
        <v>28330</v>
      </c>
      <c r="U316" s="16" t="n">
        <v>28330</v>
      </c>
      <c r="AC316" s="23">
        <f>IF(OR(E316="",E316="[PARENT]"),"ADD",IF(E316="[ALT_VIEW]","ALT",""))</f>
        <v/>
      </c>
      <c r="AD316" s="21">
        <f>IF(Y316&lt;&gt;"",Y316,IF(U316&lt;&gt;"",U316,S316))</f>
        <v/>
      </c>
      <c r="AE316" s="21">
        <f>IF(AB316&lt;&gt;"",AB316,Z316)</f>
        <v/>
      </c>
      <c r="AF316" s="13" t="inlineStr">
        <is>
          <t>P-10 &gt; COLUMBIA Class Submarine &gt; HM&amp;E (9) - SSBN 830 (In Support of AC)</t>
        </is>
      </c>
      <c r="AG316" s="7" t="inlineStr">
        <is>
          <t>65</t>
        </is>
      </c>
      <c r="AH316" s="7" t="inlineStr">
        <is>
          <t>1045</t>
        </is>
      </c>
    </row>
    <row r="317" ht="10" customHeight="1">
      <c r="A317" s="7" t="inlineStr">
        <is>
          <t>SCN</t>
        </is>
      </c>
      <c r="B317" s="7" t="inlineStr">
        <is>
          <t>Procurement</t>
        </is>
      </c>
      <c r="D317" s="7" t="inlineStr">
        <is>
          <t>COLUMBIA Class Submarine - P-10 - HM&amp;E (9) - SSBN 832 (In Support of AC)</t>
        </is>
      </c>
      <c r="E317" s="13" t="inlineStr">
        <is>
          <t>[SUB]</t>
        </is>
      </c>
      <c r="F317" s="7" t="inlineStr">
        <is>
          <t>1045 / COLUMBIA Class Submarine AP</t>
        </is>
      </c>
      <c r="I317" s="14" t="n">
        <v>1</v>
      </c>
      <c r="J317" s="7" t="inlineStr">
        <is>
          <t>Advance procurement / LLTM</t>
        </is>
      </c>
      <c r="K317" s="13" t="inlineStr">
        <is>
          <t>USN</t>
        </is>
      </c>
      <c r="L317" s="7" t="inlineStr">
        <is>
          <t>Combatant Ships</t>
        </is>
      </c>
      <c r="M317" s="7" t="inlineStr">
        <is>
          <t>Submarines</t>
        </is>
      </c>
      <c r="N317" s="7" t="inlineStr">
        <is>
          <t>SSBN</t>
        </is>
      </c>
      <c r="O317" s="15" t="n"/>
      <c r="S317" s="16" t="n">
        <v>6049</v>
      </c>
      <c r="U317" s="16" t="n">
        <v>6049</v>
      </c>
      <c r="AC317" s="23">
        <f>IF(OR(E317="",E317="[PARENT]"),"ADD",IF(E317="[ALT_VIEW]","ALT",""))</f>
        <v/>
      </c>
      <c r="AD317" s="21">
        <f>IF(Y317&lt;&gt;"",Y317,IF(U317&lt;&gt;"",U317,S317))</f>
        <v/>
      </c>
      <c r="AE317" s="21">
        <f>IF(AB317&lt;&gt;"",AB317,Z317)</f>
        <v/>
      </c>
      <c r="AF317" s="13" t="inlineStr">
        <is>
          <t>P-10 &gt; COLUMBIA Class Submarine &gt; HM&amp;E (9) - SSBN 832 (In Support of AC)</t>
        </is>
      </c>
      <c r="AG317" s="7" t="inlineStr">
        <is>
          <t>65</t>
        </is>
      </c>
      <c r="AH317" s="7" t="inlineStr">
        <is>
          <t>1045</t>
        </is>
      </c>
    </row>
    <row r="318" ht="10" customHeight="1">
      <c r="A318" s="7" t="inlineStr">
        <is>
          <t>SCN</t>
        </is>
      </c>
      <c r="B318" s="7" t="inlineStr">
        <is>
          <t>Procurement</t>
        </is>
      </c>
      <c r="D318" s="7" t="inlineStr">
        <is>
          <t>COLUMBIA Class Submarine - P-10 - HM&amp;E (9) - SSBN 833 (In Support of AC)</t>
        </is>
      </c>
      <c r="E318" s="13" t="inlineStr">
        <is>
          <t>[SUB]</t>
        </is>
      </c>
      <c r="F318" s="7" t="inlineStr">
        <is>
          <t>1045 / COLUMBIA Class Submarine AP</t>
        </is>
      </c>
      <c r="I318" s="14" t="n">
        <v>1</v>
      </c>
      <c r="J318" s="7" t="inlineStr">
        <is>
          <t>Advance procurement / LLTM</t>
        </is>
      </c>
      <c r="K318" s="13" t="inlineStr">
        <is>
          <t>USN</t>
        </is>
      </c>
      <c r="L318" s="7" t="inlineStr">
        <is>
          <t>Combatant Ships</t>
        </is>
      </c>
      <c r="M318" s="7" t="inlineStr">
        <is>
          <t>Submarines</t>
        </is>
      </c>
      <c r="N318" s="7" t="inlineStr">
        <is>
          <t>SSBN</t>
        </is>
      </c>
      <c r="O318" s="15" t="n"/>
      <c r="S318" s="16" t="n">
        <v>0</v>
      </c>
      <c r="U318" s="16" t="n">
        <v>0</v>
      </c>
      <c r="AC318" s="23">
        <f>IF(OR(E318="",E318="[PARENT]"),"ADD",IF(E318="[ALT_VIEW]","ALT",""))</f>
        <v/>
      </c>
      <c r="AD318" s="21">
        <f>IF(Y318&lt;&gt;"",Y318,IF(U318&lt;&gt;"",U318,S318))</f>
        <v/>
      </c>
      <c r="AE318" s="21">
        <f>IF(AB318&lt;&gt;"",AB318,Z318)</f>
        <v/>
      </c>
      <c r="AF318" s="13" t="inlineStr">
        <is>
          <t>P-10 &gt; COLUMBIA Class Submarine &gt; HM&amp;E (9) - SSBN 833 (In Support of AC)</t>
        </is>
      </c>
      <c r="AG318" s="7" t="inlineStr">
        <is>
          <t>65</t>
        </is>
      </c>
      <c r="AH318" s="7" t="inlineStr">
        <is>
          <t>1045</t>
        </is>
      </c>
    </row>
    <row r="319" ht="10" customHeight="1">
      <c r="A319" s="7" t="inlineStr">
        <is>
          <t>SCN</t>
        </is>
      </c>
      <c r="B319" s="7" t="inlineStr">
        <is>
          <t>Procurement</t>
        </is>
      </c>
      <c r="D319" s="7" t="inlineStr">
        <is>
          <t>COLUMBIA Class Submarine - P-10 - HM&amp;E (9) - SSBN 834 (In Support of AC)</t>
        </is>
      </c>
      <c r="E319" s="13" t="inlineStr">
        <is>
          <t>[SUB]</t>
        </is>
      </c>
      <c r="F319" s="7" t="inlineStr">
        <is>
          <t>1045 / COLUMBIA Class Submarine AP</t>
        </is>
      </c>
      <c r="I319" s="14" t="n">
        <v>1</v>
      </c>
      <c r="J319" s="7" t="inlineStr">
        <is>
          <t>Advance procurement / LLTM</t>
        </is>
      </c>
      <c r="K319" s="13" t="inlineStr">
        <is>
          <t>USN</t>
        </is>
      </c>
      <c r="L319" s="7" t="inlineStr">
        <is>
          <t>Combatant Ships</t>
        </is>
      </c>
      <c r="M319" s="7" t="inlineStr">
        <is>
          <t>Submarines</t>
        </is>
      </c>
      <c r="N319" s="7" t="inlineStr">
        <is>
          <t>SSBN</t>
        </is>
      </c>
      <c r="O319" s="15" t="n"/>
      <c r="S319" s="16" t="n">
        <v>0</v>
      </c>
      <c r="U319" s="16" t="n">
        <v>0</v>
      </c>
      <c r="AC319" s="23">
        <f>IF(OR(E319="",E319="[PARENT]"),"ADD",IF(E319="[ALT_VIEW]","ALT",""))</f>
        <v/>
      </c>
      <c r="AD319" s="21">
        <f>IF(Y319&lt;&gt;"",Y319,IF(U319&lt;&gt;"",U319,S319))</f>
        <v/>
      </c>
      <c r="AE319" s="21">
        <f>IF(AB319&lt;&gt;"",AB319,Z319)</f>
        <v/>
      </c>
      <c r="AF319" s="13" t="inlineStr">
        <is>
          <t>P-10 &gt; COLUMBIA Class Submarine &gt; HM&amp;E (9) - SSBN 834 (In Support of AC)</t>
        </is>
      </c>
      <c r="AG319" s="7" t="inlineStr">
        <is>
          <t>65</t>
        </is>
      </c>
      <c r="AH319" s="7" t="inlineStr">
        <is>
          <t>1045</t>
        </is>
      </c>
    </row>
    <row r="320" ht="10" customHeight="1">
      <c r="A320" s="7" t="inlineStr">
        <is>
          <t>SCN</t>
        </is>
      </c>
      <c r="B320" s="7" t="inlineStr">
        <is>
          <t>Procurement</t>
        </is>
      </c>
      <c r="D320" s="7" t="inlineStr">
        <is>
          <t>COLUMBIA Class Submarine - P-10 - HM&amp;E (9) - SSBN 835 (In Support of AC)</t>
        </is>
      </c>
      <c r="E320" s="13" t="inlineStr">
        <is>
          <t>[SUB]</t>
        </is>
      </c>
      <c r="F320" s="7" t="inlineStr">
        <is>
          <t>1045 / COLUMBIA Class Submarine AP</t>
        </is>
      </c>
      <c r="I320" s="14" t="n">
        <v>1</v>
      </c>
      <c r="J320" s="7" t="inlineStr">
        <is>
          <t>Advance procurement / LLTM</t>
        </is>
      </c>
      <c r="K320" s="13" t="inlineStr">
        <is>
          <t>USN</t>
        </is>
      </c>
      <c r="L320" s="7" t="inlineStr">
        <is>
          <t>Combatant Ships</t>
        </is>
      </c>
      <c r="M320" s="7" t="inlineStr">
        <is>
          <t>Submarines</t>
        </is>
      </c>
      <c r="N320" s="7" t="inlineStr">
        <is>
          <t>SSBN</t>
        </is>
      </c>
      <c r="O320" s="15" t="n"/>
      <c r="S320" s="16" t="n">
        <v>0</v>
      </c>
      <c r="U320" s="16" t="n">
        <v>0</v>
      </c>
      <c r="AC320" s="23">
        <f>IF(OR(E320="",E320="[PARENT]"),"ADD",IF(E320="[ALT_VIEW]","ALT",""))</f>
        <v/>
      </c>
      <c r="AD320" s="21">
        <f>IF(Y320&lt;&gt;"",Y320,IF(U320&lt;&gt;"",U320,S320))</f>
        <v/>
      </c>
      <c r="AE320" s="21">
        <f>IF(AB320&lt;&gt;"",AB320,Z320)</f>
        <v/>
      </c>
      <c r="AF320" s="13" t="inlineStr">
        <is>
          <t>P-10 &gt; COLUMBIA Class Submarine &gt; HM&amp;E (9) - SSBN 835 (In Support of AC)</t>
        </is>
      </c>
      <c r="AG320" s="7" t="inlineStr">
        <is>
          <t>65</t>
        </is>
      </c>
      <c r="AH320" s="7" t="inlineStr">
        <is>
          <t>1045</t>
        </is>
      </c>
    </row>
    <row r="321" ht="10" customHeight="1">
      <c r="A321" s="7" t="inlineStr">
        <is>
          <t>SCN</t>
        </is>
      </c>
      <c r="B321" s="7" t="inlineStr">
        <is>
          <t>Procurement</t>
        </is>
      </c>
      <c r="D321" s="7" t="inlineStr">
        <is>
          <t>COLUMBIA Class Submarine - P-10 - HM&amp;E (9) - SSBN 836 (In Support of AC)</t>
        </is>
      </c>
      <c r="E321" s="13" t="inlineStr">
        <is>
          <t>[SUB]</t>
        </is>
      </c>
      <c r="F321" s="7" t="inlineStr">
        <is>
          <t>1045 / COLUMBIA Class Submarine AP</t>
        </is>
      </c>
      <c r="I321" s="14" t="n">
        <v>1</v>
      </c>
      <c r="J321" s="7" t="inlineStr">
        <is>
          <t>Advance procurement / LLTM</t>
        </is>
      </c>
      <c r="K321" s="13" t="inlineStr">
        <is>
          <t>USN</t>
        </is>
      </c>
      <c r="L321" s="7" t="inlineStr">
        <is>
          <t>Combatant Ships</t>
        </is>
      </c>
      <c r="M321" s="7" t="inlineStr">
        <is>
          <t>Submarines</t>
        </is>
      </c>
      <c r="N321" s="7" t="inlineStr">
        <is>
          <t>SSBN</t>
        </is>
      </c>
      <c r="O321" s="15" t="n"/>
      <c r="S321" s="16" t="n">
        <v>0</v>
      </c>
      <c r="U321" s="16" t="n">
        <v>0</v>
      </c>
      <c r="AC321" s="23">
        <f>IF(OR(E321="",E321="[PARENT]"),"ADD",IF(E321="[ALT_VIEW]","ALT",""))</f>
        <v/>
      </c>
      <c r="AD321" s="21">
        <f>IF(Y321&lt;&gt;"",Y321,IF(U321&lt;&gt;"",U321,S321))</f>
        <v/>
      </c>
      <c r="AE321" s="21">
        <f>IF(AB321&lt;&gt;"",AB321,Z321)</f>
        <v/>
      </c>
      <c r="AF321" s="13" t="inlineStr">
        <is>
          <t>P-10 &gt; COLUMBIA Class Submarine &gt; HM&amp;E (9) - SSBN 836 (In Support of AC)</t>
        </is>
      </c>
      <c r="AG321" s="7" t="inlineStr">
        <is>
          <t>65</t>
        </is>
      </c>
      <c r="AH321" s="7" t="inlineStr">
        <is>
          <t>1045</t>
        </is>
      </c>
    </row>
    <row r="322" ht="10" customHeight="1">
      <c r="A322" s="7" t="inlineStr">
        <is>
          <t>SCN</t>
        </is>
      </c>
      <c r="B322" s="7" t="inlineStr">
        <is>
          <t>Procurement</t>
        </is>
      </c>
      <c r="D322" s="7" t="inlineStr">
        <is>
          <t>COLUMBIA Class Submarine - P-10 - HM&amp;E (9) - SSBN 837 (In Support of AC)</t>
        </is>
      </c>
      <c r="E322" s="13" t="inlineStr">
        <is>
          <t>[SUB]</t>
        </is>
      </c>
      <c r="F322" s="7" t="inlineStr">
        <is>
          <t>1045 / COLUMBIA Class Submarine AP</t>
        </is>
      </c>
      <c r="I322" s="14" t="n">
        <v>1</v>
      </c>
      <c r="J322" s="7" t="inlineStr">
        <is>
          <t>Advance procurement / LLTM</t>
        </is>
      </c>
      <c r="K322" s="13" t="inlineStr">
        <is>
          <t>USN</t>
        </is>
      </c>
      <c r="L322" s="7" t="inlineStr">
        <is>
          <t>Combatant Ships</t>
        </is>
      </c>
      <c r="M322" s="7" t="inlineStr">
        <is>
          <t>Submarines</t>
        </is>
      </c>
      <c r="N322" s="7" t="inlineStr">
        <is>
          <t>SSBN</t>
        </is>
      </c>
      <c r="O322" s="15" t="n"/>
      <c r="S322" s="16" t="n">
        <v>0</v>
      </c>
      <c r="U322" s="16" t="n">
        <v>0</v>
      </c>
      <c r="AC322" s="23">
        <f>IF(OR(E322="",E322="[PARENT]"),"ADD",IF(E322="[ALT_VIEW]","ALT",""))</f>
        <v/>
      </c>
      <c r="AD322" s="21">
        <f>IF(Y322&lt;&gt;"",Y322,IF(U322&lt;&gt;"",U322,S322))</f>
        <v/>
      </c>
      <c r="AE322" s="21">
        <f>IF(AB322&lt;&gt;"",AB322,Z322)</f>
        <v/>
      </c>
      <c r="AF322" s="13" t="inlineStr">
        <is>
          <t>P-10 &gt; COLUMBIA Class Submarine &gt; HM&amp;E (9) - SSBN 837 (In Support of AC)</t>
        </is>
      </c>
      <c r="AG322" s="7" t="inlineStr">
        <is>
          <t>65</t>
        </is>
      </c>
      <c r="AH322" s="7" t="inlineStr">
        <is>
          <t>1045</t>
        </is>
      </c>
    </row>
    <row r="323" ht="10" customHeight="1">
      <c r="A323" s="7" t="inlineStr">
        <is>
          <t>SCN</t>
        </is>
      </c>
      <c r="B323" s="7" t="inlineStr">
        <is>
          <t>Procurement</t>
        </is>
      </c>
      <c r="D323" s="7" t="inlineStr">
        <is>
          <t>COLUMBIA Class Submarine - P-10 - ORDNANCE SWS SHIPBOARD SYSTEMS (10) - LLTM - SSBN 828 (In Support of AC)</t>
        </is>
      </c>
      <c r="E323" s="13" t="inlineStr">
        <is>
          <t>[SUB]</t>
        </is>
      </c>
      <c r="F323" s="7" t="inlineStr">
        <is>
          <t>1045 / COLUMBIA Class Submarine AP</t>
        </is>
      </c>
      <c r="I323" s="14" t="n">
        <v>1</v>
      </c>
      <c r="J323" s="7" t="inlineStr">
        <is>
          <t>Advance procurement / LLTM</t>
        </is>
      </c>
      <c r="K323" s="13" t="inlineStr">
        <is>
          <t>USN</t>
        </is>
      </c>
      <c r="L323" s="7" t="inlineStr">
        <is>
          <t>Combatant Ships</t>
        </is>
      </c>
      <c r="M323" s="7" t="inlineStr">
        <is>
          <t>Submarines</t>
        </is>
      </c>
      <c r="N323" s="7" t="inlineStr">
        <is>
          <t>SSBN</t>
        </is>
      </c>
      <c r="O323" s="15" t="n"/>
      <c r="S323" s="16" t="n">
        <v>0</v>
      </c>
      <c r="U323" s="16" t="n">
        <v>0</v>
      </c>
      <c r="AC323" s="23">
        <f>IF(OR(E323="",E323="[PARENT]"),"ADD",IF(E323="[ALT_VIEW]","ALT",""))</f>
        <v/>
      </c>
      <c r="AD323" s="21">
        <f>IF(Y323&lt;&gt;"",Y323,IF(U323&lt;&gt;"",U323,S323))</f>
        <v/>
      </c>
      <c r="AE323" s="21">
        <f>IF(AB323&lt;&gt;"",AB323,Z323)</f>
        <v/>
      </c>
      <c r="AF323" s="13" t="inlineStr">
        <is>
          <t>P-10 &gt; COLUMBIA Class Submarine &gt; ORDNANCE SWS SHIPBOARD SYSTEMS (10) - LLTM - SSBN 828 (In Support of AC)</t>
        </is>
      </c>
      <c r="AG323" s="7" t="inlineStr">
        <is>
          <t>66</t>
        </is>
      </c>
      <c r="AH323" s="7" t="inlineStr">
        <is>
          <t>1045</t>
        </is>
      </c>
    </row>
    <row r="324" ht="10" customHeight="1">
      <c r="A324" s="7" t="inlineStr">
        <is>
          <t>SCN</t>
        </is>
      </c>
      <c r="B324" s="7" t="inlineStr">
        <is>
          <t>Procurement</t>
        </is>
      </c>
      <c r="D324" s="7" t="inlineStr">
        <is>
          <t>COLUMBIA Class Submarine - P-10 - ORDNANCE SWS SHIPBOARD SYSTEMS (10) - LLTM - SSBN 829 (In Support of AC)</t>
        </is>
      </c>
      <c r="E324" s="13" t="inlineStr">
        <is>
          <t>[SUB]</t>
        </is>
      </c>
      <c r="F324" s="7" t="inlineStr">
        <is>
          <t>1045 / COLUMBIA Class Submarine AP</t>
        </is>
      </c>
      <c r="I324" s="14" t="n">
        <v>1</v>
      </c>
      <c r="J324" s="7" t="inlineStr">
        <is>
          <t>Advance procurement / LLTM</t>
        </is>
      </c>
      <c r="K324" s="13" t="inlineStr">
        <is>
          <t>USN</t>
        </is>
      </c>
      <c r="L324" s="7" t="inlineStr">
        <is>
          <t>Combatant Ships</t>
        </is>
      </c>
      <c r="M324" s="7" t="inlineStr">
        <is>
          <t>Submarines</t>
        </is>
      </c>
      <c r="N324" s="7" t="inlineStr">
        <is>
          <t>SSBN</t>
        </is>
      </c>
      <c r="O324" s="15" t="n"/>
      <c r="S324" s="16" t="n">
        <v>29510</v>
      </c>
      <c r="U324" s="16" t="n">
        <v>29510</v>
      </c>
      <c r="AC324" s="23">
        <f>IF(OR(E324="",E324="[PARENT]"),"ADD",IF(E324="[ALT_VIEW]","ALT",""))</f>
        <v/>
      </c>
      <c r="AD324" s="21">
        <f>IF(Y324&lt;&gt;"",Y324,IF(U324&lt;&gt;"",U324,S324))</f>
        <v/>
      </c>
      <c r="AE324" s="21">
        <f>IF(AB324&lt;&gt;"",AB324,Z324)</f>
        <v/>
      </c>
      <c r="AF324" s="13" t="inlineStr">
        <is>
          <t>P-10 &gt; COLUMBIA Class Submarine &gt; ORDNANCE SWS SHIPBOARD SYSTEMS (10) - LLTM - SSBN 829 (In Support of AC)</t>
        </is>
      </c>
      <c r="AG324" s="7" t="inlineStr">
        <is>
          <t>66</t>
        </is>
      </c>
      <c r="AH324" s="7" t="inlineStr">
        <is>
          <t>1045</t>
        </is>
      </c>
    </row>
    <row r="325" ht="10" customHeight="1">
      <c r="A325" s="7" t="inlineStr">
        <is>
          <t>SCN</t>
        </is>
      </c>
      <c r="B325" s="7" t="inlineStr">
        <is>
          <t>Procurement</t>
        </is>
      </c>
      <c r="D325" s="7" t="inlineStr">
        <is>
          <t>COLUMBIA Class Submarine - P-10 - ORDNANCE SWS SHIPBOARD SYSTEMS (10) - LLTM - SSBN 830 (In Support of AC)</t>
        </is>
      </c>
      <c r="E325" s="13" t="inlineStr">
        <is>
          <t>[SUB]</t>
        </is>
      </c>
      <c r="F325" s="7" t="inlineStr">
        <is>
          <t>1045 / COLUMBIA Class Submarine AP</t>
        </is>
      </c>
      <c r="I325" s="14" t="n">
        <v>1</v>
      </c>
      <c r="J325" s="7" t="inlineStr">
        <is>
          <t>Advance procurement / LLTM</t>
        </is>
      </c>
      <c r="K325" s="13" t="inlineStr">
        <is>
          <t>USN</t>
        </is>
      </c>
      <c r="L325" s="7" t="inlineStr">
        <is>
          <t>Combatant Ships</t>
        </is>
      </c>
      <c r="M325" s="7" t="inlineStr">
        <is>
          <t>Submarines</t>
        </is>
      </c>
      <c r="N325" s="7" t="inlineStr">
        <is>
          <t>SSBN</t>
        </is>
      </c>
      <c r="O325" s="15" t="n"/>
      <c r="S325" s="16" t="n">
        <v>46009</v>
      </c>
      <c r="U325" s="16" t="n">
        <v>46009</v>
      </c>
      <c r="AC325" s="23">
        <f>IF(OR(E325="",E325="[PARENT]"),"ADD",IF(E325="[ALT_VIEW]","ALT",""))</f>
        <v/>
      </c>
      <c r="AD325" s="21">
        <f>IF(Y325&lt;&gt;"",Y325,IF(U325&lt;&gt;"",U325,S325))</f>
        <v/>
      </c>
      <c r="AE325" s="21">
        <f>IF(AB325&lt;&gt;"",AB325,Z325)</f>
        <v/>
      </c>
      <c r="AF325" s="13" t="inlineStr">
        <is>
          <t>P-10 &gt; COLUMBIA Class Submarine &gt; ORDNANCE SWS SHIPBOARD SYSTEMS (10) - LLTM - SSBN 830 (In Support of AC)</t>
        </is>
      </c>
      <c r="AG325" s="7" t="inlineStr">
        <is>
          <t>66</t>
        </is>
      </c>
      <c r="AH325" s="7" t="inlineStr">
        <is>
          <t>1045</t>
        </is>
      </c>
    </row>
    <row r="326" ht="10" customHeight="1">
      <c r="A326" s="7" t="inlineStr">
        <is>
          <t>SCN</t>
        </is>
      </c>
      <c r="B326" s="7" t="inlineStr">
        <is>
          <t>Procurement</t>
        </is>
      </c>
      <c r="D326" s="7" t="inlineStr">
        <is>
          <t>COLUMBIA Class Submarine - P-10 - ORDNANCE SWS SHIPBOARD SYSTEMS (10) - LLTM - SSBN 831 (In Support of AC)</t>
        </is>
      </c>
      <c r="E326" s="13" t="inlineStr">
        <is>
          <t>[SUB]</t>
        </is>
      </c>
      <c r="F326" s="7" t="inlineStr">
        <is>
          <t>1045 / COLUMBIA Class Submarine AP</t>
        </is>
      </c>
      <c r="I326" s="14" t="n">
        <v>1</v>
      </c>
      <c r="J326" s="7" t="inlineStr">
        <is>
          <t>Advance procurement / LLTM</t>
        </is>
      </c>
      <c r="K326" s="13" t="inlineStr">
        <is>
          <t>USN</t>
        </is>
      </c>
      <c r="L326" s="7" t="inlineStr">
        <is>
          <t>Combatant Ships</t>
        </is>
      </c>
      <c r="M326" s="7" t="inlineStr">
        <is>
          <t>Submarines</t>
        </is>
      </c>
      <c r="N326" s="7" t="inlineStr">
        <is>
          <t>SSBN</t>
        </is>
      </c>
      <c r="O326" s="15" t="n"/>
      <c r="S326" s="16" t="n">
        <v>35875</v>
      </c>
      <c r="U326" s="16" t="n">
        <v>35875</v>
      </c>
      <c r="AC326" s="23">
        <f>IF(OR(E326="",E326="[PARENT]"),"ADD",IF(E326="[ALT_VIEW]","ALT",""))</f>
        <v/>
      </c>
      <c r="AD326" s="21">
        <f>IF(Y326&lt;&gt;"",Y326,IF(U326&lt;&gt;"",U326,S326))</f>
        <v/>
      </c>
      <c r="AE326" s="21">
        <f>IF(AB326&lt;&gt;"",AB326,Z326)</f>
        <v/>
      </c>
      <c r="AF326" s="13" t="inlineStr">
        <is>
          <t>P-10 &gt; COLUMBIA Class Submarine &gt; ORDNANCE SWS SHIPBOARD SYSTEMS (10) - LLTM - SSBN 831 (In Support of AC)</t>
        </is>
      </c>
      <c r="AG326" s="7" t="inlineStr">
        <is>
          <t>66</t>
        </is>
      </c>
      <c r="AH326" s="7" t="inlineStr">
        <is>
          <t>1045</t>
        </is>
      </c>
    </row>
    <row r="327" ht="10" customHeight="1">
      <c r="A327" s="7" t="inlineStr">
        <is>
          <t>SCN</t>
        </is>
      </c>
      <c r="B327" s="7" t="inlineStr">
        <is>
          <t>Procurement</t>
        </is>
      </c>
      <c r="D327" s="7" t="inlineStr">
        <is>
          <t>COLUMBIA Class Submarine - P-10 - ORDNANCE SWS SHIPBOARD SYSTEMS (11) - ECONOMIC ORDER QUANTITY - SSBN 828</t>
        </is>
      </c>
      <c r="E327" s="13" t="inlineStr">
        <is>
          <t>[SUB]</t>
        </is>
      </c>
      <c r="F327" s="7" t="inlineStr">
        <is>
          <t>1045 / COLUMBIA Class Submarine AP</t>
        </is>
      </c>
      <c r="I327" s="14" t="n">
        <v>1</v>
      </c>
      <c r="J327" s="7" t="inlineStr">
        <is>
          <t>Advance procurement / LLTM</t>
        </is>
      </c>
      <c r="K327" s="13" t="inlineStr">
        <is>
          <t>USN</t>
        </is>
      </c>
      <c r="L327" s="7" t="inlineStr">
        <is>
          <t>Combatant Ships</t>
        </is>
      </c>
      <c r="M327" s="7" t="inlineStr">
        <is>
          <t>Submarines</t>
        </is>
      </c>
      <c r="N327" s="7" t="inlineStr">
        <is>
          <t>SSBN</t>
        </is>
      </c>
      <c r="O327" s="15" t="n"/>
      <c r="S327" s="16" t="n">
        <v>0</v>
      </c>
      <c r="U327" s="16" t="n">
        <v>0</v>
      </c>
      <c r="AC327" s="23">
        <f>IF(OR(E327="",E327="[PARENT]"),"ADD",IF(E327="[ALT_VIEW]","ALT",""))</f>
        <v/>
      </c>
      <c r="AD327" s="21">
        <f>IF(Y327&lt;&gt;"",Y327,IF(U327&lt;&gt;"",U327,S327))</f>
        <v/>
      </c>
      <c r="AE327" s="21">
        <f>IF(AB327&lt;&gt;"",AB327,Z327)</f>
        <v/>
      </c>
      <c r="AF327" s="13" t="inlineStr">
        <is>
          <t>P-10 &gt; COLUMBIA Class Submarine &gt; ORDNANCE SWS SHIPBOARD SYSTEMS (11) - ECONOMIC ORDER QUANTITY - SSBN 828</t>
        </is>
      </c>
      <c r="AG327" s="7" t="inlineStr">
        <is>
          <t>66</t>
        </is>
      </c>
      <c r="AH327" s="7" t="inlineStr">
        <is>
          <t>1045</t>
        </is>
      </c>
    </row>
    <row r="328" ht="10" customHeight="1">
      <c r="A328" s="7" t="inlineStr">
        <is>
          <t>SCN</t>
        </is>
      </c>
      <c r="B328" s="7" t="inlineStr">
        <is>
          <t>Procurement</t>
        </is>
      </c>
      <c r="D328" s="7" t="inlineStr">
        <is>
          <t>COLUMBIA Class Submarine - P-10 - ORDNANCE SWS SHIPBOARD SYSTEMS (11) - ECONOMIC ORDER QUANTITY - SSBN 829</t>
        </is>
      </c>
      <c r="E328" s="13" t="inlineStr">
        <is>
          <t>[SUB]</t>
        </is>
      </c>
      <c r="F328" s="7" t="inlineStr">
        <is>
          <t>1045 / COLUMBIA Class Submarine AP</t>
        </is>
      </c>
      <c r="I328" s="14" t="n">
        <v>1</v>
      </c>
      <c r="J328" s="7" t="inlineStr">
        <is>
          <t>Advance procurement / LLTM</t>
        </is>
      </c>
      <c r="K328" s="13" t="inlineStr">
        <is>
          <t>USN</t>
        </is>
      </c>
      <c r="L328" s="7" t="inlineStr">
        <is>
          <t>Combatant Ships</t>
        </is>
      </c>
      <c r="M328" s="7" t="inlineStr">
        <is>
          <t>Submarines</t>
        </is>
      </c>
      <c r="N328" s="7" t="inlineStr">
        <is>
          <t>SSBN</t>
        </is>
      </c>
      <c r="O328" s="15" t="n"/>
      <c r="S328" s="16" t="n">
        <v>250</v>
      </c>
      <c r="U328" s="16" t="n">
        <v>250</v>
      </c>
      <c r="AC328" s="23">
        <f>IF(OR(E328="",E328="[PARENT]"),"ADD",IF(E328="[ALT_VIEW]","ALT",""))</f>
        <v/>
      </c>
      <c r="AD328" s="21">
        <f>IF(Y328&lt;&gt;"",Y328,IF(U328&lt;&gt;"",U328,S328))</f>
        <v/>
      </c>
      <c r="AE328" s="21">
        <f>IF(AB328&lt;&gt;"",AB328,Z328)</f>
        <v/>
      </c>
      <c r="AF328" s="13" t="inlineStr">
        <is>
          <t>P-10 &gt; COLUMBIA Class Submarine &gt; ORDNANCE SWS SHIPBOARD SYSTEMS (11) - ECONOMIC ORDER QUANTITY - SSBN 829</t>
        </is>
      </c>
      <c r="AG328" s="7" t="inlineStr">
        <is>
          <t>66</t>
        </is>
      </c>
      <c r="AH328" s="7" t="inlineStr">
        <is>
          <t>1045</t>
        </is>
      </c>
    </row>
    <row r="329" ht="10" customHeight="1">
      <c r="A329" s="7" t="inlineStr">
        <is>
          <t>SCN</t>
        </is>
      </c>
      <c r="B329" s="7" t="inlineStr">
        <is>
          <t>Procurement</t>
        </is>
      </c>
      <c r="D329" s="7" t="inlineStr">
        <is>
          <t>COLUMBIA Class Submarine - P-10 - ORDNANCE SWS SHIPBOARD SYSTEMS (11) - ECONOMIC ORDER QUANTITY - SSBN 830</t>
        </is>
      </c>
      <c r="E329" s="13" t="inlineStr">
        <is>
          <t>[SUB]</t>
        </is>
      </c>
      <c r="F329" s="7" t="inlineStr">
        <is>
          <t>1045 / COLUMBIA Class Submarine AP</t>
        </is>
      </c>
      <c r="I329" s="14" t="n">
        <v>1</v>
      </c>
      <c r="J329" s="7" t="inlineStr">
        <is>
          <t>Advance procurement / LLTM</t>
        </is>
      </c>
      <c r="K329" s="13" t="inlineStr">
        <is>
          <t>USN</t>
        </is>
      </c>
      <c r="L329" s="7" t="inlineStr">
        <is>
          <t>Combatant Ships</t>
        </is>
      </c>
      <c r="M329" s="7" t="inlineStr">
        <is>
          <t>Submarines</t>
        </is>
      </c>
      <c r="N329" s="7" t="inlineStr">
        <is>
          <t>SSBN</t>
        </is>
      </c>
      <c r="O329" s="15" t="n"/>
      <c r="S329" s="16" t="n">
        <v>250</v>
      </c>
      <c r="U329" s="16" t="n">
        <v>250</v>
      </c>
      <c r="AC329" s="23">
        <f>IF(OR(E329="",E329="[PARENT]"),"ADD",IF(E329="[ALT_VIEW]","ALT",""))</f>
        <v/>
      </c>
      <c r="AD329" s="21">
        <f>IF(Y329&lt;&gt;"",Y329,IF(U329&lt;&gt;"",U329,S329))</f>
        <v/>
      </c>
      <c r="AE329" s="21">
        <f>IF(AB329&lt;&gt;"",AB329,Z329)</f>
        <v/>
      </c>
      <c r="AF329" s="13" t="inlineStr">
        <is>
          <t>P-10 &gt; COLUMBIA Class Submarine &gt; ORDNANCE SWS SHIPBOARD SYSTEMS (11) - ECONOMIC ORDER QUANTITY - SSBN 830</t>
        </is>
      </c>
      <c r="AG329" s="7" t="inlineStr">
        <is>
          <t>66</t>
        </is>
      </c>
      <c r="AH329" s="7" t="inlineStr">
        <is>
          <t>1045</t>
        </is>
      </c>
    </row>
    <row r="330" ht="10" customHeight="1">
      <c r="A330" s="7" t="inlineStr">
        <is>
          <t>SCN</t>
        </is>
      </c>
      <c r="B330" s="7" t="inlineStr">
        <is>
          <t>Procurement</t>
        </is>
      </c>
      <c r="D330" s="7" t="inlineStr">
        <is>
          <t>COLUMBIA Class Submarine - P-10 - ORDNANCE SWS SHIPBOARD SYSTEMS (11) - ECONOMIC ORDER QUANTITY - SSBN 831</t>
        </is>
      </c>
      <c r="E330" s="13" t="inlineStr">
        <is>
          <t>[SUB]</t>
        </is>
      </c>
      <c r="F330" s="7" t="inlineStr">
        <is>
          <t>1045 / COLUMBIA Class Submarine AP</t>
        </is>
      </c>
      <c r="I330" s="14" t="n">
        <v>1</v>
      </c>
      <c r="J330" s="7" t="inlineStr">
        <is>
          <t>Advance procurement / LLTM</t>
        </is>
      </c>
      <c r="K330" s="13" t="inlineStr">
        <is>
          <t>USN</t>
        </is>
      </c>
      <c r="L330" s="7" t="inlineStr">
        <is>
          <t>Combatant Ships</t>
        </is>
      </c>
      <c r="M330" s="7" t="inlineStr">
        <is>
          <t>Submarines</t>
        </is>
      </c>
      <c r="N330" s="7" t="inlineStr">
        <is>
          <t>SSBN</t>
        </is>
      </c>
      <c r="O330" s="15" t="n"/>
      <c r="S330" s="16" t="n">
        <v>250</v>
      </c>
      <c r="U330" s="16" t="n">
        <v>250</v>
      </c>
      <c r="AC330" s="23">
        <f>IF(OR(E330="",E330="[PARENT]"),"ADD",IF(E330="[ALT_VIEW]","ALT",""))</f>
        <v/>
      </c>
      <c r="AD330" s="21">
        <f>IF(Y330&lt;&gt;"",Y330,IF(U330&lt;&gt;"",U330,S330))</f>
        <v/>
      </c>
      <c r="AE330" s="21">
        <f>IF(AB330&lt;&gt;"",AB330,Z330)</f>
        <v/>
      </c>
      <c r="AF330" s="13" t="inlineStr">
        <is>
          <t>P-10 &gt; COLUMBIA Class Submarine &gt; ORDNANCE SWS SHIPBOARD SYSTEMS (11) - ECONOMIC ORDER QUANTITY - SSBN 831</t>
        </is>
      </c>
      <c r="AG330" s="7" t="inlineStr">
        <is>
          <t>66</t>
        </is>
      </c>
      <c r="AH330" s="7" t="inlineStr">
        <is>
          <t>1045</t>
        </is>
      </c>
    </row>
    <row r="331" ht="10" customHeight="1">
      <c r="A331" s="7" t="inlineStr">
        <is>
          <t>SCN</t>
        </is>
      </c>
      <c r="B331" s="7" t="inlineStr">
        <is>
          <t>Procurement</t>
        </is>
      </c>
      <c r="D331" s="7" t="inlineStr">
        <is>
          <t>COLUMBIA Class Submarine - P-10 - ORDNANCE SWS SHIPBOARD SYSTEMS (11) - ECONOMIC ORDER QUANTITY - SSBN 832</t>
        </is>
      </c>
      <c r="E331" s="13" t="inlineStr">
        <is>
          <t>[SUB]</t>
        </is>
      </c>
      <c r="F331" s="7" t="inlineStr">
        <is>
          <t>1045 / COLUMBIA Class Submarine AP</t>
        </is>
      </c>
      <c r="I331" s="14" t="n">
        <v>1</v>
      </c>
      <c r="J331" s="7" t="inlineStr">
        <is>
          <t>Advance procurement / LLTM</t>
        </is>
      </c>
      <c r="K331" s="13" t="inlineStr">
        <is>
          <t>USN</t>
        </is>
      </c>
      <c r="L331" s="7" t="inlineStr">
        <is>
          <t>Combatant Ships</t>
        </is>
      </c>
      <c r="M331" s="7" t="inlineStr">
        <is>
          <t>Submarines</t>
        </is>
      </c>
      <c r="N331" s="7" t="inlineStr">
        <is>
          <t>SSBN</t>
        </is>
      </c>
      <c r="O331" s="15" t="n"/>
      <c r="S331" s="16" t="n">
        <v>250</v>
      </c>
      <c r="U331" s="16" t="n">
        <v>250</v>
      </c>
      <c r="AC331" s="23">
        <f>IF(OR(E331="",E331="[PARENT]"),"ADD",IF(E331="[ALT_VIEW]","ALT",""))</f>
        <v/>
      </c>
      <c r="AD331" s="21">
        <f>IF(Y331&lt;&gt;"",Y331,IF(U331&lt;&gt;"",U331,S331))</f>
        <v/>
      </c>
      <c r="AE331" s="21">
        <f>IF(AB331&lt;&gt;"",AB331,Z331)</f>
        <v/>
      </c>
      <c r="AF331" s="13" t="inlineStr">
        <is>
          <t>P-10 &gt; COLUMBIA Class Submarine &gt; ORDNANCE SWS SHIPBOARD SYSTEMS (11) - ECONOMIC ORDER QUANTITY - SSBN 832</t>
        </is>
      </c>
      <c r="AG331" s="7" t="inlineStr">
        <is>
          <t>66</t>
        </is>
      </c>
      <c r="AH331" s="7" t="inlineStr">
        <is>
          <t>1045</t>
        </is>
      </c>
    </row>
    <row r="332" ht="10" customHeight="1">
      <c r="A332" s="7" t="inlineStr">
        <is>
          <t>SCN</t>
        </is>
      </c>
      <c r="B332" s="7" t="inlineStr">
        <is>
          <t>Procurement</t>
        </is>
      </c>
      <c r="D332" s="7" t="inlineStr">
        <is>
          <t>COLUMBIA Class Submarine - P-10 - ORDNANCE SWS SHIPBOARD SYSTEMS (11) - ECONOMIC ORDER QUANTITY - SSBN 833</t>
        </is>
      </c>
      <c r="E332" s="13" t="inlineStr">
        <is>
          <t>[SUB]</t>
        </is>
      </c>
      <c r="F332" s="7" t="inlineStr">
        <is>
          <t>1045 / COLUMBIA Class Submarine AP</t>
        </is>
      </c>
      <c r="I332" s="14" t="n">
        <v>1</v>
      </c>
      <c r="J332" s="7" t="inlineStr">
        <is>
          <t>Advance procurement / LLTM</t>
        </is>
      </c>
      <c r="K332" s="13" t="inlineStr">
        <is>
          <t>USN</t>
        </is>
      </c>
      <c r="L332" s="7" t="inlineStr">
        <is>
          <t>Combatant Ships</t>
        </is>
      </c>
      <c r="M332" s="7" t="inlineStr">
        <is>
          <t>Submarines</t>
        </is>
      </c>
      <c r="N332" s="7" t="inlineStr">
        <is>
          <t>SSBN</t>
        </is>
      </c>
      <c r="O332" s="15" t="n"/>
      <c r="S332" s="16" t="n">
        <v>899</v>
      </c>
      <c r="U332" s="16" t="n">
        <v>899</v>
      </c>
      <c r="AC332" s="23">
        <f>IF(OR(E332="",E332="[PARENT]"),"ADD",IF(E332="[ALT_VIEW]","ALT",""))</f>
        <v/>
      </c>
      <c r="AD332" s="21">
        <f>IF(Y332&lt;&gt;"",Y332,IF(U332&lt;&gt;"",U332,S332))</f>
        <v/>
      </c>
      <c r="AE332" s="21">
        <f>IF(AB332&lt;&gt;"",AB332,Z332)</f>
        <v/>
      </c>
      <c r="AF332" s="13" t="inlineStr">
        <is>
          <t>P-10 &gt; COLUMBIA Class Submarine &gt; ORDNANCE SWS SHIPBOARD SYSTEMS (11) - ECONOMIC ORDER QUANTITY - SSBN 833</t>
        </is>
      </c>
      <c r="AG332" s="7" t="inlineStr">
        <is>
          <t>66</t>
        </is>
      </c>
      <c r="AH332" s="7" t="inlineStr">
        <is>
          <t>1045</t>
        </is>
      </c>
    </row>
    <row r="333" ht="10" customHeight="1">
      <c r="A333" s="7" t="inlineStr">
        <is>
          <t>SCN</t>
        </is>
      </c>
      <c r="B333" s="7" t="inlineStr">
        <is>
          <t>Procurement</t>
        </is>
      </c>
      <c r="D333" s="7" t="inlineStr">
        <is>
          <t>COLUMBIA Class Submarine - P-10 - ORDNANCE SWS SHIPBOARD SYSTEMS (11) - ECONOMIC ORDER QUANTITY - SSBN 834</t>
        </is>
      </c>
      <c r="E333" s="13" t="inlineStr">
        <is>
          <t>[SUB]</t>
        </is>
      </c>
      <c r="F333" s="7" t="inlineStr">
        <is>
          <t>1045 / COLUMBIA Class Submarine AP</t>
        </is>
      </c>
      <c r="I333" s="14" t="n">
        <v>1</v>
      </c>
      <c r="J333" s="7" t="inlineStr">
        <is>
          <t>Advance procurement / LLTM</t>
        </is>
      </c>
      <c r="K333" s="13" t="inlineStr">
        <is>
          <t>USN</t>
        </is>
      </c>
      <c r="L333" s="7" t="inlineStr">
        <is>
          <t>Combatant Ships</t>
        </is>
      </c>
      <c r="M333" s="7" t="inlineStr">
        <is>
          <t>Submarines</t>
        </is>
      </c>
      <c r="N333" s="7" t="inlineStr">
        <is>
          <t>SSBN</t>
        </is>
      </c>
      <c r="O333" s="15" t="n"/>
      <c r="S333" s="16" t="n">
        <v>899</v>
      </c>
      <c r="U333" s="16" t="n">
        <v>899</v>
      </c>
      <c r="AC333" s="23">
        <f>IF(OR(E333="",E333="[PARENT]"),"ADD",IF(E333="[ALT_VIEW]","ALT",""))</f>
        <v/>
      </c>
      <c r="AD333" s="21">
        <f>IF(Y333&lt;&gt;"",Y333,IF(U333&lt;&gt;"",U333,S333))</f>
        <v/>
      </c>
      <c r="AE333" s="21">
        <f>IF(AB333&lt;&gt;"",AB333,Z333)</f>
        <v/>
      </c>
      <c r="AF333" s="13" t="inlineStr">
        <is>
          <t>P-10 &gt; COLUMBIA Class Submarine &gt; ORDNANCE SWS SHIPBOARD SYSTEMS (11) - ECONOMIC ORDER QUANTITY - SSBN 834</t>
        </is>
      </c>
      <c r="AG333" s="7" t="inlineStr">
        <is>
          <t>66</t>
        </is>
      </c>
      <c r="AH333" s="7" t="inlineStr">
        <is>
          <t>1045</t>
        </is>
      </c>
    </row>
    <row r="334" ht="10" customHeight="1">
      <c r="A334" s="7" t="inlineStr">
        <is>
          <t>SCN</t>
        </is>
      </c>
      <c r="B334" s="7" t="inlineStr">
        <is>
          <t>Procurement</t>
        </is>
      </c>
      <c r="D334" s="7" t="inlineStr">
        <is>
          <t>COLUMBIA Class Submarine - P-10 - ORDNANCE SWS SHIPBOARD SYSTEMS (11) - ECONOMIC ORDER QUANTITY - SSBN 835</t>
        </is>
      </c>
      <c r="E334" s="13" t="inlineStr">
        <is>
          <t>[SUB]</t>
        </is>
      </c>
      <c r="F334" s="7" t="inlineStr">
        <is>
          <t>1045 / COLUMBIA Class Submarine AP</t>
        </is>
      </c>
      <c r="I334" s="14" t="n">
        <v>1</v>
      </c>
      <c r="J334" s="7" t="inlineStr">
        <is>
          <t>Advance procurement / LLTM</t>
        </is>
      </c>
      <c r="K334" s="13" t="inlineStr">
        <is>
          <t>USN</t>
        </is>
      </c>
      <c r="L334" s="7" t="inlineStr">
        <is>
          <t>Combatant Ships</t>
        </is>
      </c>
      <c r="M334" s="7" t="inlineStr">
        <is>
          <t>Submarines</t>
        </is>
      </c>
      <c r="N334" s="7" t="inlineStr">
        <is>
          <t>SSBN</t>
        </is>
      </c>
      <c r="O334" s="15" t="n"/>
      <c r="S334" s="16" t="n">
        <v>899</v>
      </c>
      <c r="U334" s="16" t="n">
        <v>899</v>
      </c>
      <c r="AC334" s="23">
        <f>IF(OR(E334="",E334="[PARENT]"),"ADD",IF(E334="[ALT_VIEW]","ALT",""))</f>
        <v/>
      </c>
      <c r="AD334" s="21">
        <f>IF(Y334&lt;&gt;"",Y334,IF(U334&lt;&gt;"",U334,S334))</f>
        <v/>
      </c>
      <c r="AE334" s="21">
        <f>IF(AB334&lt;&gt;"",AB334,Z334)</f>
        <v/>
      </c>
      <c r="AF334" s="13" t="inlineStr">
        <is>
          <t>P-10 &gt; COLUMBIA Class Submarine &gt; ORDNANCE SWS SHIPBOARD SYSTEMS (11) - ECONOMIC ORDER QUANTITY - SSBN 835</t>
        </is>
      </c>
      <c r="AG334" s="7" t="inlineStr">
        <is>
          <t>66</t>
        </is>
      </c>
      <c r="AH334" s="7" t="inlineStr">
        <is>
          <t>1045</t>
        </is>
      </c>
    </row>
    <row r="335" ht="10" customHeight="1">
      <c r="A335" s="7" t="inlineStr">
        <is>
          <t>SCN</t>
        </is>
      </c>
      <c r="B335" s="7" t="inlineStr">
        <is>
          <t>Procurement</t>
        </is>
      </c>
      <c r="D335" s="7" t="inlineStr">
        <is>
          <t>COLUMBIA Class Submarine - P-10 - ORDNANCE SWS SHIPBOARD SYSTEMS (11) - ECONOMIC ORDER QUANTITY - SSBN 836</t>
        </is>
      </c>
      <c r="E335" s="13" t="inlineStr">
        <is>
          <t>[SUB]</t>
        </is>
      </c>
      <c r="F335" s="7" t="inlineStr">
        <is>
          <t>1045 / COLUMBIA Class Submarine AP</t>
        </is>
      </c>
      <c r="I335" s="14" t="n">
        <v>1</v>
      </c>
      <c r="J335" s="7" t="inlineStr">
        <is>
          <t>Advance procurement / LLTM</t>
        </is>
      </c>
      <c r="K335" s="13" t="inlineStr">
        <is>
          <t>USN</t>
        </is>
      </c>
      <c r="L335" s="7" t="inlineStr">
        <is>
          <t>Combatant Ships</t>
        </is>
      </c>
      <c r="M335" s="7" t="inlineStr">
        <is>
          <t>Submarines</t>
        </is>
      </c>
      <c r="N335" s="7" t="inlineStr">
        <is>
          <t>SSBN</t>
        </is>
      </c>
      <c r="O335" s="15" t="n"/>
      <c r="S335" s="16" t="n">
        <v>913</v>
      </c>
      <c r="U335" s="16" t="n">
        <v>913</v>
      </c>
      <c r="AC335" s="23">
        <f>IF(OR(E335="",E335="[PARENT]"),"ADD",IF(E335="[ALT_VIEW]","ALT",""))</f>
        <v/>
      </c>
      <c r="AD335" s="21">
        <f>IF(Y335&lt;&gt;"",Y335,IF(U335&lt;&gt;"",U335,S335))</f>
        <v/>
      </c>
      <c r="AE335" s="21">
        <f>IF(AB335&lt;&gt;"",AB335,Z335)</f>
        <v/>
      </c>
      <c r="AF335" s="13" t="inlineStr">
        <is>
          <t>P-10 &gt; COLUMBIA Class Submarine &gt; ORDNANCE SWS SHIPBOARD SYSTEMS (11) - ECONOMIC ORDER QUANTITY - SSBN 836</t>
        </is>
      </c>
      <c r="AG335" s="7" t="inlineStr">
        <is>
          <t>66</t>
        </is>
      </c>
      <c r="AH335" s="7" t="inlineStr">
        <is>
          <t>1045</t>
        </is>
      </c>
    </row>
    <row r="336" ht="10" customHeight="1">
      <c r="A336" s="7" t="inlineStr">
        <is>
          <t>SCN</t>
        </is>
      </c>
      <c r="B336" s="7" t="inlineStr">
        <is>
          <t>Procurement</t>
        </is>
      </c>
      <c r="D336" s="7" t="inlineStr">
        <is>
          <t>COLUMBIA Class Submarine - P-10 - ORDNANCE SWS SHIPBOARD SYSTEMS (11) - ECONOMIC ORDER QUANTITY - SSBN 837</t>
        </is>
      </c>
      <c r="E336" s="13" t="inlineStr">
        <is>
          <t>[SUB]</t>
        </is>
      </c>
      <c r="F336" s="7" t="inlineStr">
        <is>
          <t>1045 / COLUMBIA Class Submarine AP</t>
        </is>
      </c>
      <c r="I336" s="14" t="n">
        <v>1</v>
      </c>
      <c r="J336" s="7" t="inlineStr">
        <is>
          <t>Advance procurement / LLTM</t>
        </is>
      </c>
      <c r="K336" s="13" t="inlineStr">
        <is>
          <t>USN</t>
        </is>
      </c>
      <c r="L336" s="7" t="inlineStr">
        <is>
          <t>Combatant Ships</t>
        </is>
      </c>
      <c r="M336" s="7" t="inlineStr">
        <is>
          <t>Submarines</t>
        </is>
      </c>
      <c r="N336" s="7" t="inlineStr">
        <is>
          <t>SSBN</t>
        </is>
      </c>
      <c r="O336" s="15" t="n"/>
      <c r="S336" s="16" t="n">
        <v>899</v>
      </c>
      <c r="U336" s="16" t="n">
        <v>899</v>
      </c>
      <c r="AC336" s="23">
        <f>IF(OR(E336="",E336="[PARENT]"),"ADD",IF(E336="[ALT_VIEW]","ALT",""))</f>
        <v/>
      </c>
      <c r="AD336" s="21">
        <f>IF(Y336&lt;&gt;"",Y336,IF(U336&lt;&gt;"",U336,S336))</f>
        <v/>
      </c>
      <c r="AE336" s="21">
        <f>IF(AB336&lt;&gt;"",AB336,Z336)</f>
        <v/>
      </c>
      <c r="AF336" s="13" t="inlineStr">
        <is>
          <t>P-10 &gt; COLUMBIA Class Submarine &gt; ORDNANCE SWS SHIPBOARD SYSTEMS (11) - ECONOMIC ORDER QUANTITY - SSBN 837</t>
        </is>
      </c>
      <c r="AG336" s="7" t="inlineStr">
        <is>
          <t>66</t>
        </is>
      </c>
      <c r="AH336" s="7" t="inlineStr">
        <is>
          <t>1045</t>
        </is>
      </c>
    </row>
    <row r="337" ht="10" customHeight="1">
      <c r="A337" s="7" t="inlineStr">
        <is>
          <t>SCN</t>
        </is>
      </c>
      <c r="B337" s="7" t="inlineStr">
        <is>
          <t>Procurement</t>
        </is>
      </c>
      <c r="D337" s="7" t="inlineStr">
        <is>
          <t>COLUMBIA Class Submarine - P-10 - ORDNANCE SWS SHIPBOARD SYSTEMS (12) - CONTINUOUS PRODUCTION - SSBN 829</t>
        </is>
      </c>
      <c r="E337" s="13" t="inlineStr">
        <is>
          <t>[SUB]</t>
        </is>
      </c>
      <c r="F337" s="7" t="inlineStr">
        <is>
          <t>1045 / COLUMBIA Class Submarine AP</t>
        </is>
      </c>
      <c r="I337" s="14" t="n">
        <v>1</v>
      </c>
      <c r="J337" s="7" t="inlineStr">
        <is>
          <t>Advance procurement / LLTM</t>
        </is>
      </c>
      <c r="K337" s="13" t="inlineStr">
        <is>
          <t>USN</t>
        </is>
      </c>
      <c r="L337" s="7" t="inlineStr">
        <is>
          <t>Combatant Ships</t>
        </is>
      </c>
      <c r="M337" s="7" t="inlineStr">
        <is>
          <t>Submarines</t>
        </is>
      </c>
      <c r="N337" s="7" t="inlineStr">
        <is>
          <t>SSBN</t>
        </is>
      </c>
      <c r="O337" s="15" t="n"/>
      <c r="S337" s="16" t="n">
        <v>7376</v>
      </c>
      <c r="U337" s="16" t="n">
        <v>7376</v>
      </c>
      <c r="AC337" s="23">
        <f>IF(OR(E337="",E337="[PARENT]"),"ADD",IF(E337="[ALT_VIEW]","ALT",""))</f>
        <v/>
      </c>
      <c r="AD337" s="21">
        <f>IF(Y337&lt;&gt;"",Y337,IF(U337&lt;&gt;"",U337,S337))</f>
        <v/>
      </c>
      <c r="AE337" s="21">
        <f>IF(AB337&lt;&gt;"",AB337,Z337)</f>
        <v/>
      </c>
      <c r="AF337" s="13" t="inlineStr">
        <is>
          <t>P-10 &gt; COLUMBIA Class Submarine &gt; ORDNANCE SWS SHIPBOARD SYSTEMS (12) - CONTINUOUS PRODUCTION - SSBN 829</t>
        </is>
      </c>
      <c r="AG337" s="7" t="inlineStr">
        <is>
          <t>66</t>
        </is>
      </c>
      <c r="AH337" s="7" t="inlineStr">
        <is>
          <t>1045</t>
        </is>
      </c>
    </row>
    <row r="338" ht="10" customHeight="1">
      <c r="A338" s="7" t="inlineStr">
        <is>
          <t>SCN</t>
        </is>
      </c>
      <c r="B338" s="7" t="inlineStr">
        <is>
          <t>Procurement</t>
        </is>
      </c>
      <c r="D338" s="7" t="inlineStr">
        <is>
          <t>COLUMBIA Class Submarine - P-10 - ORDNANCE SWS SHIPBOARD SYSTEMS (12) - CONTINUOUS PRODUCTION - SSBN 830</t>
        </is>
      </c>
      <c r="E338" s="13" t="inlineStr">
        <is>
          <t>[SUB]</t>
        </is>
      </c>
      <c r="F338" s="7" t="inlineStr">
        <is>
          <t>1045 / COLUMBIA Class Submarine AP</t>
        </is>
      </c>
      <c r="I338" s="14" t="n">
        <v>1</v>
      </c>
      <c r="J338" s="7" t="inlineStr">
        <is>
          <t>Advance procurement / LLTM</t>
        </is>
      </c>
      <c r="K338" s="13" t="inlineStr">
        <is>
          <t>USN</t>
        </is>
      </c>
      <c r="L338" s="7" t="inlineStr">
        <is>
          <t>Combatant Ships</t>
        </is>
      </c>
      <c r="M338" s="7" t="inlineStr">
        <is>
          <t>Submarines</t>
        </is>
      </c>
      <c r="N338" s="7" t="inlineStr">
        <is>
          <t>SSBN</t>
        </is>
      </c>
      <c r="O338" s="15" t="n"/>
      <c r="S338" s="16" t="n">
        <v>6000</v>
      </c>
      <c r="U338" s="16" t="n">
        <v>6000</v>
      </c>
      <c r="AC338" s="23">
        <f>IF(OR(E338="",E338="[PARENT]"),"ADD",IF(E338="[ALT_VIEW]","ALT",""))</f>
        <v/>
      </c>
      <c r="AD338" s="21">
        <f>IF(Y338&lt;&gt;"",Y338,IF(U338&lt;&gt;"",U338,S338))</f>
        <v/>
      </c>
      <c r="AE338" s="21">
        <f>IF(AB338&lt;&gt;"",AB338,Z338)</f>
        <v/>
      </c>
      <c r="AF338" s="13" t="inlineStr">
        <is>
          <t>P-10 &gt; COLUMBIA Class Submarine &gt; ORDNANCE SWS SHIPBOARD SYSTEMS (12) - CONTINUOUS PRODUCTION - SSBN 830</t>
        </is>
      </c>
      <c r="AG338" s="7" t="inlineStr">
        <is>
          <t>66</t>
        </is>
      </c>
      <c r="AH338" s="7" t="inlineStr">
        <is>
          <t>1045</t>
        </is>
      </c>
    </row>
    <row r="339" ht="10" customHeight="1">
      <c r="A339" s="7" t="inlineStr">
        <is>
          <t>SCN</t>
        </is>
      </c>
      <c r="B339" s="7" t="inlineStr">
        <is>
          <t>Procurement</t>
        </is>
      </c>
      <c r="D339" s="7" t="inlineStr">
        <is>
          <t>COLUMBIA Class Submarine - P-10 - ORDNANCE SWS SHIPBOARD SYSTEMS (12) - CONTINUOUS PRODUCTION - SSBN 831</t>
        </is>
      </c>
      <c r="E339" s="13" t="inlineStr">
        <is>
          <t>[SUB]</t>
        </is>
      </c>
      <c r="F339" s="7" t="inlineStr">
        <is>
          <t>1045 / COLUMBIA Class Submarine AP</t>
        </is>
      </c>
      <c r="I339" s="14" t="n">
        <v>1</v>
      </c>
      <c r="J339" s="7" t="inlineStr">
        <is>
          <t>Advance procurement / LLTM</t>
        </is>
      </c>
      <c r="K339" s="13" t="inlineStr">
        <is>
          <t>USN</t>
        </is>
      </c>
      <c r="L339" s="7" t="inlineStr">
        <is>
          <t>Combatant Ships</t>
        </is>
      </c>
      <c r="M339" s="7" t="inlineStr">
        <is>
          <t>Submarines</t>
        </is>
      </c>
      <c r="N339" s="7" t="inlineStr">
        <is>
          <t>SSBN</t>
        </is>
      </c>
      <c r="O339" s="15" t="n"/>
      <c r="S339" s="16" t="n">
        <v>39441</v>
      </c>
      <c r="U339" s="16" t="n">
        <v>39441</v>
      </c>
      <c r="AC339" s="23">
        <f>IF(OR(E339="",E339="[PARENT]"),"ADD",IF(E339="[ALT_VIEW]","ALT",""))</f>
        <v/>
      </c>
      <c r="AD339" s="21">
        <f>IF(Y339&lt;&gt;"",Y339,IF(U339&lt;&gt;"",U339,S339))</f>
        <v/>
      </c>
      <c r="AE339" s="21">
        <f>IF(AB339&lt;&gt;"",AB339,Z339)</f>
        <v/>
      </c>
      <c r="AF339" s="13" t="inlineStr">
        <is>
          <t>P-10 &gt; COLUMBIA Class Submarine &gt; ORDNANCE SWS SHIPBOARD SYSTEMS (12) - CONTINUOUS PRODUCTION - SSBN 831</t>
        </is>
      </c>
      <c r="AG339" s="7" t="inlineStr">
        <is>
          <t>66</t>
        </is>
      </c>
      <c r="AH339" s="7" t="inlineStr">
        <is>
          <t>1045</t>
        </is>
      </c>
    </row>
    <row r="340" ht="10" customHeight="1">
      <c r="A340" s="7" t="inlineStr">
        <is>
          <t>SCN</t>
        </is>
      </c>
      <c r="B340" s="7" t="inlineStr">
        <is>
          <t>Procurement</t>
        </is>
      </c>
      <c r="D340" s="7" t="inlineStr">
        <is>
          <t>COLUMBIA Class Submarine - P-10 - SSBN 832</t>
        </is>
      </c>
      <c r="E340" s="13" t="inlineStr">
        <is>
          <t>[SUB]</t>
        </is>
      </c>
      <c r="F340" s="7" t="inlineStr">
        <is>
          <t>1045 / COLUMBIA Class Submarine AP</t>
        </is>
      </c>
      <c r="I340" s="14" t="n">
        <v>1</v>
      </c>
      <c r="J340" s="7" t="inlineStr">
        <is>
          <t>Advance procurement / LLTM</t>
        </is>
      </c>
      <c r="K340" s="13" t="inlineStr">
        <is>
          <t>USN</t>
        </is>
      </c>
      <c r="L340" s="7" t="inlineStr">
        <is>
          <t>Combatant Ships</t>
        </is>
      </c>
      <c r="M340" s="7" t="inlineStr">
        <is>
          <t>Submarines</t>
        </is>
      </c>
      <c r="N340" s="7" t="inlineStr">
        <is>
          <t>SSBN</t>
        </is>
      </c>
      <c r="O340" s="15" t="n"/>
      <c r="S340" s="16" t="n">
        <v>32778</v>
      </c>
      <c r="U340" s="16" t="n">
        <v>32778</v>
      </c>
      <c r="AC340" s="23">
        <f>IF(OR(E340="",E340="[PARENT]"),"ADD",IF(E340="[ALT_VIEW]","ALT",""))</f>
        <v/>
      </c>
      <c r="AD340" s="21">
        <f>IF(Y340&lt;&gt;"",Y340,IF(U340&lt;&gt;"",U340,S340))</f>
        <v/>
      </c>
      <c r="AE340" s="21">
        <f>IF(AB340&lt;&gt;"",AB340,Z340)</f>
        <v/>
      </c>
      <c r="AF340" s="13" t="inlineStr">
        <is>
          <t>P-10 &gt; COLUMBIA Class Submarine &gt; SSBN 832</t>
        </is>
      </c>
      <c r="AG340" s="7" t="inlineStr">
        <is>
          <t>67</t>
        </is>
      </c>
      <c r="AH340" s="7" t="inlineStr">
        <is>
          <t>1045</t>
        </is>
      </c>
    </row>
    <row r="341" ht="10" customHeight="1">
      <c r="A341" s="7" t="inlineStr">
        <is>
          <t>SCN</t>
        </is>
      </c>
      <c r="B341" s="7" t="inlineStr">
        <is>
          <t>Procurement</t>
        </is>
      </c>
      <c r="D341" s="7" t="inlineStr">
        <is>
          <t>COLUMBIA Class Submarine - P-10 - SSBN 833</t>
        </is>
      </c>
      <c r="E341" s="13" t="inlineStr">
        <is>
          <t>[SUB]</t>
        </is>
      </c>
      <c r="F341" s="7" t="inlineStr">
        <is>
          <t>1045 / COLUMBIA Class Submarine AP</t>
        </is>
      </c>
      <c r="I341" s="14" t="n">
        <v>1</v>
      </c>
      <c r="J341" s="7" t="inlineStr">
        <is>
          <t>Advance procurement / LLTM</t>
        </is>
      </c>
      <c r="K341" s="13" t="inlineStr">
        <is>
          <t>USN</t>
        </is>
      </c>
      <c r="L341" s="7" t="inlineStr">
        <is>
          <t>Combatant Ships</t>
        </is>
      </c>
      <c r="M341" s="7" t="inlineStr">
        <is>
          <t>Submarines</t>
        </is>
      </c>
      <c r="N341" s="7" t="inlineStr">
        <is>
          <t>SSBN</t>
        </is>
      </c>
      <c r="O341" s="15" t="n"/>
      <c r="S341" s="16" t="n">
        <v>5998</v>
      </c>
      <c r="U341" s="16" t="n">
        <v>5998</v>
      </c>
      <c r="AC341" s="23">
        <f>IF(OR(E341="",E341="[PARENT]"),"ADD",IF(E341="[ALT_VIEW]","ALT",""))</f>
        <v/>
      </c>
      <c r="AD341" s="21">
        <f>IF(Y341&lt;&gt;"",Y341,IF(U341&lt;&gt;"",U341,S341))</f>
        <v/>
      </c>
      <c r="AE341" s="21">
        <f>IF(AB341&lt;&gt;"",AB341,Z341)</f>
        <v/>
      </c>
      <c r="AF341" s="13" t="inlineStr">
        <is>
          <t>P-10 &gt; COLUMBIA Class Submarine &gt; SSBN 833</t>
        </is>
      </c>
      <c r="AG341" s="7" t="inlineStr">
        <is>
          <t>67</t>
        </is>
      </c>
      <c r="AH341" s="7" t="inlineStr">
        <is>
          <t>1045</t>
        </is>
      </c>
    </row>
    <row r="342" ht="10" customHeight="1">
      <c r="A342" s="7" t="inlineStr">
        <is>
          <t>SCN</t>
        </is>
      </c>
      <c r="B342" s="7" t="inlineStr">
        <is>
          <t>Procurement</t>
        </is>
      </c>
      <c r="D342" s="7" t="inlineStr">
        <is>
          <t>COLUMBIA Class Submarine - P-10 - SSBN 834</t>
        </is>
      </c>
      <c r="E342" s="13" t="inlineStr">
        <is>
          <t>[SUB]</t>
        </is>
      </c>
      <c r="F342" s="7" t="inlineStr">
        <is>
          <t>1045 / COLUMBIA Class Submarine AP</t>
        </is>
      </c>
      <c r="I342" s="14" t="n">
        <v>1</v>
      </c>
      <c r="J342" s="7" t="inlineStr">
        <is>
          <t>Advance procurement / LLTM</t>
        </is>
      </c>
      <c r="K342" s="13" t="inlineStr">
        <is>
          <t>USN</t>
        </is>
      </c>
      <c r="L342" s="7" t="inlineStr">
        <is>
          <t>Combatant Ships</t>
        </is>
      </c>
      <c r="M342" s="7" t="inlineStr">
        <is>
          <t>Submarines</t>
        </is>
      </c>
      <c r="N342" s="7" t="inlineStr">
        <is>
          <t>SSBN</t>
        </is>
      </c>
      <c r="O342" s="15" t="n"/>
      <c r="S342" s="16" t="n">
        <v>7721</v>
      </c>
      <c r="U342" s="16" t="n">
        <v>7721</v>
      </c>
      <c r="AC342" s="23">
        <f>IF(OR(E342="",E342="[PARENT]"),"ADD",IF(E342="[ALT_VIEW]","ALT",""))</f>
        <v/>
      </c>
      <c r="AD342" s="21">
        <f>IF(Y342&lt;&gt;"",Y342,IF(U342&lt;&gt;"",U342,S342))</f>
        <v/>
      </c>
      <c r="AE342" s="21">
        <f>IF(AB342&lt;&gt;"",AB342,Z342)</f>
        <v/>
      </c>
      <c r="AF342" s="13" t="inlineStr">
        <is>
          <t>P-10 &gt; COLUMBIA Class Submarine &gt; SSBN 834</t>
        </is>
      </c>
      <c r="AG342" s="7" t="inlineStr">
        <is>
          <t>67</t>
        </is>
      </c>
      <c r="AH342" s="7" t="inlineStr">
        <is>
          <t>1045</t>
        </is>
      </c>
    </row>
    <row r="343" ht="10" customHeight="1">
      <c r="A343" s="7" t="inlineStr">
        <is>
          <t>SCN</t>
        </is>
      </c>
      <c r="B343" s="7" t="inlineStr">
        <is>
          <t>Procurement</t>
        </is>
      </c>
      <c r="D343" s="7" t="inlineStr">
        <is>
          <t>COLUMBIA Class Submarine - P-10 - SSBN 835</t>
        </is>
      </c>
      <c r="E343" s="13" t="inlineStr">
        <is>
          <t>[SUB]</t>
        </is>
      </c>
      <c r="F343" s="7" t="inlineStr">
        <is>
          <t>1045 / COLUMBIA Class Submarine AP</t>
        </is>
      </c>
      <c r="I343" s="14" t="n">
        <v>1</v>
      </c>
      <c r="J343" s="7" t="inlineStr">
        <is>
          <t>Advance procurement / LLTM</t>
        </is>
      </c>
      <c r="K343" s="13" t="inlineStr">
        <is>
          <t>USN</t>
        </is>
      </c>
      <c r="L343" s="7" t="inlineStr">
        <is>
          <t>Combatant Ships</t>
        </is>
      </c>
      <c r="M343" s="7" t="inlineStr">
        <is>
          <t>Submarines</t>
        </is>
      </c>
      <c r="N343" s="7" t="inlineStr">
        <is>
          <t>SSBN</t>
        </is>
      </c>
      <c r="O343" s="15" t="n"/>
      <c r="S343" s="16" t="n">
        <v>8891</v>
      </c>
      <c r="U343" s="16" t="n">
        <v>8891</v>
      </c>
      <c r="AC343" s="23">
        <f>IF(OR(E343="",E343="[PARENT]"),"ADD",IF(E343="[ALT_VIEW]","ALT",""))</f>
        <v/>
      </c>
      <c r="AD343" s="21">
        <f>IF(Y343&lt;&gt;"",Y343,IF(U343&lt;&gt;"",U343,S343))</f>
        <v/>
      </c>
      <c r="AE343" s="21">
        <f>IF(AB343&lt;&gt;"",AB343,Z343)</f>
        <v/>
      </c>
      <c r="AF343" s="13" t="inlineStr">
        <is>
          <t>P-10 &gt; COLUMBIA Class Submarine &gt; SSBN 835</t>
        </is>
      </c>
      <c r="AG343" s="7" t="inlineStr">
        <is>
          <t>67</t>
        </is>
      </c>
      <c r="AH343" s="7" t="inlineStr">
        <is>
          <t>1045</t>
        </is>
      </c>
    </row>
    <row r="344" ht="10" customHeight="1">
      <c r="A344" s="7" t="inlineStr">
        <is>
          <t>SCN</t>
        </is>
      </c>
      <c r="B344" s="7" t="inlineStr">
        <is>
          <t>Procurement</t>
        </is>
      </c>
      <c r="D344" s="7" t="inlineStr">
        <is>
          <t>COLUMBIA Class Submarine - P-10 - ELECTRONICS (13) - SSBN 828</t>
        </is>
      </c>
      <c r="E344" s="13" t="inlineStr">
        <is>
          <t>[SUB]</t>
        </is>
      </c>
      <c r="F344" s="7" t="inlineStr">
        <is>
          <t>1045 / COLUMBIA Class Submarine AP</t>
        </is>
      </c>
      <c r="I344" s="14" t="n">
        <v>1</v>
      </c>
      <c r="J344" s="7" t="inlineStr">
        <is>
          <t>Advance procurement / LLTM</t>
        </is>
      </c>
      <c r="K344" s="13" t="inlineStr">
        <is>
          <t>USN</t>
        </is>
      </c>
      <c r="L344" s="7" t="inlineStr">
        <is>
          <t>Combatant Ships</t>
        </is>
      </c>
      <c r="M344" s="7" t="inlineStr">
        <is>
          <t>Submarines</t>
        </is>
      </c>
      <c r="N344" s="7" t="inlineStr">
        <is>
          <t>SSBN</t>
        </is>
      </c>
      <c r="O344" s="15" t="n"/>
      <c r="S344" s="16" t="n">
        <v>0</v>
      </c>
      <c r="U344" s="16" t="n">
        <v>0</v>
      </c>
      <c r="AC344" s="23">
        <f>IF(OR(E344="",E344="[PARENT]"),"ADD",IF(E344="[ALT_VIEW]","ALT",""))</f>
        <v/>
      </c>
      <c r="AD344" s="21">
        <f>IF(Y344&lt;&gt;"",Y344,IF(U344&lt;&gt;"",U344,S344))</f>
        <v/>
      </c>
      <c r="AE344" s="21">
        <f>IF(AB344&lt;&gt;"",AB344,Z344)</f>
        <v/>
      </c>
      <c r="AF344" s="13" t="inlineStr">
        <is>
          <t>P-10 &gt; COLUMBIA Class Submarine &gt; ELECTRONICS (13) - SSBN 828</t>
        </is>
      </c>
      <c r="AG344" s="7" t="inlineStr">
        <is>
          <t>67</t>
        </is>
      </c>
      <c r="AH344" s="7" t="inlineStr">
        <is>
          <t>1045</t>
        </is>
      </c>
    </row>
    <row r="345" ht="10" customHeight="1">
      <c r="A345" s="7" t="inlineStr">
        <is>
          <t>SCN</t>
        </is>
      </c>
      <c r="B345" s="7" t="inlineStr">
        <is>
          <t>Procurement</t>
        </is>
      </c>
      <c r="D345" s="7" t="inlineStr">
        <is>
          <t>COLUMBIA Class Submarine - P-10 - ELECTRONICS (13) - SSBN 829</t>
        </is>
      </c>
      <c r="E345" s="13" t="inlineStr">
        <is>
          <t>[SUB]</t>
        </is>
      </c>
      <c r="F345" s="7" t="inlineStr">
        <is>
          <t>1045 / COLUMBIA Class Submarine AP</t>
        </is>
      </c>
      <c r="I345" s="14" t="n">
        <v>1</v>
      </c>
      <c r="J345" s="7" t="inlineStr">
        <is>
          <t>Advance procurement / LLTM</t>
        </is>
      </c>
      <c r="K345" s="13" t="inlineStr">
        <is>
          <t>USN</t>
        </is>
      </c>
      <c r="L345" s="7" t="inlineStr">
        <is>
          <t>Combatant Ships</t>
        </is>
      </c>
      <c r="M345" s="7" t="inlineStr">
        <is>
          <t>Submarines</t>
        </is>
      </c>
      <c r="N345" s="7" t="inlineStr">
        <is>
          <t>SSBN</t>
        </is>
      </c>
      <c r="O345" s="15" t="n"/>
      <c r="S345" s="16" t="n">
        <v>85951</v>
      </c>
      <c r="U345" s="16" t="n">
        <v>85951</v>
      </c>
      <c r="AC345" s="23">
        <f>IF(OR(E345="",E345="[PARENT]"),"ADD",IF(E345="[ALT_VIEW]","ALT",""))</f>
        <v/>
      </c>
      <c r="AD345" s="21">
        <f>IF(Y345&lt;&gt;"",Y345,IF(U345&lt;&gt;"",U345,S345))</f>
        <v/>
      </c>
      <c r="AE345" s="21">
        <f>IF(AB345&lt;&gt;"",AB345,Z345)</f>
        <v/>
      </c>
      <c r="AF345" s="13" t="inlineStr">
        <is>
          <t>P-10 &gt; COLUMBIA Class Submarine &gt; ELECTRONICS (13) - SSBN 829</t>
        </is>
      </c>
      <c r="AG345" s="7" t="inlineStr">
        <is>
          <t>67</t>
        </is>
      </c>
      <c r="AH345" s="7" t="inlineStr">
        <is>
          <t>1045</t>
        </is>
      </c>
    </row>
    <row r="346" ht="10" customHeight="1">
      <c r="A346" s="7" t="inlineStr">
        <is>
          <t>SCN</t>
        </is>
      </c>
      <c r="B346" s="7" t="inlineStr">
        <is>
          <t>Procurement</t>
        </is>
      </c>
      <c r="D346" s="7" t="inlineStr">
        <is>
          <t>COLUMBIA Class Submarine - P-10 - ELECTRONICS (13) - SSBN 829</t>
        </is>
      </c>
      <c r="E346" s="13" t="inlineStr">
        <is>
          <t>[SUB]</t>
        </is>
      </c>
      <c r="F346" s="7" t="inlineStr">
        <is>
          <t>1045 / COLUMBIA Class Submarine AP</t>
        </is>
      </c>
      <c r="I346" s="14" t="n">
        <v>1</v>
      </c>
      <c r="J346" s="7" t="inlineStr">
        <is>
          <t>Advance procurement / LLTM</t>
        </is>
      </c>
      <c r="K346" s="13" t="inlineStr">
        <is>
          <t>USN</t>
        </is>
      </c>
      <c r="L346" s="7" t="inlineStr">
        <is>
          <t>Combatant Ships</t>
        </is>
      </c>
      <c r="M346" s="7" t="inlineStr">
        <is>
          <t>Submarines</t>
        </is>
      </c>
      <c r="N346" s="7" t="inlineStr">
        <is>
          <t>SSBN</t>
        </is>
      </c>
      <c r="O346" s="15" t="n"/>
      <c r="S346" s="16" t="n">
        <v>0</v>
      </c>
      <c r="U346" s="16" t="n">
        <v>0</v>
      </c>
      <c r="AC346" s="23">
        <f>IF(OR(E346="",E346="[PARENT]"),"ADD",IF(E346="[ALT_VIEW]","ALT",""))</f>
        <v/>
      </c>
      <c r="AD346" s="21">
        <f>IF(Y346&lt;&gt;"",Y346,IF(U346&lt;&gt;"",U346,S346))</f>
        <v/>
      </c>
      <c r="AE346" s="21">
        <f>IF(AB346&lt;&gt;"",AB346,Z346)</f>
        <v/>
      </c>
      <c r="AF346" s="13" t="inlineStr">
        <is>
          <t>P-10 &gt; COLUMBIA Class Submarine &gt; ELECTRONICS (13) - SSBN 829</t>
        </is>
      </c>
      <c r="AG346" s="7" t="inlineStr">
        <is>
          <t>67</t>
        </is>
      </c>
      <c r="AH346" s="7" t="inlineStr">
        <is>
          <t>1045</t>
        </is>
      </c>
    </row>
    <row r="347" ht="10" customHeight="1">
      <c r="A347" s="7" t="inlineStr">
        <is>
          <t>SCN</t>
        </is>
      </c>
      <c r="B347" s="7" t="inlineStr">
        <is>
          <t>Procurement</t>
        </is>
      </c>
      <c r="D347" s="7" t="inlineStr">
        <is>
          <t>COLUMBIA Class Submarine - P-10 - ELECTRONICS (13) - SSBN 830</t>
        </is>
      </c>
      <c r="E347" s="13" t="inlineStr">
        <is>
          <t>[SUB]</t>
        </is>
      </c>
      <c r="F347" s="7" t="inlineStr">
        <is>
          <t>1045 / COLUMBIA Class Submarine AP</t>
        </is>
      </c>
      <c r="I347" s="14" t="n">
        <v>1</v>
      </c>
      <c r="J347" s="7" t="inlineStr">
        <is>
          <t>Advance procurement / LLTM</t>
        </is>
      </c>
      <c r="K347" s="13" t="inlineStr">
        <is>
          <t>USN</t>
        </is>
      </c>
      <c r="L347" s="7" t="inlineStr">
        <is>
          <t>Combatant Ships</t>
        </is>
      </c>
      <c r="M347" s="7" t="inlineStr">
        <is>
          <t>Submarines</t>
        </is>
      </c>
      <c r="N347" s="7" t="inlineStr">
        <is>
          <t>SSBN</t>
        </is>
      </c>
      <c r="O347" s="15" t="n"/>
      <c r="S347" s="16" t="n">
        <v>0</v>
      </c>
      <c r="U347" s="16" t="n">
        <v>0</v>
      </c>
      <c r="AC347" s="23">
        <f>IF(OR(E347="",E347="[PARENT]"),"ADD",IF(E347="[ALT_VIEW]","ALT",""))</f>
        <v/>
      </c>
      <c r="AD347" s="21">
        <f>IF(Y347&lt;&gt;"",Y347,IF(U347&lt;&gt;"",U347,S347))</f>
        <v/>
      </c>
      <c r="AE347" s="21">
        <f>IF(AB347&lt;&gt;"",AB347,Z347)</f>
        <v/>
      </c>
      <c r="AF347" s="13" t="inlineStr">
        <is>
          <t>P-10 &gt; COLUMBIA Class Submarine &gt; ELECTRONICS (13) - SSBN 830</t>
        </is>
      </c>
      <c r="AG347" s="7" t="inlineStr">
        <is>
          <t>67</t>
        </is>
      </c>
      <c r="AH347" s="7" t="inlineStr">
        <is>
          <t>1045</t>
        </is>
      </c>
    </row>
    <row r="348" ht="10" customHeight="1">
      <c r="A348" s="7" t="inlineStr">
        <is>
          <t>SCN</t>
        </is>
      </c>
      <c r="B348" s="7" t="inlineStr">
        <is>
          <t>Procurement</t>
        </is>
      </c>
      <c r="D348" s="7" t="inlineStr">
        <is>
          <t>Carrier Replacement Program - P-5c - Plan Costs</t>
        </is>
      </c>
      <c r="E348" s="13" t="inlineStr">
        <is>
          <t>[ALT_VIEW]</t>
        </is>
      </c>
      <c r="F348" s="7" t="inlineStr">
        <is>
          <t>2001 / Carrier Replacement Program</t>
        </is>
      </c>
      <c r="G348" s="7" t="inlineStr">
        <is>
          <t>P-5c</t>
        </is>
      </c>
      <c r="H348" s="7" t="inlineStr">
        <is>
          <t>Plan Costs</t>
        </is>
      </c>
      <c r="I348" s="14" t="n">
        <v>1</v>
      </c>
      <c r="J348" s="7" t="inlineStr">
        <is>
          <t>Full ship DD&amp;C</t>
        </is>
      </c>
      <c r="K348" s="13" t="inlineStr">
        <is>
          <t>USN</t>
        </is>
      </c>
      <c r="L348" s="7" t="inlineStr">
        <is>
          <t>Combatant Ships</t>
        </is>
      </c>
      <c r="M348" s="7" t="inlineStr">
        <is>
          <t>Aircraft Carriers</t>
        </is>
      </c>
      <c r="N348" s="7" t="inlineStr">
        <is>
          <t>CVN</t>
        </is>
      </c>
      <c r="O348" s="15" t="n"/>
      <c r="P348" s="16" t="n">
        <v>898865</v>
      </c>
      <c r="S348" s="16" t="n">
        <v>433200</v>
      </c>
      <c r="U348" s="16" t="n">
        <v>433200</v>
      </c>
      <c r="AC348" s="23">
        <f>IF(OR(E348="",E348="[PARENT]"),"ADD",IF(E348="[ALT_VIEW]","ALT",""))</f>
        <v/>
      </c>
      <c r="AD348" s="21">
        <f>IF(Y348&lt;&gt;"",Y348,IF(U348&lt;&gt;"",U348,S348))</f>
        <v/>
      </c>
      <c r="AE348" s="21">
        <f>IF(AB348&lt;&gt;"",AB348,Z348)</f>
        <v/>
      </c>
      <c r="AF348" s="13" t="inlineStr">
        <is>
          <t>P-5c &gt; Carrier Replacement Program &gt; Plan Costs</t>
        </is>
      </c>
      <c r="AG348" s="7" t="inlineStr">
        <is>
          <t>75</t>
        </is>
      </c>
      <c r="AH348" s="7" t="inlineStr">
        <is>
          <t>2001</t>
        </is>
      </c>
      <c r="AJ348" s="7" t="inlineStr">
        <is>
          <t>Plan</t>
        </is>
      </c>
    </row>
    <row r="349" ht="10" customHeight="1">
      <c r="A349" s="7" t="inlineStr">
        <is>
          <t>SCN</t>
        </is>
      </c>
      <c r="B349" s="7" t="inlineStr">
        <is>
          <t>Procurement</t>
        </is>
      </c>
      <c r="D349" s="7" t="inlineStr">
        <is>
          <t>Carrier Replacement Program - P-5c - Basic Construction</t>
        </is>
      </c>
      <c r="E349" s="13" t="inlineStr">
        <is>
          <t>[ALT_VIEW]</t>
        </is>
      </c>
      <c r="F349" s="7" t="inlineStr">
        <is>
          <t>2001 / Carrier Replacement Program</t>
        </is>
      </c>
      <c r="G349" s="7" t="inlineStr">
        <is>
          <t>P-5c</t>
        </is>
      </c>
      <c r="H349" s="7" t="inlineStr">
        <is>
          <t>Basic Construction</t>
        </is>
      </c>
      <c r="I349" s="14" t="n">
        <v>1</v>
      </c>
      <c r="J349" s="7" t="inlineStr">
        <is>
          <t>Full ship DD&amp;C</t>
        </is>
      </c>
      <c r="K349" s="13" t="inlineStr">
        <is>
          <t>USN</t>
        </is>
      </c>
      <c r="L349" s="7" t="inlineStr">
        <is>
          <t>Combatant Ships</t>
        </is>
      </c>
      <c r="M349" s="7" t="inlineStr">
        <is>
          <t>Aircraft Carriers</t>
        </is>
      </c>
      <c r="N349" s="7" t="inlineStr">
        <is>
          <t>CVN</t>
        </is>
      </c>
      <c r="O349" s="15" t="n"/>
      <c r="P349" s="16" t="n">
        <v>8275549</v>
      </c>
      <c r="S349" s="16" t="n">
        <v>9054331</v>
      </c>
      <c r="U349" s="16" t="n">
        <v>9054331</v>
      </c>
      <c r="AC349" s="23">
        <f>IF(OR(E349="",E349="[PARENT]"),"ADD",IF(E349="[ALT_VIEW]","ALT",""))</f>
        <v/>
      </c>
      <c r="AD349" s="21">
        <f>IF(Y349&lt;&gt;"",Y349,IF(U349&lt;&gt;"",U349,S349))</f>
        <v/>
      </c>
      <c r="AE349" s="21">
        <f>IF(AB349&lt;&gt;"",AB349,Z349)</f>
        <v/>
      </c>
      <c r="AF349" s="13" t="inlineStr">
        <is>
          <t>P-5c &gt; Carrier Replacement Program &gt; Basic Construction</t>
        </is>
      </c>
      <c r="AG349" s="7" t="inlineStr">
        <is>
          <t>75</t>
        </is>
      </c>
      <c r="AH349" s="7" t="inlineStr">
        <is>
          <t>2001</t>
        </is>
      </c>
      <c r="AJ349" s="7" t="inlineStr">
        <is>
          <t>Basic Construction</t>
        </is>
      </c>
    </row>
    <row r="350" ht="10" customHeight="1">
      <c r="A350" s="7" t="inlineStr">
        <is>
          <t>SCN</t>
        </is>
      </c>
      <c r="B350" s="7" t="inlineStr">
        <is>
          <t>Procurement</t>
        </is>
      </c>
      <c r="D350" s="7" t="inlineStr">
        <is>
          <t>Carrier Replacement Program - P-5c - Change Orders</t>
        </is>
      </c>
      <c r="E350" s="13" t="inlineStr">
        <is>
          <t>[ALT_VIEW]</t>
        </is>
      </c>
      <c r="F350" s="7" t="inlineStr">
        <is>
          <t>2001 / Carrier Replacement Program</t>
        </is>
      </c>
      <c r="G350" s="7" t="inlineStr">
        <is>
          <t>P-5c</t>
        </is>
      </c>
      <c r="H350" s="7" t="inlineStr">
        <is>
          <t>Change Orders</t>
        </is>
      </c>
      <c r="I350" s="14" t="n">
        <v>1</v>
      </c>
      <c r="J350" s="7" t="inlineStr">
        <is>
          <t>Full ship DD&amp;C</t>
        </is>
      </c>
      <c r="K350" s="13" t="inlineStr">
        <is>
          <t>USN</t>
        </is>
      </c>
      <c r="L350" s="7" t="inlineStr">
        <is>
          <t>Combatant Ships</t>
        </is>
      </c>
      <c r="M350" s="7" t="inlineStr">
        <is>
          <t>Aircraft Carriers</t>
        </is>
      </c>
      <c r="N350" s="7" t="inlineStr">
        <is>
          <t>CVN</t>
        </is>
      </c>
      <c r="O350" s="15" t="n"/>
      <c r="P350" s="16" t="n">
        <v>412753</v>
      </c>
      <c r="S350" s="16" t="n">
        <v>284992</v>
      </c>
      <c r="U350" s="16" t="n">
        <v>284992</v>
      </c>
      <c r="AC350" s="23">
        <f>IF(OR(E350="",E350="[PARENT]"),"ADD",IF(E350="[ALT_VIEW]","ALT",""))</f>
        <v/>
      </c>
      <c r="AD350" s="21">
        <f>IF(Y350&lt;&gt;"",Y350,IF(U350&lt;&gt;"",U350,S350))</f>
        <v/>
      </c>
      <c r="AE350" s="21">
        <f>IF(AB350&lt;&gt;"",AB350,Z350)</f>
        <v/>
      </c>
      <c r="AF350" s="13" t="inlineStr">
        <is>
          <t>P-5c &gt; Carrier Replacement Program &gt; Change Orders</t>
        </is>
      </c>
      <c r="AG350" s="7" t="inlineStr">
        <is>
          <t>75</t>
        </is>
      </c>
      <c r="AH350" s="7" t="inlineStr">
        <is>
          <t>2001</t>
        </is>
      </c>
      <c r="AJ350" s="7" t="inlineStr">
        <is>
          <t>Change Orders</t>
        </is>
      </c>
    </row>
    <row r="351" ht="10" customHeight="1">
      <c r="A351" s="7" t="inlineStr">
        <is>
          <t>SCN</t>
        </is>
      </c>
      <c r="B351" s="7" t="inlineStr">
        <is>
          <t>Procurement</t>
        </is>
      </c>
      <c r="D351" s="7" t="inlineStr">
        <is>
          <t>Carrier Replacement Program - P-5c - Electronics</t>
        </is>
      </c>
      <c r="E351" s="13" t="inlineStr">
        <is>
          <t>[ALT_VIEW]</t>
        </is>
      </c>
      <c r="F351" s="7" t="inlineStr">
        <is>
          <t>2001 / Carrier Replacement Program</t>
        </is>
      </c>
      <c r="G351" s="7" t="inlineStr">
        <is>
          <t>P-5c</t>
        </is>
      </c>
      <c r="H351" s="7" t="inlineStr">
        <is>
          <t>Electronics</t>
        </is>
      </c>
      <c r="I351" s="14" t="n">
        <v>1</v>
      </c>
      <c r="J351" s="7" t="inlineStr">
        <is>
          <t>Full ship DD&amp;C</t>
        </is>
      </c>
      <c r="K351" s="13" t="inlineStr">
        <is>
          <t>USN</t>
        </is>
      </c>
      <c r="L351" s="7" t="inlineStr">
        <is>
          <t>Combatant Ships</t>
        </is>
      </c>
      <c r="M351" s="7" t="inlineStr">
        <is>
          <t>Aircraft Carriers</t>
        </is>
      </c>
      <c r="N351" s="7" t="inlineStr">
        <is>
          <t>CVN</t>
        </is>
      </c>
      <c r="O351" s="15" t="n"/>
      <c r="P351" s="16" t="n">
        <v>266941</v>
      </c>
      <c r="S351" s="16" t="n">
        <v>396759</v>
      </c>
      <c r="U351" s="16" t="n">
        <v>396759</v>
      </c>
      <c r="AC351" s="23">
        <f>IF(OR(E351="",E351="[PARENT]"),"ADD",IF(E351="[ALT_VIEW]","ALT",""))</f>
        <v/>
      </c>
      <c r="AD351" s="21">
        <f>IF(Y351&lt;&gt;"",Y351,IF(U351&lt;&gt;"",U351,S351))</f>
        <v/>
      </c>
      <c r="AE351" s="21">
        <f>IF(AB351&lt;&gt;"",AB351,Z351)</f>
        <v/>
      </c>
      <c r="AF351" s="13" t="inlineStr">
        <is>
          <t>P-5c &gt; Carrier Replacement Program &gt; Electronics</t>
        </is>
      </c>
      <c r="AG351" s="7" t="inlineStr">
        <is>
          <t>75</t>
        </is>
      </c>
      <c r="AH351" s="7" t="inlineStr">
        <is>
          <t>2001</t>
        </is>
      </c>
    </row>
    <row r="352" ht="10" customHeight="1">
      <c r="A352" s="7" t="inlineStr">
        <is>
          <t>SCN</t>
        </is>
      </c>
      <c r="B352" s="7" t="inlineStr">
        <is>
          <t>Procurement</t>
        </is>
      </c>
      <c r="D352" s="7" t="inlineStr">
        <is>
          <t>Carrier Replacement Program - P-5c - Propulsion Equipment</t>
        </is>
      </c>
      <c r="E352" s="13" t="inlineStr">
        <is>
          <t>[ALT_VIEW]</t>
        </is>
      </c>
      <c r="F352" s="7" t="inlineStr">
        <is>
          <t>2001 / Carrier Replacement Program</t>
        </is>
      </c>
      <c r="G352" s="7" t="inlineStr">
        <is>
          <t>P-5c</t>
        </is>
      </c>
      <c r="H352" s="7" t="inlineStr">
        <is>
          <t>Propulsion Equipment</t>
        </is>
      </c>
      <c r="I352" s="14" t="n">
        <v>1</v>
      </c>
      <c r="J352" s="7" t="inlineStr">
        <is>
          <t>Full ship DD&amp;C</t>
        </is>
      </c>
      <c r="K352" s="13" t="inlineStr">
        <is>
          <t>USN</t>
        </is>
      </c>
      <c r="L352" s="7" t="inlineStr">
        <is>
          <t>Combatant Ships</t>
        </is>
      </c>
      <c r="M352" s="7" t="inlineStr">
        <is>
          <t>Aircraft Carriers</t>
        </is>
      </c>
      <c r="N352" s="7" t="inlineStr">
        <is>
          <t>CVN</t>
        </is>
      </c>
      <c r="O352" s="15" t="n"/>
      <c r="P352" s="16" t="n">
        <v>2034582</v>
      </c>
      <c r="S352" s="16" t="n">
        <v>2524461</v>
      </c>
      <c r="U352" s="16" t="n">
        <v>2524461</v>
      </c>
      <c r="AC352" s="23">
        <f>IF(OR(E352="",E352="[PARENT]"),"ADD",IF(E352="[ALT_VIEW]","ALT",""))</f>
        <v/>
      </c>
      <c r="AD352" s="21">
        <f>IF(Y352&lt;&gt;"",Y352,IF(U352&lt;&gt;"",U352,S352))</f>
        <v/>
      </c>
      <c r="AE352" s="21">
        <f>IF(AB352&lt;&gt;"",AB352,Z352)</f>
        <v/>
      </c>
      <c r="AF352" s="13" t="inlineStr">
        <is>
          <t>P-5c &gt; Carrier Replacement Program &gt; Propulsion Equipment</t>
        </is>
      </c>
      <c r="AG352" s="7" t="inlineStr">
        <is>
          <t>75</t>
        </is>
      </c>
      <c r="AH352" s="7" t="inlineStr">
        <is>
          <t>2001</t>
        </is>
      </c>
      <c r="AJ352" s="7" t="inlineStr">
        <is>
          <t>Propulsion Equipment</t>
        </is>
      </c>
    </row>
    <row r="353" ht="10" customHeight="1">
      <c r="A353" s="7" t="inlineStr">
        <is>
          <t>SCN</t>
        </is>
      </c>
      <c r="B353" s="7" t="inlineStr">
        <is>
          <t>Procurement</t>
        </is>
      </c>
      <c r="D353" s="7" t="inlineStr">
        <is>
          <t>Carrier Replacement Program - P-5c - Hull, Mechanical, and Electrical</t>
        </is>
      </c>
      <c r="E353" s="13" t="inlineStr">
        <is>
          <t>[ALT_VIEW]</t>
        </is>
      </c>
      <c r="F353" s="7" t="inlineStr">
        <is>
          <t>2001 / Carrier Replacement Program</t>
        </is>
      </c>
      <c r="G353" s="7" t="inlineStr">
        <is>
          <t>P-5c</t>
        </is>
      </c>
      <c r="H353" s="7" t="inlineStr">
        <is>
          <t>Hull, Mechanical, and Electrical</t>
        </is>
      </c>
      <c r="I353" s="14" t="n">
        <v>1</v>
      </c>
      <c r="J353" s="7" t="inlineStr">
        <is>
          <t>Full ship DD&amp;C</t>
        </is>
      </c>
      <c r="K353" s="13" t="inlineStr">
        <is>
          <t>USN</t>
        </is>
      </c>
      <c r="L353" s="7" t="inlineStr">
        <is>
          <t>Combatant Ships</t>
        </is>
      </c>
      <c r="M353" s="7" t="inlineStr">
        <is>
          <t>Aircraft Carriers</t>
        </is>
      </c>
      <c r="N353" s="7" t="inlineStr">
        <is>
          <t>CVN</t>
        </is>
      </c>
      <c r="O353" s="15" t="n"/>
      <c r="P353" s="16" t="n">
        <v>29985</v>
      </c>
      <c r="S353" s="16" t="n">
        <v>23121</v>
      </c>
      <c r="U353" s="16" t="n">
        <v>23121</v>
      </c>
      <c r="AC353" s="23">
        <f>IF(OR(E353="",E353="[PARENT]"),"ADD",IF(E353="[ALT_VIEW]","ALT",""))</f>
        <v/>
      </c>
      <c r="AD353" s="21">
        <f>IF(Y353&lt;&gt;"",Y353,IF(U353&lt;&gt;"",U353,S353))</f>
        <v/>
      </c>
      <c r="AE353" s="21">
        <f>IF(AB353&lt;&gt;"",AB353,Z353)</f>
        <v/>
      </c>
      <c r="AF353" s="13" t="inlineStr">
        <is>
          <t>P-5c &gt; Carrier Replacement Program &gt; Hull, Mechanical, and Electrical</t>
        </is>
      </c>
      <c r="AG353" s="7" t="inlineStr">
        <is>
          <t>75</t>
        </is>
      </c>
      <c r="AH353" s="7" t="inlineStr">
        <is>
          <t>2001</t>
        </is>
      </c>
    </row>
    <row r="354" ht="10" customHeight="1">
      <c r="A354" s="7" t="inlineStr">
        <is>
          <t>SCN</t>
        </is>
      </c>
      <c r="B354" s="7" t="inlineStr">
        <is>
          <t>Procurement</t>
        </is>
      </c>
      <c r="D354" s="7" t="inlineStr">
        <is>
          <t>Carrier Replacement Program - P-5c - Ordnance</t>
        </is>
      </c>
      <c r="E354" s="13" t="inlineStr">
        <is>
          <t>[ALT_VIEW]</t>
        </is>
      </c>
      <c r="F354" s="7" t="inlineStr">
        <is>
          <t>2001 / Carrier Replacement Program</t>
        </is>
      </c>
      <c r="G354" s="7" t="inlineStr">
        <is>
          <t>P-5c</t>
        </is>
      </c>
      <c r="H354" s="7" t="inlineStr">
        <is>
          <t>Ordnance</t>
        </is>
      </c>
      <c r="I354" s="14" t="n">
        <v>1</v>
      </c>
      <c r="J354" s="7" t="inlineStr">
        <is>
          <t>Full ship DD&amp;C</t>
        </is>
      </c>
      <c r="K354" s="13" t="inlineStr">
        <is>
          <t>USN</t>
        </is>
      </c>
      <c r="L354" s="7" t="inlineStr">
        <is>
          <t>Combatant Ships</t>
        </is>
      </c>
      <c r="M354" s="7" t="inlineStr">
        <is>
          <t>Aircraft Carriers</t>
        </is>
      </c>
      <c r="N354" s="7" t="inlineStr">
        <is>
          <t>CVN</t>
        </is>
      </c>
      <c r="O354" s="15" t="n"/>
      <c r="P354" s="16" t="n">
        <v>1147050</v>
      </c>
      <c r="S354" s="16" t="n">
        <v>1404576</v>
      </c>
      <c r="U354" s="16" t="n">
        <v>1404576</v>
      </c>
      <c r="AC354" s="23">
        <f>IF(OR(E354="",E354="[PARENT]"),"ADD",IF(E354="[ALT_VIEW]","ALT",""))</f>
        <v/>
      </c>
      <c r="AD354" s="21">
        <f>IF(Y354&lt;&gt;"",Y354,IF(U354&lt;&gt;"",U354,S354))</f>
        <v/>
      </c>
      <c r="AE354" s="21">
        <f>IF(AB354&lt;&gt;"",AB354,Z354)</f>
        <v/>
      </c>
      <c r="AF354" s="13" t="inlineStr">
        <is>
          <t>P-5c &gt; Carrier Replacement Program &gt; Ordnance</t>
        </is>
      </c>
      <c r="AG354" s="7" t="inlineStr">
        <is>
          <t>75</t>
        </is>
      </c>
      <c r="AH354" s="7" t="inlineStr">
        <is>
          <t>2001</t>
        </is>
      </c>
      <c r="AJ354" s="7" t="inlineStr">
        <is>
          <t>Ordnance</t>
        </is>
      </c>
    </row>
    <row r="355" ht="10" customHeight="1">
      <c r="A355" s="7" t="inlineStr">
        <is>
          <t>SCN</t>
        </is>
      </c>
      <c r="B355" s="7" t="inlineStr">
        <is>
          <t>Procurement</t>
        </is>
      </c>
      <c r="D355" s="7" t="inlineStr">
        <is>
          <t>Carrier Replacement Program - P-5c - Other Cost</t>
        </is>
      </c>
      <c r="E355" s="13" t="inlineStr">
        <is>
          <t>[ALT_VIEW]</t>
        </is>
      </c>
      <c r="F355" s="7" t="inlineStr">
        <is>
          <t>2001 / Carrier Replacement Program</t>
        </is>
      </c>
      <c r="G355" s="7" t="inlineStr">
        <is>
          <t>P-5c</t>
        </is>
      </c>
      <c r="H355" s="7" t="inlineStr">
        <is>
          <t>Other Cost</t>
        </is>
      </c>
      <c r="I355" s="14" t="n">
        <v>1</v>
      </c>
      <c r="J355" s="7" t="inlineStr">
        <is>
          <t>Full ship DD&amp;C</t>
        </is>
      </c>
      <c r="K355" s="13" t="inlineStr">
        <is>
          <t>USN</t>
        </is>
      </c>
      <c r="L355" s="7" t="inlineStr">
        <is>
          <t>Combatant Ships</t>
        </is>
      </c>
      <c r="M355" s="7" t="inlineStr">
        <is>
          <t>Aircraft Carriers</t>
        </is>
      </c>
      <c r="N355" s="7" t="inlineStr">
        <is>
          <t>CVN</t>
        </is>
      </c>
      <c r="O355" s="15" t="n"/>
      <c r="P355" s="16" t="n">
        <v>130245</v>
      </c>
      <c r="S355" s="16" t="n">
        <v>126019</v>
      </c>
      <c r="U355" s="16" t="n">
        <v>126019</v>
      </c>
      <c r="AC355" s="23">
        <f>IF(OR(E355="",E355="[PARENT]"),"ADD",IF(E355="[ALT_VIEW]","ALT",""))</f>
        <v/>
      </c>
      <c r="AD355" s="21">
        <f>IF(Y355&lt;&gt;"",Y355,IF(U355&lt;&gt;"",U355,S355))</f>
        <v/>
      </c>
      <c r="AE355" s="21">
        <f>IF(AB355&lt;&gt;"",AB355,Z355)</f>
        <v/>
      </c>
      <c r="AF355" s="13" t="inlineStr">
        <is>
          <t>P-5c &gt; Carrier Replacement Program &gt; Other Cost</t>
        </is>
      </c>
      <c r="AG355" s="7" t="inlineStr">
        <is>
          <t>75</t>
        </is>
      </c>
      <c r="AH355" s="7" t="inlineStr">
        <is>
          <t>2001</t>
        </is>
      </c>
    </row>
    <row r="356" ht="10" customHeight="1">
      <c r="A356" s="7" t="inlineStr">
        <is>
          <t>SCN</t>
        </is>
      </c>
      <c r="B356" s="7" t="inlineStr">
        <is>
          <t>Procurement</t>
        </is>
      </c>
      <c r="D356" s="7" t="inlineStr">
        <is>
          <t>Carrier Replacement Program - P-8a Electronics - CONSOLIDATED AFLOAT NETWORK AND ENTERPRISE SERVICES (CANES) 1</t>
        </is>
      </c>
      <c r="E356" s="13" t="inlineStr">
        <is>
          <t>[ALT_VIEW]</t>
        </is>
      </c>
      <c r="F356" s="7" t="inlineStr">
        <is>
          <t>2001 / Carrier Replacement Program</t>
        </is>
      </c>
      <c r="G356" s="7" t="inlineStr">
        <is>
          <t>P-8a</t>
        </is>
      </c>
      <c r="H356" s="7" t="inlineStr">
        <is>
          <t>Electronics</t>
        </is>
      </c>
      <c r="I356" s="14" t="n">
        <v>1</v>
      </c>
      <c r="J356" s="7" t="inlineStr">
        <is>
          <t>Full ship DD&amp;C</t>
        </is>
      </c>
      <c r="K356" s="13" t="inlineStr">
        <is>
          <t>USN</t>
        </is>
      </c>
      <c r="L356" s="7" t="inlineStr">
        <is>
          <t>Combatant Ships</t>
        </is>
      </c>
      <c r="M356" s="7" t="inlineStr">
        <is>
          <t>Aircraft Carriers</t>
        </is>
      </c>
      <c r="N356" s="7" t="inlineStr">
        <is>
          <t>CVN</t>
        </is>
      </c>
      <c r="O356" s="15" t="n"/>
      <c r="P356" s="16" t="n">
        <v>19356</v>
      </c>
      <c r="S356" s="16" t="n">
        <v>22709</v>
      </c>
      <c r="U356" s="16" t="n">
        <v>22709</v>
      </c>
      <c r="AC356" s="23">
        <f>IF(OR(E356="",E356="[PARENT]"),"ADD",IF(E356="[ALT_VIEW]","ALT",""))</f>
        <v/>
      </c>
      <c r="AD356" s="21">
        <f>IF(Y356&lt;&gt;"",Y356,IF(U356&lt;&gt;"",U356,S356))</f>
        <v/>
      </c>
      <c r="AE356" s="21">
        <f>IF(AB356&lt;&gt;"",AB356,Z356)</f>
        <v/>
      </c>
      <c r="AF356" s="13" t="inlineStr">
        <is>
          <t>P-8a &gt; Carrier Replacement Program &gt; Electronics &gt; CONSOLIDATED AFLOAT NETWORK AND ENTERPRISE SERVICES (CANES) 1</t>
        </is>
      </c>
      <c r="AG356" s="7" t="inlineStr">
        <is>
          <t>78</t>
        </is>
      </c>
      <c r="AH356" s="7" t="inlineStr">
        <is>
          <t>2001</t>
        </is>
      </c>
      <c r="AJ356" s="7" t="inlineStr">
        <is>
          <t>CONSOLIDATED AFLOAT NETWORK AND ENTERPRISE SERVICES (CANES)</t>
        </is>
      </c>
    </row>
    <row r="357" ht="10" customHeight="1">
      <c r="A357" s="7" t="inlineStr">
        <is>
          <t>SCN</t>
        </is>
      </c>
      <c r="B357" s="7" t="inlineStr">
        <is>
          <t>Procurement</t>
        </is>
      </c>
      <c r="D357" s="7" t="inlineStr">
        <is>
          <t>Carrier Replacement Program - P-8a Electronics - AN/USG-2, COOPERATIVE ENGAGEMENT CAPABILITY (CEC) 1</t>
        </is>
      </c>
      <c r="E357" s="13" t="inlineStr">
        <is>
          <t>[ALT_VIEW]</t>
        </is>
      </c>
      <c r="F357" s="7" t="inlineStr">
        <is>
          <t>2001 / Carrier Replacement Program</t>
        </is>
      </c>
      <c r="G357" s="7" t="inlineStr">
        <is>
          <t>P-8a</t>
        </is>
      </c>
      <c r="H357" s="7" t="inlineStr">
        <is>
          <t>Electronics</t>
        </is>
      </c>
      <c r="I357" s="14" t="n">
        <v>1</v>
      </c>
      <c r="J357" s="7" t="inlineStr">
        <is>
          <t>Full ship DD&amp;C</t>
        </is>
      </c>
      <c r="K357" s="13" t="inlineStr">
        <is>
          <t>USN</t>
        </is>
      </c>
      <c r="L357" s="7" t="inlineStr">
        <is>
          <t>Combatant Ships</t>
        </is>
      </c>
      <c r="M357" s="7" t="inlineStr">
        <is>
          <t>Aircraft Carriers</t>
        </is>
      </c>
      <c r="N357" s="7" t="inlineStr">
        <is>
          <t>CVN</t>
        </is>
      </c>
      <c r="O357" s="15" t="n"/>
      <c r="P357" s="16" t="n">
        <v>7374</v>
      </c>
      <c r="S357" s="16" t="n">
        <v>8020</v>
      </c>
      <c r="U357" s="16" t="n">
        <v>8020</v>
      </c>
      <c r="AC357" s="23">
        <f>IF(OR(E357="",E357="[PARENT]"),"ADD",IF(E357="[ALT_VIEW]","ALT",""))</f>
        <v/>
      </c>
      <c r="AD357" s="21">
        <f>IF(Y357&lt;&gt;"",Y357,IF(U357&lt;&gt;"",U357,S357))</f>
        <v/>
      </c>
      <c r="AE357" s="21">
        <f>IF(AB357&lt;&gt;"",AB357,Z357)</f>
        <v/>
      </c>
      <c r="AF357" s="13" t="inlineStr">
        <is>
          <t>P-8a &gt; Carrier Replacement Program &gt; Electronics &gt; AN/USG-2, COOPERATIVE ENGAGEMENT CAPABILITY (CEC) 1</t>
        </is>
      </c>
      <c r="AG357" s="7" t="inlineStr">
        <is>
          <t>78</t>
        </is>
      </c>
      <c r="AH357" s="7" t="inlineStr">
        <is>
          <t>2001</t>
        </is>
      </c>
      <c r="AJ357" s="7" t="inlineStr">
        <is>
          <t>AN/USG-2, COOPERATIVE ENGAGEMENT CAPABILITY (CEC)</t>
        </is>
      </c>
    </row>
    <row r="358" ht="10" customHeight="1">
      <c r="A358" s="7" t="inlineStr">
        <is>
          <t>SCN</t>
        </is>
      </c>
      <c r="B358" s="7" t="inlineStr">
        <is>
          <t>Procurement</t>
        </is>
      </c>
      <c r="D358" s="7" t="inlineStr">
        <is>
          <t>Carrier Replacement Program - P-8a Electronics - FREQUENCY LINE OF SIGHT (EHF/VHF LOS) SAT 1</t>
        </is>
      </c>
      <c r="E358" s="13" t="inlineStr">
        <is>
          <t>[ALT_VIEW]</t>
        </is>
      </c>
      <c r="F358" s="7" t="inlineStr">
        <is>
          <t>2001 / Carrier Replacement Program</t>
        </is>
      </c>
      <c r="G358" s="7" t="inlineStr">
        <is>
          <t>P-8a</t>
        </is>
      </c>
      <c r="H358" s="7" t="inlineStr">
        <is>
          <t>Electronics</t>
        </is>
      </c>
      <c r="I358" s="14" t="n">
        <v>1</v>
      </c>
      <c r="J358" s="7" t="inlineStr">
        <is>
          <t>Full ship DD&amp;C</t>
        </is>
      </c>
      <c r="K358" s="13" t="inlineStr">
        <is>
          <t>USN</t>
        </is>
      </c>
      <c r="L358" s="7" t="inlineStr">
        <is>
          <t>Combatant Ships</t>
        </is>
      </c>
      <c r="M358" s="7" t="inlineStr">
        <is>
          <t>Aircraft Carriers</t>
        </is>
      </c>
      <c r="N358" s="7" t="inlineStr">
        <is>
          <t>CVN</t>
        </is>
      </c>
      <c r="O358" s="15" t="n"/>
      <c r="P358" s="16" t="n">
        <v>8776</v>
      </c>
      <c r="S358" s="16" t="n">
        <v>8023</v>
      </c>
      <c r="U358" s="16" t="n">
        <v>8023</v>
      </c>
      <c r="AC358" s="23">
        <f>IF(OR(E358="",E358="[PARENT]"),"ADD",IF(E358="[ALT_VIEW]","ALT",""))</f>
        <v/>
      </c>
      <c r="AD358" s="21">
        <f>IF(Y358&lt;&gt;"",Y358,IF(U358&lt;&gt;"",U358,S358))</f>
        <v/>
      </c>
      <c r="AE358" s="21">
        <f>IF(AB358&lt;&gt;"",AB358,Z358)</f>
        <v/>
      </c>
      <c r="AF358" s="13" t="inlineStr">
        <is>
          <t>P-8a &gt; Carrier Replacement Program &gt; Electronics &gt; FREQUENCY LINE OF SIGHT (EHF/VHF LOS) SAT 1</t>
        </is>
      </c>
      <c r="AG358" s="7" t="inlineStr">
        <is>
          <t>78</t>
        </is>
      </c>
      <c r="AH358" s="7" t="inlineStr">
        <is>
          <t>2001</t>
        </is>
      </c>
    </row>
    <row r="359" ht="10" customHeight="1">
      <c r="A359" s="7" t="inlineStr">
        <is>
          <t>SCN</t>
        </is>
      </c>
      <c r="B359" s="7" t="inlineStr">
        <is>
          <t>Procurement</t>
        </is>
      </c>
      <c r="D359" s="7" t="inlineStr">
        <is>
          <t>Carrier Replacement Program - P-8a Electronics - AN/UPX-29(V), INTERROGATOR FRIEND OR FOE (IFF) W/MK XII 1</t>
        </is>
      </c>
      <c r="E359" s="13" t="inlineStr">
        <is>
          <t>[ALT_VIEW]</t>
        </is>
      </c>
      <c r="F359" s="7" t="inlineStr">
        <is>
          <t>2001 / Carrier Replacement Program</t>
        </is>
      </c>
      <c r="G359" s="7" t="inlineStr">
        <is>
          <t>P-8a</t>
        </is>
      </c>
      <c r="H359" s="7" t="inlineStr">
        <is>
          <t>Electronics</t>
        </is>
      </c>
      <c r="I359" s="14" t="n">
        <v>1</v>
      </c>
      <c r="J359" s="7" t="inlineStr">
        <is>
          <t>Full ship DD&amp;C</t>
        </is>
      </c>
      <c r="K359" s="13" t="inlineStr">
        <is>
          <t>USN</t>
        </is>
      </c>
      <c r="L359" s="7" t="inlineStr">
        <is>
          <t>Combatant Ships</t>
        </is>
      </c>
      <c r="M359" s="7" t="inlineStr">
        <is>
          <t>Aircraft Carriers</t>
        </is>
      </c>
      <c r="N359" s="7" t="inlineStr">
        <is>
          <t>CVN</t>
        </is>
      </c>
      <c r="O359" s="15" t="n"/>
      <c r="P359" s="16" t="n">
        <v>7076</v>
      </c>
      <c r="S359" s="16" t="n">
        <v>8251</v>
      </c>
      <c r="U359" s="16" t="n">
        <v>8251</v>
      </c>
      <c r="AC359" s="23">
        <f>IF(OR(E359="",E359="[PARENT]"),"ADD",IF(E359="[ALT_VIEW]","ALT",""))</f>
        <v/>
      </c>
      <c r="AD359" s="21">
        <f>IF(Y359&lt;&gt;"",Y359,IF(U359&lt;&gt;"",U359,S359))</f>
        <v/>
      </c>
      <c r="AE359" s="21">
        <f>IF(AB359&lt;&gt;"",AB359,Z359)</f>
        <v/>
      </c>
      <c r="AF359" s="13" t="inlineStr">
        <is>
          <t>P-8a &gt; Carrier Replacement Program &gt; Electronics &gt; AN/UPX-29(V), INTERROGATOR FRIEND OR FOE (IFF) W/MK XII 1</t>
        </is>
      </c>
      <c r="AG359" s="7" t="inlineStr">
        <is>
          <t>78</t>
        </is>
      </c>
      <c r="AH359" s="7" t="inlineStr">
        <is>
          <t>2001</t>
        </is>
      </c>
      <c r="AJ359" s="7" t="inlineStr">
        <is>
          <t>AN/UPX-29(V), INTERROGATOR FRIEND OR FOE (IFF) W/MK XII</t>
        </is>
      </c>
    </row>
    <row r="360" ht="10" customHeight="1">
      <c r="A360" s="7" t="inlineStr">
        <is>
          <t>SCN</t>
        </is>
      </c>
      <c r="B360" s="7" t="inlineStr">
        <is>
          <t>Procurement</t>
        </is>
      </c>
      <c r="D360" s="7" t="inlineStr">
        <is>
          <t>Carrier Replacement Program - P-8a Electronics - SPN-46, AUTOMATIC CARRIER LANDING SYSTEM 1</t>
        </is>
      </c>
      <c r="E360" s="13" t="inlineStr">
        <is>
          <t>[ALT_VIEW]</t>
        </is>
      </c>
      <c r="F360" s="7" t="inlineStr">
        <is>
          <t>2001 / Carrier Replacement Program</t>
        </is>
      </c>
      <c r="G360" s="7" t="inlineStr">
        <is>
          <t>P-8a</t>
        </is>
      </c>
      <c r="H360" s="7" t="inlineStr">
        <is>
          <t>Electronics</t>
        </is>
      </c>
      <c r="I360" s="14" t="n">
        <v>1</v>
      </c>
      <c r="J360" s="7" t="inlineStr">
        <is>
          <t>Full ship DD&amp;C</t>
        </is>
      </c>
      <c r="K360" s="13" t="inlineStr">
        <is>
          <t>USN</t>
        </is>
      </c>
      <c r="L360" s="7" t="inlineStr">
        <is>
          <t>Combatant Ships</t>
        </is>
      </c>
      <c r="M360" s="7" t="inlineStr">
        <is>
          <t>Aircraft Carriers</t>
        </is>
      </c>
      <c r="N360" s="7" t="inlineStr">
        <is>
          <t>CVN</t>
        </is>
      </c>
      <c r="O360" s="15" t="n"/>
      <c r="P360" s="16" t="n">
        <v>7878</v>
      </c>
      <c r="S360" s="16" t="n">
        <v>12762</v>
      </c>
      <c r="U360" s="16" t="n">
        <v>12762</v>
      </c>
      <c r="AC360" s="23">
        <f>IF(OR(E360="",E360="[PARENT]"),"ADD",IF(E360="[ALT_VIEW]","ALT",""))</f>
        <v/>
      </c>
      <c r="AD360" s="21">
        <f>IF(Y360&lt;&gt;"",Y360,IF(U360&lt;&gt;"",U360,S360))</f>
        <v/>
      </c>
      <c r="AE360" s="21">
        <f>IF(AB360&lt;&gt;"",AB360,Z360)</f>
        <v/>
      </c>
      <c r="AF360" s="13" t="inlineStr">
        <is>
          <t>P-8a &gt; Carrier Replacement Program &gt; Electronics &gt; SPN-46, AUTOMATIC CARRIER LANDING SYSTEM 1</t>
        </is>
      </c>
      <c r="AG360" s="7" t="inlineStr">
        <is>
          <t>78</t>
        </is>
      </c>
      <c r="AH360" s="7" t="inlineStr">
        <is>
          <t>2001</t>
        </is>
      </c>
      <c r="AJ360" s="7" t="inlineStr">
        <is>
          <t>SPN-46, AUTOMATIC CARRIER LANDING SYSTEM</t>
        </is>
      </c>
    </row>
    <row r="361" ht="10" customHeight="1">
      <c r="A361" s="7" t="inlineStr">
        <is>
          <t>SCN</t>
        </is>
      </c>
      <c r="B361" s="7" t="inlineStr">
        <is>
          <t>Procurement</t>
        </is>
      </c>
      <c r="D361" s="7" t="inlineStr">
        <is>
          <t>Carrier Replacement Program - P-8a Electronics - SHIP SELF DEFENSE SYSTEM (SSDS) 1</t>
        </is>
      </c>
      <c r="E361" s="13" t="inlineStr">
        <is>
          <t>[ALT_VIEW]</t>
        </is>
      </c>
      <c r="F361" s="7" t="inlineStr">
        <is>
          <t>2001 / Carrier Replacement Program</t>
        </is>
      </c>
      <c r="G361" s="7" t="inlineStr">
        <is>
          <t>P-8a</t>
        </is>
      </c>
      <c r="H361" s="7" t="inlineStr">
        <is>
          <t>Electronics</t>
        </is>
      </c>
      <c r="I361" s="14" t="n">
        <v>1</v>
      </c>
      <c r="J361" s="7" t="inlineStr">
        <is>
          <t>Full ship DD&amp;C</t>
        </is>
      </c>
      <c r="K361" s="13" t="inlineStr">
        <is>
          <t>USN</t>
        </is>
      </c>
      <c r="L361" s="7" t="inlineStr">
        <is>
          <t>Combatant Ships</t>
        </is>
      </c>
      <c r="M361" s="7" t="inlineStr">
        <is>
          <t>Aircraft Carriers</t>
        </is>
      </c>
      <c r="N361" s="7" t="inlineStr">
        <is>
          <t>CVN</t>
        </is>
      </c>
      <c r="O361" s="15" t="n"/>
      <c r="P361" s="16" t="n">
        <v>24437</v>
      </c>
      <c r="S361" s="16" t="n">
        <v>43206</v>
      </c>
      <c r="U361" s="16" t="n">
        <v>43206</v>
      </c>
      <c r="AC361" s="23">
        <f>IF(OR(E361="",E361="[PARENT]"),"ADD",IF(E361="[ALT_VIEW]","ALT",""))</f>
        <v/>
      </c>
      <c r="AD361" s="21">
        <f>IF(Y361&lt;&gt;"",Y361,IF(U361&lt;&gt;"",U361,S361))</f>
        <v/>
      </c>
      <c r="AE361" s="21">
        <f>IF(AB361&lt;&gt;"",AB361,Z361)</f>
        <v/>
      </c>
      <c r="AF361" s="13" t="inlineStr">
        <is>
          <t>P-8a &gt; Carrier Replacement Program &gt; Electronics &gt; SHIP SELF DEFENSE SYSTEM (SSDS) 1</t>
        </is>
      </c>
      <c r="AG361" s="7" t="inlineStr">
        <is>
          <t>78</t>
        </is>
      </c>
      <c r="AH361" s="7" t="inlineStr">
        <is>
          <t>2001</t>
        </is>
      </c>
      <c r="AJ361" s="7" t="inlineStr">
        <is>
          <t>SHIP SELF DEFENSE SYSTEM (SSDS)</t>
        </is>
      </c>
    </row>
    <row r="362" ht="10" customHeight="1">
      <c r="A362" s="7" t="inlineStr">
        <is>
          <t>SCN</t>
        </is>
      </c>
      <c r="B362" s="7" t="inlineStr">
        <is>
          <t>Procurement</t>
        </is>
      </c>
      <c r="D362" s="7" t="inlineStr">
        <is>
          <t>Carrier Replacement Program - P-8a Electronics - AN/SYY-1(V)1 AIR TRAFFIC CONTROL SYSTEM, SHIPBOARD 1</t>
        </is>
      </c>
      <c r="E362" s="13" t="inlineStr">
        <is>
          <t>[ALT_VIEW]</t>
        </is>
      </c>
      <c r="F362" s="7" t="inlineStr">
        <is>
          <t>2001 / Carrier Replacement Program</t>
        </is>
      </c>
      <c r="G362" s="7" t="inlineStr">
        <is>
          <t>P-8a</t>
        </is>
      </c>
      <c r="H362" s="7" t="inlineStr">
        <is>
          <t>Electronics</t>
        </is>
      </c>
      <c r="I362" s="14" t="n">
        <v>1</v>
      </c>
      <c r="J362" s="7" t="inlineStr">
        <is>
          <t>Full ship DD&amp;C</t>
        </is>
      </c>
      <c r="K362" s="13" t="inlineStr">
        <is>
          <t>USN</t>
        </is>
      </c>
      <c r="L362" s="7" t="inlineStr">
        <is>
          <t>Combatant Ships</t>
        </is>
      </c>
      <c r="M362" s="7" t="inlineStr">
        <is>
          <t>Aircraft Carriers</t>
        </is>
      </c>
      <c r="N362" s="7" t="inlineStr">
        <is>
          <t>CVN</t>
        </is>
      </c>
      <c r="O362" s="15" t="n"/>
      <c r="P362" s="16" t="n">
        <v>4284</v>
      </c>
      <c r="S362" s="16" t="n">
        <v>5169</v>
      </c>
      <c r="U362" s="16" t="n">
        <v>5169</v>
      </c>
      <c r="AC362" s="23">
        <f>IF(OR(E362="",E362="[PARENT]"),"ADD",IF(E362="[ALT_VIEW]","ALT",""))</f>
        <v/>
      </c>
      <c r="AD362" s="21">
        <f>IF(Y362&lt;&gt;"",Y362,IF(U362&lt;&gt;"",U362,S362))</f>
        <v/>
      </c>
      <c r="AE362" s="21">
        <f>IF(AB362&lt;&gt;"",AB362,Z362)</f>
        <v/>
      </c>
      <c r="AF362" s="13" t="inlineStr">
        <is>
          <t>P-8a &gt; Carrier Replacement Program &gt; Electronics &gt; AN/SYY-1(V)1 AIR TRAFFIC CONTROL SYSTEM, SHIPBOARD 1</t>
        </is>
      </c>
      <c r="AG362" s="7" t="inlineStr">
        <is>
          <t>78</t>
        </is>
      </c>
      <c r="AH362" s="7" t="inlineStr">
        <is>
          <t>2001</t>
        </is>
      </c>
      <c r="AJ362" s="7" t="inlineStr">
        <is>
          <t>AN/SYY-1(V)1 AIR TRAFFIC CONTROL SYSTEM, SHIPBOARD</t>
        </is>
      </c>
    </row>
    <row r="363" ht="10" customHeight="1">
      <c r="A363" s="7" t="inlineStr">
        <is>
          <t>SCN</t>
        </is>
      </c>
      <c r="B363" s="7" t="inlineStr">
        <is>
          <t>Procurement</t>
        </is>
      </c>
      <c r="D363" s="7" t="inlineStr">
        <is>
          <t>Carrier Replacement Program - P-8a Electronics - NAVY MULTI-BAND TERMINAL (NMT) 1</t>
        </is>
      </c>
      <c r="E363" s="13" t="inlineStr">
        <is>
          <t>[ALT_VIEW]</t>
        </is>
      </c>
      <c r="F363" s="7" t="inlineStr">
        <is>
          <t>2001 / Carrier Replacement Program</t>
        </is>
      </c>
      <c r="G363" s="7" t="inlineStr">
        <is>
          <t>P-8a</t>
        </is>
      </c>
      <c r="H363" s="7" t="inlineStr">
        <is>
          <t>Electronics</t>
        </is>
      </c>
      <c r="I363" s="14" t="n">
        <v>1</v>
      </c>
      <c r="J363" s="7" t="inlineStr">
        <is>
          <t>Full ship DD&amp;C</t>
        </is>
      </c>
      <c r="K363" s="13" t="inlineStr">
        <is>
          <t>USN</t>
        </is>
      </c>
      <c r="L363" s="7" t="inlineStr">
        <is>
          <t>Combatant Ships</t>
        </is>
      </c>
      <c r="M363" s="7" t="inlineStr">
        <is>
          <t>Aircraft Carriers</t>
        </is>
      </c>
      <c r="N363" s="7" t="inlineStr">
        <is>
          <t>CVN</t>
        </is>
      </c>
      <c r="O363" s="15" t="n"/>
      <c r="P363" s="16" t="n">
        <v>5469</v>
      </c>
      <c r="S363" s="16" t="n">
        <v>8536</v>
      </c>
      <c r="U363" s="16" t="n">
        <v>8536</v>
      </c>
      <c r="AC363" s="23">
        <f>IF(OR(E363="",E363="[PARENT]"),"ADD",IF(E363="[ALT_VIEW]","ALT",""))</f>
        <v/>
      </c>
      <c r="AD363" s="21">
        <f>IF(Y363&lt;&gt;"",Y363,IF(U363&lt;&gt;"",U363,S363))</f>
        <v/>
      </c>
      <c r="AE363" s="21">
        <f>IF(AB363&lt;&gt;"",AB363,Z363)</f>
        <v/>
      </c>
      <c r="AF363" s="13" t="inlineStr">
        <is>
          <t>P-8a &gt; Carrier Replacement Program &gt; Electronics &gt; NAVY MULTI-BAND TERMINAL (NMT) 1</t>
        </is>
      </c>
      <c r="AG363" s="7" t="inlineStr">
        <is>
          <t>78</t>
        </is>
      </c>
      <c r="AH363" s="7" t="inlineStr">
        <is>
          <t>2001</t>
        </is>
      </c>
      <c r="AJ363" s="7" t="inlineStr">
        <is>
          <t>NAVY MULTI-BAND TERMINAL (NMT)</t>
        </is>
      </c>
    </row>
    <row r="364" ht="10" customHeight="1">
      <c r="A364" s="7" t="inlineStr">
        <is>
          <t>SCN</t>
        </is>
      </c>
      <c r="B364" s="7" t="inlineStr">
        <is>
          <t>Procurement</t>
        </is>
      </c>
      <c r="D364" s="7" t="inlineStr">
        <is>
          <t>Carrier Replacement Program - P-8a Electronics - SEWIP) BLOCK 2 1</t>
        </is>
      </c>
      <c r="E364" s="13" t="inlineStr">
        <is>
          <t>[ALT_VIEW]</t>
        </is>
      </c>
      <c r="F364" s="7" t="inlineStr">
        <is>
          <t>2001 / Carrier Replacement Program</t>
        </is>
      </c>
      <c r="G364" s="7" t="inlineStr">
        <is>
          <t>P-8a</t>
        </is>
      </c>
      <c r="H364" s="7" t="inlineStr">
        <is>
          <t>Electronics</t>
        </is>
      </c>
      <c r="I364" s="14" t="n">
        <v>1</v>
      </c>
      <c r="J364" s="7" t="inlineStr">
        <is>
          <t>Full ship DD&amp;C</t>
        </is>
      </c>
      <c r="K364" s="13" t="inlineStr">
        <is>
          <t>USN</t>
        </is>
      </c>
      <c r="L364" s="7" t="inlineStr">
        <is>
          <t>Combatant Ships</t>
        </is>
      </c>
      <c r="M364" s="7" t="inlineStr">
        <is>
          <t>Aircraft Carriers</t>
        </is>
      </c>
      <c r="N364" s="7" t="inlineStr">
        <is>
          <t>CVN</t>
        </is>
      </c>
      <c r="O364" s="15" t="n"/>
      <c r="P364" s="16" t="n">
        <v>14130</v>
      </c>
      <c r="S364" s="16" t="n">
        <v>13904</v>
      </c>
      <c r="U364" s="16" t="n">
        <v>13904</v>
      </c>
      <c r="AC364" s="23">
        <f>IF(OR(E364="",E364="[PARENT]"),"ADD",IF(E364="[ALT_VIEW]","ALT",""))</f>
        <v/>
      </c>
      <c r="AD364" s="21">
        <f>IF(Y364&lt;&gt;"",Y364,IF(U364&lt;&gt;"",U364,S364))</f>
        <v/>
      </c>
      <c r="AE364" s="21">
        <f>IF(AB364&lt;&gt;"",AB364,Z364)</f>
        <v/>
      </c>
      <c r="AF364" s="13" t="inlineStr">
        <is>
          <t>P-8a &gt; Carrier Replacement Program &gt; Electronics &gt; SEWIP) BLOCK 2 1</t>
        </is>
      </c>
      <c r="AG364" s="7" t="inlineStr">
        <is>
          <t>78</t>
        </is>
      </c>
      <c r="AH364" s="7" t="inlineStr">
        <is>
          <t>2001</t>
        </is>
      </c>
    </row>
    <row r="365" ht="10" customHeight="1">
      <c r="A365" s="7" t="inlineStr">
        <is>
          <t>SCN</t>
        </is>
      </c>
      <c r="B365" s="7" t="inlineStr">
        <is>
          <t>Procurement</t>
        </is>
      </c>
      <c r="D365" s="7" t="inlineStr">
        <is>
          <t>Carrier Replacement Program - P-8a Electronics - AN/SSQ-130(V)8, SHIP'S SIGNAL EXPLOITATION EQUIPMENT INCREMENT F 1</t>
        </is>
      </c>
      <c r="E365" s="13" t="inlineStr">
        <is>
          <t>[ALT_VIEW]</t>
        </is>
      </c>
      <c r="F365" s="7" t="inlineStr">
        <is>
          <t>2001 / Carrier Replacement Program</t>
        </is>
      </c>
      <c r="G365" s="7" t="inlineStr">
        <is>
          <t>P-8a</t>
        </is>
      </c>
      <c r="H365" s="7" t="inlineStr">
        <is>
          <t>Electronics</t>
        </is>
      </c>
      <c r="I365" s="14" t="n">
        <v>1</v>
      </c>
      <c r="J365" s="7" t="inlineStr">
        <is>
          <t>Full ship DD&amp;C</t>
        </is>
      </c>
      <c r="K365" s="13" t="inlineStr">
        <is>
          <t>USN</t>
        </is>
      </c>
      <c r="L365" s="7" t="inlineStr">
        <is>
          <t>Combatant Ships</t>
        </is>
      </c>
      <c r="M365" s="7" t="inlineStr">
        <is>
          <t>Aircraft Carriers</t>
        </is>
      </c>
      <c r="N365" s="7" t="inlineStr">
        <is>
          <t>CVN</t>
        </is>
      </c>
      <c r="O365" s="15" t="n"/>
      <c r="P365" s="16" t="n">
        <v>5048</v>
      </c>
      <c r="S365" s="16" t="n">
        <v>12514</v>
      </c>
      <c r="U365" s="16" t="n">
        <v>12514</v>
      </c>
      <c r="AC365" s="23">
        <f>IF(OR(E365="",E365="[PARENT]"),"ADD",IF(E365="[ALT_VIEW]","ALT",""))</f>
        <v/>
      </c>
      <c r="AD365" s="21">
        <f>IF(Y365&lt;&gt;"",Y365,IF(U365&lt;&gt;"",U365,S365))</f>
        <v/>
      </c>
      <c r="AE365" s="21">
        <f>IF(AB365&lt;&gt;"",AB365,Z365)</f>
        <v/>
      </c>
      <c r="AF365" s="13" t="inlineStr">
        <is>
          <t>P-8a &gt; Carrier Replacement Program &gt; Electronics &gt; AN/SSQ-130(V)8, SHIP'S SIGNAL EXPLOITATION EQUIPMENT INCREMENT F 1</t>
        </is>
      </c>
      <c r="AG365" s="7" t="inlineStr">
        <is>
          <t>78</t>
        </is>
      </c>
      <c r="AH365" s="7" t="inlineStr">
        <is>
          <t>2001</t>
        </is>
      </c>
      <c r="AJ365" s="7" t="inlineStr">
        <is>
          <t>AN/SSQ-130(V)8, SHIP'S SIGNAL EXPLOITATION EQUIPMENT INCREMENT F</t>
        </is>
      </c>
    </row>
    <row r="366" ht="10" customHeight="1">
      <c r="A366" s="7" t="inlineStr">
        <is>
          <t>SCN</t>
        </is>
      </c>
      <c r="B366" s="7" t="inlineStr">
        <is>
          <t>Procurement</t>
        </is>
      </c>
      <c r="D366" s="7" t="inlineStr">
        <is>
          <t>Carrier Replacement Program - P-8a Electronics - AN/SRC-66 (V)3 HFDAG 1</t>
        </is>
      </c>
      <c r="E366" s="13" t="inlineStr">
        <is>
          <t>[ALT_VIEW]</t>
        </is>
      </c>
      <c r="F366" s="7" t="inlineStr">
        <is>
          <t>2001 / Carrier Replacement Program</t>
        </is>
      </c>
      <c r="G366" s="7" t="inlineStr">
        <is>
          <t>P-8a</t>
        </is>
      </c>
      <c r="H366" s="7" t="inlineStr">
        <is>
          <t>Electronics</t>
        </is>
      </c>
      <c r="I366" s="14" t="n">
        <v>1</v>
      </c>
      <c r="J366" s="7" t="inlineStr">
        <is>
          <t>Full ship DD&amp;C</t>
        </is>
      </c>
      <c r="K366" s="13" t="inlineStr">
        <is>
          <t>USN</t>
        </is>
      </c>
      <c r="L366" s="7" t="inlineStr">
        <is>
          <t>Combatant Ships</t>
        </is>
      </c>
      <c r="M366" s="7" t="inlineStr">
        <is>
          <t>Aircraft Carriers</t>
        </is>
      </c>
      <c r="N366" s="7" t="inlineStr">
        <is>
          <t>CVN</t>
        </is>
      </c>
      <c r="O366" s="15" t="n"/>
      <c r="P366" s="16" t="n">
        <v>5210</v>
      </c>
      <c r="S366" s="16" t="n">
        <v>5344</v>
      </c>
      <c r="U366" s="16" t="n">
        <v>5344</v>
      </c>
      <c r="AC366" s="23">
        <f>IF(OR(E366="",E366="[PARENT]"),"ADD",IF(E366="[ALT_VIEW]","ALT",""))</f>
        <v/>
      </c>
      <c r="AD366" s="21">
        <f>IF(Y366&lt;&gt;"",Y366,IF(U366&lt;&gt;"",U366,S366))</f>
        <v/>
      </c>
      <c r="AE366" s="21">
        <f>IF(AB366&lt;&gt;"",AB366,Z366)</f>
        <v/>
      </c>
      <c r="AF366" s="13" t="inlineStr">
        <is>
          <t>P-8a &gt; Carrier Replacement Program &gt; Electronics &gt; AN/SRC-66 (V)3 HFDAG 1</t>
        </is>
      </c>
      <c r="AG366" s="7" t="inlineStr">
        <is>
          <t>78</t>
        </is>
      </c>
      <c r="AH366" s="7" t="inlineStr">
        <is>
          <t>2001</t>
        </is>
      </c>
      <c r="AJ366" s="7" t="inlineStr">
        <is>
          <t>AN/SRC-66 (V)3 HFDAG</t>
        </is>
      </c>
    </row>
    <row r="367" ht="10" customHeight="1">
      <c r="A367" s="7" t="inlineStr">
        <is>
          <t>SCN</t>
        </is>
      </c>
      <c r="B367" s="7" t="inlineStr">
        <is>
          <t>Procurement</t>
        </is>
      </c>
      <c r="D367" s="7" t="inlineStr">
        <is>
          <t>Carrier Replacement Program - P-8a Electronics - AN/USN-3(V)1 SATELLITE SIGNAL LANDING SYSTEM (SSLS) 1</t>
        </is>
      </c>
      <c r="E367" s="13" t="inlineStr">
        <is>
          <t>[ALT_VIEW]</t>
        </is>
      </c>
      <c r="F367" s="7" t="inlineStr">
        <is>
          <t>2001 / Carrier Replacement Program</t>
        </is>
      </c>
      <c r="G367" s="7" t="inlineStr">
        <is>
          <t>P-8a</t>
        </is>
      </c>
      <c r="H367" s="7" t="inlineStr">
        <is>
          <t>Electronics</t>
        </is>
      </c>
      <c r="I367" s="14" t="n">
        <v>1</v>
      </c>
      <c r="J367" s="7" t="inlineStr">
        <is>
          <t>Full ship DD&amp;C</t>
        </is>
      </c>
      <c r="K367" s="13" t="inlineStr">
        <is>
          <t>USN</t>
        </is>
      </c>
      <c r="L367" s="7" t="inlineStr">
        <is>
          <t>Combatant Ships</t>
        </is>
      </c>
      <c r="M367" s="7" t="inlineStr">
        <is>
          <t>Aircraft Carriers</t>
        </is>
      </c>
      <c r="N367" s="7" t="inlineStr">
        <is>
          <t>CVN</t>
        </is>
      </c>
      <c r="O367" s="15" t="n"/>
      <c r="S367" s="16" t="n">
        <v>9866</v>
      </c>
      <c r="U367" s="16" t="n">
        <v>9866</v>
      </c>
      <c r="AC367" s="23">
        <f>IF(OR(E367="",E367="[PARENT]"),"ADD",IF(E367="[ALT_VIEW]","ALT",""))</f>
        <v/>
      </c>
      <c r="AD367" s="21">
        <f>IF(Y367&lt;&gt;"",Y367,IF(U367&lt;&gt;"",U367,S367))</f>
        <v/>
      </c>
      <c r="AE367" s="21">
        <f>IF(AB367&lt;&gt;"",AB367,Z367)</f>
        <v/>
      </c>
      <c r="AF367" s="13" t="inlineStr">
        <is>
          <t>P-8a &gt; Carrier Replacement Program &gt; Electronics &gt; AN/USN-3(V)1 SATELLITE SIGNAL LANDING SYSTEM (SSLS) 1</t>
        </is>
      </c>
      <c r="AG367" s="7" t="inlineStr">
        <is>
          <t>78</t>
        </is>
      </c>
      <c r="AH367" s="7" t="inlineStr">
        <is>
          <t>2001</t>
        </is>
      </c>
      <c r="AJ367" s="7" t="inlineStr">
        <is>
          <t>AN/USN-3(V)1 SATELLITE SIGNAL LANDING SYSTEM (SSLS)</t>
        </is>
      </c>
    </row>
    <row r="368" ht="10" customHeight="1">
      <c r="A368" s="7" t="inlineStr">
        <is>
          <t>SCN</t>
        </is>
      </c>
      <c r="B368" s="7" t="inlineStr">
        <is>
          <t>Procurement</t>
        </is>
      </c>
      <c r="D368" s="7" t="inlineStr">
        <is>
          <t>Carrier Replacement Program - P-8a Electronics - ELECTRONIC CONSOLIDATED AUTOMATED SUPPORT SYSTEM (eCASS) 1</t>
        </is>
      </c>
      <c r="E368" s="13" t="inlineStr">
        <is>
          <t>[ALT_VIEW]</t>
        </is>
      </c>
      <c r="F368" s="7" t="inlineStr">
        <is>
          <t>2001 / Carrier Replacement Program</t>
        </is>
      </c>
      <c r="G368" s="7" t="inlineStr">
        <is>
          <t>P-8a</t>
        </is>
      </c>
      <c r="H368" s="7" t="inlineStr">
        <is>
          <t>Electronics</t>
        </is>
      </c>
      <c r="I368" s="14" t="n">
        <v>1</v>
      </c>
      <c r="J368" s="7" t="inlineStr">
        <is>
          <t>Full ship DD&amp;C</t>
        </is>
      </c>
      <c r="K368" s="13" t="inlineStr">
        <is>
          <t>USN</t>
        </is>
      </c>
      <c r="L368" s="7" t="inlineStr">
        <is>
          <t>Combatant Ships</t>
        </is>
      </c>
      <c r="M368" s="7" t="inlineStr">
        <is>
          <t>Aircraft Carriers</t>
        </is>
      </c>
      <c r="N368" s="7" t="inlineStr">
        <is>
          <t>CVN</t>
        </is>
      </c>
      <c r="O368" s="15" t="n"/>
      <c r="P368" s="16" t="n">
        <v>39605</v>
      </c>
      <c r="S368" s="16" t="n">
        <v>39900</v>
      </c>
      <c r="U368" s="16" t="n">
        <v>39900</v>
      </c>
      <c r="AC368" s="23">
        <f>IF(OR(E368="",E368="[PARENT]"),"ADD",IF(E368="[ALT_VIEW]","ALT",""))</f>
        <v/>
      </c>
      <c r="AD368" s="21">
        <f>IF(Y368&lt;&gt;"",Y368,IF(U368&lt;&gt;"",U368,S368))</f>
        <v/>
      </c>
      <c r="AE368" s="21">
        <f>IF(AB368&lt;&gt;"",AB368,Z368)</f>
        <v/>
      </c>
      <c r="AF368" s="13" t="inlineStr">
        <is>
          <t>P-8a &gt; Carrier Replacement Program &gt; Electronics &gt; ELECTRONIC CONSOLIDATED AUTOMATED SUPPORT SYSTEM (eCASS) 1</t>
        </is>
      </c>
      <c r="AG368" s="7" t="inlineStr">
        <is>
          <t>78</t>
        </is>
      </c>
      <c r="AH368" s="7" t="inlineStr">
        <is>
          <t>2001</t>
        </is>
      </c>
      <c r="AJ368" s="7" t="inlineStr">
        <is>
          <t>ELECTRONIC CONSOLIDATED AUTOMATED SUPPORT SYSTEM (eCASS)</t>
        </is>
      </c>
    </row>
    <row r="369" ht="10" customHeight="1">
      <c r="A369" s="7" t="inlineStr">
        <is>
          <t>SCN</t>
        </is>
      </c>
      <c r="B369" s="7" t="inlineStr">
        <is>
          <t>Procurement</t>
        </is>
      </c>
      <c r="D369" s="7" t="inlineStr">
        <is>
          <t>Carrier Replacement Program - P-8a Electronics - OA-9277 ULTRA HIGH FREQUENCY (UHF) MULTICOUPLER 0 - 1</t>
        </is>
      </c>
      <c r="E369" s="13" t="inlineStr">
        <is>
          <t>[ALT_VIEW]</t>
        </is>
      </c>
      <c r="F369" s="7" t="inlineStr">
        <is>
          <t>2001 / Carrier Replacement Program</t>
        </is>
      </c>
      <c r="G369" s="7" t="inlineStr">
        <is>
          <t>P-8a</t>
        </is>
      </c>
      <c r="H369" s="7" t="inlineStr">
        <is>
          <t>Electronics</t>
        </is>
      </c>
      <c r="I369" s="14" t="n">
        <v>1</v>
      </c>
      <c r="J369" s="7" t="inlineStr">
        <is>
          <t>Full ship DD&amp;C</t>
        </is>
      </c>
      <c r="K369" s="13" t="inlineStr">
        <is>
          <t>USN</t>
        </is>
      </c>
      <c r="L369" s="7" t="inlineStr">
        <is>
          <t>Combatant Ships</t>
        </is>
      </c>
      <c r="M369" s="7" t="inlineStr">
        <is>
          <t>Aircraft Carriers</t>
        </is>
      </c>
      <c r="N369" s="7" t="inlineStr">
        <is>
          <t>CVN</t>
        </is>
      </c>
      <c r="O369" s="15" t="n"/>
      <c r="S369" s="16" t="n">
        <v>6122</v>
      </c>
      <c r="U369" s="16" t="n">
        <v>6122</v>
      </c>
      <c r="AC369" s="23">
        <f>IF(OR(E369="",E369="[PARENT]"),"ADD",IF(E369="[ALT_VIEW]","ALT",""))</f>
        <v/>
      </c>
      <c r="AD369" s="21">
        <f>IF(Y369&lt;&gt;"",Y369,IF(U369&lt;&gt;"",U369,S369))</f>
        <v/>
      </c>
      <c r="AE369" s="21">
        <f>IF(AB369&lt;&gt;"",AB369,Z369)</f>
        <v/>
      </c>
      <c r="AF369" s="13" t="inlineStr">
        <is>
          <t>P-8a &gt; Carrier Replacement Program &gt; Electronics &gt; OA-9277 ULTRA HIGH FREQUENCY (UHF) MULTICOUPLER 0 - 1</t>
        </is>
      </c>
      <c r="AG369" s="7" t="inlineStr">
        <is>
          <t>78</t>
        </is>
      </c>
      <c r="AH369" s="7" t="inlineStr">
        <is>
          <t>2001</t>
        </is>
      </c>
      <c r="AJ369" s="7" t="inlineStr">
        <is>
          <t>OA-9277 ULTRA HIGH FREQUENCY (UHF) MULTICOUPLER</t>
        </is>
      </c>
    </row>
    <row r="370" ht="10" customHeight="1">
      <c r="A370" s="7" t="inlineStr">
        <is>
          <t>SCN</t>
        </is>
      </c>
      <c r="B370" s="7" t="inlineStr">
        <is>
          <t>Procurement</t>
        </is>
      </c>
      <c r="D370" s="7" t="inlineStr">
        <is>
          <t>Carrier Replacement Program - P-8a Electronics - AN/USQ-214(V)1, NETWORK TACTICAL COMMON DATA LINK (NTCDL) SYSTEM 0 - 1</t>
        </is>
      </c>
      <c r="E370" s="13" t="inlineStr">
        <is>
          <t>[ALT_VIEW]</t>
        </is>
      </c>
      <c r="F370" s="7" t="inlineStr">
        <is>
          <t>2001 / Carrier Replacement Program</t>
        </is>
      </c>
      <c r="G370" s="7" t="inlineStr">
        <is>
          <t>P-8a</t>
        </is>
      </c>
      <c r="H370" s="7" t="inlineStr">
        <is>
          <t>Electronics</t>
        </is>
      </c>
      <c r="I370" s="14" t="n">
        <v>1</v>
      </c>
      <c r="J370" s="7" t="inlineStr">
        <is>
          <t>Full ship DD&amp;C</t>
        </is>
      </c>
      <c r="K370" s="13" t="inlineStr">
        <is>
          <t>USN</t>
        </is>
      </c>
      <c r="L370" s="7" t="inlineStr">
        <is>
          <t>Combatant Ships</t>
        </is>
      </c>
      <c r="M370" s="7" t="inlineStr">
        <is>
          <t>Aircraft Carriers</t>
        </is>
      </c>
      <c r="N370" s="7" t="inlineStr">
        <is>
          <t>CVN</t>
        </is>
      </c>
      <c r="O370" s="15" t="n"/>
      <c r="S370" s="16" t="n">
        <v>8363</v>
      </c>
      <c r="U370" s="16" t="n">
        <v>8363</v>
      </c>
      <c r="AC370" s="23">
        <f>IF(OR(E370="",E370="[PARENT]"),"ADD",IF(E370="[ALT_VIEW]","ALT",""))</f>
        <v/>
      </c>
      <c r="AD370" s="21">
        <f>IF(Y370&lt;&gt;"",Y370,IF(U370&lt;&gt;"",U370,S370))</f>
        <v/>
      </c>
      <c r="AE370" s="21">
        <f>IF(AB370&lt;&gt;"",AB370,Z370)</f>
        <v/>
      </c>
      <c r="AF370" s="13" t="inlineStr">
        <is>
          <t>P-8a &gt; Carrier Replacement Program &gt; Electronics &gt; AN/USQ-214(V)1, NETWORK TACTICAL COMMON DATA LINK (NTCDL) SYSTEM 0 - 1</t>
        </is>
      </c>
      <c r="AG370" s="7" t="inlineStr">
        <is>
          <t>78</t>
        </is>
      </c>
      <c r="AH370" s="7" t="inlineStr">
        <is>
          <t>2001</t>
        </is>
      </c>
      <c r="AJ370" s="7" t="inlineStr">
        <is>
          <t>AN/USQ-214(V)1, NETWORK TACTICAL COMMON DATA LINK (NTCDL) SYSTEM</t>
        </is>
      </c>
    </row>
    <row r="371" ht="10" customHeight="1">
      <c r="A371" s="7" t="inlineStr">
        <is>
          <t>SCN</t>
        </is>
      </c>
      <c r="B371" s="7" t="inlineStr">
        <is>
          <t>Procurement</t>
        </is>
      </c>
      <c r="D371" s="7" t="inlineStr">
        <is>
          <t>Carrier Replacement Program - P-8a Electronics - RING LASER GYRO NAVIGATOR (RLGN) AN/WSN-12(V)1 0 - 1</t>
        </is>
      </c>
      <c r="E371" s="13" t="inlineStr">
        <is>
          <t>[ALT_VIEW]</t>
        </is>
      </c>
      <c r="F371" s="7" t="inlineStr">
        <is>
          <t>2001 / Carrier Replacement Program</t>
        </is>
      </c>
      <c r="G371" s="7" t="inlineStr">
        <is>
          <t>P-8a</t>
        </is>
      </c>
      <c r="H371" s="7" t="inlineStr">
        <is>
          <t>Electronics</t>
        </is>
      </c>
      <c r="I371" s="14" t="n">
        <v>1</v>
      </c>
      <c r="J371" s="7" t="inlineStr">
        <is>
          <t>Full ship DD&amp;C</t>
        </is>
      </c>
      <c r="K371" s="13" t="inlineStr">
        <is>
          <t>USN</t>
        </is>
      </c>
      <c r="L371" s="7" t="inlineStr">
        <is>
          <t>Combatant Ships</t>
        </is>
      </c>
      <c r="M371" s="7" t="inlineStr">
        <is>
          <t>Aircraft Carriers</t>
        </is>
      </c>
      <c r="N371" s="7" t="inlineStr">
        <is>
          <t>CVN</t>
        </is>
      </c>
      <c r="O371" s="15" t="n"/>
      <c r="S371" s="16" t="n">
        <v>9325</v>
      </c>
      <c r="U371" s="16" t="n">
        <v>9325</v>
      </c>
      <c r="AC371" s="23">
        <f>IF(OR(E371="",E371="[PARENT]"),"ADD",IF(E371="[ALT_VIEW]","ALT",""))</f>
        <v/>
      </c>
      <c r="AD371" s="21">
        <f>IF(Y371&lt;&gt;"",Y371,IF(U371&lt;&gt;"",U371,S371))</f>
        <v/>
      </c>
      <c r="AE371" s="21">
        <f>IF(AB371&lt;&gt;"",AB371,Z371)</f>
        <v/>
      </c>
      <c r="AF371" s="13" t="inlineStr">
        <is>
          <t>P-8a &gt; Carrier Replacement Program &gt; Electronics &gt; RING LASER GYRO NAVIGATOR (RLGN) AN/WSN-12(V)1 0 - 1</t>
        </is>
      </c>
      <c r="AG371" s="7" t="inlineStr">
        <is>
          <t>78</t>
        </is>
      </c>
      <c r="AH371" s="7" t="inlineStr">
        <is>
          <t>2001</t>
        </is>
      </c>
      <c r="AJ371" s="7" t="inlineStr">
        <is>
          <t>RING LASER GYRO NAVIGATOR (RLGN) AN/WSN-12(V)1</t>
        </is>
      </c>
    </row>
    <row r="372" ht="10" customHeight="1">
      <c r="A372" s="7" t="inlineStr">
        <is>
          <t>SCN</t>
        </is>
      </c>
      <c r="B372" s="7" t="inlineStr">
        <is>
          <t>Procurement</t>
        </is>
      </c>
      <c r="D372" s="7" t="inlineStr">
        <is>
          <t>Carrier Replacement Program - P-8a Electronics - MK 53 MOD 15 DECOY LAUNCHING SYSTEM 0 - 1</t>
        </is>
      </c>
      <c r="E372" s="13" t="inlineStr">
        <is>
          <t>[ALT_VIEW]</t>
        </is>
      </c>
      <c r="F372" s="7" t="inlineStr">
        <is>
          <t>2001 / Carrier Replacement Program</t>
        </is>
      </c>
      <c r="G372" s="7" t="inlineStr">
        <is>
          <t>P-8a</t>
        </is>
      </c>
      <c r="H372" s="7" t="inlineStr">
        <is>
          <t>Electronics</t>
        </is>
      </c>
      <c r="I372" s="14" t="n">
        <v>1</v>
      </c>
      <c r="J372" s="7" t="inlineStr">
        <is>
          <t>Full ship DD&amp;C</t>
        </is>
      </c>
      <c r="K372" s="13" t="inlineStr">
        <is>
          <t>USN</t>
        </is>
      </c>
      <c r="L372" s="7" t="inlineStr">
        <is>
          <t>Combatant Ships</t>
        </is>
      </c>
      <c r="M372" s="7" t="inlineStr">
        <is>
          <t>Aircraft Carriers</t>
        </is>
      </c>
      <c r="N372" s="7" t="inlineStr">
        <is>
          <t>CVN</t>
        </is>
      </c>
      <c r="O372" s="15" t="n"/>
      <c r="S372" s="16" t="n">
        <v>33900</v>
      </c>
      <c r="U372" s="16" t="n">
        <v>33900</v>
      </c>
      <c r="AC372" s="23">
        <f>IF(OR(E372="",E372="[PARENT]"),"ADD",IF(E372="[ALT_VIEW]","ALT",""))</f>
        <v/>
      </c>
      <c r="AD372" s="21">
        <f>IF(Y372&lt;&gt;"",Y372,IF(U372&lt;&gt;"",U372,S372))</f>
        <v/>
      </c>
      <c r="AE372" s="21">
        <f>IF(AB372&lt;&gt;"",AB372,Z372)</f>
        <v/>
      </c>
      <c r="AF372" s="13" t="inlineStr">
        <is>
          <t>P-8a &gt; Carrier Replacement Program &gt; Electronics &gt; MK 53 MOD 15 DECOY LAUNCHING SYSTEM 0 - 1</t>
        </is>
      </c>
      <c r="AG372" s="7" t="inlineStr">
        <is>
          <t>78</t>
        </is>
      </c>
      <c r="AH372" s="7" t="inlineStr">
        <is>
          <t>2001</t>
        </is>
      </c>
      <c r="AJ372" s="7" t="inlineStr">
        <is>
          <t>MK 53 MOD 15 DECOY LAUNCHING SYSTEM</t>
        </is>
      </c>
    </row>
    <row r="373" ht="10" customHeight="1">
      <c r="A373" s="7" t="inlineStr">
        <is>
          <t>SCN</t>
        </is>
      </c>
      <c r="B373" s="7" t="inlineStr">
        <is>
          <t>Procurement</t>
        </is>
      </c>
      <c r="D373" s="7" t="inlineStr">
        <is>
          <t>Carrier Replacement Program - P-8a Electronics - I-STALKER 0 - 1</t>
        </is>
      </c>
      <c r="E373" s="13" t="inlineStr">
        <is>
          <t>[ALT_VIEW]</t>
        </is>
      </c>
      <c r="F373" s="7" t="inlineStr">
        <is>
          <t>2001 / Carrier Replacement Program</t>
        </is>
      </c>
      <c r="G373" s="7" t="inlineStr">
        <is>
          <t>P-8a</t>
        </is>
      </c>
      <c r="H373" s="7" t="inlineStr">
        <is>
          <t>Electronics</t>
        </is>
      </c>
      <c r="I373" s="14" t="n">
        <v>1</v>
      </c>
      <c r="J373" s="7" t="inlineStr">
        <is>
          <t>Full ship DD&amp;C</t>
        </is>
      </c>
      <c r="K373" s="13" t="inlineStr">
        <is>
          <t>USN</t>
        </is>
      </c>
      <c r="L373" s="7" t="inlineStr">
        <is>
          <t>Combatant Ships</t>
        </is>
      </c>
      <c r="M373" s="7" t="inlineStr">
        <is>
          <t>Aircraft Carriers</t>
        </is>
      </c>
      <c r="N373" s="7" t="inlineStr">
        <is>
          <t>CVN</t>
        </is>
      </c>
      <c r="O373" s="15" t="n"/>
      <c r="S373" s="16" t="n">
        <v>7500</v>
      </c>
      <c r="U373" s="16" t="n">
        <v>7500</v>
      </c>
      <c r="AC373" s="23">
        <f>IF(OR(E373="",E373="[PARENT]"),"ADD",IF(E373="[ALT_VIEW]","ALT",""))</f>
        <v/>
      </c>
      <c r="AD373" s="21">
        <f>IF(Y373&lt;&gt;"",Y373,IF(U373&lt;&gt;"",U373,S373))</f>
        <v/>
      </c>
      <c r="AE373" s="21">
        <f>IF(AB373&lt;&gt;"",AB373,Z373)</f>
        <v/>
      </c>
      <c r="AF373" s="13" t="inlineStr">
        <is>
          <t>P-8a &gt; Carrier Replacement Program &gt; Electronics &gt; I-STALKER 0 - 1</t>
        </is>
      </c>
      <c r="AG373" s="7" t="inlineStr">
        <is>
          <t>78</t>
        </is>
      </c>
      <c r="AH373" s="7" t="inlineStr">
        <is>
          <t>2001</t>
        </is>
      </c>
      <c r="AJ373" s="7" t="inlineStr">
        <is>
          <t>I-STALKER</t>
        </is>
      </c>
    </row>
    <row r="374" ht="10" customHeight="1">
      <c r="A374" s="7" t="inlineStr">
        <is>
          <t>SCN</t>
        </is>
      </c>
      <c r="B374" s="7" t="inlineStr">
        <is>
          <t>Procurement</t>
        </is>
      </c>
      <c r="D374" s="7" t="inlineStr">
        <is>
          <t>Carrier Replacement Program - P-8a Electronics - AN/USQ-155(V)1 TACTICAL VARIANT SWITCH 1</t>
        </is>
      </c>
      <c r="E374" s="13" t="inlineStr">
        <is>
          <t>[ALT_VIEW]</t>
        </is>
      </c>
      <c r="F374" s="7" t="inlineStr">
        <is>
          <t>2001 / Carrier Replacement Program</t>
        </is>
      </c>
      <c r="G374" s="7" t="inlineStr">
        <is>
          <t>P-8a</t>
        </is>
      </c>
      <c r="H374" s="7" t="inlineStr">
        <is>
          <t>Electronics</t>
        </is>
      </c>
      <c r="I374" s="14" t="n">
        <v>1</v>
      </c>
      <c r="J374" s="7" t="inlineStr">
        <is>
          <t>Full ship DD&amp;C</t>
        </is>
      </c>
      <c r="K374" s="13" t="inlineStr">
        <is>
          <t>USN</t>
        </is>
      </c>
      <c r="L374" s="7" t="inlineStr">
        <is>
          <t>Combatant Ships</t>
        </is>
      </c>
      <c r="M374" s="7" t="inlineStr">
        <is>
          <t>Aircraft Carriers</t>
        </is>
      </c>
      <c r="N374" s="7" t="inlineStr">
        <is>
          <t>CVN</t>
        </is>
      </c>
      <c r="O374" s="15" t="n"/>
      <c r="P374" s="16" t="n">
        <v>2255</v>
      </c>
      <c r="S374" s="16" t="n">
        <v>2950</v>
      </c>
      <c r="U374" s="16" t="n">
        <v>2950</v>
      </c>
      <c r="AC374" s="23">
        <f>IF(OR(E374="",E374="[PARENT]"),"ADD",IF(E374="[ALT_VIEW]","ALT",""))</f>
        <v/>
      </c>
      <c r="AD374" s="21">
        <f>IF(Y374&lt;&gt;"",Y374,IF(U374&lt;&gt;"",U374,S374))</f>
        <v/>
      </c>
      <c r="AE374" s="21">
        <f>IF(AB374&lt;&gt;"",AB374,Z374)</f>
        <v/>
      </c>
      <c r="AF374" s="13" t="inlineStr">
        <is>
          <t>P-8a &gt; Carrier Replacement Program &gt; Electronics &gt; AN/USQ-155(V)1 TACTICAL VARIANT SWITCH 1</t>
        </is>
      </c>
      <c r="AG374" s="7" t="inlineStr">
        <is>
          <t>78</t>
        </is>
      </c>
      <c r="AH374" s="7" t="inlineStr">
        <is>
          <t>2001</t>
        </is>
      </c>
      <c r="AJ374" s="7" t="inlineStr">
        <is>
          <t>AN/USQ-155(V)1 TACTICAL VARIANT SWITCH</t>
        </is>
      </c>
    </row>
    <row r="375" ht="10" customHeight="1">
      <c r="A375" s="7" t="inlineStr">
        <is>
          <t>SCN</t>
        </is>
      </c>
      <c r="B375" s="7" t="inlineStr">
        <is>
          <t>Procurement</t>
        </is>
      </c>
      <c r="D375" s="7" t="inlineStr">
        <is>
          <t>Carrier Replacement Program - P-8a Electronics - INFORMATION ASSURANCE (IA)</t>
        </is>
      </c>
      <c r="E375" s="13" t="inlineStr">
        <is>
          <t>[ALT_VIEW]</t>
        </is>
      </c>
      <c r="F375" s="7" t="inlineStr">
        <is>
          <t>2001 / Carrier Replacement Program</t>
        </is>
      </c>
      <c r="G375" s="7" t="inlineStr">
        <is>
          <t>P-8a</t>
        </is>
      </c>
      <c r="H375" s="7" t="inlineStr">
        <is>
          <t>Electronics</t>
        </is>
      </c>
      <c r="I375" s="14" t="n">
        <v>1</v>
      </c>
      <c r="J375" s="7" t="inlineStr">
        <is>
          <t>Full ship DD&amp;C</t>
        </is>
      </c>
      <c r="K375" s="13" t="inlineStr">
        <is>
          <t>USN</t>
        </is>
      </c>
      <c r="L375" s="7" t="inlineStr">
        <is>
          <t>Combatant Ships</t>
        </is>
      </c>
      <c r="M375" s="7" t="inlineStr">
        <is>
          <t>Aircraft Carriers</t>
        </is>
      </c>
      <c r="N375" s="7" t="inlineStr">
        <is>
          <t>CVN</t>
        </is>
      </c>
      <c r="O375" s="15" t="n"/>
      <c r="P375" s="16" t="n">
        <v>2199</v>
      </c>
      <c r="S375" s="16" t="n">
        <v>2233</v>
      </c>
      <c r="U375" s="16" t="n">
        <v>2233</v>
      </c>
      <c r="AC375" s="23">
        <f>IF(OR(E375="",E375="[PARENT]"),"ADD",IF(E375="[ALT_VIEW]","ALT",""))</f>
        <v/>
      </c>
      <c r="AD375" s="21">
        <f>IF(Y375&lt;&gt;"",Y375,IF(U375&lt;&gt;"",U375,S375))</f>
        <v/>
      </c>
      <c r="AE375" s="21">
        <f>IF(AB375&lt;&gt;"",AB375,Z375)</f>
        <v/>
      </c>
      <c r="AF375" s="13" t="inlineStr">
        <is>
          <t>P-8a &gt; Carrier Replacement Program &gt; Electronics &gt; INFORMATION ASSURANCE (IA)</t>
        </is>
      </c>
      <c r="AG375" s="7" t="inlineStr">
        <is>
          <t>78</t>
        </is>
      </c>
      <c r="AH375" s="7" t="inlineStr">
        <is>
          <t>2001</t>
        </is>
      </c>
      <c r="AJ375" s="7" t="inlineStr">
        <is>
          <t>INFORMATION ASSURANCE (IA)</t>
        </is>
      </c>
    </row>
    <row r="376" ht="10" customHeight="1">
      <c r="A376" s="7" t="inlineStr">
        <is>
          <t>SCN</t>
        </is>
      </c>
      <c r="B376" s="7" t="inlineStr">
        <is>
          <t>Procurement</t>
        </is>
      </c>
      <c r="D376" s="7" t="inlineStr">
        <is>
          <t>Carrier Replacement Program - P-8a Electronics - MIDS)-ON SHIP (MOS) 1</t>
        </is>
      </c>
      <c r="E376" s="13" t="inlineStr">
        <is>
          <t>[ALT_VIEW]</t>
        </is>
      </c>
      <c r="F376" s="7" t="inlineStr">
        <is>
          <t>2001 / Carrier Replacement Program</t>
        </is>
      </c>
      <c r="G376" s="7" t="inlineStr">
        <is>
          <t>P-8a</t>
        </is>
      </c>
      <c r="H376" s="7" t="inlineStr">
        <is>
          <t>Electronics</t>
        </is>
      </c>
      <c r="I376" s="14" t="n">
        <v>1</v>
      </c>
      <c r="J376" s="7" t="inlineStr">
        <is>
          <t>Full ship DD&amp;C</t>
        </is>
      </c>
      <c r="K376" s="13" t="inlineStr">
        <is>
          <t>USN</t>
        </is>
      </c>
      <c r="L376" s="7" t="inlineStr">
        <is>
          <t>Combatant Ships</t>
        </is>
      </c>
      <c r="M376" s="7" t="inlineStr">
        <is>
          <t>Aircraft Carriers</t>
        </is>
      </c>
      <c r="N376" s="7" t="inlineStr">
        <is>
          <t>CVN</t>
        </is>
      </c>
      <c r="O376" s="15" t="n"/>
      <c r="P376" s="16" t="n">
        <v>1226</v>
      </c>
      <c r="S376" s="16" t="n">
        <v>1244</v>
      </c>
      <c r="U376" s="16" t="n">
        <v>1244</v>
      </c>
      <c r="AC376" s="23">
        <f>IF(OR(E376="",E376="[PARENT]"),"ADD",IF(E376="[ALT_VIEW]","ALT",""))</f>
        <v/>
      </c>
      <c r="AD376" s="21">
        <f>IF(Y376&lt;&gt;"",Y376,IF(U376&lt;&gt;"",U376,S376))</f>
        <v/>
      </c>
      <c r="AE376" s="21">
        <f>IF(AB376&lt;&gt;"",AB376,Z376)</f>
        <v/>
      </c>
      <c r="AF376" s="13" t="inlineStr">
        <is>
          <t>P-8a &gt; Carrier Replacement Program &gt; Electronics &gt; MIDS)-ON SHIP (MOS) 1</t>
        </is>
      </c>
      <c r="AG376" s="7" t="inlineStr">
        <is>
          <t>78</t>
        </is>
      </c>
      <c r="AH376" s="7" t="inlineStr">
        <is>
          <t>2001</t>
        </is>
      </c>
    </row>
    <row r="377" ht="10" customHeight="1">
      <c r="A377" s="7" t="inlineStr">
        <is>
          <t>SCN</t>
        </is>
      </c>
      <c r="B377" s="7" t="inlineStr">
        <is>
          <t>Procurement</t>
        </is>
      </c>
      <c r="D377" s="7" t="inlineStr">
        <is>
          <t>Carrier Replacement Program - P-8a Electronics - AN/SLQ-25E DUAL, SURFACE SHIP TORPEDO DEFENSE SYSTEM, NIXIE 1</t>
        </is>
      </c>
      <c r="E377" s="13" t="inlineStr">
        <is>
          <t>[ALT_VIEW]</t>
        </is>
      </c>
      <c r="F377" s="7" t="inlineStr">
        <is>
          <t>2001 / Carrier Replacement Program</t>
        </is>
      </c>
      <c r="G377" s="7" t="inlineStr">
        <is>
          <t>P-8a</t>
        </is>
      </c>
      <c r="H377" s="7" t="inlineStr">
        <is>
          <t>Electronics</t>
        </is>
      </c>
      <c r="I377" s="14" t="n">
        <v>1</v>
      </c>
      <c r="J377" s="7" t="inlineStr">
        <is>
          <t>Full ship DD&amp;C</t>
        </is>
      </c>
      <c r="K377" s="13" t="inlineStr">
        <is>
          <t>USN</t>
        </is>
      </c>
      <c r="L377" s="7" t="inlineStr">
        <is>
          <t>Combatant Ships</t>
        </is>
      </c>
      <c r="M377" s="7" t="inlineStr">
        <is>
          <t>Aircraft Carriers</t>
        </is>
      </c>
      <c r="N377" s="7" t="inlineStr">
        <is>
          <t>CVN</t>
        </is>
      </c>
      <c r="O377" s="15" t="n"/>
      <c r="P377" s="16" t="n">
        <v>8301</v>
      </c>
      <c r="S377" s="16" t="n">
        <v>7187</v>
      </c>
      <c r="U377" s="16" t="n">
        <v>7187</v>
      </c>
      <c r="AC377" s="23">
        <f>IF(OR(E377="",E377="[PARENT]"),"ADD",IF(E377="[ALT_VIEW]","ALT",""))</f>
        <v/>
      </c>
      <c r="AD377" s="21">
        <f>IF(Y377&lt;&gt;"",Y377,IF(U377&lt;&gt;"",U377,S377))</f>
        <v/>
      </c>
      <c r="AE377" s="21">
        <f>IF(AB377&lt;&gt;"",AB377,Z377)</f>
        <v/>
      </c>
      <c r="AF377" s="13" t="inlineStr">
        <is>
          <t>P-8a &gt; Carrier Replacement Program &gt; Electronics &gt; AN/SLQ-25E DUAL, SURFACE SHIP TORPEDO DEFENSE SYSTEM, NIXIE 1</t>
        </is>
      </c>
      <c r="AG377" s="7" t="inlineStr">
        <is>
          <t>78</t>
        </is>
      </c>
      <c r="AH377" s="7" t="inlineStr">
        <is>
          <t>2001</t>
        </is>
      </c>
      <c r="AJ377" s="7" t="inlineStr">
        <is>
          <t>AN/SLQ-25E DUAL, SURFACE SHIP TORPEDO DEFENSE SYSTEM, NIXIE</t>
        </is>
      </c>
    </row>
    <row r="378" ht="10" customHeight="1">
      <c r="A378" s="7" t="inlineStr">
        <is>
          <t>SCN</t>
        </is>
      </c>
      <c r="B378" s="7" t="inlineStr">
        <is>
          <t>Procurement</t>
        </is>
      </c>
      <c r="D378" s="7" t="inlineStr">
        <is>
          <t>Carrier Replacement Program - P-8a Electronics - SHIPBOARD AIR TRAFFIC CONTROL COMMUNICATIONS (SATCC) 1</t>
        </is>
      </c>
      <c r="E378" s="13" t="inlineStr">
        <is>
          <t>[ALT_VIEW]</t>
        </is>
      </c>
      <c r="F378" s="7" t="inlineStr">
        <is>
          <t>2001 / Carrier Replacement Program</t>
        </is>
      </c>
      <c r="G378" s="7" t="inlineStr">
        <is>
          <t>P-8a</t>
        </is>
      </c>
      <c r="H378" s="7" t="inlineStr">
        <is>
          <t>Electronics</t>
        </is>
      </c>
      <c r="I378" s="14" t="n">
        <v>1</v>
      </c>
      <c r="J378" s="7" t="inlineStr">
        <is>
          <t>Full ship DD&amp;C</t>
        </is>
      </c>
      <c r="K378" s="13" t="inlineStr">
        <is>
          <t>USN</t>
        </is>
      </c>
      <c r="L378" s="7" t="inlineStr">
        <is>
          <t>Combatant Ships</t>
        </is>
      </c>
      <c r="M378" s="7" t="inlineStr">
        <is>
          <t>Aircraft Carriers</t>
        </is>
      </c>
      <c r="N378" s="7" t="inlineStr">
        <is>
          <t>CVN</t>
        </is>
      </c>
      <c r="O378" s="15" t="n"/>
      <c r="P378" s="16" t="n">
        <v>1980</v>
      </c>
      <c r="S378" s="16" t="n">
        <v>2888</v>
      </c>
      <c r="U378" s="16" t="n">
        <v>2888</v>
      </c>
      <c r="AC378" s="23">
        <f>IF(OR(E378="",E378="[PARENT]"),"ADD",IF(E378="[ALT_VIEW]","ALT",""))</f>
        <v/>
      </c>
      <c r="AD378" s="21">
        <f>IF(Y378&lt;&gt;"",Y378,IF(U378&lt;&gt;"",U378,S378))</f>
        <v/>
      </c>
      <c r="AE378" s="21">
        <f>IF(AB378&lt;&gt;"",AB378,Z378)</f>
        <v/>
      </c>
      <c r="AF378" s="13" t="inlineStr">
        <is>
          <t>P-8a &gt; Carrier Replacement Program &gt; Electronics &gt; SHIPBOARD AIR TRAFFIC CONTROL COMMUNICATIONS (SATCC) 1</t>
        </is>
      </c>
      <c r="AG378" s="7" t="inlineStr">
        <is>
          <t>78</t>
        </is>
      </c>
      <c r="AH378" s="7" t="inlineStr">
        <is>
          <t>2001</t>
        </is>
      </c>
      <c r="AJ378" s="7" t="inlineStr">
        <is>
          <t>SHIPBOARD AIR TRAFFIC CONTROL COMMUNICATIONS (SATCC)</t>
        </is>
      </c>
    </row>
    <row r="379" ht="10" customHeight="1">
      <c r="A379" s="7" t="inlineStr">
        <is>
          <t>SCN</t>
        </is>
      </c>
      <c r="B379" s="7" t="inlineStr">
        <is>
          <t>Procurement</t>
        </is>
      </c>
      <c r="D379" s="7" t="inlineStr">
        <is>
          <t>Carrier Replacement Program - P-8a Electronics - AN/WSN-7(V)3, RING LASER GYRO NAVIGATOR (RLGN) 1</t>
        </is>
      </c>
      <c r="E379" s="13" t="inlineStr">
        <is>
          <t>[ALT_VIEW]</t>
        </is>
      </c>
      <c r="F379" s="7" t="inlineStr">
        <is>
          <t>2001 / Carrier Replacement Program</t>
        </is>
      </c>
      <c r="G379" s="7" t="inlineStr">
        <is>
          <t>P-8a</t>
        </is>
      </c>
      <c r="H379" s="7" t="inlineStr">
        <is>
          <t>Electronics</t>
        </is>
      </c>
      <c r="I379" s="14" t="n">
        <v>1</v>
      </c>
      <c r="J379" s="7" t="inlineStr">
        <is>
          <t>Full ship DD&amp;C</t>
        </is>
      </c>
      <c r="K379" s="13" t="inlineStr">
        <is>
          <t>USN</t>
        </is>
      </c>
      <c r="L379" s="7" t="inlineStr">
        <is>
          <t>Combatant Ships</t>
        </is>
      </c>
      <c r="M379" s="7" t="inlineStr">
        <is>
          <t>Aircraft Carriers</t>
        </is>
      </c>
      <c r="N379" s="7" t="inlineStr">
        <is>
          <t>CVN</t>
        </is>
      </c>
      <c r="O379" s="15" t="n"/>
      <c r="S379" s="16" t="n">
        <v>2624</v>
      </c>
      <c r="U379" s="16" t="n">
        <v>2624</v>
      </c>
      <c r="AC379" s="23">
        <f>IF(OR(E379="",E379="[PARENT]"),"ADD",IF(E379="[ALT_VIEW]","ALT",""))</f>
        <v/>
      </c>
      <c r="AD379" s="21">
        <f>IF(Y379&lt;&gt;"",Y379,IF(U379&lt;&gt;"",U379,S379))</f>
        <v/>
      </c>
      <c r="AE379" s="21">
        <f>IF(AB379&lt;&gt;"",AB379,Z379)</f>
        <v/>
      </c>
      <c r="AF379" s="13" t="inlineStr">
        <is>
          <t>P-8a &gt; Carrier Replacement Program &gt; Electronics &gt; AN/WSN-7(V)3, RING LASER GYRO NAVIGATOR (RLGN) 1</t>
        </is>
      </c>
      <c r="AG379" s="7" t="inlineStr">
        <is>
          <t>78</t>
        </is>
      </c>
      <c r="AH379" s="7" t="inlineStr">
        <is>
          <t>2001</t>
        </is>
      </c>
      <c r="AJ379" s="7" t="inlineStr">
        <is>
          <t>AN/WSN-7(V)3, RING LASER GYRO NAVIGATOR (RLGN)</t>
        </is>
      </c>
    </row>
    <row r="380" ht="10" customHeight="1">
      <c r="A380" s="7" t="inlineStr">
        <is>
          <t>SCN</t>
        </is>
      </c>
      <c r="B380" s="7" t="inlineStr">
        <is>
          <t>Procurement</t>
        </is>
      </c>
      <c r="D380" s="7" t="inlineStr">
        <is>
          <t>Carrier Replacement Program - P-8a Electronics - DISTRIBUTED SYSTEMS DESIGN INTEGRATION SERVICES 1</t>
        </is>
      </c>
      <c r="E380" s="13" t="inlineStr">
        <is>
          <t>[ALT_VIEW]</t>
        </is>
      </c>
      <c r="F380" s="7" t="inlineStr">
        <is>
          <t>2001 / Carrier Replacement Program</t>
        </is>
      </c>
      <c r="G380" s="7" t="inlineStr">
        <is>
          <t>P-8a</t>
        </is>
      </c>
      <c r="H380" s="7" t="inlineStr">
        <is>
          <t>Electronics</t>
        </is>
      </c>
      <c r="I380" s="14" t="n">
        <v>1</v>
      </c>
      <c r="J380" s="7" t="inlineStr">
        <is>
          <t>Full ship DD&amp;C</t>
        </is>
      </c>
      <c r="K380" s="13" t="inlineStr">
        <is>
          <t>USN</t>
        </is>
      </c>
      <c r="L380" s="7" t="inlineStr">
        <is>
          <t>Combatant Ships</t>
        </is>
      </c>
      <c r="M380" s="7" t="inlineStr">
        <is>
          <t>Aircraft Carriers</t>
        </is>
      </c>
      <c r="N380" s="7" t="inlineStr">
        <is>
          <t>CVN</t>
        </is>
      </c>
      <c r="O380" s="15" t="n"/>
      <c r="P380" s="16" t="n">
        <v>7056</v>
      </c>
      <c r="S380" s="16" t="n">
        <v>19549</v>
      </c>
      <c r="U380" s="16" t="n">
        <v>19549</v>
      </c>
      <c r="AC380" s="23">
        <f>IF(OR(E380="",E380="[PARENT]"),"ADD",IF(E380="[ALT_VIEW]","ALT",""))</f>
        <v/>
      </c>
      <c r="AD380" s="21">
        <f>IF(Y380&lt;&gt;"",Y380,IF(U380&lt;&gt;"",U380,S380))</f>
        <v/>
      </c>
      <c r="AE380" s="21">
        <f>IF(AB380&lt;&gt;"",AB380,Z380)</f>
        <v/>
      </c>
      <c r="AF380" s="13" t="inlineStr">
        <is>
          <t>P-8a &gt; Carrier Replacement Program &gt; Electronics &gt; DISTRIBUTED SYSTEMS DESIGN INTEGRATION SERVICES 1</t>
        </is>
      </c>
      <c r="AG380" s="7" t="inlineStr">
        <is>
          <t>78</t>
        </is>
      </c>
      <c r="AH380" s="7" t="inlineStr">
        <is>
          <t>2001</t>
        </is>
      </c>
      <c r="AJ380" s="7" t="inlineStr">
        <is>
          <t>DISTRIBUTED SYSTEMS DESIGN INTEGRATION SERVICES</t>
        </is>
      </c>
    </row>
    <row r="381" ht="10" customHeight="1">
      <c r="A381" s="7" t="inlineStr">
        <is>
          <t>SCN</t>
        </is>
      </c>
      <c r="B381" s="7" t="inlineStr">
        <is>
          <t>Procurement</t>
        </is>
      </c>
      <c r="D381" s="7" t="inlineStr">
        <is>
          <t>Carrier Replacement Program - P-8a Electronics - C4I INTEGRATION &amp; COORDINATION</t>
        </is>
      </c>
      <c r="E381" s="13" t="inlineStr">
        <is>
          <t>[ALT_VIEW]</t>
        </is>
      </c>
      <c r="F381" s="7" t="inlineStr">
        <is>
          <t>2001 / Carrier Replacement Program</t>
        </is>
      </c>
      <c r="G381" s="7" t="inlineStr">
        <is>
          <t>P-8a</t>
        </is>
      </c>
      <c r="H381" s="7" t="inlineStr">
        <is>
          <t>Electronics</t>
        </is>
      </c>
      <c r="I381" s="14" t="n">
        <v>1</v>
      </c>
      <c r="J381" s="7" t="inlineStr">
        <is>
          <t>Full ship DD&amp;C</t>
        </is>
      </c>
      <c r="K381" s="13" t="inlineStr">
        <is>
          <t>USN</t>
        </is>
      </c>
      <c r="L381" s="7" t="inlineStr">
        <is>
          <t>Combatant Ships</t>
        </is>
      </c>
      <c r="M381" s="7" t="inlineStr">
        <is>
          <t>Aircraft Carriers</t>
        </is>
      </c>
      <c r="N381" s="7" t="inlineStr">
        <is>
          <t>CVN</t>
        </is>
      </c>
      <c r="O381" s="15" t="n"/>
      <c r="P381" s="16" t="n">
        <v>9271</v>
      </c>
      <c r="S381" s="16" t="n">
        <v>8272</v>
      </c>
      <c r="U381" s="16" t="n">
        <v>8272</v>
      </c>
      <c r="AC381" s="23">
        <f>IF(OR(E381="",E381="[PARENT]"),"ADD",IF(E381="[ALT_VIEW]","ALT",""))</f>
        <v/>
      </c>
      <c r="AD381" s="21">
        <f>IF(Y381&lt;&gt;"",Y381,IF(U381&lt;&gt;"",U381,S381))</f>
        <v/>
      </c>
      <c r="AE381" s="21">
        <f>IF(AB381&lt;&gt;"",AB381,Z381)</f>
        <v/>
      </c>
      <c r="AF381" s="13" t="inlineStr">
        <is>
          <t>P-8a &gt; Carrier Replacement Program &gt; Electronics &gt; C4I INTEGRATION &amp; COORDINATION</t>
        </is>
      </c>
      <c r="AG381" s="7" t="inlineStr">
        <is>
          <t>78</t>
        </is>
      </c>
      <c r="AH381" s="7" t="inlineStr">
        <is>
          <t>2001</t>
        </is>
      </c>
      <c r="AJ381" s="7" t="inlineStr">
        <is>
          <t>C4I INTEGRATION &amp; COORDINATION</t>
        </is>
      </c>
    </row>
    <row r="382" ht="10" customHeight="1">
      <c r="A382" s="7" t="inlineStr">
        <is>
          <t>SCN</t>
        </is>
      </c>
      <c r="B382" s="7" t="inlineStr">
        <is>
          <t>Procurement</t>
        </is>
      </c>
      <c r="D382" s="7" t="inlineStr">
        <is>
          <t>Carrier Replacement Program - P-8a Electronics - DISTRIBUTED COMMON GROUND STATION - NAVY (DCGS-N) 1</t>
        </is>
      </c>
      <c r="E382" s="13" t="inlineStr">
        <is>
          <t>[ALT_VIEW]</t>
        </is>
      </c>
      <c r="F382" s="7" t="inlineStr">
        <is>
          <t>2001 / Carrier Replacement Program</t>
        </is>
      </c>
      <c r="G382" s="7" t="inlineStr">
        <is>
          <t>P-8a</t>
        </is>
      </c>
      <c r="H382" s="7" t="inlineStr">
        <is>
          <t>Electronics</t>
        </is>
      </c>
      <c r="I382" s="14" t="n">
        <v>1</v>
      </c>
      <c r="J382" s="7" t="inlineStr">
        <is>
          <t>Full ship DD&amp;C</t>
        </is>
      </c>
      <c r="K382" s="13" t="inlineStr">
        <is>
          <t>USN</t>
        </is>
      </c>
      <c r="L382" s="7" t="inlineStr">
        <is>
          <t>Combatant Ships</t>
        </is>
      </c>
      <c r="M382" s="7" t="inlineStr">
        <is>
          <t>Aircraft Carriers</t>
        </is>
      </c>
      <c r="N382" s="7" t="inlineStr">
        <is>
          <t>CVN</t>
        </is>
      </c>
      <c r="O382" s="15" t="n"/>
      <c r="S382" s="16" t="n">
        <v>1318</v>
      </c>
      <c r="U382" s="16" t="n">
        <v>1318</v>
      </c>
      <c r="AC382" s="23">
        <f>IF(OR(E382="",E382="[PARENT]"),"ADD",IF(E382="[ALT_VIEW]","ALT",""))</f>
        <v/>
      </c>
      <c r="AD382" s="21">
        <f>IF(Y382&lt;&gt;"",Y382,IF(U382&lt;&gt;"",U382,S382))</f>
        <v/>
      </c>
      <c r="AE382" s="21">
        <f>IF(AB382&lt;&gt;"",AB382,Z382)</f>
        <v/>
      </c>
      <c r="AF382" s="13" t="inlineStr">
        <is>
          <t>P-8a &gt; Carrier Replacement Program &gt; Electronics &gt; DISTRIBUTED COMMON GROUND STATION - NAVY (DCGS-N) 1</t>
        </is>
      </c>
      <c r="AG382" s="7" t="inlineStr">
        <is>
          <t>78</t>
        </is>
      </c>
      <c r="AH382" s="7" t="inlineStr">
        <is>
          <t>2001</t>
        </is>
      </c>
      <c r="AJ382" s="7" t="inlineStr">
        <is>
          <t>DISTRIBUTED COMMON GROUND STATION - NAVY (DCGS-N)</t>
        </is>
      </c>
    </row>
    <row r="383" ht="10" customHeight="1">
      <c r="A383" s="7" t="inlineStr">
        <is>
          <t>SCN</t>
        </is>
      </c>
      <c r="B383" s="7" t="inlineStr">
        <is>
          <t>Procurement</t>
        </is>
      </c>
      <c r="D383" s="7" t="inlineStr">
        <is>
          <t>Carrier Replacement Program - P-8a Electronics - AN/USQ-144 AUTOMATED DIGITAL NETWORK SYSTEM (ADNS) 1</t>
        </is>
      </c>
      <c r="E383" s="13" t="inlineStr">
        <is>
          <t>[ALT_VIEW]</t>
        </is>
      </c>
      <c r="F383" s="7" t="inlineStr">
        <is>
          <t>2001 / Carrier Replacement Program</t>
        </is>
      </c>
      <c r="G383" s="7" t="inlineStr">
        <is>
          <t>P-8a</t>
        </is>
      </c>
      <c r="H383" s="7" t="inlineStr">
        <is>
          <t>Electronics</t>
        </is>
      </c>
      <c r="I383" s="14" t="n">
        <v>1</v>
      </c>
      <c r="J383" s="7" t="inlineStr">
        <is>
          <t>Full ship DD&amp;C</t>
        </is>
      </c>
      <c r="K383" s="13" t="inlineStr">
        <is>
          <t>USN</t>
        </is>
      </c>
      <c r="L383" s="7" t="inlineStr">
        <is>
          <t>Combatant Ships</t>
        </is>
      </c>
      <c r="M383" s="7" t="inlineStr">
        <is>
          <t>Aircraft Carriers</t>
        </is>
      </c>
      <c r="N383" s="7" t="inlineStr">
        <is>
          <t>CVN</t>
        </is>
      </c>
      <c r="O383" s="15" t="n"/>
      <c r="P383" s="16" t="n">
        <v>1184</v>
      </c>
      <c r="S383" s="16" t="n">
        <v>1811</v>
      </c>
      <c r="U383" s="16" t="n">
        <v>1811</v>
      </c>
      <c r="AC383" s="23">
        <f>IF(OR(E383="",E383="[PARENT]"),"ADD",IF(E383="[ALT_VIEW]","ALT",""))</f>
        <v/>
      </c>
      <c r="AD383" s="21">
        <f>IF(Y383&lt;&gt;"",Y383,IF(U383&lt;&gt;"",U383,S383))</f>
        <v/>
      </c>
      <c r="AE383" s="21">
        <f>IF(AB383&lt;&gt;"",AB383,Z383)</f>
        <v/>
      </c>
      <c r="AF383" s="13" t="inlineStr">
        <is>
          <t>P-8a &gt; Carrier Replacement Program &gt; Electronics &gt; AN/USQ-144 AUTOMATED DIGITAL NETWORK SYSTEM (ADNS) 1</t>
        </is>
      </c>
      <c r="AG383" s="7" t="inlineStr">
        <is>
          <t>78</t>
        </is>
      </c>
      <c r="AH383" s="7" t="inlineStr">
        <is>
          <t>2001</t>
        </is>
      </c>
      <c r="AJ383" s="7" t="inlineStr">
        <is>
          <t>AN/USQ-144 AUTOMATED DIGITAL NETWORK SYSTEM (ADNS)</t>
        </is>
      </c>
    </row>
    <row r="384" ht="10" customHeight="1">
      <c r="A384" s="7" t="inlineStr">
        <is>
          <t>SCN</t>
        </is>
      </c>
      <c r="B384" s="7" t="inlineStr">
        <is>
          <t>Procurement</t>
        </is>
      </c>
      <c r="D384" s="7" t="inlineStr">
        <is>
          <t>Carrier Replacement Program - P-8a Electronics - AN/UYQ-120(V)1 COMMAND &amp; CONTROL PROCESSOR SYSTEM (C2PS) 1</t>
        </is>
      </c>
      <c r="E384" s="13" t="inlineStr">
        <is>
          <t>[ALT_VIEW]</t>
        </is>
      </c>
      <c r="F384" s="7" t="inlineStr">
        <is>
          <t>2001 / Carrier Replacement Program</t>
        </is>
      </c>
      <c r="G384" s="7" t="inlineStr">
        <is>
          <t>P-8a</t>
        </is>
      </c>
      <c r="H384" s="7" t="inlineStr">
        <is>
          <t>Electronics</t>
        </is>
      </c>
      <c r="I384" s="14" t="n">
        <v>1</v>
      </c>
      <c r="J384" s="7" t="inlineStr">
        <is>
          <t>Full ship DD&amp;C</t>
        </is>
      </c>
      <c r="K384" s="13" t="inlineStr">
        <is>
          <t>USN</t>
        </is>
      </c>
      <c r="L384" s="7" t="inlineStr">
        <is>
          <t>Combatant Ships</t>
        </is>
      </c>
      <c r="M384" s="7" t="inlineStr">
        <is>
          <t>Aircraft Carriers</t>
        </is>
      </c>
      <c r="N384" s="7" t="inlineStr">
        <is>
          <t>CVN</t>
        </is>
      </c>
      <c r="O384" s="15" t="n"/>
      <c r="P384" s="16" t="n">
        <v>908</v>
      </c>
      <c r="S384" s="16" t="n">
        <v>1230</v>
      </c>
      <c r="U384" s="16" t="n">
        <v>1230</v>
      </c>
      <c r="AC384" s="23">
        <f>IF(OR(E384="",E384="[PARENT]"),"ADD",IF(E384="[ALT_VIEW]","ALT",""))</f>
        <v/>
      </c>
      <c r="AD384" s="21">
        <f>IF(Y384&lt;&gt;"",Y384,IF(U384&lt;&gt;"",U384,S384))</f>
        <v/>
      </c>
      <c r="AE384" s="21">
        <f>IF(AB384&lt;&gt;"",AB384,Z384)</f>
        <v/>
      </c>
      <c r="AF384" s="13" t="inlineStr">
        <is>
          <t>P-8a &gt; Carrier Replacement Program &gt; Electronics &gt; AN/UYQ-120(V)1 COMMAND &amp; CONTROL PROCESSOR SYSTEM (C2PS) 1</t>
        </is>
      </c>
      <c r="AG384" s="7" t="inlineStr">
        <is>
          <t>78</t>
        </is>
      </c>
      <c r="AH384" s="7" t="inlineStr">
        <is>
          <t>2001</t>
        </is>
      </c>
      <c r="AJ384" s="7" t="inlineStr">
        <is>
          <t>AN/UYQ-120(V)1 COMMAND &amp; CONTROL PROCESSOR SYSTEM (C2PS)</t>
        </is>
      </c>
    </row>
    <row r="385" ht="10" customHeight="1">
      <c r="A385" s="7" t="inlineStr">
        <is>
          <t>SCN</t>
        </is>
      </c>
      <c r="B385" s="7" t="inlineStr">
        <is>
          <t>Procurement</t>
        </is>
      </c>
      <c r="D385" s="7" t="inlineStr">
        <is>
          <t>Carrier Replacement Program - P-8a Electronics - OA-9277 ULTRA HIGH FREQUENCY (UHF) MULTICOUPLER 1</t>
        </is>
      </c>
      <c r="E385" s="13" t="inlineStr">
        <is>
          <t>[ALT_VIEW]</t>
        </is>
      </c>
      <c r="F385" s="7" t="inlineStr">
        <is>
          <t>2001 / Carrier Replacement Program</t>
        </is>
      </c>
      <c r="G385" s="7" t="inlineStr">
        <is>
          <t>P-8a</t>
        </is>
      </c>
      <c r="H385" s="7" t="inlineStr">
        <is>
          <t>Electronics</t>
        </is>
      </c>
      <c r="I385" s="14" t="n">
        <v>1</v>
      </c>
      <c r="J385" s="7" t="inlineStr">
        <is>
          <t>Full ship DD&amp;C</t>
        </is>
      </c>
      <c r="K385" s="13" t="inlineStr">
        <is>
          <t>USN</t>
        </is>
      </c>
      <c r="L385" s="7" t="inlineStr">
        <is>
          <t>Combatant Ships</t>
        </is>
      </c>
      <c r="M385" s="7" t="inlineStr">
        <is>
          <t>Aircraft Carriers</t>
        </is>
      </c>
      <c r="N385" s="7" t="inlineStr">
        <is>
          <t>CVN</t>
        </is>
      </c>
      <c r="O385" s="15" t="n"/>
      <c r="S385" s="16" t="n">
        <v>1822</v>
      </c>
      <c r="U385" s="16" t="n">
        <v>1822</v>
      </c>
      <c r="AC385" s="23">
        <f>IF(OR(E385="",E385="[PARENT]"),"ADD",IF(E385="[ALT_VIEW]","ALT",""))</f>
        <v/>
      </c>
      <c r="AD385" s="21">
        <f>IF(Y385&lt;&gt;"",Y385,IF(U385&lt;&gt;"",U385,S385))</f>
        <v/>
      </c>
      <c r="AE385" s="21">
        <f>IF(AB385&lt;&gt;"",AB385,Z385)</f>
        <v/>
      </c>
      <c r="AF385" s="13" t="inlineStr">
        <is>
          <t>P-8a &gt; Carrier Replacement Program &gt; Electronics &gt; OA-9277 ULTRA HIGH FREQUENCY (UHF) MULTICOUPLER 1</t>
        </is>
      </c>
      <c r="AG385" s="7" t="inlineStr">
        <is>
          <t>79</t>
        </is>
      </c>
      <c r="AH385" s="7" t="inlineStr">
        <is>
          <t>2001</t>
        </is>
      </c>
    </row>
    <row r="386" ht="10" customHeight="1">
      <c r="A386" s="7" t="inlineStr">
        <is>
          <t>SCN</t>
        </is>
      </c>
      <c r="B386" s="7" t="inlineStr">
        <is>
          <t>Procurement</t>
        </is>
      </c>
      <c r="D386" s="7" t="inlineStr">
        <is>
          <t>Carrier Replacement Program - P-8a Electronics - SIGNAL OFFICER (LSO) SYSTEM 1</t>
        </is>
      </c>
      <c r="E386" s="13" t="inlineStr">
        <is>
          <t>[ALT_VIEW]</t>
        </is>
      </c>
      <c r="F386" s="7" t="inlineStr">
        <is>
          <t>2001 / Carrier Replacement Program</t>
        </is>
      </c>
      <c r="G386" s="7" t="inlineStr">
        <is>
          <t>P-8a</t>
        </is>
      </c>
      <c r="H386" s="7" t="inlineStr">
        <is>
          <t>Electronics</t>
        </is>
      </c>
      <c r="I386" s="14" t="n">
        <v>1</v>
      </c>
      <c r="J386" s="7" t="inlineStr">
        <is>
          <t>Full ship DD&amp;C</t>
        </is>
      </c>
      <c r="K386" s="13" t="inlineStr">
        <is>
          <t>USN</t>
        </is>
      </c>
      <c r="L386" s="7" t="inlineStr">
        <is>
          <t>Combatant Ships</t>
        </is>
      </c>
      <c r="M386" s="7" t="inlineStr">
        <is>
          <t>Aircraft Carriers</t>
        </is>
      </c>
      <c r="N386" s="7" t="inlineStr">
        <is>
          <t>CVN</t>
        </is>
      </c>
      <c r="O386" s="15" t="n"/>
      <c r="P386" s="16" t="n">
        <v>1412</v>
      </c>
      <c r="S386" s="16" t="n">
        <v>2001</v>
      </c>
      <c r="U386" s="16" t="n">
        <v>2001</v>
      </c>
      <c r="AC386" s="23">
        <f>IF(OR(E386="",E386="[PARENT]"),"ADD",IF(E386="[ALT_VIEW]","ALT",""))</f>
        <v/>
      </c>
      <c r="AD386" s="21">
        <f>IF(Y386&lt;&gt;"",Y386,IF(U386&lt;&gt;"",U386,S386))</f>
        <v/>
      </c>
      <c r="AE386" s="21">
        <f>IF(AB386&lt;&gt;"",AB386,Z386)</f>
        <v/>
      </c>
      <c r="AF386" s="13" t="inlineStr">
        <is>
          <t>P-8a &gt; Carrier Replacement Program &gt; Electronics &gt; SIGNAL OFFICER (LSO) SYSTEM 1</t>
        </is>
      </c>
      <c r="AG386" s="7" t="inlineStr">
        <is>
          <t>79</t>
        </is>
      </c>
      <c r="AH386" s="7" t="inlineStr">
        <is>
          <t>2001</t>
        </is>
      </c>
    </row>
    <row r="387" ht="10" customHeight="1">
      <c r="A387" s="7" t="inlineStr">
        <is>
          <t>SCN</t>
        </is>
      </c>
      <c r="B387" s="7" t="inlineStr">
        <is>
          <t>Procurement</t>
        </is>
      </c>
      <c r="D387" s="7" t="inlineStr">
        <is>
          <t>Carrier Replacement Program - P-8a Electronics - WARFARE SYSTEM INTEGRATION</t>
        </is>
      </c>
      <c r="E387" s="13" t="inlineStr">
        <is>
          <t>[ALT_VIEW]</t>
        </is>
      </c>
      <c r="F387" s="7" t="inlineStr">
        <is>
          <t>2001 / Carrier Replacement Program</t>
        </is>
      </c>
      <c r="G387" s="7" t="inlineStr">
        <is>
          <t>P-8a</t>
        </is>
      </c>
      <c r="H387" s="7" t="inlineStr">
        <is>
          <t>Electronics</t>
        </is>
      </c>
      <c r="I387" s="14" t="n">
        <v>1</v>
      </c>
      <c r="J387" s="7" t="inlineStr">
        <is>
          <t>Full ship DD&amp;C</t>
        </is>
      </c>
      <c r="K387" s="13" t="inlineStr">
        <is>
          <t>USN</t>
        </is>
      </c>
      <c r="L387" s="7" t="inlineStr">
        <is>
          <t>Combatant Ships</t>
        </is>
      </c>
      <c r="M387" s="7" t="inlineStr">
        <is>
          <t>Aircraft Carriers</t>
        </is>
      </c>
      <c r="N387" s="7" t="inlineStr">
        <is>
          <t>CVN</t>
        </is>
      </c>
      <c r="O387" s="15" t="n"/>
      <c r="P387" s="16" t="n">
        <v>13992</v>
      </c>
      <c r="S387" s="16" t="n">
        <v>22462</v>
      </c>
      <c r="U387" s="16" t="n">
        <v>22462</v>
      </c>
      <c r="AC387" s="23">
        <f>IF(OR(E387="",E387="[PARENT]"),"ADD",IF(E387="[ALT_VIEW]","ALT",""))</f>
        <v/>
      </c>
      <c r="AD387" s="21">
        <f>IF(Y387&lt;&gt;"",Y387,IF(U387&lt;&gt;"",U387,S387))</f>
        <v/>
      </c>
      <c r="AE387" s="21">
        <f>IF(AB387&lt;&gt;"",AB387,Z387)</f>
        <v/>
      </c>
      <c r="AF387" s="13" t="inlineStr">
        <is>
          <t>P-8a &gt; Carrier Replacement Program &gt; Electronics &gt; WARFARE SYSTEM INTEGRATION</t>
        </is>
      </c>
      <c r="AG387" s="7" t="inlineStr">
        <is>
          <t>79</t>
        </is>
      </c>
      <c r="AH387" s="7" t="inlineStr">
        <is>
          <t>2001</t>
        </is>
      </c>
      <c r="AJ387" s="7" t="inlineStr">
        <is>
          <t>WARFARE SYSTEM INTEGRATION</t>
        </is>
      </c>
    </row>
    <row r="388" ht="10" customHeight="1">
      <c r="A388" s="7" t="inlineStr">
        <is>
          <t>SCN</t>
        </is>
      </c>
      <c r="B388" s="7" t="inlineStr">
        <is>
          <t>Procurement</t>
        </is>
      </c>
      <c r="D388" s="7" t="inlineStr">
        <is>
          <t>Carrier Replacement Program - P-8a Electronics - CBSP-FLV) 2</t>
        </is>
      </c>
      <c r="E388" s="13" t="inlineStr">
        <is>
          <t>[ALT_VIEW]</t>
        </is>
      </c>
      <c r="F388" s="7" t="inlineStr">
        <is>
          <t>2001 / Carrier Replacement Program</t>
        </is>
      </c>
      <c r="G388" s="7" t="inlineStr">
        <is>
          <t>P-8a</t>
        </is>
      </c>
      <c r="H388" s="7" t="inlineStr">
        <is>
          <t>Electronics</t>
        </is>
      </c>
      <c r="I388" s="14" t="n">
        <v>1</v>
      </c>
      <c r="J388" s="7" t="inlineStr">
        <is>
          <t>Full ship DD&amp;C</t>
        </is>
      </c>
      <c r="K388" s="13" t="inlineStr">
        <is>
          <t>USN</t>
        </is>
      </c>
      <c r="L388" s="7" t="inlineStr">
        <is>
          <t>Combatant Ships</t>
        </is>
      </c>
      <c r="M388" s="7" t="inlineStr">
        <is>
          <t>Aircraft Carriers</t>
        </is>
      </c>
      <c r="N388" s="7" t="inlineStr">
        <is>
          <t>CVN</t>
        </is>
      </c>
      <c r="O388" s="15" t="n"/>
      <c r="P388" s="16" t="n">
        <v>2240</v>
      </c>
      <c r="S388" s="16" t="n">
        <v>3430</v>
      </c>
      <c r="U388" s="16" t="n">
        <v>3430</v>
      </c>
      <c r="AC388" s="23">
        <f>IF(OR(E388="",E388="[PARENT]"),"ADD",IF(E388="[ALT_VIEW]","ALT",""))</f>
        <v/>
      </c>
      <c r="AD388" s="21">
        <f>IF(Y388&lt;&gt;"",Y388,IF(U388&lt;&gt;"",U388,S388))</f>
        <v/>
      </c>
      <c r="AE388" s="21">
        <f>IF(AB388&lt;&gt;"",AB388,Z388)</f>
        <v/>
      </c>
      <c r="AF388" s="13" t="inlineStr">
        <is>
          <t>P-8a &gt; Carrier Replacement Program &gt; Electronics &gt; CBSP-FLV) 2</t>
        </is>
      </c>
      <c r="AG388" s="7" t="inlineStr">
        <is>
          <t>79</t>
        </is>
      </c>
      <c r="AH388" s="7" t="inlineStr">
        <is>
          <t>2001</t>
        </is>
      </c>
    </row>
    <row r="389" ht="10" customHeight="1">
      <c r="A389" s="7" t="inlineStr">
        <is>
          <t>SCN</t>
        </is>
      </c>
      <c r="B389" s="7" t="inlineStr">
        <is>
          <t>Procurement</t>
        </is>
      </c>
      <c r="D389" s="7" t="inlineStr">
        <is>
          <t>Carrier Replacement Program - P-8a Electronics - AN/SSN-6(V)X BLOCK 4, NAVIGATION SENSOR SYSTEM INTERFACE (NAVSSI) 1</t>
        </is>
      </c>
      <c r="E389" s="13" t="inlineStr">
        <is>
          <t>[ALT_VIEW]</t>
        </is>
      </c>
      <c r="F389" s="7" t="inlineStr">
        <is>
          <t>2001 / Carrier Replacement Program</t>
        </is>
      </c>
      <c r="G389" s="7" t="inlineStr">
        <is>
          <t>P-8a</t>
        </is>
      </c>
      <c r="H389" s="7" t="inlineStr">
        <is>
          <t>Electronics</t>
        </is>
      </c>
      <c r="I389" s="14" t="n">
        <v>1</v>
      </c>
      <c r="J389" s="7" t="inlineStr">
        <is>
          <t>Full ship DD&amp;C</t>
        </is>
      </c>
      <c r="K389" s="13" t="inlineStr">
        <is>
          <t>USN</t>
        </is>
      </c>
      <c r="L389" s="7" t="inlineStr">
        <is>
          <t>Combatant Ships</t>
        </is>
      </c>
      <c r="M389" s="7" t="inlineStr">
        <is>
          <t>Aircraft Carriers</t>
        </is>
      </c>
      <c r="N389" s="7" t="inlineStr">
        <is>
          <t>CVN</t>
        </is>
      </c>
      <c r="O389" s="15" t="n"/>
      <c r="S389" s="16" t="n">
        <v>2308</v>
      </c>
      <c r="U389" s="16" t="n">
        <v>2308</v>
      </c>
      <c r="AC389" s="23">
        <f>IF(OR(E389="",E389="[PARENT]"),"ADD",IF(E389="[ALT_VIEW]","ALT",""))</f>
        <v/>
      </c>
      <c r="AD389" s="21">
        <f>IF(Y389&lt;&gt;"",Y389,IF(U389&lt;&gt;"",U389,S389))</f>
        <v/>
      </c>
      <c r="AE389" s="21">
        <f>IF(AB389&lt;&gt;"",AB389,Z389)</f>
        <v/>
      </c>
      <c r="AF389" s="13" t="inlineStr">
        <is>
          <t>P-8a &gt; Carrier Replacement Program &gt; Electronics &gt; AN/SSN-6(V)X BLOCK 4, NAVIGATION SENSOR SYSTEM INTERFACE (NAVSSI) 1</t>
        </is>
      </c>
      <c r="AG389" s="7" t="inlineStr">
        <is>
          <t>79</t>
        </is>
      </c>
      <c r="AH389" s="7" t="inlineStr">
        <is>
          <t>2001</t>
        </is>
      </c>
      <c r="AJ389" s="7" t="inlineStr">
        <is>
          <t>AN/SSN-6(V)X BLOCK 4, NAVIGATION SENSOR SYSTEM INTERFACE (NAVSSI)</t>
        </is>
      </c>
    </row>
    <row r="390" ht="10" customHeight="1">
      <c r="A390" s="7" t="inlineStr">
        <is>
          <t>SCN</t>
        </is>
      </c>
      <c r="B390" s="7" t="inlineStr">
        <is>
          <t>Procurement</t>
        </is>
      </c>
      <c r="D390" s="7" t="inlineStr">
        <is>
          <t>Carrier Replacement Program - P-8a Electronics - GLOBAL POSITIONING SYSTEM, NAVIGATION, AND TIMING SERVICE (GPNTS) 0 - 1</t>
        </is>
      </c>
      <c r="E390" s="13" t="inlineStr">
        <is>
          <t>[ALT_VIEW]</t>
        </is>
      </c>
      <c r="F390" s="7" t="inlineStr">
        <is>
          <t>2001 / Carrier Replacement Program</t>
        </is>
      </c>
      <c r="G390" s="7" t="inlineStr">
        <is>
          <t>P-8a</t>
        </is>
      </c>
      <c r="H390" s="7" t="inlineStr">
        <is>
          <t>Electronics</t>
        </is>
      </c>
      <c r="I390" s="14" t="n">
        <v>1</v>
      </c>
      <c r="J390" s="7" t="inlineStr">
        <is>
          <t>Full ship DD&amp;C</t>
        </is>
      </c>
      <c r="K390" s="13" t="inlineStr">
        <is>
          <t>USN</t>
        </is>
      </c>
      <c r="L390" s="7" t="inlineStr">
        <is>
          <t>Combatant Ships</t>
        </is>
      </c>
      <c r="M390" s="7" t="inlineStr">
        <is>
          <t>Aircraft Carriers</t>
        </is>
      </c>
      <c r="N390" s="7" t="inlineStr">
        <is>
          <t>CVN</t>
        </is>
      </c>
      <c r="O390" s="15" t="n"/>
      <c r="S390" s="16" t="n">
        <v>2262</v>
      </c>
      <c r="U390" s="16" t="n">
        <v>2262</v>
      </c>
      <c r="AC390" s="23">
        <f>IF(OR(E390="",E390="[PARENT]"),"ADD",IF(E390="[ALT_VIEW]","ALT",""))</f>
        <v/>
      </c>
      <c r="AD390" s="21">
        <f>IF(Y390&lt;&gt;"",Y390,IF(U390&lt;&gt;"",U390,S390))</f>
        <v/>
      </c>
      <c r="AE390" s="21">
        <f>IF(AB390&lt;&gt;"",AB390,Z390)</f>
        <v/>
      </c>
      <c r="AF390" s="13" t="inlineStr">
        <is>
          <t>P-8a &gt; Carrier Replacement Program &gt; Electronics &gt; GLOBAL POSITIONING SYSTEM, NAVIGATION, AND TIMING SERVICE (GPNTS) 0 - 1</t>
        </is>
      </c>
      <c r="AG390" s="7" t="inlineStr">
        <is>
          <t>79</t>
        </is>
      </c>
      <c r="AH390" s="7" t="inlineStr">
        <is>
          <t>2001</t>
        </is>
      </c>
      <c r="AJ390" s="7" t="inlineStr">
        <is>
          <t>GLOBAL POSITIONING SYSTEM, NAVIGATION, AND TIMING SERVICE (GPNTS)</t>
        </is>
      </c>
    </row>
    <row r="391" ht="10" customHeight="1">
      <c r="A391" s="7" t="inlineStr">
        <is>
          <t>SCN</t>
        </is>
      </c>
      <c r="B391" s="7" t="inlineStr">
        <is>
          <t>Procurement</t>
        </is>
      </c>
      <c r="D391" s="7" t="inlineStr">
        <is>
          <t>Carrier Replacement Program - P-8a Electronics - INTEGRATED STRIKE PLANNING &amp; EXECUTION SYSTEMS (ISP&amp;E) 1</t>
        </is>
      </c>
      <c r="E391" s="13" t="inlineStr">
        <is>
          <t>[ALT_VIEW]</t>
        </is>
      </c>
      <c r="F391" s="7" t="inlineStr">
        <is>
          <t>2001 / Carrier Replacement Program</t>
        </is>
      </c>
      <c r="G391" s="7" t="inlineStr">
        <is>
          <t>P-8a</t>
        </is>
      </c>
      <c r="H391" s="7" t="inlineStr">
        <is>
          <t>Electronics</t>
        </is>
      </c>
      <c r="I391" s="14" t="n">
        <v>1</v>
      </c>
      <c r="J391" s="7" t="inlineStr">
        <is>
          <t>Full ship DD&amp;C</t>
        </is>
      </c>
      <c r="K391" s="13" t="inlineStr">
        <is>
          <t>USN</t>
        </is>
      </c>
      <c r="L391" s="7" t="inlineStr">
        <is>
          <t>Combatant Ships</t>
        </is>
      </c>
      <c r="M391" s="7" t="inlineStr">
        <is>
          <t>Aircraft Carriers</t>
        </is>
      </c>
      <c r="N391" s="7" t="inlineStr">
        <is>
          <t>CVN</t>
        </is>
      </c>
      <c r="O391" s="15" t="n"/>
      <c r="P391" s="16" t="n">
        <v>2594</v>
      </c>
      <c r="S391" s="16" t="n">
        <v>3215</v>
      </c>
      <c r="U391" s="16" t="n">
        <v>3215</v>
      </c>
      <c r="AC391" s="23">
        <f>IF(OR(E391="",E391="[PARENT]"),"ADD",IF(E391="[ALT_VIEW]","ALT",""))</f>
        <v/>
      </c>
      <c r="AD391" s="21">
        <f>IF(Y391&lt;&gt;"",Y391,IF(U391&lt;&gt;"",U391,S391))</f>
        <v/>
      </c>
      <c r="AE391" s="21">
        <f>IF(AB391&lt;&gt;"",AB391,Z391)</f>
        <v/>
      </c>
      <c r="AF391" s="13" t="inlineStr">
        <is>
          <t>P-8a &gt; Carrier Replacement Program &gt; Electronics &gt; INTEGRATED STRIKE PLANNING &amp; EXECUTION SYSTEMS (ISP&amp;E) 1</t>
        </is>
      </c>
      <c r="AG391" s="7" t="inlineStr">
        <is>
          <t>79</t>
        </is>
      </c>
      <c r="AH391" s="7" t="inlineStr">
        <is>
          <t>2001</t>
        </is>
      </c>
      <c r="AJ391" s="7" t="inlineStr">
        <is>
          <t>INTEGRATED STRIKE PLANNING &amp; EXECUTION SYSTEMS (ISP&amp;E)</t>
        </is>
      </c>
    </row>
    <row r="392" ht="10" customHeight="1">
      <c r="A392" s="7" t="inlineStr">
        <is>
          <t>SCN</t>
        </is>
      </c>
      <c r="B392" s="7" t="inlineStr">
        <is>
          <t>Procurement</t>
        </is>
      </c>
      <c r="D392" s="7" t="inlineStr">
        <is>
          <t>Carrier Replacement Program - P-8a Electronics - AN/USQ-123(V), COMMUNICATIONS DATA LINK-SYSTEM (CDL-S) 1</t>
        </is>
      </c>
      <c r="E392" s="13" t="inlineStr">
        <is>
          <t>[ALT_VIEW]</t>
        </is>
      </c>
      <c r="F392" s="7" t="inlineStr">
        <is>
          <t>2001 / Carrier Replacement Program</t>
        </is>
      </c>
      <c r="G392" s="7" t="inlineStr">
        <is>
          <t>P-8a</t>
        </is>
      </c>
      <c r="H392" s="7" t="inlineStr">
        <is>
          <t>Electronics</t>
        </is>
      </c>
      <c r="I392" s="14" t="n">
        <v>1</v>
      </c>
      <c r="J392" s="7" t="inlineStr">
        <is>
          <t>Full ship DD&amp;C</t>
        </is>
      </c>
      <c r="K392" s="13" t="inlineStr">
        <is>
          <t>USN</t>
        </is>
      </c>
      <c r="L392" s="7" t="inlineStr">
        <is>
          <t>Combatant Ships</t>
        </is>
      </c>
      <c r="M392" s="7" t="inlineStr">
        <is>
          <t>Aircraft Carriers</t>
        </is>
      </c>
      <c r="N392" s="7" t="inlineStr">
        <is>
          <t>CVN</t>
        </is>
      </c>
      <c r="O392" s="15" t="n"/>
      <c r="S392" s="16" t="n">
        <v>990</v>
      </c>
      <c r="U392" s="16" t="n">
        <v>990</v>
      </c>
      <c r="AC392" s="23">
        <f>IF(OR(E392="",E392="[PARENT]"),"ADD",IF(E392="[ALT_VIEW]","ALT",""))</f>
        <v/>
      </c>
      <c r="AD392" s="21">
        <f>IF(Y392&lt;&gt;"",Y392,IF(U392&lt;&gt;"",U392,S392))</f>
        <v/>
      </c>
      <c r="AE392" s="21">
        <f>IF(AB392&lt;&gt;"",AB392,Z392)</f>
        <v/>
      </c>
      <c r="AF392" s="13" t="inlineStr">
        <is>
          <t>P-8a &gt; Carrier Replacement Program &gt; Electronics &gt; AN/USQ-123(V), COMMUNICATIONS DATA LINK-SYSTEM (CDL-S) 1</t>
        </is>
      </c>
      <c r="AG392" s="7" t="inlineStr">
        <is>
          <t>79</t>
        </is>
      </c>
      <c r="AH392" s="7" t="inlineStr">
        <is>
          <t>2001</t>
        </is>
      </c>
      <c r="AJ392" s="7" t="inlineStr">
        <is>
          <t>AN/USQ-123(V), COMMUNICATIONS DATA LINK-SYSTEM (CDL-S)</t>
        </is>
      </c>
    </row>
    <row r="393" ht="10" customHeight="1">
      <c r="A393" s="7" t="inlineStr">
        <is>
          <t>SCN</t>
        </is>
      </c>
      <c r="B393" s="7" t="inlineStr">
        <is>
          <t>Procurement</t>
        </is>
      </c>
      <c r="D393" s="7" t="inlineStr">
        <is>
          <t>Carrier Replacement Program - P-8a Electronics - AN/SPN-41 (V), INSTRUMENT LANDING SYSTEM (ILS) 1</t>
        </is>
      </c>
      <c r="E393" s="13" t="inlineStr">
        <is>
          <t>[ALT_VIEW]</t>
        </is>
      </c>
      <c r="F393" s="7" t="inlineStr">
        <is>
          <t>2001 / Carrier Replacement Program</t>
        </is>
      </c>
      <c r="G393" s="7" t="inlineStr">
        <is>
          <t>P-8a</t>
        </is>
      </c>
      <c r="H393" s="7" t="inlineStr">
        <is>
          <t>Electronics</t>
        </is>
      </c>
      <c r="I393" s="14" t="n">
        <v>1</v>
      </c>
      <c r="J393" s="7" t="inlineStr">
        <is>
          <t>Full ship DD&amp;C</t>
        </is>
      </c>
      <c r="K393" s="13" t="inlineStr">
        <is>
          <t>USN</t>
        </is>
      </c>
      <c r="L393" s="7" t="inlineStr">
        <is>
          <t>Combatant Ships</t>
        </is>
      </c>
      <c r="M393" s="7" t="inlineStr">
        <is>
          <t>Aircraft Carriers</t>
        </is>
      </c>
      <c r="N393" s="7" t="inlineStr">
        <is>
          <t>CVN</t>
        </is>
      </c>
      <c r="O393" s="15" t="n"/>
      <c r="P393" s="16" t="n">
        <v>3524</v>
      </c>
      <c r="S393" s="16" t="n">
        <v>3928</v>
      </c>
      <c r="U393" s="16" t="n">
        <v>3928</v>
      </c>
      <c r="AC393" s="23">
        <f>IF(OR(E393="",E393="[PARENT]"),"ADD",IF(E393="[ALT_VIEW]","ALT",""))</f>
        <v/>
      </c>
      <c r="AD393" s="21">
        <f>IF(Y393&lt;&gt;"",Y393,IF(U393&lt;&gt;"",U393,S393))</f>
        <v/>
      </c>
      <c r="AE393" s="21">
        <f>IF(AB393&lt;&gt;"",AB393,Z393)</f>
        <v/>
      </c>
      <c r="AF393" s="13" t="inlineStr">
        <is>
          <t>P-8a &gt; Carrier Replacement Program &gt; Electronics &gt; AN/SPN-41 (V), INSTRUMENT LANDING SYSTEM (ILS) 1</t>
        </is>
      </c>
      <c r="AG393" s="7" t="inlineStr">
        <is>
          <t>79</t>
        </is>
      </c>
      <c r="AH393" s="7" t="inlineStr">
        <is>
          <t>2001</t>
        </is>
      </c>
      <c r="AJ393" s="7" t="inlineStr">
        <is>
          <t>AN/SPN-41 (V), INSTRUMENT LANDING SYSTEM (ILS)</t>
        </is>
      </c>
    </row>
    <row r="394" ht="10" customHeight="1">
      <c r="A394" s="7" t="inlineStr">
        <is>
          <t>SCN</t>
        </is>
      </c>
      <c r="B394" s="7" t="inlineStr">
        <is>
          <t>Procurement</t>
        </is>
      </c>
      <c r="D394" s="7" t="inlineStr">
        <is>
          <t>Carrier Replacement Program - P-8a Electronics - SHIP SIGNAL EXPLOITATION SPACE (SSES/SI) COMMUNICATIONS 1</t>
        </is>
      </c>
      <c r="E394" s="13" t="inlineStr">
        <is>
          <t>[ALT_VIEW]</t>
        </is>
      </c>
      <c r="F394" s="7" t="inlineStr">
        <is>
          <t>2001 / Carrier Replacement Program</t>
        </is>
      </c>
      <c r="G394" s="7" t="inlineStr">
        <is>
          <t>P-8a</t>
        </is>
      </c>
      <c r="H394" s="7" t="inlineStr">
        <is>
          <t>Electronics</t>
        </is>
      </c>
      <c r="I394" s="14" t="n">
        <v>1</v>
      </c>
      <c r="J394" s="7" t="inlineStr">
        <is>
          <t>Full ship DD&amp;C</t>
        </is>
      </c>
      <c r="K394" s="13" t="inlineStr">
        <is>
          <t>USN</t>
        </is>
      </c>
      <c r="L394" s="7" t="inlineStr">
        <is>
          <t>Combatant Ships</t>
        </is>
      </c>
      <c r="M394" s="7" t="inlineStr">
        <is>
          <t>Aircraft Carriers</t>
        </is>
      </c>
      <c r="N394" s="7" t="inlineStr">
        <is>
          <t>CVN</t>
        </is>
      </c>
      <c r="O394" s="15" t="n"/>
      <c r="P394" s="16" t="n">
        <v>2898</v>
      </c>
      <c r="S394" s="16" t="n">
        <v>3887</v>
      </c>
      <c r="U394" s="16" t="n">
        <v>3887</v>
      </c>
      <c r="AC394" s="23">
        <f>IF(OR(E394="",E394="[PARENT]"),"ADD",IF(E394="[ALT_VIEW]","ALT",""))</f>
        <v/>
      </c>
      <c r="AD394" s="21">
        <f>IF(Y394&lt;&gt;"",Y394,IF(U394&lt;&gt;"",U394,S394))</f>
        <v/>
      </c>
      <c r="AE394" s="21">
        <f>IF(AB394&lt;&gt;"",AB394,Z394)</f>
        <v/>
      </c>
      <c r="AF394" s="13" t="inlineStr">
        <is>
          <t>P-8a &gt; Carrier Replacement Program &gt; Electronics &gt; SHIP SIGNAL EXPLOITATION SPACE (SSES/SI) COMMUNICATIONS 1</t>
        </is>
      </c>
      <c r="AG394" s="7" t="inlineStr">
        <is>
          <t>79</t>
        </is>
      </c>
      <c r="AH394" s="7" t="inlineStr">
        <is>
          <t>2001</t>
        </is>
      </c>
      <c r="AJ394" s="7" t="inlineStr">
        <is>
          <t>SHIP SIGNAL EXPLOITATION SPACE (SSES/SI) COMMUNICATIONS</t>
        </is>
      </c>
    </row>
    <row r="395" ht="10" customHeight="1">
      <c r="A395" s="7" t="inlineStr">
        <is>
          <t>SCN</t>
        </is>
      </c>
      <c r="B395" s="7" t="inlineStr">
        <is>
          <t>Procurement</t>
        </is>
      </c>
      <c r="D395" s="7" t="inlineStr">
        <is>
          <t>Carrier Replacement Program - P-8a Electronics - TURNKEY RADIO COMMUNICATIONS SYSTEM (RCS) 1</t>
        </is>
      </c>
      <c r="E395" s="13" t="inlineStr">
        <is>
          <t>[ALT_VIEW]</t>
        </is>
      </c>
      <c r="F395" s="7" t="inlineStr">
        <is>
          <t>2001 / Carrier Replacement Program</t>
        </is>
      </c>
      <c r="G395" s="7" t="inlineStr">
        <is>
          <t>P-8a</t>
        </is>
      </c>
      <c r="H395" s="7" t="inlineStr">
        <is>
          <t>Electronics</t>
        </is>
      </c>
      <c r="I395" s="14" t="n">
        <v>1</v>
      </c>
      <c r="J395" s="7" t="inlineStr">
        <is>
          <t>Full ship DD&amp;C</t>
        </is>
      </c>
      <c r="K395" s="13" t="inlineStr">
        <is>
          <t>USN</t>
        </is>
      </c>
      <c r="L395" s="7" t="inlineStr">
        <is>
          <t>Combatant Ships</t>
        </is>
      </c>
      <c r="M395" s="7" t="inlineStr">
        <is>
          <t>Aircraft Carriers</t>
        </is>
      </c>
      <c r="N395" s="7" t="inlineStr">
        <is>
          <t>CVN</t>
        </is>
      </c>
      <c r="O395" s="15" t="n"/>
      <c r="P395" s="16" t="n">
        <v>18058</v>
      </c>
      <c r="S395" s="16" t="n">
        <v>18809</v>
      </c>
      <c r="U395" s="16" t="n">
        <v>18809</v>
      </c>
      <c r="AC395" s="23">
        <f>IF(OR(E395="",E395="[PARENT]"),"ADD",IF(E395="[ALT_VIEW]","ALT",""))</f>
        <v/>
      </c>
      <c r="AD395" s="21">
        <f>IF(Y395&lt;&gt;"",Y395,IF(U395&lt;&gt;"",U395,S395))</f>
        <v/>
      </c>
      <c r="AE395" s="21">
        <f>IF(AB395&lt;&gt;"",AB395,Z395)</f>
        <v/>
      </c>
      <c r="AF395" s="13" t="inlineStr">
        <is>
          <t>P-8a &gt; Carrier Replacement Program &gt; Electronics &gt; TURNKEY RADIO COMMUNICATIONS SYSTEM (RCS) 1</t>
        </is>
      </c>
      <c r="AG395" s="7" t="inlineStr">
        <is>
          <t>79</t>
        </is>
      </c>
      <c r="AH395" s="7" t="inlineStr">
        <is>
          <t>2001</t>
        </is>
      </c>
      <c r="AJ395" s="7" t="inlineStr">
        <is>
          <t>TURNKEY RADIO COMMUNICATIONS SYSTEM (RCS)</t>
        </is>
      </c>
    </row>
    <row r="396" ht="10" customHeight="1">
      <c r="A396" s="7" t="inlineStr">
        <is>
          <t>SCN</t>
        </is>
      </c>
      <c r="B396" s="7" t="inlineStr">
        <is>
          <t>Procurement</t>
        </is>
      </c>
      <c r="D396" s="7" t="inlineStr">
        <is>
          <t>Carrier Replacement Program - P-8a Electronics - ATD) 1</t>
        </is>
      </c>
      <c r="E396" s="13" t="inlineStr">
        <is>
          <t>[ALT_VIEW]</t>
        </is>
      </c>
      <c r="F396" s="7" t="inlineStr">
        <is>
          <t>2001 / Carrier Replacement Program</t>
        </is>
      </c>
      <c r="G396" s="7" t="inlineStr">
        <is>
          <t>P-8a</t>
        </is>
      </c>
      <c r="H396" s="7" t="inlineStr">
        <is>
          <t>Electronics</t>
        </is>
      </c>
      <c r="I396" s="14" t="n">
        <v>1</v>
      </c>
      <c r="J396" s="7" t="inlineStr">
        <is>
          <t>Full ship DD&amp;C</t>
        </is>
      </c>
      <c r="K396" s="13" t="inlineStr">
        <is>
          <t>USN</t>
        </is>
      </c>
      <c r="L396" s="7" t="inlineStr">
        <is>
          <t>Combatant Ships</t>
        </is>
      </c>
      <c r="M396" s="7" t="inlineStr">
        <is>
          <t>Aircraft Carriers</t>
        </is>
      </c>
      <c r="N396" s="7" t="inlineStr">
        <is>
          <t>CVN</t>
        </is>
      </c>
      <c r="O396" s="15" t="n"/>
      <c r="P396" s="16" t="n">
        <v>1239</v>
      </c>
      <c r="S396" s="16" t="n">
        <v>1831</v>
      </c>
      <c r="U396" s="16" t="n">
        <v>1831</v>
      </c>
      <c r="AC396" s="23">
        <f>IF(OR(E396="",E396="[PARENT]"),"ADD",IF(E396="[ALT_VIEW]","ALT",""))</f>
        <v/>
      </c>
      <c r="AD396" s="21">
        <f>IF(Y396&lt;&gt;"",Y396,IF(U396&lt;&gt;"",U396,S396))</f>
        <v/>
      </c>
      <c r="AE396" s="21">
        <f>IF(AB396&lt;&gt;"",AB396,Z396)</f>
        <v/>
      </c>
      <c r="AF396" s="13" t="inlineStr">
        <is>
          <t>P-8a &gt; Carrier Replacement Program &gt; Electronics &gt; ATD) 1</t>
        </is>
      </c>
      <c r="AG396" s="7" t="inlineStr">
        <is>
          <t>79</t>
        </is>
      </c>
      <c r="AH396" s="7" t="inlineStr">
        <is>
          <t>2001</t>
        </is>
      </c>
    </row>
    <row r="397" ht="10" customHeight="1">
      <c r="A397" s="7" t="inlineStr">
        <is>
          <t>SCN</t>
        </is>
      </c>
      <c r="B397" s="7" t="inlineStr">
        <is>
          <t>Procurement</t>
        </is>
      </c>
      <c r="D397" s="7" t="inlineStr">
        <is>
          <t>Carrier Replacement Program - P-8a Electronics - AN/SPS-73(V)18 NEXT GENERATION SURFACE SEARCH RADAR (NGSSR) 0 - 1</t>
        </is>
      </c>
      <c r="E397" s="13" t="inlineStr">
        <is>
          <t>[ALT_VIEW]</t>
        </is>
      </c>
      <c r="F397" s="7" t="inlineStr">
        <is>
          <t>2001 / Carrier Replacement Program</t>
        </is>
      </c>
      <c r="G397" s="7" t="inlineStr">
        <is>
          <t>P-8a</t>
        </is>
      </c>
      <c r="H397" s="7" t="inlineStr">
        <is>
          <t>Electronics</t>
        </is>
      </c>
      <c r="I397" s="14" t="n">
        <v>1</v>
      </c>
      <c r="J397" s="7" t="inlineStr">
        <is>
          <t>Full ship DD&amp;C</t>
        </is>
      </c>
      <c r="K397" s="13" t="inlineStr">
        <is>
          <t>USN</t>
        </is>
      </c>
      <c r="L397" s="7" t="inlineStr">
        <is>
          <t>Combatant Ships</t>
        </is>
      </c>
      <c r="M397" s="7" t="inlineStr">
        <is>
          <t>Aircraft Carriers</t>
        </is>
      </c>
      <c r="N397" s="7" t="inlineStr">
        <is>
          <t>CVN</t>
        </is>
      </c>
      <c r="O397" s="15" t="n"/>
      <c r="S397" s="16" t="n">
        <v>3424</v>
      </c>
      <c r="U397" s="16" t="n">
        <v>3424</v>
      </c>
      <c r="AC397" s="23">
        <f>IF(OR(E397="",E397="[PARENT]"),"ADD",IF(E397="[ALT_VIEW]","ALT",""))</f>
        <v/>
      </c>
      <c r="AD397" s="21">
        <f>IF(Y397&lt;&gt;"",Y397,IF(U397&lt;&gt;"",U397,S397))</f>
        <v/>
      </c>
      <c r="AE397" s="21">
        <f>IF(AB397&lt;&gt;"",AB397,Z397)</f>
        <v/>
      </c>
      <c r="AF397" s="13" t="inlineStr">
        <is>
          <t>P-8a &gt; Carrier Replacement Program &gt; Electronics &gt; AN/SPS-73(V)18 NEXT GENERATION SURFACE SEARCH RADAR (NGSSR) 0 - 1</t>
        </is>
      </c>
      <c r="AG397" s="7" t="inlineStr">
        <is>
          <t>79</t>
        </is>
      </c>
      <c r="AH397" s="7" t="inlineStr">
        <is>
          <t>2001</t>
        </is>
      </c>
      <c r="AJ397" s="7" t="inlineStr">
        <is>
          <t>AN/SPS-73(V)18 NEXT GENERATION SURFACE SEARCH RADAR (NGSSR)</t>
        </is>
      </c>
    </row>
    <row r="398" ht="10" customHeight="1">
      <c r="A398" s="7" t="inlineStr">
        <is>
          <t>SCN</t>
        </is>
      </c>
      <c r="B398" s="7" t="inlineStr">
        <is>
          <t>Procurement</t>
        </is>
      </c>
      <c r="D398" s="7" t="inlineStr">
        <is>
          <t>Carrier Replacement Program - P-8a Electronics - READY ROOM (JSF) MODIFICATIONS</t>
        </is>
      </c>
      <c r="E398" s="13" t="inlineStr">
        <is>
          <t>[ALT_VIEW]</t>
        </is>
      </c>
      <c r="F398" s="7" t="inlineStr">
        <is>
          <t>2001 / Carrier Replacement Program</t>
        </is>
      </c>
      <c r="G398" s="7" t="inlineStr">
        <is>
          <t>P-8a</t>
        </is>
      </c>
      <c r="H398" s="7" t="inlineStr">
        <is>
          <t>Electronics</t>
        </is>
      </c>
      <c r="I398" s="14" t="n">
        <v>1</v>
      </c>
      <c r="J398" s="7" t="inlineStr">
        <is>
          <t>Full ship DD&amp;C</t>
        </is>
      </c>
      <c r="K398" s="13" t="inlineStr">
        <is>
          <t>USN</t>
        </is>
      </c>
      <c r="L398" s="7" t="inlineStr">
        <is>
          <t>Combatant Ships</t>
        </is>
      </c>
      <c r="M398" s="7" t="inlineStr">
        <is>
          <t>Aircraft Carriers</t>
        </is>
      </c>
      <c r="N398" s="7" t="inlineStr">
        <is>
          <t>CVN</t>
        </is>
      </c>
      <c r="O398" s="15" t="n"/>
      <c r="P398" s="16" t="n">
        <v>4544</v>
      </c>
      <c r="S398" s="16" t="n">
        <v>7900</v>
      </c>
      <c r="U398" s="16" t="n">
        <v>7900</v>
      </c>
      <c r="AC398" s="23">
        <f>IF(OR(E398="",E398="[PARENT]"),"ADD",IF(E398="[ALT_VIEW]","ALT",""))</f>
        <v/>
      </c>
      <c r="AD398" s="21">
        <f>IF(Y398&lt;&gt;"",Y398,IF(U398&lt;&gt;"",U398,S398))</f>
        <v/>
      </c>
      <c r="AE398" s="21">
        <f>IF(AB398&lt;&gt;"",AB398,Z398)</f>
        <v/>
      </c>
      <c r="AF398" s="13" t="inlineStr">
        <is>
          <t>P-8a &gt; Carrier Replacement Program &gt; Electronics &gt; READY ROOM (JSF) MODIFICATIONS</t>
        </is>
      </c>
      <c r="AG398" s="7" t="inlineStr">
        <is>
          <t>79</t>
        </is>
      </c>
      <c r="AH398" s="7" t="inlineStr">
        <is>
          <t>2001</t>
        </is>
      </c>
      <c r="AJ398" s="7" t="inlineStr">
        <is>
          <t>READY ROOM (JSF) MODIFICATIONS</t>
        </is>
      </c>
    </row>
    <row r="399" ht="10" customHeight="1">
      <c r="A399" s="7" t="inlineStr">
        <is>
          <t>SCN</t>
        </is>
      </c>
      <c r="B399" s="7" t="inlineStr">
        <is>
          <t>Procurement</t>
        </is>
      </c>
      <c r="D399" s="7" t="inlineStr">
        <is>
          <t>Carrier Replacement Program - P-8a Electronics - LITHIUM ION BATTERY HANDLING &amp; STORAGE</t>
        </is>
      </c>
      <c r="E399" s="13" t="inlineStr">
        <is>
          <t>[ALT_VIEW]</t>
        </is>
      </c>
      <c r="F399" s="7" t="inlineStr">
        <is>
          <t>2001 / Carrier Replacement Program</t>
        </is>
      </c>
      <c r="G399" s="7" t="inlineStr">
        <is>
          <t>P-8a</t>
        </is>
      </c>
      <c r="H399" s="7" t="inlineStr">
        <is>
          <t>Electronics</t>
        </is>
      </c>
      <c r="I399" s="14" t="n">
        <v>1</v>
      </c>
      <c r="J399" s="7" t="inlineStr">
        <is>
          <t>Full ship DD&amp;C</t>
        </is>
      </c>
      <c r="K399" s="13" t="inlineStr">
        <is>
          <t>USN</t>
        </is>
      </c>
      <c r="L399" s="7" t="inlineStr">
        <is>
          <t>Combatant Ships</t>
        </is>
      </c>
      <c r="M399" s="7" t="inlineStr">
        <is>
          <t>Aircraft Carriers</t>
        </is>
      </c>
      <c r="N399" s="7" t="inlineStr">
        <is>
          <t>CVN</t>
        </is>
      </c>
      <c r="O399" s="15" t="n"/>
      <c r="P399" s="16" t="n">
        <v>1397</v>
      </c>
      <c r="S399" s="16" t="n">
        <v>2300</v>
      </c>
      <c r="U399" s="16" t="n">
        <v>2300</v>
      </c>
      <c r="AC399" s="23">
        <f>IF(OR(E399="",E399="[PARENT]"),"ADD",IF(E399="[ALT_VIEW]","ALT",""))</f>
        <v/>
      </c>
      <c r="AD399" s="21">
        <f>IF(Y399&lt;&gt;"",Y399,IF(U399&lt;&gt;"",U399,S399))</f>
        <v/>
      </c>
      <c r="AE399" s="21">
        <f>IF(AB399&lt;&gt;"",AB399,Z399)</f>
        <v/>
      </c>
      <c r="AF399" s="13" t="inlineStr">
        <is>
          <t>P-8a &gt; Carrier Replacement Program &gt; Electronics &gt; LITHIUM ION BATTERY HANDLING &amp; STORAGE</t>
        </is>
      </c>
      <c r="AG399" s="7" t="inlineStr">
        <is>
          <t>79</t>
        </is>
      </c>
      <c r="AH399" s="7" t="inlineStr">
        <is>
          <t>2001</t>
        </is>
      </c>
      <c r="AJ399" s="7" t="inlineStr">
        <is>
          <t>LITHIUM ION BATTERY HANDLING &amp; STORAGE</t>
        </is>
      </c>
    </row>
    <row r="400" ht="10" customHeight="1">
      <c r="A400" s="7" t="inlineStr">
        <is>
          <t>SCN</t>
        </is>
      </c>
      <c r="B400" s="7" t="inlineStr">
        <is>
          <t>Procurement</t>
        </is>
      </c>
      <c r="D400" s="7" t="inlineStr">
        <is>
          <t>Carrier Replacement Program - P-8a Electronics - OE-570G SATELLITE ANTENNA 0 - 1</t>
        </is>
      </c>
      <c r="E400" s="13" t="inlineStr">
        <is>
          <t>[ALT_VIEW]</t>
        </is>
      </c>
      <c r="F400" s="7" t="inlineStr">
        <is>
          <t>2001 / Carrier Replacement Program</t>
        </is>
      </c>
      <c r="G400" s="7" t="inlineStr">
        <is>
          <t>P-8a</t>
        </is>
      </c>
      <c r="H400" s="7" t="inlineStr">
        <is>
          <t>Electronics</t>
        </is>
      </c>
      <c r="I400" s="14" t="n">
        <v>1</v>
      </c>
      <c r="J400" s="7" t="inlineStr">
        <is>
          <t>Full ship DD&amp;C</t>
        </is>
      </c>
      <c r="K400" s="13" t="inlineStr">
        <is>
          <t>USN</t>
        </is>
      </c>
      <c r="L400" s="7" t="inlineStr">
        <is>
          <t>Combatant Ships</t>
        </is>
      </c>
      <c r="M400" s="7" t="inlineStr">
        <is>
          <t>Aircraft Carriers</t>
        </is>
      </c>
      <c r="N400" s="7" t="inlineStr">
        <is>
          <t>CVN</t>
        </is>
      </c>
      <c r="O400" s="15" t="n"/>
      <c r="S400" s="16" t="n">
        <v>1115</v>
      </c>
      <c r="U400" s="16" t="n">
        <v>1115</v>
      </c>
      <c r="AC400" s="23">
        <f>IF(OR(E400="",E400="[PARENT]"),"ADD",IF(E400="[ALT_VIEW]","ALT",""))</f>
        <v/>
      </c>
      <c r="AD400" s="21">
        <f>IF(Y400&lt;&gt;"",Y400,IF(U400&lt;&gt;"",U400,S400))</f>
        <v/>
      </c>
      <c r="AE400" s="21">
        <f>IF(AB400&lt;&gt;"",AB400,Z400)</f>
        <v/>
      </c>
      <c r="AF400" s="13" t="inlineStr">
        <is>
          <t>P-8a &gt; Carrier Replacement Program &gt; Electronics &gt; OE-570G SATELLITE ANTENNA 0 - 1</t>
        </is>
      </c>
      <c r="AG400" s="7" t="inlineStr">
        <is>
          <t>79</t>
        </is>
      </c>
      <c r="AH400" s="7" t="inlineStr">
        <is>
          <t>2001</t>
        </is>
      </c>
      <c r="AJ400" s="7" t="inlineStr">
        <is>
          <t>OE-570G SATELLITE ANTENNA</t>
        </is>
      </c>
    </row>
    <row r="401" ht="10" customHeight="1">
      <c r="A401" s="7" t="inlineStr">
        <is>
          <t>SCN</t>
        </is>
      </c>
      <c r="B401" s="7" t="inlineStr">
        <is>
          <t>Procurement</t>
        </is>
      </c>
      <c r="D401" s="7" t="inlineStr">
        <is>
          <t>Carrier Replacement Program - P-8a Electronics - ELECTRONIC CHART DISPLAY AND INFORMATION SYSTEM, NAVY (ECDIS-N) 0 - 1</t>
        </is>
      </c>
      <c r="E401" s="13" t="inlineStr">
        <is>
          <t>[ALT_VIEW]</t>
        </is>
      </c>
      <c r="F401" s="7" t="inlineStr">
        <is>
          <t>2001 / Carrier Replacement Program</t>
        </is>
      </c>
      <c r="G401" s="7" t="inlineStr">
        <is>
          <t>P-8a</t>
        </is>
      </c>
      <c r="H401" s="7" t="inlineStr">
        <is>
          <t>Electronics</t>
        </is>
      </c>
      <c r="I401" s="14" t="n">
        <v>1</v>
      </c>
      <c r="J401" s="7" t="inlineStr">
        <is>
          <t>Full ship DD&amp;C</t>
        </is>
      </c>
      <c r="K401" s="13" t="inlineStr">
        <is>
          <t>USN</t>
        </is>
      </c>
      <c r="L401" s="7" t="inlineStr">
        <is>
          <t>Combatant Ships</t>
        </is>
      </c>
      <c r="M401" s="7" t="inlineStr">
        <is>
          <t>Aircraft Carriers</t>
        </is>
      </c>
      <c r="N401" s="7" t="inlineStr">
        <is>
          <t>CVN</t>
        </is>
      </c>
      <c r="O401" s="15" t="n"/>
      <c r="S401" s="16" t="n">
        <v>2283</v>
      </c>
      <c r="U401" s="16" t="n">
        <v>2283</v>
      </c>
      <c r="AC401" s="23">
        <f>IF(OR(E401="",E401="[PARENT]"),"ADD",IF(E401="[ALT_VIEW]","ALT",""))</f>
        <v/>
      </c>
      <c r="AD401" s="21">
        <f>IF(Y401&lt;&gt;"",Y401,IF(U401&lt;&gt;"",U401,S401))</f>
        <v/>
      </c>
      <c r="AE401" s="21">
        <f>IF(AB401&lt;&gt;"",AB401,Z401)</f>
        <v/>
      </c>
      <c r="AF401" s="13" t="inlineStr">
        <is>
          <t>P-8a &gt; Carrier Replacement Program &gt; Electronics &gt; ELECTRONIC CHART DISPLAY AND INFORMATION SYSTEM, NAVY (ECDIS-N) 0 - 1</t>
        </is>
      </c>
      <c r="AG401" s="7" t="inlineStr">
        <is>
          <t>79</t>
        </is>
      </c>
      <c r="AH401" s="7" t="inlineStr">
        <is>
          <t>2001</t>
        </is>
      </c>
      <c r="AJ401" s="7" t="inlineStr">
        <is>
          <t>ELECTRONIC CHART DISPLAY AND INFORMATION SYSTEM, NAVY (ECDIS-N)</t>
        </is>
      </c>
    </row>
    <row r="402" ht="10" customHeight="1">
      <c r="A402" s="7" t="inlineStr">
        <is>
          <t>SCN</t>
        </is>
      </c>
      <c r="B402" s="7" t="inlineStr">
        <is>
          <t>Procurement</t>
        </is>
      </c>
      <c r="D402" s="7" t="inlineStr">
        <is>
          <t>Carrier Replacement Program - P-8a Electronics - I-STALKER 1</t>
        </is>
      </c>
      <c r="E402" s="13" t="inlineStr">
        <is>
          <t>[ALT_VIEW]</t>
        </is>
      </c>
      <c r="F402" s="7" t="inlineStr">
        <is>
          <t>2001 / Carrier Replacement Program</t>
        </is>
      </c>
      <c r="G402" s="7" t="inlineStr">
        <is>
          <t>P-8a</t>
        </is>
      </c>
      <c r="H402" s="7" t="inlineStr">
        <is>
          <t>Electronics</t>
        </is>
      </c>
      <c r="I402" s="14" t="n">
        <v>1</v>
      </c>
      <c r="J402" s="7" t="inlineStr">
        <is>
          <t>Full ship DD&amp;C</t>
        </is>
      </c>
      <c r="K402" s="13" t="inlineStr">
        <is>
          <t>USN</t>
        </is>
      </c>
      <c r="L402" s="7" t="inlineStr">
        <is>
          <t>Combatant Ships</t>
        </is>
      </c>
      <c r="M402" s="7" t="inlineStr">
        <is>
          <t>Aircraft Carriers</t>
        </is>
      </c>
      <c r="N402" s="7" t="inlineStr">
        <is>
          <t>CVN</t>
        </is>
      </c>
      <c r="O402" s="15" t="n"/>
      <c r="S402" s="16" t="n">
        <v>1883</v>
      </c>
      <c r="U402" s="16" t="n">
        <v>1883</v>
      </c>
      <c r="AC402" s="23">
        <f>IF(OR(E402="",E402="[PARENT]"),"ADD",IF(E402="[ALT_VIEW]","ALT",""))</f>
        <v/>
      </c>
      <c r="AD402" s="21">
        <f>IF(Y402&lt;&gt;"",Y402,IF(U402&lt;&gt;"",U402,S402))</f>
        <v/>
      </c>
      <c r="AE402" s="21">
        <f>IF(AB402&lt;&gt;"",AB402,Z402)</f>
        <v/>
      </c>
      <c r="AF402" s="13" t="inlineStr">
        <is>
          <t>P-8a &gt; Carrier Replacement Program &gt; Electronics &gt; I-STALKER 1</t>
        </is>
      </c>
      <c r="AG402" s="7" t="inlineStr">
        <is>
          <t>79</t>
        </is>
      </c>
      <c r="AH402" s="7" t="inlineStr">
        <is>
          <t>2001</t>
        </is>
      </c>
    </row>
    <row r="403" ht="10" customHeight="1">
      <c r="A403" s="7" t="inlineStr">
        <is>
          <t>SCN</t>
        </is>
      </c>
      <c r="B403" s="7" t="inlineStr">
        <is>
          <t>Procurement</t>
        </is>
      </c>
      <c r="D403" s="7" t="inlineStr">
        <is>
          <t>Carrier Replacement Program - P-8a Electronics - ENVIRONMENTAL SATELLITE RECEIVER PROGRAM (ESRP) 0 - 1</t>
        </is>
      </c>
      <c r="E403" s="13" t="inlineStr">
        <is>
          <t>[ALT_VIEW]</t>
        </is>
      </c>
      <c r="F403" s="7" t="inlineStr">
        <is>
          <t>2001 / Carrier Replacement Program</t>
        </is>
      </c>
      <c r="G403" s="7" t="inlineStr">
        <is>
          <t>P-8a</t>
        </is>
      </c>
      <c r="H403" s="7" t="inlineStr">
        <is>
          <t>Electronics</t>
        </is>
      </c>
      <c r="I403" s="14" t="n">
        <v>1</v>
      </c>
      <c r="J403" s="7" t="inlineStr">
        <is>
          <t>Full ship DD&amp;C</t>
        </is>
      </c>
      <c r="K403" s="13" t="inlineStr">
        <is>
          <t>USN</t>
        </is>
      </c>
      <c r="L403" s="7" t="inlineStr">
        <is>
          <t>Combatant Ships</t>
        </is>
      </c>
      <c r="M403" s="7" t="inlineStr">
        <is>
          <t>Aircraft Carriers</t>
        </is>
      </c>
      <c r="N403" s="7" t="inlineStr">
        <is>
          <t>CVN</t>
        </is>
      </c>
      <c r="O403" s="15" t="n"/>
      <c r="S403" s="16" t="n">
        <v>4003</v>
      </c>
      <c r="U403" s="16" t="n">
        <v>4003</v>
      </c>
      <c r="AC403" s="23">
        <f>IF(OR(E403="",E403="[PARENT]"),"ADD",IF(E403="[ALT_VIEW]","ALT",""))</f>
        <v/>
      </c>
      <c r="AD403" s="21">
        <f>IF(Y403&lt;&gt;"",Y403,IF(U403&lt;&gt;"",U403,S403))</f>
        <v/>
      </c>
      <c r="AE403" s="21">
        <f>IF(AB403&lt;&gt;"",AB403,Z403)</f>
        <v/>
      </c>
      <c r="AF403" s="13" t="inlineStr">
        <is>
          <t>P-8a &gt; Carrier Replacement Program &gt; Electronics &gt; ENVIRONMENTAL SATELLITE RECEIVER PROGRAM (ESRP) 0 - 1</t>
        </is>
      </c>
      <c r="AG403" s="7" t="inlineStr">
        <is>
          <t>79</t>
        </is>
      </c>
      <c r="AH403" s="7" t="inlineStr">
        <is>
          <t>2001</t>
        </is>
      </c>
      <c r="AJ403" s="7" t="inlineStr">
        <is>
          <t>ENVIRONMENTAL SATELLITE RECEIVER PROGRAM (ESRP)</t>
        </is>
      </c>
    </row>
    <row r="404" ht="10" customHeight="1">
      <c r="A404" s="7" t="inlineStr">
        <is>
          <t>SCN</t>
        </is>
      </c>
      <c r="B404" s="7" t="inlineStr">
        <is>
          <t>Procurement</t>
        </is>
      </c>
      <c r="D404" s="7" t="inlineStr">
        <is>
          <t>Carrier Replacement Program - P-8a Electronics - EQUIPMENT (DTEE) 0 - 1</t>
        </is>
      </c>
      <c r="E404" s="13" t="inlineStr">
        <is>
          <t>[ALT_VIEW]</t>
        </is>
      </c>
      <c r="F404" s="7" t="inlineStr">
        <is>
          <t>2001 / Carrier Replacement Program</t>
        </is>
      </c>
      <c r="G404" s="7" t="inlineStr">
        <is>
          <t>P-8a</t>
        </is>
      </c>
      <c r="H404" s="7" t="inlineStr">
        <is>
          <t>Electronics</t>
        </is>
      </c>
      <c r="I404" s="14" t="n">
        <v>1</v>
      </c>
      <c r="J404" s="7" t="inlineStr">
        <is>
          <t>Full ship DD&amp;C</t>
        </is>
      </c>
      <c r="K404" s="13" t="inlineStr">
        <is>
          <t>USN</t>
        </is>
      </c>
      <c r="L404" s="7" t="inlineStr">
        <is>
          <t>Combatant Ships</t>
        </is>
      </c>
      <c r="M404" s="7" t="inlineStr">
        <is>
          <t>Aircraft Carriers</t>
        </is>
      </c>
      <c r="N404" s="7" t="inlineStr">
        <is>
          <t>CVN</t>
        </is>
      </c>
      <c r="O404" s="15" t="n"/>
      <c r="S404" s="16" t="n">
        <v>2351</v>
      </c>
      <c r="U404" s="16" t="n">
        <v>2351</v>
      </c>
      <c r="AC404" s="23">
        <f>IF(OR(E404="",E404="[PARENT]"),"ADD",IF(E404="[ALT_VIEW]","ALT",""))</f>
        <v/>
      </c>
      <c r="AD404" s="21">
        <f>IF(Y404&lt;&gt;"",Y404,IF(U404&lt;&gt;"",U404,S404))</f>
        <v/>
      </c>
      <c r="AE404" s="21">
        <f>IF(AB404&lt;&gt;"",AB404,Z404)</f>
        <v/>
      </c>
      <c r="AF404" s="13" t="inlineStr">
        <is>
          <t>P-8a &gt; Carrier Replacement Program &gt; Electronics &gt; EQUIPMENT (DTEE) 0 - 1</t>
        </is>
      </c>
      <c r="AG404" s="7" t="inlineStr">
        <is>
          <t>79</t>
        </is>
      </c>
      <c r="AH404" s="7" t="inlineStr">
        <is>
          <t>2001</t>
        </is>
      </c>
    </row>
    <row r="405" ht="10" customHeight="1">
      <c r="A405" s="7" t="inlineStr">
        <is>
          <t>SCN</t>
        </is>
      </c>
      <c r="B405" s="7" t="inlineStr">
        <is>
          <t>Procurement</t>
        </is>
      </c>
      <c r="D405" s="7" t="inlineStr">
        <is>
          <t>Carrier Replacement Program - P-8a Electronics - Other ELECTRONICS</t>
        </is>
      </c>
      <c r="E405" s="13" t="inlineStr">
        <is>
          <t>[ALT_VIEW]</t>
        </is>
      </c>
      <c r="F405" s="7" t="inlineStr">
        <is>
          <t>2001 / Carrier Replacement Program</t>
        </is>
      </c>
      <c r="G405" s="7" t="inlineStr">
        <is>
          <t>P-8a</t>
        </is>
      </c>
      <c r="H405" s="7" t="inlineStr">
        <is>
          <t>Electronics</t>
        </is>
      </c>
      <c r="I405" s="14" t="n">
        <v>1</v>
      </c>
      <c r="J405" s="7" t="inlineStr">
        <is>
          <t>Full ship DD&amp;C</t>
        </is>
      </c>
      <c r="K405" s="13" t="inlineStr">
        <is>
          <t>USN</t>
        </is>
      </c>
      <c r="L405" s="7" t="inlineStr">
        <is>
          <t>Combatant Ships</t>
        </is>
      </c>
      <c r="M405" s="7" t="inlineStr">
        <is>
          <t>Aircraft Carriers</t>
        </is>
      </c>
      <c r="N405" s="7" t="inlineStr">
        <is>
          <t>CVN</t>
        </is>
      </c>
      <c r="O405" s="15" t="n"/>
      <c r="P405" s="16" t="n">
        <v>11209</v>
      </c>
      <c r="S405" s="16" t="n">
        <v>10646</v>
      </c>
      <c r="U405" s="16" t="n">
        <v>10646</v>
      </c>
      <c r="AC405" s="23">
        <f>IF(OR(E405="",E405="[PARENT]"),"ADD",IF(E405="[ALT_VIEW]","ALT",""))</f>
        <v/>
      </c>
      <c r="AD405" s="21">
        <f>IF(Y405&lt;&gt;"",Y405,IF(U405&lt;&gt;"",U405,S405))</f>
        <v/>
      </c>
      <c r="AE405" s="21">
        <f>IF(AB405&lt;&gt;"",AB405,Z405)</f>
        <v/>
      </c>
      <c r="AF405" s="13" t="inlineStr">
        <is>
          <t>P-8a &gt; Carrier Replacement Program &gt; Electronics &gt; Other ELECTRONICS</t>
        </is>
      </c>
      <c r="AG405" s="7" t="inlineStr">
        <is>
          <t>79</t>
        </is>
      </c>
      <c r="AH405" s="7" t="inlineStr">
        <is>
          <t>2001</t>
        </is>
      </c>
      <c r="AJ405" s="7" t="inlineStr">
        <is>
          <t>Other ELECTRONICS</t>
        </is>
      </c>
    </row>
    <row r="406" ht="10" customHeight="1">
      <c r="A406" s="7" t="inlineStr">
        <is>
          <t>SCN</t>
        </is>
      </c>
      <c r="B406" s="7" t="inlineStr">
        <is>
          <t>Procurement</t>
        </is>
      </c>
      <c r="D406" s="7" t="inlineStr">
        <is>
          <t>Carrier Replacement Program - P-8a  - Increase of $</t>
        </is>
      </c>
      <c r="E406" s="13" t="inlineStr">
        <is>
          <t>[ALT_VIEW]</t>
        </is>
      </c>
      <c r="F406" s="7" t="inlineStr">
        <is>
          <t>2001 / Carrier Replacement Program</t>
        </is>
      </c>
      <c r="I406" s="14" t="n">
        <v>1</v>
      </c>
      <c r="J406" s="7" t="inlineStr">
        <is>
          <t>Full ship DD&amp;C</t>
        </is>
      </c>
      <c r="K406" s="13" t="inlineStr">
        <is>
          <t>USN</t>
        </is>
      </c>
      <c r="L406" s="7" t="inlineStr">
        <is>
          <t>Combatant Ships</t>
        </is>
      </c>
      <c r="M406" s="7" t="inlineStr">
        <is>
          <t>Aircraft Carriers</t>
        </is>
      </c>
      <c r="N406" s="7" t="inlineStr">
        <is>
          <t>CVN</t>
        </is>
      </c>
      <c r="O406" s="15" t="n"/>
      <c r="S406" s="16" t="n">
        <v>11503</v>
      </c>
      <c r="U406" s="16" t="n">
        <v>11503</v>
      </c>
      <c r="AC406" s="23">
        <f>IF(OR(E406="",E406="[PARENT]"),"ADD",IF(E406="[ALT_VIEW]","ALT",""))</f>
        <v/>
      </c>
      <c r="AD406" s="21">
        <f>IF(Y406&lt;&gt;"",Y406,IF(U406&lt;&gt;"",U406,S406))</f>
        <v/>
      </c>
      <c r="AE406" s="21">
        <f>IF(AB406&lt;&gt;"",AB406,Z406)</f>
        <v/>
      </c>
      <c r="AF406" s="13" t="inlineStr">
        <is>
          <t>P-8a &gt; Carrier Replacement Program &gt;  &gt; Increase of $</t>
        </is>
      </c>
      <c r="AG406" s="7" t="inlineStr">
        <is>
          <t>80</t>
        </is>
      </c>
      <c r="AH406" s="7" t="inlineStr">
        <is>
          <t>2001</t>
        </is>
      </c>
    </row>
    <row r="407" ht="10" customHeight="1">
      <c r="A407" s="7" t="inlineStr">
        <is>
          <t>SCN</t>
        </is>
      </c>
      <c r="B407" s="7" t="inlineStr">
        <is>
          <t>Procurement</t>
        </is>
      </c>
      <c r="D407" s="7" t="inlineStr">
        <is>
          <t>Carrier Replacement Program - P-8a  - Decrease from the FY 2025 budget submission due to FY 2024 enacted Congressional Reduction of ($</t>
        </is>
      </c>
      <c r="E407" s="13" t="inlineStr">
        <is>
          <t>[ALT_VIEW]</t>
        </is>
      </c>
      <c r="F407" s="7" t="inlineStr">
        <is>
          <t>2001 / Carrier Replacement Program</t>
        </is>
      </c>
      <c r="I407" s="14" t="n">
        <v>1</v>
      </c>
      <c r="J407" s="7" t="inlineStr">
        <is>
          <t>Full ship DD&amp;C</t>
        </is>
      </c>
      <c r="K407" s="13" t="inlineStr">
        <is>
          <t>USN</t>
        </is>
      </c>
      <c r="L407" s="7" t="inlineStr">
        <is>
          <t>Combatant Ships</t>
        </is>
      </c>
      <c r="M407" s="7" t="inlineStr">
        <is>
          <t>Aircraft Carriers</t>
        </is>
      </c>
      <c r="N407" s="7" t="inlineStr">
        <is>
          <t>CVN</t>
        </is>
      </c>
      <c r="O407" s="15" t="n"/>
      <c r="S407" s="16" t="n">
        <v>10875</v>
      </c>
      <c r="U407" s="16" t="n">
        <v>10875</v>
      </c>
      <c r="AC407" s="23">
        <f>IF(OR(E407="",E407="[PARENT]"),"ADD",IF(E407="[ALT_VIEW]","ALT",""))</f>
        <v/>
      </c>
      <c r="AD407" s="21">
        <f>IF(Y407&lt;&gt;"",Y407,IF(U407&lt;&gt;"",U407,S407))</f>
        <v/>
      </c>
      <c r="AE407" s="21">
        <f>IF(AB407&lt;&gt;"",AB407,Z407)</f>
        <v/>
      </c>
      <c r="AF407" s="13" t="inlineStr">
        <is>
          <t>P-8a &gt; Carrier Replacement Program &gt;  &gt; Decrease from the FY 2025 budget submission due to FY 2024 enacted Congressional Reduction of ($</t>
        </is>
      </c>
      <c r="AG407" s="7" t="inlineStr">
        <is>
          <t>80</t>
        </is>
      </c>
      <c r="AH407" s="7" t="inlineStr">
        <is>
          <t>2001</t>
        </is>
      </c>
    </row>
    <row r="408" ht="10" customHeight="1">
      <c r="A408" s="7" t="inlineStr">
        <is>
          <t>SCN</t>
        </is>
      </c>
      <c r="B408" s="7" t="inlineStr">
        <is>
          <t>Procurement</t>
        </is>
      </c>
      <c r="D408" s="7" t="inlineStr">
        <is>
          <t>Carrier Replacement Program - P-8a Hull, Mechanical, and Electrical - HM&amp;E ENGINEERING SERVICES</t>
        </is>
      </c>
      <c r="E408" s="13" t="inlineStr">
        <is>
          <t>[ALT_VIEW]</t>
        </is>
      </c>
      <c r="F408" s="7" t="inlineStr">
        <is>
          <t>2001 / Carrier Replacement Program</t>
        </is>
      </c>
      <c r="G408" s="7" t="inlineStr">
        <is>
          <t>P-8a</t>
        </is>
      </c>
      <c r="H408" s="7" t="inlineStr">
        <is>
          <t>Hull, Mechanical, and Electrical</t>
        </is>
      </c>
      <c r="I408" s="14" t="n">
        <v>1</v>
      </c>
      <c r="J408" s="7" t="inlineStr">
        <is>
          <t>Full ship DD&amp;C</t>
        </is>
      </c>
      <c r="K408" s="13" t="inlineStr">
        <is>
          <t>USN</t>
        </is>
      </c>
      <c r="L408" s="7" t="inlineStr">
        <is>
          <t>Combatant Ships</t>
        </is>
      </c>
      <c r="M408" s="7" t="inlineStr">
        <is>
          <t>Aircraft Carriers</t>
        </is>
      </c>
      <c r="N408" s="7" t="inlineStr">
        <is>
          <t>CVN</t>
        </is>
      </c>
      <c r="O408" s="15" t="n"/>
      <c r="P408" s="16" t="n">
        <v>23996</v>
      </c>
      <c r="S408" s="16" t="n">
        <v>16494</v>
      </c>
      <c r="U408" s="16" t="n">
        <v>16494</v>
      </c>
      <c r="AC408" s="23">
        <f>IF(OR(E408="",E408="[PARENT]"),"ADD",IF(E408="[ALT_VIEW]","ALT",""))</f>
        <v/>
      </c>
      <c r="AD408" s="21">
        <f>IF(Y408&lt;&gt;"",Y408,IF(U408&lt;&gt;"",U408,S408))</f>
        <v/>
      </c>
      <c r="AE408" s="21">
        <f>IF(AB408&lt;&gt;"",AB408,Z408)</f>
        <v/>
      </c>
      <c r="AF408" s="13" t="inlineStr">
        <is>
          <t>P-8a &gt; Carrier Replacement Program &gt; Hull, Mechanical, and Electrical &gt; HM&amp;E ENGINEERING SERVICES</t>
        </is>
      </c>
      <c r="AG408" s="7" t="inlineStr">
        <is>
          <t>81</t>
        </is>
      </c>
      <c r="AH408" s="7" t="inlineStr">
        <is>
          <t>2001</t>
        </is>
      </c>
      <c r="AJ408" s="7" t="inlineStr">
        <is>
          <t>HM&amp;E ENGINEERING SERVICES</t>
        </is>
      </c>
    </row>
    <row r="409" ht="10" customHeight="1">
      <c r="A409" s="7" t="inlineStr">
        <is>
          <t>SCN</t>
        </is>
      </c>
      <c r="B409" s="7" t="inlineStr">
        <is>
          <t>Procurement</t>
        </is>
      </c>
      <c r="D409" s="7" t="inlineStr">
        <is>
          <t>Carrier Replacement Program - P-8a Hull, Mechanical, and Electrical - LIFE RAFTS</t>
        </is>
      </c>
      <c r="E409" s="13" t="inlineStr">
        <is>
          <t>[ALT_VIEW]</t>
        </is>
      </c>
      <c r="F409" s="7" t="inlineStr">
        <is>
          <t>2001 / Carrier Replacement Program</t>
        </is>
      </c>
      <c r="G409" s="7" t="inlineStr">
        <is>
          <t>P-8a</t>
        </is>
      </c>
      <c r="H409" s="7" t="inlineStr">
        <is>
          <t>Hull, Mechanical, and Electrical</t>
        </is>
      </c>
      <c r="I409" s="14" t="n">
        <v>1</v>
      </c>
      <c r="J409" s="7" t="inlineStr">
        <is>
          <t>Full ship DD&amp;C</t>
        </is>
      </c>
      <c r="K409" s="13" t="inlineStr">
        <is>
          <t>USN</t>
        </is>
      </c>
      <c r="L409" s="7" t="inlineStr">
        <is>
          <t>Combatant Ships</t>
        </is>
      </c>
      <c r="M409" s="7" t="inlineStr">
        <is>
          <t>Aircraft Carriers</t>
        </is>
      </c>
      <c r="N409" s="7" t="inlineStr">
        <is>
          <t>CVN</t>
        </is>
      </c>
      <c r="O409" s="15" t="n"/>
      <c r="P409" s="16" t="n">
        <v>2008</v>
      </c>
      <c r="S409" s="16" t="n">
        <v>2068</v>
      </c>
      <c r="U409" s="16" t="n">
        <v>2068</v>
      </c>
      <c r="AC409" s="23">
        <f>IF(OR(E409="",E409="[PARENT]"),"ADD",IF(E409="[ALT_VIEW]","ALT",""))</f>
        <v/>
      </c>
      <c r="AD409" s="21">
        <f>IF(Y409&lt;&gt;"",Y409,IF(U409&lt;&gt;"",U409,S409))</f>
        <v/>
      </c>
      <c r="AE409" s="21">
        <f>IF(AB409&lt;&gt;"",AB409,Z409)</f>
        <v/>
      </c>
      <c r="AF409" s="13" t="inlineStr">
        <is>
          <t>P-8a &gt; Carrier Replacement Program &gt; Hull, Mechanical, and Electrical &gt; LIFE RAFTS</t>
        </is>
      </c>
      <c r="AG409" s="7" t="inlineStr">
        <is>
          <t>81</t>
        </is>
      </c>
      <c r="AH409" s="7" t="inlineStr">
        <is>
          <t>2001</t>
        </is>
      </c>
      <c r="AJ409" s="7" t="inlineStr">
        <is>
          <t>LIFE RAFTS</t>
        </is>
      </c>
    </row>
    <row r="410" ht="10" customHeight="1">
      <c r="A410" s="7" t="inlineStr">
        <is>
          <t>SCN</t>
        </is>
      </c>
      <c r="B410" s="7" t="inlineStr">
        <is>
          <t>Procurement</t>
        </is>
      </c>
      <c r="D410" s="7" t="inlineStr">
        <is>
          <t>Carrier Replacement Program - P-8a Hull, Mechanical, and Electrical - SUPSHIP MATERIAL AND GFE</t>
        </is>
      </c>
      <c r="E410" s="13" t="inlineStr">
        <is>
          <t>[ALT_VIEW]</t>
        </is>
      </c>
      <c r="F410" s="7" t="inlineStr">
        <is>
          <t>2001 / Carrier Replacement Program</t>
        </is>
      </c>
      <c r="G410" s="7" t="inlineStr">
        <is>
          <t>P-8a</t>
        </is>
      </c>
      <c r="H410" s="7" t="inlineStr">
        <is>
          <t>Hull, Mechanical, and Electrical</t>
        </is>
      </c>
      <c r="I410" s="14" t="n">
        <v>1</v>
      </c>
      <c r="J410" s="7" t="inlineStr">
        <is>
          <t>Full ship DD&amp;C</t>
        </is>
      </c>
      <c r="K410" s="13" t="inlineStr">
        <is>
          <t>USN</t>
        </is>
      </c>
      <c r="L410" s="7" t="inlineStr">
        <is>
          <t>Combatant Ships</t>
        </is>
      </c>
      <c r="M410" s="7" t="inlineStr">
        <is>
          <t>Aircraft Carriers</t>
        </is>
      </c>
      <c r="N410" s="7" t="inlineStr">
        <is>
          <t>CVN</t>
        </is>
      </c>
      <c r="O410" s="15" t="n"/>
      <c r="P410" s="16" t="n">
        <v>810</v>
      </c>
      <c r="S410" s="16" t="n">
        <v>620</v>
      </c>
      <c r="U410" s="16" t="n">
        <v>620</v>
      </c>
      <c r="AC410" s="23">
        <f>IF(OR(E410="",E410="[PARENT]"),"ADD",IF(E410="[ALT_VIEW]","ALT",""))</f>
        <v/>
      </c>
      <c r="AD410" s="21">
        <f>IF(Y410&lt;&gt;"",Y410,IF(U410&lt;&gt;"",U410,S410))</f>
        <v/>
      </c>
      <c r="AE410" s="21">
        <f>IF(AB410&lt;&gt;"",AB410,Z410)</f>
        <v/>
      </c>
      <c r="AF410" s="13" t="inlineStr">
        <is>
          <t>P-8a &gt; Carrier Replacement Program &gt; Hull, Mechanical, and Electrical &gt; SUPSHIP MATERIAL AND GFE</t>
        </is>
      </c>
      <c r="AG410" s="7" t="inlineStr">
        <is>
          <t>81</t>
        </is>
      </c>
      <c r="AH410" s="7" t="inlineStr">
        <is>
          <t>2001</t>
        </is>
      </c>
      <c r="AJ410" s="7" t="inlineStr">
        <is>
          <t>SUPSHIP MATERIAL AND GFE</t>
        </is>
      </c>
    </row>
    <row r="411" ht="10" customHeight="1">
      <c r="A411" s="7" t="inlineStr">
        <is>
          <t>SCN</t>
        </is>
      </c>
      <c r="B411" s="7" t="inlineStr">
        <is>
          <t>Procurement</t>
        </is>
      </c>
      <c r="D411" s="7" t="inlineStr">
        <is>
          <t>Carrier Replacement Program - P-8a Hull, Mechanical, and Electrical - TRUCKS (FORKLIFTS) -</t>
        </is>
      </c>
      <c r="E411" s="13" t="inlineStr">
        <is>
          <t>[ALT_VIEW]</t>
        </is>
      </c>
      <c r="F411" s="7" t="inlineStr">
        <is>
          <t>2001 / Carrier Replacement Program</t>
        </is>
      </c>
      <c r="G411" s="7" t="inlineStr">
        <is>
          <t>P-8a</t>
        </is>
      </c>
      <c r="H411" s="7" t="inlineStr">
        <is>
          <t>Hull, Mechanical, and Electrical</t>
        </is>
      </c>
      <c r="I411" s="14" t="n">
        <v>1</v>
      </c>
      <c r="J411" s="7" t="inlineStr">
        <is>
          <t>Full ship DD&amp;C</t>
        </is>
      </c>
      <c r="K411" s="13" t="inlineStr">
        <is>
          <t>USN</t>
        </is>
      </c>
      <c r="L411" s="7" t="inlineStr">
        <is>
          <t>Combatant Ships</t>
        </is>
      </c>
      <c r="M411" s="7" t="inlineStr">
        <is>
          <t>Aircraft Carriers</t>
        </is>
      </c>
      <c r="N411" s="7" t="inlineStr">
        <is>
          <t>CVN</t>
        </is>
      </c>
      <c r="O411" s="15" t="n"/>
      <c r="S411" s="16" t="n">
        <v>825</v>
      </c>
      <c r="U411" s="16" t="n">
        <v>825</v>
      </c>
      <c r="AC411" s="23">
        <f>IF(OR(E411="",E411="[PARENT]"),"ADD",IF(E411="[ALT_VIEW]","ALT",""))</f>
        <v/>
      </c>
      <c r="AD411" s="21">
        <f>IF(Y411&lt;&gt;"",Y411,IF(U411&lt;&gt;"",U411,S411))</f>
        <v/>
      </c>
      <c r="AE411" s="21">
        <f>IF(AB411&lt;&gt;"",AB411,Z411)</f>
        <v/>
      </c>
      <c r="AF411" s="13" t="inlineStr">
        <is>
          <t>P-8a &gt; Carrier Replacement Program &gt; Hull, Mechanical, and Electrical &gt; TRUCKS (FORKLIFTS) -</t>
        </is>
      </c>
      <c r="AG411" s="7" t="inlineStr">
        <is>
          <t>81</t>
        </is>
      </c>
      <c r="AH411" s="7" t="inlineStr">
        <is>
          <t>2001</t>
        </is>
      </c>
      <c r="AJ411" s="7" t="inlineStr">
        <is>
          <t>TRUCKS (FORKLIFTS)</t>
        </is>
      </c>
    </row>
    <row r="412" ht="10" customHeight="1">
      <c r="A412" s="7" t="inlineStr">
        <is>
          <t>SCN</t>
        </is>
      </c>
      <c r="B412" s="7" t="inlineStr">
        <is>
          <t>Procurement</t>
        </is>
      </c>
      <c r="D412" s="7" t="inlineStr">
        <is>
          <t>Carrier Replacement Program - P-8a Hull, Mechanical, and Electrical - Other HM&amp;E</t>
        </is>
      </c>
      <c r="E412" s="13" t="inlineStr">
        <is>
          <t>[ALT_VIEW]</t>
        </is>
      </c>
      <c r="F412" s="7" t="inlineStr">
        <is>
          <t>2001 / Carrier Replacement Program</t>
        </is>
      </c>
      <c r="G412" s="7" t="inlineStr">
        <is>
          <t>P-8a</t>
        </is>
      </c>
      <c r="H412" s="7" t="inlineStr">
        <is>
          <t>Hull, Mechanical, and Electrical</t>
        </is>
      </c>
      <c r="I412" s="14" t="n">
        <v>1</v>
      </c>
      <c r="J412" s="7" t="inlineStr">
        <is>
          <t>Full ship DD&amp;C</t>
        </is>
      </c>
      <c r="K412" s="13" t="inlineStr">
        <is>
          <t>USN</t>
        </is>
      </c>
      <c r="L412" s="7" t="inlineStr">
        <is>
          <t>Combatant Ships</t>
        </is>
      </c>
      <c r="M412" s="7" t="inlineStr">
        <is>
          <t>Aircraft Carriers</t>
        </is>
      </c>
      <c r="N412" s="7" t="inlineStr">
        <is>
          <t>CVN</t>
        </is>
      </c>
      <c r="O412" s="15" t="n"/>
      <c r="P412" s="16" t="n">
        <v>3171</v>
      </c>
      <c r="S412" s="16" t="n">
        <v>3114</v>
      </c>
      <c r="U412" s="16" t="n">
        <v>3114</v>
      </c>
      <c r="AC412" s="23">
        <f>IF(OR(E412="",E412="[PARENT]"),"ADD",IF(E412="[ALT_VIEW]","ALT",""))</f>
        <v/>
      </c>
      <c r="AD412" s="21">
        <f>IF(Y412&lt;&gt;"",Y412,IF(U412&lt;&gt;"",U412,S412))</f>
        <v/>
      </c>
      <c r="AE412" s="21">
        <f>IF(AB412&lt;&gt;"",AB412,Z412)</f>
        <v/>
      </c>
      <c r="AF412" s="13" t="inlineStr">
        <is>
          <t>P-8a &gt; Carrier Replacement Program &gt; Hull, Mechanical, and Electrical &gt; Other HM&amp;E</t>
        </is>
      </c>
      <c r="AG412" s="7" t="inlineStr">
        <is>
          <t>81</t>
        </is>
      </c>
      <c r="AH412" s="7" t="inlineStr">
        <is>
          <t>2001</t>
        </is>
      </c>
      <c r="AJ412" s="7" t="inlineStr">
        <is>
          <t>Other HM&amp;E</t>
        </is>
      </c>
    </row>
    <row r="413" ht="10" customHeight="1">
      <c r="A413" s="7" t="inlineStr">
        <is>
          <t>SCN</t>
        </is>
      </c>
      <c r="B413" s="7" t="inlineStr">
        <is>
          <t>Procurement</t>
        </is>
      </c>
      <c r="D413" s="7" t="inlineStr">
        <is>
          <t>Carrier Replacement Program - P-8a Ordnance - ELECTROMAGNETIC AIRCRAFT LAUNCHING SYSTEM (EMALS) 1</t>
        </is>
      </c>
      <c r="E413" s="13" t="inlineStr">
        <is>
          <t>[ALT_VIEW]</t>
        </is>
      </c>
      <c r="F413" s="7" t="inlineStr">
        <is>
          <t>2001 / Carrier Replacement Program</t>
        </is>
      </c>
      <c r="G413" s="7" t="inlineStr">
        <is>
          <t>P-8a</t>
        </is>
      </c>
      <c r="H413" s="7" t="inlineStr">
        <is>
          <t>Ordnance</t>
        </is>
      </c>
      <c r="I413" s="14" t="n">
        <v>1</v>
      </c>
      <c r="J413" s="7" t="inlineStr">
        <is>
          <t>Full ship DD&amp;C</t>
        </is>
      </c>
      <c r="K413" s="13" t="inlineStr">
        <is>
          <t>USN</t>
        </is>
      </c>
      <c r="L413" s="7" t="inlineStr">
        <is>
          <t>Combatant Ships</t>
        </is>
      </c>
      <c r="M413" s="7" t="inlineStr">
        <is>
          <t>Aircraft Carriers</t>
        </is>
      </c>
      <c r="N413" s="7" t="inlineStr">
        <is>
          <t>CVN</t>
        </is>
      </c>
      <c r="O413" s="15" t="n"/>
      <c r="P413" s="16" t="n">
        <v>678430</v>
      </c>
      <c r="S413" s="16" t="n">
        <v>758239</v>
      </c>
      <c r="U413" s="16" t="n">
        <v>758239</v>
      </c>
      <c r="AC413" s="23">
        <f>IF(OR(E413="",E413="[PARENT]"),"ADD",IF(E413="[ALT_VIEW]","ALT",""))</f>
        <v/>
      </c>
      <c r="AD413" s="21">
        <f>IF(Y413&lt;&gt;"",Y413,IF(U413&lt;&gt;"",U413,S413))</f>
        <v/>
      </c>
      <c r="AE413" s="21">
        <f>IF(AB413&lt;&gt;"",AB413,Z413)</f>
        <v/>
      </c>
      <c r="AF413" s="13" t="inlineStr">
        <is>
          <t>P-8a &gt; Carrier Replacement Program &gt; Ordnance &gt; ELECTROMAGNETIC AIRCRAFT LAUNCHING SYSTEM (EMALS) 1</t>
        </is>
      </c>
      <c r="AG413" s="7" t="inlineStr">
        <is>
          <t>82</t>
        </is>
      </c>
      <c r="AH413" s="7" t="inlineStr">
        <is>
          <t>2001</t>
        </is>
      </c>
      <c r="AJ413" s="7" t="inlineStr">
        <is>
          <t>ELECTROMAGNETIC AIRCRAFT LAUNCHING SYSTEM (EMALS)</t>
        </is>
      </c>
    </row>
    <row r="414" ht="10" customHeight="1">
      <c r="A414" s="7" t="inlineStr">
        <is>
          <t>SCN</t>
        </is>
      </c>
      <c r="B414" s="7" t="inlineStr">
        <is>
          <t>Procurement</t>
        </is>
      </c>
      <c r="D414" s="7" t="inlineStr">
        <is>
          <t>Carrier Replacement Program - P-8a Ordnance - AN/SPY-6(V)3 ENTERPRISE AIR SURVEILLANCE RADAR (EASR) 1</t>
        </is>
      </c>
      <c r="E414" s="13" t="inlineStr">
        <is>
          <t>[ALT_VIEW]</t>
        </is>
      </c>
      <c r="F414" s="7" t="inlineStr">
        <is>
          <t>2001 / Carrier Replacement Program</t>
        </is>
      </c>
      <c r="G414" s="7" t="inlineStr">
        <is>
          <t>P-8a</t>
        </is>
      </c>
      <c r="H414" s="7" t="inlineStr">
        <is>
          <t>Ordnance</t>
        </is>
      </c>
      <c r="I414" s="14" t="n">
        <v>1</v>
      </c>
      <c r="J414" s="7" t="inlineStr">
        <is>
          <t>Full ship DD&amp;C</t>
        </is>
      </c>
      <c r="K414" s="13" t="inlineStr">
        <is>
          <t>USN</t>
        </is>
      </c>
      <c r="L414" s="7" t="inlineStr">
        <is>
          <t>Combatant Ships</t>
        </is>
      </c>
      <c r="M414" s="7" t="inlineStr">
        <is>
          <t>Aircraft Carriers</t>
        </is>
      </c>
      <c r="N414" s="7" t="inlineStr">
        <is>
          <t>CVN</t>
        </is>
      </c>
      <c r="O414" s="15" t="n"/>
      <c r="P414" s="16" t="n">
        <v>77157</v>
      </c>
      <c r="S414" s="16" t="n">
        <v>60559</v>
      </c>
      <c r="U414" s="16" t="n">
        <v>60559</v>
      </c>
      <c r="AC414" s="23">
        <f>IF(OR(E414="",E414="[PARENT]"),"ADD",IF(E414="[ALT_VIEW]","ALT",""))</f>
        <v/>
      </c>
      <c r="AD414" s="21">
        <f>IF(Y414&lt;&gt;"",Y414,IF(U414&lt;&gt;"",U414,S414))</f>
        <v/>
      </c>
      <c r="AE414" s="21">
        <f>IF(AB414&lt;&gt;"",AB414,Z414)</f>
        <v/>
      </c>
      <c r="AF414" s="13" t="inlineStr">
        <is>
          <t>P-8a &gt; Carrier Replacement Program &gt; Ordnance &gt; AN/SPY-6(V)3 ENTERPRISE AIR SURVEILLANCE RADAR (EASR) 1</t>
        </is>
      </c>
      <c r="AG414" s="7" t="inlineStr">
        <is>
          <t>82</t>
        </is>
      </c>
      <c r="AH414" s="7" t="inlineStr">
        <is>
          <t>2001</t>
        </is>
      </c>
      <c r="AJ414" s="7" t="inlineStr">
        <is>
          <t>AN/SPY-6(V)3 ENTERPRISE AIR SURVEILLANCE RADAR (EASR)</t>
        </is>
      </c>
    </row>
    <row r="415" ht="10" customHeight="1">
      <c r="A415" s="7" t="inlineStr">
        <is>
          <t>SCN</t>
        </is>
      </c>
      <c r="B415" s="7" t="inlineStr">
        <is>
          <t>Procurement</t>
        </is>
      </c>
      <c r="D415" s="7" t="inlineStr">
        <is>
          <t>Carrier Replacement Program - P-8a Ordnance - ADVANCED ARRESTING GEAR (AAG) 1</t>
        </is>
      </c>
      <c r="E415" s="13" t="inlineStr">
        <is>
          <t>[ALT_VIEW]</t>
        </is>
      </c>
      <c r="F415" s="7" t="inlineStr">
        <is>
          <t>2001 / Carrier Replacement Program</t>
        </is>
      </c>
      <c r="G415" s="7" t="inlineStr">
        <is>
          <t>P-8a</t>
        </is>
      </c>
      <c r="H415" s="7" t="inlineStr">
        <is>
          <t>Ordnance</t>
        </is>
      </c>
      <c r="I415" s="14" t="n">
        <v>1</v>
      </c>
      <c r="J415" s="7" t="inlineStr">
        <is>
          <t>Full ship DD&amp;C</t>
        </is>
      </c>
      <c r="K415" s="13" t="inlineStr">
        <is>
          <t>USN</t>
        </is>
      </c>
      <c r="L415" s="7" t="inlineStr">
        <is>
          <t>Combatant Ships</t>
        </is>
      </c>
      <c r="M415" s="7" t="inlineStr">
        <is>
          <t>Aircraft Carriers</t>
        </is>
      </c>
      <c r="N415" s="7" t="inlineStr">
        <is>
          <t>CVN</t>
        </is>
      </c>
      <c r="O415" s="15" t="n"/>
      <c r="P415" s="16" t="n">
        <v>260082</v>
      </c>
      <c r="S415" s="16" t="n">
        <v>385090</v>
      </c>
      <c r="U415" s="16" t="n">
        <v>385090</v>
      </c>
      <c r="AC415" s="23">
        <f>IF(OR(E415="",E415="[PARENT]"),"ADD",IF(E415="[ALT_VIEW]","ALT",""))</f>
        <v/>
      </c>
      <c r="AD415" s="21">
        <f>IF(Y415&lt;&gt;"",Y415,IF(U415&lt;&gt;"",U415,S415))</f>
        <v/>
      </c>
      <c r="AE415" s="21">
        <f>IF(AB415&lt;&gt;"",AB415,Z415)</f>
        <v/>
      </c>
      <c r="AF415" s="13" t="inlineStr">
        <is>
          <t>P-8a &gt; Carrier Replacement Program &gt; Ordnance &gt; ADVANCED ARRESTING GEAR (AAG) 1</t>
        </is>
      </c>
      <c r="AG415" s="7" t="inlineStr">
        <is>
          <t>82</t>
        </is>
      </c>
      <c r="AH415" s="7" t="inlineStr">
        <is>
          <t>2001</t>
        </is>
      </c>
      <c r="AJ415" s="7" t="inlineStr">
        <is>
          <t>ADVANCED ARRESTING GEAR (AAG)</t>
        </is>
      </c>
    </row>
    <row r="416" ht="10" customHeight="1">
      <c r="A416" s="7" t="inlineStr">
        <is>
          <t>SCN</t>
        </is>
      </c>
      <c r="B416" s="7" t="inlineStr">
        <is>
          <t>Procurement</t>
        </is>
      </c>
      <c r="D416" s="7" t="inlineStr">
        <is>
          <t>Carrier Replacement Program - P-8a Ordnance - PHALANX BLOCK 1B MK 15 MOD 21 &amp; 22, CLOSE - IN WEAPONS SYSTEM (CIWS) 3</t>
        </is>
      </c>
      <c r="E416" s="13" t="inlineStr">
        <is>
          <t>[ALT_VIEW]</t>
        </is>
      </c>
      <c r="F416" s="7" t="inlineStr">
        <is>
          <t>2001 / Carrier Replacement Program</t>
        </is>
      </c>
      <c r="G416" s="7" t="inlineStr">
        <is>
          <t>P-8a</t>
        </is>
      </c>
      <c r="H416" s="7" t="inlineStr">
        <is>
          <t>Ordnance</t>
        </is>
      </c>
      <c r="I416" s="14" t="n">
        <v>1</v>
      </c>
      <c r="J416" s="7" t="inlineStr">
        <is>
          <t>Full ship DD&amp;C</t>
        </is>
      </c>
      <c r="K416" s="13" t="inlineStr">
        <is>
          <t>USN</t>
        </is>
      </c>
      <c r="L416" s="7" t="inlineStr">
        <is>
          <t>Combatant Ships</t>
        </is>
      </c>
      <c r="M416" s="7" t="inlineStr">
        <is>
          <t>Aircraft Carriers</t>
        </is>
      </c>
      <c r="N416" s="7" t="inlineStr">
        <is>
          <t>CVN</t>
        </is>
      </c>
      <c r="O416" s="15" t="n"/>
      <c r="P416" s="16" t="n">
        <v>19205</v>
      </c>
      <c r="S416" s="16" t="n">
        <v>23277</v>
      </c>
      <c r="U416" s="16" t="n">
        <v>23277</v>
      </c>
      <c r="AC416" s="23">
        <f>IF(OR(E416="",E416="[PARENT]"),"ADD",IF(E416="[ALT_VIEW]","ALT",""))</f>
        <v/>
      </c>
      <c r="AD416" s="21">
        <f>IF(Y416&lt;&gt;"",Y416,IF(U416&lt;&gt;"",U416,S416))</f>
        <v/>
      </c>
      <c r="AE416" s="21">
        <f>IF(AB416&lt;&gt;"",AB416,Z416)</f>
        <v/>
      </c>
      <c r="AF416" s="13" t="inlineStr">
        <is>
          <t>P-8a &gt; Carrier Replacement Program &gt; Ordnance &gt; PHALANX BLOCK 1B MK 15 MOD 21 &amp; 22, CLOSE - IN WEAPONS SYSTEM (CIWS) 3</t>
        </is>
      </c>
      <c r="AG416" s="7" t="inlineStr">
        <is>
          <t>82</t>
        </is>
      </c>
      <c r="AH416" s="7" t="inlineStr">
        <is>
          <t>2001</t>
        </is>
      </c>
    </row>
    <row r="417" ht="10" customHeight="1">
      <c r="A417" s="7" t="inlineStr">
        <is>
          <t>SCN</t>
        </is>
      </c>
      <c r="B417" s="7" t="inlineStr">
        <is>
          <t>Procurement</t>
        </is>
      </c>
      <c r="D417" s="7" t="inlineStr">
        <is>
          <t>Carrier Replacement Program - P-8a Ordnance - AN/SQQ-34, CARRIER-TACTICAL SUPPORT CENTER (CV-TSC) 1</t>
        </is>
      </c>
      <c r="E417" s="13" t="inlineStr">
        <is>
          <t>[ALT_VIEW]</t>
        </is>
      </c>
      <c r="F417" s="7" t="inlineStr">
        <is>
          <t>2001 / Carrier Replacement Program</t>
        </is>
      </c>
      <c r="G417" s="7" t="inlineStr">
        <is>
          <t>P-8a</t>
        </is>
      </c>
      <c r="H417" s="7" t="inlineStr">
        <is>
          <t>Ordnance</t>
        </is>
      </c>
      <c r="I417" s="14" t="n">
        <v>1</v>
      </c>
      <c r="J417" s="7" t="inlineStr">
        <is>
          <t>Full ship DD&amp;C</t>
        </is>
      </c>
      <c r="K417" s="13" t="inlineStr">
        <is>
          <t>USN</t>
        </is>
      </c>
      <c r="L417" s="7" t="inlineStr">
        <is>
          <t>Combatant Ships</t>
        </is>
      </c>
      <c r="M417" s="7" t="inlineStr">
        <is>
          <t>Aircraft Carriers</t>
        </is>
      </c>
      <c r="N417" s="7" t="inlineStr">
        <is>
          <t>CVN</t>
        </is>
      </c>
      <c r="O417" s="15" t="n"/>
      <c r="P417" s="16" t="n">
        <v>3483</v>
      </c>
      <c r="S417" s="16" t="n">
        <v>4216</v>
      </c>
      <c r="U417" s="16" t="n">
        <v>4216</v>
      </c>
      <c r="AC417" s="23">
        <f>IF(OR(E417="",E417="[PARENT]"),"ADD",IF(E417="[ALT_VIEW]","ALT",""))</f>
        <v/>
      </c>
      <c r="AD417" s="21">
        <f>IF(Y417&lt;&gt;"",Y417,IF(U417&lt;&gt;"",U417,S417))</f>
        <v/>
      </c>
      <c r="AE417" s="21">
        <f>IF(AB417&lt;&gt;"",AB417,Z417)</f>
        <v/>
      </c>
      <c r="AF417" s="13" t="inlineStr">
        <is>
          <t>P-8a &gt; Carrier Replacement Program &gt; Ordnance &gt; AN/SQQ-34, CARRIER-TACTICAL SUPPORT CENTER (CV-TSC) 1</t>
        </is>
      </c>
      <c r="AG417" s="7" t="inlineStr">
        <is>
          <t>82</t>
        </is>
      </c>
      <c r="AH417" s="7" t="inlineStr">
        <is>
          <t>2001</t>
        </is>
      </c>
      <c r="AJ417" s="7" t="inlineStr">
        <is>
          <t>AN/SQQ-34, CARRIER-TACTICAL SUPPORT CENTER (CV-TSC)</t>
        </is>
      </c>
    </row>
    <row r="418" ht="10" customHeight="1">
      <c r="A418" s="7" t="inlineStr">
        <is>
          <t>SCN</t>
        </is>
      </c>
      <c r="B418" s="7" t="inlineStr">
        <is>
          <t>Procurement</t>
        </is>
      </c>
      <c r="D418" s="7" t="inlineStr">
        <is>
          <t>Carrier Replacement Program - P-8a Ordnance - MK-57 NATO SEASPARROW MISSILE SYSTEM (NSSMS) 1</t>
        </is>
      </c>
      <c r="E418" s="13" t="inlineStr">
        <is>
          <t>[ALT_VIEW]</t>
        </is>
      </c>
      <c r="F418" s="7" t="inlineStr">
        <is>
          <t>2001 / Carrier Replacement Program</t>
        </is>
      </c>
      <c r="G418" s="7" t="inlineStr">
        <is>
          <t>P-8a</t>
        </is>
      </c>
      <c r="H418" s="7" t="inlineStr">
        <is>
          <t>Ordnance</t>
        </is>
      </c>
      <c r="I418" s="14" t="n">
        <v>1</v>
      </c>
      <c r="J418" s="7" t="inlineStr">
        <is>
          <t>Full ship DD&amp;C</t>
        </is>
      </c>
      <c r="K418" s="13" t="inlineStr">
        <is>
          <t>USN</t>
        </is>
      </c>
      <c r="L418" s="7" t="inlineStr">
        <is>
          <t>Combatant Ships</t>
        </is>
      </c>
      <c r="M418" s="7" t="inlineStr">
        <is>
          <t>Aircraft Carriers</t>
        </is>
      </c>
      <c r="N418" s="7" t="inlineStr">
        <is>
          <t>CVN</t>
        </is>
      </c>
      <c r="O418" s="15" t="n"/>
      <c r="P418" s="16" t="n">
        <v>44337</v>
      </c>
      <c r="S418" s="16" t="n">
        <v>46523</v>
      </c>
      <c r="U418" s="16" t="n">
        <v>46523</v>
      </c>
      <c r="AC418" s="23">
        <f>IF(OR(E418="",E418="[PARENT]"),"ADD",IF(E418="[ALT_VIEW]","ALT",""))</f>
        <v/>
      </c>
      <c r="AD418" s="21">
        <f>IF(Y418&lt;&gt;"",Y418,IF(U418&lt;&gt;"",U418,S418))</f>
        <v/>
      </c>
      <c r="AE418" s="21">
        <f>IF(AB418&lt;&gt;"",AB418,Z418)</f>
        <v/>
      </c>
      <c r="AF418" s="13" t="inlineStr">
        <is>
          <t>P-8a &gt; Carrier Replacement Program &gt; Ordnance &gt; MK-57 NATO SEASPARROW MISSILE SYSTEM (NSSMS) 1</t>
        </is>
      </c>
      <c r="AG418" s="7" t="inlineStr">
        <is>
          <t>82</t>
        </is>
      </c>
      <c r="AH418" s="7" t="inlineStr">
        <is>
          <t>2001</t>
        </is>
      </c>
      <c r="AJ418" s="7" t="inlineStr">
        <is>
          <t>MK-57 NATO SEASPARROW MISSILE SYSTEM (NSSMS)</t>
        </is>
      </c>
    </row>
    <row r="419" ht="10" customHeight="1">
      <c r="A419" s="7" t="inlineStr">
        <is>
          <t>SCN</t>
        </is>
      </c>
      <c r="B419" s="7" t="inlineStr">
        <is>
          <t>Procurement</t>
        </is>
      </c>
      <c r="D419" s="7" t="inlineStr">
        <is>
          <t>Carrier Replacement Program - P-8a Ordnance - AVIATION DATA MANAGEMENT AND CONTROL SYSTEM (ADMACS) 1</t>
        </is>
      </c>
      <c r="E419" s="13" t="inlineStr">
        <is>
          <t>[ALT_VIEW]</t>
        </is>
      </c>
      <c r="F419" s="7" t="inlineStr">
        <is>
          <t>2001 / Carrier Replacement Program</t>
        </is>
      </c>
      <c r="G419" s="7" t="inlineStr">
        <is>
          <t>P-8a</t>
        </is>
      </c>
      <c r="H419" s="7" t="inlineStr">
        <is>
          <t>Ordnance</t>
        </is>
      </c>
      <c r="I419" s="14" t="n">
        <v>1</v>
      </c>
      <c r="J419" s="7" t="inlineStr">
        <is>
          <t>Full ship DD&amp;C</t>
        </is>
      </c>
      <c r="K419" s="13" t="inlineStr">
        <is>
          <t>USN</t>
        </is>
      </c>
      <c r="L419" s="7" t="inlineStr">
        <is>
          <t>Combatant Ships</t>
        </is>
      </c>
      <c r="M419" s="7" t="inlineStr">
        <is>
          <t>Aircraft Carriers</t>
        </is>
      </c>
      <c r="N419" s="7" t="inlineStr">
        <is>
          <t>CVN</t>
        </is>
      </c>
      <c r="O419" s="15" t="n"/>
      <c r="P419" s="16" t="n">
        <v>5356</v>
      </c>
      <c r="S419" s="16" t="n">
        <v>8657</v>
      </c>
      <c r="U419" s="16" t="n">
        <v>8657</v>
      </c>
      <c r="AC419" s="23">
        <f>IF(OR(E419="",E419="[PARENT]"),"ADD",IF(E419="[ALT_VIEW]","ALT",""))</f>
        <v/>
      </c>
      <c r="AD419" s="21">
        <f>IF(Y419&lt;&gt;"",Y419,IF(U419&lt;&gt;"",U419,S419))</f>
        <v/>
      </c>
      <c r="AE419" s="21">
        <f>IF(AB419&lt;&gt;"",AB419,Z419)</f>
        <v/>
      </c>
      <c r="AF419" s="13" t="inlineStr">
        <is>
          <t>P-8a &gt; Carrier Replacement Program &gt; Ordnance &gt; AVIATION DATA MANAGEMENT AND CONTROL SYSTEM (ADMACS) 1</t>
        </is>
      </c>
      <c r="AG419" s="7" t="inlineStr">
        <is>
          <t>82</t>
        </is>
      </c>
      <c r="AH419" s="7" t="inlineStr">
        <is>
          <t>2001</t>
        </is>
      </c>
      <c r="AJ419" s="7" t="inlineStr">
        <is>
          <t>AVIATION DATA MANAGEMENT AND CONTROL SYSTEM (ADMACS)</t>
        </is>
      </c>
    </row>
    <row r="420" ht="10" customHeight="1">
      <c r="A420" s="7" t="inlineStr">
        <is>
          <t>SCN</t>
        </is>
      </c>
      <c r="B420" s="7" t="inlineStr">
        <is>
          <t>Procurement</t>
        </is>
      </c>
      <c r="D420" s="7" t="inlineStr">
        <is>
          <t>Carrier Replacement Program - P-8a Ordnance - MK 49, MOD 5 ROLLING AIRFRAME MISSILE (RAM) 2</t>
        </is>
      </c>
      <c r="E420" s="13" t="inlineStr">
        <is>
          <t>[ALT_VIEW]</t>
        </is>
      </c>
      <c r="F420" s="7" t="inlineStr">
        <is>
          <t>2001 / Carrier Replacement Program</t>
        </is>
      </c>
      <c r="G420" s="7" t="inlineStr">
        <is>
          <t>P-8a</t>
        </is>
      </c>
      <c r="H420" s="7" t="inlineStr">
        <is>
          <t>Ordnance</t>
        </is>
      </c>
      <c r="I420" s="14" t="n">
        <v>1</v>
      </c>
      <c r="J420" s="7" t="inlineStr">
        <is>
          <t>Full ship DD&amp;C</t>
        </is>
      </c>
      <c r="K420" s="13" t="inlineStr">
        <is>
          <t>USN</t>
        </is>
      </c>
      <c r="L420" s="7" t="inlineStr">
        <is>
          <t>Combatant Ships</t>
        </is>
      </c>
      <c r="M420" s="7" t="inlineStr">
        <is>
          <t>Aircraft Carriers</t>
        </is>
      </c>
      <c r="N420" s="7" t="inlineStr">
        <is>
          <t>CVN</t>
        </is>
      </c>
      <c r="O420" s="15" t="n"/>
      <c r="P420" s="16" t="n">
        <v>16102</v>
      </c>
      <c r="S420" s="16" t="n">
        <v>18584</v>
      </c>
      <c r="U420" s="16" t="n">
        <v>18584</v>
      </c>
      <c r="AC420" s="23">
        <f>IF(OR(E420="",E420="[PARENT]"),"ADD",IF(E420="[ALT_VIEW]","ALT",""))</f>
        <v/>
      </c>
      <c r="AD420" s="21">
        <f>IF(Y420&lt;&gt;"",Y420,IF(U420&lt;&gt;"",U420,S420))</f>
        <v/>
      </c>
      <c r="AE420" s="21">
        <f>IF(AB420&lt;&gt;"",AB420,Z420)</f>
        <v/>
      </c>
      <c r="AF420" s="13" t="inlineStr">
        <is>
          <t>P-8a &gt; Carrier Replacement Program &gt; Ordnance &gt; MK 49, MOD 5 ROLLING AIRFRAME MISSILE (RAM) 2</t>
        </is>
      </c>
      <c r="AG420" s="7" t="inlineStr">
        <is>
          <t>82</t>
        </is>
      </c>
      <c r="AH420" s="7" t="inlineStr">
        <is>
          <t>2001</t>
        </is>
      </c>
      <c r="AJ420" s="7" t="inlineStr">
        <is>
          <t>MK 49, MOD 5 ROLLING AIRFRAME MISSILE (RAM)</t>
        </is>
      </c>
    </row>
    <row r="421" ht="10" customHeight="1">
      <c r="A421" s="7" t="inlineStr">
        <is>
          <t>SCN</t>
        </is>
      </c>
      <c r="B421" s="7" t="inlineStr">
        <is>
          <t>Procurement</t>
        </is>
      </c>
      <c r="D421" s="7" t="inlineStr">
        <is>
          <t>Carrier Replacement Program - P-8a Ordnance - TRACKING RADAR 1</t>
        </is>
      </c>
      <c r="E421" s="13" t="inlineStr">
        <is>
          <t>[ALT_VIEW]</t>
        </is>
      </c>
      <c r="F421" s="7" t="inlineStr">
        <is>
          <t>2001 / Carrier Replacement Program</t>
        </is>
      </c>
      <c r="G421" s="7" t="inlineStr">
        <is>
          <t>P-8a</t>
        </is>
      </c>
      <c r="H421" s="7" t="inlineStr">
        <is>
          <t>Ordnance</t>
        </is>
      </c>
      <c r="I421" s="14" t="n">
        <v>1</v>
      </c>
      <c r="J421" s="7" t="inlineStr">
        <is>
          <t>Full ship DD&amp;C</t>
        </is>
      </c>
      <c r="K421" s="13" t="inlineStr">
        <is>
          <t>USN</t>
        </is>
      </c>
      <c r="L421" s="7" t="inlineStr">
        <is>
          <t>Combatant Ships</t>
        </is>
      </c>
      <c r="M421" s="7" t="inlineStr">
        <is>
          <t>Aircraft Carriers</t>
        </is>
      </c>
      <c r="N421" s="7" t="inlineStr">
        <is>
          <t>CVN</t>
        </is>
      </c>
      <c r="O421" s="15" t="n"/>
      <c r="P421" s="16" t="n">
        <v>7694</v>
      </c>
      <c r="S421" s="16" t="n">
        <v>8656</v>
      </c>
      <c r="U421" s="16" t="n">
        <v>8656</v>
      </c>
      <c r="AC421" s="23">
        <f>IF(OR(E421="",E421="[PARENT]"),"ADD",IF(E421="[ALT_VIEW]","ALT",""))</f>
        <v/>
      </c>
      <c r="AD421" s="21">
        <f>IF(Y421&lt;&gt;"",Y421,IF(U421&lt;&gt;"",U421,S421))</f>
        <v/>
      </c>
      <c r="AE421" s="21">
        <f>IF(AB421&lt;&gt;"",AB421,Z421)</f>
        <v/>
      </c>
      <c r="AF421" s="13" t="inlineStr">
        <is>
          <t>P-8a &gt; Carrier Replacement Program &gt; Ordnance &gt; TRACKING RADAR 1</t>
        </is>
      </c>
      <c r="AG421" s="7" t="inlineStr">
        <is>
          <t>82</t>
        </is>
      </c>
      <c r="AH421" s="7" t="inlineStr">
        <is>
          <t>2001</t>
        </is>
      </c>
    </row>
    <row r="422" ht="10" customHeight="1">
      <c r="A422" s="7" t="inlineStr">
        <is>
          <t>SCN</t>
        </is>
      </c>
      <c r="B422" s="7" t="inlineStr">
        <is>
          <t>Procurement</t>
        </is>
      </c>
      <c r="D422" s="7" t="inlineStr">
        <is>
          <t>Carrier Replacement Program - P-8a Ordnance - IMPROVED FRESNEL LENS OPTICAL LANDING SYSTEM (IFLOLS) 0 - 1</t>
        </is>
      </c>
      <c r="E422" s="13" t="inlineStr">
        <is>
          <t>[ALT_VIEW]</t>
        </is>
      </c>
      <c r="F422" s="7" t="inlineStr">
        <is>
          <t>2001 / Carrier Replacement Program</t>
        </is>
      </c>
      <c r="G422" s="7" t="inlineStr">
        <is>
          <t>P-8a</t>
        </is>
      </c>
      <c r="H422" s="7" t="inlineStr">
        <is>
          <t>Ordnance</t>
        </is>
      </c>
      <c r="I422" s="14" t="n">
        <v>1</v>
      </c>
      <c r="J422" s="7" t="inlineStr">
        <is>
          <t>Full ship DD&amp;C</t>
        </is>
      </c>
      <c r="K422" s="13" t="inlineStr">
        <is>
          <t>USN</t>
        </is>
      </c>
      <c r="L422" s="7" t="inlineStr">
        <is>
          <t>Combatant Ships</t>
        </is>
      </c>
      <c r="M422" s="7" t="inlineStr">
        <is>
          <t>Aircraft Carriers</t>
        </is>
      </c>
      <c r="N422" s="7" t="inlineStr">
        <is>
          <t>CVN</t>
        </is>
      </c>
      <c r="O422" s="15" t="n"/>
      <c r="S422" s="16" t="n">
        <v>8837</v>
      </c>
      <c r="U422" s="16" t="n">
        <v>8837</v>
      </c>
      <c r="AC422" s="23">
        <f>IF(OR(E422="",E422="[PARENT]"),"ADD",IF(E422="[ALT_VIEW]","ALT",""))</f>
        <v/>
      </c>
      <c r="AD422" s="21">
        <f>IF(Y422&lt;&gt;"",Y422,IF(U422&lt;&gt;"",U422,S422))</f>
        <v/>
      </c>
      <c r="AE422" s="21">
        <f>IF(AB422&lt;&gt;"",AB422,Z422)</f>
        <v/>
      </c>
      <c r="AF422" s="13" t="inlineStr">
        <is>
          <t>P-8a &gt; Carrier Replacement Program &gt; Ordnance &gt; IMPROVED FRESNEL LENS OPTICAL LANDING SYSTEM (IFLOLS) 0 - 1</t>
        </is>
      </c>
      <c r="AG422" s="7" t="inlineStr">
        <is>
          <t>82</t>
        </is>
      </c>
      <c r="AH422" s="7" t="inlineStr">
        <is>
          <t>2001</t>
        </is>
      </c>
      <c r="AJ422" s="7" t="inlineStr">
        <is>
          <t>IMPROVED FRESNEL LENS OPTICAL LANDING SYSTEM (IFLOLS)</t>
        </is>
      </c>
    </row>
    <row r="423" ht="10" customHeight="1">
      <c r="A423" s="7" t="inlineStr">
        <is>
          <t>SCN</t>
        </is>
      </c>
      <c r="B423" s="7" t="inlineStr">
        <is>
          <t>Procurement</t>
        </is>
      </c>
      <c r="D423" s="7" t="inlineStr">
        <is>
          <t>Carrier Replacement Program - P-8a Ordnance - INTEGRATED LAUNCH AND RECOVERY TELEVISION SYSTEM (ILARTS) 0 - 1</t>
        </is>
      </c>
      <c r="E423" s="13" t="inlineStr">
        <is>
          <t>[ALT_VIEW]</t>
        </is>
      </c>
      <c r="F423" s="7" t="inlineStr">
        <is>
          <t>2001 / Carrier Replacement Program</t>
        </is>
      </c>
      <c r="G423" s="7" t="inlineStr">
        <is>
          <t>P-8a</t>
        </is>
      </c>
      <c r="H423" s="7" t="inlineStr">
        <is>
          <t>Ordnance</t>
        </is>
      </c>
      <c r="I423" s="14" t="n">
        <v>1</v>
      </c>
      <c r="J423" s="7" t="inlineStr">
        <is>
          <t>Full ship DD&amp;C</t>
        </is>
      </c>
      <c r="K423" s="13" t="inlineStr">
        <is>
          <t>USN</t>
        </is>
      </c>
      <c r="L423" s="7" t="inlineStr">
        <is>
          <t>Combatant Ships</t>
        </is>
      </c>
      <c r="M423" s="7" t="inlineStr">
        <is>
          <t>Aircraft Carriers</t>
        </is>
      </c>
      <c r="N423" s="7" t="inlineStr">
        <is>
          <t>CVN</t>
        </is>
      </c>
      <c r="O423" s="15" t="n"/>
      <c r="S423" s="16" t="n">
        <v>5523</v>
      </c>
      <c r="U423" s="16" t="n">
        <v>5523</v>
      </c>
      <c r="AC423" s="23">
        <f>IF(OR(E423="",E423="[PARENT]"),"ADD",IF(E423="[ALT_VIEW]","ALT",""))</f>
        <v/>
      </c>
      <c r="AD423" s="21">
        <f>IF(Y423&lt;&gt;"",Y423,IF(U423&lt;&gt;"",U423,S423))</f>
        <v/>
      </c>
      <c r="AE423" s="21">
        <f>IF(AB423&lt;&gt;"",AB423,Z423)</f>
        <v/>
      </c>
      <c r="AF423" s="13" t="inlineStr">
        <is>
          <t>P-8a &gt; Carrier Replacement Program &gt; Ordnance &gt; INTEGRATED LAUNCH AND RECOVERY TELEVISION SYSTEM (ILARTS) 0 - 1</t>
        </is>
      </c>
      <c r="AG423" s="7" t="inlineStr">
        <is>
          <t>82</t>
        </is>
      </c>
      <c r="AH423" s="7" t="inlineStr">
        <is>
          <t>2001</t>
        </is>
      </c>
      <c r="AJ423" s="7" t="inlineStr">
        <is>
          <t>INTEGRATED LAUNCH AND RECOVERY TELEVISION SYSTEM (ILARTS)</t>
        </is>
      </c>
    </row>
    <row r="424" ht="10" customHeight="1">
      <c r="A424" s="7" t="inlineStr">
        <is>
          <t>SCN</t>
        </is>
      </c>
      <c r="B424" s="7" t="inlineStr">
        <is>
          <t>Procurement</t>
        </is>
      </c>
      <c r="D424" s="7" t="inlineStr">
        <is>
          <t>Carrier Replacement Program - P-8a Ordnance - UNMANNED AVIATION WARFARE CENTER (UAWC) 0 - 1</t>
        </is>
      </c>
      <c r="E424" s="13" t="inlineStr">
        <is>
          <t>[ALT_VIEW]</t>
        </is>
      </c>
      <c r="F424" s="7" t="inlineStr">
        <is>
          <t>2001 / Carrier Replacement Program</t>
        </is>
      </c>
      <c r="G424" s="7" t="inlineStr">
        <is>
          <t>P-8a</t>
        </is>
      </c>
      <c r="H424" s="7" t="inlineStr">
        <is>
          <t>Ordnance</t>
        </is>
      </c>
      <c r="I424" s="14" t="n">
        <v>1</v>
      </c>
      <c r="J424" s="7" t="inlineStr">
        <is>
          <t>Full ship DD&amp;C</t>
        </is>
      </c>
      <c r="K424" s="13" t="inlineStr">
        <is>
          <t>USN</t>
        </is>
      </c>
      <c r="L424" s="7" t="inlineStr">
        <is>
          <t>Combatant Ships</t>
        </is>
      </c>
      <c r="M424" s="7" t="inlineStr">
        <is>
          <t>Aircraft Carriers</t>
        </is>
      </c>
      <c r="N424" s="7" t="inlineStr">
        <is>
          <t>CVN</t>
        </is>
      </c>
      <c r="O424" s="15" t="n"/>
      <c r="S424" s="16" t="n">
        <v>46100</v>
      </c>
      <c r="U424" s="16" t="n">
        <v>46100</v>
      </c>
      <c r="AC424" s="23">
        <f>IF(OR(E424="",E424="[PARENT]"),"ADD",IF(E424="[ALT_VIEW]","ALT",""))</f>
        <v/>
      </c>
      <c r="AD424" s="21">
        <f>IF(Y424&lt;&gt;"",Y424,IF(U424&lt;&gt;"",U424,S424))</f>
        <v/>
      </c>
      <c r="AE424" s="21">
        <f>IF(AB424&lt;&gt;"",AB424,Z424)</f>
        <v/>
      </c>
      <c r="AF424" s="13" t="inlineStr">
        <is>
          <t>P-8a &gt; Carrier Replacement Program &gt; Ordnance &gt; UNMANNED AVIATION WARFARE CENTER (UAWC) 0 - 1</t>
        </is>
      </c>
      <c r="AG424" s="7" t="inlineStr">
        <is>
          <t>82</t>
        </is>
      </c>
      <c r="AH424" s="7" t="inlineStr">
        <is>
          <t>2001</t>
        </is>
      </c>
      <c r="AJ424" s="7" t="inlineStr">
        <is>
          <t>UNMANNED AVIATION WARFARE CENTER (UAWC)</t>
        </is>
      </c>
    </row>
    <row r="425" ht="10" customHeight="1">
      <c r="A425" s="7" t="inlineStr">
        <is>
          <t>SCN</t>
        </is>
      </c>
      <c r="B425" s="7" t="inlineStr">
        <is>
          <t>Procurement</t>
        </is>
      </c>
      <c r="D425" s="7" t="inlineStr">
        <is>
          <t>Carrier Replacement Program - P-8a Ordnance - LANDING SIGNAL OFFICER DISPLAY SYSTEM (LSODS) 1</t>
        </is>
      </c>
      <c r="E425" s="13" t="inlineStr">
        <is>
          <t>[ALT_VIEW]</t>
        </is>
      </c>
      <c r="F425" s="7" t="inlineStr">
        <is>
          <t>2001 / Carrier Replacement Program</t>
        </is>
      </c>
      <c r="G425" s="7" t="inlineStr">
        <is>
          <t>P-8a</t>
        </is>
      </c>
      <c r="H425" s="7" t="inlineStr">
        <is>
          <t>Ordnance</t>
        </is>
      </c>
      <c r="I425" s="14" t="n">
        <v>1</v>
      </c>
      <c r="J425" s="7" t="inlineStr">
        <is>
          <t>Full ship DD&amp;C</t>
        </is>
      </c>
      <c r="K425" s="13" t="inlineStr">
        <is>
          <t>USN</t>
        </is>
      </c>
      <c r="L425" s="7" t="inlineStr">
        <is>
          <t>Combatant Ships</t>
        </is>
      </c>
      <c r="M425" s="7" t="inlineStr">
        <is>
          <t>Aircraft Carriers</t>
        </is>
      </c>
      <c r="N425" s="7" t="inlineStr">
        <is>
          <t>CVN</t>
        </is>
      </c>
      <c r="O425" s="15" t="n"/>
      <c r="P425" s="16" t="n">
        <v>2527</v>
      </c>
      <c r="S425" s="16" t="n">
        <v>2820</v>
      </c>
      <c r="U425" s="16" t="n">
        <v>2820</v>
      </c>
      <c r="AC425" s="23">
        <f>IF(OR(E425="",E425="[PARENT]"),"ADD",IF(E425="[ALT_VIEW]","ALT",""))</f>
        <v/>
      </c>
      <c r="AD425" s="21">
        <f>IF(Y425&lt;&gt;"",Y425,IF(U425&lt;&gt;"",U425,S425))</f>
        <v/>
      </c>
      <c r="AE425" s="21">
        <f>IF(AB425&lt;&gt;"",AB425,Z425)</f>
        <v/>
      </c>
      <c r="AF425" s="13" t="inlineStr">
        <is>
          <t>P-8a &gt; Carrier Replacement Program &gt; Ordnance &gt; LANDING SIGNAL OFFICER DISPLAY SYSTEM (LSODS) 1</t>
        </is>
      </c>
      <c r="AG425" s="7" t="inlineStr">
        <is>
          <t>82</t>
        </is>
      </c>
      <c r="AH425" s="7" t="inlineStr">
        <is>
          <t>2001</t>
        </is>
      </c>
      <c r="AJ425" s="7" t="inlineStr">
        <is>
          <t>LANDING SIGNAL OFFICER DISPLAY SYSTEM (LSODS)</t>
        </is>
      </c>
    </row>
    <row r="426" ht="10" customHeight="1">
      <c r="A426" s="7" t="inlineStr">
        <is>
          <t>SCN</t>
        </is>
      </c>
      <c r="B426" s="7" t="inlineStr">
        <is>
          <t>Procurement</t>
        </is>
      </c>
      <c r="D426" s="7" t="inlineStr">
        <is>
          <t>Carrier Replacement Program - P-8a Ordnance - MORIAH BLOCK 2 1</t>
        </is>
      </c>
      <c r="E426" s="13" t="inlineStr">
        <is>
          <t>[ALT_VIEW]</t>
        </is>
      </c>
      <c r="F426" s="7" t="inlineStr">
        <is>
          <t>2001 / Carrier Replacement Program</t>
        </is>
      </c>
      <c r="G426" s="7" t="inlineStr">
        <is>
          <t>P-8a</t>
        </is>
      </c>
      <c r="H426" s="7" t="inlineStr">
        <is>
          <t>Ordnance</t>
        </is>
      </c>
      <c r="I426" s="14" t="n">
        <v>1</v>
      </c>
      <c r="J426" s="7" t="inlineStr">
        <is>
          <t>Full ship DD&amp;C</t>
        </is>
      </c>
      <c r="K426" s="13" t="inlineStr">
        <is>
          <t>USN</t>
        </is>
      </c>
      <c r="L426" s="7" t="inlineStr">
        <is>
          <t>Combatant Ships</t>
        </is>
      </c>
      <c r="M426" s="7" t="inlineStr">
        <is>
          <t>Aircraft Carriers</t>
        </is>
      </c>
      <c r="N426" s="7" t="inlineStr">
        <is>
          <t>CVN</t>
        </is>
      </c>
      <c r="O426" s="15" t="n"/>
      <c r="P426" s="16" t="n">
        <v>1089</v>
      </c>
      <c r="S426" s="16" t="n">
        <v>1972</v>
      </c>
      <c r="U426" s="16" t="n">
        <v>1972</v>
      </c>
      <c r="AC426" s="23">
        <f>IF(OR(E426="",E426="[PARENT]"),"ADD",IF(E426="[ALT_VIEW]","ALT",""))</f>
        <v/>
      </c>
      <c r="AD426" s="21">
        <f>IF(Y426&lt;&gt;"",Y426,IF(U426&lt;&gt;"",U426,S426))</f>
        <v/>
      </c>
      <c r="AE426" s="21">
        <f>IF(AB426&lt;&gt;"",AB426,Z426)</f>
        <v/>
      </c>
      <c r="AF426" s="13" t="inlineStr">
        <is>
          <t>P-8a &gt; Carrier Replacement Program &gt; Ordnance &gt; MORIAH BLOCK 2 1</t>
        </is>
      </c>
      <c r="AG426" s="7" t="inlineStr">
        <is>
          <t>82</t>
        </is>
      </c>
      <c r="AH426" s="7" t="inlineStr">
        <is>
          <t>2001</t>
        </is>
      </c>
      <c r="AJ426" s="7" t="inlineStr">
        <is>
          <t>MORIAH BLOCK 2</t>
        </is>
      </c>
    </row>
    <row r="427" ht="10" customHeight="1">
      <c r="A427" s="7" t="inlineStr">
        <is>
          <t>SCN</t>
        </is>
      </c>
      <c r="B427" s="7" t="inlineStr">
        <is>
          <t>Procurement</t>
        </is>
      </c>
      <c r="D427" s="7" t="inlineStr">
        <is>
          <t>Carrier Replacement Program - P-8a Ordnance - LONG RANGE LINEUP SYSTEM (LRLS) 1</t>
        </is>
      </c>
      <c r="E427" s="13" t="inlineStr">
        <is>
          <t>[ALT_VIEW]</t>
        </is>
      </c>
      <c r="F427" s="7" t="inlineStr">
        <is>
          <t>2001 / Carrier Replacement Program</t>
        </is>
      </c>
      <c r="G427" s="7" t="inlineStr">
        <is>
          <t>P-8a</t>
        </is>
      </c>
      <c r="H427" s="7" t="inlineStr">
        <is>
          <t>Ordnance</t>
        </is>
      </c>
      <c r="I427" s="14" t="n">
        <v>1</v>
      </c>
      <c r="J427" s="7" t="inlineStr">
        <is>
          <t>Full ship DD&amp;C</t>
        </is>
      </c>
      <c r="K427" s="13" t="inlineStr">
        <is>
          <t>USN</t>
        </is>
      </c>
      <c r="L427" s="7" t="inlineStr">
        <is>
          <t>Combatant Ships</t>
        </is>
      </c>
      <c r="M427" s="7" t="inlineStr">
        <is>
          <t>Aircraft Carriers</t>
        </is>
      </c>
      <c r="N427" s="7" t="inlineStr">
        <is>
          <t>CVN</t>
        </is>
      </c>
      <c r="O427" s="15" t="n"/>
      <c r="P427" s="16" t="n">
        <v>889</v>
      </c>
      <c r="S427" s="16" t="n">
        <v>1096</v>
      </c>
      <c r="U427" s="16" t="n">
        <v>1096</v>
      </c>
      <c r="AC427" s="23">
        <f>IF(OR(E427="",E427="[PARENT]"),"ADD",IF(E427="[ALT_VIEW]","ALT",""))</f>
        <v/>
      </c>
      <c r="AD427" s="21">
        <f>IF(Y427&lt;&gt;"",Y427,IF(U427&lt;&gt;"",U427,S427))</f>
        <v/>
      </c>
      <c r="AE427" s="21">
        <f>IF(AB427&lt;&gt;"",AB427,Z427)</f>
        <v/>
      </c>
      <c r="AF427" s="13" t="inlineStr">
        <is>
          <t>P-8a &gt; Carrier Replacement Program &gt; Ordnance &gt; LONG RANGE LINEUP SYSTEM (LRLS) 1</t>
        </is>
      </c>
      <c r="AG427" s="7" t="inlineStr">
        <is>
          <t>82</t>
        </is>
      </c>
      <c r="AH427" s="7" t="inlineStr">
        <is>
          <t>2001</t>
        </is>
      </c>
      <c r="AJ427" s="7" t="inlineStr">
        <is>
          <t>LONG RANGE LINEUP SYSTEM (LRLS)</t>
        </is>
      </c>
    </row>
    <row r="428" ht="10" customHeight="1">
      <c r="A428" s="7" t="inlineStr">
        <is>
          <t>SCN</t>
        </is>
      </c>
      <c r="B428" s="7" t="inlineStr">
        <is>
          <t>Procurement</t>
        </is>
      </c>
      <c r="D428" s="7" t="inlineStr">
        <is>
          <t>Carrier Replacement Program - P-8a Ordnance - IMPROVED FRESNEL LENS OPTICAL LANDING SYSTEM (IFLOLS) 1</t>
        </is>
      </c>
      <c r="E428" s="13" t="inlineStr">
        <is>
          <t>[ALT_VIEW]</t>
        </is>
      </c>
      <c r="F428" s="7" t="inlineStr">
        <is>
          <t>2001 / Carrier Replacement Program</t>
        </is>
      </c>
      <c r="G428" s="7" t="inlineStr">
        <is>
          <t>P-8a</t>
        </is>
      </c>
      <c r="H428" s="7" t="inlineStr">
        <is>
          <t>Ordnance</t>
        </is>
      </c>
      <c r="I428" s="14" t="n">
        <v>1</v>
      </c>
      <c r="J428" s="7" t="inlineStr">
        <is>
          <t>Full ship DD&amp;C</t>
        </is>
      </c>
      <c r="K428" s="13" t="inlineStr">
        <is>
          <t>USN</t>
        </is>
      </c>
      <c r="L428" s="7" t="inlineStr">
        <is>
          <t>Combatant Ships</t>
        </is>
      </c>
      <c r="M428" s="7" t="inlineStr">
        <is>
          <t>Aircraft Carriers</t>
        </is>
      </c>
      <c r="N428" s="7" t="inlineStr">
        <is>
          <t>CVN</t>
        </is>
      </c>
      <c r="O428" s="15" t="n"/>
      <c r="S428" s="16" t="n">
        <v>2090</v>
      </c>
      <c r="U428" s="16" t="n">
        <v>2090</v>
      </c>
      <c r="AC428" s="23">
        <f>IF(OR(E428="",E428="[PARENT]"),"ADD",IF(E428="[ALT_VIEW]","ALT",""))</f>
        <v/>
      </c>
      <c r="AD428" s="21">
        <f>IF(Y428&lt;&gt;"",Y428,IF(U428&lt;&gt;"",U428,S428))</f>
        <v/>
      </c>
      <c r="AE428" s="21">
        <f>IF(AB428&lt;&gt;"",AB428,Z428)</f>
        <v/>
      </c>
      <c r="AF428" s="13" t="inlineStr">
        <is>
          <t>P-8a &gt; Carrier Replacement Program &gt; Ordnance &gt; IMPROVED FRESNEL LENS OPTICAL LANDING SYSTEM (IFLOLS) 1</t>
        </is>
      </c>
      <c r="AG428" s="7" t="inlineStr">
        <is>
          <t>82</t>
        </is>
      </c>
      <c r="AH428" s="7" t="inlineStr">
        <is>
          <t>2001</t>
        </is>
      </c>
    </row>
    <row r="429" ht="10" customHeight="1">
      <c r="A429" s="7" t="inlineStr">
        <is>
          <t>SCN</t>
        </is>
      </c>
      <c r="B429" s="7" t="inlineStr">
        <is>
          <t>Procurement</t>
        </is>
      </c>
      <c r="D429" s="7" t="inlineStr">
        <is>
          <t>Carrier Replacement Program - P-8a Ordnance - INTEGRATED LAUNCH AND RECOVERY TELEVISION SYSTEM (ILARTS) 1</t>
        </is>
      </c>
      <c r="E429" s="13" t="inlineStr">
        <is>
          <t>[ALT_VIEW]</t>
        </is>
      </c>
      <c r="F429" s="7" t="inlineStr">
        <is>
          <t>2001 / Carrier Replacement Program</t>
        </is>
      </c>
      <c r="G429" s="7" t="inlineStr">
        <is>
          <t>P-8a</t>
        </is>
      </c>
      <c r="H429" s="7" t="inlineStr">
        <is>
          <t>Ordnance</t>
        </is>
      </c>
      <c r="I429" s="14" t="n">
        <v>1</v>
      </c>
      <c r="J429" s="7" t="inlineStr">
        <is>
          <t>Full ship DD&amp;C</t>
        </is>
      </c>
      <c r="K429" s="13" t="inlineStr">
        <is>
          <t>USN</t>
        </is>
      </c>
      <c r="L429" s="7" t="inlineStr">
        <is>
          <t>Combatant Ships</t>
        </is>
      </c>
      <c r="M429" s="7" t="inlineStr">
        <is>
          <t>Aircraft Carriers</t>
        </is>
      </c>
      <c r="N429" s="7" t="inlineStr">
        <is>
          <t>CVN</t>
        </is>
      </c>
      <c r="O429" s="15" t="n"/>
      <c r="S429" s="16" t="n">
        <v>5018</v>
      </c>
      <c r="U429" s="16" t="n">
        <v>5018</v>
      </c>
      <c r="AC429" s="23">
        <f>IF(OR(E429="",E429="[PARENT]"),"ADD",IF(E429="[ALT_VIEW]","ALT",""))</f>
        <v/>
      </c>
      <c r="AD429" s="21">
        <f>IF(Y429&lt;&gt;"",Y429,IF(U429&lt;&gt;"",U429,S429))</f>
        <v/>
      </c>
      <c r="AE429" s="21">
        <f>IF(AB429&lt;&gt;"",AB429,Z429)</f>
        <v/>
      </c>
      <c r="AF429" s="13" t="inlineStr">
        <is>
          <t>P-8a &gt; Carrier Replacement Program &gt; Ordnance &gt; INTEGRATED LAUNCH AND RECOVERY TELEVISION SYSTEM (ILARTS) 1</t>
        </is>
      </c>
      <c r="AG429" s="7" t="inlineStr">
        <is>
          <t>82</t>
        </is>
      </c>
      <c r="AH429" s="7" t="inlineStr">
        <is>
          <t>2001</t>
        </is>
      </c>
    </row>
    <row r="430" ht="10" customHeight="1">
      <c r="A430" s="7" t="inlineStr">
        <is>
          <t>SCN</t>
        </is>
      </c>
      <c r="B430" s="7" t="inlineStr">
        <is>
          <t>Procurement</t>
        </is>
      </c>
      <c r="D430" s="7" t="inlineStr">
        <is>
          <t>Carrier Replacement Program - P-8a Ordnance - COMPACT SWAGING MACHINE (CSM) 2</t>
        </is>
      </c>
      <c r="E430" s="13" t="inlineStr">
        <is>
          <t>[ALT_VIEW]</t>
        </is>
      </c>
      <c r="F430" s="7" t="inlineStr">
        <is>
          <t>2001 / Carrier Replacement Program</t>
        </is>
      </c>
      <c r="G430" s="7" t="inlineStr">
        <is>
          <t>P-8a</t>
        </is>
      </c>
      <c r="H430" s="7" t="inlineStr">
        <is>
          <t>Ordnance</t>
        </is>
      </c>
      <c r="I430" s="14" t="n">
        <v>1</v>
      </c>
      <c r="J430" s="7" t="inlineStr">
        <is>
          <t>Full ship DD&amp;C</t>
        </is>
      </c>
      <c r="K430" s="13" t="inlineStr">
        <is>
          <t>USN</t>
        </is>
      </c>
      <c r="L430" s="7" t="inlineStr">
        <is>
          <t>Combatant Ships</t>
        </is>
      </c>
      <c r="M430" s="7" t="inlineStr">
        <is>
          <t>Aircraft Carriers</t>
        </is>
      </c>
      <c r="N430" s="7" t="inlineStr">
        <is>
          <t>CVN</t>
        </is>
      </c>
      <c r="O430" s="15" t="n"/>
      <c r="P430" s="16" t="n">
        <v>2371</v>
      </c>
      <c r="S430" s="16" t="n">
        <v>2677</v>
      </c>
      <c r="U430" s="16" t="n">
        <v>2677</v>
      </c>
      <c r="AC430" s="23">
        <f>IF(OR(E430="",E430="[PARENT]"),"ADD",IF(E430="[ALT_VIEW]","ALT",""))</f>
        <v/>
      </c>
      <c r="AD430" s="21">
        <f>IF(Y430&lt;&gt;"",Y430,IF(U430&lt;&gt;"",U430,S430))</f>
        <v/>
      </c>
      <c r="AE430" s="21">
        <f>IF(AB430&lt;&gt;"",AB430,Z430)</f>
        <v/>
      </c>
      <c r="AF430" s="13" t="inlineStr">
        <is>
          <t>P-8a &gt; Carrier Replacement Program &gt; Ordnance &gt; COMPACT SWAGING MACHINE (CSM) 2</t>
        </is>
      </c>
      <c r="AG430" s="7" t="inlineStr">
        <is>
          <t>82</t>
        </is>
      </c>
      <c r="AH430" s="7" t="inlineStr">
        <is>
          <t>2001</t>
        </is>
      </c>
      <c r="AJ430" s="7" t="inlineStr">
        <is>
          <t>COMPACT SWAGING MACHINE (CSM)</t>
        </is>
      </c>
    </row>
    <row r="431" ht="10" customHeight="1">
      <c r="A431" s="7" t="inlineStr">
        <is>
          <t>SCN</t>
        </is>
      </c>
      <c r="B431" s="7" t="inlineStr">
        <is>
          <t>Procurement</t>
        </is>
      </c>
      <c r="D431" s="7" t="inlineStr">
        <is>
          <t>Carrier Replacement Program - P-8a Ordnance - JOINT STRIKE FIGHTER ALIS 1</t>
        </is>
      </c>
      <c r="E431" s="13" t="inlineStr">
        <is>
          <t>[ALT_VIEW]</t>
        </is>
      </c>
      <c r="F431" s="7" t="inlineStr">
        <is>
          <t>2001 / Carrier Replacement Program</t>
        </is>
      </c>
      <c r="G431" s="7" t="inlineStr">
        <is>
          <t>P-8a</t>
        </is>
      </c>
      <c r="H431" s="7" t="inlineStr">
        <is>
          <t>Ordnance</t>
        </is>
      </c>
      <c r="I431" s="14" t="n">
        <v>1</v>
      </c>
      <c r="J431" s="7" t="inlineStr">
        <is>
          <t>Full ship DD&amp;C</t>
        </is>
      </c>
      <c r="K431" s="13" t="inlineStr">
        <is>
          <t>USN</t>
        </is>
      </c>
      <c r="L431" s="7" t="inlineStr">
        <is>
          <t>Combatant Ships</t>
        </is>
      </c>
      <c r="M431" s="7" t="inlineStr">
        <is>
          <t>Aircraft Carriers</t>
        </is>
      </c>
      <c r="N431" s="7" t="inlineStr">
        <is>
          <t>CVN</t>
        </is>
      </c>
      <c r="O431" s="15" t="n"/>
      <c r="P431" s="16" t="n">
        <v>2338</v>
      </c>
      <c r="S431" s="16" t="n">
        <v>1995</v>
      </c>
      <c r="U431" s="16" t="n">
        <v>1995</v>
      </c>
      <c r="AC431" s="23">
        <f>IF(OR(E431="",E431="[PARENT]"),"ADD",IF(E431="[ALT_VIEW]","ALT",""))</f>
        <v/>
      </c>
      <c r="AD431" s="21">
        <f>IF(Y431&lt;&gt;"",Y431,IF(U431&lt;&gt;"",U431,S431))</f>
        <v/>
      </c>
      <c r="AE431" s="21">
        <f>IF(AB431&lt;&gt;"",AB431,Z431)</f>
        <v/>
      </c>
      <c r="AF431" s="13" t="inlineStr">
        <is>
          <t>P-8a &gt; Carrier Replacement Program &gt; Ordnance &gt; JOINT STRIKE FIGHTER ALIS 1</t>
        </is>
      </c>
      <c r="AG431" s="7" t="inlineStr">
        <is>
          <t>82</t>
        </is>
      </c>
      <c r="AH431" s="7" t="inlineStr">
        <is>
          <t>2001</t>
        </is>
      </c>
      <c r="AJ431" s="7" t="inlineStr">
        <is>
          <t>JOINT STRIKE FIGHTER ALIS</t>
        </is>
      </c>
    </row>
    <row r="432" ht="10" customHeight="1">
      <c r="A432" s="7" t="inlineStr">
        <is>
          <t>SCN</t>
        </is>
      </c>
      <c r="B432" s="7" t="inlineStr">
        <is>
          <t>Procurement</t>
        </is>
      </c>
      <c r="D432" s="7" t="inlineStr">
        <is>
          <t>Carrier Replacement Program - P-8a Ordnance - MK-38 MOD 3 MACHINE GUN SYSTEM (MGS) 0 - 4</t>
        </is>
      </c>
      <c r="E432" s="13" t="inlineStr">
        <is>
          <t>[ALT_VIEW]</t>
        </is>
      </c>
      <c r="F432" s="7" t="inlineStr">
        <is>
          <t>2001 / Carrier Replacement Program</t>
        </is>
      </c>
      <c r="G432" s="7" t="inlineStr">
        <is>
          <t>P-8a</t>
        </is>
      </c>
      <c r="H432" s="7" t="inlineStr">
        <is>
          <t>Ordnance</t>
        </is>
      </c>
      <c r="I432" s="14" t="n">
        <v>1</v>
      </c>
      <c r="J432" s="7" t="inlineStr">
        <is>
          <t>Full ship DD&amp;C</t>
        </is>
      </c>
      <c r="K432" s="13" t="inlineStr">
        <is>
          <t>USN</t>
        </is>
      </c>
      <c r="L432" s="7" t="inlineStr">
        <is>
          <t>Combatant Ships</t>
        </is>
      </c>
      <c r="M432" s="7" t="inlineStr">
        <is>
          <t>Aircraft Carriers</t>
        </is>
      </c>
      <c r="N432" s="7" t="inlineStr">
        <is>
          <t>CVN</t>
        </is>
      </c>
      <c r="O432" s="15" t="n"/>
      <c r="S432" s="16" t="n">
        <v>4175</v>
      </c>
      <c r="U432" s="16" t="n">
        <v>4175</v>
      </c>
      <c r="AC432" s="23">
        <f>IF(OR(E432="",E432="[PARENT]"),"ADD",IF(E432="[ALT_VIEW]","ALT",""))</f>
        <v/>
      </c>
      <c r="AD432" s="21">
        <f>IF(Y432&lt;&gt;"",Y432,IF(U432&lt;&gt;"",U432,S432))</f>
        <v/>
      </c>
      <c r="AE432" s="21">
        <f>IF(AB432&lt;&gt;"",AB432,Z432)</f>
        <v/>
      </c>
      <c r="AF432" s="13" t="inlineStr">
        <is>
          <t>P-8a &gt; Carrier Replacement Program &gt; Ordnance &gt; MK-38 MOD 3 MACHINE GUN SYSTEM (MGS) 0 - 4</t>
        </is>
      </c>
      <c r="AG432" s="7" t="inlineStr">
        <is>
          <t>82</t>
        </is>
      </c>
      <c r="AH432" s="7" t="inlineStr">
        <is>
          <t>2001</t>
        </is>
      </c>
      <c r="AJ432" s="7" t="inlineStr">
        <is>
          <t>MK-38 MOD 3 MACHINE GUN SYSTEM (MGS)</t>
        </is>
      </c>
    </row>
    <row r="433" ht="10" customHeight="1">
      <c r="A433" s="7" t="inlineStr">
        <is>
          <t>SCN</t>
        </is>
      </c>
      <c r="B433" s="7" t="inlineStr">
        <is>
          <t>Procurement</t>
        </is>
      </c>
      <c r="D433" s="7" t="inlineStr">
        <is>
          <t>Carrier Replacement Program - P-8a Ordnance - MANUALLY OPERATED VISUAL LANDING AID SYSTEM (MOVLAS) 0 - 1</t>
        </is>
      </c>
      <c r="E433" s="13" t="inlineStr">
        <is>
          <t>[ALT_VIEW]</t>
        </is>
      </c>
      <c r="F433" s="7" t="inlineStr">
        <is>
          <t>2001 / Carrier Replacement Program</t>
        </is>
      </c>
      <c r="G433" s="7" t="inlineStr">
        <is>
          <t>P-8a</t>
        </is>
      </c>
      <c r="H433" s="7" t="inlineStr">
        <is>
          <t>Ordnance</t>
        </is>
      </c>
      <c r="I433" s="14" t="n">
        <v>1</v>
      </c>
      <c r="J433" s="7" t="inlineStr">
        <is>
          <t>Full ship DD&amp;C</t>
        </is>
      </c>
      <c r="K433" s="13" t="inlineStr">
        <is>
          <t>USN</t>
        </is>
      </c>
      <c r="L433" s="7" t="inlineStr">
        <is>
          <t>Combatant Ships</t>
        </is>
      </c>
      <c r="M433" s="7" t="inlineStr">
        <is>
          <t>Aircraft Carriers</t>
        </is>
      </c>
      <c r="N433" s="7" t="inlineStr">
        <is>
          <t>CVN</t>
        </is>
      </c>
      <c r="O433" s="15" t="n"/>
      <c r="S433" s="16" t="n">
        <v>1693</v>
      </c>
      <c r="U433" s="16" t="n">
        <v>1693</v>
      </c>
      <c r="AC433" s="23">
        <f>IF(OR(E433="",E433="[PARENT]"),"ADD",IF(E433="[ALT_VIEW]","ALT",""))</f>
        <v/>
      </c>
      <c r="AD433" s="21">
        <f>IF(Y433&lt;&gt;"",Y433,IF(U433&lt;&gt;"",U433,S433))</f>
        <v/>
      </c>
      <c r="AE433" s="21">
        <f>IF(AB433&lt;&gt;"",AB433,Z433)</f>
        <v/>
      </c>
      <c r="AF433" s="13" t="inlineStr">
        <is>
          <t>P-8a &gt; Carrier Replacement Program &gt; Ordnance &gt; MANUALLY OPERATED VISUAL LANDING AID SYSTEM (MOVLAS) 0 - 1</t>
        </is>
      </c>
      <c r="AG433" s="7" t="inlineStr">
        <is>
          <t>82</t>
        </is>
      </c>
      <c r="AH433" s="7" t="inlineStr">
        <is>
          <t>2001</t>
        </is>
      </c>
      <c r="AJ433" s="7" t="inlineStr">
        <is>
          <t>MANUALLY OPERATED VISUAL LANDING AID SYSTEM (MOVLAS)</t>
        </is>
      </c>
    </row>
    <row r="434" ht="10" customHeight="1">
      <c r="A434" s="7" t="inlineStr">
        <is>
          <t>SCN</t>
        </is>
      </c>
      <c r="B434" s="7" t="inlineStr">
        <is>
          <t>Procurement</t>
        </is>
      </c>
      <c r="D434" s="7" t="inlineStr">
        <is>
          <t>Carrier Replacement Program - P-8a Ordnance - CMBRE) - MAGAZINE OPERATIONS (MAGOPS) 0 - 1</t>
        </is>
      </c>
      <c r="E434" s="13" t="inlineStr">
        <is>
          <t>[ALT_VIEW]</t>
        </is>
      </c>
      <c r="F434" s="7" t="inlineStr">
        <is>
          <t>2001 / Carrier Replacement Program</t>
        </is>
      </c>
      <c r="G434" s="7" t="inlineStr">
        <is>
          <t>P-8a</t>
        </is>
      </c>
      <c r="H434" s="7" t="inlineStr">
        <is>
          <t>Ordnance</t>
        </is>
      </c>
      <c r="I434" s="14" t="n">
        <v>1</v>
      </c>
      <c r="J434" s="7" t="inlineStr">
        <is>
          <t>Full ship DD&amp;C</t>
        </is>
      </c>
      <c r="K434" s="13" t="inlineStr">
        <is>
          <t>USN</t>
        </is>
      </c>
      <c r="L434" s="7" t="inlineStr">
        <is>
          <t>Combatant Ships</t>
        </is>
      </c>
      <c r="M434" s="7" t="inlineStr">
        <is>
          <t>Aircraft Carriers</t>
        </is>
      </c>
      <c r="N434" s="7" t="inlineStr">
        <is>
          <t>CVN</t>
        </is>
      </c>
      <c r="O434" s="15" t="n"/>
      <c r="S434" s="16" t="n">
        <v>4214</v>
      </c>
      <c r="U434" s="16" t="n">
        <v>4214</v>
      </c>
      <c r="AC434" s="23">
        <f>IF(OR(E434="",E434="[PARENT]"),"ADD",IF(E434="[ALT_VIEW]","ALT",""))</f>
        <v/>
      </c>
      <c r="AD434" s="21">
        <f>IF(Y434&lt;&gt;"",Y434,IF(U434&lt;&gt;"",U434,S434))</f>
        <v/>
      </c>
      <c r="AE434" s="21">
        <f>IF(AB434&lt;&gt;"",AB434,Z434)</f>
        <v/>
      </c>
      <c r="AF434" s="13" t="inlineStr">
        <is>
          <t>P-8a &gt; Carrier Replacement Program &gt; Ordnance &gt; CMBRE) - MAGAZINE OPERATIONS (MAGOPS) 0 - 1</t>
        </is>
      </c>
      <c r="AG434" s="7" t="inlineStr">
        <is>
          <t>82</t>
        </is>
      </c>
      <c r="AH434" s="7" t="inlineStr">
        <is>
          <t>2001</t>
        </is>
      </c>
    </row>
    <row r="435" ht="10" customHeight="1">
      <c r="A435" s="7" t="inlineStr">
        <is>
          <t>SCN</t>
        </is>
      </c>
      <c r="B435" s="7" t="inlineStr">
        <is>
          <t>Procurement</t>
        </is>
      </c>
      <c r="D435" s="7" t="inlineStr">
        <is>
          <t>Carrier Replacement Program - P-8a Ordnance - DUAL BAND RADAR (DBR) (SPY-3 AND VOLUME SEARCH RADAR (VSR))</t>
        </is>
      </c>
      <c r="E435" s="13" t="inlineStr">
        <is>
          <t>[ALT_VIEW]</t>
        </is>
      </c>
      <c r="F435" s="7" t="inlineStr">
        <is>
          <t>2001 / Carrier Replacement Program</t>
        </is>
      </c>
      <c r="G435" s="7" t="inlineStr">
        <is>
          <t>P-8a</t>
        </is>
      </c>
      <c r="H435" s="7" t="inlineStr">
        <is>
          <t>Ordnance</t>
        </is>
      </c>
      <c r="I435" s="14" t="n">
        <v>1</v>
      </c>
      <c r="J435" s="7" t="inlineStr">
        <is>
          <t>Full ship DD&amp;C</t>
        </is>
      </c>
      <c r="K435" s="13" t="inlineStr">
        <is>
          <t>USN</t>
        </is>
      </c>
      <c r="L435" s="7" t="inlineStr">
        <is>
          <t>Combatant Ships</t>
        </is>
      </c>
      <c r="M435" s="7" t="inlineStr">
        <is>
          <t>Aircraft Carriers</t>
        </is>
      </c>
      <c r="N435" s="7" t="inlineStr">
        <is>
          <t>CVN</t>
        </is>
      </c>
      <c r="O435" s="15" t="n"/>
      <c r="S435" s="16" t="n">
        <v>10810</v>
      </c>
      <c r="U435" s="16" t="n">
        <v>10810</v>
      </c>
      <c r="AC435" s="23">
        <f>IF(OR(E435="",E435="[PARENT]"),"ADD",IF(E435="[ALT_VIEW]","ALT",""))</f>
        <v/>
      </c>
      <c r="AD435" s="21">
        <f>IF(Y435&lt;&gt;"",Y435,IF(U435&lt;&gt;"",U435,S435))</f>
        <v/>
      </c>
      <c r="AE435" s="21">
        <f>IF(AB435&lt;&gt;"",AB435,Z435)</f>
        <v/>
      </c>
      <c r="AF435" s="13" t="inlineStr">
        <is>
          <t>P-8a &gt; Carrier Replacement Program &gt; Ordnance &gt; DUAL BAND RADAR (DBR) (SPY-3 AND VOLUME SEARCH RADAR (VSR))</t>
        </is>
      </c>
      <c r="AG435" s="7" t="inlineStr">
        <is>
          <t>82</t>
        </is>
      </c>
      <c r="AH435" s="7" t="inlineStr">
        <is>
          <t>2001</t>
        </is>
      </c>
      <c r="AJ435" s="7" t="inlineStr">
        <is>
          <t>DUAL BAND RADAR (DBR) (SPY-3 AND VOLUME SEARCH RADAR (VSR))</t>
        </is>
      </c>
    </row>
    <row r="436" ht="10" customHeight="1">
      <c r="A436" s="7" t="inlineStr">
        <is>
          <t>SCN</t>
        </is>
      </c>
      <c r="B436" s="7" t="inlineStr">
        <is>
          <t>Procurement</t>
        </is>
      </c>
      <c r="D436" s="7" t="inlineStr">
        <is>
          <t>Carrier Replacement Program - P-8a Ordnance - Other ORDNANCE</t>
        </is>
      </c>
      <c r="E436" s="13" t="inlineStr">
        <is>
          <t>[ALT_VIEW]</t>
        </is>
      </c>
      <c r="F436" s="7" t="inlineStr">
        <is>
          <t>2001 / Carrier Replacement Program</t>
        </is>
      </c>
      <c r="G436" s="7" t="inlineStr">
        <is>
          <t>P-8a</t>
        </is>
      </c>
      <c r="H436" s="7" t="inlineStr">
        <is>
          <t>Ordnance</t>
        </is>
      </c>
      <c r="I436" s="14" t="n">
        <v>1</v>
      </c>
      <c r="J436" s="7" t="inlineStr">
        <is>
          <t>Full ship DD&amp;C</t>
        </is>
      </c>
      <c r="K436" s="13" t="inlineStr">
        <is>
          <t>USN</t>
        </is>
      </c>
      <c r="L436" s="7" t="inlineStr">
        <is>
          <t>Combatant Ships</t>
        </is>
      </c>
      <c r="M436" s="7" t="inlineStr">
        <is>
          <t>Aircraft Carriers</t>
        </is>
      </c>
      <c r="N436" s="7" t="inlineStr">
        <is>
          <t>CVN</t>
        </is>
      </c>
      <c r="O436" s="15" t="n"/>
      <c r="P436" s="16" t="n">
        <v>8072</v>
      </c>
      <c r="S436" s="16" t="n">
        <v>9673</v>
      </c>
      <c r="U436" s="16" t="n">
        <v>9673</v>
      </c>
      <c r="AC436" s="23">
        <f>IF(OR(E436="",E436="[PARENT]"),"ADD",IF(E436="[ALT_VIEW]","ALT",""))</f>
        <v/>
      </c>
      <c r="AD436" s="21">
        <f>IF(Y436&lt;&gt;"",Y436,IF(U436&lt;&gt;"",U436,S436))</f>
        <v/>
      </c>
      <c r="AE436" s="21">
        <f>IF(AB436&lt;&gt;"",AB436,Z436)</f>
        <v/>
      </c>
      <c r="AF436" s="13" t="inlineStr">
        <is>
          <t>P-8a &gt; Carrier Replacement Program &gt; Ordnance &gt; Other ORDNANCE</t>
        </is>
      </c>
      <c r="AG436" s="7" t="inlineStr">
        <is>
          <t>82</t>
        </is>
      </c>
      <c r="AH436" s="7" t="inlineStr">
        <is>
          <t>2001</t>
        </is>
      </c>
      <c r="AJ436" s="7" t="inlineStr">
        <is>
          <t>Other ORDNANCE</t>
        </is>
      </c>
    </row>
    <row r="437" ht="10" customHeight="1">
      <c r="A437" s="7" t="inlineStr">
        <is>
          <t>SCN</t>
        </is>
      </c>
      <c r="B437" s="7" t="inlineStr">
        <is>
          <t>Procurement</t>
        </is>
      </c>
      <c r="D437" s="7" t="inlineStr">
        <is>
          <t>Carrier Replacement Program - P-8a Ordnance - Ordnance: Total increase of $</t>
        </is>
      </c>
      <c r="E437" s="13" t="inlineStr">
        <is>
          <t>[ALT_VIEW]</t>
        </is>
      </c>
      <c r="F437" s="7" t="inlineStr">
        <is>
          <t>2001 / Carrier Replacement Program</t>
        </is>
      </c>
      <c r="G437" s="7" t="inlineStr">
        <is>
          <t>P-8a</t>
        </is>
      </c>
      <c r="H437" s="7" t="inlineStr">
        <is>
          <t>Ordnance</t>
        </is>
      </c>
      <c r="I437" s="14" t="n">
        <v>1</v>
      </c>
      <c r="J437" s="7" t="inlineStr">
        <is>
          <t>Full ship DD&amp;C</t>
        </is>
      </c>
      <c r="K437" s="13" t="inlineStr">
        <is>
          <t>USN</t>
        </is>
      </c>
      <c r="L437" s="7" t="inlineStr">
        <is>
          <t>Combatant Ships</t>
        </is>
      </c>
      <c r="M437" s="7" t="inlineStr">
        <is>
          <t>Aircraft Carriers</t>
        </is>
      </c>
      <c r="N437" s="7" t="inlineStr">
        <is>
          <t>CVN</t>
        </is>
      </c>
      <c r="O437" s="15" t="n"/>
      <c r="S437" s="16" t="n">
        <v>50314</v>
      </c>
      <c r="U437" s="16" t="n">
        <v>50314</v>
      </c>
      <c r="AC437" s="23">
        <f>IF(OR(E437="",E437="[PARENT]"),"ADD",IF(E437="[ALT_VIEW]","ALT",""))</f>
        <v/>
      </c>
      <c r="AD437" s="21">
        <f>IF(Y437&lt;&gt;"",Y437,IF(U437&lt;&gt;"",U437,S437))</f>
        <v/>
      </c>
      <c r="AE437" s="21">
        <f>IF(AB437&lt;&gt;"",AB437,Z437)</f>
        <v/>
      </c>
      <c r="AF437" s="13" t="inlineStr">
        <is>
          <t>P-8a &gt; Carrier Replacement Program &gt; Ordnance &gt; Ordnance: Total increase of $</t>
        </is>
      </c>
      <c r="AG437" s="7" t="inlineStr">
        <is>
          <t>83</t>
        </is>
      </c>
      <c r="AH437" s="7" t="inlineStr">
        <is>
          <t>2001</t>
        </is>
      </c>
    </row>
    <row r="438" ht="10" customHeight="1">
      <c r="A438" s="7" t="inlineStr">
        <is>
          <t>SCN</t>
        </is>
      </c>
      <c r="B438" s="7" t="inlineStr">
        <is>
          <t>Procurement</t>
        </is>
      </c>
      <c r="D438" s="7" t="inlineStr">
        <is>
          <t>Carrier Replacement Program - P-35 CONSOLIDATED AFLOAT NETWORK AND ENTERPRISE SERVICES (CANES) - Major Hardware                                                                                                  1</t>
        </is>
      </c>
      <c r="E438" s="13" t="inlineStr">
        <is>
          <t>[ALT_VIEW]</t>
        </is>
      </c>
      <c r="F438" s="7" t="inlineStr">
        <is>
          <t>2001 / Carrier Replacement Program</t>
        </is>
      </c>
      <c r="G438" s="7" t="inlineStr">
        <is>
          <t>P-35</t>
        </is>
      </c>
      <c r="I438" s="14" t="n">
        <v>1</v>
      </c>
      <c r="J438" s="7" t="inlineStr">
        <is>
          <t>Full ship DD&amp;C</t>
        </is>
      </c>
      <c r="K438" s="13" t="inlineStr">
        <is>
          <t>USN</t>
        </is>
      </c>
      <c r="L438" s="7" t="inlineStr">
        <is>
          <t>Combatant Ships</t>
        </is>
      </c>
      <c r="M438" s="7" t="inlineStr">
        <is>
          <t>Aircraft Carriers</t>
        </is>
      </c>
      <c r="N438" s="7" t="inlineStr">
        <is>
          <t>CVN</t>
        </is>
      </c>
      <c r="O438" s="15" t="n"/>
      <c r="P438" s="16" t="n">
        <v>12305</v>
      </c>
      <c r="S438" s="16" t="n">
        <v>15121</v>
      </c>
      <c r="U438" s="16" t="n">
        <v>15121</v>
      </c>
      <c r="AC438" s="23">
        <f>IF(OR(E438="",E438="[PARENT]"),"ADD",IF(E438="[ALT_VIEW]","ALT",""))</f>
        <v/>
      </c>
      <c r="AD438" s="21">
        <f>IF(Y438&lt;&gt;"",Y438,IF(U438&lt;&gt;"",U438,S438))</f>
        <v/>
      </c>
      <c r="AE438" s="21">
        <f>IF(AB438&lt;&gt;"",AB438,Z438)</f>
        <v/>
      </c>
      <c r="AF438" s="13" t="inlineStr">
        <is>
          <t>P-35 &gt; Carrier Replacement Program &gt; CONSOLIDATED AFLOAT NETWORK AND ENTERPRISE SERVICES (CANES) &gt; Major Hardware                                                                                                  1</t>
        </is>
      </c>
      <c r="AG438" s="7" t="inlineStr">
        <is>
          <t>84</t>
        </is>
      </c>
      <c r="AH438" s="7" t="inlineStr">
        <is>
          <t>2001</t>
        </is>
      </c>
    </row>
    <row r="439" ht="10" customHeight="1">
      <c r="A439" s="7" t="inlineStr">
        <is>
          <t>SCN</t>
        </is>
      </c>
      <c r="B439" s="7" t="inlineStr">
        <is>
          <t>Procurement</t>
        </is>
      </c>
      <c r="D439" s="7" t="inlineStr">
        <is>
          <t>Carrier Replacement Program - P-35 CONSOLIDATED AFLOAT NETWORK AND ENTERPRISE SERVICES (CANES) - Technical Data and Documentation</t>
        </is>
      </c>
      <c r="E439" s="13" t="inlineStr">
        <is>
          <t>[ALT_VIEW]</t>
        </is>
      </c>
      <c r="F439" s="7" t="inlineStr">
        <is>
          <t>2001 / Carrier Replacement Program</t>
        </is>
      </c>
      <c r="G439" s="7" t="inlineStr">
        <is>
          <t>P-35</t>
        </is>
      </c>
      <c r="I439" s="14" t="n">
        <v>1</v>
      </c>
      <c r="J439" s="7" t="inlineStr">
        <is>
          <t>Full ship DD&amp;C</t>
        </is>
      </c>
      <c r="K439" s="13" t="inlineStr">
        <is>
          <t>USN</t>
        </is>
      </c>
      <c r="L439" s="7" t="inlineStr">
        <is>
          <t>Combatant Ships</t>
        </is>
      </c>
      <c r="M439" s="7" t="inlineStr">
        <is>
          <t>Aircraft Carriers</t>
        </is>
      </c>
      <c r="N439" s="7" t="inlineStr">
        <is>
          <t>CVN</t>
        </is>
      </c>
      <c r="O439" s="15" t="n"/>
      <c r="P439" s="16" t="n">
        <v>99</v>
      </c>
      <c r="S439" s="16" t="n">
        <v>200</v>
      </c>
      <c r="U439" s="16" t="n">
        <v>200</v>
      </c>
      <c r="AC439" s="23">
        <f>IF(OR(E439="",E439="[PARENT]"),"ADD",IF(E439="[ALT_VIEW]","ALT",""))</f>
        <v/>
      </c>
      <c r="AD439" s="21">
        <f>IF(Y439&lt;&gt;"",Y439,IF(U439&lt;&gt;"",U439,S439))</f>
        <v/>
      </c>
      <c r="AE439" s="21">
        <f>IF(AB439&lt;&gt;"",AB439,Z439)</f>
        <v/>
      </c>
      <c r="AF439" s="13" t="inlineStr">
        <is>
          <t>P-35 &gt; Carrier Replacement Program &gt; CONSOLIDATED AFLOAT NETWORK AND ENTERPRISE SERVICES (CANES) &gt; Technical Data and Documentation</t>
        </is>
      </c>
      <c r="AG439" s="7" t="inlineStr">
        <is>
          <t>84</t>
        </is>
      </c>
      <c r="AH439" s="7" t="inlineStr">
        <is>
          <t>2001</t>
        </is>
      </c>
    </row>
    <row r="440" ht="10" customHeight="1">
      <c r="A440" s="7" t="inlineStr">
        <is>
          <t>SCN</t>
        </is>
      </c>
      <c r="B440" s="7" t="inlineStr">
        <is>
          <t>Procurement</t>
        </is>
      </c>
      <c r="D440" s="7" t="inlineStr">
        <is>
          <t>Carrier Replacement Program - P-35 CONSOLIDATED AFLOAT NETWORK AND ENTERPRISE SERVICES (CANES) - Spares</t>
        </is>
      </c>
      <c r="E440" s="13" t="inlineStr">
        <is>
          <t>[ALT_VIEW]</t>
        </is>
      </c>
      <c r="F440" s="7" t="inlineStr">
        <is>
          <t>2001 / Carrier Replacement Program</t>
        </is>
      </c>
      <c r="G440" s="7" t="inlineStr">
        <is>
          <t>P-35</t>
        </is>
      </c>
      <c r="I440" s="14" t="n">
        <v>1</v>
      </c>
      <c r="J440" s="7" t="inlineStr">
        <is>
          <t>Full ship DD&amp;C</t>
        </is>
      </c>
      <c r="K440" s="13" t="inlineStr">
        <is>
          <t>USN</t>
        </is>
      </c>
      <c r="L440" s="7" t="inlineStr">
        <is>
          <t>Combatant Ships</t>
        </is>
      </c>
      <c r="M440" s="7" t="inlineStr">
        <is>
          <t>Aircraft Carriers</t>
        </is>
      </c>
      <c r="N440" s="7" t="inlineStr">
        <is>
          <t>CVN</t>
        </is>
      </c>
      <c r="O440" s="15" t="n"/>
      <c r="P440" s="16" t="n">
        <v>627</v>
      </c>
      <c r="S440" s="16" t="n">
        <v>901</v>
      </c>
      <c r="U440" s="16" t="n">
        <v>901</v>
      </c>
      <c r="AC440" s="23">
        <f>IF(OR(E440="",E440="[PARENT]"),"ADD",IF(E440="[ALT_VIEW]","ALT",""))</f>
        <v/>
      </c>
      <c r="AD440" s="21">
        <f>IF(Y440&lt;&gt;"",Y440,IF(U440&lt;&gt;"",U440,S440))</f>
        <v/>
      </c>
      <c r="AE440" s="21">
        <f>IF(AB440&lt;&gt;"",AB440,Z440)</f>
        <v/>
      </c>
      <c r="AF440" s="13" t="inlineStr">
        <is>
          <t>P-35 &gt; Carrier Replacement Program &gt; CONSOLIDATED AFLOAT NETWORK AND ENTERPRISE SERVICES (CANES) &gt; Spares</t>
        </is>
      </c>
      <c r="AG440" s="7" t="inlineStr">
        <is>
          <t>84</t>
        </is>
      </c>
      <c r="AH440" s="7" t="inlineStr">
        <is>
          <t>2001</t>
        </is>
      </c>
    </row>
    <row r="441" ht="10" customHeight="1">
      <c r="A441" s="7" t="inlineStr">
        <is>
          <t>SCN</t>
        </is>
      </c>
      <c r="B441" s="7" t="inlineStr">
        <is>
          <t>Procurement</t>
        </is>
      </c>
      <c r="D441" s="7" t="inlineStr">
        <is>
          <t>Carrier Replacement Program - P-35 CONSOLIDATED AFLOAT NETWORK AND ENTERPRISE SERVICES (CANES) - System Engineering</t>
        </is>
      </c>
      <c r="E441" s="13" t="inlineStr">
        <is>
          <t>[ALT_VIEW]</t>
        </is>
      </c>
      <c r="F441" s="7" t="inlineStr">
        <is>
          <t>2001 / Carrier Replacement Program</t>
        </is>
      </c>
      <c r="G441" s="7" t="inlineStr">
        <is>
          <t>P-35</t>
        </is>
      </c>
      <c r="I441" s="14" t="n">
        <v>1</v>
      </c>
      <c r="J441" s="7" t="inlineStr">
        <is>
          <t>Full ship DD&amp;C</t>
        </is>
      </c>
      <c r="K441" s="13" t="inlineStr">
        <is>
          <t>USN</t>
        </is>
      </c>
      <c r="L441" s="7" t="inlineStr">
        <is>
          <t>Combatant Ships</t>
        </is>
      </c>
      <c r="M441" s="7" t="inlineStr">
        <is>
          <t>Aircraft Carriers</t>
        </is>
      </c>
      <c r="N441" s="7" t="inlineStr">
        <is>
          <t>CVN</t>
        </is>
      </c>
      <c r="O441" s="15" t="n"/>
      <c r="P441" s="16" t="n">
        <v>1448</v>
      </c>
      <c r="S441" s="16" t="n">
        <v>1070</v>
      </c>
      <c r="U441" s="16" t="n">
        <v>1070</v>
      </c>
      <c r="AC441" s="23">
        <f>IF(OR(E441="",E441="[PARENT]"),"ADD",IF(E441="[ALT_VIEW]","ALT",""))</f>
        <v/>
      </c>
      <c r="AD441" s="21">
        <f>IF(Y441&lt;&gt;"",Y441,IF(U441&lt;&gt;"",U441,S441))</f>
        <v/>
      </c>
      <c r="AE441" s="21">
        <f>IF(AB441&lt;&gt;"",AB441,Z441)</f>
        <v/>
      </c>
      <c r="AF441" s="13" t="inlineStr">
        <is>
          <t>P-35 &gt; Carrier Replacement Program &gt; CONSOLIDATED AFLOAT NETWORK AND ENTERPRISE SERVICES (CANES) &gt; System Engineering</t>
        </is>
      </c>
      <c r="AG441" s="7" t="inlineStr">
        <is>
          <t>84</t>
        </is>
      </c>
      <c r="AH441" s="7" t="inlineStr">
        <is>
          <t>2001</t>
        </is>
      </c>
    </row>
    <row r="442" ht="10" customHeight="1">
      <c r="A442" s="7" t="inlineStr">
        <is>
          <t>SCN</t>
        </is>
      </c>
      <c r="B442" s="7" t="inlineStr">
        <is>
          <t>Procurement</t>
        </is>
      </c>
      <c r="D442" s="7" t="inlineStr">
        <is>
          <t>Carrier Replacement Program - P-35 CONSOLIDATED AFLOAT NETWORK AND ENTERPRISE SERVICES (CANES) - Technical Engineering Services</t>
        </is>
      </c>
      <c r="E442" s="13" t="inlineStr">
        <is>
          <t>[ALT_VIEW]</t>
        </is>
      </c>
      <c r="F442" s="7" t="inlineStr">
        <is>
          <t>2001 / Carrier Replacement Program</t>
        </is>
      </c>
      <c r="G442" s="7" t="inlineStr">
        <is>
          <t>P-35</t>
        </is>
      </c>
      <c r="I442" s="14" t="n">
        <v>1</v>
      </c>
      <c r="J442" s="7" t="inlineStr">
        <is>
          <t>Full ship DD&amp;C</t>
        </is>
      </c>
      <c r="K442" s="13" t="inlineStr">
        <is>
          <t>USN</t>
        </is>
      </c>
      <c r="L442" s="7" t="inlineStr">
        <is>
          <t>Combatant Ships</t>
        </is>
      </c>
      <c r="M442" s="7" t="inlineStr">
        <is>
          <t>Aircraft Carriers</t>
        </is>
      </c>
      <c r="N442" s="7" t="inlineStr">
        <is>
          <t>CVN</t>
        </is>
      </c>
      <c r="O442" s="15" t="n"/>
      <c r="P442" s="16" t="n">
        <v>1061</v>
      </c>
      <c r="S442" s="16" t="n">
        <v>1294</v>
      </c>
      <c r="U442" s="16" t="n">
        <v>1294</v>
      </c>
      <c r="AC442" s="23">
        <f>IF(OR(E442="",E442="[PARENT]"),"ADD",IF(E442="[ALT_VIEW]","ALT",""))</f>
        <v/>
      </c>
      <c r="AD442" s="21">
        <f>IF(Y442&lt;&gt;"",Y442,IF(U442&lt;&gt;"",U442,S442))</f>
        <v/>
      </c>
      <c r="AE442" s="21">
        <f>IF(AB442&lt;&gt;"",AB442,Z442)</f>
        <v/>
      </c>
      <c r="AF442" s="13" t="inlineStr">
        <is>
          <t>P-35 &gt; Carrier Replacement Program &gt; CONSOLIDATED AFLOAT NETWORK AND ENTERPRISE SERVICES (CANES) &gt; Technical Engineering Services</t>
        </is>
      </c>
      <c r="AG442" s="7" t="inlineStr">
        <is>
          <t>84</t>
        </is>
      </c>
      <c r="AH442" s="7" t="inlineStr">
        <is>
          <t>2001</t>
        </is>
      </c>
    </row>
    <row r="443" ht="10" customHeight="1">
      <c r="A443" s="7" t="inlineStr">
        <is>
          <t>SCN</t>
        </is>
      </c>
      <c r="B443" s="7" t="inlineStr">
        <is>
          <t>Procurement</t>
        </is>
      </c>
      <c r="D443" s="7" t="inlineStr">
        <is>
          <t>Carrier Replacement Program - P-35 CONSOLIDATED AFLOAT NETWORK AND ENTERPRISE SERVICES (CANES) - Other Costs</t>
        </is>
      </c>
      <c r="E443" s="13" t="inlineStr">
        <is>
          <t>[ALT_VIEW]</t>
        </is>
      </c>
      <c r="F443" s="7" t="inlineStr">
        <is>
          <t>2001 / Carrier Replacement Program</t>
        </is>
      </c>
      <c r="G443" s="7" t="inlineStr">
        <is>
          <t>P-35</t>
        </is>
      </c>
      <c r="I443" s="14" t="n">
        <v>1</v>
      </c>
      <c r="J443" s="7" t="inlineStr">
        <is>
          <t>Full ship DD&amp;C</t>
        </is>
      </c>
      <c r="K443" s="13" t="inlineStr">
        <is>
          <t>USN</t>
        </is>
      </c>
      <c r="L443" s="7" t="inlineStr">
        <is>
          <t>Combatant Ships</t>
        </is>
      </c>
      <c r="M443" s="7" t="inlineStr">
        <is>
          <t>Aircraft Carriers</t>
        </is>
      </c>
      <c r="N443" s="7" t="inlineStr">
        <is>
          <t>CVN</t>
        </is>
      </c>
      <c r="O443" s="15" t="n"/>
      <c r="P443" s="16" t="n">
        <v>3816</v>
      </c>
      <c r="S443" s="16" t="n">
        <v>4123</v>
      </c>
      <c r="U443" s="16" t="n">
        <v>4123</v>
      </c>
      <c r="AC443" s="23">
        <f>IF(OR(E443="",E443="[PARENT]"),"ADD",IF(E443="[ALT_VIEW]","ALT",""))</f>
        <v/>
      </c>
      <c r="AD443" s="21">
        <f>IF(Y443&lt;&gt;"",Y443,IF(U443&lt;&gt;"",U443,S443))</f>
        <v/>
      </c>
      <c r="AE443" s="21">
        <f>IF(AB443&lt;&gt;"",AB443,Z443)</f>
        <v/>
      </c>
      <c r="AF443" s="13" t="inlineStr">
        <is>
          <t>P-35 &gt; Carrier Replacement Program &gt; CONSOLIDATED AFLOAT NETWORK AND ENTERPRISE SERVICES (CANES) &gt; Other Costs</t>
        </is>
      </c>
      <c r="AG443" s="7" t="inlineStr">
        <is>
          <t>84</t>
        </is>
      </c>
      <c r="AH443" s="7" t="inlineStr">
        <is>
          <t>2001</t>
        </is>
      </c>
      <c r="AJ443" s="7" t="inlineStr">
        <is>
          <t>Other Costs</t>
        </is>
      </c>
    </row>
    <row r="444" ht="10" customHeight="1">
      <c r="A444" s="7" t="inlineStr">
        <is>
          <t>SCN</t>
        </is>
      </c>
      <c r="B444" s="7" t="inlineStr">
        <is>
          <t>Procurement</t>
        </is>
      </c>
      <c r="D444" s="7" t="inlineStr">
        <is>
          <t>Carrier Replacement Program - P-35 AN/USG-2, COOPERATIVE ENGAGEMENT CAPABILITY (CEC) - Major Hardware                                                                                                    1</t>
        </is>
      </c>
      <c r="E444" s="13" t="inlineStr">
        <is>
          <t>[ALT_VIEW]</t>
        </is>
      </c>
      <c r="F444" s="7" t="inlineStr">
        <is>
          <t>2001 / Carrier Replacement Program</t>
        </is>
      </c>
      <c r="G444" s="7" t="inlineStr">
        <is>
          <t>P-35</t>
        </is>
      </c>
      <c r="I444" s="14" t="n">
        <v>1</v>
      </c>
      <c r="J444" s="7" t="inlineStr">
        <is>
          <t>Full ship DD&amp;C</t>
        </is>
      </c>
      <c r="K444" s="13" t="inlineStr">
        <is>
          <t>USN</t>
        </is>
      </c>
      <c r="L444" s="7" t="inlineStr">
        <is>
          <t>Combatant Ships</t>
        </is>
      </c>
      <c r="M444" s="7" t="inlineStr">
        <is>
          <t>Aircraft Carriers</t>
        </is>
      </c>
      <c r="N444" s="7" t="inlineStr">
        <is>
          <t>CVN</t>
        </is>
      </c>
      <c r="O444" s="15" t="n"/>
      <c r="P444" s="16" t="n">
        <v>4024</v>
      </c>
      <c r="S444" s="16" t="n">
        <v>4944</v>
      </c>
      <c r="U444" s="16" t="n">
        <v>4944</v>
      </c>
      <c r="AC444" s="23">
        <f>IF(OR(E444="",E444="[PARENT]"),"ADD",IF(E444="[ALT_VIEW]","ALT",""))</f>
        <v/>
      </c>
      <c r="AD444" s="21">
        <f>IF(Y444&lt;&gt;"",Y444,IF(U444&lt;&gt;"",U444,S444))</f>
        <v/>
      </c>
      <c r="AE444" s="21">
        <f>IF(AB444&lt;&gt;"",AB444,Z444)</f>
        <v/>
      </c>
      <c r="AF444" s="13" t="inlineStr">
        <is>
          <t>P-35 &gt; Carrier Replacement Program &gt; AN/USG-2, COOPERATIVE ENGAGEMENT CAPABILITY (CEC) &gt; Major Hardware                                                                                                    1</t>
        </is>
      </c>
      <c r="AG444" s="7" t="inlineStr">
        <is>
          <t>85</t>
        </is>
      </c>
      <c r="AH444" s="7" t="inlineStr">
        <is>
          <t>2001</t>
        </is>
      </c>
    </row>
    <row r="445" ht="10" customHeight="1">
      <c r="A445" s="7" t="inlineStr">
        <is>
          <t>SCN</t>
        </is>
      </c>
      <c r="B445" s="7" t="inlineStr">
        <is>
          <t>Procurement</t>
        </is>
      </c>
      <c r="D445" s="7" t="inlineStr">
        <is>
          <t>Carrier Replacement Program - P-35 AN/USG-2, COOPERATIVE ENGAGEMENT CAPABILITY (CEC) - Spares</t>
        </is>
      </c>
      <c r="E445" s="13" t="inlineStr">
        <is>
          <t>[ALT_VIEW]</t>
        </is>
      </c>
      <c r="F445" s="7" t="inlineStr">
        <is>
          <t>2001 / Carrier Replacement Program</t>
        </is>
      </c>
      <c r="G445" s="7" t="inlineStr">
        <is>
          <t>P-35</t>
        </is>
      </c>
      <c r="I445" s="14" t="n">
        <v>1</v>
      </c>
      <c r="J445" s="7" t="inlineStr">
        <is>
          <t>Full ship DD&amp;C</t>
        </is>
      </c>
      <c r="K445" s="13" t="inlineStr">
        <is>
          <t>USN</t>
        </is>
      </c>
      <c r="L445" s="7" t="inlineStr">
        <is>
          <t>Combatant Ships</t>
        </is>
      </c>
      <c r="M445" s="7" t="inlineStr">
        <is>
          <t>Aircraft Carriers</t>
        </is>
      </c>
      <c r="N445" s="7" t="inlineStr">
        <is>
          <t>CVN</t>
        </is>
      </c>
      <c r="O445" s="15" t="n"/>
      <c r="P445" s="16" t="n">
        <v>957</v>
      </c>
      <c r="S445" s="16" t="n">
        <v>910</v>
      </c>
      <c r="U445" s="16" t="n">
        <v>910</v>
      </c>
      <c r="AC445" s="23">
        <f>IF(OR(E445="",E445="[PARENT]"),"ADD",IF(E445="[ALT_VIEW]","ALT",""))</f>
        <v/>
      </c>
      <c r="AD445" s="21">
        <f>IF(Y445&lt;&gt;"",Y445,IF(U445&lt;&gt;"",U445,S445))</f>
        <v/>
      </c>
      <c r="AE445" s="21">
        <f>IF(AB445&lt;&gt;"",AB445,Z445)</f>
        <v/>
      </c>
      <c r="AF445" s="13" t="inlineStr">
        <is>
          <t>P-35 &gt; Carrier Replacement Program &gt; AN/USG-2, COOPERATIVE ENGAGEMENT CAPABILITY (CEC) &gt; Spares</t>
        </is>
      </c>
      <c r="AG445" s="7" t="inlineStr">
        <is>
          <t>85</t>
        </is>
      </c>
      <c r="AH445" s="7" t="inlineStr">
        <is>
          <t>2001</t>
        </is>
      </c>
    </row>
    <row r="446" ht="10" customHeight="1">
      <c r="A446" s="7" t="inlineStr">
        <is>
          <t>SCN</t>
        </is>
      </c>
      <c r="B446" s="7" t="inlineStr">
        <is>
          <t>Procurement</t>
        </is>
      </c>
      <c r="D446" s="7" t="inlineStr">
        <is>
          <t>Carrier Replacement Program - P-35 AN/USG-2, COOPERATIVE ENGAGEMENT CAPABILITY (CEC) - System Engineering</t>
        </is>
      </c>
      <c r="E446" s="13" t="inlineStr">
        <is>
          <t>[ALT_VIEW]</t>
        </is>
      </c>
      <c r="F446" s="7" t="inlineStr">
        <is>
          <t>2001 / Carrier Replacement Program</t>
        </is>
      </c>
      <c r="G446" s="7" t="inlineStr">
        <is>
          <t>P-35</t>
        </is>
      </c>
      <c r="I446" s="14" t="n">
        <v>1</v>
      </c>
      <c r="J446" s="7" t="inlineStr">
        <is>
          <t>Full ship DD&amp;C</t>
        </is>
      </c>
      <c r="K446" s="13" t="inlineStr">
        <is>
          <t>USN</t>
        </is>
      </c>
      <c r="L446" s="7" t="inlineStr">
        <is>
          <t>Combatant Ships</t>
        </is>
      </c>
      <c r="M446" s="7" t="inlineStr">
        <is>
          <t>Aircraft Carriers</t>
        </is>
      </c>
      <c r="N446" s="7" t="inlineStr">
        <is>
          <t>CVN</t>
        </is>
      </c>
      <c r="O446" s="15" t="n"/>
      <c r="P446" s="16" t="n">
        <v>933</v>
      </c>
      <c r="S446" s="16" t="n">
        <v>464</v>
      </c>
      <c r="U446" s="16" t="n">
        <v>464</v>
      </c>
      <c r="AC446" s="23">
        <f>IF(OR(E446="",E446="[PARENT]"),"ADD",IF(E446="[ALT_VIEW]","ALT",""))</f>
        <v/>
      </c>
      <c r="AD446" s="21">
        <f>IF(Y446&lt;&gt;"",Y446,IF(U446&lt;&gt;"",U446,S446))</f>
        <v/>
      </c>
      <c r="AE446" s="21">
        <f>IF(AB446&lt;&gt;"",AB446,Z446)</f>
        <v/>
      </c>
      <c r="AF446" s="13" t="inlineStr">
        <is>
          <t>P-35 &gt; Carrier Replacement Program &gt; AN/USG-2, COOPERATIVE ENGAGEMENT CAPABILITY (CEC) &gt; System Engineering</t>
        </is>
      </c>
      <c r="AG446" s="7" t="inlineStr">
        <is>
          <t>85</t>
        </is>
      </c>
      <c r="AH446" s="7" t="inlineStr">
        <is>
          <t>2001</t>
        </is>
      </c>
    </row>
    <row r="447" ht="10" customHeight="1">
      <c r="A447" s="7" t="inlineStr">
        <is>
          <t>SCN</t>
        </is>
      </c>
      <c r="B447" s="7" t="inlineStr">
        <is>
          <t>Procurement</t>
        </is>
      </c>
      <c r="D447" s="7" t="inlineStr">
        <is>
          <t>Carrier Replacement Program - P-35 AN/USG-2, COOPERATIVE ENGAGEMENT CAPABILITY (CEC) - Technical Engineering Services</t>
        </is>
      </c>
      <c r="E447" s="13" t="inlineStr">
        <is>
          <t>[ALT_VIEW]</t>
        </is>
      </c>
      <c r="F447" s="7" t="inlineStr">
        <is>
          <t>2001 / Carrier Replacement Program</t>
        </is>
      </c>
      <c r="G447" s="7" t="inlineStr">
        <is>
          <t>P-35</t>
        </is>
      </c>
      <c r="I447" s="14" t="n">
        <v>1</v>
      </c>
      <c r="J447" s="7" t="inlineStr">
        <is>
          <t>Full ship DD&amp;C</t>
        </is>
      </c>
      <c r="K447" s="13" t="inlineStr">
        <is>
          <t>USN</t>
        </is>
      </c>
      <c r="L447" s="7" t="inlineStr">
        <is>
          <t>Combatant Ships</t>
        </is>
      </c>
      <c r="M447" s="7" t="inlineStr">
        <is>
          <t>Aircraft Carriers</t>
        </is>
      </c>
      <c r="N447" s="7" t="inlineStr">
        <is>
          <t>CVN</t>
        </is>
      </c>
      <c r="O447" s="15" t="n"/>
      <c r="P447" s="16" t="n">
        <v>586</v>
      </c>
      <c r="S447" s="16" t="n">
        <v>716</v>
      </c>
      <c r="U447" s="16" t="n">
        <v>716</v>
      </c>
      <c r="AC447" s="23">
        <f>IF(OR(E447="",E447="[PARENT]"),"ADD",IF(E447="[ALT_VIEW]","ALT",""))</f>
        <v/>
      </c>
      <c r="AD447" s="21">
        <f>IF(Y447&lt;&gt;"",Y447,IF(U447&lt;&gt;"",U447,S447))</f>
        <v/>
      </c>
      <c r="AE447" s="21">
        <f>IF(AB447&lt;&gt;"",AB447,Z447)</f>
        <v/>
      </c>
      <c r="AF447" s="13" t="inlineStr">
        <is>
          <t>P-35 &gt; Carrier Replacement Program &gt; AN/USG-2, COOPERATIVE ENGAGEMENT CAPABILITY (CEC) &gt; Technical Engineering Services</t>
        </is>
      </c>
      <c r="AG447" s="7" t="inlineStr">
        <is>
          <t>85</t>
        </is>
      </c>
      <c r="AH447" s="7" t="inlineStr">
        <is>
          <t>2001</t>
        </is>
      </c>
    </row>
    <row r="448" ht="10" customHeight="1">
      <c r="A448" s="7" t="inlineStr">
        <is>
          <t>SCN</t>
        </is>
      </c>
      <c r="B448" s="7" t="inlineStr">
        <is>
          <t>Procurement</t>
        </is>
      </c>
      <c r="D448" s="7" t="inlineStr">
        <is>
          <t>Carrier Replacement Program - P-35 AN/USG-2, COOPERATIVE ENGAGEMENT CAPABILITY (CEC) - Other Costs</t>
        </is>
      </c>
      <c r="E448" s="13" t="inlineStr">
        <is>
          <t>[ALT_VIEW]</t>
        </is>
      </c>
      <c r="F448" s="7" t="inlineStr">
        <is>
          <t>2001 / Carrier Replacement Program</t>
        </is>
      </c>
      <c r="G448" s="7" t="inlineStr">
        <is>
          <t>P-35</t>
        </is>
      </c>
      <c r="I448" s="14" t="n">
        <v>1</v>
      </c>
      <c r="J448" s="7" t="inlineStr">
        <is>
          <t>Full ship DD&amp;C</t>
        </is>
      </c>
      <c r="K448" s="13" t="inlineStr">
        <is>
          <t>USN</t>
        </is>
      </c>
      <c r="L448" s="7" t="inlineStr">
        <is>
          <t>Combatant Ships</t>
        </is>
      </c>
      <c r="M448" s="7" t="inlineStr">
        <is>
          <t>Aircraft Carriers</t>
        </is>
      </c>
      <c r="N448" s="7" t="inlineStr">
        <is>
          <t>CVN</t>
        </is>
      </c>
      <c r="O448" s="15" t="n"/>
      <c r="P448" s="16" t="n">
        <v>874</v>
      </c>
      <c r="S448" s="16" t="n">
        <v>986</v>
      </c>
      <c r="U448" s="16" t="n">
        <v>986</v>
      </c>
      <c r="AC448" s="23">
        <f>IF(OR(E448="",E448="[PARENT]"),"ADD",IF(E448="[ALT_VIEW]","ALT",""))</f>
        <v/>
      </c>
      <c r="AD448" s="21">
        <f>IF(Y448&lt;&gt;"",Y448,IF(U448&lt;&gt;"",U448,S448))</f>
        <v/>
      </c>
      <c r="AE448" s="21">
        <f>IF(AB448&lt;&gt;"",AB448,Z448)</f>
        <v/>
      </c>
      <c r="AF448" s="13" t="inlineStr">
        <is>
          <t>P-35 &gt; Carrier Replacement Program &gt; AN/USG-2, COOPERATIVE ENGAGEMENT CAPABILITY (CEC) &gt; Other Costs</t>
        </is>
      </c>
      <c r="AG448" s="7" t="inlineStr">
        <is>
          <t>85</t>
        </is>
      </c>
      <c r="AH448" s="7" t="inlineStr">
        <is>
          <t>2001</t>
        </is>
      </c>
    </row>
    <row r="449" ht="10" customHeight="1">
      <c r="A449" s="7" t="inlineStr">
        <is>
          <t>SCN</t>
        </is>
      </c>
      <c r="B449" s="7" t="inlineStr">
        <is>
          <t>Procurement</t>
        </is>
      </c>
      <c r="D449" s="7" t="inlineStr">
        <is>
          <t>Carrier Replacement Program - P-35 DIGITAL MODULAR RADIO (DMR) ULTRA HIGH FREQUENCY/VERY HIGH FREQUENCY LINE OF PARM Code: PMW 170 - Major Hardware                                                                                          1</t>
        </is>
      </c>
      <c r="E449" s="13" t="inlineStr">
        <is>
          <t>[ALT_VIEW]</t>
        </is>
      </c>
      <c r="F449" s="7" t="inlineStr">
        <is>
          <t>2001 / Carrier Replacement Program</t>
        </is>
      </c>
      <c r="G449" s="7" t="inlineStr">
        <is>
          <t>P-35</t>
        </is>
      </c>
      <c r="I449" s="14" t="n">
        <v>1</v>
      </c>
      <c r="J449" s="7" t="inlineStr">
        <is>
          <t>Full ship DD&amp;C</t>
        </is>
      </c>
      <c r="K449" s="13" t="inlineStr">
        <is>
          <t>USN</t>
        </is>
      </c>
      <c r="L449" s="7" t="inlineStr">
        <is>
          <t>Combatant Ships</t>
        </is>
      </c>
      <c r="M449" s="7" t="inlineStr">
        <is>
          <t>Aircraft Carriers</t>
        </is>
      </c>
      <c r="N449" s="7" t="inlineStr">
        <is>
          <t>CVN</t>
        </is>
      </c>
      <c r="O449" s="15" t="n"/>
      <c r="P449" s="16" t="n">
        <v>7730</v>
      </c>
      <c r="S449" s="16" t="n">
        <v>7100</v>
      </c>
      <c r="U449" s="16" t="n">
        <v>7100</v>
      </c>
      <c r="AC449" s="23">
        <f>IF(OR(E449="",E449="[PARENT]"),"ADD",IF(E449="[ALT_VIEW]","ALT",""))</f>
        <v/>
      </c>
      <c r="AD449" s="21">
        <f>IF(Y449&lt;&gt;"",Y449,IF(U449&lt;&gt;"",U449,S449))</f>
        <v/>
      </c>
      <c r="AE449" s="21">
        <f>IF(AB449&lt;&gt;"",AB449,Z449)</f>
        <v/>
      </c>
      <c r="AF449" s="13" t="inlineStr">
        <is>
          <t>P-35 &gt; Carrier Replacement Program &gt; DIGITAL MODULAR RADIO (DMR) ULTRA HIGH FREQUENCY/VERY HIGH FREQUENCY LINE OF PARM Code: PMW 170 &gt; Major Hardware                                                                                          1</t>
        </is>
      </c>
      <c r="AG449" s="7" t="inlineStr">
        <is>
          <t>86</t>
        </is>
      </c>
      <c r="AH449" s="7" t="inlineStr">
        <is>
          <t>2001</t>
        </is>
      </c>
    </row>
    <row r="450" ht="10" customHeight="1">
      <c r="A450" s="7" t="inlineStr">
        <is>
          <t>SCN</t>
        </is>
      </c>
      <c r="B450" s="7" t="inlineStr">
        <is>
          <t>Procurement</t>
        </is>
      </c>
      <c r="D450" s="7" t="inlineStr">
        <is>
          <t>Carrier Replacement Program - P-35 DIGITAL MODULAR RADIO (DMR) ULTRA HIGH FREQUENCY/VERY HIGH FREQUENCY LINE OF PARM Code: PMW 170 - Ancillary Equipment</t>
        </is>
      </c>
      <c r="E450" s="13" t="inlineStr">
        <is>
          <t>[ALT_VIEW]</t>
        </is>
      </c>
      <c r="F450" s="7" t="inlineStr">
        <is>
          <t>2001 / Carrier Replacement Program</t>
        </is>
      </c>
      <c r="G450" s="7" t="inlineStr">
        <is>
          <t>P-35</t>
        </is>
      </c>
      <c r="I450" s="14" t="n">
        <v>1</v>
      </c>
      <c r="J450" s="7" t="inlineStr">
        <is>
          <t>Full ship DD&amp;C</t>
        </is>
      </c>
      <c r="K450" s="13" t="inlineStr">
        <is>
          <t>USN</t>
        </is>
      </c>
      <c r="L450" s="7" t="inlineStr">
        <is>
          <t>Combatant Ships</t>
        </is>
      </c>
      <c r="M450" s="7" t="inlineStr">
        <is>
          <t>Aircraft Carriers</t>
        </is>
      </c>
      <c r="N450" s="7" t="inlineStr">
        <is>
          <t>CVN</t>
        </is>
      </c>
      <c r="O450" s="15" t="n"/>
      <c r="S450" s="16" t="n">
        <v>58</v>
      </c>
      <c r="U450" s="16" t="n">
        <v>58</v>
      </c>
      <c r="AC450" s="23">
        <f>IF(OR(E450="",E450="[PARENT]"),"ADD",IF(E450="[ALT_VIEW]","ALT",""))</f>
        <v/>
      </c>
      <c r="AD450" s="21">
        <f>IF(Y450&lt;&gt;"",Y450,IF(U450&lt;&gt;"",U450,S450))</f>
        <v/>
      </c>
      <c r="AE450" s="21">
        <f>IF(AB450&lt;&gt;"",AB450,Z450)</f>
        <v/>
      </c>
      <c r="AF450" s="13" t="inlineStr">
        <is>
          <t>P-35 &gt; Carrier Replacement Program &gt; DIGITAL MODULAR RADIO (DMR) ULTRA HIGH FREQUENCY/VERY HIGH FREQUENCY LINE OF PARM Code: PMW 170 &gt; Ancillary Equipment</t>
        </is>
      </c>
      <c r="AG450" s="7" t="inlineStr">
        <is>
          <t>86</t>
        </is>
      </c>
      <c r="AH450" s="7" t="inlineStr">
        <is>
          <t>2001</t>
        </is>
      </c>
    </row>
    <row r="451" ht="10" customHeight="1">
      <c r="A451" s="7" t="inlineStr">
        <is>
          <t>SCN</t>
        </is>
      </c>
      <c r="B451" s="7" t="inlineStr">
        <is>
          <t>Procurement</t>
        </is>
      </c>
      <c r="D451" s="7" t="inlineStr">
        <is>
          <t>Carrier Replacement Program - P-35 DIGITAL MODULAR RADIO (DMR) ULTRA HIGH FREQUENCY/VERY HIGH FREQUENCY LINE OF PARM Code: PMW 170 - Spares</t>
        </is>
      </c>
      <c r="E451" s="13" t="inlineStr">
        <is>
          <t>[ALT_VIEW]</t>
        </is>
      </c>
      <c r="F451" s="7" t="inlineStr">
        <is>
          <t>2001 / Carrier Replacement Program</t>
        </is>
      </c>
      <c r="G451" s="7" t="inlineStr">
        <is>
          <t>P-35</t>
        </is>
      </c>
      <c r="I451" s="14" t="n">
        <v>1</v>
      </c>
      <c r="J451" s="7" t="inlineStr">
        <is>
          <t>Full ship DD&amp;C</t>
        </is>
      </c>
      <c r="K451" s="13" t="inlineStr">
        <is>
          <t>USN</t>
        </is>
      </c>
      <c r="L451" s="7" t="inlineStr">
        <is>
          <t>Combatant Ships</t>
        </is>
      </c>
      <c r="M451" s="7" t="inlineStr">
        <is>
          <t>Aircraft Carriers</t>
        </is>
      </c>
      <c r="N451" s="7" t="inlineStr">
        <is>
          <t>CVN</t>
        </is>
      </c>
      <c r="O451" s="15" t="n"/>
      <c r="P451" s="16" t="n">
        <v>50</v>
      </c>
      <c r="S451" s="16" t="n">
        <v>55</v>
      </c>
      <c r="U451" s="16" t="n">
        <v>55</v>
      </c>
      <c r="AC451" s="23">
        <f>IF(OR(E451="",E451="[PARENT]"),"ADD",IF(E451="[ALT_VIEW]","ALT",""))</f>
        <v/>
      </c>
      <c r="AD451" s="21">
        <f>IF(Y451&lt;&gt;"",Y451,IF(U451&lt;&gt;"",U451,S451))</f>
        <v/>
      </c>
      <c r="AE451" s="21">
        <f>IF(AB451&lt;&gt;"",AB451,Z451)</f>
        <v/>
      </c>
      <c r="AF451" s="13" t="inlineStr">
        <is>
          <t>P-35 &gt; Carrier Replacement Program &gt; DIGITAL MODULAR RADIO (DMR) ULTRA HIGH FREQUENCY/VERY HIGH FREQUENCY LINE OF PARM Code: PMW 170 &gt; Spares</t>
        </is>
      </c>
      <c r="AG451" s="7" t="inlineStr">
        <is>
          <t>86</t>
        </is>
      </c>
      <c r="AH451" s="7" t="inlineStr">
        <is>
          <t>2001</t>
        </is>
      </c>
    </row>
    <row r="452" ht="10" customHeight="1">
      <c r="A452" s="7" t="inlineStr">
        <is>
          <t>SCN</t>
        </is>
      </c>
      <c r="B452" s="7" t="inlineStr">
        <is>
          <t>Procurement</t>
        </is>
      </c>
      <c r="D452" s="7" t="inlineStr">
        <is>
          <t>Carrier Replacement Program - P-35 DIGITAL MODULAR RADIO (DMR) ULTRA HIGH FREQUENCY/VERY HIGH FREQUENCY LINE OF PARM Code: PMW 170 - System Engineering</t>
        </is>
      </c>
      <c r="E452" s="13" t="inlineStr">
        <is>
          <t>[ALT_VIEW]</t>
        </is>
      </c>
      <c r="F452" s="7" t="inlineStr">
        <is>
          <t>2001 / Carrier Replacement Program</t>
        </is>
      </c>
      <c r="G452" s="7" t="inlineStr">
        <is>
          <t>P-35</t>
        </is>
      </c>
      <c r="I452" s="14" t="n">
        <v>1</v>
      </c>
      <c r="J452" s="7" t="inlineStr">
        <is>
          <t>Full ship DD&amp;C</t>
        </is>
      </c>
      <c r="K452" s="13" t="inlineStr">
        <is>
          <t>USN</t>
        </is>
      </c>
      <c r="L452" s="7" t="inlineStr">
        <is>
          <t>Combatant Ships</t>
        </is>
      </c>
      <c r="M452" s="7" t="inlineStr">
        <is>
          <t>Aircraft Carriers</t>
        </is>
      </c>
      <c r="N452" s="7" t="inlineStr">
        <is>
          <t>CVN</t>
        </is>
      </c>
      <c r="O452" s="15" t="n"/>
      <c r="P452" s="16" t="n">
        <v>152</v>
      </c>
      <c r="S452" s="16" t="n">
        <v>259</v>
      </c>
      <c r="U452" s="16" t="n">
        <v>259</v>
      </c>
      <c r="AC452" s="23">
        <f>IF(OR(E452="",E452="[PARENT]"),"ADD",IF(E452="[ALT_VIEW]","ALT",""))</f>
        <v/>
      </c>
      <c r="AD452" s="21">
        <f>IF(Y452&lt;&gt;"",Y452,IF(U452&lt;&gt;"",U452,S452))</f>
        <v/>
      </c>
      <c r="AE452" s="21">
        <f>IF(AB452&lt;&gt;"",AB452,Z452)</f>
        <v/>
      </c>
      <c r="AF452" s="13" t="inlineStr">
        <is>
          <t>P-35 &gt; Carrier Replacement Program &gt; DIGITAL MODULAR RADIO (DMR) ULTRA HIGH FREQUENCY/VERY HIGH FREQUENCY LINE OF PARM Code: PMW 170 &gt; System Engineering</t>
        </is>
      </c>
      <c r="AG452" s="7" t="inlineStr">
        <is>
          <t>86</t>
        </is>
      </c>
      <c r="AH452" s="7" t="inlineStr">
        <is>
          <t>2001</t>
        </is>
      </c>
    </row>
    <row r="453" ht="10" customHeight="1">
      <c r="A453" s="7" t="inlineStr">
        <is>
          <t>SCN</t>
        </is>
      </c>
      <c r="B453" s="7" t="inlineStr">
        <is>
          <t>Procurement</t>
        </is>
      </c>
      <c r="D453" s="7" t="inlineStr">
        <is>
          <t>Carrier Replacement Program - P-35 DIGITAL MODULAR RADIO (DMR) ULTRA HIGH FREQUENCY/VERY HIGH FREQUENCY LINE OF PARM Code: PMW 170 - Technical Engineering Services</t>
        </is>
      </c>
      <c r="E453" s="13" t="inlineStr">
        <is>
          <t>[ALT_VIEW]</t>
        </is>
      </c>
      <c r="F453" s="7" t="inlineStr">
        <is>
          <t>2001 / Carrier Replacement Program</t>
        </is>
      </c>
      <c r="G453" s="7" t="inlineStr">
        <is>
          <t>P-35</t>
        </is>
      </c>
      <c r="I453" s="14" t="n">
        <v>1</v>
      </c>
      <c r="J453" s="7" t="inlineStr">
        <is>
          <t>Full ship DD&amp;C</t>
        </is>
      </c>
      <c r="K453" s="13" t="inlineStr">
        <is>
          <t>USN</t>
        </is>
      </c>
      <c r="L453" s="7" t="inlineStr">
        <is>
          <t>Combatant Ships</t>
        </is>
      </c>
      <c r="M453" s="7" t="inlineStr">
        <is>
          <t>Aircraft Carriers</t>
        </is>
      </c>
      <c r="N453" s="7" t="inlineStr">
        <is>
          <t>CVN</t>
        </is>
      </c>
      <c r="O453" s="15" t="n"/>
      <c r="P453" s="16" t="n">
        <v>269</v>
      </c>
      <c r="S453" s="16" t="n">
        <v>371</v>
      </c>
      <c r="U453" s="16" t="n">
        <v>371</v>
      </c>
      <c r="AC453" s="23">
        <f>IF(OR(E453="",E453="[PARENT]"),"ADD",IF(E453="[ALT_VIEW]","ALT",""))</f>
        <v/>
      </c>
      <c r="AD453" s="21">
        <f>IF(Y453&lt;&gt;"",Y453,IF(U453&lt;&gt;"",U453,S453))</f>
        <v/>
      </c>
      <c r="AE453" s="21">
        <f>IF(AB453&lt;&gt;"",AB453,Z453)</f>
        <v/>
      </c>
      <c r="AF453" s="13" t="inlineStr">
        <is>
          <t>P-35 &gt; Carrier Replacement Program &gt; DIGITAL MODULAR RADIO (DMR) ULTRA HIGH FREQUENCY/VERY HIGH FREQUENCY LINE OF PARM Code: PMW 170 &gt; Technical Engineering Services</t>
        </is>
      </c>
      <c r="AG453" s="7" t="inlineStr">
        <is>
          <t>86</t>
        </is>
      </c>
      <c r="AH453" s="7" t="inlineStr">
        <is>
          <t>2001</t>
        </is>
      </c>
    </row>
    <row r="454" ht="10" customHeight="1">
      <c r="A454" s="7" t="inlineStr">
        <is>
          <t>SCN</t>
        </is>
      </c>
      <c r="B454" s="7" t="inlineStr">
        <is>
          <t>Procurement</t>
        </is>
      </c>
      <c r="D454" s="7" t="inlineStr">
        <is>
          <t>Carrier Replacement Program - P-35 DIGITAL MODULAR RADIO (DMR) ULTRA HIGH FREQUENCY/VERY HIGH FREQUENCY LINE OF PARM Code: PMW 170 - Other Costs</t>
        </is>
      </c>
      <c r="E454" s="13" t="inlineStr">
        <is>
          <t>[ALT_VIEW]</t>
        </is>
      </c>
      <c r="F454" s="7" t="inlineStr">
        <is>
          <t>2001 / Carrier Replacement Program</t>
        </is>
      </c>
      <c r="G454" s="7" t="inlineStr">
        <is>
          <t>P-35</t>
        </is>
      </c>
      <c r="I454" s="14" t="n">
        <v>1</v>
      </c>
      <c r="J454" s="7" t="inlineStr">
        <is>
          <t>Full ship DD&amp;C</t>
        </is>
      </c>
      <c r="K454" s="13" t="inlineStr">
        <is>
          <t>USN</t>
        </is>
      </c>
      <c r="L454" s="7" t="inlineStr">
        <is>
          <t>Combatant Ships</t>
        </is>
      </c>
      <c r="M454" s="7" t="inlineStr">
        <is>
          <t>Aircraft Carriers</t>
        </is>
      </c>
      <c r="N454" s="7" t="inlineStr">
        <is>
          <t>CVN</t>
        </is>
      </c>
      <c r="O454" s="15" t="n"/>
      <c r="P454" s="16" t="n">
        <v>517</v>
      </c>
      <c r="S454" s="16" t="n">
        <v>238</v>
      </c>
      <c r="U454" s="16" t="n">
        <v>238</v>
      </c>
      <c r="AC454" s="23">
        <f>IF(OR(E454="",E454="[PARENT]"),"ADD",IF(E454="[ALT_VIEW]","ALT",""))</f>
        <v/>
      </c>
      <c r="AD454" s="21">
        <f>IF(Y454&lt;&gt;"",Y454,IF(U454&lt;&gt;"",U454,S454))</f>
        <v/>
      </c>
      <c r="AE454" s="21">
        <f>IF(AB454&lt;&gt;"",AB454,Z454)</f>
        <v/>
      </c>
      <c r="AF454" s="13" t="inlineStr">
        <is>
          <t>P-35 &gt; Carrier Replacement Program &gt; DIGITAL MODULAR RADIO (DMR) ULTRA HIGH FREQUENCY/VERY HIGH FREQUENCY LINE OF PARM Code: PMW 170 &gt; Other Costs</t>
        </is>
      </c>
      <c r="AG454" s="7" t="inlineStr">
        <is>
          <t>86</t>
        </is>
      </c>
      <c r="AH454" s="7" t="inlineStr">
        <is>
          <t>2001</t>
        </is>
      </c>
    </row>
    <row r="455" ht="10" customHeight="1">
      <c r="A455" s="7" t="inlineStr">
        <is>
          <t>SCN</t>
        </is>
      </c>
      <c r="B455" s="7" t="inlineStr">
        <is>
          <t>Procurement</t>
        </is>
      </c>
      <c r="D455" s="7" t="inlineStr">
        <is>
          <t>Carrier Replacement Program - P-35 AN/UPX-29(V), INTERROGATOR FRIEND OR FOE (IFF) W/MK XII - Major Hardware                                                                                                    1</t>
        </is>
      </c>
      <c r="E455" s="13" t="inlineStr">
        <is>
          <t>[ALT_VIEW]</t>
        </is>
      </c>
      <c r="F455" s="7" t="inlineStr">
        <is>
          <t>2001 / Carrier Replacement Program</t>
        </is>
      </c>
      <c r="G455" s="7" t="inlineStr">
        <is>
          <t>P-35</t>
        </is>
      </c>
      <c r="I455" s="14" t="n">
        <v>1</v>
      </c>
      <c r="J455" s="7" t="inlineStr">
        <is>
          <t>Full ship DD&amp;C</t>
        </is>
      </c>
      <c r="K455" s="13" t="inlineStr">
        <is>
          <t>USN</t>
        </is>
      </c>
      <c r="L455" s="7" t="inlineStr">
        <is>
          <t>Combatant Ships</t>
        </is>
      </c>
      <c r="M455" s="7" t="inlineStr">
        <is>
          <t>Aircraft Carriers</t>
        </is>
      </c>
      <c r="N455" s="7" t="inlineStr">
        <is>
          <t>CVN</t>
        </is>
      </c>
      <c r="O455" s="15" t="n"/>
      <c r="P455" s="16" t="n">
        <v>5903</v>
      </c>
      <c r="S455" s="16" t="n">
        <v>6872</v>
      </c>
      <c r="U455" s="16" t="n">
        <v>6872</v>
      </c>
      <c r="AC455" s="23">
        <f>IF(OR(E455="",E455="[PARENT]"),"ADD",IF(E455="[ALT_VIEW]","ALT",""))</f>
        <v/>
      </c>
      <c r="AD455" s="21">
        <f>IF(Y455&lt;&gt;"",Y455,IF(U455&lt;&gt;"",U455,S455))</f>
        <v/>
      </c>
      <c r="AE455" s="21">
        <f>IF(AB455&lt;&gt;"",AB455,Z455)</f>
        <v/>
      </c>
      <c r="AF455" s="13" t="inlineStr">
        <is>
          <t>P-35 &gt; Carrier Replacement Program &gt; AN/UPX-29(V), INTERROGATOR FRIEND OR FOE (IFF) W/MK XII &gt; Major Hardware                                                                                                    1</t>
        </is>
      </c>
      <c r="AG455" s="7" t="inlineStr">
        <is>
          <t>87</t>
        </is>
      </c>
      <c r="AH455" s="7" t="inlineStr">
        <is>
          <t>2001</t>
        </is>
      </c>
    </row>
    <row r="456" ht="10" customHeight="1">
      <c r="A456" s="7" t="inlineStr">
        <is>
          <t>SCN</t>
        </is>
      </c>
      <c r="B456" s="7" t="inlineStr">
        <is>
          <t>Procurement</t>
        </is>
      </c>
      <c r="D456" s="7" t="inlineStr">
        <is>
          <t>Carrier Replacement Program - P-35 AN/UPX-29(V), INTERROGATOR FRIEND OR FOE (IFF) W/MK XII - Ancillary Equipment</t>
        </is>
      </c>
      <c r="E456" s="13" t="inlineStr">
        <is>
          <t>[ALT_VIEW]</t>
        </is>
      </c>
      <c r="F456" s="7" t="inlineStr">
        <is>
          <t>2001 / Carrier Replacement Program</t>
        </is>
      </c>
      <c r="G456" s="7" t="inlineStr">
        <is>
          <t>P-35</t>
        </is>
      </c>
      <c r="I456" s="14" t="n">
        <v>1</v>
      </c>
      <c r="J456" s="7" t="inlineStr">
        <is>
          <t>Full ship DD&amp;C</t>
        </is>
      </c>
      <c r="K456" s="13" t="inlineStr">
        <is>
          <t>USN</t>
        </is>
      </c>
      <c r="L456" s="7" t="inlineStr">
        <is>
          <t>Combatant Ships</t>
        </is>
      </c>
      <c r="M456" s="7" t="inlineStr">
        <is>
          <t>Aircraft Carriers</t>
        </is>
      </c>
      <c r="N456" s="7" t="inlineStr">
        <is>
          <t>CVN</t>
        </is>
      </c>
      <c r="O456" s="15" t="n"/>
      <c r="P456" s="16" t="n">
        <v>11</v>
      </c>
      <c r="S456" s="16" t="n">
        <v>55</v>
      </c>
      <c r="U456" s="16" t="n">
        <v>55</v>
      </c>
      <c r="AC456" s="23">
        <f>IF(OR(E456="",E456="[PARENT]"),"ADD",IF(E456="[ALT_VIEW]","ALT",""))</f>
        <v/>
      </c>
      <c r="AD456" s="21">
        <f>IF(Y456&lt;&gt;"",Y456,IF(U456&lt;&gt;"",U456,S456))</f>
        <v/>
      </c>
      <c r="AE456" s="21">
        <f>IF(AB456&lt;&gt;"",AB456,Z456)</f>
        <v/>
      </c>
      <c r="AF456" s="13" t="inlineStr">
        <is>
          <t>P-35 &gt; Carrier Replacement Program &gt; AN/UPX-29(V), INTERROGATOR FRIEND OR FOE (IFF) W/MK XII &gt; Ancillary Equipment</t>
        </is>
      </c>
      <c r="AG456" s="7" t="inlineStr">
        <is>
          <t>87</t>
        </is>
      </c>
      <c r="AH456" s="7" t="inlineStr">
        <is>
          <t>2001</t>
        </is>
      </c>
    </row>
    <row r="457" ht="10" customHeight="1">
      <c r="A457" s="7" t="inlineStr">
        <is>
          <t>SCN</t>
        </is>
      </c>
      <c r="B457" s="7" t="inlineStr">
        <is>
          <t>Procurement</t>
        </is>
      </c>
      <c r="D457" s="7" t="inlineStr">
        <is>
          <t>Carrier Replacement Program - P-35 AN/UPX-29(V), INTERROGATOR FRIEND OR FOE (IFF) W/MK XII - Technical Data and Documentation</t>
        </is>
      </c>
      <c r="E457" s="13" t="inlineStr">
        <is>
          <t>[ALT_VIEW]</t>
        </is>
      </c>
      <c r="F457" s="7" t="inlineStr">
        <is>
          <t>2001 / Carrier Replacement Program</t>
        </is>
      </c>
      <c r="G457" s="7" t="inlineStr">
        <is>
          <t>P-35</t>
        </is>
      </c>
      <c r="I457" s="14" t="n">
        <v>1</v>
      </c>
      <c r="J457" s="7" t="inlineStr">
        <is>
          <t>Full ship DD&amp;C</t>
        </is>
      </c>
      <c r="K457" s="13" t="inlineStr">
        <is>
          <t>USN</t>
        </is>
      </c>
      <c r="L457" s="7" t="inlineStr">
        <is>
          <t>Combatant Ships</t>
        </is>
      </c>
      <c r="M457" s="7" t="inlineStr">
        <is>
          <t>Aircraft Carriers</t>
        </is>
      </c>
      <c r="N457" s="7" t="inlineStr">
        <is>
          <t>CVN</t>
        </is>
      </c>
      <c r="O457" s="15" t="n"/>
      <c r="P457" s="16" t="n">
        <v>4</v>
      </c>
      <c r="S457" s="16" t="n">
        <v>19</v>
      </c>
      <c r="U457" s="16" t="n">
        <v>19</v>
      </c>
      <c r="AC457" s="23">
        <f>IF(OR(E457="",E457="[PARENT]"),"ADD",IF(E457="[ALT_VIEW]","ALT",""))</f>
        <v/>
      </c>
      <c r="AD457" s="21">
        <f>IF(Y457&lt;&gt;"",Y457,IF(U457&lt;&gt;"",U457,S457))</f>
        <v/>
      </c>
      <c r="AE457" s="21">
        <f>IF(AB457&lt;&gt;"",AB457,Z457)</f>
        <v/>
      </c>
      <c r="AF457" s="13" t="inlineStr">
        <is>
          <t>P-35 &gt; Carrier Replacement Program &gt; AN/UPX-29(V), INTERROGATOR FRIEND OR FOE (IFF) W/MK XII &gt; Technical Data and Documentation</t>
        </is>
      </c>
      <c r="AG457" s="7" t="inlineStr">
        <is>
          <t>87</t>
        </is>
      </c>
      <c r="AH457" s="7" t="inlineStr">
        <is>
          <t>2001</t>
        </is>
      </c>
    </row>
    <row r="458" ht="10" customHeight="1">
      <c r="A458" s="7" t="inlineStr">
        <is>
          <t>SCN</t>
        </is>
      </c>
      <c r="B458" s="7" t="inlineStr">
        <is>
          <t>Procurement</t>
        </is>
      </c>
      <c r="D458" s="7" t="inlineStr">
        <is>
          <t>Carrier Replacement Program - P-35 AN/UPX-29(V), INTERROGATOR FRIEND OR FOE (IFF) W/MK XII - Spares</t>
        </is>
      </c>
      <c r="E458" s="13" t="inlineStr">
        <is>
          <t>[ALT_VIEW]</t>
        </is>
      </c>
      <c r="F458" s="7" t="inlineStr">
        <is>
          <t>2001 / Carrier Replacement Program</t>
        </is>
      </c>
      <c r="G458" s="7" t="inlineStr">
        <is>
          <t>P-35</t>
        </is>
      </c>
      <c r="I458" s="14" t="n">
        <v>1</v>
      </c>
      <c r="J458" s="7" t="inlineStr">
        <is>
          <t>Full ship DD&amp;C</t>
        </is>
      </c>
      <c r="K458" s="13" t="inlineStr">
        <is>
          <t>USN</t>
        </is>
      </c>
      <c r="L458" s="7" t="inlineStr">
        <is>
          <t>Combatant Ships</t>
        </is>
      </c>
      <c r="M458" s="7" t="inlineStr">
        <is>
          <t>Aircraft Carriers</t>
        </is>
      </c>
      <c r="N458" s="7" t="inlineStr">
        <is>
          <t>CVN</t>
        </is>
      </c>
      <c r="O458" s="15" t="n"/>
      <c r="P458" s="16" t="n">
        <v>127</v>
      </c>
      <c r="S458" s="16" t="n">
        <v>530</v>
      </c>
      <c r="U458" s="16" t="n">
        <v>530</v>
      </c>
      <c r="AC458" s="23">
        <f>IF(OR(E458="",E458="[PARENT]"),"ADD",IF(E458="[ALT_VIEW]","ALT",""))</f>
        <v/>
      </c>
      <c r="AD458" s="21">
        <f>IF(Y458&lt;&gt;"",Y458,IF(U458&lt;&gt;"",U458,S458))</f>
        <v/>
      </c>
      <c r="AE458" s="21">
        <f>IF(AB458&lt;&gt;"",AB458,Z458)</f>
        <v/>
      </c>
      <c r="AF458" s="13" t="inlineStr">
        <is>
          <t>P-35 &gt; Carrier Replacement Program &gt; AN/UPX-29(V), INTERROGATOR FRIEND OR FOE (IFF) W/MK XII &gt; Spares</t>
        </is>
      </c>
      <c r="AG458" s="7" t="inlineStr">
        <is>
          <t>87</t>
        </is>
      </c>
      <c r="AH458" s="7" t="inlineStr">
        <is>
          <t>2001</t>
        </is>
      </c>
    </row>
    <row r="459" ht="10" customHeight="1">
      <c r="A459" s="7" t="inlineStr">
        <is>
          <t>SCN</t>
        </is>
      </c>
      <c r="B459" s="7" t="inlineStr">
        <is>
          <t>Procurement</t>
        </is>
      </c>
      <c r="D459" s="7" t="inlineStr">
        <is>
          <t>Carrier Replacement Program - P-35 AN/UPX-29(V), INTERROGATOR FRIEND OR FOE (IFF) W/MK XII - System Engineering</t>
        </is>
      </c>
      <c r="E459" s="13" t="inlineStr">
        <is>
          <t>[ALT_VIEW]</t>
        </is>
      </c>
      <c r="F459" s="7" t="inlineStr">
        <is>
          <t>2001 / Carrier Replacement Program</t>
        </is>
      </c>
      <c r="G459" s="7" t="inlineStr">
        <is>
          <t>P-35</t>
        </is>
      </c>
      <c r="I459" s="14" t="n">
        <v>1</v>
      </c>
      <c r="J459" s="7" t="inlineStr">
        <is>
          <t>Full ship DD&amp;C</t>
        </is>
      </c>
      <c r="K459" s="13" t="inlineStr">
        <is>
          <t>USN</t>
        </is>
      </c>
      <c r="L459" s="7" t="inlineStr">
        <is>
          <t>Combatant Ships</t>
        </is>
      </c>
      <c r="M459" s="7" t="inlineStr">
        <is>
          <t>Aircraft Carriers</t>
        </is>
      </c>
      <c r="N459" s="7" t="inlineStr">
        <is>
          <t>CVN</t>
        </is>
      </c>
      <c r="O459" s="15" t="n"/>
      <c r="P459" s="16" t="n">
        <v>108</v>
      </c>
      <c r="S459" s="16" t="n">
        <v>51</v>
      </c>
      <c r="U459" s="16" t="n">
        <v>51</v>
      </c>
      <c r="AC459" s="23">
        <f>IF(OR(E459="",E459="[PARENT]"),"ADD",IF(E459="[ALT_VIEW]","ALT",""))</f>
        <v/>
      </c>
      <c r="AD459" s="21">
        <f>IF(Y459&lt;&gt;"",Y459,IF(U459&lt;&gt;"",U459,S459))</f>
        <v/>
      </c>
      <c r="AE459" s="21">
        <f>IF(AB459&lt;&gt;"",AB459,Z459)</f>
        <v/>
      </c>
      <c r="AF459" s="13" t="inlineStr">
        <is>
          <t>P-35 &gt; Carrier Replacement Program &gt; AN/UPX-29(V), INTERROGATOR FRIEND OR FOE (IFF) W/MK XII &gt; System Engineering</t>
        </is>
      </c>
      <c r="AG459" s="7" t="inlineStr">
        <is>
          <t>87</t>
        </is>
      </c>
      <c r="AH459" s="7" t="inlineStr">
        <is>
          <t>2001</t>
        </is>
      </c>
    </row>
    <row r="460" ht="10" customHeight="1">
      <c r="A460" s="7" t="inlineStr">
        <is>
          <t>SCN</t>
        </is>
      </c>
      <c r="B460" s="7" t="inlineStr">
        <is>
          <t>Procurement</t>
        </is>
      </c>
      <c r="D460" s="7" t="inlineStr">
        <is>
          <t>Carrier Replacement Program - P-35 AN/UPX-29(V), INTERROGATOR FRIEND OR FOE (IFF) W/MK XII - Technical Engineering Services</t>
        </is>
      </c>
      <c r="E460" s="13" t="inlineStr">
        <is>
          <t>[ALT_VIEW]</t>
        </is>
      </c>
      <c r="F460" s="7" t="inlineStr">
        <is>
          <t>2001 / Carrier Replacement Program</t>
        </is>
      </c>
      <c r="G460" s="7" t="inlineStr">
        <is>
          <t>P-35</t>
        </is>
      </c>
      <c r="I460" s="14" t="n">
        <v>1</v>
      </c>
      <c r="J460" s="7" t="inlineStr">
        <is>
          <t>Full ship DD&amp;C</t>
        </is>
      </c>
      <c r="K460" s="13" t="inlineStr">
        <is>
          <t>USN</t>
        </is>
      </c>
      <c r="L460" s="7" t="inlineStr">
        <is>
          <t>Combatant Ships</t>
        </is>
      </c>
      <c r="M460" s="7" t="inlineStr">
        <is>
          <t>Aircraft Carriers</t>
        </is>
      </c>
      <c r="N460" s="7" t="inlineStr">
        <is>
          <t>CVN</t>
        </is>
      </c>
      <c r="O460" s="15" t="n"/>
      <c r="P460" s="16" t="n">
        <v>644</v>
      </c>
      <c r="S460" s="16" t="n">
        <v>182</v>
      </c>
      <c r="U460" s="16" t="n">
        <v>182</v>
      </c>
      <c r="AC460" s="23">
        <f>IF(OR(E460="",E460="[PARENT]"),"ADD",IF(E460="[ALT_VIEW]","ALT",""))</f>
        <v/>
      </c>
      <c r="AD460" s="21">
        <f>IF(Y460&lt;&gt;"",Y460,IF(U460&lt;&gt;"",U460,S460))</f>
        <v/>
      </c>
      <c r="AE460" s="21">
        <f>IF(AB460&lt;&gt;"",AB460,Z460)</f>
        <v/>
      </c>
      <c r="AF460" s="13" t="inlineStr">
        <is>
          <t>P-35 &gt; Carrier Replacement Program &gt; AN/UPX-29(V), INTERROGATOR FRIEND OR FOE (IFF) W/MK XII &gt; Technical Engineering Services</t>
        </is>
      </c>
      <c r="AG460" s="7" t="inlineStr">
        <is>
          <t>87</t>
        </is>
      </c>
      <c r="AH460" s="7" t="inlineStr">
        <is>
          <t>2001</t>
        </is>
      </c>
    </row>
    <row r="461" ht="10" customHeight="1">
      <c r="A461" s="7" t="inlineStr">
        <is>
          <t>SCN</t>
        </is>
      </c>
      <c r="B461" s="7" t="inlineStr">
        <is>
          <t>Procurement</t>
        </is>
      </c>
      <c r="D461" s="7" t="inlineStr">
        <is>
          <t>Carrier Replacement Program - P-35 AN/UPX-29(V), INTERROGATOR FRIEND OR FOE (IFF) W/MK XII - Other Costs</t>
        </is>
      </c>
      <c r="E461" s="13" t="inlineStr">
        <is>
          <t>[ALT_VIEW]</t>
        </is>
      </c>
      <c r="F461" s="7" t="inlineStr">
        <is>
          <t>2001 / Carrier Replacement Program</t>
        </is>
      </c>
      <c r="G461" s="7" t="inlineStr">
        <is>
          <t>P-35</t>
        </is>
      </c>
      <c r="I461" s="14" t="n">
        <v>1</v>
      </c>
      <c r="J461" s="7" t="inlineStr">
        <is>
          <t>Full ship DD&amp;C</t>
        </is>
      </c>
      <c r="K461" s="13" t="inlineStr">
        <is>
          <t>USN</t>
        </is>
      </c>
      <c r="L461" s="7" t="inlineStr">
        <is>
          <t>Combatant Ships</t>
        </is>
      </c>
      <c r="M461" s="7" t="inlineStr">
        <is>
          <t>Aircraft Carriers</t>
        </is>
      </c>
      <c r="N461" s="7" t="inlineStr">
        <is>
          <t>CVN</t>
        </is>
      </c>
      <c r="O461" s="15" t="n"/>
      <c r="P461" s="16" t="n">
        <v>279</v>
      </c>
      <c r="S461" s="16" t="n">
        <v>542</v>
      </c>
      <c r="U461" s="16" t="n">
        <v>542</v>
      </c>
      <c r="AC461" s="23">
        <f>IF(OR(E461="",E461="[PARENT]"),"ADD",IF(E461="[ALT_VIEW]","ALT",""))</f>
        <v/>
      </c>
      <c r="AD461" s="21">
        <f>IF(Y461&lt;&gt;"",Y461,IF(U461&lt;&gt;"",U461,S461))</f>
        <v/>
      </c>
      <c r="AE461" s="21">
        <f>IF(AB461&lt;&gt;"",AB461,Z461)</f>
        <v/>
      </c>
      <c r="AF461" s="13" t="inlineStr">
        <is>
          <t>P-35 &gt; Carrier Replacement Program &gt; AN/UPX-29(V), INTERROGATOR FRIEND OR FOE (IFF) W/MK XII &gt; Other Costs</t>
        </is>
      </c>
      <c r="AG461" s="7" t="inlineStr">
        <is>
          <t>87</t>
        </is>
      </c>
      <c r="AH461" s="7" t="inlineStr">
        <is>
          <t>2001</t>
        </is>
      </c>
    </row>
    <row r="462" ht="10" customHeight="1">
      <c r="A462" s="7" t="inlineStr">
        <is>
          <t>SCN</t>
        </is>
      </c>
      <c r="B462" s="7" t="inlineStr">
        <is>
          <t>Procurement</t>
        </is>
      </c>
      <c r="D462" s="7" t="inlineStr">
        <is>
          <t>Carrier Replacement Program - P-35 SPN-46, AUTOMATIC CARRIER LANDING SYSTEM - Major Hardware                                                                                                    1</t>
        </is>
      </c>
      <c r="E462" s="13" t="inlineStr">
        <is>
          <t>[ALT_VIEW]</t>
        </is>
      </c>
      <c r="F462" s="7" t="inlineStr">
        <is>
          <t>2001 / Carrier Replacement Program</t>
        </is>
      </c>
      <c r="G462" s="7" t="inlineStr">
        <is>
          <t>P-35</t>
        </is>
      </c>
      <c r="I462" s="14" t="n">
        <v>1</v>
      </c>
      <c r="J462" s="7" t="inlineStr">
        <is>
          <t>Full ship DD&amp;C</t>
        </is>
      </c>
      <c r="K462" s="13" t="inlineStr">
        <is>
          <t>USN</t>
        </is>
      </c>
      <c r="L462" s="7" t="inlineStr">
        <is>
          <t>Combatant Ships</t>
        </is>
      </c>
      <c r="M462" s="7" t="inlineStr">
        <is>
          <t>Aircraft Carriers</t>
        </is>
      </c>
      <c r="N462" s="7" t="inlineStr">
        <is>
          <t>CVN</t>
        </is>
      </c>
      <c r="O462" s="15" t="n"/>
      <c r="P462" s="16" t="n">
        <v>7230</v>
      </c>
      <c r="S462" s="16" t="n">
        <v>11737</v>
      </c>
      <c r="U462" s="16" t="n">
        <v>11737</v>
      </c>
      <c r="AC462" s="23">
        <f>IF(OR(E462="",E462="[PARENT]"),"ADD",IF(E462="[ALT_VIEW]","ALT",""))</f>
        <v/>
      </c>
      <c r="AD462" s="21">
        <f>IF(Y462&lt;&gt;"",Y462,IF(U462&lt;&gt;"",U462,S462))</f>
        <v/>
      </c>
      <c r="AE462" s="21">
        <f>IF(AB462&lt;&gt;"",AB462,Z462)</f>
        <v/>
      </c>
      <c r="AF462" s="13" t="inlineStr">
        <is>
          <t>P-35 &gt; Carrier Replacement Program &gt; SPN-46, AUTOMATIC CARRIER LANDING SYSTEM &gt; Major Hardware                                                                                                    1</t>
        </is>
      </c>
      <c r="AG462" s="7" t="inlineStr">
        <is>
          <t>88</t>
        </is>
      </c>
      <c r="AH462" s="7" t="inlineStr">
        <is>
          <t>2001</t>
        </is>
      </c>
    </row>
    <row r="463" ht="10" customHeight="1">
      <c r="A463" s="7" t="inlineStr">
        <is>
          <t>SCN</t>
        </is>
      </c>
      <c r="B463" s="7" t="inlineStr">
        <is>
          <t>Procurement</t>
        </is>
      </c>
      <c r="D463" s="7" t="inlineStr">
        <is>
          <t>Carrier Replacement Program - P-35 SPN-46, AUTOMATIC CARRIER LANDING SYSTEM - System Engineering</t>
        </is>
      </c>
      <c r="E463" s="13" t="inlineStr">
        <is>
          <t>[ALT_VIEW]</t>
        </is>
      </c>
      <c r="F463" s="7" t="inlineStr">
        <is>
          <t>2001 / Carrier Replacement Program</t>
        </is>
      </c>
      <c r="G463" s="7" t="inlineStr">
        <is>
          <t>P-35</t>
        </is>
      </c>
      <c r="I463" s="14" t="n">
        <v>1</v>
      </c>
      <c r="J463" s="7" t="inlineStr">
        <is>
          <t>Full ship DD&amp;C</t>
        </is>
      </c>
      <c r="K463" s="13" t="inlineStr">
        <is>
          <t>USN</t>
        </is>
      </c>
      <c r="L463" s="7" t="inlineStr">
        <is>
          <t>Combatant Ships</t>
        </is>
      </c>
      <c r="M463" s="7" t="inlineStr">
        <is>
          <t>Aircraft Carriers</t>
        </is>
      </c>
      <c r="N463" s="7" t="inlineStr">
        <is>
          <t>CVN</t>
        </is>
      </c>
      <c r="O463" s="15" t="n"/>
      <c r="P463" s="16" t="n">
        <v>279</v>
      </c>
      <c r="S463" s="16" t="n">
        <v>387</v>
      </c>
      <c r="U463" s="16" t="n">
        <v>387</v>
      </c>
      <c r="AC463" s="23">
        <f>IF(OR(E463="",E463="[PARENT]"),"ADD",IF(E463="[ALT_VIEW]","ALT",""))</f>
        <v/>
      </c>
      <c r="AD463" s="21">
        <f>IF(Y463&lt;&gt;"",Y463,IF(U463&lt;&gt;"",U463,S463))</f>
        <v/>
      </c>
      <c r="AE463" s="21">
        <f>IF(AB463&lt;&gt;"",AB463,Z463)</f>
        <v/>
      </c>
      <c r="AF463" s="13" t="inlineStr">
        <is>
          <t>P-35 &gt; Carrier Replacement Program &gt; SPN-46, AUTOMATIC CARRIER LANDING SYSTEM &gt; System Engineering</t>
        </is>
      </c>
      <c r="AG463" s="7" t="inlineStr">
        <is>
          <t>88</t>
        </is>
      </c>
      <c r="AH463" s="7" t="inlineStr">
        <is>
          <t>2001</t>
        </is>
      </c>
    </row>
    <row r="464" ht="10" customHeight="1">
      <c r="A464" s="7" t="inlineStr">
        <is>
          <t>SCN</t>
        </is>
      </c>
      <c r="B464" s="7" t="inlineStr">
        <is>
          <t>Procurement</t>
        </is>
      </c>
      <c r="D464" s="7" t="inlineStr">
        <is>
          <t>Carrier Replacement Program - P-35 SPN-46, AUTOMATIC CARRIER LANDING SYSTEM - Technical Engineering Services</t>
        </is>
      </c>
      <c r="E464" s="13" t="inlineStr">
        <is>
          <t>[ALT_VIEW]</t>
        </is>
      </c>
      <c r="F464" s="7" t="inlineStr">
        <is>
          <t>2001 / Carrier Replacement Program</t>
        </is>
      </c>
      <c r="G464" s="7" t="inlineStr">
        <is>
          <t>P-35</t>
        </is>
      </c>
      <c r="I464" s="14" t="n">
        <v>1</v>
      </c>
      <c r="J464" s="7" t="inlineStr">
        <is>
          <t>Full ship DD&amp;C</t>
        </is>
      </c>
      <c r="K464" s="13" t="inlineStr">
        <is>
          <t>USN</t>
        </is>
      </c>
      <c r="L464" s="7" t="inlineStr">
        <is>
          <t>Combatant Ships</t>
        </is>
      </c>
      <c r="M464" s="7" t="inlineStr">
        <is>
          <t>Aircraft Carriers</t>
        </is>
      </c>
      <c r="N464" s="7" t="inlineStr">
        <is>
          <t>CVN</t>
        </is>
      </c>
      <c r="O464" s="15" t="n"/>
      <c r="P464" s="16" t="n">
        <v>250</v>
      </c>
      <c r="S464" s="16" t="n">
        <v>430</v>
      </c>
      <c r="U464" s="16" t="n">
        <v>430</v>
      </c>
      <c r="AC464" s="23">
        <f>IF(OR(E464="",E464="[PARENT]"),"ADD",IF(E464="[ALT_VIEW]","ALT",""))</f>
        <v/>
      </c>
      <c r="AD464" s="21">
        <f>IF(Y464&lt;&gt;"",Y464,IF(U464&lt;&gt;"",U464,S464))</f>
        <v/>
      </c>
      <c r="AE464" s="21">
        <f>IF(AB464&lt;&gt;"",AB464,Z464)</f>
        <v/>
      </c>
      <c r="AF464" s="13" t="inlineStr">
        <is>
          <t>P-35 &gt; Carrier Replacement Program &gt; SPN-46, AUTOMATIC CARRIER LANDING SYSTEM &gt; Technical Engineering Services</t>
        </is>
      </c>
      <c r="AG464" s="7" t="inlineStr">
        <is>
          <t>88</t>
        </is>
      </c>
      <c r="AH464" s="7" t="inlineStr">
        <is>
          <t>2001</t>
        </is>
      </c>
    </row>
    <row r="465" ht="10" customHeight="1">
      <c r="A465" s="7" t="inlineStr">
        <is>
          <t>SCN</t>
        </is>
      </c>
      <c r="B465" s="7" t="inlineStr">
        <is>
          <t>Procurement</t>
        </is>
      </c>
      <c r="D465" s="7" t="inlineStr">
        <is>
          <t>Carrier Replacement Program - P-35 SPN-46, AUTOMATIC CARRIER LANDING SYSTEM - Other Costs</t>
        </is>
      </c>
      <c r="E465" s="13" t="inlineStr">
        <is>
          <t>[ALT_VIEW]</t>
        </is>
      </c>
      <c r="F465" s="7" t="inlineStr">
        <is>
          <t>2001 / Carrier Replacement Program</t>
        </is>
      </c>
      <c r="G465" s="7" t="inlineStr">
        <is>
          <t>P-35</t>
        </is>
      </c>
      <c r="I465" s="14" t="n">
        <v>1</v>
      </c>
      <c r="J465" s="7" t="inlineStr">
        <is>
          <t>Full ship DD&amp;C</t>
        </is>
      </c>
      <c r="K465" s="13" t="inlineStr">
        <is>
          <t>USN</t>
        </is>
      </c>
      <c r="L465" s="7" t="inlineStr">
        <is>
          <t>Combatant Ships</t>
        </is>
      </c>
      <c r="M465" s="7" t="inlineStr">
        <is>
          <t>Aircraft Carriers</t>
        </is>
      </c>
      <c r="N465" s="7" t="inlineStr">
        <is>
          <t>CVN</t>
        </is>
      </c>
      <c r="O465" s="15" t="n"/>
      <c r="P465" s="16" t="n">
        <v>119</v>
      </c>
      <c r="S465" s="16" t="n">
        <v>208</v>
      </c>
      <c r="U465" s="16" t="n">
        <v>208</v>
      </c>
      <c r="AC465" s="23">
        <f>IF(OR(E465="",E465="[PARENT]"),"ADD",IF(E465="[ALT_VIEW]","ALT",""))</f>
        <v/>
      </c>
      <c r="AD465" s="21">
        <f>IF(Y465&lt;&gt;"",Y465,IF(U465&lt;&gt;"",U465,S465))</f>
        <v/>
      </c>
      <c r="AE465" s="21">
        <f>IF(AB465&lt;&gt;"",AB465,Z465)</f>
        <v/>
      </c>
      <c r="AF465" s="13" t="inlineStr">
        <is>
          <t>P-35 &gt; Carrier Replacement Program &gt; SPN-46, AUTOMATIC CARRIER LANDING SYSTEM &gt; Other Costs</t>
        </is>
      </c>
      <c r="AG465" s="7" t="inlineStr">
        <is>
          <t>88</t>
        </is>
      </c>
      <c r="AH465" s="7" t="inlineStr">
        <is>
          <t>2001</t>
        </is>
      </c>
    </row>
    <row r="466" ht="10" customHeight="1">
      <c r="A466" s="7" t="inlineStr">
        <is>
          <t>SCN</t>
        </is>
      </c>
      <c r="B466" s="7" t="inlineStr">
        <is>
          <t>Procurement</t>
        </is>
      </c>
      <c r="D466" s="7" t="inlineStr">
        <is>
          <t>Carrier Replacement Program - P-35 SHIP SELF DEFENSE SYSTEM (SSDS) - Major Hardware                                                                                                1</t>
        </is>
      </c>
      <c r="E466" s="13" t="inlineStr">
        <is>
          <t>[ALT_VIEW]</t>
        </is>
      </c>
      <c r="F466" s="7" t="inlineStr">
        <is>
          <t>2001 / Carrier Replacement Program</t>
        </is>
      </c>
      <c r="G466" s="7" t="inlineStr">
        <is>
          <t>P-35</t>
        </is>
      </c>
      <c r="I466" s="14" t="n">
        <v>1</v>
      </c>
      <c r="J466" s="7" t="inlineStr">
        <is>
          <t>Full ship DD&amp;C</t>
        </is>
      </c>
      <c r="K466" s="13" t="inlineStr">
        <is>
          <t>USN</t>
        </is>
      </c>
      <c r="L466" s="7" t="inlineStr">
        <is>
          <t>Combatant Ships</t>
        </is>
      </c>
      <c r="M466" s="7" t="inlineStr">
        <is>
          <t>Aircraft Carriers</t>
        </is>
      </c>
      <c r="N466" s="7" t="inlineStr">
        <is>
          <t>CVN</t>
        </is>
      </c>
      <c r="O466" s="15" t="n"/>
      <c r="P466" s="16" t="n">
        <v>11135</v>
      </c>
      <c r="S466" s="16" t="n">
        <v>18900</v>
      </c>
      <c r="U466" s="16" t="n">
        <v>18900</v>
      </c>
      <c r="AC466" s="23">
        <f>IF(OR(E466="",E466="[PARENT]"),"ADD",IF(E466="[ALT_VIEW]","ALT",""))</f>
        <v/>
      </c>
      <c r="AD466" s="21">
        <f>IF(Y466&lt;&gt;"",Y466,IF(U466&lt;&gt;"",U466,S466))</f>
        <v/>
      </c>
      <c r="AE466" s="21">
        <f>IF(AB466&lt;&gt;"",AB466,Z466)</f>
        <v/>
      </c>
      <c r="AF466" s="13" t="inlineStr">
        <is>
          <t>P-35 &gt; Carrier Replacement Program &gt; SHIP SELF DEFENSE SYSTEM (SSDS) &gt; Major Hardware                                                                                                1</t>
        </is>
      </c>
      <c r="AG466" s="7" t="inlineStr">
        <is>
          <t>89</t>
        </is>
      </c>
      <c r="AH466" s="7" t="inlineStr">
        <is>
          <t>2001</t>
        </is>
      </c>
    </row>
    <row r="467" ht="10" customHeight="1">
      <c r="A467" s="7" t="inlineStr">
        <is>
          <t>SCN</t>
        </is>
      </c>
      <c r="B467" s="7" t="inlineStr">
        <is>
          <t>Procurement</t>
        </is>
      </c>
      <c r="D467" s="7" t="inlineStr">
        <is>
          <t>Carrier Replacement Program - P-35 SHIP SELF DEFENSE SYSTEM (SSDS) - Technical Data and Documentation</t>
        </is>
      </c>
      <c r="E467" s="13" t="inlineStr">
        <is>
          <t>[ALT_VIEW]</t>
        </is>
      </c>
      <c r="F467" s="7" t="inlineStr">
        <is>
          <t>2001 / Carrier Replacement Program</t>
        </is>
      </c>
      <c r="G467" s="7" t="inlineStr">
        <is>
          <t>P-35</t>
        </is>
      </c>
      <c r="I467" s="14" t="n">
        <v>1</v>
      </c>
      <c r="J467" s="7" t="inlineStr">
        <is>
          <t>Full ship DD&amp;C</t>
        </is>
      </c>
      <c r="K467" s="13" t="inlineStr">
        <is>
          <t>USN</t>
        </is>
      </c>
      <c r="L467" s="7" t="inlineStr">
        <is>
          <t>Combatant Ships</t>
        </is>
      </c>
      <c r="M467" s="7" t="inlineStr">
        <is>
          <t>Aircraft Carriers</t>
        </is>
      </c>
      <c r="N467" s="7" t="inlineStr">
        <is>
          <t>CVN</t>
        </is>
      </c>
      <c r="O467" s="15" t="n"/>
      <c r="P467" s="16" t="n">
        <v>349</v>
      </c>
      <c r="S467" s="16" t="n">
        <v>1556</v>
      </c>
      <c r="U467" s="16" t="n">
        <v>1556</v>
      </c>
      <c r="AC467" s="23">
        <f>IF(OR(E467="",E467="[PARENT]"),"ADD",IF(E467="[ALT_VIEW]","ALT",""))</f>
        <v/>
      </c>
      <c r="AD467" s="21">
        <f>IF(Y467&lt;&gt;"",Y467,IF(U467&lt;&gt;"",U467,S467))</f>
        <v/>
      </c>
      <c r="AE467" s="21">
        <f>IF(AB467&lt;&gt;"",AB467,Z467)</f>
        <v/>
      </c>
      <c r="AF467" s="13" t="inlineStr">
        <is>
          <t>P-35 &gt; Carrier Replacement Program &gt; SHIP SELF DEFENSE SYSTEM (SSDS) &gt; Technical Data and Documentation</t>
        </is>
      </c>
      <c r="AG467" s="7" t="inlineStr">
        <is>
          <t>89</t>
        </is>
      </c>
      <c r="AH467" s="7" t="inlineStr">
        <is>
          <t>2001</t>
        </is>
      </c>
    </row>
    <row r="468" ht="10" customHeight="1">
      <c r="A468" s="7" t="inlineStr">
        <is>
          <t>SCN</t>
        </is>
      </c>
      <c r="B468" s="7" t="inlineStr">
        <is>
          <t>Procurement</t>
        </is>
      </c>
      <c r="D468" s="7" t="inlineStr">
        <is>
          <t>Carrier Replacement Program - P-35 SHIP SELF DEFENSE SYSTEM (SSDS) - Spares</t>
        </is>
      </c>
      <c r="E468" s="13" t="inlineStr">
        <is>
          <t>[ALT_VIEW]</t>
        </is>
      </c>
      <c r="F468" s="7" t="inlineStr">
        <is>
          <t>2001 / Carrier Replacement Program</t>
        </is>
      </c>
      <c r="G468" s="7" t="inlineStr">
        <is>
          <t>P-35</t>
        </is>
      </c>
      <c r="I468" s="14" t="n">
        <v>1</v>
      </c>
      <c r="J468" s="7" t="inlineStr">
        <is>
          <t>Full ship DD&amp;C</t>
        </is>
      </c>
      <c r="K468" s="13" t="inlineStr">
        <is>
          <t>USN</t>
        </is>
      </c>
      <c r="L468" s="7" t="inlineStr">
        <is>
          <t>Combatant Ships</t>
        </is>
      </c>
      <c r="M468" s="7" t="inlineStr">
        <is>
          <t>Aircraft Carriers</t>
        </is>
      </c>
      <c r="N468" s="7" t="inlineStr">
        <is>
          <t>CVN</t>
        </is>
      </c>
      <c r="O468" s="15" t="n"/>
      <c r="P468" s="16" t="n">
        <v>889</v>
      </c>
      <c r="S468" s="16" t="n">
        <v>644</v>
      </c>
      <c r="U468" s="16" t="n">
        <v>644</v>
      </c>
      <c r="AC468" s="23">
        <f>IF(OR(E468="",E468="[PARENT]"),"ADD",IF(E468="[ALT_VIEW]","ALT",""))</f>
        <v/>
      </c>
      <c r="AD468" s="21">
        <f>IF(Y468&lt;&gt;"",Y468,IF(U468&lt;&gt;"",U468,S468))</f>
        <v/>
      </c>
      <c r="AE468" s="21">
        <f>IF(AB468&lt;&gt;"",AB468,Z468)</f>
        <v/>
      </c>
      <c r="AF468" s="13" t="inlineStr">
        <is>
          <t>P-35 &gt; Carrier Replacement Program &gt; SHIP SELF DEFENSE SYSTEM (SSDS) &gt; Spares</t>
        </is>
      </c>
      <c r="AG468" s="7" t="inlineStr">
        <is>
          <t>89</t>
        </is>
      </c>
      <c r="AH468" s="7" t="inlineStr">
        <is>
          <t>2001</t>
        </is>
      </c>
    </row>
    <row r="469" ht="10" customHeight="1">
      <c r="A469" s="7" t="inlineStr">
        <is>
          <t>SCN</t>
        </is>
      </c>
      <c r="B469" s="7" t="inlineStr">
        <is>
          <t>Procurement</t>
        </is>
      </c>
      <c r="D469" s="7" t="inlineStr">
        <is>
          <t>Carrier Replacement Program - P-35 SHIP SELF DEFENSE SYSTEM (SSDS) - System Engineering</t>
        </is>
      </c>
      <c r="E469" s="13" t="inlineStr">
        <is>
          <t>[ALT_VIEW]</t>
        </is>
      </c>
      <c r="F469" s="7" t="inlineStr">
        <is>
          <t>2001 / Carrier Replacement Program</t>
        </is>
      </c>
      <c r="G469" s="7" t="inlineStr">
        <is>
          <t>P-35</t>
        </is>
      </c>
      <c r="I469" s="14" t="n">
        <v>1</v>
      </c>
      <c r="J469" s="7" t="inlineStr">
        <is>
          <t>Full ship DD&amp;C</t>
        </is>
      </c>
      <c r="K469" s="13" t="inlineStr">
        <is>
          <t>USN</t>
        </is>
      </c>
      <c r="L469" s="7" t="inlineStr">
        <is>
          <t>Combatant Ships</t>
        </is>
      </c>
      <c r="M469" s="7" t="inlineStr">
        <is>
          <t>Aircraft Carriers</t>
        </is>
      </c>
      <c r="N469" s="7" t="inlineStr">
        <is>
          <t>CVN</t>
        </is>
      </c>
      <c r="O469" s="15" t="n"/>
      <c r="P469" s="16" t="n">
        <v>3053</v>
      </c>
      <c r="S469" s="16" t="n">
        <v>7467</v>
      </c>
      <c r="U469" s="16" t="n">
        <v>7467</v>
      </c>
      <c r="AC469" s="23">
        <f>IF(OR(E469="",E469="[PARENT]"),"ADD",IF(E469="[ALT_VIEW]","ALT",""))</f>
        <v/>
      </c>
      <c r="AD469" s="21">
        <f>IF(Y469&lt;&gt;"",Y469,IF(U469&lt;&gt;"",U469,S469))</f>
        <v/>
      </c>
      <c r="AE469" s="21">
        <f>IF(AB469&lt;&gt;"",AB469,Z469)</f>
        <v/>
      </c>
      <c r="AF469" s="13" t="inlineStr">
        <is>
          <t>P-35 &gt; Carrier Replacement Program &gt; SHIP SELF DEFENSE SYSTEM (SSDS) &gt; System Engineering</t>
        </is>
      </c>
      <c r="AG469" s="7" t="inlineStr">
        <is>
          <t>89</t>
        </is>
      </c>
      <c r="AH469" s="7" t="inlineStr">
        <is>
          <t>2001</t>
        </is>
      </c>
    </row>
    <row r="470" ht="10" customHeight="1">
      <c r="A470" s="7" t="inlineStr">
        <is>
          <t>SCN</t>
        </is>
      </c>
      <c r="B470" s="7" t="inlineStr">
        <is>
          <t>Procurement</t>
        </is>
      </c>
      <c r="D470" s="7" t="inlineStr">
        <is>
          <t>Carrier Replacement Program - P-35 SHIP SELF DEFENSE SYSTEM (SSDS) - Technical Engineering Services</t>
        </is>
      </c>
      <c r="E470" s="13" t="inlineStr">
        <is>
          <t>[ALT_VIEW]</t>
        </is>
      </c>
      <c r="F470" s="7" t="inlineStr">
        <is>
          <t>2001 / Carrier Replacement Program</t>
        </is>
      </c>
      <c r="G470" s="7" t="inlineStr">
        <is>
          <t>P-35</t>
        </is>
      </c>
      <c r="I470" s="14" t="n">
        <v>1</v>
      </c>
      <c r="J470" s="7" t="inlineStr">
        <is>
          <t>Full ship DD&amp;C</t>
        </is>
      </c>
      <c r="K470" s="13" t="inlineStr">
        <is>
          <t>USN</t>
        </is>
      </c>
      <c r="L470" s="7" t="inlineStr">
        <is>
          <t>Combatant Ships</t>
        </is>
      </c>
      <c r="M470" s="7" t="inlineStr">
        <is>
          <t>Aircraft Carriers</t>
        </is>
      </c>
      <c r="N470" s="7" t="inlineStr">
        <is>
          <t>CVN</t>
        </is>
      </c>
      <c r="O470" s="15" t="n"/>
      <c r="P470" s="16" t="n">
        <v>1168</v>
      </c>
      <c r="S470" s="16" t="n">
        <v>2792</v>
      </c>
      <c r="U470" s="16" t="n">
        <v>2792</v>
      </c>
      <c r="AC470" s="23">
        <f>IF(OR(E470="",E470="[PARENT]"),"ADD",IF(E470="[ALT_VIEW]","ALT",""))</f>
        <v/>
      </c>
      <c r="AD470" s="21">
        <f>IF(Y470&lt;&gt;"",Y470,IF(U470&lt;&gt;"",U470,S470))</f>
        <v/>
      </c>
      <c r="AE470" s="21">
        <f>IF(AB470&lt;&gt;"",AB470,Z470)</f>
        <v/>
      </c>
      <c r="AF470" s="13" t="inlineStr">
        <is>
          <t>P-35 &gt; Carrier Replacement Program &gt; SHIP SELF DEFENSE SYSTEM (SSDS) &gt; Technical Engineering Services</t>
        </is>
      </c>
      <c r="AG470" s="7" t="inlineStr">
        <is>
          <t>89</t>
        </is>
      </c>
      <c r="AH470" s="7" t="inlineStr">
        <is>
          <t>2001</t>
        </is>
      </c>
    </row>
    <row r="471" ht="10" customHeight="1">
      <c r="A471" s="7" t="inlineStr">
        <is>
          <t>SCN</t>
        </is>
      </c>
      <c r="B471" s="7" t="inlineStr">
        <is>
          <t>Procurement</t>
        </is>
      </c>
      <c r="D471" s="7" t="inlineStr">
        <is>
          <t>Carrier Replacement Program - P-35 SHIP SELF DEFENSE SYSTEM (SSDS) - Other Costs</t>
        </is>
      </c>
      <c r="E471" s="13" t="inlineStr">
        <is>
          <t>[ALT_VIEW]</t>
        </is>
      </c>
      <c r="F471" s="7" t="inlineStr">
        <is>
          <t>2001 / Carrier Replacement Program</t>
        </is>
      </c>
      <c r="G471" s="7" t="inlineStr">
        <is>
          <t>P-35</t>
        </is>
      </c>
      <c r="I471" s="14" t="n">
        <v>1</v>
      </c>
      <c r="J471" s="7" t="inlineStr">
        <is>
          <t>Full ship DD&amp;C</t>
        </is>
      </c>
      <c r="K471" s="13" t="inlineStr">
        <is>
          <t>USN</t>
        </is>
      </c>
      <c r="L471" s="7" t="inlineStr">
        <is>
          <t>Combatant Ships</t>
        </is>
      </c>
      <c r="M471" s="7" t="inlineStr">
        <is>
          <t>Aircraft Carriers</t>
        </is>
      </c>
      <c r="N471" s="7" t="inlineStr">
        <is>
          <t>CVN</t>
        </is>
      </c>
      <c r="O471" s="15" t="n"/>
      <c r="P471" s="16" t="n">
        <v>7843</v>
      </c>
      <c r="S471" s="16" t="n">
        <v>11847</v>
      </c>
      <c r="U471" s="16" t="n">
        <v>11847</v>
      </c>
      <c r="AC471" s="23">
        <f>IF(OR(E471="",E471="[PARENT]"),"ADD",IF(E471="[ALT_VIEW]","ALT",""))</f>
        <v/>
      </c>
      <c r="AD471" s="21">
        <f>IF(Y471&lt;&gt;"",Y471,IF(U471&lt;&gt;"",U471,S471))</f>
        <v/>
      </c>
      <c r="AE471" s="21">
        <f>IF(AB471&lt;&gt;"",AB471,Z471)</f>
        <v/>
      </c>
      <c r="AF471" s="13" t="inlineStr">
        <is>
          <t>P-35 &gt; Carrier Replacement Program &gt; SHIP SELF DEFENSE SYSTEM (SSDS) &gt; Other Costs</t>
        </is>
      </c>
      <c r="AG471" s="7" t="inlineStr">
        <is>
          <t>89</t>
        </is>
      </c>
      <c r="AH471" s="7" t="inlineStr">
        <is>
          <t>2001</t>
        </is>
      </c>
    </row>
    <row r="472" ht="10" customHeight="1">
      <c r="A472" s="7" t="inlineStr">
        <is>
          <t>SCN</t>
        </is>
      </c>
      <c r="B472" s="7" t="inlineStr">
        <is>
          <t>Procurement</t>
        </is>
      </c>
      <c r="D472" s="7" t="inlineStr">
        <is>
          <t>Carrier Replacement Program - P-35 AN/SYY-1(V)1 AIR TRAFFIC CONTROL SYSTEM, SHIPBOARD - Major Hardware                                                                                                  1</t>
        </is>
      </c>
      <c r="E472" s="13" t="inlineStr">
        <is>
          <t>[ALT_VIEW]</t>
        </is>
      </c>
      <c r="F472" s="7" t="inlineStr">
        <is>
          <t>2001 / Carrier Replacement Program</t>
        </is>
      </c>
      <c r="G472" s="7" t="inlineStr">
        <is>
          <t>P-35</t>
        </is>
      </c>
      <c r="I472" s="14" t="n">
        <v>1</v>
      </c>
      <c r="J472" s="7" t="inlineStr">
        <is>
          <t>Full ship DD&amp;C</t>
        </is>
      </c>
      <c r="K472" s="13" t="inlineStr">
        <is>
          <t>USN</t>
        </is>
      </c>
      <c r="L472" s="7" t="inlineStr">
        <is>
          <t>Combatant Ships</t>
        </is>
      </c>
      <c r="M472" s="7" t="inlineStr">
        <is>
          <t>Aircraft Carriers</t>
        </is>
      </c>
      <c r="N472" s="7" t="inlineStr">
        <is>
          <t>CVN</t>
        </is>
      </c>
      <c r="O472" s="15" t="n"/>
      <c r="P472" s="16" t="n">
        <v>2863</v>
      </c>
      <c r="S472" s="16" t="n">
        <v>3057</v>
      </c>
      <c r="U472" s="16" t="n">
        <v>3057</v>
      </c>
      <c r="AC472" s="23">
        <f>IF(OR(E472="",E472="[PARENT]"),"ADD",IF(E472="[ALT_VIEW]","ALT",""))</f>
        <v/>
      </c>
      <c r="AD472" s="21">
        <f>IF(Y472&lt;&gt;"",Y472,IF(U472&lt;&gt;"",U472,S472))</f>
        <v/>
      </c>
      <c r="AE472" s="21">
        <f>IF(AB472&lt;&gt;"",AB472,Z472)</f>
        <v/>
      </c>
      <c r="AF472" s="13" t="inlineStr">
        <is>
          <t>P-35 &gt; Carrier Replacement Program &gt; AN/SYY-1(V)1 AIR TRAFFIC CONTROL SYSTEM, SHIPBOARD &gt; Major Hardware                                                                                                  1</t>
        </is>
      </c>
      <c r="AG472" s="7" t="inlineStr">
        <is>
          <t>90</t>
        </is>
      </c>
      <c r="AH472" s="7" t="inlineStr">
        <is>
          <t>2001</t>
        </is>
      </c>
    </row>
    <row r="473" ht="10" customHeight="1">
      <c r="A473" s="7" t="inlineStr">
        <is>
          <t>SCN</t>
        </is>
      </c>
      <c r="B473" s="7" t="inlineStr">
        <is>
          <t>Procurement</t>
        </is>
      </c>
      <c r="D473" s="7" t="inlineStr">
        <is>
          <t>Carrier Replacement Program - P-35 AN/SYY-1(V)1 AIR TRAFFIC CONTROL SYSTEM, SHIPBOARD - Spares</t>
        </is>
      </c>
      <c r="E473" s="13" t="inlineStr">
        <is>
          <t>[ALT_VIEW]</t>
        </is>
      </c>
      <c r="F473" s="7" t="inlineStr">
        <is>
          <t>2001 / Carrier Replacement Program</t>
        </is>
      </c>
      <c r="G473" s="7" t="inlineStr">
        <is>
          <t>P-35</t>
        </is>
      </c>
      <c r="I473" s="14" t="n">
        <v>1</v>
      </c>
      <c r="J473" s="7" t="inlineStr">
        <is>
          <t>Full ship DD&amp;C</t>
        </is>
      </c>
      <c r="K473" s="13" t="inlineStr">
        <is>
          <t>USN</t>
        </is>
      </c>
      <c r="L473" s="7" t="inlineStr">
        <is>
          <t>Combatant Ships</t>
        </is>
      </c>
      <c r="M473" s="7" t="inlineStr">
        <is>
          <t>Aircraft Carriers</t>
        </is>
      </c>
      <c r="N473" s="7" t="inlineStr">
        <is>
          <t>CVN</t>
        </is>
      </c>
      <c r="O473" s="15" t="n"/>
      <c r="P473" s="16" t="n">
        <v>221</v>
      </c>
      <c r="S473" s="16" t="n">
        <v>68</v>
      </c>
      <c r="U473" s="16" t="n">
        <v>68</v>
      </c>
      <c r="AC473" s="23">
        <f>IF(OR(E473="",E473="[PARENT]"),"ADD",IF(E473="[ALT_VIEW]","ALT",""))</f>
        <v/>
      </c>
      <c r="AD473" s="21">
        <f>IF(Y473&lt;&gt;"",Y473,IF(U473&lt;&gt;"",U473,S473))</f>
        <v/>
      </c>
      <c r="AE473" s="21">
        <f>IF(AB473&lt;&gt;"",AB473,Z473)</f>
        <v/>
      </c>
      <c r="AF473" s="13" t="inlineStr">
        <is>
          <t>P-35 &gt; Carrier Replacement Program &gt; AN/SYY-1(V)1 AIR TRAFFIC CONTROL SYSTEM, SHIPBOARD &gt; Spares</t>
        </is>
      </c>
      <c r="AG473" s="7" t="inlineStr">
        <is>
          <t>90</t>
        </is>
      </c>
      <c r="AH473" s="7" t="inlineStr">
        <is>
          <t>2001</t>
        </is>
      </c>
    </row>
    <row r="474" ht="10" customHeight="1">
      <c r="A474" s="7" t="inlineStr">
        <is>
          <t>SCN</t>
        </is>
      </c>
      <c r="B474" s="7" t="inlineStr">
        <is>
          <t>Procurement</t>
        </is>
      </c>
      <c r="D474" s="7" t="inlineStr">
        <is>
          <t>Carrier Replacement Program - P-35 AN/SYY-1(V)1 AIR TRAFFIC CONTROL SYSTEM, SHIPBOARD - System Engineering</t>
        </is>
      </c>
      <c r="E474" s="13" t="inlineStr">
        <is>
          <t>[ALT_VIEW]</t>
        </is>
      </c>
      <c r="F474" s="7" t="inlineStr">
        <is>
          <t>2001 / Carrier Replacement Program</t>
        </is>
      </c>
      <c r="G474" s="7" t="inlineStr">
        <is>
          <t>P-35</t>
        </is>
      </c>
      <c r="I474" s="14" t="n">
        <v>1</v>
      </c>
      <c r="J474" s="7" t="inlineStr">
        <is>
          <t>Full ship DD&amp;C</t>
        </is>
      </c>
      <c r="K474" s="13" t="inlineStr">
        <is>
          <t>USN</t>
        </is>
      </c>
      <c r="L474" s="7" t="inlineStr">
        <is>
          <t>Combatant Ships</t>
        </is>
      </c>
      <c r="M474" s="7" t="inlineStr">
        <is>
          <t>Aircraft Carriers</t>
        </is>
      </c>
      <c r="N474" s="7" t="inlineStr">
        <is>
          <t>CVN</t>
        </is>
      </c>
      <c r="O474" s="15" t="n"/>
      <c r="P474" s="16" t="n">
        <v>612</v>
      </c>
      <c r="S474" s="16" t="n">
        <v>571</v>
      </c>
      <c r="U474" s="16" t="n">
        <v>571</v>
      </c>
      <c r="AC474" s="23">
        <f>IF(OR(E474="",E474="[PARENT]"),"ADD",IF(E474="[ALT_VIEW]","ALT",""))</f>
        <v/>
      </c>
      <c r="AD474" s="21">
        <f>IF(Y474&lt;&gt;"",Y474,IF(U474&lt;&gt;"",U474,S474))</f>
        <v/>
      </c>
      <c r="AE474" s="21">
        <f>IF(AB474&lt;&gt;"",AB474,Z474)</f>
        <v/>
      </c>
      <c r="AF474" s="13" t="inlineStr">
        <is>
          <t>P-35 &gt; Carrier Replacement Program &gt; AN/SYY-1(V)1 AIR TRAFFIC CONTROL SYSTEM, SHIPBOARD &gt; System Engineering</t>
        </is>
      </c>
      <c r="AG474" s="7" t="inlineStr">
        <is>
          <t>90</t>
        </is>
      </c>
      <c r="AH474" s="7" t="inlineStr">
        <is>
          <t>2001</t>
        </is>
      </c>
    </row>
    <row r="475" ht="10" customHeight="1">
      <c r="A475" s="7" t="inlineStr">
        <is>
          <t>SCN</t>
        </is>
      </c>
      <c r="B475" s="7" t="inlineStr">
        <is>
          <t>Procurement</t>
        </is>
      </c>
      <c r="D475" s="7" t="inlineStr">
        <is>
          <t>Carrier Replacement Program - P-35 AN/SYY-1(V)1 AIR TRAFFIC CONTROL SYSTEM, SHIPBOARD - Technical Engineering Services</t>
        </is>
      </c>
      <c r="E475" s="13" t="inlineStr">
        <is>
          <t>[ALT_VIEW]</t>
        </is>
      </c>
      <c r="F475" s="7" t="inlineStr">
        <is>
          <t>2001 / Carrier Replacement Program</t>
        </is>
      </c>
      <c r="G475" s="7" t="inlineStr">
        <is>
          <t>P-35</t>
        </is>
      </c>
      <c r="I475" s="14" t="n">
        <v>1</v>
      </c>
      <c r="J475" s="7" t="inlineStr">
        <is>
          <t>Full ship DD&amp;C</t>
        </is>
      </c>
      <c r="K475" s="13" t="inlineStr">
        <is>
          <t>USN</t>
        </is>
      </c>
      <c r="L475" s="7" t="inlineStr">
        <is>
          <t>Combatant Ships</t>
        </is>
      </c>
      <c r="M475" s="7" t="inlineStr">
        <is>
          <t>Aircraft Carriers</t>
        </is>
      </c>
      <c r="N475" s="7" t="inlineStr">
        <is>
          <t>CVN</t>
        </is>
      </c>
      <c r="O475" s="15" t="n"/>
      <c r="P475" s="16" t="n">
        <v>249</v>
      </c>
      <c r="S475" s="16" t="n">
        <v>730</v>
      </c>
      <c r="U475" s="16" t="n">
        <v>730</v>
      </c>
      <c r="AC475" s="23">
        <f>IF(OR(E475="",E475="[PARENT]"),"ADD",IF(E475="[ALT_VIEW]","ALT",""))</f>
        <v/>
      </c>
      <c r="AD475" s="21">
        <f>IF(Y475&lt;&gt;"",Y475,IF(U475&lt;&gt;"",U475,S475))</f>
        <v/>
      </c>
      <c r="AE475" s="21">
        <f>IF(AB475&lt;&gt;"",AB475,Z475)</f>
        <v/>
      </c>
      <c r="AF475" s="13" t="inlineStr">
        <is>
          <t>P-35 &gt; Carrier Replacement Program &gt; AN/SYY-1(V)1 AIR TRAFFIC CONTROL SYSTEM, SHIPBOARD &gt; Technical Engineering Services</t>
        </is>
      </c>
      <c r="AG475" s="7" t="inlineStr">
        <is>
          <t>90</t>
        </is>
      </c>
      <c r="AH475" s="7" t="inlineStr">
        <is>
          <t>2001</t>
        </is>
      </c>
    </row>
    <row r="476" ht="10" customHeight="1">
      <c r="A476" s="7" t="inlineStr">
        <is>
          <t>SCN</t>
        </is>
      </c>
      <c r="B476" s="7" t="inlineStr">
        <is>
          <t>Procurement</t>
        </is>
      </c>
      <c r="D476" s="7" t="inlineStr">
        <is>
          <t>Carrier Replacement Program - P-35 AN/SYY-1(V)1 AIR TRAFFIC CONTROL SYSTEM, SHIPBOARD - Other Costs</t>
        </is>
      </c>
      <c r="E476" s="13" t="inlineStr">
        <is>
          <t>[ALT_VIEW]</t>
        </is>
      </c>
      <c r="F476" s="7" t="inlineStr">
        <is>
          <t>2001 / Carrier Replacement Program</t>
        </is>
      </c>
      <c r="G476" s="7" t="inlineStr">
        <is>
          <t>P-35</t>
        </is>
      </c>
      <c r="I476" s="14" t="n">
        <v>1</v>
      </c>
      <c r="J476" s="7" t="inlineStr">
        <is>
          <t>Full ship DD&amp;C</t>
        </is>
      </c>
      <c r="K476" s="13" t="inlineStr">
        <is>
          <t>USN</t>
        </is>
      </c>
      <c r="L476" s="7" t="inlineStr">
        <is>
          <t>Combatant Ships</t>
        </is>
      </c>
      <c r="M476" s="7" t="inlineStr">
        <is>
          <t>Aircraft Carriers</t>
        </is>
      </c>
      <c r="N476" s="7" t="inlineStr">
        <is>
          <t>CVN</t>
        </is>
      </c>
      <c r="O476" s="15" t="n"/>
      <c r="P476" s="16" t="n">
        <v>339</v>
      </c>
      <c r="S476" s="16" t="n">
        <v>743</v>
      </c>
      <c r="U476" s="16" t="n">
        <v>743</v>
      </c>
      <c r="AC476" s="23">
        <f>IF(OR(E476="",E476="[PARENT]"),"ADD",IF(E476="[ALT_VIEW]","ALT",""))</f>
        <v/>
      </c>
      <c r="AD476" s="21">
        <f>IF(Y476&lt;&gt;"",Y476,IF(U476&lt;&gt;"",U476,S476))</f>
        <v/>
      </c>
      <c r="AE476" s="21">
        <f>IF(AB476&lt;&gt;"",AB476,Z476)</f>
        <v/>
      </c>
      <c r="AF476" s="13" t="inlineStr">
        <is>
          <t>P-35 &gt; Carrier Replacement Program &gt; AN/SYY-1(V)1 AIR TRAFFIC CONTROL SYSTEM, SHIPBOARD &gt; Other Costs</t>
        </is>
      </c>
      <c r="AG476" s="7" t="inlineStr">
        <is>
          <t>90</t>
        </is>
      </c>
      <c r="AH476" s="7" t="inlineStr">
        <is>
          <t>2001</t>
        </is>
      </c>
    </row>
    <row r="477" ht="10" customHeight="1">
      <c r="A477" s="7" t="inlineStr">
        <is>
          <t>SCN</t>
        </is>
      </c>
      <c r="B477" s="7" t="inlineStr">
        <is>
          <t>Procurement</t>
        </is>
      </c>
      <c r="D477" s="7" t="inlineStr">
        <is>
          <t>Carrier Replacement Program - P-35 NAVY MULTI-BAND TERMINAL (NMT) - Major Hardware                                                                                               1</t>
        </is>
      </c>
      <c r="E477" s="13" t="inlineStr">
        <is>
          <t>[ALT_VIEW]</t>
        </is>
      </c>
      <c r="F477" s="7" t="inlineStr">
        <is>
          <t>2001 / Carrier Replacement Program</t>
        </is>
      </c>
      <c r="G477" s="7" t="inlineStr">
        <is>
          <t>P-35</t>
        </is>
      </c>
      <c r="I477" s="14" t="n">
        <v>1</v>
      </c>
      <c r="J477" s="7" t="inlineStr">
        <is>
          <t>Full ship DD&amp;C</t>
        </is>
      </c>
      <c r="K477" s="13" t="inlineStr">
        <is>
          <t>USN</t>
        </is>
      </c>
      <c r="L477" s="7" t="inlineStr">
        <is>
          <t>Combatant Ships</t>
        </is>
      </c>
      <c r="M477" s="7" t="inlineStr">
        <is>
          <t>Aircraft Carriers</t>
        </is>
      </c>
      <c r="N477" s="7" t="inlineStr">
        <is>
          <t>CVN</t>
        </is>
      </c>
      <c r="O477" s="15" t="n"/>
      <c r="P477" s="16" t="n">
        <v>5091</v>
      </c>
      <c r="S477" s="16" t="n">
        <v>7822</v>
      </c>
      <c r="U477" s="16" t="n">
        <v>7822</v>
      </c>
      <c r="AC477" s="23">
        <f>IF(OR(E477="",E477="[PARENT]"),"ADD",IF(E477="[ALT_VIEW]","ALT",""))</f>
        <v/>
      </c>
      <c r="AD477" s="21">
        <f>IF(Y477&lt;&gt;"",Y477,IF(U477&lt;&gt;"",U477,S477))</f>
        <v/>
      </c>
      <c r="AE477" s="21">
        <f>IF(AB477&lt;&gt;"",AB477,Z477)</f>
        <v/>
      </c>
      <c r="AF477" s="13" t="inlineStr">
        <is>
          <t>P-35 &gt; Carrier Replacement Program &gt; NAVY MULTI-BAND TERMINAL (NMT) &gt; Major Hardware                                                                                               1</t>
        </is>
      </c>
      <c r="AG477" s="7" t="inlineStr">
        <is>
          <t>91</t>
        </is>
      </c>
      <c r="AH477" s="7" t="inlineStr">
        <is>
          <t>2001</t>
        </is>
      </c>
    </row>
    <row r="478" ht="10" customHeight="1">
      <c r="A478" s="7" t="inlineStr">
        <is>
          <t>SCN</t>
        </is>
      </c>
      <c r="B478" s="7" t="inlineStr">
        <is>
          <t>Procurement</t>
        </is>
      </c>
      <c r="D478" s="7" t="inlineStr">
        <is>
          <t>Carrier Replacement Program - P-35 NAVY MULTI-BAND TERMINAL (NMT) - Ancillary Equipment</t>
        </is>
      </c>
      <c r="E478" s="13" t="inlineStr">
        <is>
          <t>[ALT_VIEW]</t>
        </is>
      </c>
      <c r="F478" s="7" t="inlineStr">
        <is>
          <t>2001 / Carrier Replacement Program</t>
        </is>
      </c>
      <c r="G478" s="7" t="inlineStr">
        <is>
          <t>P-35</t>
        </is>
      </c>
      <c r="I478" s="14" t="n">
        <v>1</v>
      </c>
      <c r="J478" s="7" t="inlineStr">
        <is>
          <t>Full ship DD&amp;C</t>
        </is>
      </c>
      <c r="K478" s="13" t="inlineStr">
        <is>
          <t>USN</t>
        </is>
      </c>
      <c r="L478" s="7" t="inlineStr">
        <is>
          <t>Combatant Ships</t>
        </is>
      </c>
      <c r="M478" s="7" t="inlineStr">
        <is>
          <t>Aircraft Carriers</t>
        </is>
      </c>
      <c r="N478" s="7" t="inlineStr">
        <is>
          <t>CVN</t>
        </is>
      </c>
      <c r="O478" s="15" t="n"/>
      <c r="S478" s="16" t="n">
        <v>5</v>
      </c>
      <c r="U478" s="16" t="n">
        <v>5</v>
      </c>
      <c r="AC478" s="23">
        <f>IF(OR(E478="",E478="[PARENT]"),"ADD",IF(E478="[ALT_VIEW]","ALT",""))</f>
        <v/>
      </c>
      <c r="AD478" s="21">
        <f>IF(Y478&lt;&gt;"",Y478,IF(U478&lt;&gt;"",U478,S478))</f>
        <v/>
      </c>
      <c r="AE478" s="21">
        <f>IF(AB478&lt;&gt;"",AB478,Z478)</f>
        <v/>
      </c>
      <c r="AF478" s="13" t="inlineStr">
        <is>
          <t>P-35 &gt; Carrier Replacement Program &gt; NAVY MULTI-BAND TERMINAL (NMT) &gt; Ancillary Equipment</t>
        </is>
      </c>
      <c r="AG478" s="7" t="inlineStr">
        <is>
          <t>91</t>
        </is>
      </c>
      <c r="AH478" s="7" t="inlineStr">
        <is>
          <t>2001</t>
        </is>
      </c>
    </row>
    <row r="479" ht="10" customHeight="1">
      <c r="A479" s="7" t="inlineStr">
        <is>
          <t>SCN</t>
        </is>
      </c>
      <c r="B479" s="7" t="inlineStr">
        <is>
          <t>Procurement</t>
        </is>
      </c>
      <c r="D479" s="7" t="inlineStr">
        <is>
          <t>Carrier Replacement Program - P-35 NAVY MULTI-BAND TERMINAL (NMT) - Spares                                                                                                                                      -</t>
        </is>
      </c>
      <c r="E479" s="13" t="inlineStr">
        <is>
          <t>[ALT_VIEW]</t>
        </is>
      </c>
      <c r="F479" s="7" t="inlineStr">
        <is>
          <t>2001 / Carrier Replacement Program</t>
        </is>
      </c>
      <c r="G479" s="7" t="inlineStr">
        <is>
          <t>P-35</t>
        </is>
      </c>
      <c r="I479" s="14" t="n">
        <v>1</v>
      </c>
      <c r="J479" s="7" t="inlineStr">
        <is>
          <t>Full ship DD&amp;C</t>
        </is>
      </c>
      <c r="K479" s="13" t="inlineStr">
        <is>
          <t>USN</t>
        </is>
      </c>
      <c r="L479" s="7" t="inlineStr">
        <is>
          <t>Combatant Ships</t>
        </is>
      </c>
      <c r="M479" s="7" t="inlineStr">
        <is>
          <t>Aircraft Carriers</t>
        </is>
      </c>
      <c r="N479" s="7" t="inlineStr">
        <is>
          <t>CVN</t>
        </is>
      </c>
      <c r="O479" s="15" t="n"/>
      <c r="S479" s="16" t="n">
        <v>263</v>
      </c>
      <c r="U479" s="16" t="n">
        <v>263</v>
      </c>
      <c r="AC479" s="23">
        <f>IF(OR(E479="",E479="[PARENT]"),"ADD",IF(E479="[ALT_VIEW]","ALT",""))</f>
        <v/>
      </c>
      <c r="AD479" s="21">
        <f>IF(Y479&lt;&gt;"",Y479,IF(U479&lt;&gt;"",U479,S479))</f>
        <v/>
      </c>
      <c r="AE479" s="21">
        <f>IF(AB479&lt;&gt;"",AB479,Z479)</f>
        <v/>
      </c>
      <c r="AF479" s="13" t="inlineStr">
        <is>
          <t>P-35 &gt; Carrier Replacement Program &gt; NAVY MULTI-BAND TERMINAL (NMT) &gt; Spares                                                                                                                                      -</t>
        </is>
      </c>
      <c r="AG479" s="7" t="inlineStr">
        <is>
          <t>91</t>
        </is>
      </c>
      <c r="AH479" s="7" t="inlineStr">
        <is>
          <t>2001</t>
        </is>
      </c>
    </row>
    <row r="480" ht="10" customHeight="1">
      <c r="A480" s="7" t="inlineStr">
        <is>
          <t>SCN</t>
        </is>
      </c>
      <c r="B480" s="7" t="inlineStr">
        <is>
          <t>Procurement</t>
        </is>
      </c>
      <c r="D480" s="7" t="inlineStr">
        <is>
          <t>Carrier Replacement Program - P-35 NAVY MULTI-BAND TERMINAL (NMT) - System Engineering</t>
        </is>
      </c>
      <c r="E480" s="13" t="inlineStr">
        <is>
          <t>[ALT_VIEW]</t>
        </is>
      </c>
      <c r="F480" s="7" t="inlineStr">
        <is>
          <t>2001 / Carrier Replacement Program</t>
        </is>
      </c>
      <c r="G480" s="7" t="inlineStr">
        <is>
          <t>P-35</t>
        </is>
      </c>
      <c r="I480" s="14" t="n">
        <v>1</v>
      </c>
      <c r="J480" s="7" t="inlineStr">
        <is>
          <t>Full ship DD&amp;C</t>
        </is>
      </c>
      <c r="K480" s="13" t="inlineStr">
        <is>
          <t>USN</t>
        </is>
      </c>
      <c r="L480" s="7" t="inlineStr">
        <is>
          <t>Combatant Ships</t>
        </is>
      </c>
      <c r="M480" s="7" t="inlineStr">
        <is>
          <t>Aircraft Carriers</t>
        </is>
      </c>
      <c r="N480" s="7" t="inlineStr">
        <is>
          <t>CVN</t>
        </is>
      </c>
      <c r="O480" s="15" t="n"/>
      <c r="P480" s="16" t="n">
        <v>42</v>
      </c>
      <c r="S480" s="16" t="n">
        <v>60</v>
      </c>
      <c r="U480" s="16" t="n">
        <v>60</v>
      </c>
      <c r="AC480" s="23">
        <f>IF(OR(E480="",E480="[PARENT]"),"ADD",IF(E480="[ALT_VIEW]","ALT",""))</f>
        <v/>
      </c>
      <c r="AD480" s="21">
        <f>IF(Y480&lt;&gt;"",Y480,IF(U480&lt;&gt;"",U480,S480))</f>
        <v/>
      </c>
      <c r="AE480" s="21">
        <f>IF(AB480&lt;&gt;"",AB480,Z480)</f>
        <v/>
      </c>
      <c r="AF480" s="13" t="inlineStr">
        <is>
          <t>P-35 &gt; Carrier Replacement Program &gt; NAVY MULTI-BAND TERMINAL (NMT) &gt; System Engineering</t>
        </is>
      </c>
      <c r="AG480" s="7" t="inlineStr">
        <is>
          <t>91</t>
        </is>
      </c>
      <c r="AH480" s="7" t="inlineStr">
        <is>
          <t>2001</t>
        </is>
      </c>
    </row>
    <row r="481" ht="10" customHeight="1">
      <c r="A481" s="7" t="inlineStr">
        <is>
          <t>SCN</t>
        </is>
      </c>
      <c r="B481" s="7" t="inlineStr">
        <is>
          <t>Procurement</t>
        </is>
      </c>
      <c r="D481" s="7" t="inlineStr">
        <is>
          <t>Carrier Replacement Program - P-35 NAVY MULTI-BAND TERMINAL (NMT) - Technical Engineering Services</t>
        </is>
      </c>
      <c r="E481" s="13" t="inlineStr">
        <is>
          <t>[ALT_VIEW]</t>
        </is>
      </c>
      <c r="F481" s="7" t="inlineStr">
        <is>
          <t>2001 / Carrier Replacement Program</t>
        </is>
      </c>
      <c r="G481" s="7" t="inlineStr">
        <is>
          <t>P-35</t>
        </is>
      </c>
      <c r="I481" s="14" t="n">
        <v>1</v>
      </c>
      <c r="J481" s="7" t="inlineStr">
        <is>
          <t>Full ship DD&amp;C</t>
        </is>
      </c>
      <c r="K481" s="13" t="inlineStr">
        <is>
          <t>USN</t>
        </is>
      </c>
      <c r="L481" s="7" t="inlineStr">
        <is>
          <t>Combatant Ships</t>
        </is>
      </c>
      <c r="M481" s="7" t="inlineStr">
        <is>
          <t>Aircraft Carriers</t>
        </is>
      </c>
      <c r="N481" s="7" t="inlineStr">
        <is>
          <t>CVN</t>
        </is>
      </c>
      <c r="O481" s="15" t="n"/>
      <c r="P481" s="16" t="n">
        <v>29</v>
      </c>
      <c r="S481" s="16" t="n">
        <v>87</v>
      </c>
      <c r="U481" s="16" t="n">
        <v>87</v>
      </c>
      <c r="AC481" s="23">
        <f>IF(OR(E481="",E481="[PARENT]"),"ADD",IF(E481="[ALT_VIEW]","ALT",""))</f>
        <v/>
      </c>
      <c r="AD481" s="21">
        <f>IF(Y481&lt;&gt;"",Y481,IF(U481&lt;&gt;"",U481,S481))</f>
        <v/>
      </c>
      <c r="AE481" s="21">
        <f>IF(AB481&lt;&gt;"",AB481,Z481)</f>
        <v/>
      </c>
      <c r="AF481" s="13" t="inlineStr">
        <is>
          <t>P-35 &gt; Carrier Replacement Program &gt; NAVY MULTI-BAND TERMINAL (NMT) &gt; Technical Engineering Services</t>
        </is>
      </c>
      <c r="AG481" s="7" t="inlineStr">
        <is>
          <t>91</t>
        </is>
      </c>
      <c r="AH481" s="7" t="inlineStr">
        <is>
          <t>2001</t>
        </is>
      </c>
    </row>
    <row r="482" ht="10" customHeight="1">
      <c r="A482" s="7" t="inlineStr">
        <is>
          <t>SCN</t>
        </is>
      </c>
      <c r="B482" s="7" t="inlineStr">
        <is>
          <t>Procurement</t>
        </is>
      </c>
      <c r="D482" s="7" t="inlineStr">
        <is>
          <t>Carrier Replacement Program - P-35 NAVY MULTI-BAND TERMINAL (NMT) - Other Costs</t>
        </is>
      </c>
      <c r="E482" s="13" t="inlineStr">
        <is>
          <t>[ALT_VIEW]</t>
        </is>
      </c>
      <c r="F482" s="7" t="inlineStr">
        <is>
          <t>2001 / Carrier Replacement Program</t>
        </is>
      </c>
      <c r="G482" s="7" t="inlineStr">
        <is>
          <t>P-35</t>
        </is>
      </c>
      <c r="I482" s="14" t="n">
        <v>1</v>
      </c>
      <c r="J482" s="7" t="inlineStr">
        <is>
          <t>Full ship DD&amp;C</t>
        </is>
      </c>
      <c r="K482" s="13" t="inlineStr">
        <is>
          <t>USN</t>
        </is>
      </c>
      <c r="L482" s="7" t="inlineStr">
        <is>
          <t>Combatant Ships</t>
        </is>
      </c>
      <c r="M482" s="7" t="inlineStr">
        <is>
          <t>Aircraft Carriers</t>
        </is>
      </c>
      <c r="N482" s="7" t="inlineStr">
        <is>
          <t>CVN</t>
        </is>
      </c>
      <c r="O482" s="15" t="n"/>
      <c r="P482" s="16" t="n">
        <v>302</v>
      </c>
      <c r="S482" s="16" t="n">
        <v>304</v>
      </c>
      <c r="U482" s="16" t="n">
        <v>304</v>
      </c>
      <c r="AC482" s="23">
        <f>IF(OR(E482="",E482="[PARENT]"),"ADD",IF(E482="[ALT_VIEW]","ALT",""))</f>
        <v/>
      </c>
      <c r="AD482" s="21">
        <f>IF(Y482&lt;&gt;"",Y482,IF(U482&lt;&gt;"",U482,S482))</f>
        <v/>
      </c>
      <c r="AE482" s="21">
        <f>IF(AB482&lt;&gt;"",AB482,Z482)</f>
        <v/>
      </c>
      <c r="AF482" s="13" t="inlineStr">
        <is>
          <t>P-35 &gt; Carrier Replacement Program &gt; NAVY MULTI-BAND TERMINAL (NMT) &gt; Other Costs</t>
        </is>
      </c>
      <c r="AG482" s="7" t="inlineStr">
        <is>
          <t>91</t>
        </is>
      </c>
      <c r="AH482" s="7" t="inlineStr">
        <is>
          <t>2001</t>
        </is>
      </c>
    </row>
    <row r="483" ht="10" customHeight="1">
      <c r="A483" s="7" t="inlineStr">
        <is>
          <t>SCN</t>
        </is>
      </c>
      <c r="B483" s="7" t="inlineStr">
        <is>
          <t>Procurement</t>
        </is>
      </c>
      <c r="D483" s="7" t="inlineStr">
        <is>
          <t>Carrier Replacement Program - P-35 AN/SLQ-32(V)6, SURFACE ELECTRONIC WARFARE IMPROVEMENT PROGRAM (SEWIP) BLOCK PARM Code: PEO IWS 2E - Major Hardware                                                                                                 1</t>
        </is>
      </c>
      <c r="E483" s="13" t="inlineStr">
        <is>
          <t>[ALT_VIEW]</t>
        </is>
      </c>
      <c r="F483" s="7" t="inlineStr">
        <is>
          <t>2001 / Carrier Replacement Program</t>
        </is>
      </c>
      <c r="G483" s="7" t="inlineStr">
        <is>
          <t>P-35</t>
        </is>
      </c>
      <c r="I483" s="14" t="n">
        <v>1</v>
      </c>
      <c r="J483" s="7" t="inlineStr">
        <is>
          <t>Full ship DD&amp;C</t>
        </is>
      </c>
      <c r="K483" s="13" t="inlineStr">
        <is>
          <t>USN</t>
        </is>
      </c>
      <c r="L483" s="7" t="inlineStr">
        <is>
          <t>Combatant Ships</t>
        </is>
      </c>
      <c r="M483" s="7" t="inlineStr">
        <is>
          <t>Aircraft Carriers</t>
        </is>
      </c>
      <c r="N483" s="7" t="inlineStr">
        <is>
          <t>CVN</t>
        </is>
      </c>
      <c r="O483" s="15" t="n"/>
      <c r="P483" s="16" t="n">
        <v>10544</v>
      </c>
      <c r="S483" s="16" t="n">
        <v>11100</v>
      </c>
      <c r="U483" s="16" t="n">
        <v>11100</v>
      </c>
      <c r="AC483" s="23">
        <f>IF(OR(E483="",E483="[PARENT]"),"ADD",IF(E483="[ALT_VIEW]","ALT",""))</f>
        <v/>
      </c>
      <c r="AD483" s="21">
        <f>IF(Y483&lt;&gt;"",Y483,IF(U483&lt;&gt;"",U483,S483))</f>
        <v/>
      </c>
      <c r="AE483" s="21">
        <f>IF(AB483&lt;&gt;"",AB483,Z483)</f>
        <v/>
      </c>
      <c r="AF483" s="13" t="inlineStr">
        <is>
          <t>P-35 &gt; Carrier Replacement Program &gt; AN/SLQ-32(V)6, SURFACE ELECTRONIC WARFARE IMPROVEMENT PROGRAM (SEWIP) BLOCK PARM Code: PEO IWS 2E &gt; Major Hardware                                                                                                 1</t>
        </is>
      </c>
      <c r="AG483" s="7" t="inlineStr">
        <is>
          <t>92</t>
        </is>
      </c>
      <c r="AH483" s="7" t="inlineStr">
        <is>
          <t>2001</t>
        </is>
      </c>
    </row>
    <row r="484" ht="10" customHeight="1">
      <c r="A484" s="7" t="inlineStr">
        <is>
          <t>SCN</t>
        </is>
      </c>
      <c r="B484" s="7" t="inlineStr">
        <is>
          <t>Procurement</t>
        </is>
      </c>
      <c r="D484" s="7" t="inlineStr">
        <is>
          <t>Carrier Replacement Program - P-35 AN/SLQ-32(V)6, SURFACE ELECTRONIC WARFARE IMPROVEMENT PROGRAM (SEWIP) BLOCK PARM Code: PEO IWS 2E - Ancillary Equipment</t>
        </is>
      </c>
      <c r="E484" s="13" t="inlineStr">
        <is>
          <t>[ALT_VIEW]</t>
        </is>
      </c>
      <c r="F484" s="7" t="inlineStr">
        <is>
          <t>2001 / Carrier Replacement Program</t>
        </is>
      </c>
      <c r="G484" s="7" t="inlineStr">
        <is>
          <t>P-35</t>
        </is>
      </c>
      <c r="I484" s="14" t="n">
        <v>1</v>
      </c>
      <c r="J484" s="7" t="inlineStr">
        <is>
          <t>Full ship DD&amp;C</t>
        </is>
      </c>
      <c r="K484" s="13" t="inlineStr">
        <is>
          <t>USN</t>
        </is>
      </c>
      <c r="L484" s="7" t="inlineStr">
        <is>
          <t>Combatant Ships</t>
        </is>
      </c>
      <c r="M484" s="7" t="inlineStr">
        <is>
          <t>Aircraft Carriers</t>
        </is>
      </c>
      <c r="N484" s="7" t="inlineStr">
        <is>
          <t>CVN</t>
        </is>
      </c>
      <c r="O484" s="15" t="n"/>
      <c r="P484" s="16" t="n">
        <v>195</v>
      </c>
      <c r="S484" s="16" t="n">
        <v>212</v>
      </c>
      <c r="U484" s="16" t="n">
        <v>212</v>
      </c>
      <c r="AC484" s="23">
        <f>IF(OR(E484="",E484="[PARENT]"),"ADD",IF(E484="[ALT_VIEW]","ALT",""))</f>
        <v/>
      </c>
      <c r="AD484" s="21">
        <f>IF(Y484&lt;&gt;"",Y484,IF(U484&lt;&gt;"",U484,S484))</f>
        <v/>
      </c>
      <c r="AE484" s="21">
        <f>IF(AB484&lt;&gt;"",AB484,Z484)</f>
        <v/>
      </c>
      <c r="AF484" s="13" t="inlineStr">
        <is>
          <t>P-35 &gt; Carrier Replacement Program &gt; AN/SLQ-32(V)6, SURFACE ELECTRONIC WARFARE IMPROVEMENT PROGRAM (SEWIP) BLOCK PARM Code: PEO IWS 2E &gt; Ancillary Equipment</t>
        </is>
      </c>
      <c r="AG484" s="7" t="inlineStr">
        <is>
          <t>92</t>
        </is>
      </c>
      <c r="AH484" s="7" t="inlineStr">
        <is>
          <t>2001</t>
        </is>
      </c>
    </row>
    <row r="485" ht="10" customHeight="1">
      <c r="A485" s="7" t="inlineStr">
        <is>
          <t>SCN</t>
        </is>
      </c>
      <c r="B485" s="7" t="inlineStr">
        <is>
          <t>Procurement</t>
        </is>
      </c>
      <c r="D485" s="7" t="inlineStr">
        <is>
          <t>Carrier Replacement Program - P-35 AN/SLQ-32(V)6, SURFACE ELECTRONIC WARFARE IMPROVEMENT PROGRAM (SEWIP) BLOCK PARM Code: PEO IWS 2E - Spares</t>
        </is>
      </c>
      <c r="E485" s="13" t="inlineStr">
        <is>
          <t>[ALT_VIEW]</t>
        </is>
      </c>
      <c r="F485" s="7" t="inlineStr">
        <is>
          <t>2001 / Carrier Replacement Program</t>
        </is>
      </c>
      <c r="G485" s="7" t="inlineStr">
        <is>
          <t>P-35</t>
        </is>
      </c>
      <c r="I485" s="14" t="n">
        <v>1</v>
      </c>
      <c r="J485" s="7" t="inlineStr">
        <is>
          <t>Full ship DD&amp;C</t>
        </is>
      </c>
      <c r="K485" s="13" t="inlineStr">
        <is>
          <t>USN</t>
        </is>
      </c>
      <c r="L485" s="7" t="inlineStr">
        <is>
          <t>Combatant Ships</t>
        </is>
      </c>
      <c r="M485" s="7" t="inlineStr">
        <is>
          <t>Aircraft Carriers</t>
        </is>
      </c>
      <c r="N485" s="7" t="inlineStr">
        <is>
          <t>CVN</t>
        </is>
      </c>
      <c r="O485" s="15" t="n"/>
      <c r="P485" s="16" t="n">
        <v>202</v>
      </c>
      <c r="S485" s="16" t="n">
        <v>267</v>
      </c>
      <c r="U485" s="16" t="n">
        <v>267</v>
      </c>
      <c r="AC485" s="23">
        <f>IF(OR(E485="",E485="[PARENT]"),"ADD",IF(E485="[ALT_VIEW]","ALT",""))</f>
        <v/>
      </c>
      <c r="AD485" s="21">
        <f>IF(Y485&lt;&gt;"",Y485,IF(U485&lt;&gt;"",U485,S485))</f>
        <v/>
      </c>
      <c r="AE485" s="21">
        <f>IF(AB485&lt;&gt;"",AB485,Z485)</f>
        <v/>
      </c>
      <c r="AF485" s="13" t="inlineStr">
        <is>
          <t>P-35 &gt; Carrier Replacement Program &gt; AN/SLQ-32(V)6, SURFACE ELECTRONIC WARFARE IMPROVEMENT PROGRAM (SEWIP) BLOCK PARM Code: PEO IWS 2E &gt; Spares</t>
        </is>
      </c>
      <c r="AG485" s="7" t="inlineStr">
        <is>
          <t>92</t>
        </is>
      </c>
      <c r="AH485" s="7" t="inlineStr">
        <is>
          <t>2001</t>
        </is>
      </c>
    </row>
    <row r="486" ht="10" customHeight="1">
      <c r="A486" s="7" t="inlineStr">
        <is>
          <t>SCN</t>
        </is>
      </c>
      <c r="B486" s="7" t="inlineStr">
        <is>
          <t>Procurement</t>
        </is>
      </c>
      <c r="D486" s="7" t="inlineStr">
        <is>
          <t>Carrier Replacement Program - P-35 AN/SLQ-32(V)6, SURFACE ELECTRONIC WARFARE IMPROVEMENT PROGRAM (SEWIP) BLOCK PARM Code: PEO IWS 2E - System Engineering</t>
        </is>
      </c>
      <c r="E486" s="13" t="inlineStr">
        <is>
          <t>[ALT_VIEW]</t>
        </is>
      </c>
      <c r="F486" s="7" t="inlineStr">
        <is>
          <t>2001 / Carrier Replacement Program</t>
        </is>
      </c>
      <c r="G486" s="7" t="inlineStr">
        <is>
          <t>P-35</t>
        </is>
      </c>
      <c r="I486" s="14" t="n">
        <v>1</v>
      </c>
      <c r="J486" s="7" t="inlineStr">
        <is>
          <t>Full ship DD&amp;C</t>
        </is>
      </c>
      <c r="K486" s="13" t="inlineStr">
        <is>
          <t>USN</t>
        </is>
      </c>
      <c r="L486" s="7" t="inlineStr">
        <is>
          <t>Combatant Ships</t>
        </is>
      </c>
      <c r="M486" s="7" t="inlineStr">
        <is>
          <t>Aircraft Carriers</t>
        </is>
      </c>
      <c r="N486" s="7" t="inlineStr">
        <is>
          <t>CVN</t>
        </is>
      </c>
      <c r="O486" s="15" t="n"/>
      <c r="P486" s="16" t="n">
        <v>1407</v>
      </c>
      <c r="S486" s="16" t="n">
        <v>980</v>
      </c>
      <c r="U486" s="16" t="n">
        <v>980</v>
      </c>
      <c r="AC486" s="23">
        <f>IF(OR(E486="",E486="[PARENT]"),"ADD",IF(E486="[ALT_VIEW]","ALT",""))</f>
        <v/>
      </c>
      <c r="AD486" s="21">
        <f>IF(Y486&lt;&gt;"",Y486,IF(U486&lt;&gt;"",U486,S486))</f>
        <v/>
      </c>
      <c r="AE486" s="21">
        <f>IF(AB486&lt;&gt;"",AB486,Z486)</f>
        <v/>
      </c>
      <c r="AF486" s="13" t="inlineStr">
        <is>
          <t>P-35 &gt; Carrier Replacement Program &gt; AN/SLQ-32(V)6, SURFACE ELECTRONIC WARFARE IMPROVEMENT PROGRAM (SEWIP) BLOCK PARM Code: PEO IWS 2E &gt; System Engineering</t>
        </is>
      </c>
      <c r="AG486" s="7" t="inlineStr">
        <is>
          <t>92</t>
        </is>
      </c>
      <c r="AH486" s="7" t="inlineStr">
        <is>
          <t>2001</t>
        </is>
      </c>
    </row>
    <row r="487" ht="10" customHeight="1">
      <c r="A487" s="7" t="inlineStr">
        <is>
          <t>SCN</t>
        </is>
      </c>
      <c r="B487" s="7" t="inlineStr">
        <is>
          <t>Procurement</t>
        </is>
      </c>
      <c r="D487" s="7" t="inlineStr">
        <is>
          <t>Carrier Replacement Program - P-35 AN/SLQ-32(V)6, SURFACE ELECTRONIC WARFARE IMPROVEMENT PROGRAM (SEWIP) BLOCK PARM Code: PEO IWS 2E - Technical Engineering Services</t>
        </is>
      </c>
      <c r="E487" s="13" t="inlineStr">
        <is>
          <t>[ALT_VIEW]</t>
        </is>
      </c>
      <c r="F487" s="7" t="inlineStr">
        <is>
          <t>2001 / Carrier Replacement Program</t>
        </is>
      </c>
      <c r="G487" s="7" t="inlineStr">
        <is>
          <t>P-35</t>
        </is>
      </c>
      <c r="I487" s="14" t="n">
        <v>1</v>
      </c>
      <c r="J487" s="7" t="inlineStr">
        <is>
          <t>Full ship DD&amp;C</t>
        </is>
      </c>
      <c r="K487" s="13" t="inlineStr">
        <is>
          <t>USN</t>
        </is>
      </c>
      <c r="L487" s="7" t="inlineStr">
        <is>
          <t>Combatant Ships</t>
        </is>
      </c>
      <c r="M487" s="7" t="inlineStr">
        <is>
          <t>Aircraft Carriers</t>
        </is>
      </c>
      <c r="N487" s="7" t="inlineStr">
        <is>
          <t>CVN</t>
        </is>
      </c>
      <c r="O487" s="15" t="n"/>
      <c r="P487" s="16" t="n">
        <v>986</v>
      </c>
      <c r="S487" s="16" t="n">
        <v>168</v>
      </c>
      <c r="U487" s="16" t="n">
        <v>168</v>
      </c>
      <c r="AC487" s="23">
        <f>IF(OR(E487="",E487="[PARENT]"),"ADD",IF(E487="[ALT_VIEW]","ALT",""))</f>
        <v/>
      </c>
      <c r="AD487" s="21">
        <f>IF(Y487&lt;&gt;"",Y487,IF(U487&lt;&gt;"",U487,S487))</f>
        <v/>
      </c>
      <c r="AE487" s="21">
        <f>IF(AB487&lt;&gt;"",AB487,Z487)</f>
        <v/>
      </c>
      <c r="AF487" s="13" t="inlineStr">
        <is>
          <t>P-35 &gt; Carrier Replacement Program &gt; AN/SLQ-32(V)6, SURFACE ELECTRONIC WARFARE IMPROVEMENT PROGRAM (SEWIP) BLOCK PARM Code: PEO IWS 2E &gt; Technical Engineering Services</t>
        </is>
      </c>
      <c r="AG487" s="7" t="inlineStr">
        <is>
          <t>92</t>
        </is>
      </c>
      <c r="AH487" s="7" t="inlineStr">
        <is>
          <t>2001</t>
        </is>
      </c>
    </row>
    <row r="488" ht="10" customHeight="1">
      <c r="A488" s="7" t="inlineStr">
        <is>
          <t>SCN</t>
        </is>
      </c>
      <c r="B488" s="7" t="inlineStr">
        <is>
          <t>Procurement</t>
        </is>
      </c>
      <c r="D488" s="7" t="inlineStr">
        <is>
          <t>Carrier Replacement Program - P-35 AN/SLQ-32(V)6, SURFACE ELECTRONIC WARFARE IMPROVEMENT PROGRAM (SEWIP) BLOCK PARM Code: PEO IWS 2E - Other Costs</t>
        </is>
      </c>
      <c r="E488" s="13" t="inlineStr">
        <is>
          <t>[ALT_VIEW]</t>
        </is>
      </c>
      <c r="F488" s="7" t="inlineStr">
        <is>
          <t>2001 / Carrier Replacement Program</t>
        </is>
      </c>
      <c r="G488" s="7" t="inlineStr">
        <is>
          <t>P-35</t>
        </is>
      </c>
      <c r="I488" s="14" t="n">
        <v>1</v>
      </c>
      <c r="J488" s="7" t="inlineStr">
        <is>
          <t>Full ship DD&amp;C</t>
        </is>
      </c>
      <c r="K488" s="13" t="inlineStr">
        <is>
          <t>USN</t>
        </is>
      </c>
      <c r="L488" s="7" t="inlineStr">
        <is>
          <t>Combatant Ships</t>
        </is>
      </c>
      <c r="M488" s="7" t="inlineStr">
        <is>
          <t>Aircraft Carriers</t>
        </is>
      </c>
      <c r="N488" s="7" t="inlineStr">
        <is>
          <t>CVN</t>
        </is>
      </c>
      <c r="O488" s="15" t="n"/>
      <c r="P488" s="16" t="n">
        <v>796</v>
      </c>
      <c r="S488" s="16" t="n">
        <v>1177</v>
      </c>
      <c r="U488" s="16" t="n">
        <v>1177</v>
      </c>
      <c r="AC488" s="23">
        <f>IF(OR(E488="",E488="[PARENT]"),"ADD",IF(E488="[ALT_VIEW]","ALT",""))</f>
        <v/>
      </c>
      <c r="AD488" s="21">
        <f>IF(Y488&lt;&gt;"",Y488,IF(U488&lt;&gt;"",U488,S488))</f>
        <v/>
      </c>
      <c r="AE488" s="21">
        <f>IF(AB488&lt;&gt;"",AB488,Z488)</f>
        <v/>
      </c>
      <c r="AF488" s="13" t="inlineStr">
        <is>
          <t>P-35 &gt; Carrier Replacement Program &gt; AN/SLQ-32(V)6, SURFACE ELECTRONIC WARFARE IMPROVEMENT PROGRAM (SEWIP) BLOCK PARM Code: PEO IWS 2E &gt; Other Costs</t>
        </is>
      </c>
      <c r="AG488" s="7" t="inlineStr">
        <is>
          <t>92</t>
        </is>
      </c>
      <c r="AH488" s="7" t="inlineStr">
        <is>
          <t>2001</t>
        </is>
      </c>
    </row>
    <row r="489" ht="10" customHeight="1">
      <c r="A489" s="7" t="inlineStr">
        <is>
          <t>SCN</t>
        </is>
      </c>
      <c r="B489" s="7" t="inlineStr">
        <is>
          <t>Procurement</t>
        </is>
      </c>
      <c r="D489" s="7" t="inlineStr">
        <is>
          <t>Carrier Replacement Program - P-35 AN/SSQ-130(V)8, SHIP'S SIGNAL EXPLOITATION EQUIPMENT INCREMENT F - Major Hardware                                                                                                  1</t>
        </is>
      </c>
      <c r="E489" s="13" t="inlineStr">
        <is>
          <t>[ALT_VIEW]</t>
        </is>
      </c>
      <c r="F489" s="7" t="inlineStr">
        <is>
          <t>2001 / Carrier Replacement Program</t>
        </is>
      </c>
      <c r="G489" s="7" t="inlineStr">
        <is>
          <t>P-35</t>
        </is>
      </c>
      <c r="I489" s="14" t="n">
        <v>1</v>
      </c>
      <c r="J489" s="7" t="inlineStr">
        <is>
          <t>Full ship DD&amp;C</t>
        </is>
      </c>
      <c r="K489" s="13" t="inlineStr">
        <is>
          <t>USN</t>
        </is>
      </c>
      <c r="L489" s="7" t="inlineStr">
        <is>
          <t>Combatant Ships</t>
        </is>
      </c>
      <c r="M489" s="7" t="inlineStr">
        <is>
          <t>Aircraft Carriers</t>
        </is>
      </c>
      <c r="N489" s="7" t="inlineStr">
        <is>
          <t>CVN</t>
        </is>
      </c>
      <c r="O489" s="15" t="n"/>
      <c r="P489" s="16" t="n">
        <v>3771</v>
      </c>
      <c r="S489" s="16" t="n">
        <v>9747</v>
      </c>
      <c r="U489" s="16" t="n">
        <v>9747</v>
      </c>
      <c r="AC489" s="23">
        <f>IF(OR(E489="",E489="[PARENT]"),"ADD",IF(E489="[ALT_VIEW]","ALT",""))</f>
        <v/>
      </c>
      <c r="AD489" s="21">
        <f>IF(Y489&lt;&gt;"",Y489,IF(U489&lt;&gt;"",U489,S489))</f>
        <v/>
      </c>
      <c r="AE489" s="21">
        <f>IF(AB489&lt;&gt;"",AB489,Z489)</f>
        <v/>
      </c>
      <c r="AF489" s="13" t="inlineStr">
        <is>
          <t>P-35 &gt; Carrier Replacement Program &gt; AN/SSQ-130(V)8, SHIP'S SIGNAL EXPLOITATION EQUIPMENT INCREMENT F &gt; Major Hardware                                                                                                  1</t>
        </is>
      </c>
      <c r="AG489" s="7" t="inlineStr">
        <is>
          <t>93</t>
        </is>
      </c>
      <c r="AH489" s="7" t="inlineStr">
        <is>
          <t>2001</t>
        </is>
      </c>
    </row>
    <row r="490" ht="10" customHeight="1">
      <c r="A490" s="7" t="inlineStr">
        <is>
          <t>SCN</t>
        </is>
      </c>
      <c r="B490" s="7" t="inlineStr">
        <is>
          <t>Procurement</t>
        </is>
      </c>
      <c r="D490" s="7" t="inlineStr">
        <is>
          <t>Carrier Replacement Program - P-35 AN/SSQ-130(V)8, SHIP'S SIGNAL EXPLOITATION EQUIPMENT INCREMENT F - Spares</t>
        </is>
      </c>
      <c r="E490" s="13" t="inlineStr">
        <is>
          <t>[ALT_VIEW]</t>
        </is>
      </c>
      <c r="F490" s="7" t="inlineStr">
        <is>
          <t>2001 / Carrier Replacement Program</t>
        </is>
      </c>
      <c r="G490" s="7" t="inlineStr">
        <is>
          <t>P-35</t>
        </is>
      </c>
      <c r="I490" s="14" t="n">
        <v>1</v>
      </c>
      <c r="J490" s="7" t="inlineStr">
        <is>
          <t>Full ship DD&amp;C</t>
        </is>
      </c>
      <c r="K490" s="13" t="inlineStr">
        <is>
          <t>USN</t>
        </is>
      </c>
      <c r="L490" s="7" t="inlineStr">
        <is>
          <t>Combatant Ships</t>
        </is>
      </c>
      <c r="M490" s="7" t="inlineStr">
        <is>
          <t>Aircraft Carriers</t>
        </is>
      </c>
      <c r="N490" s="7" t="inlineStr">
        <is>
          <t>CVN</t>
        </is>
      </c>
      <c r="O490" s="15" t="n"/>
      <c r="P490" s="16" t="n">
        <v>70</v>
      </c>
      <c r="S490" s="16" t="n">
        <v>666</v>
      </c>
      <c r="U490" s="16" t="n">
        <v>666</v>
      </c>
      <c r="AC490" s="23">
        <f>IF(OR(E490="",E490="[PARENT]"),"ADD",IF(E490="[ALT_VIEW]","ALT",""))</f>
        <v/>
      </c>
      <c r="AD490" s="21">
        <f>IF(Y490&lt;&gt;"",Y490,IF(U490&lt;&gt;"",U490,S490))</f>
        <v/>
      </c>
      <c r="AE490" s="21">
        <f>IF(AB490&lt;&gt;"",AB490,Z490)</f>
        <v/>
      </c>
      <c r="AF490" s="13" t="inlineStr">
        <is>
          <t>P-35 &gt; Carrier Replacement Program &gt; AN/SSQ-130(V)8, SHIP'S SIGNAL EXPLOITATION EQUIPMENT INCREMENT F &gt; Spares</t>
        </is>
      </c>
      <c r="AG490" s="7" t="inlineStr">
        <is>
          <t>93</t>
        </is>
      </c>
      <c r="AH490" s="7" t="inlineStr">
        <is>
          <t>2001</t>
        </is>
      </c>
    </row>
    <row r="491" ht="10" customHeight="1">
      <c r="A491" s="7" t="inlineStr">
        <is>
          <t>SCN</t>
        </is>
      </c>
      <c r="B491" s="7" t="inlineStr">
        <is>
          <t>Procurement</t>
        </is>
      </c>
      <c r="D491" s="7" t="inlineStr">
        <is>
          <t>Carrier Replacement Program - P-35 AN/SSQ-130(V)8, SHIP'S SIGNAL EXPLOITATION EQUIPMENT INCREMENT F - System Engineering</t>
        </is>
      </c>
      <c r="E491" s="13" t="inlineStr">
        <is>
          <t>[ALT_VIEW]</t>
        </is>
      </c>
      <c r="F491" s="7" t="inlineStr">
        <is>
          <t>2001 / Carrier Replacement Program</t>
        </is>
      </c>
      <c r="G491" s="7" t="inlineStr">
        <is>
          <t>P-35</t>
        </is>
      </c>
      <c r="I491" s="14" t="n">
        <v>1</v>
      </c>
      <c r="J491" s="7" t="inlineStr">
        <is>
          <t>Full ship DD&amp;C</t>
        </is>
      </c>
      <c r="K491" s="13" t="inlineStr">
        <is>
          <t>USN</t>
        </is>
      </c>
      <c r="L491" s="7" t="inlineStr">
        <is>
          <t>Combatant Ships</t>
        </is>
      </c>
      <c r="M491" s="7" t="inlineStr">
        <is>
          <t>Aircraft Carriers</t>
        </is>
      </c>
      <c r="N491" s="7" t="inlineStr">
        <is>
          <t>CVN</t>
        </is>
      </c>
      <c r="O491" s="15" t="n"/>
      <c r="P491" s="16" t="n">
        <v>491</v>
      </c>
      <c r="S491" s="16" t="n">
        <v>764</v>
      </c>
      <c r="U491" s="16" t="n">
        <v>764</v>
      </c>
      <c r="AC491" s="23">
        <f>IF(OR(E491="",E491="[PARENT]"),"ADD",IF(E491="[ALT_VIEW]","ALT",""))</f>
        <v/>
      </c>
      <c r="AD491" s="21">
        <f>IF(Y491&lt;&gt;"",Y491,IF(U491&lt;&gt;"",U491,S491))</f>
        <v/>
      </c>
      <c r="AE491" s="21">
        <f>IF(AB491&lt;&gt;"",AB491,Z491)</f>
        <v/>
      </c>
      <c r="AF491" s="13" t="inlineStr">
        <is>
          <t>P-35 &gt; Carrier Replacement Program &gt; AN/SSQ-130(V)8, SHIP'S SIGNAL EXPLOITATION EQUIPMENT INCREMENT F &gt; System Engineering</t>
        </is>
      </c>
      <c r="AG491" s="7" t="inlineStr">
        <is>
          <t>93</t>
        </is>
      </c>
      <c r="AH491" s="7" t="inlineStr">
        <is>
          <t>2001</t>
        </is>
      </c>
    </row>
    <row r="492" ht="10" customHeight="1">
      <c r="A492" s="7" t="inlineStr">
        <is>
          <t>SCN</t>
        </is>
      </c>
      <c r="B492" s="7" t="inlineStr">
        <is>
          <t>Procurement</t>
        </is>
      </c>
      <c r="D492" s="7" t="inlineStr">
        <is>
          <t>Carrier Replacement Program - P-35 AN/SSQ-130(V)8, SHIP'S SIGNAL EXPLOITATION EQUIPMENT INCREMENT F - Technical Engineering Services</t>
        </is>
      </c>
      <c r="E492" s="13" t="inlineStr">
        <is>
          <t>[ALT_VIEW]</t>
        </is>
      </c>
      <c r="F492" s="7" t="inlineStr">
        <is>
          <t>2001 / Carrier Replacement Program</t>
        </is>
      </c>
      <c r="G492" s="7" t="inlineStr">
        <is>
          <t>P-35</t>
        </is>
      </c>
      <c r="I492" s="14" t="n">
        <v>1</v>
      </c>
      <c r="J492" s="7" t="inlineStr">
        <is>
          <t>Full ship DD&amp;C</t>
        </is>
      </c>
      <c r="K492" s="13" t="inlineStr">
        <is>
          <t>USN</t>
        </is>
      </c>
      <c r="L492" s="7" t="inlineStr">
        <is>
          <t>Combatant Ships</t>
        </is>
      </c>
      <c r="M492" s="7" t="inlineStr">
        <is>
          <t>Aircraft Carriers</t>
        </is>
      </c>
      <c r="N492" s="7" t="inlineStr">
        <is>
          <t>CVN</t>
        </is>
      </c>
      <c r="O492" s="15" t="n"/>
      <c r="P492" s="16" t="n">
        <v>100</v>
      </c>
      <c r="S492" s="16" t="n">
        <v>176</v>
      </c>
      <c r="U492" s="16" t="n">
        <v>176</v>
      </c>
      <c r="AC492" s="23">
        <f>IF(OR(E492="",E492="[PARENT]"),"ADD",IF(E492="[ALT_VIEW]","ALT",""))</f>
        <v/>
      </c>
      <c r="AD492" s="21">
        <f>IF(Y492&lt;&gt;"",Y492,IF(U492&lt;&gt;"",U492,S492))</f>
        <v/>
      </c>
      <c r="AE492" s="21">
        <f>IF(AB492&lt;&gt;"",AB492,Z492)</f>
        <v/>
      </c>
      <c r="AF492" s="13" t="inlineStr">
        <is>
          <t>P-35 &gt; Carrier Replacement Program &gt; AN/SSQ-130(V)8, SHIP'S SIGNAL EXPLOITATION EQUIPMENT INCREMENT F &gt; Technical Engineering Services</t>
        </is>
      </c>
      <c r="AG492" s="7" t="inlineStr">
        <is>
          <t>93</t>
        </is>
      </c>
      <c r="AH492" s="7" t="inlineStr">
        <is>
          <t>2001</t>
        </is>
      </c>
    </row>
    <row r="493" ht="10" customHeight="1">
      <c r="A493" s="7" t="inlineStr">
        <is>
          <t>SCN</t>
        </is>
      </c>
      <c r="B493" s="7" t="inlineStr">
        <is>
          <t>Procurement</t>
        </is>
      </c>
      <c r="D493" s="7" t="inlineStr">
        <is>
          <t>Carrier Replacement Program - P-35 AN/SSQ-130(V)8, SHIP'S SIGNAL EXPLOITATION EQUIPMENT INCREMENT F - Other Costs</t>
        </is>
      </c>
      <c r="E493" s="13" t="inlineStr">
        <is>
          <t>[ALT_VIEW]</t>
        </is>
      </c>
      <c r="F493" s="7" t="inlineStr">
        <is>
          <t>2001 / Carrier Replacement Program</t>
        </is>
      </c>
      <c r="G493" s="7" t="inlineStr">
        <is>
          <t>P-35</t>
        </is>
      </c>
      <c r="I493" s="14" t="n">
        <v>1</v>
      </c>
      <c r="J493" s="7" t="inlineStr">
        <is>
          <t>Full ship DD&amp;C</t>
        </is>
      </c>
      <c r="K493" s="13" t="inlineStr">
        <is>
          <t>USN</t>
        </is>
      </c>
      <c r="L493" s="7" t="inlineStr">
        <is>
          <t>Combatant Ships</t>
        </is>
      </c>
      <c r="M493" s="7" t="inlineStr">
        <is>
          <t>Aircraft Carriers</t>
        </is>
      </c>
      <c r="N493" s="7" t="inlineStr">
        <is>
          <t>CVN</t>
        </is>
      </c>
      <c r="O493" s="15" t="n"/>
      <c r="P493" s="16" t="n">
        <v>616</v>
      </c>
      <c r="S493" s="16" t="n">
        <v>1161</v>
      </c>
      <c r="U493" s="16" t="n">
        <v>1161</v>
      </c>
      <c r="AC493" s="23">
        <f>IF(OR(E493="",E493="[PARENT]"),"ADD",IF(E493="[ALT_VIEW]","ALT",""))</f>
        <v/>
      </c>
      <c r="AD493" s="21">
        <f>IF(Y493&lt;&gt;"",Y493,IF(U493&lt;&gt;"",U493,S493))</f>
        <v/>
      </c>
      <c r="AE493" s="21">
        <f>IF(AB493&lt;&gt;"",AB493,Z493)</f>
        <v/>
      </c>
      <c r="AF493" s="13" t="inlineStr">
        <is>
          <t>P-35 &gt; Carrier Replacement Program &gt; AN/SSQ-130(V)8, SHIP'S SIGNAL EXPLOITATION EQUIPMENT INCREMENT F &gt; Other Costs</t>
        </is>
      </c>
      <c r="AG493" s="7" t="inlineStr">
        <is>
          <t>93</t>
        </is>
      </c>
      <c r="AH493" s="7" t="inlineStr">
        <is>
          <t>2001</t>
        </is>
      </c>
    </row>
    <row r="494" ht="10" customHeight="1">
      <c r="A494" s="7" t="inlineStr">
        <is>
          <t>SCN</t>
        </is>
      </c>
      <c r="B494" s="7" t="inlineStr">
        <is>
          <t>Procurement</t>
        </is>
      </c>
      <c r="D494" s="7" t="inlineStr">
        <is>
          <t>Carrier Replacement Program - P-35 AN/SRC-66 (V)3 HFDAG - Major Hardware                                                                                               1</t>
        </is>
      </c>
      <c r="E494" s="13" t="inlineStr">
        <is>
          <t>[ALT_VIEW]</t>
        </is>
      </c>
      <c r="F494" s="7" t="inlineStr">
        <is>
          <t>2001 / Carrier Replacement Program</t>
        </is>
      </c>
      <c r="G494" s="7" t="inlineStr">
        <is>
          <t>P-35</t>
        </is>
      </c>
      <c r="I494" s="14" t="n">
        <v>1</v>
      </c>
      <c r="J494" s="7" t="inlineStr">
        <is>
          <t>Full ship DD&amp;C</t>
        </is>
      </c>
      <c r="K494" s="13" t="inlineStr">
        <is>
          <t>USN</t>
        </is>
      </c>
      <c r="L494" s="7" t="inlineStr">
        <is>
          <t>Combatant Ships</t>
        </is>
      </c>
      <c r="M494" s="7" t="inlineStr">
        <is>
          <t>Aircraft Carriers</t>
        </is>
      </c>
      <c r="N494" s="7" t="inlineStr">
        <is>
          <t>CVN</t>
        </is>
      </c>
      <c r="O494" s="15" t="n"/>
      <c r="P494" s="16" t="n">
        <v>4553</v>
      </c>
      <c r="S494" s="16" t="n">
        <v>4553</v>
      </c>
      <c r="U494" s="16" t="n">
        <v>4553</v>
      </c>
      <c r="AC494" s="23">
        <f>IF(OR(E494="",E494="[PARENT]"),"ADD",IF(E494="[ALT_VIEW]","ALT",""))</f>
        <v/>
      </c>
      <c r="AD494" s="21">
        <f>IF(Y494&lt;&gt;"",Y494,IF(U494&lt;&gt;"",U494,S494))</f>
        <v/>
      </c>
      <c r="AE494" s="21">
        <f>IF(AB494&lt;&gt;"",AB494,Z494)</f>
        <v/>
      </c>
      <c r="AF494" s="13" t="inlineStr">
        <is>
          <t>P-35 &gt; Carrier Replacement Program &gt; AN/SRC-66 (V)3 HFDAG &gt; Major Hardware                                                                                               1</t>
        </is>
      </c>
      <c r="AG494" s="7" t="inlineStr">
        <is>
          <t>94</t>
        </is>
      </c>
      <c r="AH494" s="7" t="inlineStr">
        <is>
          <t>2001</t>
        </is>
      </c>
    </row>
    <row r="495" ht="10" customHeight="1">
      <c r="A495" s="7" t="inlineStr">
        <is>
          <t>SCN</t>
        </is>
      </c>
      <c r="B495" s="7" t="inlineStr">
        <is>
          <t>Procurement</t>
        </is>
      </c>
      <c r="D495" s="7" t="inlineStr">
        <is>
          <t>Carrier Replacement Program - P-35 AN/SRC-66 (V)3 HFDAG - Spares</t>
        </is>
      </c>
      <c r="E495" s="13" t="inlineStr">
        <is>
          <t>[ALT_VIEW]</t>
        </is>
      </c>
      <c r="F495" s="7" t="inlineStr">
        <is>
          <t>2001 / Carrier Replacement Program</t>
        </is>
      </c>
      <c r="G495" s="7" t="inlineStr">
        <is>
          <t>P-35</t>
        </is>
      </c>
      <c r="I495" s="14" t="n">
        <v>1</v>
      </c>
      <c r="J495" s="7" t="inlineStr">
        <is>
          <t>Full ship DD&amp;C</t>
        </is>
      </c>
      <c r="K495" s="13" t="inlineStr">
        <is>
          <t>USN</t>
        </is>
      </c>
      <c r="L495" s="7" t="inlineStr">
        <is>
          <t>Combatant Ships</t>
        </is>
      </c>
      <c r="M495" s="7" t="inlineStr">
        <is>
          <t>Aircraft Carriers</t>
        </is>
      </c>
      <c r="N495" s="7" t="inlineStr">
        <is>
          <t>CVN</t>
        </is>
      </c>
      <c r="O495" s="15" t="n"/>
      <c r="P495" s="16" t="n">
        <v>81</v>
      </c>
      <c r="S495" s="16" t="n">
        <v>10</v>
      </c>
      <c r="U495" s="16" t="n">
        <v>10</v>
      </c>
      <c r="AC495" s="23">
        <f>IF(OR(E495="",E495="[PARENT]"),"ADD",IF(E495="[ALT_VIEW]","ALT",""))</f>
        <v/>
      </c>
      <c r="AD495" s="21">
        <f>IF(Y495&lt;&gt;"",Y495,IF(U495&lt;&gt;"",U495,S495))</f>
        <v/>
      </c>
      <c r="AE495" s="21">
        <f>IF(AB495&lt;&gt;"",AB495,Z495)</f>
        <v/>
      </c>
      <c r="AF495" s="13" t="inlineStr">
        <is>
          <t>P-35 &gt; Carrier Replacement Program &gt; AN/SRC-66 (V)3 HFDAG &gt; Spares</t>
        </is>
      </c>
      <c r="AG495" s="7" t="inlineStr">
        <is>
          <t>94</t>
        </is>
      </c>
      <c r="AH495" s="7" t="inlineStr">
        <is>
          <t>2001</t>
        </is>
      </c>
    </row>
    <row r="496" ht="10" customHeight="1">
      <c r="A496" s="7" t="inlineStr">
        <is>
          <t>SCN</t>
        </is>
      </c>
      <c r="B496" s="7" t="inlineStr">
        <is>
          <t>Procurement</t>
        </is>
      </c>
      <c r="D496" s="7" t="inlineStr">
        <is>
          <t>Carrier Replacement Program - P-35 AN/SRC-66 (V)3 HFDAG - System Engineering</t>
        </is>
      </c>
      <c r="E496" s="13" t="inlineStr">
        <is>
          <t>[ALT_VIEW]</t>
        </is>
      </c>
      <c r="F496" s="7" t="inlineStr">
        <is>
          <t>2001 / Carrier Replacement Program</t>
        </is>
      </c>
      <c r="G496" s="7" t="inlineStr">
        <is>
          <t>P-35</t>
        </is>
      </c>
      <c r="I496" s="14" t="n">
        <v>1</v>
      </c>
      <c r="J496" s="7" t="inlineStr">
        <is>
          <t>Full ship DD&amp;C</t>
        </is>
      </c>
      <c r="K496" s="13" t="inlineStr">
        <is>
          <t>USN</t>
        </is>
      </c>
      <c r="L496" s="7" t="inlineStr">
        <is>
          <t>Combatant Ships</t>
        </is>
      </c>
      <c r="M496" s="7" t="inlineStr">
        <is>
          <t>Aircraft Carriers</t>
        </is>
      </c>
      <c r="N496" s="7" t="inlineStr">
        <is>
          <t>CVN</t>
        </is>
      </c>
      <c r="O496" s="15" t="n"/>
      <c r="P496" s="16" t="n">
        <v>164</v>
      </c>
      <c r="S496" s="16" t="n">
        <v>207</v>
      </c>
      <c r="U496" s="16" t="n">
        <v>207</v>
      </c>
      <c r="AC496" s="23">
        <f>IF(OR(E496="",E496="[PARENT]"),"ADD",IF(E496="[ALT_VIEW]","ALT",""))</f>
        <v/>
      </c>
      <c r="AD496" s="21">
        <f>IF(Y496&lt;&gt;"",Y496,IF(U496&lt;&gt;"",U496,S496))</f>
        <v/>
      </c>
      <c r="AE496" s="21">
        <f>IF(AB496&lt;&gt;"",AB496,Z496)</f>
        <v/>
      </c>
      <c r="AF496" s="13" t="inlineStr">
        <is>
          <t>P-35 &gt; Carrier Replacement Program &gt; AN/SRC-66 (V)3 HFDAG &gt; System Engineering</t>
        </is>
      </c>
      <c r="AG496" s="7" t="inlineStr">
        <is>
          <t>94</t>
        </is>
      </c>
      <c r="AH496" s="7" t="inlineStr">
        <is>
          <t>2001</t>
        </is>
      </c>
    </row>
    <row r="497" ht="10" customHeight="1">
      <c r="A497" s="7" t="inlineStr">
        <is>
          <t>SCN</t>
        </is>
      </c>
      <c r="B497" s="7" t="inlineStr">
        <is>
          <t>Procurement</t>
        </is>
      </c>
      <c r="D497" s="7" t="inlineStr">
        <is>
          <t>Carrier Replacement Program - P-35 AN/SRC-66 (V)3 HFDAG - Technical Engineering Services</t>
        </is>
      </c>
      <c r="E497" s="13" t="inlineStr">
        <is>
          <t>[ALT_VIEW]</t>
        </is>
      </c>
      <c r="F497" s="7" t="inlineStr">
        <is>
          <t>2001 / Carrier Replacement Program</t>
        </is>
      </c>
      <c r="G497" s="7" t="inlineStr">
        <is>
          <t>P-35</t>
        </is>
      </c>
      <c r="I497" s="14" t="n">
        <v>1</v>
      </c>
      <c r="J497" s="7" t="inlineStr">
        <is>
          <t>Full ship DD&amp;C</t>
        </is>
      </c>
      <c r="K497" s="13" t="inlineStr">
        <is>
          <t>USN</t>
        </is>
      </c>
      <c r="L497" s="7" t="inlineStr">
        <is>
          <t>Combatant Ships</t>
        </is>
      </c>
      <c r="M497" s="7" t="inlineStr">
        <is>
          <t>Aircraft Carriers</t>
        </is>
      </c>
      <c r="N497" s="7" t="inlineStr">
        <is>
          <t>CVN</t>
        </is>
      </c>
      <c r="O497" s="15" t="n"/>
      <c r="P497" s="16" t="n">
        <v>181</v>
      </c>
      <c r="S497" s="16" t="n">
        <v>396</v>
      </c>
      <c r="U497" s="16" t="n">
        <v>396</v>
      </c>
      <c r="AC497" s="23">
        <f>IF(OR(E497="",E497="[PARENT]"),"ADD",IF(E497="[ALT_VIEW]","ALT",""))</f>
        <v/>
      </c>
      <c r="AD497" s="21">
        <f>IF(Y497&lt;&gt;"",Y497,IF(U497&lt;&gt;"",U497,S497))</f>
        <v/>
      </c>
      <c r="AE497" s="21">
        <f>IF(AB497&lt;&gt;"",AB497,Z497)</f>
        <v/>
      </c>
      <c r="AF497" s="13" t="inlineStr">
        <is>
          <t>P-35 &gt; Carrier Replacement Program &gt; AN/SRC-66 (V)3 HFDAG &gt; Technical Engineering Services</t>
        </is>
      </c>
      <c r="AG497" s="7" t="inlineStr">
        <is>
          <t>94</t>
        </is>
      </c>
      <c r="AH497" s="7" t="inlineStr">
        <is>
          <t>2001</t>
        </is>
      </c>
    </row>
    <row r="498" ht="10" customHeight="1">
      <c r="A498" s="7" t="inlineStr">
        <is>
          <t>SCN</t>
        </is>
      </c>
      <c r="B498" s="7" t="inlineStr">
        <is>
          <t>Procurement</t>
        </is>
      </c>
      <c r="D498" s="7" t="inlineStr">
        <is>
          <t>Carrier Replacement Program - P-35 AN/SRC-66 (V)3 HFDAG - Other Costs</t>
        </is>
      </c>
      <c r="E498" s="13" t="inlineStr">
        <is>
          <t>[ALT_VIEW]</t>
        </is>
      </c>
      <c r="F498" s="7" t="inlineStr">
        <is>
          <t>2001 / Carrier Replacement Program</t>
        </is>
      </c>
      <c r="G498" s="7" t="inlineStr">
        <is>
          <t>P-35</t>
        </is>
      </c>
      <c r="I498" s="14" t="n">
        <v>1</v>
      </c>
      <c r="J498" s="7" t="inlineStr">
        <is>
          <t>Full ship DD&amp;C</t>
        </is>
      </c>
      <c r="K498" s="13" t="inlineStr">
        <is>
          <t>USN</t>
        </is>
      </c>
      <c r="L498" s="7" t="inlineStr">
        <is>
          <t>Combatant Ships</t>
        </is>
      </c>
      <c r="M498" s="7" t="inlineStr">
        <is>
          <t>Aircraft Carriers</t>
        </is>
      </c>
      <c r="N498" s="7" t="inlineStr">
        <is>
          <t>CVN</t>
        </is>
      </c>
      <c r="O498" s="15" t="n"/>
      <c r="P498" s="16" t="n">
        <v>231</v>
      </c>
      <c r="S498" s="16" t="n">
        <v>178</v>
      </c>
      <c r="U498" s="16" t="n">
        <v>178</v>
      </c>
      <c r="AC498" s="23">
        <f>IF(OR(E498="",E498="[PARENT]"),"ADD",IF(E498="[ALT_VIEW]","ALT",""))</f>
        <v/>
      </c>
      <c r="AD498" s="21">
        <f>IF(Y498&lt;&gt;"",Y498,IF(U498&lt;&gt;"",U498,S498))</f>
        <v/>
      </c>
      <c r="AE498" s="21">
        <f>IF(AB498&lt;&gt;"",AB498,Z498)</f>
        <v/>
      </c>
      <c r="AF498" s="13" t="inlineStr">
        <is>
          <t>P-35 &gt; Carrier Replacement Program &gt; AN/SRC-66 (V)3 HFDAG &gt; Other Costs</t>
        </is>
      </c>
      <c r="AG498" s="7" t="inlineStr">
        <is>
          <t>94</t>
        </is>
      </c>
      <c r="AH498" s="7" t="inlineStr">
        <is>
          <t>2001</t>
        </is>
      </c>
    </row>
    <row r="499" ht="10" customHeight="1">
      <c r="A499" s="7" t="inlineStr">
        <is>
          <t>SCN</t>
        </is>
      </c>
      <c r="B499" s="7" t="inlineStr">
        <is>
          <t>Procurement</t>
        </is>
      </c>
      <c r="D499" s="7" t="inlineStr">
        <is>
          <t>Carrier Replacement Program - P-35 AN/USN-3(V)1 SATELLITE SIGNAL LANDING SYSTEM (SSLS) - Major Hardware                                                                                                  1</t>
        </is>
      </c>
      <c r="E499" s="13" t="inlineStr">
        <is>
          <t>[ALT_VIEW]</t>
        </is>
      </c>
      <c r="F499" s="7" t="inlineStr">
        <is>
          <t>2001 / Carrier Replacement Program</t>
        </is>
      </c>
      <c r="G499" s="7" t="inlineStr">
        <is>
          <t>P-35</t>
        </is>
      </c>
      <c r="I499" s="14" t="n">
        <v>1</v>
      </c>
      <c r="J499" s="7" t="inlineStr">
        <is>
          <t>Full ship DD&amp;C</t>
        </is>
      </c>
      <c r="K499" s="13" t="inlineStr">
        <is>
          <t>USN</t>
        </is>
      </c>
      <c r="L499" s="7" t="inlineStr">
        <is>
          <t>Combatant Ships</t>
        </is>
      </c>
      <c r="M499" s="7" t="inlineStr">
        <is>
          <t>Aircraft Carriers</t>
        </is>
      </c>
      <c r="N499" s="7" t="inlineStr">
        <is>
          <t>CVN</t>
        </is>
      </c>
      <c r="O499" s="15" t="n"/>
      <c r="S499" s="16" t="n">
        <v>9466</v>
      </c>
      <c r="U499" s="16" t="n">
        <v>9466</v>
      </c>
      <c r="AC499" s="23">
        <f>IF(OR(E499="",E499="[PARENT]"),"ADD",IF(E499="[ALT_VIEW]","ALT",""))</f>
        <v/>
      </c>
      <c r="AD499" s="21">
        <f>IF(Y499&lt;&gt;"",Y499,IF(U499&lt;&gt;"",U499,S499))</f>
        <v/>
      </c>
      <c r="AE499" s="21">
        <f>IF(AB499&lt;&gt;"",AB499,Z499)</f>
        <v/>
      </c>
      <c r="AF499" s="13" t="inlineStr">
        <is>
          <t>P-35 &gt; Carrier Replacement Program &gt; AN/USN-3(V)1 SATELLITE SIGNAL LANDING SYSTEM (SSLS) &gt; Major Hardware                                                                                                  1</t>
        </is>
      </c>
      <c r="AG499" s="7" t="inlineStr">
        <is>
          <t>95</t>
        </is>
      </c>
      <c r="AH499" s="7" t="inlineStr">
        <is>
          <t>2001</t>
        </is>
      </c>
    </row>
    <row r="500" ht="10" customHeight="1">
      <c r="A500" s="7" t="inlineStr">
        <is>
          <t>SCN</t>
        </is>
      </c>
      <c r="B500" s="7" t="inlineStr">
        <is>
          <t>Procurement</t>
        </is>
      </c>
      <c r="D500" s="7" t="inlineStr">
        <is>
          <t>Carrier Replacement Program - P-35 AN/USN-3(V)1 SATELLITE SIGNAL LANDING SYSTEM (SSLS) - System Engineering</t>
        </is>
      </c>
      <c r="E500" s="13" t="inlineStr">
        <is>
          <t>[ALT_VIEW]</t>
        </is>
      </c>
      <c r="F500" s="7" t="inlineStr">
        <is>
          <t>2001 / Carrier Replacement Program</t>
        </is>
      </c>
      <c r="G500" s="7" t="inlineStr">
        <is>
          <t>P-35</t>
        </is>
      </c>
      <c r="I500" s="14" t="n">
        <v>1</v>
      </c>
      <c r="J500" s="7" t="inlineStr">
        <is>
          <t>Full ship DD&amp;C</t>
        </is>
      </c>
      <c r="K500" s="13" t="inlineStr">
        <is>
          <t>USN</t>
        </is>
      </c>
      <c r="L500" s="7" t="inlineStr">
        <is>
          <t>Combatant Ships</t>
        </is>
      </c>
      <c r="M500" s="7" t="inlineStr">
        <is>
          <t>Aircraft Carriers</t>
        </is>
      </c>
      <c r="N500" s="7" t="inlineStr">
        <is>
          <t>CVN</t>
        </is>
      </c>
      <c r="O500" s="15" t="n"/>
      <c r="S500" s="16" t="n">
        <v>284</v>
      </c>
      <c r="U500" s="16" t="n">
        <v>284</v>
      </c>
      <c r="AC500" s="23">
        <f>IF(OR(E500="",E500="[PARENT]"),"ADD",IF(E500="[ALT_VIEW]","ALT",""))</f>
        <v/>
      </c>
      <c r="AD500" s="21">
        <f>IF(Y500&lt;&gt;"",Y500,IF(U500&lt;&gt;"",U500,S500))</f>
        <v/>
      </c>
      <c r="AE500" s="21">
        <f>IF(AB500&lt;&gt;"",AB500,Z500)</f>
        <v/>
      </c>
      <c r="AF500" s="13" t="inlineStr">
        <is>
          <t>P-35 &gt; Carrier Replacement Program &gt; AN/USN-3(V)1 SATELLITE SIGNAL LANDING SYSTEM (SSLS) &gt; System Engineering</t>
        </is>
      </c>
      <c r="AG500" s="7" t="inlineStr">
        <is>
          <t>95</t>
        </is>
      </c>
      <c r="AH500" s="7" t="inlineStr">
        <is>
          <t>2001</t>
        </is>
      </c>
    </row>
    <row r="501" ht="10" customHeight="1">
      <c r="A501" s="7" t="inlineStr">
        <is>
          <t>SCN</t>
        </is>
      </c>
      <c r="B501" s="7" t="inlineStr">
        <is>
          <t>Procurement</t>
        </is>
      </c>
      <c r="D501" s="7" t="inlineStr">
        <is>
          <t>Carrier Replacement Program - P-35 AN/USN-3(V)1 SATELLITE SIGNAL LANDING SYSTEM (SSLS) - Technical Engineering Services</t>
        </is>
      </c>
      <c r="E501" s="13" t="inlineStr">
        <is>
          <t>[ALT_VIEW]</t>
        </is>
      </c>
      <c r="F501" s="7" t="inlineStr">
        <is>
          <t>2001 / Carrier Replacement Program</t>
        </is>
      </c>
      <c r="G501" s="7" t="inlineStr">
        <is>
          <t>P-35</t>
        </is>
      </c>
      <c r="I501" s="14" t="n">
        <v>1</v>
      </c>
      <c r="J501" s="7" t="inlineStr">
        <is>
          <t>Full ship DD&amp;C</t>
        </is>
      </c>
      <c r="K501" s="13" t="inlineStr">
        <is>
          <t>USN</t>
        </is>
      </c>
      <c r="L501" s="7" t="inlineStr">
        <is>
          <t>Combatant Ships</t>
        </is>
      </c>
      <c r="M501" s="7" t="inlineStr">
        <is>
          <t>Aircraft Carriers</t>
        </is>
      </c>
      <c r="N501" s="7" t="inlineStr">
        <is>
          <t>CVN</t>
        </is>
      </c>
      <c r="O501" s="15" t="n"/>
      <c r="S501" s="16" t="n">
        <v>89</v>
      </c>
      <c r="U501" s="16" t="n">
        <v>89</v>
      </c>
      <c r="AC501" s="23">
        <f>IF(OR(E501="",E501="[PARENT]"),"ADD",IF(E501="[ALT_VIEW]","ALT",""))</f>
        <v/>
      </c>
      <c r="AD501" s="21">
        <f>IF(Y501&lt;&gt;"",Y501,IF(U501&lt;&gt;"",U501,S501))</f>
        <v/>
      </c>
      <c r="AE501" s="21">
        <f>IF(AB501&lt;&gt;"",AB501,Z501)</f>
        <v/>
      </c>
      <c r="AF501" s="13" t="inlineStr">
        <is>
          <t>P-35 &gt; Carrier Replacement Program &gt; AN/USN-3(V)1 SATELLITE SIGNAL LANDING SYSTEM (SSLS) &gt; Technical Engineering Services</t>
        </is>
      </c>
      <c r="AG501" s="7" t="inlineStr">
        <is>
          <t>95</t>
        </is>
      </c>
      <c r="AH501" s="7" t="inlineStr">
        <is>
          <t>2001</t>
        </is>
      </c>
    </row>
    <row r="502" ht="10" customHeight="1">
      <c r="A502" s="7" t="inlineStr">
        <is>
          <t>SCN</t>
        </is>
      </c>
      <c r="B502" s="7" t="inlineStr">
        <is>
          <t>Procurement</t>
        </is>
      </c>
      <c r="D502" s="7" t="inlineStr">
        <is>
          <t>Carrier Replacement Program - P-35 AN/USN-3(V)1 SATELLITE SIGNAL LANDING SYSTEM (SSLS) - Other Costs</t>
        </is>
      </c>
      <c r="E502" s="13" t="inlineStr">
        <is>
          <t>[ALT_VIEW]</t>
        </is>
      </c>
      <c r="F502" s="7" t="inlineStr">
        <is>
          <t>2001 / Carrier Replacement Program</t>
        </is>
      </c>
      <c r="G502" s="7" t="inlineStr">
        <is>
          <t>P-35</t>
        </is>
      </c>
      <c r="I502" s="14" t="n">
        <v>1</v>
      </c>
      <c r="J502" s="7" t="inlineStr">
        <is>
          <t>Full ship DD&amp;C</t>
        </is>
      </c>
      <c r="K502" s="13" t="inlineStr">
        <is>
          <t>USN</t>
        </is>
      </c>
      <c r="L502" s="7" t="inlineStr">
        <is>
          <t>Combatant Ships</t>
        </is>
      </c>
      <c r="M502" s="7" t="inlineStr">
        <is>
          <t>Aircraft Carriers</t>
        </is>
      </c>
      <c r="N502" s="7" t="inlineStr">
        <is>
          <t>CVN</t>
        </is>
      </c>
      <c r="O502" s="15" t="n"/>
      <c r="S502" s="16" t="n">
        <v>27</v>
      </c>
      <c r="U502" s="16" t="n">
        <v>27</v>
      </c>
      <c r="AC502" s="23">
        <f>IF(OR(E502="",E502="[PARENT]"),"ADD",IF(E502="[ALT_VIEW]","ALT",""))</f>
        <v/>
      </c>
      <c r="AD502" s="21">
        <f>IF(Y502&lt;&gt;"",Y502,IF(U502&lt;&gt;"",U502,S502))</f>
        <v/>
      </c>
      <c r="AE502" s="21">
        <f>IF(AB502&lt;&gt;"",AB502,Z502)</f>
        <v/>
      </c>
      <c r="AF502" s="13" t="inlineStr">
        <is>
          <t>P-35 &gt; Carrier Replacement Program &gt; AN/USN-3(V)1 SATELLITE SIGNAL LANDING SYSTEM (SSLS) &gt; Other Costs</t>
        </is>
      </c>
      <c r="AG502" s="7" t="inlineStr">
        <is>
          <t>95</t>
        </is>
      </c>
      <c r="AH502" s="7" t="inlineStr">
        <is>
          <t>2001</t>
        </is>
      </c>
    </row>
    <row r="503" ht="10" customHeight="1">
      <c r="A503" s="7" t="inlineStr">
        <is>
          <t>SCN</t>
        </is>
      </c>
      <c r="B503" s="7" t="inlineStr">
        <is>
          <t>Procurement</t>
        </is>
      </c>
      <c r="D503" s="7" t="inlineStr">
        <is>
          <t>Carrier Replacement Program - P-35 ELECTRONIC CONSOLIDATED AUTOMATED SUPPORT SYSTEM (eCASS) - Major Hardware                                                                                                 1</t>
        </is>
      </c>
      <c r="E503" s="13" t="inlineStr">
        <is>
          <t>[ALT_VIEW]</t>
        </is>
      </c>
      <c r="F503" s="7" t="inlineStr">
        <is>
          <t>2001 / Carrier Replacement Program</t>
        </is>
      </c>
      <c r="G503" s="7" t="inlineStr">
        <is>
          <t>P-35</t>
        </is>
      </c>
      <c r="I503" s="14" t="n">
        <v>1</v>
      </c>
      <c r="J503" s="7" t="inlineStr">
        <is>
          <t>Full ship DD&amp;C</t>
        </is>
      </c>
      <c r="K503" s="13" t="inlineStr">
        <is>
          <t>USN</t>
        </is>
      </c>
      <c r="L503" s="7" t="inlineStr">
        <is>
          <t>Combatant Ships</t>
        </is>
      </c>
      <c r="M503" s="7" t="inlineStr">
        <is>
          <t>Aircraft Carriers</t>
        </is>
      </c>
      <c r="N503" s="7" t="inlineStr">
        <is>
          <t>CVN</t>
        </is>
      </c>
      <c r="O503" s="15" t="n"/>
      <c r="P503" s="16" t="n">
        <v>39423</v>
      </c>
      <c r="S503" s="16" t="n">
        <v>39504</v>
      </c>
      <c r="U503" s="16" t="n">
        <v>39504</v>
      </c>
      <c r="AC503" s="23">
        <f>IF(OR(E503="",E503="[PARENT]"),"ADD",IF(E503="[ALT_VIEW]","ALT",""))</f>
        <v/>
      </c>
      <c r="AD503" s="21">
        <f>IF(Y503&lt;&gt;"",Y503,IF(U503&lt;&gt;"",U503,S503))</f>
        <v/>
      </c>
      <c r="AE503" s="21">
        <f>IF(AB503&lt;&gt;"",AB503,Z503)</f>
        <v/>
      </c>
      <c r="AF503" s="13" t="inlineStr">
        <is>
          <t>P-35 &gt; Carrier Replacement Program &gt; ELECTRONIC CONSOLIDATED AUTOMATED SUPPORT SYSTEM (eCASS) &gt; Major Hardware                                                                                                 1</t>
        </is>
      </c>
      <c r="AG503" s="7" t="inlineStr">
        <is>
          <t>96</t>
        </is>
      </c>
      <c r="AH503" s="7" t="inlineStr">
        <is>
          <t>2001</t>
        </is>
      </c>
    </row>
    <row r="504" ht="10" customHeight="1">
      <c r="A504" s="7" t="inlineStr">
        <is>
          <t>SCN</t>
        </is>
      </c>
      <c r="B504" s="7" t="inlineStr">
        <is>
          <t>Procurement</t>
        </is>
      </c>
      <c r="D504" s="7" t="inlineStr">
        <is>
          <t>Carrier Replacement Program - P-35 ELECTRONIC CONSOLIDATED AUTOMATED SUPPORT SYSTEM (eCASS) - Technical Engineering Services</t>
        </is>
      </c>
      <c r="E504" s="13" t="inlineStr">
        <is>
          <t>[ALT_VIEW]</t>
        </is>
      </c>
      <c r="F504" s="7" t="inlineStr">
        <is>
          <t>2001 / Carrier Replacement Program</t>
        </is>
      </c>
      <c r="G504" s="7" t="inlineStr">
        <is>
          <t>P-35</t>
        </is>
      </c>
      <c r="I504" s="14" t="n">
        <v>1</v>
      </c>
      <c r="J504" s="7" t="inlineStr">
        <is>
          <t>Full ship DD&amp;C</t>
        </is>
      </c>
      <c r="K504" s="13" t="inlineStr">
        <is>
          <t>USN</t>
        </is>
      </c>
      <c r="L504" s="7" t="inlineStr">
        <is>
          <t>Combatant Ships</t>
        </is>
      </c>
      <c r="M504" s="7" t="inlineStr">
        <is>
          <t>Aircraft Carriers</t>
        </is>
      </c>
      <c r="N504" s="7" t="inlineStr">
        <is>
          <t>CVN</t>
        </is>
      </c>
      <c r="O504" s="15" t="n"/>
      <c r="P504" s="16" t="n">
        <v>182</v>
      </c>
      <c r="S504" s="16" t="n">
        <v>396</v>
      </c>
      <c r="U504" s="16" t="n">
        <v>396</v>
      </c>
      <c r="AC504" s="23">
        <f>IF(OR(E504="",E504="[PARENT]"),"ADD",IF(E504="[ALT_VIEW]","ALT",""))</f>
        <v/>
      </c>
      <c r="AD504" s="21">
        <f>IF(Y504&lt;&gt;"",Y504,IF(U504&lt;&gt;"",U504,S504))</f>
        <v/>
      </c>
      <c r="AE504" s="21">
        <f>IF(AB504&lt;&gt;"",AB504,Z504)</f>
        <v/>
      </c>
      <c r="AF504" s="13" t="inlineStr">
        <is>
          <t>P-35 &gt; Carrier Replacement Program &gt; ELECTRONIC CONSOLIDATED AUTOMATED SUPPORT SYSTEM (eCASS) &gt; Technical Engineering Services</t>
        </is>
      </c>
      <c r="AG504" s="7" t="inlineStr">
        <is>
          <t>96</t>
        </is>
      </c>
      <c r="AH504" s="7" t="inlineStr">
        <is>
          <t>2001</t>
        </is>
      </c>
    </row>
    <row r="505" ht="10" customHeight="1">
      <c r="A505" s="7" t="inlineStr">
        <is>
          <t>SCN</t>
        </is>
      </c>
      <c r="B505" s="7" t="inlineStr">
        <is>
          <t>Procurement</t>
        </is>
      </c>
      <c r="D505" s="7" t="inlineStr">
        <is>
          <t>Carrier Replacement Program - P-35 OA-9277 ULTRA HIGH FREQUENCY (UHF) MULTICOUPLER - Major Hardware                                                                                            0                             -                                 1</t>
        </is>
      </c>
      <c r="E505" s="13" t="inlineStr">
        <is>
          <t>[ALT_VIEW]</t>
        </is>
      </c>
      <c r="F505" s="7" t="inlineStr">
        <is>
          <t>2001 / Carrier Replacement Program</t>
        </is>
      </c>
      <c r="G505" s="7" t="inlineStr">
        <is>
          <t>P-35</t>
        </is>
      </c>
      <c r="I505" s="14" t="n">
        <v>1</v>
      </c>
      <c r="J505" s="7" t="inlineStr">
        <is>
          <t>Full ship DD&amp;C</t>
        </is>
      </c>
      <c r="K505" s="13" t="inlineStr">
        <is>
          <t>USN</t>
        </is>
      </c>
      <c r="L505" s="7" t="inlineStr">
        <is>
          <t>Combatant Ships</t>
        </is>
      </c>
      <c r="M505" s="7" t="inlineStr">
        <is>
          <t>Aircraft Carriers</t>
        </is>
      </c>
      <c r="N505" s="7" t="inlineStr">
        <is>
          <t>CVN</t>
        </is>
      </c>
      <c r="O505" s="15" t="n"/>
      <c r="S505" s="16" t="n">
        <v>5925</v>
      </c>
      <c r="U505" s="16" t="n">
        <v>5925</v>
      </c>
      <c r="AC505" s="23">
        <f>IF(OR(E505="",E505="[PARENT]"),"ADD",IF(E505="[ALT_VIEW]","ALT",""))</f>
        <v/>
      </c>
      <c r="AD505" s="21">
        <f>IF(Y505&lt;&gt;"",Y505,IF(U505&lt;&gt;"",U505,S505))</f>
        <v/>
      </c>
      <c r="AE505" s="21">
        <f>IF(AB505&lt;&gt;"",AB505,Z505)</f>
        <v/>
      </c>
      <c r="AF505" s="13" t="inlineStr">
        <is>
          <t>P-35 &gt; Carrier Replacement Program &gt; OA-9277 ULTRA HIGH FREQUENCY (UHF) MULTICOUPLER &gt; Major Hardware                                                                                            0                             -                                 1</t>
        </is>
      </c>
      <c r="AG505" s="7" t="inlineStr">
        <is>
          <t>97</t>
        </is>
      </c>
      <c r="AH505" s="7" t="inlineStr">
        <is>
          <t>2001</t>
        </is>
      </c>
    </row>
    <row r="506" ht="10" customHeight="1">
      <c r="A506" s="7" t="inlineStr">
        <is>
          <t>SCN</t>
        </is>
      </c>
      <c r="B506" s="7" t="inlineStr">
        <is>
          <t>Procurement</t>
        </is>
      </c>
      <c r="D506" s="7" t="inlineStr">
        <is>
          <t>Carrier Replacement Program - P-35 OA-9277 ULTRA HIGH FREQUENCY (UHF) MULTICOUPLER - System Engineering                                                                                                                      -</t>
        </is>
      </c>
      <c r="E506" s="13" t="inlineStr">
        <is>
          <t>[ALT_VIEW]</t>
        </is>
      </c>
      <c r="F506" s="7" t="inlineStr">
        <is>
          <t>2001 / Carrier Replacement Program</t>
        </is>
      </c>
      <c r="G506" s="7" t="inlineStr">
        <is>
          <t>P-35</t>
        </is>
      </c>
      <c r="I506" s="14" t="n">
        <v>1</v>
      </c>
      <c r="J506" s="7" t="inlineStr">
        <is>
          <t>Full ship DD&amp;C</t>
        </is>
      </c>
      <c r="K506" s="13" t="inlineStr">
        <is>
          <t>USN</t>
        </is>
      </c>
      <c r="L506" s="7" t="inlineStr">
        <is>
          <t>Combatant Ships</t>
        </is>
      </c>
      <c r="M506" s="7" t="inlineStr">
        <is>
          <t>Aircraft Carriers</t>
        </is>
      </c>
      <c r="N506" s="7" t="inlineStr">
        <is>
          <t>CVN</t>
        </is>
      </c>
      <c r="O506" s="15" t="n"/>
      <c r="S506" s="16" t="n">
        <v>66</v>
      </c>
      <c r="U506" s="16" t="n">
        <v>66</v>
      </c>
      <c r="AC506" s="23">
        <f>IF(OR(E506="",E506="[PARENT]"),"ADD",IF(E506="[ALT_VIEW]","ALT",""))</f>
        <v/>
      </c>
      <c r="AD506" s="21">
        <f>IF(Y506&lt;&gt;"",Y506,IF(U506&lt;&gt;"",U506,S506))</f>
        <v/>
      </c>
      <c r="AE506" s="21">
        <f>IF(AB506&lt;&gt;"",AB506,Z506)</f>
        <v/>
      </c>
      <c r="AF506" s="13" t="inlineStr">
        <is>
          <t>P-35 &gt; Carrier Replacement Program &gt; OA-9277 ULTRA HIGH FREQUENCY (UHF) MULTICOUPLER &gt; System Engineering                                                                                                                      -</t>
        </is>
      </c>
      <c r="AG506" s="7" t="inlineStr">
        <is>
          <t>97</t>
        </is>
      </c>
      <c r="AH506" s="7" t="inlineStr">
        <is>
          <t>2001</t>
        </is>
      </c>
    </row>
    <row r="507" ht="10" customHeight="1">
      <c r="A507" s="7" t="inlineStr">
        <is>
          <t>SCN</t>
        </is>
      </c>
      <c r="B507" s="7" t="inlineStr">
        <is>
          <t>Procurement</t>
        </is>
      </c>
      <c r="D507" s="7" t="inlineStr">
        <is>
          <t>Carrier Replacement Program - P-35 OA-9277 ULTRA HIGH FREQUENCY (UHF) MULTICOUPLER - Technical Engineering Services                                                                                                          -</t>
        </is>
      </c>
      <c r="E507" s="13" t="inlineStr">
        <is>
          <t>[ALT_VIEW]</t>
        </is>
      </c>
      <c r="F507" s="7" t="inlineStr">
        <is>
          <t>2001 / Carrier Replacement Program</t>
        </is>
      </c>
      <c r="G507" s="7" t="inlineStr">
        <is>
          <t>P-35</t>
        </is>
      </c>
      <c r="I507" s="14" t="n">
        <v>1</v>
      </c>
      <c r="J507" s="7" t="inlineStr">
        <is>
          <t>Full ship DD&amp;C</t>
        </is>
      </c>
      <c r="K507" s="13" t="inlineStr">
        <is>
          <t>USN</t>
        </is>
      </c>
      <c r="L507" s="7" t="inlineStr">
        <is>
          <t>Combatant Ships</t>
        </is>
      </c>
      <c r="M507" s="7" t="inlineStr">
        <is>
          <t>Aircraft Carriers</t>
        </is>
      </c>
      <c r="N507" s="7" t="inlineStr">
        <is>
          <t>CVN</t>
        </is>
      </c>
      <c r="O507" s="15" t="n"/>
      <c r="S507" s="16" t="n">
        <v>54</v>
      </c>
      <c r="U507" s="16" t="n">
        <v>54</v>
      </c>
      <c r="AC507" s="23">
        <f>IF(OR(E507="",E507="[PARENT]"),"ADD",IF(E507="[ALT_VIEW]","ALT",""))</f>
        <v/>
      </c>
      <c r="AD507" s="21">
        <f>IF(Y507&lt;&gt;"",Y507,IF(U507&lt;&gt;"",U507,S507))</f>
        <v/>
      </c>
      <c r="AE507" s="21">
        <f>IF(AB507&lt;&gt;"",AB507,Z507)</f>
        <v/>
      </c>
      <c r="AF507" s="13" t="inlineStr">
        <is>
          <t>P-35 &gt; Carrier Replacement Program &gt; OA-9277 ULTRA HIGH FREQUENCY (UHF) MULTICOUPLER &gt; Technical Engineering Services                                                                                                          -</t>
        </is>
      </c>
      <c r="AG507" s="7" t="inlineStr">
        <is>
          <t>97</t>
        </is>
      </c>
      <c r="AH507" s="7" t="inlineStr">
        <is>
          <t>2001</t>
        </is>
      </c>
    </row>
    <row r="508" ht="10" customHeight="1">
      <c r="A508" s="7" t="inlineStr">
        <is>
          <t>SCN</t>
        </is>
      </c>
      <c r="B508" s="7" t="inlineStr">
        <is>
          <t>Procurement</t>
        </is>
      </c>
      <c r="D508" s="7" t="inlineStr">
        <is>
          <t>Carrier Replacement Program - P-35 OA-9277 ULTRA HIGH FREQUENCY (UHF) MULTICOUPLER - Other Costs                                                                                                                             -</t>
        </is>
      </c>
      <c r="E508" s="13" t="inlineStr">
        <is>
          <t>[ALT_VIEW]</t>
        </is>
      </c>
      <c r="F508" s="7" t="inlineStr">
        <is>
          <t>2001 / Carrier Replacement Program</t>
        </is>
      </c>
      <c r="G508" s="7" t="inlineStr">
        <is>
          <t>P-35</t>
        </is>
      </c>
      <c r="I508" s="14" t="n">
        <v>1</v>
      </c>
      <c r="J508" s="7" t="inlineStr">
        <is>
          <t>Full ship DD&amp;C</t>
        </is>
      </c>
      <c r="K508" s="13" t="inlineStr">
        <is>
          <t>USN</t>
        </is>
      </c>
      <c r="L508" s="7" t="inlineStr">
        <is>
          <t>Combatant Ships</t>
        </is>
      </c>
      <c r="M508" s="7" t="inlineStr">
        <is>
          <t>Aircraft Carriers</t>
        </is>
      </c>
      <c r="N508" s="7" t="inlineStr">
        <is>
          <t>CVN</t>
        </is>
      </c>
      <c r="O508" s="15" t="n"/>
      <c r="S508" s="16" t="n">
        <v>77</v>
      </c>
      <c r="U508" s="16" t="n">
        <v>77</v>
      </c>
      <c r="AC508" s="23">
        <f>IF(OR(E508="",E508="[PARENT]"),"ADD",IF(E508="[ALT_VIEW]","ALT",""))</f>
        <v/>
      </c>
      <c r="AD508" s="21">
        <f>IF(Y508&lt;&gt;"",Y508,IF(U508&lt;&gt;"",U508,S508))</f>
        <v/>
      </c>
      <c r="AE508" s="21">
        <f>IF(AB508&lt;&gt;"",AB508,Z508)</f>
        <v/>
      </c>
      <c r="AF508" s="13" t="inlineStr">
        <is>
          <t>P-35 &gt; Carrier Replacement Program &gt; OA-9277 ULTRA HIGH FREQUENCY (UHF) MULTICOUPLER &gt; Other Costs                                                                                                                             -</t>
        </is>
      </c>
      <c r="AG508" s="7" t="inlineStr">
        <is>
          <t>97</t>
        </is>
      </c>
      <c r="AH508" s="7" t="inlineStr">
        <is>
          <t>2001</t>
        </is>
      </c>
    </row>
    <row r="509" ht="10" customHeight="1">
      <c r="A509" s="7" t="inlineStr">
        <is>
          <t>SCN</t>
        </is>
      </c>
      <c r="B509" s="7" t="inlineStr">
        <is>
          <t>Procurement</t>
        </is>
      </c>
      <c r="D509" s="7" t="inlineStr">
        <is>
          <t>Carrier Replacement Program - P-35 AN/USQ-214(V)1, NETWORK TACTICAL COMMON DATA LINK (NTCDL) SYSTEM - Major Hardware                                                                                                         0                           -                                 1</t>
        </is>
      </c>
      <c r="E509" s="13" t="inlineStr">
        <is>
          <t>[ALT_VIEW]</t>
        </is>
      </c>
      <c r="F509" s="7" t="inlineStr">
        <is>
          <t>2001 / Carrier Replacement Program</t>
        </is>
      </c>
      <c r="G509" s="7" t="inlineStr">
        <is>
          <t>P-35</t>
        </is>
      </c>
      <c r="I509" s="14" t="n">
        <v>1</v>
      </c>
      <c r="J509" s="7" t="inlineStr">
        <is>
          <t>Full ship DD&amp;C</t>
        </is>
      </c>
      <c r="K509" s="13" t="inlineStr">
        <is>
          <t>USN</t>
        </is>
      </c>
      <c r="L509" s="7" t="inlineStr">
        <is>
          <t>Combatant Ships</t>
        </is>
      </c>
      <c r="M509" s="7" t="inlineStr">
        <is>
          <t>Aircraft Carriers</t>
        </is>
      </c>
      <c r="N509" s="7" t="inlineStr">
        <is>
          <t>CVN</t>
        </is>
      </c>
      <c r="O509" s="15" t="n"/>
      <c r="S509" s="16" t="n">
        <v>6396</v>
      </c>
      <c r="U509" s="16" t="n">
        <v>6396</v>
      </c>
      <c r="AC509" s="23">
        <f>IF(OR(E509="",E509="[PARENT]"),"ADD",IF(E509="[ALT_VIEW]","ALT",""))</f>
        <v/>
      </c>
      <c r="AD509" s="21">
        <f>IF(Y509&lt;&gt;"",Y509,IF(U509&lt;&gt;"",U509,S509))</f>
        <v/>
      </c>
      <c r="AE509" s="21">
        <f>IF(AB509&lt;&gt;"",AB509,Z509)</f>
        <v/>
      </c>
      <c r="AF509" s="13" t="inlineStr">
        <is>
          <t>P-35 &gt; Carrier Replacement Program &gt; AN/USQ-214(V)1, NETWORK TACTICAL COMMON DATA LINK (NTCDL) SYSTEM &gt; Major Hardware                                                                                                         0                           -                                 1</t>
        </is>
      </c>
      <c r="AG509" s="7" t="inlineStr">
        <is>
          <t>98</t>
        </is>
      </c>
      <c r="AH509" s="7" t="inlineStr">
        <is>
          <t>2001</t>
        </is>
      </c>
    </row>
    <row r="510" ht="10" customHeight="1">
      <c r="A510" s="7" t="inlineStr">
        <is>
          <t>SCN</t>
        </is>
      </c>
      <c r="B510" s="7" t="inlineStr">
        <is>
          <t>Procurement</t>
        </is>
      </c>
      <c r="D510" s="7" t="inlineStr">
        <is>
          <t>Carrier Replacement Program - P-35 AN/USQ-214(V)1, NETWORK TACTICAL COMMON DATA LINK (NTCDL) SYSTEM - Spares                                                                                                                                             -</t>
        </is>
      </c>
      <c r="E510" s="13" t="inlineStr">
        <is>
          <t>[ALT_VIEW]</t>
        </is>
      </c>
      <c r="F510" s="7" t="inlineStr">
        <is>
          <t>2001 / Carrier Replacement Program</t>
        </is>
      </c>
      <c r="G510" s="7" t="inlineStr">
        <is>
          <t>P-35</t>
        </is>
      </c>
      <c r="I510" s="14" t="n">
        <v>1</v>
      </c>
      <c r="J510" s="7" t="inlineStr">
        <is>
          <t>Full ship DD&amp;C</t>
        </is>
      </c>
      <c r="K510" s="13" t="inlineStr">
        <is>
          <t>USN</t>
        </is>
      </c>
      <c r="L510" s="7" t="inlineStr">
        <is>
          <t>Combatant Ships</t>
        </is>
      </c>
      <c r="M510" s="7" t="inlineStr">
        <is>
          <t>Aircraft Carriers</t>
        </is>
      </c>
      <c r="N510" s="7" t="inlineStr">
        <is>
          <t>CVN</t>
        </is>
      </c>
      <c r="O510" s="15" t="n"/>
      <c r="S510" s="16" t="n">
        <v>854</v>
      </c>
      <c r="U510" s="16" t="n">
        <v>854</v>
      </c>
      <c r="AC510" s="23">
        <f>IF(OR(E510="",E510="[PARENT]"),"ADD",IF(E510="[ALT_VIEW]","ALT",""))</f>
        <v/>
      </c>
      <c r="AD510" s="21">
        <f>IF(Y510&lt;&gt;"",Y510,IF(U510&lt;&gt;"",U510,S510))</f>
        <v/>
      </c>
      <c r="AE510" s="21">
        <f>IF(AB510&lt;&gt;"",AB510,Z510)</f>
        <v/>
      </c>
      <c r="AF510" s="13" t="inlineStr">
        <is>
          <t>P-35 &gt; Carrier Replacement Program &gt; AN/USQ-214(V)1, NETWORK TACTICAL COMMON DATA LINK (NTCDL) SYSTEM &gt; Spares                                                                                                                                             -</t>
        </is>
      </c>
      <c r="AG510" s="7" t="inlineStr">
        <is>
          <t>98</t>
        </is>
      </c>
      <c r="AH510" s="7" t="inlineStr">
        <is>
          <t>2001</t>
        </is>
      </c>
    </row>
    <row r="511" ht="10" customHeight="1">
      <c r="A511" s="7" t="inlineStr">
        <is>
          <t>SCN</t>
        </is>
      </c>
      <c r="B511" s="7" t="inlineStr">
        <is>
          <t>Procurement</t>
        </is>
      </c>
      <c r="D511" s="7" t="inlineStr">
        <is>
          <t>Carrier Replacement Program - P-35 AN/USQ-214(V)1, NETWORK TACTICAL COMMON DATA LINK (NTCDL) SYSTEM - System Engineering                                                                                                                                 -</t>
        </is>
      </c>
      <c r="E511" s="13" t="inlineStr">
        <is>
          <t>[ALT_VIEW]</t>
        </is>
      </c>
      <c r="F511" s="7" t="inlineStr">
        <is>
          <t>2001 / Carrier Replacement Program</t>
        </is>
      </c>
      <c r="G511" s="7" t="inlineStr">
        <is>
          <t>P-35</t>
        </is>
      </c>
      <c r="I511" s="14" t="n">
        <v>1</v>
      </c>
      <c r="J511" s="7" t="inlineStr">
        <is>
          <t>Full ship DD&amp;C</t>
        </is>
      </c>
      <c r="K511" s="13" t="inlineStr">
        <is>
          <t>USN</t>
        </is>
      </c>
      <c r="L511" s="7" t="inlineStr">
        <is>
          <t>Combatant Ships</t>
        </is>
      </c>
      <c r="M511" s="7" t="inlineStr">
        <is>
          <t>Aircraft Carriers</t>
        </is>
      </c>
      <c r="N511" s="7" t="inlineStr">
        <is>
          <t>CVN</t>
        </is>
      </c>
      <c r="O511" s="15" t="n"/>
      <c r="S511" s="16" t="n">
        <v>250</v>
      </c>
      <c r="U511" s="16" t="n">
        <v>250</v>
      </c>
      <c r="AC511" s="23">
        <f>IF(OR(E511="",E511="[PARENT]"),"ADD",IF(E511="[ALT_VIEW]","ALT",""))</f>
        <v/>
      </c>
      <c r="AD511" s="21">
        <f>IF(Y511&lt;&gt;"",Y511,IF(U511&lt;&gt;"",U511,S511))</f>
        <v/>
      </c>
      <c r="AE511" s="21">
        <f>IF(AB511&lt;&gt;"",AB511,Z511)</f>
        <v/>
      </c>
      <c r="AF511" s="13" t="inlineStr">
        <is>
          <t>P-35 &gt; Carrier Replacement Program &gt; AN/USQ-214(V)1, NETWORK TACTICAL COMMON DATA LINK (NTCDL) SYSTEM &gt; System Engineering                                                                                                                                 -</t>
        </is>
      </c>
      <c r="AG511" s="7" t="inlineStr">
        <is>
          <t>98</t>
        </is>
      </c>
      <c r="AH511" s="7" t="inlineStr">
        <is>
          <t>2001</t>
        </is>
      </c>
    </row>
    <row r="512" ht="10" customHeight="1">
      <c r="A512" s="7" t="inlineStr">
        <is>
          <t>SCN</t>
        </is>
      </c>
      <c r="B512" s="7" t="inlineStr">
        <is>
          <t>Procurement</t>
        </is>
      </c>
      <c r="D512" s="7" t="inlineStr">
        <is>
          <t>Carrier Replacement Program - P-35 AN/USQ-214(V)1, NETWORK TACTICAL COMMON DATA LINK (NTCDL) SYSTEM - Technical Engineering Services                                                                                                                     -</t>
        </is>
      </c>
      <c r="E512" s="13" t="inlineStr">
        <is>
          <t>[ALT_VIEW]</t>
        </is>
      </c>
      <c r="F512" s="7" t="inlineStr">
        <is>
          <t>2001 / Carrier Replacement Program</t>
        </is>
      </c>
      <c r="G512" s="7" t="inlineStr">
        <is>
          <t>P-35</t>
        </is>
      </c>
      <c r="I512" s="14" t="n">
        <v>1</v>
      </c>
      <c r="J512" s="7" t="inlineStr">
        <is>
          <t>Full ship DD&amp;C</t>
        </is>
      </c>
      <c r="K512" s="13" t="inlineStr">
        <is>
          <t>USN</t>
        </is>
      </c>
      <c r="L512" s="7" t="inlineStr">
        <is>
          <t>Combatant Ships</t>
        </is>
      </c>
      <c r="M512" s="7" t="inlineStr">
        <is>
          <t>Aircraft Carriers</t>
        </is>
      </c>
      <c r="N512" s="7" t="inlineStr">
        <is>
          <t>CVN</t>
        </is>
      </c>
      <c r="O512" s="15" t="n"/>
      <c r="S512" s="16" t="n">
        <v>244</v>
      </c>
      <c r="U512" s="16" t="n">
        <v>244</v>
      </c>
      <c r="AC512" s="23">
        <f>IF(OR(E512="",E512="[PARENT]"),"ADD",IF(E512="[ALT_VIEW]","ALT",""))</f>
        <v/>
      </c>
      <c r="AD512" s="21">
        <f>IF(Y512&lt;&gt;"",Y512,IF(U512&lt;&gt;"",U512,S512))</f>
        <v/>
      </c>
      <c r="AE512" s="21">
        <f>IF(AB512&lt;&gt;"",AB512,Z512)</f>
        <v/>
      </c>
      <c r="AF512" s="13" t="inlineStr">
        <is>
          <t>P-35 &gt; Carrier Replacement Program &gt; AN/USQ-214(V)1, NETWORK TACTICAL COMMON DATA LINK (NTCDL) SYSTEM &gt; Technical Engineering Services                                                                                                                     -</t>
        </is>
      </c>
      <c r="AG512" s="7" t="inlineStr">
        <is>
          <t>98</t>
        </is>
      </c>
      <c r="AH512" s="7" t="inlineStr">
        <is>
          <t>2001</t>
        </is>
      </c>
    </row>
    <row r="513" ht="10" customHeight="1">
      <c r="A513" s="7" t="inlineStr">
        <is>
          <t>SCN</t>
        </is>
      </c>
      <c r="B513" s="7" t="inlineStr">
        <is>
          <t>Procurement</t>
        </is>
      </c>
      <c r="D513" s="7" t="inlineStr">
        <is>
          <t>Carrier Replacement Program - P-35 AN/USQ-214(V)1, NETWORK TACTICAL COMMON DATA LINK (NTCDL) SYSTEM - Other Costs                                                                                                                                        -</t>
        </is>
      </c>
      <c r="E513" s="13" t="inlineStr">
        <is>
          <t>[ALT_VIEW]</t>
        </is>
      </c>
      <c r="F513" s="7" t="inlineStr">
        <is>
          <t>2001 / Carrier Replacement Program</t>
        </is>
      </c>
      <c r="G513" s="7" t="inlineStr">
        <is>
          <t>P-35</t>
        </is>
      </c>
      <c r="I513" s="14" t="n">
        <v>1</v>
      </c>
      <c r="J513" s="7" t="inlineStr">
        <is>
          <t>Full ship DD&amp;C</t>
        </is>
      </c>
      <c r="K513" s="13" t="inlineStr">
        <is>
          <t>USN</t>
        </is>
      </c>
      <c r="L513" s="7" t="inlineStr">
        <is>
          <t>Combatant Ships</t>
        </is>
      </c>
      <c r="M513" s="7" t="inlineStr">
        <is>
          <t>Aircraft Carriers</t>
        </is>
      </c>
      <c r="N513" s="7" t="inlineStr">
        <is>
          <t>CVN</t>
        </is>
      </c>
      <c r="O513" s="15" t="n"/>
      <c r="S513" s="16" t="n">
        <v>619</v>
      </c>
      <c r="U513" s="16" t="n">
        <v>619</v>
      </c>
      <c r="AC513" s="23">
        <f>IF(OR(E513="",E513="[PARENT]"),"ADD",IF(E513="[ALT_VIEW]","ALT",""))</f>
        <v/>
      </c>
      <c r="AD513" s="21">
        <f>IF(Y513&lt;&gt;"",Y513,IF(U513&lt;&gt;"",U513,S513))</f>
        <v/>
      </c>
      <c r="AE513" s="21">
        <f>IF(AB513&lt;&gt;"",AB513,Z513)</f>
        <v/>
      </c>
      <c r="AF513" s="13" t="inlineStr">
        <is>
          <t>P-35 &gt; Carrier Replacement Program &gt; AN/USQ-214(V)1, NETWORK TACTICAL COMMON DATA LINK (NTCDL) SYSTEM &gt; Other Costs                                                                                                                                        -</t>
        </is>
      </c>
      <c r="AG513" s="7" t="inlineStr">
        <is>
          <t>98</t>
        </is>
      </c>
      <c r="AH513" s="7" t="inlineStr">
        <is>
          <t>2001</t>
        </is>
      </c>
    </row>
    <row r="514" ht="10" customHeight="1">
      <c r="A514" s="7" t="inlineStr">
        <is>
          <t>SCN</t>
        </is>
      </c>
      <c r="B514" s="7" t="inlineStr">
        <is>
          <t>Procurement</t>
        </is>
      </c>
      <c r="D514" s="7" t="inlineStr">
        <is>
          <t>Carrier Replacement Program - P-35 RING LASER GYRO NAVIGATOR (RLGN) AN/WSN-12(V)1 - Major Hardware                                                                                            0                             -                                 1</t>
        </is>
      </c>
      <c r="E514" s="13" t="inlineStr">
        <is>
          <t>[ALT_VIEW]</t>
        </is>
      </c>
      <c r="F514" s="7" t="inlineStr">
        <is>
          <t>2001 / Carrier Replacement Program</t>
        </is>
      </c>
      <c r="G514" s="7" t="inlineStr">
        <is>
          <t>P-35</t>
        </is>
      </c>
      <c r="I514" s="14" t="n">
        <v>1</v>
      </c>
      <c r="J514" s="7" t="inlineStr">
        <is>
          <t>Full ship DD&amp;C</t>
        </is>
      </c>
      <c r="K514" s="13" t="inlineStr">
        <is>
          <t>USN</t>
        </is>
      </c>
      <c r="L514" s="7" t="inlineStr">
        <is>
          <t>Combatant Ships</t>
        </is>
      </c>
      <c r="M514" s="7" t="inlineStr">
        <is>
          <t>Aircraft Carriers</t>
        </is>
      </c>
      <c r="N514" s="7" t="inlineStr">
        <is>
          <t>CVN</t>
        </is>
      </c>
      <c r="O514" s="15" t="n"/>
      <c r="S514" s="16" t="n">
        <v>4864</v>
      </c>
      <c r="U514" s="16" t="n">
        <v>4864</v>
      </c>
      <c r="AC514" s="23">
        <f>IF(OR(E514="",E514="[PARENT]"),"ADD",IF(E514="[ALT_VIEW]","ALT",""))</f>
        <v/>
      </c>
      <c r="AD514" s="21">
        <f>IF(Y514&lt;&gt;"",Y514,IF(U514&lt;&gt;"",U514,S514))</f>
        <v/>
      </c>
      <c r="AE514" s="21">
        <f>IF(AB514&lt;&gt;"",AB514,Z514)</f>
        <v/>
      </c>
      <c r="AF514" s="13" t="inlineStr">
        <is>
          <t>P-35 &gt; Carrier Replacement Program &gt; RING LASER GYRO NAVIGATOR (RLGN) AN/WSN-12(V)1 &gt; Major Hardware                                                                                            0                             -                                 1</t>
        </is>
      </c>
      <c r="AG514" s="7" t="inlineStr">
        <is>
          <t>99</t>
        </is>
      </c>
      <c r="AH514" s="7" t="inlineStr">
        <is>
          <t>0670</t>
        </is>
      </c>
    </row>
    <row r="515" ht="10" customHeight="1">
      <c r="A515" s="7" t="inlineStr">
        <is>
          <t>SCN</t>
        </is>
      </c>
      <c r="B515" s="7" t="inlineStr">
        <is>
          <t>Procurement</t>
        </is>
      </c>
      <c r="D515" s="7" t="inlineStr">
        <is>
          <t>Carrier Replacement Program - P-35 RING LASER GYRO NAVIGATOR (RLGN) AN/WSN-12(V)1 - Technical Data and Documentation                                                                                                        -</t>
        </is>
      </c>
      <c r="E515" s="13" t="inlineStr">
        <is>
          <t>[ALT_VIEW]</t>
        </is>
      </c>
      <c r="F515" s="7" t="inlineStr">
        <is>
          <t>2001 / Carrier Replacement Program</t>
        </is>
      </c>
      <c r="G515" s="7" t="inlineStr">
        <is>
          <t>P-35</t>
        </is>
      </c>
      <c r="I515" s="14" t="n">
        <v>1</v>
      </c>
      <c r="J515" s="7" t="inlineStr">
        <is>
          <t>Full ship DD&amp;C</t>
        </is>
      </c>
      <c r="K515" s="13" t="inlineStr">
        <is>
          <t>USN</t>
        </is>
      </c>
      <c r="L515" s="7" t="inlineStr">
        <is>
          <t>Combatant Ships</t>
        </is>
      </c>
      <c r="M515" s="7" t="inlineStr">
        <is>
          <t>Aircraft Carriers</t>
        </is>
      </c>
      <c r="N515" s="7" t="inlineStr">
        <is>
          <t>CVN</t>
        </is>
      </c>
      <c r="O515" s="15" t="n"/>
      <c r="S515" s="16" t="n">
        <v>150</v>
      </c>
      <c r="U515" s="16" t="n">
        <v>150</v>
      </c>
      <c r="AC515" s="23">
        <f>IF(OR(E515="",E515="[PARENT]"),"ADD",IF(E515="[ALT_VIEW]","ALT",""))</f>
        <v/>
      </c>
      <c r="AD515" s="21">
        <f>IF(Y515&lt;&gt;"",Y515,IF(U515&lt;&gt;"",U515,S515))</f>
        <v/>
      </c>
      <c r="AE515" s="21">
        <f>IF(AB515&lt;&gt;"",AB515,Z515)</f>
        <v/>
      </c>
      <c r="AF515" s="13" t="inlineStr">
        <is>
          <t>P-35 &gt; Carrier Replacement Program &gt; RING LASER GYRO NAVIGATOR (RLGN) AN/WSN-12(V)1 &gt; Technical Data and Documentation                                                                                                        -</t>
        </is>
      </c>
      <c r="AG515" s="7" t="inlineStr">
        <is>
          <t>99</t>
        </is>
      </c>
      <c r="AH515" s="7" t="inlineStr">
        <is>
          <t>2001</t>
        </is>
      </c>
    </row>
    <row r="516" ht="10" customHeight="1">
      <c r="A516" s="7" t="inlineStr">
        <is>
          <t>SCN</t>
        </is>
      </c>
      <c r="B516" s="7" t="inlineStr">
        <is>
          <t>Procurement</t>
        </is>
      </c>
      <c r="D516" s="7" t="inlineStr">
        <is>
          <t>Carrier Replacement Program - P-35 RING LASER GYRO NAVIGATOR (RLGN) AN/WSN-12(V)1 - Spares                                                                                                                                  -</t>
        </is>
      </c>
      <c r="E516" s="13" t="inlineStr">
        <is>
          <t>[ALT_VIEW]</t>
        </is>
      </c>
      <c r="F516" s="7" t="inlineStr">
        <is>
          <t>2001 / Carrier Replacement Program</t>
        </is>
      </c>
      <c r="G516" s="7" t="inlineStr">
        <is>
          <t>P-35</t>
        </is>
      </c>
      <c r="I516" s="14" t="n">
        <v>1</v>
      </c>
      <c r="J516" s="7" t="inlineStr">
        <is>
          <t>Full ship DD&amp;C</t>
        </is>
      </c>
      <c r="K516" s="13" t="inlineStr">
        <is>
          <t>USN</t>
        </is>
      </c>
      <c r="L516" s="7" t="inlineStr">
        <is>
          <t>Combatant Ships</t>
        </is>
      </c>
      <c r="M516" s="7" t="inlineStr">
        <is>
          <t>Aircraft Carriers</t>
        </is>
      </c>
      <c r="N516" s="7" t="inlineStr">
        <is>
          <t>CVN</t>
        </is>
      </c>
      <c r="O516" s="15" t="n"/>
      <c r="S516" s="16" t="n">
        <v>600</v>
      </c>
      <c r="U516" s="16" t="n">
        <v>600</v>
      </c>
      <c r="AC516" s="23">
        <f>IF(OR(E516="",E516="[PARENT]"),"ADD",IF(E516="[ALT_VIEW]","ALT",""))</f>
        <v/>
      </c>
      <c r="AD516" s="21">
        <f>IF(Y516&lt;&gt;"",Y516,IF(U516&lt;&gt;"",U516,S516))</f>
        <v/>
      </c>
      <c r="AE516" s="21">
        <f>IF(AB516&lt;&gt;"",AB516,Z516)</f>
        <v/>
      </c>
      <c r="AF516" s="13" t="inlineStr">
        <is>
          <t>P-35 &gt; Carrier Replacement Program &gt; RING LASER GYRO NAVIGATOR (RLGN) AN/WSN-12(V)1 &gt; Spares                                                                                                                                  -</t>
        </is>
      </c>
      <c r="AG516" s="7" t="inlineStr">
        <is>
          <t>99</t>
        </is>
      </c>
      <c r="AH516" s="7" t="inlineStr">
        <is>
          <t>2001</t>
        </is>
      </c>
    </row>
    <row r="517" ht="10" customHeight="1">
      <c r="A517" s="7" t="inlineStr">
        <is>
          <t>SCN</t>
        </is>
      </c>
      <c r="B517" s="7" t="inlineStr">
        <is>
          <t>Procurement</t>
        </is>
      </c>
      <c r="D517" s="7" t="inlineStr">
        <is>
          <t>Carrier Replacement Program - P-35 RING LASER GYRO NAVIGATOR (RLGN) AN/WSN-12(V)1 - System Engineering                                                                                                                      -</t>
        </is>
      </c>
      <c r="E517" s="13" t="inlineStr">
        <is>
          <t>[ALT_VIEW]</t>
        </is>
      </c>
      <c r="F517" s="7" t="inlineStr">
        <is>
          <t>2001 / Carrier Replacement Program</t>
        </is>
      </c>
      <c r="G517" s="7" t="inlineStr">
        <is>
          <t>P-35</t>
        </is>
      </c>
      <c r="I517" s="14" t="n">
        <v>1</v>
      </c>
      <c r="J517" s="7" t="inlineStr">
        <is>
          <t>Full ship DD&amp;C</t>
        </is>
      </c>
      <c r="K517" s="13" t="inlineStr">
        <is>
          <t>USN</t>
        </is>
      </c>
      <c r="L517" s="7" t="inlineStr">
        <is>
          <t>Combatant Ships</t>
        </is>
      </c>
      <c r="M517" s="7" t="inlineStr">
        <is>
          <t>Aircraft Carriers</t>
        </is>
      </c>
      <c r="N517" s="7" t="inlineStr">
        <is>
          <t>CVN</t>
        </is>
      </c>
      <c r="O517" s="15" t="n"/>
      <c r="S517" s="16" t="n">
        <v>2701</v>
      </c>
      <c r="U517" s="16" t="n">
        <v>2701</v>
      </c>
      <c r="AC517" s="23">
        <f>IF(OR(E517="",E517="[PARENT]"),"ADD",IF(E517="[ALT_VIEW]","ALT",""))</f>
        <v/>
      </c>
      <c r="AD517" s="21">
        <f>IF(Y517&lt;&gt;"",Y517,IF(U517&lt;&gt;"",U517,S517))</f>
        <v/>
      </c>
      <c r="AE517" s="21">
        <f>IF(AB517&lt;&gt;"",AB517,Z517)</f>
        <v/>
      </c>
      <c r="AF517" s="13" t="inlineStr">
        <is>
          <t>P-35 &gt; Carrier Replacement Program &gt; RING LASER GYRO NAVIGATOR (RLGN) AN/WSN-12(V)1 &gt; System Engineering                                                                                                                      -</t>
        </is>
      </c>
      <c r="AG517" s="7" t="inlineStr">
        <is>
          <t>99</t>
        </is>
      </c>
      <c r="AH517" s="7" t="inlineStr">
        <is>
          <t>2001</t>
        </is>
      </c>
    </row>
    <row r="518" ht="10" customHeight="1">
      <c r="A518" s="7" t="inlineStr">
        <is>
          <t>SCN</t>
        </is>
      </c>
      <c r="B518" s="7" t="inlineStr">
        <is>
          <t>Procurement</t>
        </is>
      </c>
      <c r="D518" s="7" t="inlineStr">
        <is>
          <t>Carrier Replacement Program - P-35 RING LASER GYRO NAVIGATOR (RLGN) AN/WSN-12(V)1 - Technical Engineering Services                                                                                                          -</t>
        </is>
      </c>
      <c r="E518" s="13" t="inlineStr">
        <is>
          <t>[ALT_VIEW]</t>
        </is>
      </c>
      <c r="F518" s="7" t="inlineStr">
        <is>
          <t>2001 / Carrier Replacement Program</t>
        </is>
      </c>
      <c r="G518" s="7" t="inlineStr">
        <is>
          <t>P-35</t>
        </is>
      </c>
      <c r="I518" s="14" t="n">
        <v>1</v>
      </c>
      <c r="J518" s="7" t="inlineStr">
        <is>
          <t>Full ship DD&amp;C</t>
        </is>
      </c>
      <c r="K518" s="13" t="inlineStr">
        <is>
          <t>USN</t>
        </is>
      </c>
      <c r="L518" s="7" t="inlineStr">
        <is>
          <t>Combatant Ships</t>
        </is>
      </c>
      <c r="M518" s="7" t="inlineStr">
        <is>
          <t>Aircraft Carriers</t>
        </is>
      </c>
      <c r="N518" s="7" t="inlineStr">
        <is>
          <t>CVN</t>
        </is>
      </c>
      <c r="O518" s="15" t="n"/>
      <c r="S518" s="16" t="n">
        <v>233</v>
      </c>
      <c r="U518" s="16" t="n">
        <v>233</v>
      </c>
      <c r="AC518" s="23">
        <f>IF(OR(E518="",E518="[PARENT]"),"ADD",IF(E518="[ALT_VIEW]","ALT",""))</f>
        <v/>
      </c>
      <c r="AD518" s="21">
        <f>IF(Y518&lt;&gt;"",Y518,IF(U518&lt;&gt;"",U518,S518))</f>
        <v/>
      </c>
      <c r="AE518" s="21">
        <f>IF(AB518&lt;&gt;"",AB518,Z518)</f>
        <v/>
      </c>
      <c r="AF518" s="13" t="inlineStr">
        <is>
          <t>P-35 &gt; Carrier Replacement Program &gt; RING LASER GYRO NAVIGATOR (RLGN) AN/WSN-12(V)1 &gt; Technical Engineering Services                                                                                                          -</t>
        </is>
      </c>
      <c r="AG518" s="7" t="inlineStr">
        <is>
          <t>99</t>
        </is>
      </c>
      <c r="AH518" s="7" t="inlineStr">
        <is>
          <t>2001</t>
        </is>
      </c>
    </row>
    <row r="519" ht="10" customHeight="1">
      <c r="A519" s="7" t="inlineStr">
        <is>
          <t>SCN</t>
        </is>
      </c>
      <c r="B519" s="7" t="inlineStr">
        <is>
          <t>Procurement</t>
        </is>
      </c>
      <c r="D519" s="7" t="inlineStr">
        <is>
          <t>Carrier Replacement Program - P-35 RING LASER GYRO NAVIGATOR (RLGN) AN/WSN-12(V)1 - Other Costs                                                                                                                             -</t>
        </is>
      </c>
      <c r="E519" s="13" t="inlineStr">
        <is>
          <t>[ALT_VIEW]</t>
        </is>
      </c>
      <c r="F519" s="7" t="inlineStr">
        <is>
          <t>2001 / Carrier Replacement Program</t>
        </is>
      </c>
      <c r="G519" s="7" t="inlineStr">
        <is>
          <t>P-35</t>
        </is>
      </c>
      <c r="I519" s="14" t="n">
        <v>1</v>
      </c>
      <c r="J519" s="7" t="inlineStr">
        <is>
          <t>Full ship DD&amp;C</t>
        </is>
      </c>
      <c r="K519" s="13" t="inlineStr">
        <is>
          <t>USN</t>
        </is>
      </c>
      <c r="L519" s="7" t="inlineStr">
        <is>
          <t>Combatant Ships</t>
        </is>
      </c>
      <c r="M519" s="7" t="inlineStr">
        <is>
          <t>Aircraft Carriers</t>
        </is>
      </c>
      <c r="N519" s="7" t="inlineStr">
        <is>
          <t>CVN</t>
        </is>
      </c>
      <c r="O519" s="15" t="n"/>
      <c r="S519" s="16" t="n">
        <v>777</v>
      </c>
      <c r="U519" s="16" t="n">
        <v>777</v>
      </c>
      <c r="AC519" s="23">
        <f>IF(OR(E519="",E519="[PARENT]"),"ADD",IF(E519="[ALT_VIEW]","ALT",""))</f>
        <v/>
      </c>
      <c r="AD519" s="21">
        <f>IF(Y519&lt;&gt;"",Y519,IF(U519&lt;&gt;"",U519,S519))</f>
        <v/>
      </c>
      <c r="AE519" s="21">
        <f>IF(AB519&lt;&gt;"",AB519,Z519)</f>
        <v/>
      </c>
      <c r="AF519" s="13" t="inlineStr">
        <is>
          <t>P-35 &gt; Carrier Replacement Program &gt; RING LASER GYRO NAVIGATOR (RLGN) AN/WSN-12(V)1 &gt; Other Costs                                                                                                                             -</t>
        </is>
      </c>
      <c r="AG519" s="7" t="inlineStr">
        <is>
          <t>99</t>
        </is>
      </c>
      <c r="AH519" s="7" t="inlineStr">
        <is>
          <t>2001</t>
        </is>
      </c>
    </row>
    <row r="520" ht="10" customHeight="1">
      <c r="A520" s="7" t="inlineStr">
        <is>
          <t>SCN</t>
        </is>
      </c>
      <c r="B520" s="7" t="inlineStr">
        <is>
          <t>Procurement</t>
        </is>
      </c>
      <c r="D520" s="7" t="inlineStr">
        <is>
          <t>Carrier Replacement Program - P-35 MK 53 MOD 15 DECOY LAUNCHING SYSTEM - Major Hardware                                                                                                 0                              -                                 1</t>
        </is>
      </c>
      <c r="E520" s="13" t="inlineStr">
        <is>
          <t>[ALT_VIEW]</t>
        </is>
      </c>
      <c r="F520" s="7" t="inlineStr">
        <is>
          <t>2001 / Carrier Replacement Program</t>
        </is>
      </c>
      <c r="G520" s="7" t="inlineStr">
        <is>
          <t>P-35</t>
        </is>
      </c>
      <c r="I520" s="14" t="n">
        <v>1</v>
      </c>
      <c r="J520" s="7" t="inlineStr">
        <is>
          <t>Full ship DD&amp;C</t>
        </is>
      </c>
      <c r="K520" s="13" t="inlineStr">
        <is>
          <t>USN</t>
        </is>
      </c>
      <c r="L520" s="7" t="inlineStr">
        <is>
          <t>Combatant Ships</t>
        </is>
      </c>
      <c r="M520" s="7" t="inlineStr">
        <is>
          <t>Aircraft Carriers</t>
        </is>
      </c>
      <c r="N520" s="7" t="inlineStr">
        <is>
          <t>CVN</t>
        </is>
      </c>
      <c r="O520" s="15" t="n"/>
      <c r="S520" s="16" t="n">
        <v>12084</v>
      </c>
      <c r="U520" s="16" t="n">
        <v>12084</v>
      </c>
      <c r="AC520" s="23">
        <f>IF(OR(E520="",E520="[PARENT]"),"ADD",IF(E520="[ALT_VIEW]","ALT",""))</f>
        <v/>
      </c>
      <c r="AD520" s="21">
        <f>IF(Y520&lt;&gt;"",Y520,IF(U520&lt;&gt;"",U520,S520))</f>
        <v/>
      </c>
      <c r="AE520" s="21">
        <f>IF(AB520&lt;&gt;"",AB520,Z520)</f>
        <v/>
      </c>
      <c r="AF520" s="13" t="inlineStr">
        <is>
          <t>P-35 &gt; Carrier Replacement Program &gt; MK 53 MOD 15 DECOY LAUNCHING SYSTEM &gt; Major Hardware                                                                                                 0                              -                                 1</t>
        </is>
      </c>
      <c r="AG520" s="7" t="inlineStr">
        <is>
          <t>100</t>
        </is>
      </c>
      <c r="AH520" s="7" t="inlineStr">
        <is>
          <t>2001</t>
        </is>
      </c>
    </row>
    <row r="521" ht="10" customHeight="1">
      <c r="A521" s="7" t="inlineStr">
        <is>
          <t>SCN</t>
        </is>
      </c>
      <c r="B521" s="7" t="inlineStr">
        <is>
          <t>Procurement</t>
        </is>
      </c>
      <c r="D521" s="7" t="inlineStr">
        <is>
          <t>Carrier Replacement Program - P-35 MK 53 MOD 15 DECOY LAUNCHING SYSTEM - Technical Data and Documentation                                                                                                              -</t>
        </is>
      </c>
      <c r="E521" s="13" t="inlineStr">
        <is>
          <t>[ALT_VIEW]</t>
        </is>
      </c>
      <c r="F521" s="7" t="inlineStr">
        <is>
          <t>2001 / Carrier Replacement Program</t>
        </is>
      </c>
      <c r="G521" s="7" t="inlineStr">
        <is>
          <t>P-35</t>
        </is>
      </c>
      <c r="I521" s="14" t="n">
        <v>1</v>
      </c>
      <c r="J521" s="7" t="inlineStr">
        <is>
          <t>Full ship DD&amp;C</t>
        </is>
      </c>
      <c r="K521" s="13" t="inlineStr">
        <is>
          <t>USN</t>
        </is>
      </c>
      <c r="L521" s="7" t="inlineStr">
        <is>
          <t>Combatant Ships</t>
        </is>
      </c>
      <c r="M521" s="7" t="inlineStr">
        <is>
          <t>Aircraft Carriers</t>
        </is>
      </c>
      <c r="N521" s="7" t="inlineStr">
        <is>
          <t>CVN</t>
        </is>
      </c>
      <c r="O521" s="15" t="n"/>
      <c r="S521" s="16" t="n">
        <v>69</v>
      </c>
      <c r="U521" s="16" t="n">
        <v>69</v>
      </c>
      <c r="AC521" s="23">
        <f>IF(OR(E521="",E521="[PARENT]"),"ADD",IF(E521="[ALT_VIEW]","ALT",""))</f>
        <v/>
      </c>
      <c r="AD521" s="21">
        <f>IF(Y521&lt;&gt;"",Y521,IF(U521&lt;&gt;"",U521,S521))</f>
        <v/>
      </c>
      <c r="AE521" s="21">
        <f>IF(AB521&lt;&gt;"",AB521,Z521)</f>
        <v/>
      </c>
      <c r="AF521" s="13" t="inlineStr">
        <is>
          <t>P-35 &gt; Carrier Replacement Program &gt; MK 53 MOD 15 DECOY LAUNCHING SYSTEM &gt; Technical Data and Documentation                                                                                                              -</t>
        </is>
      </c>
      <c r="AG521" s="7" t="inlineStr">
        <is>
          <t>100</t>
        </is>
      </c>
      <c r="AH521" s="7" t="inlineStr">
        <is>
          <t>2001</t>
        </is>
      </c>
    </row>
    <row r="522" ht="10" customHeight="1">
      <c r="A522" s="7" t="inlineStr">
        <is>
          <t>SCN</t>
        </is>
      </c>
      <c r="B522" s="7" t="inlineStr">
        <is>
          <t>Procurement</t>
        </is>
      </c>
      <c r="D522" s="7" t="inlineStr">
        <is>
          <t>Carrier Replacement Program - P-35 MK 53 MOD 15 DECOY LAUNCHING SYSTEM - Spares                                                                                                                                        -</t>
        </is>
      </c>
      <c r="E522" s="13" t="inlineStr">
        <is>
          <t>[ALT_VIEW]</t>
        </is>
      </c>
      <c r="F522" s="7" t="inlineStr">
        <is>
          <t>2001 / Carrier Replacement Program</t>
        </is>
      </c>
      <c r="G522" s="7" t="inlineStr">
        <is>
          <t>P-35</t>
        </is>
      </c>
      <c r="I522" s="14" t="n">
        <v>1</v>
      </c>
      <c r="J522" s="7" t="inlineStr">
        <is>
          <t>Full ship DD&amp;C</t>
        </is>
      </c>
      <c r="K522" s="13" t="inlineStr">
        <is>
          <t>USN</t>
        </is>
      </c>
      <c r="L522" s="7" t="inlineStr">
        <is>
          <t>Combatant Ships</t>
        </is>
      </c>
      <c r="M522" s="7" t="inlineStr">
        <is>
          <t>Aircraft Carriers</t>
        </is>
      </c>
      <c r="N522" s="7" t="inlineStr">
        <is>
          <t>CVN</t>
        </is>
      </c>
      <c r="O522" s="15" t="n"/>
      <c r="S522" s="16" t="n">
        <v>86</v>
      </c>
      <c r="U522" s="16" t="n">
        <v>86</v>
      </c>
      <c r="AC522" s="23">
        <f>IF(OR(E522="",E522="[PARENT]"),"ADD",IF(E522="[ALT_VIEW]","ALT",""))</f>
        <v/>
      </c>
      <c r="AD522" s="21">
        <f>IF(Y522&lt;&gt;"",Y522,IF(U522&lt;&gt;"",U522,S522))</f>
        <v/>
      </c>
      <c r="AE522" s="21">
        <f>IF(AB522&lt;&gt;"",AB522,Z522)</f>
        <v/>
      </c>
      <c r="AF522" s="13" t="inlineStr">
        <is>
          <t>P-35 &gt; Carrier Replacement Program &gt; MK 53 MOD 15 DECOY LAUNCHING SYSTEM &gt; Spares                                                                                                                                        -</t>
        </is>
      </c>
      <c r="AG522" s="7" t="inlineStr">
        <is>
          <t>100</t>
        </is>
      </c>
      <c r="AH522" s="7" t="inlineStr">
        <is>
          <t>2001</t>
        </is>
      </c>
    </row>
    <row r="523" ht="10" customHeight="1">
      <c r="A523" s="7" t="inlineStr">
        <is>
          <t>SCN</t>
        </is>
      </c>
      <c r="B523" s="7" t="inlineStr">
        <is>
          <t>Procurement</t>
        </is>
      </c>
      <c r="D523" s="7" t="inlineStr">
        <is>
          <t>Carrier Replacement Program - P-35 MK 53 MOD 15 DECOY LAUNCHING SYSTEM - System Engineering                                                                                                                            -</t>
        </is>
      </c>
      <c r="E523" s="13" t="inlineStr">
        <is>
          <t>[ALT_VIEW]</t>
        </is>
      </c>
      <c r="F523" s="7" t="inlineStr">
        <is>
          <t>2001 / Carrier Replacement Program</t>
        </is>
      </c>
      <c r="G523" s="7" t="inlineStr">
        <is>
          <t>P-35</t>
        </is>
      </c>
      <c r="I523" s="14" t="n">
        <v>1</v>
      </c>
      <c r="J523" s="7" t="inlineStr">
        <is>
          <t>Full ship DD&amp;C</t>
        </is>
      </c>
      <c r="K523" s="13" t="inlineStr">
        <is>
          <t>USN</t>
        </is>
      </c>
      <c r="L523" s="7" t="inlineStr">
        <is>
          <t>Combatant Ships</t>
        </is>
      </c>
      <c r="M523" s="7" t="inlineStr">
        <is>
          <t>Aircraft Carriers</t>
        </is>
      </c>
      <c r="N523" s="7" t="inlineStr">
        <is>
          <t>CVN</t>
        </is>
      </c>
      <c r="O523" s="15" t="n"/>
      <c r="S523" s="16" t="n">
        <v>2042</v>
      </c>
      <c r="U523" s="16" t="n">
        <v>2042</v>
      </c>
      <c r="AC523" s="23">
        <f>IF(OR(E523="",E523="[PARENT]"),"ADD",IF(E523="[ALT_VIEW]","ALT",""))</f>
        <v/>
      </c>
      <c r="AD523" s="21">
        <f>IF(Y523&lt;&gt;"",Y523,IF(U523&lt;&gt;"",U523,S523))</f>
        <v/>
      </c>
      <c r="AE523" s="21">
        <f>IF(AB523&lt;&gt;"",AB523,Z523)</f>
        <v/>
      </c>
      <c r="AF523" s="13" t="inlineStr">
        <is>
          <t>P-35 &gt; Carrier Replacement Program &gt; MK 53 MOD 15 DECOY LAUNCHING SYSTEM &gt; System Engineering                                                                                                                            -</t>
        </is>
      </c>
      <c r="AG523" s="7" t="inlineStr">
        <is>
          <t>100</t>
        </is>
      </c>
      <c r="AH523" s="7" t="inlineStr">
        <is>
          <t>2001</t>
        </is>
      </c>
    </row>
    <row r="524" ht="10" customHeight="1">
      <c r="A524" s="7" t="inlineStr">
        <is>
          <t>SCN</t>
        </is>
      </c>
      <c r="B524" s="7" t="inlineStr">
        <is>
          <t>Procurement</t>
        </is>
      </c>
      <c r="D524" s="7" t="inlineStr">
        <is>
          <t>Carrier Replacement Program - P-35 MK 53 MOD 15 DECOY LAUNCHING SYSTEM - Technical Engineering Services                                                                                                                -</t>
        </is>
      </c>
      <c r="E524" s="13" t="inlineStr">
        <is>
          <t>[ALT_VIEW]</t>
        </is>
      </c>
      <c r="F524" s="7" t="inlineStr">
        <is>
          <t>2001 / Carrier Replacement Program</t>
        </is>
      </c>
      <c r="G524" s="7" t="inlineStr">
        <is>
          <t>P-35</t>
        </is>
      </c>
      <c r="I524" s="14" t="n">
        <v>1</v>
      </c>
      <c r="J524" s="7" t="inlineStr">
        <is>
          <t>Full ship DD&amp;C</t>
        </is>
      </c>
      <c r="K524" s="13" t="inlineStr">
        <is>
          <t>USN</t>
        </is>
      </c>
      <c r="L524" s="7" t="inlineStr">
        <is>
          <t>Combatant Ships</t>
        </is>
      </c>
      <c r="M524" s="7" t="inlineStr">
        <is>
          <t>Aircraft Carriers</t>
        </is>
      </c>
      <c r="N524" s="7" t="inlineStr">
        <is>
          <t>CVN</t>
        </is>
      </c>
      <c r="O524" s="15" t="n"/>
      <c r="S524" s="16" t="n">
        <v>3321</v>
      </c>
      <c r="U524" s="16" t="n">
        <v>3321</v>
      </c>
      <c r="AC524" s="23">
        <f>IF(OR(E524="",E524="[PARENT]"),"ADD",IF(E524="[ALT_VIEW]","ALT",""))</f>
        <v/>
      </c>
      <c r="AD524" s="21">
        <f>IF(Y524&lt;&gt;"",Y524,IF(U524&lt;&gt;"",U524,S524))</f>
        <v/>
      </c>
      <c r="AE524" s="21">
        <f>IF(AB524&lt;&gt;"",AB524,Z524)</f>
        <v/>
      </c>
      <c r="AF524" s="13" t="inlineStr">
        <is>
          <t>P-35 &gt; Carrier Replacement Program &gt; MK 53 MOD 15 DECOY LAUNCHING SYSTEM &gt; Technical Engineering Services                                                                                                                -</t>
        </is>
      </c>
      <c r="AG524" s="7" t="inlineStr">
        <is>
          <t>100</t>
        </is>
      </c>
      <c r="AH524" s="7" t="inlineStr">
        <is>
          <t>2001</t>
        </is>
      </c>
    </row>
    <row r="525" ht="10" customHeight="1">
      <c r="A525" s="7" t="inlineStr">
        <is>
          <t>SCN</t>
        </is>
      </c>
      <c r="B525" s="7" t="inlineStr">
        <is>
          <t>Procurement</t>
        </is>
      </c>
      <c r="D525" s="7" t="inlineStr">
        <is>
          <t>Carrier Replacement Program - P-35 MK 53 MOD 15 DECOY LAUNCHING SYSTEM - Other Costs                                                                                                                                   -</t>
        </is>
      </c>
      <c r="E525" s="13" t="inlineStr">
        <is>
          <t>[ALT_VIEW]</t>
        </is>
      </c>
      <c r="F525" s="7" t="inlineStr">
        <is>
          <t>2001 / Carrier Replacement Program</t>
        </is>
      </c>
      <c r="G525" s="7" t="inlineStr">
        <is>
          <t>P-35</t>
        </is>
      </c>
      <c r="I525" s="14" t="n">
        <v>1</v>
      </c>
      <c r="J525" s="7" t="inlineStr">
        <is>
          <t>Full ship DD&amp;C</t>
        </is>
      </c>
      <c r="K525" s="13" t="inlineStr">
        <is>
          <t>USN</t>
        </is>
      </c>
      <c r="L525" s="7" t="inlineStr">
        <is>
          <t>Combatant Ships</t>
        </is>
      </c>
      <c r="M525" s="7" t="inlineStr">
        <is>
          <t>Aircraft Carriers</t>
        </is>
      </c>
      <c r="N525" s="7" t="inlineStr">
        <is>
          <t>CVN</t>
        </is>
      </c>
      <c r="O525" s="15" t="n"/>
      <c r="S525" s="16" t="n">
        <v>16298</v>
      </c>
      <c r="U525" s="16" t="n">
        <v>16298</v>
      </c>
      <c r="AC525" s="23">
        <f>IF(OR(E525="",E525="[PARENT]"),"ADD",IF(E525="[ALT_VIEW]","ALT",""))</f>
        <v/>
      </c>
      <c r="AD525" s="21">
        <f>IF(Y525&lt;&gt;"",Y525,IF(U525&lt;&gt;"",U525,S525))</f>
        <v/>
      </c>
      <c r="AE525" s="21">
        <f>IF(AB525&lt;&gt;"",AB525,Z525)</f>
        <v/>
      </c>
      <c r="AF525" s="13" t="inlineStr">
        <is>
          <t>P-35 &gt; Carrier Replacement Program &gt; MK 53 MOD 15 DECOY LAUNCHING SYSTEM &gt; Other Costs                                                                                                                                   -</t>
        </is>
      </c>
      <c r="AG525" s="7" t="inlineStr">
        <is>
          <t>100</t>
        </is>
      </c>
      <c r="AH525" s="7" t="inlineStr">
        <is>
          <t>2001</t>
        </is>
      </c>
    </row>
    <row r="526" ht="10" customHeight="1">
      <c r="A526" s="7" t="inlineStr">
        <is>
          <t>SCN</t>
        </is>
      </c>
      <c r="B526" s="7" t="inlineStr">
        <is>
          <t>Procurement</t>
        </is>
      </c>
      <c r="D526" s="7" t="inlineStr">
        <is>
          <t>Carrier Replacement Program - P-35 I-STALKER - Major Hardware                                                                                                    0                              -                                 1</t>
        </is>
      </c>
      <c r="E526" s="13" t="inlineStr">
        <is>
          <t>[ALT_VIEW]</t>
        </is>
      </c>
      <c r="F526" s="7" t="inlineStr">
        <is>
          <t>2001 / Carrier Replacement Program</t>
        </is>
      </c>
      <c r="G526" s="7" t="inlineStr">
        <is>
          <t>P-35</t>
        </is>
      </c>
      <c r="I526" s="14" t="n">
        <v>1</v>
      </c>
      <c r="J526" s="7" t="inlineStr">
        <is>
          <t>Full ship DD&amp;C</t>
        </is>
      </c>
      <c r="K526" s="13" t="inlineStr">
        <is>
          <t>USN</t>
        </is>
      </c>
      <c r="L526" s="7" t="inlineStr">
        <is>
          <t>Combatant Ships</t>
        </is>
      </c>
      <c r="M526" s="7" t="inlineStr">
        <is>
          <t>Aircraft Carriers</t>
        </is>
      </c>
      <c r="N526" s="7" t="inlineStr">
        <is>
          <t>CVN</t>
        </is>
      </c>
      <c r="O526" s="15" t="n"/>
      <c r="S526" s="16" t="n">
        <v>4199</v>
      </c>
      <c r="U526" s="16" t="n">
        <v>4199</v>
      </c>
      <c r="AC526" s="23">
        <f>IF(OR(E526="",E526="[PARENT]"),"ADD",IF(E526="[ALT_VIEW]","ALT",""))</f>
        <v/>
      </c>
      <c r="AD526" s="21">
        <f>IF(Y526&lt;&gt;"",Y526,IF(U526&lt;&gt;"",U526,S526))</f>
        <v/>
      </c>
      <c r="AE526" s="21">
        <f>IF(AB526&lt;&gt;"",AB526,Z526)</f>
        <v/>
      </c>
      <c r="AF526" s="13" t="inlineStr">
        <is>
          <t>P-35 &gt; Carrier Replacement Program &gt; I-STALKER &gt; Major Hardware                                                                                                    0                              -                                 1</t>
        </is>
      </c>
      <c r="AG526" s="7" t="inlineStr">
        <is>
          <t>101</t>
        </is>
      </c>
      <c r="AH526" s="7" t="inlineStr">
        <is>
          <t>2001</t>
        </is>
      </c>
    </row>
    <row r="527" ht="10" customHeight="1">
      <c r="A527" s="7" t="inlineStr">
        <is>
          <t>SCN</t>
        </is>
      </c>
      <c r="B527" s="7" t="inlineStr">
        <is>
          <t>Procurement</t>
        </is>
      </c>
      <c r="D527" s="7" t="inlineStr">
        <is>
          <t>Carrier Replacement Program - P-35 I-STALKER - Ancillary Equipment                                                                                                                              -</t>
        </is>
      </c>
      <c r="E527" s="13" t="inlineStr">
        <is>
          <t>[ALT_VIEW]</t>
        </is>
      </c>
      <c r="F527" s="7" t="inlineStr">
        <is>
          <t>2001 / Carrier Replacement Program</t>
        </is>
      </c>
      <c r="G527" s="7" t="inlineStr">
        <is>
          <t>P-35</t>
        </is>
      </c>
      <c r="I527" s="14" t="n">
        <v>1</v>
      </c>
      <c r="J527" s="7" t="inlineStr">
        <is>
          <t>Full ship DD&amp;C</t>
        </is>
      </c>
      <c r="K527" s="13" t="inlineStr">
        <is>
          <t>USN</t>
        </is>
      </c>
      <c r="L527" s="7" t="inlineStr">
        <is>
          <t>Combatant Ships</t>
        </is>
      </c>
      <c r="M527" s="7" t="inlineStr">
        <is>
          <t>Aircraft Carriers</t>
        </is>
      </c>
      <c r="N527" s="7" t="inlineStr">
        <is>
          <t>CVN</t>
        </is>
      </c>
      <c r="O527" s="15" t="n"/>
      <c r="S527" s="16" t="n">
        <v>52</v>
      </c>
      <c r="U527" s="16" t="n">
        <v>52</v>
      </c>
      <c r="AC527" s="23">
        <f>IF(OR(E527="",E527="[PARENT]"),"ADD",IF(E527="[ALT_VIEW]","ALT",""))</f>
        <v/>
      </c>
      <c r="AD527" s="21">
        <f>IF(Y527&lt;&gt;"",Y527,IF(U527&lt;&gt;"",U527,S527))</f>
        <v/>
      </c>
      <c r="AE527" s="21">
        <f>IF(AB527&lt;&gt;"",AB527,Z527)</f>
        <v/>
      </c>
      <c r="AF527" s="13" t="inlineStr">
        <is>
          <t>P-35 &gt; Carrier Replacement Program &gt; I-STALKER &gt; Ancillary Equipment                                                                                                                              -</t>
        </is>
      </c>
      <c r="AG527" s="7" t="inlineStr">
        <is>
          <t>101</t>
        </is>
      </c>
      <c r="AH527" s="7" t="inlineStr">
        <is>
          <t>2001</t>
        </is>
      </c>
    </row>
    <row r="528" ht="10" customHeight="1">
      <c r="A528" s="7" t="inlineStr">
        <is>
          <t>SCN</t>
        </is>
      </c>
      <c r="B528" s="7" t="inlineStr">
        <is>
          <t>Procurement</t>
        </is>
      </c>
      <c r="D528" s="7" t="inlineStr">
        <is>
          <t>Carrier Replacement Program - P-35 I-STALKER - Spares                                                                                                                                           -</t>
        </is>
      </c>
      <c r="E528" s="13" t="inlineStr">
        <is>
          <t>[ALT_VIEW]</t>
        </is>
      </c>
      <c r="F528" s="7" t="inlineStr">
        <is>
          <t>2001 / Carrier Replacement Program</t>
        </is>
      </c>
      <c r="G528" s="7" t="inlineStr">
        <is>
          <t>P-35</t>
        </is>
      </c>
      <c r="I528" s="14" t="n">
        <v>1</v>
      </c>
      <c r="J528" s="7" t="inlineStr">
        <is>
          <t>Full ship DD&amp;C</t>
        </is>
      </c>
      <c r="K528" s="13" t="inlineStr">
        <is>
          <t>USN</t>
        </is>
      </c>
      <c r="L528" s="7" t="inlineStr">
        <is>
          <t>Combatant Ships</t>
        </is>
      </c>
      <c r="M528" s="7" t="inlineStr">
        <is>
          <t>Aircraft Carriers</t>
        </is>
      </c>
      <c r="N528" s="7" t="inlineStr">
        <is>
          <t>CVN</t>
        </is>
      </c>
      <c r="O528" s="15" t="n"/>
      <c r="S528" s="16" t="n">
        <v>149</v>
      </c>
      <c r="U528" s="16" t="n">
        <v>149</v>
      </c>
      <c r="AC528" s="23">
        <f>IF(OR(E528="",E528="[PARENT]"),"ADD",IF(E528="[ALT_VIEW]","ALT",""))</f>
        <v/>
      </c>
      <c r="AD528" s="21">
        <f>IF(Y528&lt;&gt;"",Y528,IF(U528&lt;&gt;"",U528,S528))</f>
        <v/>
      </c>
      <c r="AE528" s="21">
        <f>IF(AB528&lt;&gt;"",AB528,Z528)</f>
        <v/>
      </c>
      <c r="AF528" s="13" t="inlineStr">
        <is>
          <t>P-35 &gt; Carrier Replacement Program &gt; I-STALKER &gt; Spares                                                                                                                                           -</t>
        </is>
      </c>
      <c r="AG528" s="7" t="inlineStr">
        <is>
          <t>101</t>
        </is>
      </c>
      <c r="AH528" s="7" t="inlineStr">
        <is>
          <t>2001</t>
        </is>
      </c>
    </row>
    <row r="529" ht="10" customHeight="1">
      <c r="A529" s="7" t="inlineStr">
        <is>
          <t>SCN</t>
        </is>
      </c>
      <c r="B529" s="7" t="inlineStr">
        <is>
          <t>Procurement</t>
        </is>
      </c>
      <c r="D529" s="7" t="inlineStr">
        <is>
          <t>Carrier Replacement Program - P-35 I-STALKER - System Engineering                                                                                                                               -</t>
        </is>
      </c>
      <c r="E529" s="13" t="inlineStr">
        <is>
          <t>[ALT_VIEW]</t>
        </is>
      </c>
      <c r="F529" s="7" t="inlineStr">
        <is>
          <t>2001 / Carrier Replacement Program</t>
        </is>
      </c>
      <c r="G529" s="7" t="inlineStr">
        <is>
          <t>P-35</t>
        </is>
      </c>
      <c r="I529" s="14" t="n">
        <v>1</v>
      </c>
      <c r="J529" s="7" t="inlineStr">
        <is>
          <t>Full ship DD&amp;C</t>
        </is>
      </c>
      <c r="K529" s="13" t="inlineStr">
        <is>
          <t>USN</t>
        </is>
      </c>
      <c r="L529" s="7" t="inlineStr">
        <is>
          <t>Combatant Ships</t>
        </is>
      </c>
      <c r="M529" s="7" t="inlineStr">
        <is>
          <t>Aircraft Carriers</t>
        </is>
      </c>
      <c r="N529" s="7" t="inlineStr">
        <is>
          <t>CVN</t>
        </is>
      </c>
      <c r="O529" s="15" t="n"/>
      <c r="S529" s="16" t="n">
        <v>496</v>
      </c>
      <c r="U529" s="16" t="n">
        <v>496</v>
      </c>
      <c r="AC529" s="23">
        <f>IF(OR(E529="",E529="[PARENT]"),"ADD",IF(E529="[ALT_VIEW]","ALT",""))</f>
        <v/>
      </c>
      <c r="AD529" s="21">
        <f>IF(Y529&lt;&gt;"",Y529,IF(U529&lt;&gt;"",U529,S529))</f>
        <v/>
      </c>
      <c r="AE529" s="21">
        <f>IF(AB529&lt;&gt;"",AB529,Z529)</f>
        <v/>
      </c>
      <c r="AF529" s="13" t="inlineStr">
        <is>
          <t>P-35 &gt; Carrier Replacement Program &gt; I-STALKER &gt; System Engineering                                                                                                                               -</t>
        </is>
      </c>
      <c r="AG529" s="7" t="inlineStr">
        <is>
          <t>101</t>
        </is>
      </c>
      <c r="AH529" s="7" t="inlineStr">
        <is>
          <t>2001</t>
        </is>
      </c>
    </row>
    <row r="530" ht="10" customHeight="1">
      <c r="A530" s="7" t="inlineStr">
        <is>
          <t>SCN</t>
        </is>
      </c>
      <c r="B530" s="7" t="inlineStr">
        <is>
          <t>Procurement</t>
        </is>
      </c>
      <c r="D530" s="7" t="inlineStr">
        <is>
          <t>Carrier Replacement Program - P-35 I-STALKER - Technical Engineering Services                                                                                                                   -</t>
        </is>
      </c>
      <c r="E530" s="13" t="inlineStr">
        <is>
          <t>[ALT_VIEW]</t>
        </is>
      </c>
      <c r="F530" s="7" t="inlineStr">
        <is>
          <t>2001 / Carrier Replacement Program</t>
        </is>
      </c>
      <c r="G530" s="7" t="inlineStr">
        <is>
          <t>P-35</t>
        </is>
      </c>
      <c r="I530" s="14" t="n">
        <v>1</v>
      </c>
      <c r="J530" s="7" t="inlineStr">
        <is>
          <t>Full ship DD&amp;C</t>
        </is>
      </c>
      <c r="K530" s="13" t="inlineStr">
        <is>
          <t>USN</t>
        </is>
      </c>
      <c r="L530" s="7" t="inlineStr">
        <is>
          <t>Combatant Ships</t>
        </is>
      </c>
      <c r="M530" s="7" t="inlineStr">
        <is>
          <t>Aircraft Carriers</t>
        </is>
      </c>
      <c r="N530" s="7" t="inlineStr">
        <is>
          <t>CVN</t>
        </is>
      </c>
      <c r="O530" s="15" t="n"/>
      <c r="S530" s="16" t="n">
        <v>1769</v>
      </c>
      <c r="U530" s="16" t="n">
        <v>1769</v>
      </c>
      <c r="AC530" s="23">
        <f>IF(OR(E530="",E530="[PARENT]"),"ADD",IF(E530="[ALT_VIEW]","ALT",""))</f>
        <v/>
      </c>
      <c r="AD530" s="21">
        <f>IF(Y530&lt;&gt;"",Y530,IF(U530&lt;&gt;"",U530,S530))</f>
        <v/>
      </c>
      <c r="AE530" s="21">
        <f>IF(AB530&lt;&gt;"",AB530,Z530)</f>
        <v/>
      </c>
      <c r="AF530" s="13" t="inlineStr">
        <is>
          <t>P-35 &gt; Carrier Replacement Program &gt; I-STALKER &gt; Technical Engineering Services                                                                                                                   -</t>
        </is>
      </c>
      <c r="AG530" s="7" t="inlineStr">
        <is>
          <t>101</t>
        </is>
      </c>
      <c r="AH530" s="7" t="inlineStr">
        <is>
          <t>2001</t>
        </is>
      </c>
    </row>
    <row r="531" ht="10" customHeight="1">
      <c r="A531" s="7" t="inlineStr">
        <is>
          <t>SCN</t>
        </is>
      </c>
      <c r="B531" s="7" t="inlineStr">
        <is>
          <t>Procurement</t>
        </is>
      </c>
      <c r="D531" s="7" t="inlineStr">
        <is>
          <t>Carrier Replacement Program - P-35 I-STALKER - Other Costs                                                                                                                                      -</t>
        </is>
      </c>
      <c r="E531" s="13" t="inlineStr">
        <is>
          <t>[ALT_VIEW]</t>
        </is>
      </c>
      <c r="F531" s="7" t="inlineStr">
        <is>
          <t>2001 / Carrier Replacement Program</t>
        </is>
      </c>
      <c r="G531" s="7" t="inlineStr">
        <is>
          <t>P-35</t>
        </is>
      </c>
      <c r="I531" s="14" t="n">
        <v>1</v>
      </c>
      <c r="J531" s="7" t="inlineStr">
        <is>
          <t>Full ship DD&amp;C</t>
        </is>
      </c>
      <c r="K531" s="13" t="inlineStr">
        <is>
          <t>USN</t>
        </is>
      </c>
      <c r="L531" s="7" t="inlineStr">
        <is>
          <t>Combatant Ships</t>
        </is>
      </c>
      <c r="M531" s="7" t="inlineStr">
        <is>
          <t>Aircraft Carriers</t>
        </is>
      </c>
      <c r="N531" s="7" t="inlineStr">
        <is>
          <t>CVN</t>
        </is>
      </c>
      <c r="O531" s="15" t="n"/>
      <c r="S531" s="16" t="n">
        <v>835</v>
      </c>
      <c r="U531" s="16" t="n">
        <v>835</v>
      </c>
      <c r="AC531" s="23">
        <f>IF(OR(E531="",E531="[PARENT]"),"ADD",IF(E531="[ALT_VIEW]","ALT",""))</f>
        <v/>
      </c>
      <c r="AD531" s="21">
        <f>IF(Y531&lt;&gt;"",Y531,IF(U531&lt;&gt;"",U531,S531))</f>
        <v/>
      </c>
      <c r="AE531" s="21">
        <f>IF(AB531&lt;&gt;"",AB531,Z531)</f>
        <v/>
      </c>
      <c r="AF531" s="13" t="inlineStr">
        <is>
          <t>P-35 &gt; Carrier Replacement Program &gt; I-STALKER &gt; Other Costs                                                                                                                                      -</t>
        </is>
      </c>
      <c r="AG531" s="7" t="inlineStr">
        <is>
          <t>101</t>
        </is>
      </c>
      <c r="AH531" s="7" t="inlineStr">
        <is>
          <t>2001</t>
        </is>
      </c>
    </row>
    <row r="532" ht="10" customHeight="1">
      <c r="A532" s="7" t="inlineStr">
        <is>
          <t>SCN</t>
        </is>
      </c>
      <c r="B532" s="7" t="inlineStr">
        <is>
          <t>Procurement</t>
        </is>
      </c>
      <c r="D532" s="7" t="inlineStr">
        <is>
          <t>Carrier Replacement Program - P-35 ELECTROMAGNETIC AIRCRAFT LAUNCHING SYSTEM (EMALS) - Major Hardware                                                                                                1</t>
        </is>
      </c>
      <c r="E532" s="13" t="inlineStr">
        <is>
          <t>[ALT_VIEW]</t>
        </is>
      </c>
      <c r="F532" s="7" t="inlineStr">
        <is>
          <t>2001 / Carrier Replacement Program</t>
        </is>
      </c>
      <c r="G532" s="7" t="inlineStr">
        <is>
          <t>P-35</t>
        </is>
      </c>
      <c r="I532" s="14" t="n">
        <v>1</v>
      </c>
      <c r="J532" s="7" t="inlineStr">
        <is>
          <t>Full ship DD&amp;C</t>
        </is>
      </c>
      <c r="K532" s="13" t="inlineStr">
        <is>
          <t>USN</t>
        </is>
      </c>
      <c r="L532" s="7" t="inlineStr">
        <is>
          <t>Combatant Ships</t>
        </is>
      </c>
      <c r="M532" s="7" t="inlineStr">
        <is>
          <t>Aircraft Carriers</t>
        </is>
      </c>
      <c r="N532" s="7" t="inlineStr">
        <is>
          <t>CVN</t>
        </is>
      </c>
      <c r="O532" s="15" t="n"/>
      <c r="P532" s="16" t="n">
        <v>614701</v>
      </c>
      <c r="S532" s="16" t="n">
        <v>653837</v>
      </c>
      <c r="U532" s="16" t="n">
        <v>653837</v>
      </c>
      <c r="AC532" s="23">
        <f>IF(OR(E532="",E532="[PARENT]"),"ADD",IF(E532="[ALT_VIEW]","ALT",""))</f>
        <v/>
      </c>
      <c r="AD532" s="21">
        <f>IF(Y532&lt;&gt;"",Y532,IF(U532&lt;&gt;"",U532,S532))</f>
        <v/>
      </c>
      <c r="AE532" s="21">
        <f>IF(AB532&lt;&gt;"",AB532,Z532)</f>
        <v/>
      </c>
      <c r="AF532" s="13" t="inlineStr">
        <is>
          <t>P-35 &gt; Carrier Replacement Program &gt; ELECTROMAGNETIC AIRCRAFT LAUNCHING SYSTEM (EMALS) &gt; Major Hardware                                                                                                1</t>
        </is>
      </c>
      <c r="AG532" s="7" t="inlineStr">
        <is>
          <t>102</t>
        </is>
      </c>
      <c r="AH532" s="7" t="inlineStr">
        <is>
          <t>2001</t>
        </is>
      </c>
    </row>
    <row r="533" ht="10" customHeight="1">
      <c r="A533" s="7" t="inlineStr">
        <is>
          <t>SCN</t>
        </is>
      </c>
      <c r="B533" s="7" t="inlineStr">
        <is>
          <t>Procurement</t>
        </is>
      </c>
      <c r="D533" s="7" t="inlineStr">
        <is>
          <t>Carrier Replacement Program - P-35 ELECTROMAGNETIC AIRCRAFT LAUNCHING SYSTEM (EMALS) - Spares</t>
        </is>
      </c>
      <c r="E533" s="13" t="inlineStr">
        <is>
          <t>[ALT_VIEW]</t>
        </is>
      </c>
      <c r="F533" s="7" t="inlineStr">
        <is>
          <t>2001 / Carrier Replacement Program</t>
        </is>
      </c>
      <c r="G533" s="7" t="inlineStr">
        <is>
          <t>P-35</t>
        </is>
      </c>
      <c r="I533" s="14" t="n">
        <v>1</v>
      </c>
      <c r="J533" s="7" t="inlineStr">
        <is>
          <t>Full ship DD&amp;C</t>
        </is>
      </c>
      <c r="K533" s="13" t="inlineStr">
        <is>
          <t>USN</t>
        </is>
      </c>
      <c r="L533" s="7" t="inlineStr">
        <is>
          <t>Combatant Ships</t>
        </is>
      </c>
      <c r="M533" s="7" t="inlineStr">
        <is>
          <t>Aircraft Carriers</t>
        </is>
      </c>
      <c r="N533" s="7" t="inlineStr">
        <is>
          <t>CVN</t>
        </is>
      </c>
      <c r="O533" s="15" t="n"/>
      <c r="P533" s="16" t="n">
        <v>4872</v>
      </c>
      <c r="S533" s="16" t="n">
        <v>37930</v>
      </c>
      <c r="U533" s="16" t="n">
        <v>37930</v>
      </c>
      <c r="AC533" s="23">
        <f>IF(OR(E533="",E533="[PARENT]"),"ADD",IF(E533="[ALT_VIEW]","ALT",""))</f>
        <v/>
      </c>
      <c r="AD533" s="21">
        <f>IF(Y533&lt;&gt;"",Y533,IF(U533&lt;&gt;"",U533,S533))</f>
        <v/>
      </c>
      <c r="AE533" s="21">
        <f>IF(AB533&lt;&gt;"",AB533,Z533)</f>
        <v/>
      </c>
      <c r="AF533" s="13" t="inlineStr">
        <is>
          <t>P-35 &gt; Carrier Replacement Program &gt; ELECTROMAGNETIC AIRCRAFT LAUNCHING SYSTEM (EMALS) &gt; Spares</t>
        </is>
      </c>
      <c r="AG533" s="7" t="inlineStr">
        <is>
          <t>102</t>
        </is>
      </c>
      <c r="AH533" s="7" t="inlineStr">
        <is>
          <t>2001</t>
        </is>
      </c>
    </row>
    <row r="534" ht="10" customHeight="1">
      <c r="A534" s="7" t="inlineStr">
        <is>
          <t>SCN</t>
        </is>
      </c>
      <c r="B534" s="7" t="inlineStr">
        <is>
          <t>Procurement</t>
        </is>
      </c>
      <c r="D534" s="7" t="inlineStr">
        <is>
          <t>Carrier Replacement Program - P-35 ELECTROMAGNETIC AIRCRAFT LAUNCHING SYSTEM (EMALS) - System Engineering</t>
        </is>
      </c>
      <c r="E534" s="13" t="inlineStr">
        <is>
          <t>[ALT_VIEW]</t>
        </is>
      </c>
      <c r="F534" s="7" t="inlineStr">
        <is>
          <t>2001 / Carrier Replacement Program</t>
        </is>
      </c>
      <c r="G534" s="7" t="inlineStr">
        <is>
          <t>P-35</t>
        </is>
      </c>
      <c r="I534" s="14" t="n">
        <v>1</v>
      </c>
      <c r="J534" s="7" t="inlineStr">
        <is>
          <t>Full ship DD&amp;C</t>
        </is>
      </c>
      <c r="K534" s="13" t="inlineStr">
        <is>
          <t>USN</t>
        </is>
      </c>
      <c r="L534" s="7" t="inlineStr">
        <is>
          <t>Combatant Ships</t>
        </is>
      </c>
      <c r="M534" s="7" t="inlineStr">
        <is>
          <t>Aircraft Carriers</t>
        </is>
      </c>
      <c r="N534" s="7" t="inlineStr">
        <is>
          <t>CVN</t>
        </is>
      </c>
      <c r="O534" s="15" t="n"/>
      <c r="P534" s="16" t="n">
        <v>21543</v>
      </c>
      <c r="S534" s="16" t="n">
        <v>22835</v>
      </c>
      <c r="U534" s="16" t="n">
        <v>22835</v>
      </c>
      <c r="AC534" s="23">
        <f>IF(OR(E534="",E534="[PARENT]"),"ADD",IF(E534="[ALT_VIEW]","ALT",""))</f>
        <v/>
      </c>
      <c r="AD534" s="21">
        <f>IF(Y534&lt;&gt;"",Y534,IF(U534&lt;&gt;"",U534,S534))</f>
        <v/>
      </c>
      <c r="AE534" s="21">
        <f>IF(AB534&lt;&gt;"",AB534,Z534)</f>
        <v/>
      </c>
      <c r="AF534" s="13" t="inlineStr">
        <is>
          <t>P-35 &gt; Carrier Replacement Program &gt; ELECTROMAGNETIC AIRCRAFT LAUNCHING SYSTEM (EMALS) &gt; System Engineering</t>
        </is>
      </c>
      <c r="AG534" s="7" t="inlineStr">
        <is>
          <t>102</t>
        </is>
      </c>
      <c r="AH534" s="7" t="inlineStr">
        <is>
          <t>2001</t>
        </is>
      </c>
    </row>
    <row r="535" ht="10" customHeight="1">
      <c r="A535" s="7" t="inlineStr">
        <is>
          <t>SCN</t>
        </is>
      </c>
      <c r="B535" s="7" t="inlineStr">
        <is>
          <t>Procurement</t>
        </is>
      </c>
      <c r="D535" s="7" t="inlineStr">
        <is>
          <t>Carrier Replacement Program - P-35 ELECTROMAGNETIC AIRCRAFT LAUNCHING SYSTEM (EMALS) - Technical Engineering Services</t>
        </is>
      </c>
      <c r="E535" s="13" t="inlineStr">
        <is>
          <t>[ALT_VIEW]</t>
        </is>
      </c>
      <c r="F535" s="7" t="inlineStr">
        <is>
          <t>2001 / Carrier Replacement Program</t>
        </is>
      </c>
      <c r="G535" s="7" t="inlineStr">
        <is>
          <t>P-35</t>
        </is>
      </c>
      <c r="I535" s="14" t="n">
        <v>1</v>
      </c>
      <c r="J535" s="7" t="inlineStr">
        <is>
          <t>Full ship DD&amp;C</t>
        </is>
      </c>
      <c r="K535" s="13" t="inlineStr">
        <is>
          <t>USN</t>
        </is>
      </c>
      <c r="L535" s="7" t="inlineStr">
        <is>
          <t>Combatant Ships</t>
        </is>
      </c>
      <c r="M535" s="7" t="inlineStr">
        <is>
          <t>Aircraft Carriers</t>
        </is>
      </c>
      <c r="N535" s="7" t="inlineStr">
        <is>
          <t>CVN</t>
        </is>
      </c>
      <c r="O535" s="15" t="n"/>
      <c r="P535" s="16" t="n">
        <v>2467</v>
      </c>
      <c r="S535" s="16" t="n">
        <v>291</v>
      </c>
      <c r="U535" s="16" t="n">
        <v>291</v>
      </c>
      <c r="AC535" s="23">
        <f>IF(OR(E535="",E535="[PARENT]"),"ADD",IF(E535="[ALT_VIEW]","ALT",""))</f>
        <v/>
      </c>
      <c r="AD535" s="21">
        <f>IF(Y535&lt;&gt;"",Y535,IF(U535&lt;&gt;"",U535,S535))</f>
        <v/>
      </c>
      <c r="AE535" s="21">
        <f>IF(AB535&lt;&gt;"",AB535,Z535)</f>
        <v/>
      </c>
      <c r="AF535" s="13" t="inlineStr">
        <is>
          <t>P-35 &gt; Carrier Replacement Program &gt; ELECTROMAGNETIC AIRCRAFT LAUNCHING SYSTEM (EMALS) &gt; Technical Engineering Services</t>
        </is>
      </c>
      <c r="AG535" s="7" t="inlineStr">
        <is>
          <t>102</t>
        </is>
      </c>
      <c r="AH535" s="7" t="inlineStr">
        <is>
          <t>2001</t>
        </is>
      </c>
    </row>
    <row r="536" ht="10" customHeight="1">
      <c r="A536" s="7" t="inlineStr">
        <is>
          <t>SCN</t>
        </is>
      </c>
      <c r="B536" s="7" t="inlineStr">
        <is>
          <t>Procurement</t>
        </is>
      </c>
      <c r="D536" s="7" t="inlineStr">
        <is>
          <t>Carrier Replacement Program - P-35 ELECTROMAGNETIC AIRCRAFT LAUNCHING SYSTEM (EMALS) - Other Costs</t>
        </is>
      </c>
      <c r="E536" s="13" t="inlineStr">
        <is>
          <t>[ALT_VIEW]</t>
        </is>
      </c>
      <c r="F536" s="7" t="inlineStr">
        <is>
          <t>2001 / Carrier Replacement Program</t>
        </is>
      </c>
      <c r="G536" s="7" t="inlineStr">
        <is>
          <t>P-35</t>
        </is>
      </c>
      <c r="I536" s="14" t="n">
        <v>1</v>
      </c>
      <c r="J536" s="7" t="inlineStr">
        <is>
          <t>Full ship DD&amp;C</t>
        </is>
      </c>
      <c r="K536" s="13" t="inlineStr">
        <is>
          <t>USN</t>
        </is>
      </c>
      <c r="L536" s="7" t="inlineStr">
        <is>
          <t>Combatant Ships</t>
        </is>
      </c>
      <c r="M536" s="7" t="inlineStr">
        <is>
          <t>Aircraft Carriers</t>
        </is>
      </c>
      <c r="N536" s="7" t="inlineStr">
        <is>
          <t>CVN</t>
        </is>
      </c>
      <c r="O536" s="15" t="n"/>
      <c r="P536" s="16" t="n">
        <v>34847</v>
      </c>
      <c r="S536" s="16" t="n">
        <v>43346</v>
      </c>
      <c r="U536" s="16" t="n">
        <v>43346</v>
      </c>
      <c r="AC536" s="23">
        <f>IF(OR(E536="",E536="[PARENT]"),"ADD",IF(E536="[ALT_VIEW]","ALT",""))</f>
        <v/>
      </c>
      <c r="AD536" s="21">
        <f>IF(Y536&lt;&gt;"",Y536,IF(U536&lt;&gt;"",U536,S536))</f>
        <v/>
      </c>
      <c r="AE536" s="21">
        <f>IF(AB536&lt;&gt;"",AB536,Z536)</f>
        <v/>
      </c>
      <c r="AF536" s="13" t="inlineStr">
        <is>
          <t>P-35 &gt; Carrier Replacement Program &gt; ELECTROMAGNETIC AIRCRAFT LAUNCHING SYSTEM (EMALS) &gt; Other Costs</t>
        </is>
      </c>
      <c r="AG536" s="7" t="inlineStr">
        <is>
          <t>102</t>
        </is>
      </c>
      <c r="AH536" s="7" t="inlineStr">
        <is>
          <t>2001</t>
        </is>
      </c>
    </row>
    <row r="537" ht="10" customHeight="1">
      <c r="A537" s="7" t="inlineStr">
        <is>
          <t>SCN</t>
        </is>
      </c>
      <c r="B537" s="7" t="inlineStr">
        <is>
          <t>Procurement</t>
        </is>
      </c>
      <c r="D537" s="7" t="inlineStr">
        <is>
          <t>Carrier Replacement Program - P-35 AN/SPY-6(V)3 ENTERPRISE AIR SURVEILLANCE RADAR (EASR) - Major Hardware                                                                                                  1</t>
        </is>
      </c>
      <c r="E537" s="13" t="inlineStr">
        <is>
          <t>[ALT_VIEW]</t>
        </is>
      </c>
      <c r="F537" s="7" t="inlineStr">
        <is>
          <t>2001 / Carrier Replacement Program</t>
        </is>
      </c>
      <c r="G537" s="7" t="inlineStr">
        <is>
          <t>P-35</t>
        </is>
      </c>
      <c r="I537" s="14" t="n">
        <v>1</v>
      </c>
      <c r="J537" s="7" t="inlineStr">
        <is>
          <t>Full ship DD&amp;C</t>
        </is>
      </c>
      <c r="K537" s="13" t="inlineStr">
        <is>
          <t>USN</t>
        </is>
      </c>
      <c r="L537" s="7" t="inlineStr">
        <is>
          <t>Combatant Ships</t>
        </is>
      </c>
      <c r="M537" s="7" t="inlineStr">
        <is>
          <t>Aircraft Carriers</t>
        </is>
      </c>
      <c r="N537" s="7" t="inlineStr">
        <is>
          <t>CVN</t>
        </is>
      </c>
      <c r="O537" s="15" t="n"/>
      <c r="P537" s="16" t="n">
        <v>44937</v>
      </c>
      <c r="S537" s="16" t="n">
        <v>38804</v>
      </c>
      <c r="U537" s="16" t="n">
        <v>38804</v>
      </c>
      <c r="AC537" s="23">
        <f>IF(OR(E537="",E537="[PARENT]"),"ADD",IF(E537="[ALT_VIEW]","ALT",""))</f>
        <v/>
      </c>
      <c r="AD537" s="21">
        <f>IF(Y537&lt;&gt;"",Y537,IF(U537&lt;&gt;"",U537,S537))</f>
        <v/>
      </c>
      <c r="AE537" s="21">
        <f>IF(AB537&lt;&gt;"",AB537,Z537)</f>
        <v/>
      </c>
      <c r="AF537" s="13" t="inlineStr">
        <is>
          <t>P-35 &gt; Carrier Replacement Program &gt; AN/SPY-6(V)3 ENTERPRISE AIR SURVEILLANCE RADAR (EASR) &gt; Major Hardware                                                                                                  1</t>
        </is>
      </c>
      <c r="AG537" s="7" t="inlineStr">
        <is>
          <t>103</t>
        </is>
      </c>
      <c r="AH537" s="7" t="inlineStr">
        <is>
          <t>2001</t>
        </is>
      </c>
    </row>
    <row r="538" ht="10" customHeight="1">
      <c r="A538" s="7" t="inlineStr">
        <is>
          <t>SCN</t>
        </is>
      </c>
      <c r="B538" s="7" t="inlineStr">
        <is>
          <t>Procurement</t>
        </is>
      </c>
      <c r="D538" s="7" t="inlineStr">
        <is>
          <t>Carrier Replacement Program - P-35 AN/SPY-6(V)3 ENTERPRISE AIR SURVEILLANCE RADAR (EASR) - Ancillary Equipment</t>
        </is>
      </c>
      <c r="E538" s="13" t="inlineStr">
        <is>
          <t>[ALT_VIEW]</t>
        </is>
      </c>
      <c r="F538" s="7" t="inlineStr">
        <is>
          <t>2001 / Carrier Replacement Program</t>
        </is>
      </c>
      <c r="G538" s="7" t="inlineStr">
        <is>
          <t>P-35</t>
        </is>
      </c>
      <c r="I538" s="14" t="n">
        <v>1</v>
      </c>
      <c r="J538" s="7" t="inlineStr">
        <is>
          <t>Full ship DD&amp;C</t>
        </is>
      </c>
      <c r="K538" s="13" t="inlineStr">
        <is>
          <t>USN</t>
        </is>
      </c>
      <c r="L538" s="7" t="inlineStr">
        <is>
          <t>Combatant Ships</t>
        </is>
      </c>
      <c r="M538" s="7" t="inlineStr">
        <is>
          <t>Aircraft Carriers</t>
        </is>
      </c>
      <c r="N538" s="7" t="inlineStr">
        <is>
          <t>CVN</t>
        </is>
      </c>
      <c r="O538" s="15" t="n"/>
      <c r="P538" s="16" t="n">
        <v>621</v>
      </c>
      <c r="S538" s="16" t="n">
        <v>138</v>
      </c>
      <c r="U538" s="16" t="n">
        <v>138</v>
      </c>
      <c r="AC538" s="23">
        <f>IF(OR(E538="",E538="[PARENT]"),"ADD",IF(E538="[ALT_VIEW]","ALT",""))</f>
        <v/>
      </c>
      <c r="AD538" s="21">
        <f>IF(Y538&lt;&gt;"",Y538,IF(U538&lt;&gt;"",U538,S538))</f>
        <v/>
      </c>
      <c r="AE538" s="21">
        <f>IF(AB538&lt;&gt;"",AB538,Z538)</f>
        <v/>
      </c>
      <c r="AF538" s="13" t="inlineStr">
        <is>
          <t>P-35 &gt; Carrier Replacement Program &gt; AN/SPY-6(V)3 ENTERPRISE AIR SURVEILLANCE RADAR (EASR) &gt; Ancillary Equipment</t>
        </is>
      </c>
      <c r="AG538" s="7" t="inlineStr">
        <is>
          <t>103</t>
        </is>
      </c>
      <c r="AH538" s="7" t="inlineStr">
        <is>
          <t>2001</t>
        </is>
      </c>
    </row>
    <row r="539" ht="10" customHeight="1">
      <c r="A539" s="7" t="inlineStr">
        <is>
          <t>SCN</t>
        </is>
      </c>
      <c r="B539" s="7" t="inlineStr">
        <is>
          <t>Procurement</t>
        </is>
      </c>
      <c r="D539" s="7" t="inlineStr">
        <is>
          <t>Carrier Replacement Program - P-35 AN/SPY-6(V)3 ENTERPRISE AIR SURVEILLANCE RADAR (EASR) - Spares</t>
        </is>
      </c>
      <c r="E539" s="13" t="inlineStr">
        <is>
          <t>[ALT_VIEW]</t>
        </is>
      </c>
      <c r="F539" s="7" t="inlineStr">
        <is>
          <t>2001 / Carrier Replacement Program</t>
        </is>
      </c>
      <c r="G539" s="7" t="inlineStr">
        <is>
          <t>P-35</t>
        </is>
      </c>
      <c r="I539" s="14" t="n">
        <v>1</v>
      </c>
      <c r="J539" s="7" t="inlineStr">
        <is>
          <t>Full ship DD&amp;C</t>
        </is>
      </c>
      <c r="K539" s="13" t="inlineStr">
        <is>
          <t>USN</t>
        </is>
      </c>
      <c r="L539" s="7" t="inlineStr">
        <is>
          <t>Combatant Ships</t>
        </is>
      </c>
      <c r="M539" s="7" t="inlineStr">
        <is>
          <t>Aircraft Carriers</t>
        </is>
      </c>
      <c r="N539" s="7" t="inlineStr">
        <is>
          <t>CVN</t>
        </is>
      </c>
      <c r="O539" s="15" t="n"/>
      <c r="P539" s="16" t="n">
        <v>4682</v>
      </c>
      <c r="S539" s="16" t="n">
        <v>2094</v>
      </c>
      <c r="U539" s="16" t="n">
        <v>2094</v>
      </c>
      <c r="AC539" s="23">
        <f>IF(OR(E539="",E539="[PARENT]"),"ADD",IF(E539="[ALT_VIEW]","ALT",""))</f>
        <v/>
      </c>
      <c r="AD539" s="21">
        <f>IF(Y539&lt;&gt;"",Y539,IF(U539&lt;&gt;"",U539,S539))</f>
        <v/>
      </c>
      <c r="AE539" s="21">
        <f>IF(AB539&lt;&gt;"",AB539,Z539)</f>
        <v/>
      </c>
      <c r="AF539" s="13" t="inlineStr">
        <is>
          <t>P-35 &gt; Carrier Replacement Program &gt; AN/SPY-6(V)3 ENTERPRISE AIR SURVEILLANCE RADAR (EASR) &gt; Spares</t>
        </is>
      </c>
      <c r="AG539" s="7" t="inlineStr">
        <is>
          <t>103</t>
        </is>
      </c>
      <c r="AH539" s="7" t="inlineStr">
        <is>
          <t>2001</t>
        </is>
      </c>
    </row>
    <row r="540" ht="10" customHeight="1">
      <c r="A540" s="7" t="inlineStr">
        <is>
          <t>SCN</t>
        </is>
      </c>
      <c r="B540" s="7" t="inlineStr">
        <is>
          <t>Procurement</t>
        </is>
      </c>
      <c r="D540" s="7" t="inlineStr">
        <is>
          <t>Carrier Replacement Program - P-35 AN/SPY-6(V)3 ENTERPRISE AIR SURVEILLANCE RADAR (EASR) - System Engineering</t>
        </is>
      </c>
      <c r="E540" s="13" t="inlineStr">
        <is>
          <t>[ALT_VIEW]</t>
        </is>
      </c>
      <c r="F540" s="7" t="inlineStr">
        <is>
          <t>2001 / Carrier Replacement Program</t>
        </is>
      </c>
      <c r="G540" s="7" t="inlineStr">
        <is>
          <t>P-35</t>
        </is>
      </c>
      <c r="I540" s="14" t="n">
        <v>1</v>
      </c>
      <c r="J540" s="7" t="inlineStr">
        <is>
          <t>Full ship DD&amp;C</t>
        </is>
      </c>
      <c r="K540" s="13" t="inlineStr">
        <is>
          <t>USN</t>
        </is>
      </c>
      <c r="L540" s="7" t="inlineStr">
        <is>
          <t>Combatant Ships</t>
        </is>
      </c>
      <c r="M540" s="7" t="inlineStr">
        <is>
          <t>Aircraft Carriers</t>
        </is>
      </c>
      <c r="N540" s="7" t="inlineStr">
        <is>
          <t>CVN</t>
        </is>
      </c>
      <c r="O540" s="15" t="n"/>
      <c r="P540" s="16" t="n">
        <v>7401</v>
      </c>
      <c r="S540" s="16" t="n">
        <v>7017</v>
      </c>
      <c r="U540" s="16" t="n">
        <v>7017</v>
      </c>
      <c r="AC540" s="23">
        <f>IF(OR(E540="",E540="[PARENT]"),"ADD",IF(E540="[ALT_VIEW]","ALT",""))</f>
        <v/>
      </c>
      <c r="AD540" s="21">
        <f>IF(Y540&lt;&gt;"",Y540,IF(U540&lt;&gt;"",U540,S540))</f>
        <v/>
      </c>
      <c r="AE540" s="21">
        <f>IF(AB540&lt;&gt;"",AB540,Z540)</f>
        <v/>
      </c>
      <c r="AF540" s="13" t="inlineStr">
        <is>
          <t>P-35 &gt; Carrier Replacement Program &gt; AN/SPY-6(V)3 ENTERPRISE AIR SURVEILLANCE RADAR (EASR) &gt; System Engineering</t>
        </is>
      </c>
      <c r="AG540" s="7" t="inlineStr">
        <is>
          <t>103</t>
        </is>
      </c>
      <c r="AH540" s="7" t="inlineStr">
        <is>
          <t>2001</t>
        </is>
      </c>
    </row>
    <row r="541" ht="10" customHeight="1">
      <c r="A541" s="7" t="inlineStr">
        <is>
          <t>SCN</t>
        </is>
      </c>
      <c r="B541" s="7" t="inlineStr">
        <is>
          <t>Procurement</t>
        </is>
      </c>
      <c r="D541" s="7" t="inlineStr">
        <is>
          <t>Carrier Replacement Program - P-35 AN/SPY-6(V)3 ENTERPRISE AIR SURVEILLANCE RADAR (EASR) - Technical Engineering Services</t>
        </is>
      </c>
      <c r="E541" s="13" t="inlineStr">
        <is>
          <t>[ALT_VIEW]</t>
        </is>
      </c>
      <c r="F541" s="7" t="inlineStr">
        <is>
          <t>2001 / Carrier Replacement Program</t>
        </is>
      </c>
      <c r="G541" s="7" t="inlineStr">
        <is>
          <t>P-35</t>
        </is>
      </c>
      <c r="I541" s="14" t="n">
        <v>1</v>
      </c>
      <c r="J541" s="7" t="inlineStr">
        <is>
          <t>Full ship DD&amp;C</t>
        </is>
      </c>
      <c r="K541" s="13" t="inlineStr">
        <is>
          <t>USN</t>
        </is>
      </c>
      <c r="L541" s="7" t="inlineStr">
        <is>
          <t>Combatant Ships</t>
        </is>
      </c>
      <c r="M541" s="7" t="inlineStr">
        <is>
          <t>Aircraft Carriers</t>
        </is>
      </c>
      <c r="N541" s="7" t="inlineStr">
        <is>
          <t>CVN</t>
        </is>
      </c>
      <c r="O541" s="15" t="n"/>
      <c r="P541" s="16" t="n">
        <v>9878</v>
      </c>
      <c r="S541" s="16" t="n">
        <v>4603</v>
      </c>
      <c r="U541" s="16" t="n">
        <v>4603</v>
      </c>
      <c r="AC541" s="23">
        <f>IF(OR(E541="",E541="[PARENT]"),"ADD",IF(E541="[ALT_VIEW]","ALT",""))</f>
        <v/>
      </c>
      <c r="AD541" s="21">
        <f>IF(Y541&lt;&gt;"",Y541,IF(U541&lt;&gt;"",U541,S541))</f>
        <v/>
      </c>
      <c r="AE541" s="21">
        <f>IF(AB541&lt;&gt;"",AB541,Z541)</f>
        <v/>
      </c>
      <c r="AF541" s="13" t="inlineStr">
        <is>
          <t>P-35 &gt; Carrier Replacement Program &gt; AN/SPY-6(V)3 ENTERPRISE AIR SURVEILLANCE RADAR (EASR) &gt; Technical Engineering Services</t>
        </is>
      </c>
      <c r="AG541" s="7" t="inlineStr">
        <is>
          <t>103</t>
        </is>
      </c>
      <c r="AH541" s="7" t="inlineStr">
        <is>
          <t>2001</t>
        </is>
      </c>
    </row>
    <row r="542" ht="10" customHeight="1">
      <c r="A542" s="7" t="inlineStr">
        <is>
          <t>SCN</t>
        </is>
      </c>
      <c r="B542" s="7" t="inlineStr">
        <is>
          <t>Procurement</t>
        </is>
      </c>
      <c r="D542" s="7" t="inlineStr">
        <is>
          <t>Carrier Replacement Program - P-35 AN/SPY-6(V)3 ENTERPRISE AIR SURVEILLANCE RADAR (EASR) - Other Costs</t>
        </is>
      </c>
      <c r="E542" s="13" t="inlineStr">
        <is>
          <t>[ALT_VIEW]</t>
        </is>
      </c>
      <c r="F542" s="7" t="inlineStr">
        <is>
          <t>2001 / Carrier Replacement Program</t>
        </is>
      </c>
      <c r="G542" s="7" t="inlineStr">
        <is>
          <t>P-35</t>
        </is>
      </c>
      <c r="I542" s="14" t="n">
        <v>1</v>
      </c>
      <c r="J542" s="7" t="inlineStr">
        <is>
          <t>Full ship DD&amp;C</t>
        </is>
      </c>
      <c r="K542" s="13" t="inlineStr">
        <is>
          <t>USN</t>
        </is>
      </c>
      <c r="L542" s="7" t="inlineStr">
        <is>
          <t>Combatant Ships</t>
        </is>
      </c>
      <c r="M542" s="7" t="inlineStr">
        <is>
          <t>Aircraft Carriers</t>
        </is>
      </c>
      <c r="N542" s="7" t="inlineStr">
        <is>
          <t>CVN</t>
        </is>
      </c>
      <c r="O542" s="15" t="n"/>
      <c r="P542" s="16" t="n">
        <v>9638</v>
      </c>
      <c r="S542" s="16" t="n">
        <v>7903</v>
      </c>
      <c r="U542" s="16" t="n">
        <v>7903</v>
      </c>
      <c r="AC542" s="23">
        <f>IF(OR(E542="",E542="[PARENT]"),"ADD",IF(E542="[ALT_VIEW]","ALT",""))</f>
        <v/>
      </c>
      <c r="AD542" s="21">
        <f>IF(Y542&lt;&gt;"",Y542,IF(U542&lt;&gt;"",U542,S542))</f>
        <v/>
      </c>
      <c r="AE542" s="21">
        <f>IF(AB542&lt;&gt;"",AB542,Z542)</f>
        <v/>
      </c>
      <c r="AF542" s="13" t="inlineStr">
        <is>
          <t>P-35 &gt; Carrier Replacement Program &gt; AN/SPY-6(V)3 ENTERPRISE AIR SURVEILLANCE RADAR (EASR) &gt; Other Costs</t>
        </is>
      </c>
      <c r="AG542" s="7" t="inlineStr">
        <is>
          <t>103</t>
        </is>
      </c>
      <c r="AH542" s="7" t="inlineStr">
        <is>
          <t>2001</t>
        </is>
      </c>
    </row>
    <row r="543" ht="10" customHeight="1">
      <c r="A543" s="7" t="inlineStr">
        <is>
          <t>SCN</t>
        </is>
      </c>
      <c r="B543" s="7" t="inlineStr">
        <is>
          <t>Procurement</t>
        </is>
      </c>
      <c r="D543" s="7" t="inlineStr">
        <is>
          <t>Carrier Replacement Program - P-35 ADVANCED ARRESTING GEAR (AAG) - Major Hardware                                                                                                  1</t>
        </is>
      </c>
      <c r="E543" s="13" t="inlineStr">
        <is>
          <t>[ALT_VIEW]</t>
        </is>
      </c>
      <c r="F543" s="7" t="inlineStr">
        <is>
          <t>2001 / Carrier Replacement Program</t>
        </is>
      </c>
      <c r="G543" s="7" t="inlineStr">
        <is>
          <t>P-35</t>
        </is>
      </c>
      <c r="I543" s="14" t="n">
        <v>1</v>
      </c>
      <c r="J543" s="7" t="inlineStr">
        <is>
          <t>Full ship DD&amp;C</t>
        </is>
      </c>
      <c r="K543" s="13" t="inlineStr">
        <is>
          <t>USN</t>
        </is>
      </c>
      <c r="L543" s="7" t="inlineStr">
        <is>
          <t>Combatant Ships</t>
        </is>
      </c>
      <c r="M543" s="7" t="inlineStr">
        <is>
          <t>Aircraft Carriers</t>
        </is>
      </c>
      <c r="N543" s="7" t="inlineStr">
        <is>
          <t>CVN</t>
        </is>
      </c>
      <c r="O543" s="15" t="n"/>
      <c r="P543" s="16" t="n">
        <v>219245</v>
      </c>
      <c r="S543" s="16" t="n">
        <v>309152</v>
      </c>
      <c r="U543" s="16" t="n">
        <v>309152</v>
      </c>
      <c r="AC543" s="23">
        <f>IF(OR(E543="",E543="[PARENT]"),"ADD",IF(E543="[ALT_VIEW]","ALT",""))</f>
        <v/>
      </c>
      <c r="AD543" s="21">
        <f>IF(Y543&lt;&gt;"",Y543,IF(U543&lt;&gt;"",U543,S543))</f>
        <v/>
      </c>
      <c r="AE543" s="21">
        <f>IF(AB543&lt;&gt;"",AB543,Z543)</f>
        <v/>
      </c>
      <c r="AF543" s="13" t="inlineStr">
        <is>
          <t>P-35 &gt; Carrier Replacement Program &gt; ADVANCED ARRESTING GEAR (AAG) &gt; Major Hardware                                                                                                  1</t>
        </is>
      </c>
      <c r="AG543" s="7" t="inlineStr">
        <is>
          <t>104</t>
        </is>
      </c>
      <c r="AH543" s="7" t="inlineStr">
        <is>
          <t>2001</t>
        </is>
      </c>
    </row>
    <row r="544" ht="10" customHeight="1">
      <c r="A544" s="7" t="inlineStr">
        <is>
          <t>SCN</t>
        </is>
      </c>
      <c r="B544" s="7" t="inlineStr">
        <is>
          <t>Procurement</t>
        </is>
      </c>
      <c r="D544" s="7" t="inlineStr">
        <is>
          <t>Carrier Replacement Program - P-35 ADVANCED ARRESTING GEAR (AAG) - Spares</t>
        </is>
      </c>
      <c r="E544" s="13" t="inlineStr">
        <is>
          <t>[ALT_VIEW]</t>
        </is>
      </c>
      <c r="F544" s="7" t="inlineStr">
        <is>
          <t>2001 / Carrier Replacement Program</t>
        </is>
      </c>
      <c r="G544" s="7" t="inlineStr">
        <is>
          <t>P-35</t>
        </is>
      </c>
      <c r="I544" s="14" t="n">
        <v>1</v>
      </c>
      <c r="J544" s="7" t="inlineStr">
        <is>
          <t>Full ship DD&amp;C</t>
        </is>
      </c>
      <c r="K544" s="13" t="inlineStr">
        <is>
          <t>USN</t>
        </is>
      </c>
      <c r="L544" s="7" t="inlineStr">
        <is>
          <t>Combatant Ships</t>
        </is>
      </c>
      <c r="M544" s="7" t="inlineStr">
        <is>
          <t>Aircraft Carriers</t>
        </is>
      </c>
      <c r="N544" s="7" t="inlineStr">
        <is>
          <t>CVN</t>
        </is>
      </c>
      <c r="O544" s="15" t="n"/>
      <c r="P544" s="16" t="n">
        <v>4620</v>
      </c>
      <c r="S544" s="16" t="n">
        <v>31422</v>
      </c>
      <c r="U544" s="16" t="n">
        <v>31422</v>
      </c>
      <c r="AC544" s="23">
        <f>IF(OR(E544="",E544="[PARENT]"),"ADD",IF(E544="[ALT_VIEW]","ALT",""))</f>
        <v/>
      </c>
      <c r="AD544" s="21">
        <f>IF(Y544&lt;&gt;"",Y544,IF(U544&lt;&gt;"",U544,S544))</f>
        <v/>
      </c>
      <c r="AE544" s="21">
        <f>IF(AB544&lt;&gt;"",AB544,Z544)</f>
        <v/>
      </c>
      <c r="AF544" s="13" t="inlineStr">
        <is>
          <t>P-35 &gt; Carrier Replacement Program &gt; ADVANCED ARRESTING GEAR (AAG) &gt; Spares</t>
        </is>
      </c>
      <c r="AG544" s="7" t="inlineStr">
        <is>
          <t>104</t>
        </is>
      </c>
      <c r="AH544" s="7" t="inlineStr">
        <is>
          <t>2001</t>
        </is>
      </c>
    </row>
    <row r="545" ht="10" customHeight="1">
      <c r="A545" s="7" t="inlineStr">
        <is>
          <t>SCN</t>
        </is>
      </c>
      <c r="B545" s="7" t="inlineStr">
        <is>
          <t>Procurement</t>
        </is>
      </c>
      <c r="D545" s="7" t="inlineStr">
        <is>
          <t>Carrier Replacement Program - P-35 ADVANCED ARRESTING GEAR (AAG) - System Engineering</t>
        </is>
      </c>
      <c r="E545" s="13" t="inlineStr">
        <is>
          <t>[ALT_VIEW]</t>
        </is>
      </c>
      <c r="F545" s="7" t="inlineStr">
        <is>
          <t>2001 / Carrier Replacement Program</t>
        </is>
      </c>
      <c r="G545" s="7" t="inlineStr">
        <is>
          <t>P-35</t>
        </is>
      </c>
      <c r="I545" s="14" t="n">
        <v>1</v>
      </c>
      <c r="J545" s="7" t="inlineStr">
        <is>
          <t>Full ship DD&amp;C</t>
        </is>
      </c>
      <c r="K545" s="13" t="inlineStr">
        <is>
          <t>USN</t>
        </is>
      </c>
      <c r="L545" s="7" t="inlineStr">
        <is>
          <t>Combatant Ships</t>
        </is>
      </c>
      <c r="M545" s="7" t="inlineStr">
        <is>
          <t>Aircraft Carriers</t>
        </is>
      </c>
      <c r="N545" s="7" t="inlineStr">
        <is>
          <t>CVN</t>
        </is>
      </c>
      <c r="O545" s="15" t="n"/>
      <c r="P545" s="16" t="n">
        <v>10464</v>
      </c>
      <c r="S545" s="16" t="n">
        <v>14300</v>
      </c>
      <c r="U545" s="16" t="n">
        <v>14300</v>
      </c>
      <c r="AC545" s="23">
        <f>IF(OR(E545="",E545="[PARENT]"),"ADD",IF(E545="[ALT_VIEW]","ALT",""))</f>
        <v/>
      </c>
      <c r="AD545" s="21">
        <f>IF(Y545&lt;&gt;"",Y545,IF(U545&lt;&gt;"",U545,S545))</f>
        <v/>
      </c>
      <c r="AE545" s="21">
        <f>IF(AB545&lt;&gt;"",AB545,Z545)</f>
        <v/>
      </c>
      <c r="AF545" s="13" t="inlineStr">
        <is>
          <t>P-35 &gt; Carrier Replacement Program &gt; ADVANCED ARRESTING GEAR (AAG) &gt; System Engineering</t>
        </is>
      </c>
      <c r="AG545" s="7" t="inlineStr">
        <is>
          <t>104</t>
        </is>
      </c>
      <c r="AH545" s="7" t="inlineStr">
        <is>
          <t>2001</t>
        </is>
      </c>
    </row>
    <row r="546" ht="10" customHeight="1">
      <c r="A546" s="7" t="inlineStr">
        <is>
          <t>SCN</t>
        </is>
      </c>
      <c r="B546" s="7" t="inlineStr">
        <is>
          <t>Procurement</t>
        </is>
      </c>
      <c r="D546" s="7" t="inlineStr">
        <is>
          <t>Carrier Replacement Program - P-35 ADVANCED ARRESTING GEAR (AAG) - Technical Engineering Services</t>
        </is>
      </c>
      <c r="E546" s="13" t="inlineStr">
        <is>
          <t>[ALT_VIEW]</t>
        </is>
      </c>
      <c r="F546" s="7" t="inlineStr">
        <is>
          <t>2001 / Carrier Replacement Program</t>
        </is>
      </c>
      <c r="G546" s="7" t="inlineStr">
        <is>
          <t>P-35</t>
        </is>
      </c>
      <c r="I546" s="14" t="n">
        <v>1</v>
      </c>
      <c r="J546" s="7" t="inlineStr">
        <is>
          <t>Full ship DD&amp;C</t>
        </is>
      </c>
      <c r="K546" s="13" t="inlineStr">
        <is>
          <t>USN</t>
        </is>
      </c>
      <c r="L546" s="7" t="inlineStr">
        <is>
          <t>Combatant Ships</t>
        </is>
      </c>
      <c r="M546" s="7" t="inlineStr">
        <is>
          <t>Aircraft Carriers</t>
        </is>
      </c>
      <c r="N546" s="7" t="inlineStr">
        <is>
          <t>CVN</t>
        </is>
      </c>
      <c r="O546" s="15" t="n"/>
      <c r="P546" s="16" t="n">
        <v>5285</v>
      </c>
      <c r="S546" s="16" t="n">
        <v>1266</v>
      </c>
      <c r="U546" s="16" t="n">
        <v>1266</v>
      </c>
      <c r="AC546" s="23">
        <f>IF(OR(E546="",E546="[PARENT]"),"ADD",IF(E546="[ALT_VIEW]","ALT",""))</f>
        <v/>
      </c>
      <c r="AD546" s="21">
        <f>IF(Y546&lt;&gt;"",Y546,IF(U546&lt;&gt;"",U546,S546))</f>
        <v/>
      </c>
      <c r="AE546" s="21">
        <f>IF(AB546&lt;&gt;"",AB546,Z546)</f>
        <v/>
      </c>
      <c r="AF546" s="13" t="inlineStr">
        <is>
          <t>P-35 &gt; Carrier Replacement Program &gt; ADVANCED ARRESTING GEAR (AAG) &gt; Technical Engineering Services</t>
        </is>
      </c>
      <c r="AG546" s="7" t="inlineStr">
        <is>
          <t>104</t>
        </is>
      </c>
      <c r="AH546" s="7" t="inlineStr">
        <is>
          <t>2001</t>
        </is>
      </c>
    </row>
    <row r="547" ht="10" customHeight="1">
      <c r="A547" s="7" t="inlineStr">
        <is>
          <t>SCN</t>
        </is>
      </c>
      <c r="B547" s="7" t="inlineStr">
        <is>
          <t>Procurement</t>
        </is>
      </c>
      <c r="D547" s="7" t="inlineStr">
        <is>
          <t>Carrier Replacement Program - P-35 ADVANCED ARRESTING GEAR (AAG) - Other Costs</t>
        </is>
      </c>
      <c r="E547" s="13" t="inlineStr">
        <is>
          <t>[ALT_VIEW]</t>
        </is>
      </c>
      <c r="F547" s="7" t="inlineStr">
        <is>
          <t>2001 / Carrier Replacement Program</t>
        </is>
      </c>
      <c r="G547" s="7" t="inlineStr">
        <is>
          <t>P-35</t>
        </is>
      </c>
      <c r="I547" s="14" t="n">
        <v>1</v>
      </c>
      <c r="J547" s="7" t="inlineStr">
        <is>
          <t>Full ship DD&amp;C</t>
        </is>
      </c>
      <c r="K547" s="13" t="inlineStr">
        <is>
          <t>USN</t>
        </is>
      </c>
      <c r="L547" s="7" t="inlineStr">
        <is>
          <t>Combatant Ships</t>
        </is>
      </c>
      <c r="M547" s="7" t="inlineStr">
        <is>
          <t>Aircraft Carriers</t>
        </is>
      </c>
      <c r="N547" s="7" t="inlineStr">
        <is>
          <t>CVN</t>
        </is>
      </c>
      <c r="O547" s="15" t="n"/>
      <c r="P547" s="16" t="n">
        <v>20468</v>
      </c>
      <c r="S547" s="16" t="n">
        <v>28950</v>
      </c>
      <c r="U547" s="16" t="n">
        <v>28950</v>
      </c>
      <c r="AC547" s="23">
        <f>IF(OR(E547="",E547="[PARENT]"),"ADD",IF(E547="[ALT_VIEW]","ALT",""))</f>
        <v/>
      </c>
      <c r="AD547" s="21">
        <f>IF(Y547&lt;&gt;"",Y547,IF(U547&lt;&gt;"",U547,S547))</f>
        <v/>
      </c>
      <c r="AE547" s="21">
        <f>IF(AB547&lt;&gt;"",AB547,Z547)</f>
        <v/>
      </c>
      <c r="AF547" s="13" t="inlineStr">
        <is>
          <t>P-35 &gt; Carrier Replacement Program &gt; ADVANCED ARRESTING GEAR (AAG) &gt; Other Costs</t>
        </is>
      </c>
      <c r="AG547" s="7" t="inlineStr">
        <is>
          <t>104</t>
        </is>
      </c>
      <c r="AH547" s="7" t="inlineStr">
        <is>
          <t>2001</t>
        </is>
      </c>
    </row>
    <row r="548" ht="10" customHeight="1">
      <c r="A548" s="7" t="inlineStr">
        <is>
          <t>SCN</t>
        </is>
      </c>
      <c r="B548" s="7" t="inlineStr">
        <is>
          <t>Procurement</t>
        </is>
      </c>
      <c r="D548" s="7" t="inlineStr">
        <is>
          <t>Carrier Replacement Program - P-35 PHALANX BLOCK 1B MK 15 MOD 21 &amp; 22, CLOSE - IN WEAPONS SYSTEM (CIWS) - Major Hardware                                                                                                    3</t>
        </is>
      </c>
      <c r="E548" s="13" t="inlineStr">
        <is>
          <t>[ALT_VIEW]</t>
        </is>
      </c>
      <c r="F548" s="7" t="inlineStr">
        <is>
          <t>2001 / Carrier Replacement Program</t>
        </is>
      </c>
      <c r="G548" s="7" t="inlineStr">
        <is>
          <t>P-35</t>
        </is>
      </c>
      <c r="I548" s="14" t="n">
        <v>1</v>
      </c>
      <c r="J548" s="7" t="inlineStr">
        <is>
          <t>Full ship DD&amp;C</t>
        </is>
      </c>
      <c r="K548" s="13" t="inlineStr">
        <is>
          <t>USN</t>
        </is>
      </c>
      <c r="L548" s="7" t="inlineStr">
        <is>
          <t>Combatant Ships</t>
        </is>
      </c>
      <c r="M548" s="7" t="inlineStr">
        <is>
          <t>Aircraft Carriers</t>
        </is>
      </c>
      <c r="N548" s="7" t="inlineStr">
        <is>
          <t>CVN</t>
        </is>
      </c>
      <c r="O548" s="15" t="n"/>
      <c r="P548" s="16" t="n">
        <v>15469</v>
      </c>
      <c r="S548" s="16" t="n">
        <v>18685</v>
      </c>
      <c r="U548" s="16" t="n">
        <v>18685</v>
      </c>
      <c r="AC548" s="23">
        <f>IF(OR(E548="",E548="[PARENT]"),"ADD",IF(E548="[ALT_VIEW]","ALT",""))</f>
        <v/>
      </c>
      <c r="AD548" s="21">
        <f>IF(Y548&lt;&gt;"",Y548,IF(U548&lt;&gt;"",U548,S548))</f>
        <v/>
      </c>
      <c r="AE548" s="21">
        <f>IF(AB548&lt;&gt;"",AB548,Z548)</f>
        <v/>
      </c>
      <c r="AF548" s="13" t="inlineStr">
        <is>
          <t>P-35 &gt; Carrier Replacement Program &gt; PHALANX BLOCK 1B MK 15 MOD 21 &amp; 22, CLOSE - IN WEAPONS SYSTEM (CIWS) &gt; Major Hardware                                                                                                    3</t>
        </is>
      </c>
      <c r="AG548" s="7" t="inlineStr">
        <is>
          <t>105</t>
        </is>
      </c>
      <c r="AH548" s="7" t="inlineStr">
        <is>
          <t>2001</t>
        </is>
      </c>
    </row>
    <row r="549" ht="10" customHeight="1">
      <c r="A549" s="7" t="inlineStr">
        <is>
          <t>SCN</t>
        </is>
      </c>
      <c r="B549" s="7" t="inlineStr">
        <is>
          <t>Procurement</t>
        </is>
      </c>
      <c r="D549" s="7" t="inlineStr">
        <is>
          <t>Carrier Replacement Program - P-35 PHALANX BLOCK 1B MK 15 MOD 21 &amp; 22, CLOSE - IN WEAPONS SYSTEM (CIWS) - Ancillary Equipment</t>
        </is>
      </c>
      <c r="E549" s="13" t="inlineStr">
        <is>
          <t>[ALT_VIEW]</t>
        </is>
      </c>
      <c r="F549" s="7" t="inlineStr">
        <is>
          <t>2001 / Carrier Replacement Program</t>
        </is>
      </c>
      <c r="G549" s="7" t="inlineStr">
        <is>
          <t>P-35</t>
        </is>
      </c>
      <c r="I549" s="14" t="n">
        <v>1</v>
      </c>
      <c r="J549" s="7" t="inlineStr">
        <is>
          <t>Full ship DD&amp;C</t>
        </is>
      </c>
      <c r="K549" s="13" t="inlineStr">
        <is>
          <t>USN</t>
        </is>
      </c>
      <c r="L549" s="7" t="inlineStr">
        <is>
          <t>Combatant Ships</t>
        </is>
      </c>
      <c r="M549" s="7" t="inlineStr">
        <is>
          <t>Aircraft Carriers</t>
        </is>
      </c>
      <c r="N549" s="7" t="inlineStr">
        <is>
          <t>CVN</t>
        </is>
      </c>
      <c r="O549" s="15" t="n"/>
      <c r="P549" s="16" t="n">
        <v>91</v>
      </c>
      <c r="S549" s="16" t="n">
        <v>139</v>
      </c>
      <c r="U549" s="16" t="n">
        <v>139</v>
      </c>
      <c r="AC549" s="23">
        <f>IF(OR(E549="",E549="[PARENT]"),"ADD",IF(E549="[ALT_VIEW]","ALT",""))</f>
        <v/>
      </c>
      <c r="AD549" s="21">
        <f>IF(Y549&lt;&gt;"",Y549,IF(U549&lt;&gt;"",U549,S549))</f>
        <v/>
      </c>
      <c r="AE549" s="21">
        <f>IF(AB549&lt;&gt;"",AB549,Z549)</f>
        <v/>
      </c>
      <c r="AF549" s="13" t="inlineStr">
        <is>
          <t>P-35 &gt; Carrier Replacement Program &gt; PHALANX BLOCK 1B MK 15 MOD 21 &amp; 22, CLOSE - IN WEAPONS SYSTEM (CIWS) &gt; Ancillary Equipment</t>
        </is>
      </c>
      <c r="AG549" s="7" t="inlineStr">
        <is>
          <t>105</t>
        </is>
      </c>
      <c r="AH549" s="7" t="inlineStr">
        <is>
          <t>2001</t>
        </is>
      </c>
    </row>
    <row r="550" ht="10" customHeight="1">
      <c r="A550" s="7" t="inlineStr">
        <is>
          <t>SCN</t>
        </is>
      </c>
      <c r="B550" s="7" t="inlineStr">
        <is>
          <t>Procurement</t>
        </is>
      </c>
      <c r="D550" s="7" t="inlineStr">
        <is>
          <t>Carrier Replacement Program - P-35 PHALANX BLOCK 1B MK 15 MOD 21 &amp; 22, CLOSE - IN WEAPONS SYSTEM (CIWS) - Spares</t>
        </is>
      </c>
      <c r="E550" s="13" t="inlineStr">
        <is>
          <t>[ALT_VIEW]</t>
        </is>
      </c>
      <c r="F550" s="7" t="inlineStr">
        <is>
          <t>2001 / Carrier Replacement Program</t>
        </is>
      </c>
      <c r="G550" s="7" t="inlineStr">
        <is>
          <t>P-35</t>
        </is>
      </c>
      <c r="I550" s="14" t="n">
        <v>1</v>
      </c>
      <c r="J550" s="7" t="inlineStr">
        <is>
          <t>Full ship DD&amp;C</t>
        </is>
      </c>
      <c r="K550" s="13" t="inlineStr">
        <is>
          <t>USN</t>
        </is>
      </c>
      <c r="L550" s="7" t="inlineStr">
        <is>
          <t>Combatant Ships</t>
        </is>
      </c>
      <c r="M550" s="7" t="inlineStr">
        <is>
          <t>Aircraft Carriers</t>
        </is>
      </c>
      <c r="N550" s="7" t="inlineStr">
        <is>
          <t>CVN</t>
        </is>
      </c>
      <c r="O550" s="15" t="n"/>
      <c r="P550" s="16" t="n">
        <v>381</v>
      </c>
      <c r="S550" s="16" t="n">
        <v>408</v>
      </c>
      <c r="U550" s="16" t="n">
        <v>408</v>
      </c>
      <c r="AC550" s="23">
        <f>IF(OR(E550="",E550="[PARENT]"),"ADD",IF(E550="[ALT_VIEW]","ALT",""))</f>
        <v/>
      </c>
      <c r="AD550" s="21">
        <f>IF(Y550&lt;&gt;"",Y550,IF(U550&lt;&gt;"",U550,S550))</f>
        <v/>
      </c>
      <c r="AE550" s="21">
        <f>IF(AB550&lt;&gt;"",AB550,Z550)</f>
        <v/>
      </c>
      <c r="AF550" s="13" t="inlineStr">
        <is>
          <t>P-35 &gt; Carrier Replacement Program &gt; PHALANX BLOCK 1B MK 15 MOD 21 &amp; 22, CLOSE - IN WEAPONS SYSTEM (CIWS) &gt; Spares</t>
        </is>
      </c>
      <c r="AG550" s="7" t="inlineStr">
        <is>
          <t>105</t>
        </is>
      </c>
      <c r="AH550" s="7" t="inlineStr">
        <is>
          <t>2001</t>
        </is>
      </c>
      <c r="AJ550" s="7" t="inlineStr">
        <is>
          <t>PHALANX BLOCK 1B MK 15 MOD 21 &amp; 22,  CLOSE - IN WEAPONS SYSTEM (CIWS)</t>
        </is>
      </c>
    </row>
    <row r="551" ht="10" customHeight="1">
      <c r="A551" s="7" t="inlineStr">
        <is>
          <t>SCN</t>
        </is>
      </c>
      <c r="B551" s="7" t="inlineStr">
        <is>
          <t>Procurement</t>
        </is>
      </c>
      <c r="D551" s="7" t="inlineStr">
        <is>
          <t>Carrier Replacement Program - P-35 PHALANX BLOCK 1B MK 15 MOD 21 &amp; 22, CLOSE - IN WEAPONS SYSTEM (CIWS) - System Engineering</t>
        </is>
      </c>
      <c r="E551" s="13" t="inlineStr">
        <is>
          <t>[ALT_VIEW]</t>
        </is>
      </c>
      <c r="F551" s="7" t="inlineStr">
        <is>
          <t>2001 / Carrier Replacement Program</t>
        </is>
      </c>
      <c r="G551" s="7" t="inlineStr">
        <is>
          <t>P-35</t>
        </is>
      </c>
      <c r="I551" s="14" t="n">
        <v>1</v>
      </c>
      <c r="J551" s="7" t="inlineStr">
        <is>
          <t>Full ship DD&amp;C</t>
        </is>
      </c>
      <c r="K551" s="13" t="inlineStr">
        <is>
          <t>USN</t>
        </is>
      </c>
      <c r="L551" s="7" t="inlineStr">
        <is>
          <t>Combatant Ships</t>
        </is>
      </c>
      <c r="M551" s="7" t="inlineStr">
        <is>
          <t>Aircraft Carriers</t>
        </is>
      </c>
      <c r="N551" s="7" t="inlineStr">
        <is>
          <t>CVN</t>
        </is>
      </c>
      <c r="O551" s="15" t="n"/>
      <c r="P551" s="16" t="n">
        <v>944</v>
      </c>
      <c r="S551" s="16" t="n">
        <v>1346</v>
      </c>
      <c r="U551" s="16" t="n">
        <v>1346</v>
      </c>
      <c r="AC551" s="23">
        <f>IF(OR(E551="",E551="[PARENT]"),"ADD",IF(E551="[ALT_VIEW]","ALT",""))</f>
        <v/>
      </c>
      <c r="AD551" s="21">
        <f>IF(Y551&lt;&gt;"",Y551,IF(U551&lt;&gt;"",U551,S551))</f>
        <v/>
      </c>
      <c r="AE551" s="21">
        <f>IF(AB551&lt;&gt;"",AB551,Z551)</f>
        <v/>
      </c>
      <c r="AF551" s="13" t="inlineStr">
        <is>
          <t>P-35 &gt; Carrier Replacement Program &gt; PHALANX BLOCK 1B MK 15 MOD 21 &amp; 22, CLOSE - IN WEAPONS SYSTEM (CIWS) &gt; System Engineering</t>
        </is>
      </c>
      <c r="AG551" s="7" t="inlineStr">
        <is>
          <t>105</t>
        </is>
      </c>
      <c r="AH551" s="7" t="inlineStr">
        <is>
          <t>2001</t>
        </is>
      </c>
    </row>
    <row r="552" ht="10" customHeight="1">
      <c r="A552" s="7" t="inlineStr">
        <is>
          <t>SCN</t>
        </is>
      </c>
      <c r="B552" s="7" t="inlineStr">
        <is>
          <t>Procurement</t>
        </is>
      </c>
      <c r="D552" s="7" t="inlineStr">
        <is>
          <t>Carrier Replacement Program - P-35 PHALANX BLOCK 1B MK 15 MOD 21 &amp; 22, CLOSE - IN WEAPONS SYSTEM (CIWS) - Technical Engineering Services</t>
        </is>
      </c>
      <c r="E552" s="13" t="inlineStr">
        <is>
          <t>[ALT_VIEW]</t>
        </is>
      </c>
      <c r="F552" s="7" t="inlineStr">
        <is>
          <t>2001 / Carrier Replacement Program</t>
        </is>
      </c>
      <c r="G552" s="7" t="inlineStr">
        <is>
          <t>P-35</t>
        </is>
      </c>
      <c r="I552" s="14" t="n">
        <v>1</v>
      </c>
      <c r="J552" s="7" t="inlineStr">
        <is>
          <t>Full ship DD&amp;C</t>
        </is>
      </c>
      <c r="K552" s="13" t="inlineStr">
        <is>
          <t>USN</t>
        </is>
      </c>
      <c r="L552" s="7" t="inlineStr">
        <is>
          <t>Combatant Ships</t>
        </is>
      </c>
      <c r="M552" s="7" t="inlineStr">
        <is>
          <t>Aircraft Carriers</t>
        </is>
      </c>
      <c r="N552" s="7" t="inlineStr">
        <is>
          <t>CVN</t>
        </is>
      </c>
      <c r="O552" s="15" t="n"/>
      <c r="P552" s="16" t="n">
        <v>739</v>
      </c>
      <c r="S552" s="16" t="n">
        <v>895</v>
      </c>
      <c r="U552" s="16" t="n">
        <v>895</v>
      </c>
      <c r="AC552" s="23">
        <f>IF(OR(E552="",E552="[PARENT]"),"ADD",IF(E552="[ALT_VIEW]","ALT",""))</f>
        <v/>
      </c>
      <c r="AD552" s="21">
        <f>IF(Y552&lt;&gt;"",Y552,IF(U552&lt;&gt;"",U552,S552))</f>
        <v/>
      </c>
      <c r="AE552" s="21">
        <f>IF(AB552&lt;&gt;"",AB552,Z552)</f>
        <v/>
      </c>
      <c r="AF552" s="13" t="inlineStr">
        <is>
          <t>P-35 &gt; Carrier Replacement Program &gt; PHALANX BLOCK 1B MK 15 MOD 21 &amp; 22, CLOSE - IN WEAPONS SYSTEM (CIWS) &gt; Technical Engineering Services</t>
        </is>
      </c>
      <c r="AG552" s="7" t="inlineStr">
        <is>
          <t>105</t>
        </is>
      </c>
      <c r="AH552" s="7" t="inlineStr">
        <is>
          <t>2001</t>
        </is>
      </c>
    </row>
    <row r="553" ht="10" customHeight="1">
      <c r="A553" s="7" t="inlineStr">
        <is>
          <t>SCN</t>
        </is>
      </c>
      <c r="B553" s="7" t="inlineStr">
        <is>
          <t>Procurement</t>
        </is>
      </c>
      <c r="D553" s="7" t="inlineStr">
        <is>
          <t>Carrier Replacement Program - P-35 PHALANX BLOCK 1B MK 15 MOD 21 &amp; 22, CLOSE - IN WEAPONS SYSTEM (CIWS) - Other Costs</t>
        </is>
      </c>
      <c r="E553" s="13" t="inlineStr">
        <is>
          <t>[ALT_VIEW]</t>
        </is>
      </c>
      <c r="F553" s="7" t="inlineStr">
        <is>
          <t>2001 / Carrier Replacement Program</t>
        </is>
      </c>
      <c r="G553" s="7" t="inlineStr">
        <is>
          <t>P-35</t>
        </is>
      </c>
      <c r="I553" s="14" t="n">
        <v>1</v>
      </c>
      <c r="J553" s="7" t="inlineStr">
        <is>
          <t>Full ship DD&amp;C</t>
        </is>
      </c>
      <c r="K553" s="13" t="inlineStr">
        <is>
          <t>USN</t>
        </is>
      </c>
      <c r="L553" s="7" t="inlineStr">
        <is>
          <t>Combatant Ships</t>
        </is>
      </c>
      <c r="M553" s="7" t="inlineStr">
        <is>
          <t>Aircraft Carriers</t>
        </is>
      </c>
      <c r="N553" s="7" t="inlineStr">
        <is>
          <t>CVN</t>
        </is>
      </c>
      <c r="O553" s="15" t="n"/>
      <c r="P553" s="16" t="n">
        <v>1581</v>
      </c>
      <c r="S553" s="16" t="n">
        <v>1804</v>
      </c>
      <c r="U553" s="16" t="n">
        <v>1804</v>
      </c>
      <c r="AC553" s="23">
        <f>IF(OR(E553="",E553="[PARENT]"),"ADD",IF(E553="[ALT_VIEW]","ALT",""))</f>
        <v/>
      </c>
      <c r="AD553" s="21">
        <f>IF(Y553&lt;&gt;"",Y553,IF(U553&lt;&gt;"",U553,S553))</f>
        <v/>
      </c>
      <c r="AE553" s="21">
        <f>IF(AB553&lt;&gt;"",AB553,Z553)</f>
        <v/>
      </c>
      <c r="AF553" s="13" t="inlineStr">
        <is>
          <t>P-35 &gt; Carrier Replacement Program &gt; PHALANX BLOCK 1B MK 15 MOD 21 &amp; 22, CLOSE - IN WEAPONS SYSTEM (CIWS) &gt; Other Costs</t>
        </is>
      </c>
      <c r="AG553" s="7" t="inlineStr">
        <is>
          <t>105</t>
        </is>
      </c>
      <c r="AH553" s="7" t="inlineStr">
        <is>
          <t>2001</t>
        </is>
      </c>
    </row>
    <row r="554" ht="10" customHeight="1">
      <c r="A554" s="7" t="inlineStr">
        <is>
          <t>SCN</t>
        </is>
      </c>
      <c r="B554" s="7" t="inlineStr">
        <is>
          <t>Procurement</t>
        </is>
      </c>
      <c r="D554" s="7" t="inlineStr">
        <is>
          <t>Carrier Replacement Program - P-35 AN/SQQ-34, CARRIER-TACTICAL SUPPORT CENTER (CV-TSC) - Major Hardware                                                                                           1</t>
        </is>
      </c>
      <c r="E554" s="13" t="inlineStr">
        <is>
          <t>[ALT_VIEW]</t>
        </is>
      </c>
      <c r="F554" s="7" t="inlineStr">
        <is>
          <t>2001 / Carrier Replacement Program</t>
        </is>
      </c>
      <c r="G554" s="7" t="inlineStr">
        <is>
          <t>P-35</t>
        </is>
      </c>
      <c r="I554" s="14" t="n">
        <v>1</v>
      </c>
      <c r="J554" s="7" t="inlineStr">
        <is>
          <t>Full ship DD&amp;C</t>
        </is>
      </c>
      <c r="K554" s="13" t="inlineStr">
        <is>
          <t>USN</t>
        </is>
      </c>
      <c r="L554" s="7" t="inlineStr">
        <is>
          <t>Combatant Ships</t>
        </is>
      </c>
      <c r="M554" s="7" t="inlineStr">
        <is>
          <t>Aircraft Carriers</t>
        </is>
      </c>
      <c r="N554" s="7" t="inlineStr">
        <is>
          <t>CVN</t>
        </is>
      </c>
      <c r="O554" s="15" t="n"/>
      <c r="P554" s="16" t="n">
        <v>2558</v>
      </c>
      <c r="S554" s="16" t="n">
        <v>3278</v>
      </c>
      <c r="U554" s="16" t="n">
        <v>3278</v>
      </c>
      <c r="AC554" s="23">
        <f>IF(OR(E554="",E554="[PARENT]"),"ADD",IF(E554="[ALT_VIEW]","ALT",""))</f>
        <v/>
      </c>
      <c r="AD554" s="21">
        <f>IF(Y554&lt;&gt;"",Y554,IF(U554&lt;&gt;"",U554,S554))</f>
        <v/>
      </c>
      <c r="AE554" s="21">
        <f>IF(AB554&lt;&gt;"",AB554,Z554)</f>
        <v/>
      </c>
      <c r="AF554" s="13" t="inlineStr">
        <is>
          <t>P-35 &gt; Carrier Replacement Program &gt; AN/SQQ-34, CARRIER-TACTICAL SUPPORT CENTER (CV-TSC) &gt; Major Hardware                                                                                           1</t>
        </is>
      </c>
      <c r="AG554" s="7" t="inlineStr">
        <is>
          <t>106</t>
        </is>
      </c>
      <c r="AH554" s="7" t="inlineStr">
        <is>
          <t>2001</t>
        </is>
      </c>
    </row>
    <row r="555" ht="10" customHeight="1">
      <c r="A555" s="7" t="inlineStr">
        <is>
          <t>SCN</t>
        </is>
      </c>
      <c r="B555" s="7" t="inlineStr">
        <is>
          <t>Procurement</t>
        </is>
      </c>
      <c r="D555" s="7" t="inlineStr">
        <is>
          <t>Carrier Replacement Program - P-35 AN/SQQ-34, CARRIER-TACTICAL SUPPORT CENTER (CV-TSC) - Spares</t>
        </is>
      </c>
      <c r="E555" s="13" t="inlineStr">
        <is>
          <t>[ALT_VIEW]</t>
        </is>
      </c>
      <c r="F555" s="7" t="inlineStr">
        <is>
          <t>2001 / Carrier Replacement Program</t>
        </is>
      </c>
      <c r="G555" s="7" t="inlineStr">
        <is>
          <t>P-35</t>
        </is>
      </c>
      <c r="I555" s="14" t="n">
        <v>1</v>
      </c>
      <c r="J555" s="7" t="inlineStr">
        <is>
          <t>Full ship DD&amp;C</t>
        </is>
      </c>
      <c r="K555" s="13" t="inlineStr">
        <is>
          <t>USN</t>
        </is>
      </c>
      <c r="L555" s="7" t="inlineStr">
        <is>
          <t>Combatant Ships</t>
        </is>
      </c>
      <c r="M555" s="7" t="inlineStr">
        <is>
          <t>Aircraft Carriers</t>
        </is>
      </c>
      <c r="N555" s="7" t="inlineStr">
        <is>
          <t>CVN</t>
        </is>
      </c>
      <c r="O555" s="15" t="n"/>
      <c r="P555" s="16" t="n">
        <v>114</v>
      </c>
      <c r="S555" s="16" t="n">
        <v>260</v>
      </c>
      <c r="U555" s="16" t="n">
        <v>260</v>
      </c>
      <c r="AC555" s="23">
        <f>IF(OR(E555="",E555="[PARENT]"),"ADD",IF(E555="[ALT_VIEW]","ALT",""))</f>
        <v/>
      </c>
      <c r="AD555" s="21">
        <f>IF(Y555&lt;&gt;"",Y555,IF(U555&lt;&gt;"",U555,S555))</f>
        <v/>
      </c>
      <c r="AE555" s="21">
        <f>IF(AB555&lt;&gt;"",AB555,Z555)</f>
        <v/>
      </c>
      <c r="AF555" s="13" t="inlineStr">
        <is>
          <t>P-35 &gt; Carrier Replacement Program &gt; AN/SQQ-34, CARRIER-TACTICAL SUPPORT CENTER (CV-TSC) &gt; Spares</t>
        </is>
      </c>
      <c r="AG555" s="7" t="inlineStr">
        <is>
          <t>106</t>
        </is>
      </c>
      <c r="AH555" s="7" t="inlineStr">
        <is>
          <t>2001</t>
        </is>
      </c>
    </row>
    <row r="556" ht="10" customHeight="1">
      <c r="A556" s="7" t="inlineStr">
        <is>
          <t>SCN</t>
        </is>
      </c>
      <c r="B556" s="7" t="inlineStr">
        <is>
          <t>Procurement</t>
        </is>
      </c>
      <c r="D556" s="7" t="inlineStr">
        <is>
          <t>Carrier Replacement Program - P-35 AN/SQQ-34, CARRIER-TACTICAL SUPPORT CENTER (CV-TSC) - System Engineering</t>
        </is>
      </c>
      <c r="E556" s="13" t="inlineStr">
        <is>
          <t>[ALT_VIEW]</t>
        </is>
      </c>
      <c r="F556" s="7" t="inlineStr">
        <is>
          <t>2001 / Carrier Replacement Program</t>
        </is>
      </c>
      <c r="G556" s="7" t="inlineStr">
        <is>
          <t>P-35</t>
        </is>
      </c>
      <c r="I556" s="14" t="n">
        <v>1</v>
      </c>
      <c r="J556" s="7" t="inlineStr">
        <is>
          <t>Full ship DD&amp;C</t>
        </is>
      </c>
      <c r="K556" s="13" t="inlineStr">
        <is>
          <t>USN</t>
        </is>
      </c>
      <c r="L556" s="7" t="inlineStr">
        <is>
          <t>Combatant Ships</t>
        </is>
      </c>
      <c r="M556" s="7" t="inlineStr">
        <is>
          <t>Aircraft Carriers</t>
        </is>
      </c>
      <c r="N556" s="7" t="inlineStr">
        <is>
          <t>CVN</t>
        </is>
      </c>
      <c r="O556" s="15" t="n"/>
      <c r="P556" s="16" t="n">
        <v>231</v>
      </c>
      <c r="S556" s="16" t="n">
        <v>31</v>
      </c>
      <c r="U556" s="16" t="n">
        <v>31</v>
      </c>
      <c r="AC556" s="23">
        <f>IF(OR(E556="",E556="[PARENT]"),"ADD",IF(E556="[ALT_VIEW]","ALT",""))</f>
        <v/>
      </c>
      <c r="AD556" s="21">
        <f>IF(Y556&lt;&gt;"",Y556,IF(U556&lt;&gt;"",U556,S556))</f>
        <v/>
      </c>
      <c r="AE556" s="21">
        <f>IF(AB556&lt;&gt;"",AB556,Z556)</f>
        <v/>
      </c>
      <c r="AF556" s="13" t="inlineStr">
        <is>
          <t>P-35 &gt; Carrier Replacement Program &gt; AN/SQQ-34, CARRIER-TACTICAL SUPPORT CENTER (CV-TSC) &gt; System Engineering</t>
        </is>
      </c>
      <c r="AG556" s="7" t="inlineStr">
        <is>
          <t>106</t>
        </is>
      </c>
      <c r="AH556" s="7" t="inlineStr">
        <is>
          <t>2001</t>
        </is>
      </c>
    </row>
    <row r="557" ht="10" customHeight="1">
      <c r="A557" s="7" t="inlineStr">
        <is>
          <t>SCN</t>
        </is>
      </c>
      <c r="B557" s="7" t="inlineStr">
        <is>
          <t>Procurement</t>
        </is>
      </c>
      <c r="D557" s="7" t="inlineStr">
        <is>
          <t>Carrier Replacement Program - P-35 AN/SQQ-34, CARRIER-TACTICAL SUPPORT CENTER (CV-TSC) - Technical Engineering Services</t>
        </is>
      </c>
      <c r="E557" s="13" t="inlineStr">
        <is>
          <t>[ALT_VIEW]</t>
        </is>
      </c>
      <c r="F557" s="7" t="inlineStr">
        <is>
          <t>2001 / Carrier Replacement Program</t>
        </is>
      </c>
      <c r="G557" s="7" t="inlineStr">
        <is>
          <t>P-35</t>
        </is>
      </c>
      <c r="I557" s="14" t="n">
        <v>1</v>
      </c>
      <c r="J557" s="7" t="inlineStr">
        <is>
          <t>Full ship DD&amp;C</t>
        </is>
      </c>
      <c r="K557" s="13" t="inlineStr">
        <is>
          <t>USN</t>
        </is>
      </c>
      <c r="L557" s="7" t="inlineStr">
        <is>
          <t>Combatant Ships</t>
        </is>
      </c>
      <c r="M557" s="7" t="inlineStr">
        <is>
          <t>Aircraft Carriers</t>
        </is>
      </c>
      <c r="N557" s="7" t="inlineStr">
        <is>
          <t>CVN</t>
        </is>
      </c>
      <c r="O557" s="15" t="n"/>
      <c r="S557" s="16" t="n">
        <v>106</v>
      </c>
      <c r="U557" s="16" t="n">
        <v>106</v>
      </c>
      <c r="AC557" s="23">
        <f>IF(OR(E557="",E557="[PARENT]"),"ADD",IF(E557="[ALT_VIEW]","ALT",""))</f>
        <v/>
      </c>
      <c r="AD557" s="21">
        <f>IF(Y557&lt;&gt;"",Y557,IF(U557&lt;&gt;"",U557,S557))</f>
        <v/>
      </c>
      <c r="AE557" s="21">
        <f>IF(AB557&lt;&gt;"",AB557,Z557)</f>
        <v/>
      </c>
      <c r="AF557" s="13" t="inlineStr">
        <is>
          <t>P-35 &gt; Carrier Replacement Program &gt; AN/SQQ-34, CARRIER-TACTICAL SUPPORT CENTER (CV-TSC) &gt; Technical Engineering Services</t>
        </is>
      </c>
      <c r="AG557" s="7" t="inlineStr">
        <is>
          <t>106</t>
        </is>
      </c>
      <c r="AH557" s="7" t="inlineStr">
        <is>
          <t>2001</t>
        </is>
      </c>
    </row>
    <row r="558" ht="10" customHeight="1">
      <c r="A558" s="7" t="inlineStr">
        <is>
          <t>SCN</t>
        </is>
      </c>
      <c r="B558" s="7" t="inlineStr">
        <is>
          <t>Procurement</t>
        </is>
      </c>
      <c r="D558" s="7" t="inlineStr">
        <is>
          <t>Carrier Replacement Program - P-35 AN/SQQ-34, CARRIER-TACTICAL SUPPORT CENTER (CV-TSC) - Other Costs</t>
        </is>
      </c>
      <c r="E558" s="13" t="inlineStr">
        <is>
          <t>[ALT_VIEW]</t>
        </is>
      </c>
      <c r="F558" s="7" t="inlineStr">
        <is>
          <t>2001 / Carrier Replacement Program</t>
        </is>
      </c>
      <c r="G558" s="7" t="inlineStr">
        <is>
          <t>P-35</t>
        </is>
      </c>
      <c r="I558" s="14" t="n">
        <v>1</v>
      </c>
      <c r="J558" s="7" t="inlineStr">
        <is>
          <t>Full ship DD&amp;C</t>
        </is>
      </c>
      <c r="K558" s="13" t="inlineStr">
        <is>
          <t>USN</t>
        </is>
      </c>
      <c r="L558" s="7" t="inlineStr">
        <is>
          <t>Combatant Ships</t>
        </is>
      </c>
      <c r="M558" s="7" t="inlineStr">
        <is>
          <t>Aircraft Carriers</t>
        </is>
      </c>
      <c r="N558" s="7" t="inlineStr">
        <is>
          <t>CVN</t>
        </is>
      </c>
      <c r="O558" s="15" t="n"/>
      <c r="P558" s="16" t="n">
        <v>474</v>
      </c>
      <c r="S558" s="16" t="n">
        <v>647</v>
      </c>
      <c r="U558" s="16" t="n">
        <v>647</v>
      </c>
      <c r="AC558" s="23">
        <f>IF(OR(E558="",E558="[PARENT]"),"ADD",IF(E558="[ALT_VIEW]","ALT",""))</f>
        <v/>
      </c>
      <c r="AD558" s="21">
        <f>IF(Y558&lt;&gt;"",Y558,IF(U558&lt;&gt;"",U558,S558))</f>
        <v/>
      </c>
      <c r="AE558" s="21">
        <f>IF(AB558&lt;&gt;"",AB558,Z558)</f>
        <v/>
      </c>
      <c r="AF558" s="13" t="inlineStr">
        <is>
          <t>P-35 &gt; Carrier Replacement Program &gt; AN/SQQ-34, CARRIER-TACTICAL SUPPORT CENTER (CV-TSC) &gt; Other Costs</t>
        </is>
      </c>
      <c r="AG558" s="7" t="inlineStr">
        <is>
          <t>106</t>
        </is>
      </c>
      <c r="AH558" s="7" t="inlineStr">
        <is>
          <t>2001</t>
        </is>
      </c>
    </row>
    <row r="559" ht="10" customHeight="1">
      <c r="A559" s="7" t="inlineStr">
        <is>
          <t>SCN</t>
        </is>
      </c>
      <c r="B559" s="7" t="inlineStr">
        <is>
          <t>Procurement</t>
        </is>
      </c>
      <c r="D559" s="7" t="inlineStr">
        <is>
          <t>Carrier Replacement Program - P-35 MK-57 NATO SEASPARROW MISSILE SYSTEM (NSSMS) - Major Hardware                                                                                           1</t>
        </is>
      </c>
      <c r="E559" s="13" t="inlineStr">
        <is>
          <t>[ALT_VIEW]</t>
        </is>
      </c>
      <c r="F559" s="7" t="inlineStr">
        <is>
          <t>2001 / Carrier Replacement Program</t>
        </is>
      </c>
      <c r="G559" s="7" t="inlineStr">
        <is>
          <t>P-35</t>
        </is>
      </c>
      <c r="I559" s="14" t="n">
        <v>1</v>
      </c>
      <c r="J559" s="7" t="inlineStr">
        <is>
          <t>Full ship DD&amp;C</t>
        </is>
      </c>
      <c r="K559" s="13" t="inlineStr">
        <is>
          <t>USN</t>
        </is>
      </c>
      <c r="L559" s="7" t="inlineStr">
        <is>
          <t>Combatant Ships</t>
        </is>
      </c>
      <c r="M559" s="7" t="inlineStr">
        <is>
          <t>Aircraft Carriers</t>
        </is>
      </c>
      <c r="N559" s="7" t="inlineStr">
        <is>
          <t>CVN</t>
        </is>
      </c>
      <c r="O559" s="15" t="n"/>
      <c r="P559" s="16" t="n">
        <v>39800</v>
      </c>
      <c r="S559" s="16" t="n">
        <v>40644</v>
      </c>
      <c r="U559" s="16" t="n">
        <v>40644</v>
      </c>
      <c r="AC559" s="23">
        <f>IF(OR(E559="",E559="[PARENT]"),"ADD",IF(E559="[ALT_VIEW]","ALT",""))</f>
        <v/>
      </c>
      <c r="AD559" s="21">
        <f>IF(Y559&lt;&gt;"",Y559,IF(U559&lt;&gt;"",U559,S559))</f>
        <v/>
      </c>
      <c r="AE559" s="21">
        <f>IF(AB559&lt;&gt;"",AB559,Z559)</f>
        <v/>
      </c>
      <c r="AF559" s="13" t="inlineStr">
        <is>
          <t>P-35 &gt; Carrier Replacement Program &gt; MK-57 NATO SEASPARROW MISSILE SYSTEM (NSSMS) &gt; Major Hardware                                                                                           1</t>
        </is>
      </c>
      <c r="AG559" s="7" t="inlineStr">
        <is>
          <t>107</t>
        </is>
      </c>
      <c r="AH559" s="7" t="inlineStr">
        <is>
          <t>2001</t>
        </is>
      </c>
    </row>
    <row r="560" ht="10" customHeight="1">
      <c r="A560" s="7" t="inlineStr">
        <is>
          <t>SCN</t>
        </is>
      </c>
      <c r="B560" s="7" t="inlineStr">
        <is>
          <t>Procurement</t>
        </is>
      </c>
      <c r="D560" s="7" t="inlineStr">
        <is>
          <t>Carrier Replacement Program - P-35 MK-57 NATO SEASPARROW MISSILE SYSTEM (NSSMS) - Ancillary Equipment</t>
        </is>
      </c>
      <c r="E560" s="13" t="inlineStr">
        <is>
          <t>[ALT_VIEW]</t>
        </is>
      </c>
      <c r="F560" s="7" t="inlineStr">
        <is>
          <t>2001 / Carrier Replacement Program</t>
        </is>
      </c>
      <c r="G560" s="7" t="inlineStr">
        <is>
          <t>P-35</t>
        </is>
      </c>
      <c r="I560" s="14" t="n">
        <v>1</v>
      </c>
      <c r="J560" s="7" t="inlineStr">
        <is>
          <t>Full ship DD&amp;C</t>
        </is>
      </c>
      <c r="K560" s="13" t="inlineStr">
        <is>
          <t>USN</t>
        </is>
      </c>
      <c r="L560" s="7" t="inlineStr">
        <is>
          <t>Combatant Ships</t>
        </is>
      </c>
      <c r="M560" s="7" t="inlineStr">
        <is>
          <t>Aircraft Carriers</t>
        </is>
      </c>
      <c r="N560" s="7" t="inlineStr">
        <is>
          <t>CVN</t>
        </is>
      </c>
      <c r="O560" s="15" t="n"/>
      <c r="P560" s="16" t="n">
        <v>269</v>
      </c>
      <c r="S560" s="16" t="n">
        <v>435</v>
      </c>
      <c r="U560" s="16" t="n">
        <v>435</v>
      </c>
      <c r="AC560" s="23">
        <f>IF(OR(E560="",E560="[PARENT]"),"ADD",IF(E560="[ALT_VIEW]","ALT",""))</f>
        <v/>
      </c>
      <c r="AD560" s="21">
        <f>IF(Y560&lt;&gt;"",Y560,IF(U560&lt;&gt;"",U560,S560))</f>
        <v/>
      </c>
      <c r="AE560" s="21">
        <f>IF(AB560&lt;&gt;"",AB560,Z560)</f>
        <v/>
      </c>
      <c r="AF560" s="13" t="inlineStr">
        <is>
          <t>P-35 &gt; Carrier Replacement Program &gt; MK-57 NATO SEASPARROW MISSILE SYSTEM (NSSMS) &gt; Ancillary Equipment</t>
        </is>
      </c>
      <c r="AG560" s="7" t="inlineStr">
        <is>
          <t>107</t>
        </is>
      </c>
      <c r="AH560" s="7" t="inlineStr">
        <is>
          <t>2001</t>
        </is>
      </c>
    </row>
    <row r="561" ht="10" customHeight="1">
      <c r="A561" s="7" t="inlineStr">
        <is>
          <t>SCN</t>
        </is>
      </c>
      <c r="B561" s="7" t="inlineStr">
        <is>
          <t>Procurement</t>
        </is>
      </c>
      <c r="D561" s="7" t="inlineStr">
        <is>
          <t>Carrier Replacement Program - P-35 MK-57 NATO SEASPARROW MISSILE SYSTEM (NSSMS) - Spares</t>
        </is>
      </c>
      <c r="E561" s="13" t="inlineStr">
        <is>
          <t>[ALT_VIEW]</t>
        </is>
      </c>
      <c r="F561" s="7" t="inlineStr">
        <is>
          <t>2001 / Carrier Replacement Program</t>
        </is>
      </c>
      <c r="G561" s="7" t="inlineStr">
        <is>
          <t>P-35</t>
        </is>
      </c>
      <c r="I561" s="14" t="n">
        <v>1</v>
      </c>
      <c r="J561" s="7" t="inlineStr">
        <is>
          <t>Full ship DD&amp;C</t>
        </is>
      </c>
      <c r="K561" s="13" t="inlineStr">
        <is>
          <t>USN</t>
        </is>
      </c>
      <c r="L561" s="7" t="inlineStr">
        <is>
          <t>Combatant Ships</t>
        </is>
      </c>
      <c r="M561" s="7" t="inlineStr">
        <is>
          <t>Aircraft Carriers</t>
        </is>
      </c>
      <c r="N561" s="7" t="inlineStr">
        <is>
          <t>CVN</t>
        </is>
      </c>
      <c r="O561" s="15" t="n"/>
      <c r="P561" s="16" t="n">
        <v>1423</v>
      </c>
      <c r="S561" s="16" t="n">
        <v>1958</v>
      </c>
      <c r="U561" s="16" t="n">
        <v>1958</v>
      </c>
      <c r="AC561" s="23">
        <f>IF(OR(E561="",E561="[PARENT]"),"ADD",IF(E561="[ALT_VIEW]","ALT",""))</f>
        <v/>
      </c>
      <c r="AD561" s="21">
        <f>IF(Y561&lt;&gt;"",Y561,IF(U561&lt;&gt;"",U561,S561))</f>
        <v/>
      </c>
      <c r="AE561" s="21">
        <f>IF(AB561&lt;&gt;"",AB561,Z561)</f>
        <v/>
      </c>
      <c r="AF561" s="13" t="inlineStr">
        <is>
          <t>P-35 &gt; Carrier Replacement Program &gt; MK-57 NATO SEASPARROW MISSILE SYSTEM (NSSMS) &gt; Spares</t>
        </is>
      </c>
      <c r="AG561" s="7" t="inlineStr">
        <is>
          <t>107</t>
        </is>
      </c>
      <c r="AH561" s="7" t="inlineStr">
        <is>
          <t>2001</t>
        </is>
      </c>
    </row>
    <row r="562" ht="10" customHeight="1">
      <c r="A562" s="7" t="inlineStr">
        <is>
          <t>SCN</t>
        </is>
      </c>
      <c r="B562" s="7" t="inlineStr">
        <is>
          <t>Procurement</t>
        </is>
      </c>
      <c r="D562" s="7" t="inlineStr">
        <is>
          <t>Carrier Replacement Program - P-35 MK-57 NATO SEASPARROW MISSILE SYSTEM (NSSMS) - System Engineering</t>
        </is>
      </c>
      <c r="E562" s="13" t="inlineStr">
        <is>
          <t>[ALT_VIEW]</t>
        </is>
      </c>
      <c r="F562" s="7" t="inlineStr">
        <is>
          <t>2001 / Carrier Replacement Program</t>
        </is>
      </c>
      <c r="G562" s="7" t="inlineStr">
        <is>
          <t>P-35</t>
        </is>
      </c>
      <c r="I562" s="14" t="n">
        <v>1</v>
      </c>
      <c r="J562" s="7" t="inlineStr">
        <is>
          <t>Full ship DD&amp;C</t>
        </is>
      </c>
      <c r="K562" s="13" t="inlineStr">
        <is>
          <t>USN</t>
        </is>
      </c>
      <c r="L562" s="7" t="inlineStr">
        <is>
          <t>Combatant Ships</t>
        </is>
      </c>
      <c r="M562" s="7" t="inlineStr">
        <is>
          <t>Aircraft Carriers</t>
        </is>
      </c>
      <c r="N562" s="7" t="inlineStr">
        <is>
          <t>CVN</t>
        </is>
      </c>
      <c r="O562" s="15" t="n"/>
      <c r="P562" s="16" t="n">
        <v>736</v>
      </c>
      <c r="S562" s="16" t="n">
        <v>816</v>
      </c>
      <c r="U562" s="16" t="n">
        <v>816</v>
      </c>
      <c r="AC562" s="23">
        <f>IF(OR(E562="",E562="[PARENT]"),"ADD",IF(E562="[ALT_VIEW]","ALT",""))</f>
        <v/>
      </c>
      <c r="AD562" s="21">
        <f>IF(Y562&lt;&gt;"",Y562,IF(U562&lt;&gt;"",U562,S562))</f>
        <v/>
      </c>
      <c r="AE562" s="21">
        <f>IF(AB562&lt;&gt;"",AB562,Z562)</f>
        <v/>
      </c>
      <c r="AF562" s="13" t="inlineStr">
        <is>
          <t>P-35 &gt; Carrier Replacement Program &gt; MK-57 NATO SEASPARROW MISSILE SYSTEM (NSSMS) &gt; System Engineering</t>
        </is>
      </c>
      <c r="AG562" s="7" t="inlineStr">
        <is>
          <t>107</t>
        </is>
      </c>
      <c r="AH562" s="7" t="inlineStr">
        <is>
          <t>2001</t>
        </is>
      </c>
    </row>
    <row r="563" ht="10" customHeight="1">
      <c r="A563" s="7" t="inlineStr">
        <is>
          <t>SCN</t>
        </is>
      </c>
      <c r="B563" s="7" t="inlineStr">
        <is>
          <t>Procurement</t>
        </is>
      </c>
      <c r="D563" s="7" t="inlineStr">
        <is>
          <t>Carrier Replacement Program - P-35 MK-57 NATO SEASPARROW MISSILE SYSTEM (NSSMS) - Technical Engineering Services</t>
        </is>
      </c>
      <c r="E563" s="13" t="inlineStr">
        <is>
          <t>[ALT_VIEW]</t>
        </is>
      </c>
      <c r="F563" s="7" t="inlineStr">
        <is>
          <t>2001 / Carrier Replacement Program</t>
        </is>
      </c>
      <c r="G563" s="7" t="inlineStr">
        <is>
          <t>P-35</t>
        </is>
      </c>
      <c r="I563" s="14" t="n">
        <v>1</v>
      </c>
      <c r="J563" s="7" t="inlineStr">
        <is>
          <t>Full ship DD&amp;C</t>
        </is>
      </c>
      <c r="K563" s="13" t="inlineStr">
        <is>
          <t>USN</t>
        </is>
      </c>
      <c r="L563" s="7" t="inlineStr">
        <is>
          <t>Combatant Ships</t>
        </is>
      </c>
      <c r="M563" s="7" t="inlineStr">
        <is>
          <t>Aircraft Carriers</t>
        </is>
      </c>
      <c r="N563" s="7" t="inlineStr">
        <is>
          <t>CVN</t>
        </is>
      </c>
      <c r="O563" s="15" t="n"/>
      <c r="P563" s="16" t="n">
        <v>373</v>
      </c>
      <c r="S563" s="16" t="n">
        <v>773</v>
      </c>
      <c r="U563" s="16" t="n">
        <v>773</v>
      </c>
      <c r="AC563" s="23">
        <f>IF(OR(E563="",E563="[PARENT]"),"ADD",IF(E563="[ALT_VIEW]","ALT",""))</f>
        <v/>
      </c>
      <c r="AD563" s="21">
        <f>IF(Y563&lt;&gt;"",Y563,IF(U563&lt;&gt;"",U563,S563))</f>
        <v/>
      </c>
      <c r="AE563" s="21">
        <f>IF(AB563&lt;&gt;"",AB563,Z563)</f>
        <v/>
      </c>
      <c r="AF563" s="13" t="inlineStr">
        <is>
          <t>P-35 &gt; Carrier Replacement Program &gt; MK-57 NATO SEASPARROW MISSILE SYSTEM (NSSMS) &gt; Technical Engineering Services</t>
        </is>
      </c>
      <c r="AG563" s="7" t="inlineStr">
        <is>
          <t>107</t>
        </is>
      </c>
      <c r="AH563" s="7" t="inlineStr">
        <is>
          <t>2001</t>
        </is>
      </c>
    </row>
    <row r="564" ht="10" customHeight="1">
      <c r="A564" s="7" t="inlineStr">
        <is>
          <t>SCN</t>
        </is>
      </c>
      <c r="B564" s="7" t="inlineStr">
        <is>
          <t>Procurement</t>
        </is>
      </c>
      <c r="D564" s="7" t="inlineStr">
        <is>
          <t>Carrier Replacement Program - P-35 MK-57 NATO SEASPARROW MISSILE SYSTEM (NSSMS) - Other Costs</t>
        </is>
      </c>
      <c r="E564" s="13" t="inlineStr">
        <is>
          <t>[ALT_VIEW]</t>
        </is>
      </c>
      <c r="F564" s="7" t="inlineStr">
        <is>
          <t>2001 / Carrier Replacement Program</t>
        </is>
      </c>
      <c r="G564" s="7" t="inlineStr">
        <is>
          <t>P-35</t>
        </is>
      </c>
      <c r="I564" s="14" t="n">
        <v>1</v>
      </c>
      <c r="J564" s="7" t="inlineStr">
        <is>
          <t>Full ship DD&amp;C</t>
        </is>
      </c>
      <c r="K564" s="13" t="inlineStr">
        <is>
          <t>USN</t>
        </is>
      </c>
      <c r="L564" s="7" t="inlineStr">
        <is>
          <t>Combatant Ships</t>
        </is>
      </c>
      <c r="M564" s="7" t="inlineStr">
        <is>
          <t>Aircraft Carriers</t>
        </is>
      </c>
      <c r="N564" s="7" t="inlineStr">
        <is>
          <t>CVN</t>
        </is>
      </c>
      <c r="O564" s="15" t="n"/>
      <c r="P564" s="16" t="n">
        <v>1736</v>
      </c>
      <c r="S564" s="16" t="n">
        <v>1897</v>
      </c>
      <c r="U564" s="16" t="n">
        <v>1897</v>
      </c>
      <c r="AC564" s="23">
        <f>IF(OR(E564="",E564="[PARENT]"),"ADD",IF(E564="[ALT_VIEW]","ALT",""))</f>
        <v/>
      </c>
      <c r="AD564" s="21">
        <f>IF(Y564&lt;&gt;"",Y564,IF(U564&lt;&gt;"",U564,S564))</f>
        <v/>
      </c>
      <c r="AE564" s="21">
        <f>IF(AB564&lt;&gt;"",AB564,Z564)</f>
        <v/>
      </c>
      <c r="AF564" s="13" t="inlineStr">
        <is>
          <t>P-35 &gt; Carrier Replacement Program &gt; MK-57 NATO SEASPARROW MISSILE SYSTEM (NSSMS) &gt; Other Costs</t>
        </is>
      </c>
      <c r="AG564" s="7" t="inlineStr">
        <is>
          <t>107</t>
        </is>
      </c>
      <c r="AH564" s="7" t="inlineStr">
        <is>
          <t>2001</t>
        </is>
      </c>
    </row>
    <row r="565" ht="10" customHeight="1">
      <c r="A565" s="7" t="inlineStr">
        <is>
          <t>SCN</t>
        </is>
      </c>
      <c r="B565" s="7" t="inlineStr">
        <is>
          <t>Procurement</t>
        </is>
      </c>
      <c r="D565" s="7" t="inlineStr">
        <is>
          <t>Carrier Replacement Program - P-35 AVIATION DATA MANAGEMENT AND CONTROL SYSTEM (ADMACS) - Major Hardware                                                                                                 1</t>
        </is>
      </c>
      <c r="E565" s="13" t="inlineStr">
        <is>
          <t>[ALT_VIEW]</t>
        </is>
      </c>
      <c r="F565" s="7" t="inlineStr">
        <is>
          <t>2001 / Carrier Replacement Program</t>
        </is>
      </c>
      <c r="G565" s="7" t="inlineStr">
        <is>
          <t>P-35</t>
        </is>
      </c>
      <c r="I565" s="14" t="n">
        <v>1</v>
      </c>
      <c r="J565" s="7" t="inlineStr">
        <is>
          <t>Full ship DD&amp;C</t>
        </is>
      </c>
      <c r="K565" s="13" t="inlineStr">
        <is>
          <t>USN</t>
        </is>
      </c>
      <c r="L565" s="7" t="inlineStr">
        <is>
          <t>Combatant Ships</t>
        </is>
      </c>
      <c r="M565" s="7" t="inlineStr">
        <is>
          <t>Aircraft Carriers</t>
        </is>
      </c>
      <c r="N565" s="7" t="inlineStr">
        <is>
          <t>CVN</t>
        </is>
      </c>
      <c r="O565" s="15" t="n"/>
      <c r="P565" s="16" t="n">
        <v>2614</v>
      </c>
      <c r="S565" s="16" t="n">
        <v>2854</v>
      </c>
      <c r="U565" s="16" t="n">
        <v>2854</v>
      </c>
      <c r="AC565" s="23">
        <f>IF(OR(E565="",E565="[PARENT]"),"ADD",IF(E565="[ALT_VIEW]","ALT",""))</f>
        <v/>
      </c>
      <c r="AD565" s="21">
        <f>IF(Y565&lt;&gt;"",Y565,IF(U565&lt;&gt;"",U565,S565))</f>
        <v/>
      </c>
      <c r="AE565" s="21">
        <f>IF(AB565&lt;&gt;"",AB565,Z565)</f>
        <v/>
      </c>
      <c r="AF565" s="13" t="inlineStr">
        <is>
          <t>P-35 &gt; Carrier Replacement Program &gt; AVIATION DATA MANAGEMENT AND CONTROL SYSTEM (ADMACS) &gt; Major Hardware                                                                                                 1</t>
        </is>
      </c>
      <c r="AG565" s="7" t="inlineStr">
        <is>
          <t>108</t>
        </is>
      </c>
      <c r="AH565" s="7" t="inlineStr">
        <is>
          <t>2001</t>
        </is>
      </c>
    </row>
    <row r="566" ht="10" customHeight="1">
      <c r="A566" s="7" t="inlineStr">
        <is>
          <t>SCN</t>
        </is>
      </c>
      <c r="B566" s="7" t="inlineStr">
        <is>
          <t>Procurement</t>
        </is>
      </c>
      <c r="D566" s="7" t="inlineStr">
        <is>
          <t>Carrier Replacement Program - P-35 AVIATION DATA MANAGEMENT AND CONTROL SYSTEM (ADMACS) - Spares                                                                                                                                         -</t>
        </is>
      </c>
      <c r="E566" s="13" t="inlineStr">
        <is>
          <t>[ALT_VIEW]</t>
        </is>
      </c>
      <c r="F566" s="7" t="inlineStr">
        <is>
          <t>2001 / Carrier Replacement Program</t>
        </is>
      </c>
      <c r="G566" s="7" t="inlineStr">
        <is>
          <t>P-35</t>
        </is>
      </c>
      <c r="I566" s="14" t="n">
        <v>1</v>
      </c>
      <c r="J566" s="7" t="inlineStr">
        <is>
          <t>Full ship DD&amp;C</t>
        </is>
      </c>
      <c r="K566" s="13" t="inlineStr">
        <is>
          <t>USN</t>
        </is>
      </c>
      <c r="L566" s="7" t="inlineStr">
        <is>
          <t>Combatant Ships</t>
        </is>
      </c>
      <c r="M566" s="7" t="inlineStr">
        <is>
          <t>Aircraft Carriers</t>
        </is>
      </c>
      <c r="N566" s="7" t="inlineStr">
        <is>
          <t>CVN</t>
        </is>
      </c>
      <c r="O566" s="15" t="n"/>
      <c r="S566" s="16" t="n">
        <v>471</v>
      </c>
      <c r="U566" s="16" t="n">
        <v>471</v>
      </c>
      <c r="AC566" s="23">
        <f>IF(OR(E566="",E566="[PARENT]"),"ADD",IF(E566="[ALT_VIEW]","ALT",""))</f>
        <v/>
      </c>
      <c r="AD566" s="21">
        <f>IF(Y566&lt;&gt;"",Y566,IF(U566&lt;&gt;"",U566,S566))</f>
        <v/>
      </c>
      <c r="AE566" s="21">
        <f>IF(AB566&lt;&gt;"",AB566,Z566)</f>
        <v/>
      </c>
      <c r="AF566" s="13" t="inlineStr">
        <is>
          <t>P-35 &gt; Carrier Replacement Program &gt; AVIATION DATA MANAGEMENT AND CONTROL SYSTEM (ADMACS) &gt; Spares                                                                                                                                         -</t>
        </is>
      </c>
      <c r="AG566" s="7" t="inlineStr">
        <is>
          <t>108</t>
        </is>
      </c>
      <c r="AH566" s="7" t="inlineStr">
        <is>
          <t>2001</t>
        </is>
      </c>
    </row>
    <row r="567" ht="10" customHeight="1">
      <c r="A567" s="7" t="inlineStr">
        <is>
          <t>SCN</t>
        </is>
      </c>
      <c r="B567" s="7" t="inlineStr">
        <is>
          <t>Procurement</t>
        </is>
      </c>
      <c r="D567" s="7" t="inlineStr">
        <is>
          <t>Carrier Replacement Program - P-35 AVIATION DATA MANAGEMENT AND CONTROL SYSTEM (ADMACS) - System Engineering</t>
        </is>
      </c>
      <c r="E567" s="13" t="inlineStr">
        <is>
          <t>[ALT_VIEW]</t>
        </is>
      </c>
      <c r="F567" s="7" t="inlineStr">
        <is>
          <t>2001 / Carrier Replacement Program</t>
        </is>
      </c>
      <c r="G567" s="7" t="inlineStr">
        <is>
          <t>P-35</t>
        </is>
      </c>
      <c r="I567" s="14" t="n">
        <v>1</v>
      </c>
      <c r="J567" s="7" t="inlineStr">
        <is>
          <t>Full ship DD&amp;C</t>
        </is>
      </c>
      <c r="K567" s="13" t="inlineStr">
        <is>
          <t>USN</t>
        </is>
      </c>
      <c r="L567" s="7" t="inlineStr">
        <is>
          <t>Combatant Ships</t>
        </is>
      </c>
      <c r="M567" s="7" t="inlineStr">
        <is>
          <t>Aircraft Carriers</t>
        </is>
      </c>
      <c r="N567" s="7" t="inlineStr">
        <is>
          <t>CVN</t>
        </is>
      </c>
      <c r="O567" s="15" t="n"/>
      <c r="P567" s="16" t="n">
        <v>1053</v>
      </c>
      <c r="S567" s="16" t="n">
        <v>378</v>
      </c>
      <c r="U567" s="16" t="n">
        <v>378</v>
      </c>
      <c r="AC567" s="23">
        <f>IF(OR(E567="",E567="[PARENT]"),"ADD",IF(E567="[ALT_VIEW]","ALT",""))</f>
        <v/>
      </c>
      <c r="AD567" s="21">
        <f>IF(Y567&lt;&gt;"",Y567,IF(U567&lt;&gt;"",U567,S567))</f>
        <v/>
      </c>
      <c r="AE567" s="21">
        <f>IF(AB567&lt;&gt;"",AB567,Z567)</f>
        <v/>
      </c>
      <c r="AF567" s="13" t="inlineStr">
        <is>
          <t>P-35 &gt; Carrier Replacement Program &gt; AVIATION DATA MANAGEMENT AND CONTROL SYSTEM (ADMACS) &gt; System Engineering</t>
        </is>
      </c>
      <c r="AG567" s="7" t="inlineStr">
        <is>
          <t>108</t>
        </is>
      </c>
      <c r="AH567" s="7" t="inlineStr">
        <is>
          <t>2001</t>
        </is>
      </c>
    </row>
    <row r="568" ht="10" customHeight="1">
      <c r="A568" s="7" t="inlineStr">
        <is>
          <t>SCN</t>
        </is>
      </c>
      <c r="B568" s="7" t="inlineStr">
        <is>
          <t>Procurement</t>
        </is>
      </c>
      <c r="D568" s="7" t="inlineStr">
        <is>
          <t>Carrier Replacement Program - P-35 AVIATION DATA MANAGEMENT AND CONTROL SYSTEM (ADMACS) - Technical Engineering Services</t>
        </is>
      </c>
      <c r="E568" s="13" t="inlineStr">
        <is>
          <t>[ALT_VIEW]</t>
        </is>
      </c>
      <c r="F568" s="7" t="inlineStr">
        <is>
          <t>2001 / Carrier Replacement Program</t>
        </is>
      </c>
      <c r="G568" s="7" t="inlineStr">
        <is>
          <t>P-35</t>
        </is>
      </c>
      <c r="I568" s="14" t="n">
        <v>1</v>
      </c>
      <c r="J568" s="7" t="inlineStr">
        <is>
          <t>Full ship DD&amp;C</t>
        </is>
      </c>
      <c r="K568" s="13" t="inlineStr">
        <is>
          <t>USN</t>
        </is>
      </c>
      <c r="L568" s="7" t="inlineStr">
        <is>
          <t>Combatant Ships</t>
        </is>
      </c>
      <c r="M568" s="7" t="inlineStr">
        <is>
          <t>Aircraft Carriers</t>
        </is>
      </c>
      <c r="N568" s="7" t="inlineStr">
        <is>
          <t>CVN</t>
        </is>
      </c>
      <c r="O568" s="15" t="n"/>
      <c r="P568" s="16" t="n">
        <v>653</v>
      </c>
      <c r="S568" s="16" t="n">
        <v>825</v>
      </c>
      <c r="U568" s="16" t="n">
        <v>825</v>
      </c>
      <c r="AC568" s="23">
        <f>IF(OR(E568="",E568="[PARENT]"),"ADD",IF(E568="[ALT_VIEW]","ALT",""))</f>
        <v/>
      </c>
      <c r="AD568" s="21">
        <f>IF(Y568&lt;&gt;"",Y568,IF(U568&lt;&gt;"",U568,S568))</f>
        <v/>
      </c>
      <c r="AE568" s="21">
        <f>IF(AB568&lt;&gt;"",AB568,Z568)</f>
        <v/>
      </c>
      <c r="AF568" s="13" t="inlineStr">
        <is>
          <t>P-35 &gt; Carrier Replacement Program &gt; AVIATION DATA MANAGEMENT AND CONTROL SYSTEM (ADMACS) &gt; Technical Engineering Services</t>
        </is>
      </c>
      <c r="AG568" s="7" t="inlineStr">
        <is>
          <t>108</t>
        </is>
      </c>
      <c r="AH568" s="7" t="inlineStr">
        <is>
          <t>2001</t>
        </is>
      </c>
    </row>
    <row r="569" ht="10" customHeight="1">
      <c r="A569" s="7" t="inlineStr">
        <is>
          <t>SCN</t>
        </is>
      </c>
      <c r="B569" s="7" t="inlineStr">
        <is>
          <t>Procurement</t>
        </is>
      </c>
      <c r="D569" s="7" t="inlineStr">
        <is>
          <t>Carrier Replacement Program - P-35 AVIATION DATA MANAGEMENT AND CONTROL SYSTEM (ADMACS) - Other Costs</t>
        </is>
      </c>
      <c r="E569" s="13" t="inlineStr">
        <is>
          <t>[ALT_VIEW]</t>
        </is>
      </c>
      <c r="F569" s="7" t="inlineStr">
        <is>
          <t>2001 / Carrier Replacement Program</t>
        </is>
      </c>
      <c r="G569" s="7" t="inlineStr">
        <is>
          <t>P-35</t>
        </is>
      </c>
      <c r="I569" s="14" t="n">
        <v>1</v>
      </c>
      <c r="J569" s="7" t="inlineStr">
        <is>
          <t>Full ship DD&amp;C</t>
        </is>
      </c>
      <c r="K569" s="13" t="inlineStr">
        <is>
          <t>USN</t>
        </is>
      </c>
      <c r="L569" s="7" t="inlineStr">
        <is>
          <t>Combatant Ships</t>
        </is>
      </c>
      <c r="M569" s="7" t="inlineStr">
        <is>
          <t>Aircraft Carriers</t>
        </is>
      </c>
      <c r="N569" s="7" t="inlineStr">
        <is>
          <t>CVN</t>
        </is>
      </c>
      <c r="O569" s="15" t="n"/>
      <c r="P569" s="16" t="n">
        <v>1036</v>
      </c>
      <c r="S569" s="16" t="n">
        <v>4129</v>
      </c>
      <c r="U569" s="16" t="n">
        <v>4129</v>
      </c>
      <c r="AC569" s="23">
        <f>IF(OR(E569="",E569="[PARENT]"),"ADD",IF(E569="[ALT_VIEW]","ALT",""))</f>
        <v/>
      </c>
      <c r="AD569" s="21">
        <f>IF(Y569&lt;&gt;"",Y569,IF(U569&lt;&gt;"",U569,S569))</f>
        <v/>
      </c>
      <c r="AE569" s="21">
        <f>IF(AB569&lt;&gt;"",AB569,Z569)</f>
        <v/>
      </c>
      <c r="AF569" s="13" t="inlineStr">
        <is>
          <t>P-35 &gt; Carrier Replacement Program &gt; AVIATION DATA MANAGEMENT AND CONTROL SYSTEM (ADMACS) &gt; Other Costs</t>
        </is>
      </c>
      <c r="AG569" s="7" t="inlineStr">
        <is>
          <t>108</t>
        </is>
      </c>
      <c r="AH569" s="7" t="inlineStr">
        <is>
          <t>2001</t>
        </is>
      </c>
    </row>
    <row r="570" ht="10" customHeight="1">
      <c r="A570" s="7" t="inlineStr">
        <is>
          <t>SCN</t>
        </is>
      </c>
      <c r="B570" s="7" t="inlineStr">
        <is>
          <t>Procurement</t>
        </is>
      </c>
      <c r="D570" s="7" t="inlineStr">
        <is>
          <t>Carrier Replacement Program - P-35 MK 49, MOD 5 ROLLING AIRFRAME MISSILE (RAM) - Major Hardware                                                                                                 2</t>
        </is>
      </c>
      <c r="E570" s="13" t="inlineStr">
        <is>
          <t>[ALT_VIEW]</t>
        </is>
      </c>
      <c r="F570" s="7" t="inlineStr">
        <is>
          <t>2001 / Carrier Replacement Program</t>
        </is>
      </c>
      <c r="G570" s="7" t="inlineStr">
        <is>
          <t>P-35</t>
        </is>
      </c>
      <c r="I570" s="14" t="n">
        <v>1</v>
      </c>
      <c r="J570" s="7" t="inlineStr">
        <is>
          <t>Full ship DD&amp;C</t>
        </is>
      </c>
      <c r="K570" s="13" t="inlineStr">
        <is>
          <t>USN</t>
        </is>
      </c>
      <c r="L570" s="7" t="inlineStr">
        <is>
          <t>Combatant Ships</t>
        </is>
      </c>
      <c r="M570" s="7" t="inlineStr">
        <is>
          <t>Aircraft Carriers</t>
        </is>
      </c>
      <c r="N570" s="7" t="inlineStr">
        <is>
          <t>CVN</t>
        </is>
      </c>
      <c r="O570" s="15" t="n"/>
      <c r="P570" s="16" t="n">
        <v>12184</v>
      </c>
      <c r="S570" s="16" t="n">
        <v>15385</v>
      </c>
      <c r="U570" s="16" t="n">
        <v>15385</v>
      </c>
      <c r="AC570" s="23">
        <f>IF(OR(E570="",E570="[PARENT]"),"ADD",IF(E570="[ALT_VIEW]","ALT",""))</f>
        <v/>
      </c>
      <c r="AD570" s="21">
        <f>IF(Y570&lt;&gt;"",Y570,IF(U570&lt;&gt;"",U570,S570))</f>
        <v/>
      </c>
      <c r="AE570" s="21">
        <f>IF(AB570&lt;&gt;"",AB570,Z570)</f>
        <v/>
      </c>
      <c r="AF570" s="13" t="inlineStr">
        <is>
          <t>P-35 &gt; Carrier Replacement Program &gt; MK 49, MOD 5 ROLLING AIRFRAME MISSILE (RAM) &gt; Major Hardware                                                                                                 2</t>
        </is>
      </c>
      <c r="AG570" s="7" t="inlineStr">
        <is>
          <t>109</t>
        </is>
      </c>
      <c r="AH570" s="7" t="inlineStr">
        <is>
          <t>2001</t>
        </is>
      </c>
    </row>
    <row r="571" ht="10" customHeight="1">
      <c r="A571" s="7" t="inlineStr">
        <is>
          <t>SCN</t>
        </is>
      </c>
      <c r="B571" s="7" t="inlineStr">
        <is>
          <t>Procurement</t>
        </is>
      </c>
      <c r="D571" s="7" t="inlineStr">
        <is>
          <t>Carrier Replacement Program - P-35 MK 49, MOD 5 ROLLING AIRFRAME MISSILE (RAM) - Ancillary Equipment</t>
        </is>
      </c>
      <c r="E571" s="13" t="inlineStr">
        <is>
          <t>[ALT_VIEW]</t>
        </is>
      </c>
      <c r="F571" s="7" t="inlineStr">
        <is>
          <t>2001 / Carrier Replacement Program</t>
        </is>
      </c>
      <c r="G571" s="7" t="inlineStr">
        <is>
          <t>P-35</t>
        </is>
      </c>
      <c r="I571" s="14" t="n">
        <v>1</v>
      </c>
      <c r="J571" s="7" t="inlineStr">
        <is>
          <t>Full ship DD&amp;C</t>
        </is>
      </c>
      <c r="K571" s="13" t="inlineStr">
        <is>
          <t>USN</t>
        </is>
      </c>
      <c r="L571" s="7" t="inlineStr">
        <is>
          <t>Combatant Ships</t>
        </is>
      </c>
      <c r="M571" s="7" t="inlineStr">
        <is>
          <t>Aircraft Carriers</t>
        </is>
      </c>
      <c r="N571" s="7" t="inlineStr">
        <is>
          <t>CVN</t>
        </is>
      </c>
      <c r="O571" s="15" t="n"/>
      <c r="P571" s="16" t="n">
        <v>13</v>
      </c>
      <c r="S571" s="16" t="n">
        <v>400</v>
      </c>
      <c r="U571" s="16" t="n">
        <v>400</v>
      </c>
      <c r="AC571" s="23">
        <f>IF(OR(E571="",E571="[PARENT]"),"ADD",IF(E571="[ALT_VIEW]","ALT",""))</f>
        <v/>
      </c>
      <c r="AD571" s="21">
        <f>IF(Y571&lt;&gt;"",Y571,IF(U571&lt;&gt;"",U571,S571))</f>
        <v/>
      </c>
      <c r="AE571" s="21">
        <f>IF(AB571&lt;&gt;"",AB571,Z571)</f>
        <v/>
      </c>
      <c r="AF571" s="13" t="inlineStr">
        <is>
          <t>P-35 &gt; Carrier Replacement Program &gt; MK 49, MOD 5 ROLLING AIRFRAME MISSILE (RAM) &gt; Ancillary Equipment</t>
        </is>
      </c>
      <c r="AG571" s="7" t="inlineStr">
        <is>
          <t>109</t>
        </is>
      </c>
      <c r="AH571" s="7" t="inlineStr">
        <is>
          <t>2001</t>
        </is>
      </c>
    </row>
    <row r="572" ht="10" customHeight="1">
      <c r="A572" s="7" t="inlineStr">
        <is>
          <t>SCN</t>
        </is>
      </c>
      <c r="B572" s="7" t="inlineStr">
        <is>
          <t>Procurement</t>
        </is>
      </c>
      <c r="D572" s="7" t="inlineStr">
        <is>
          <t>Carrier Replacement Program - P-35 MK 49, MOD 5 ROLLING AIRFRAME MISSILE (RAM) - Spares                                                                                                                                        -</t>
        </is>
      </c>
      <c r="E572" s="13" t="inlineStr">
        <is>
          <t>[ALT_VIEW]</t>
        </is>
      </c>
      <c r="F572" s="7" t="inlineStr">
        <is>
          <t>2001 / Carrier Replacement Program</t>
        </is>
      </c>
      <c r="G572" s="7" t="inlineStr">
        <is>
          <t>P-35</t>
        </is>
      </c>
      <c r="I572" s="14" t="n">
        <v>1</v>
      </c>
      <c r="J572" s="7" t="inlineStr">
        <is>
          <t>Full ship DD&amp;C</t>
        </is>
      </c>
      <c r="K572" s="13" t="inlineStr">
        <is>
          <t>USN</t>
        </is>
      </c>
      <c r="L572" s="7" t="inlineStr">
        <is>
          <t>Combatant Ships</t>
        </is>
      </c>
      <c r="M572" s="7" t="inlineStr">
        <is>
          <t>Aircraft Carriers</t>
        </is>
      </c>
      <c r="N572" s="7" t="inlineStr">
        <is>
          <t>CVN</t>
        </is>
      </c>
      <c r="O572" s="15" t="n"/>
      <c r="S572" s="16" t="n">
        <v>134</v>
      </c>
      <c r="U572" s="16" t="n">
        <v>134</v>
      </c>
      <c r="AC572" s="23">
        <f>IF(OR(E572="",E572="[PARENT]"),"ADD",IF(E572="[ALT_VIEW]","ALT",""))</f>
        <v/>
      </c>
      <c r="AD572" s="21">
        <f>IF(Y572&lt;&gt;"",Y572,IF(U572&lt;&gt;"",U572,S572))</f>
        <v/>
      </c>
      <c r="AE572" s="21">
        <f>IF(AB572&lt;&gt;"",AB572,Z572)</f>
        <v/>
      </c>
      <c r="AF572" s="13" t="inlineStr">
        <is>
          <t>P-35 &gt; Carrier Replacement Program &gt; MK 49, MOD 5 ROLLING AIRFRAME MISSILE (RAM) &gt; Spares                                                                                                                                        -</t>
        </is>
      </c>
      <c r="AG572" s="7" t="inlineStr">
        <is>
          <t>109</t>
        </is>
      </c>
      <c r="AH572" s="7" t="inlineStr">
        <is>
          <t>2001</t>
        </is>
      </c>
    </row>
    <row r="573" ht="10" customHeight="1">
      <c r="A573" s="7" t="inlineStr">
        <is>
          <t>SCN</t>
        </is>
      </c>
      <c r="B573" s="7" t="inlineStr">
        <is>
          <t>Procurement</t>
        </is>
      </c>
      <c r="D573" s="7" t="inlineStr">
        <is>
          <t>Carrier Replacement Program - P-35 MK 49, MOD 5 ROLLING AIRFRAME MISSILE (RAM) - System Engineering</t>
        </is>
      </c>
      <c r="E573" s="13" t="inlineStr">
        <is>
          <t>[ALT_VIEW]</t>
        </is>
      </c>
      <c r="F573" s="7" t="inlineStr">
        <is>
          <t>2001 / Carrier Replacement Program</t>
        </is>
      </c>
      <c r="G573" s="7" t="inlineStr">
        <is>
          <t>P-35</t>
        </is>
      </c>
      <c r="I573" s="14" t="n">
        <v>1</v>
      </c>
      <c r="J573" s="7" t="inlineStr">
        <is>
          <t>Full ship DD&amp;C</t>
        </is>
      </c>
      <c r="K573" s="13" t="inlineStr">
        <is>
          <t>USN</t>
        </is>
      </c>
      <c r="L573" s="7" t="inlineStr">
        <is>
          <t>Combatant Ships</t>
        </is>
      </c>
      <c r="M573" s="7" t="inlineStr">
        <is>
          <t>Aircraft Carriers</t>
        </is>
      </c>
      <c r="N573" s="7" t="inlineStr">
        <is>
          <t>CVN</t>
        </is>
      </c>
      <c r="O573" s="15" t="n"/>
      <c r="P573" s="16" t="n">
        <v>2248</v>
      </c>
      <c r="S573" s="16" t="n">
        <v>1102</v>
      </c>
      <c r="U573" s="16" t="n">
        <v>1102</v>
      </c>
      <c r="AC573" s="23">
        <f>IF(OR(E573="",E573="[PARENT]"),"ADD",IF(E573="[ALT_VIEW]","ALT",""))</f>
        <v/>
      </c>
      <c r="AD573" s="21">
        <f>IF(Y573&lt;&gt;"",Y573,IF(U573&lt;&gt;"",U573,S573))</f>
        <v/>
      </c>
      <c r="AE573" s="21">
        <f>IF(AB573&lt;&gt;"",AB573,Z573)</f>
        <v/>
      </c>
      <c r="AF573" s="13" t="inlineStr">
        <is>
          <t>P-35 &gt; Carrier Replacement Program &gt; MK 49, MOD 5 ROLLING AIRFRAME MISSILE (RAM) &gt; System Engineering</t>
        </is>
      </c>
      <c r="AG573" s="7" t="inlineStr">
        <is>
          <t>109</t>
        </is>
      </c>
      <c r="AH573" s="7" t="inlineStr">
        <is>
          <t>2001</t>
        </is>
      </c>
    </row>
    <row r="574" ht="10" customHeight="1">
      <c r="A574" s="7" t="inlineStr">
        <is>
          <t>SCN</t>
        </is>
      </c>
      <c r="B574" s="7" t="inlineStr">
        <is>
          <t>Procurement</t>
        </is>
      </c>
      <c r="D574" s="7" t="inlineStr">
        <is>
          <t>Carrier Replacement Program - P-35 MK 49, MOD 5 ROLLING AIRFRAME MISSILE (RAM) - Technical Engineering Services</t>
        </is>
      </c>
      <c r="E574" s="13" t="inlineStr">
        <is>
          <t>[ALT_VIEW]</t>
        </is>
      </c>
      <c r="F574" s="7" t="inlineStr">
        <is>
          <t>2001 / Carrier Replacement Program</t>
        </is>
      </c>
      <c r="G574" s="7" t="inlineStr">
        <is>
          <t>P-35</t>
        </is>
      </c>
      <c r="I574" s="14" t="n">
        <v>1</v>
      </c>
      <c r="J574" s="7" t="inlineStr">
        <is>
          <t>Full ship DD&amp;C</t>
        </is>
      </c>
      <c r="K574" s="13" t="inlineStr">
        <is>
          <t>USN</t>
        </is>
      </c>
      <c r="L574" s="7" t="inlineStr">
        <is>
          <t>Combatant Ships</t>
        </is>
      </c>
      <c r="M574" s="7" t="inlineStr">
        <is>
          <t>Aircraft Carriers</t>
        </is>
      </c>
      <c r="N574" s="7" t="inlineStr">
        <is>
          <t>CVN</t>
        </is>
      </c>
      <c r="O574" s="15" t="n"/>
      <c r="P574" s="16" t="n">
        <v>429</v>
      </c>
      <c r="S574" s="16" t="n">
        <v>231</v>
      </c>
      <c r="U574" s="16" t="n">
        <v>231</v>
      </c>
      <c r="AC574" s="23">
        <f>IF(OR(E574="",E574="[PARENT]"),"ADD",IF(E574="[ALT_VIEW]","ALT",""))</f>
        <v/>
      </c>
      <c r="AD574" s="21">
        <f>IF(Y574&lt;&gt;"",Y574,IF(U574&lt;&gt;"",U574,S574))</f>
        <v/>
      </c>
      <c r="AE574" s="21">
        <f>IF(AB574&lt;&gt;"",AB574,Z574)</f>
        <v/>
      </c>
      <c r="AF574" s="13" t="inlineStr">
        <is>
          <t>P-35 &gt; Carrier Replacement Program &gt; MK 49, MOD 5 ROLLING AIRFRAME MISSILE (RAM) &gt; Technical Engineering Services</t>
        </is>
      </c>
      <c r="AG574" s="7" t="inlineStr">
        <is>
          <t>109</t>
        </is>
      </c>
      <c r="AH574" s="7" t="inlineStr">
        <is>
          <t>2001</t>
        </is>
      </c>
    </row>
    <row r="575" ht="10" customHeight="1">
      <c r="A575" s="7" t="inlineStr">
        <is>
          <t>SCN</t>
        </is>
      </c>
      <c r="B575" s="7" t="inlineStr">
        <is>
          <t>Procurement</t>
        </is>
      </c>
      <c r="D575" s="7" t="inlineStr">
        <is>
          <t>Carrier Replacement Program - P-35 MK 49, MOD 5 ROLLING AIRFRAME MISSILE (RAM) - Other Costs</t>
        </is>
      </c>
      <c r="E575" s="13" t="inlineStr">
        <is>
          <t>[ALT_VIEW]</t>
        </is>
      </c>
      <c r="F575" s="7" t="inlineStr">
        <is>
          <t>2001 / Carrier Replacement Program</t>
        </is>
      </c>
      <c r="G575" s="7" t="inlineStr">
        <is>
          <t>P-35</t>
        </is>
      </c>
      <c r="I575" s="14" t="n">
        <v>1</v>
      </c>
      <c r="J575" s="7" t="inlineStr">
        <is>
          <t>Full ship DD&amp;C</t>
        </is>
      </c>
      <c r="K575" s="13" t="inlineStr">
        <is>
          <t>USN</t>
        </is>
      </c>
      <c r="L575" s="7" t="inlineStr">
        <is>
          <t>Combatant Ships</t>
        </is>
      </c>
      <c r="M575" s="7" t="inlineStr">
        <is>
          <t>Aircraft Carriers</t>
        </is>
      </c>
      <c r="N575" s="7" t="inlineStr">
        <is>
          <t>CVN</t>
        </is>
      </c>
      <c r="O575" s="15" t="n"/>
      <c r="P575" s="16" t="n">
        <v>1228</v>
      </c>
      <c r="S575" s="16" t="n">
        <v>1332</v>
      </c>
      <c r="U575" s="16" t="n">
        <v>1332</v>
      </c>
      <c r="AC575" s="23">
        <f>IF(OR(E575="",E575="[PARENT]"),"ADD",IF(E575="[ALT_VIEW]","ALT",""))</f>
        <v/>
      </c>
      <c r="AD575" s="21">
        <f>IF(Y575&lt;&gt;"",Y575,IF(U575&lt;&gt;"",U575,S575))</f>
        <v/>
      </c>
      <c r="AE575" s="21">
        <f>IF(AB575&lt;&gt;"",AB575,Z575)</f>
        <v/>
      </c>
      <c r="AF575" s="13" t="inlineStr">
        <is>
          <t>P-35 &gt; Carrier Replacement Program &gt; MK 49, MOD 5 ROLLING AIRFRAME MISSILE (RAM) &gt; Other Costs</t>
        </is>
      </c>
      <c r="AG575" s="7" t="inlineStr">
        <is>
          <t>109</t>
        </is>
      </c>
      <c r="AH575" s="7" t="inlineStr">
        <is>
          <t>2001</t>
        </is>
      </c>
    </row>
    <row r="576" ht="10" customHeight="1">
      <c r="A576" s="7" t="inlineStr">
        <is>
          <t>SCN</t>
        </is>
      </c>
      <c r="B576" s="7" t="inlineStr">
        <is>
          <t>Procurement</t>
        </is>
      </c>
      <c r="D576" s="7" t="inlineStr">
        <is>
          <t>Carrier Replacement Program - P-35 AN/SPQ-9B, ANTI-SHIP MISSILE DEFENSE (ASMD) SURFACE SURVEILLANCE AND TRACKING - Major Hardware                                                                                                1</t>
        </is>
      </c>
      <c r="E576" s="13" t="inlineStr">
        <is>
          <t>[ALT_VIEW]</t>
        </is>
      </c>
      <c r="F576" s="7" t="inlineStr">
        <is>
          <t>2001 / Carrier Replacement Program</t>
        </is>
      </c>
      <c r="G576" s="7" t="inlineStr">
        <is>
          <t>P-35</t>
        </is>
      </c>
      <c r="I576" s="14" t="n">
        <v>1</v>
      </c>
      <c r="J576" s="7" t="inlineStr">
        <is>
          <t>Full ship DD&amp;C</t>
        </is>
      </c>
      <c r="K576" s="13" t="inlineStr">
        <is>
          <t>USN</t>
        </is>
      </c>
      <c r="L576" s="7" t="inlineStr">
        <is>
          <t>Combatant Ships</t>
        </is>
      </c>
      <c r="M576" s="7" t="inlineStr">
        <is>
          <t>Aircraft Carriers</t>
        </is>
      </c>
      <c r="N576" s="7" t="inlineStr">
        <is>
          <t>CVN</t>
        </is>
      </c>
      <c r="O576" s="15" t="n"/>
      <c r="P576" s="16" t="n">
        <v>4505</v>
      </c>
      <c r="S576" s="16" t="n">
        <v>4883</v>
      </c>
      <c r="U576" s="16" t="n">
        <v>4883</v>
      </c>
      <c r="AC576" s="23">
        <f>IF(OR(E576="",E576="[PARENT]"),"ADD",IF(E576="[ALT_VIEW]","ALT",""))</f>
        <v/>
      </c>
      <c r="AD576" s="21">
        <f>IF(Y576&lt;&gt;"",Y576,IF(U576&lt;&gt;"",U576,S576))</f>
        <v/>
      </c>
      <c r="AE576" s="21">
        <f>IF(AB576&lt;&gt;"",AB576,Z576)</f>
        <v/>
      </c>
      <c r="AF576" s="13" t="inlineStr">
        <is>
          <t>P-35 &gt; Carrier Replacement Program &gt; AN/SPQ-9B, ANTI-SHIP MISSILE DEFENSE (ASMD) SURFACE SURVEILLANCE AND TRACKING &gt; Major Hardware                                                                                                1</t>
        </is>
      </c>
      <c r="AG576" s="7" t="inlineStr">
        <is>
          <t>110</t>
        </is>
      </c>
      <c r="AH576" s="7" t="inlineStr">
        <is>
          <t>2001</t>
        </is>
      </c>
    </row>
    <row r="577" ht="10" customHeight="1">
      <c r="A577" s="7" t="inlineStr">
        <is>
          <t>SCN</t>
        </is>
      </c>
      <c r="B577" s="7" t="inlineStr">
        <is>
          <t>Procurement</t>
        </is>
      </c>
      <c r="D577" s="7" t="inlineStr">
        <is>
          <t>Carrier Replacement Program - P-35 AN/SPQ-9B, ANTI-SHIP MISSILE DEFENSE (ASMD) SURFACE SURVEILLANCE AND TRACKING - Spares</t>
        </is>
      </c>
      <c r="E577" s="13" t="inlineStr">
        <is>
          <t>[ALT_VIEW]</t>
        </is>
      </c>
      <c r="F577" s="7" t="inlineStr">
        <is>
          <t>2001 / Carrier Replacement Program</t>
        </is>
      </c>
      <c r="G577" s="7" t="inlineStr">
        <is>
          <t>P-35</t>
        </is>
      </c>
      <c r="I577" s="14" t="n">
        <v>1</v>
      </c>
      <c r="J577" s="7" t="inlineStr">
        <is>
          <t>Full ship DD&amp;C</t>
        </is>
      </c>
      <c r="K577" s="13" t="inlineStr">
        <is>
          <t>USN</t>
        </is>
      </c>
      <c r="L577" s="7" t="inlineStr">
        <is>
          <t>Combatant Ships</t>
        </is>
      </c>
      <c r="M577" s="7" t="inlineStr">
        <is>
          <t>Aircraft Carriers</t>
        </is>
      </c>
      <c r="N577" s="7" t="inlineStr">
        <is>
          <t>CVN</t>
        </is>
      </c>
      <c r="O577" s="15" t="n"/>
      <c r="P577" s="16" t="n">
        <v>634</v>
      </c>
      <c r="S577" s="16" t="n">
        <v>221</v>
      </c>
      <c r="U577" s="16" t="n">
        <v>221</v>
      </c>
      <c r="AC577" s="23">
        <f>IF(OR(E577="",E577="[PARENT]"),"ADD",IF(E577="[ALT_VIEW]","ALT",""))</f>
        <v/>
      </c>
      <c r="AD577" s="21">
        <f>IF(Y577&lt;&gt;"",Y577,IF(U577&lt;&gt;"",U577,S577))</f>
        <v/>
      </c>
      <c r="AE577" s="21">
        <f>IF(AB577&lt;&gt;"",AB577,Z577)</f>
        <v/>
      </c>
      <c r="AF577" s="13" t="inlineStr">
        <is>
          <t>P-35 &gt; Carrier Replacement Program &gt; AN/SPQ-9B, ANTI-SHIP MISSILE DEFENSE (ASMD) SURFACE SURVEILLANCE AND TRACKING &gt; Spares</t>
        </is>
      </c>
      <c r="AG577" s="7" t="inlineStr">
        <is>
          <t>110</t>
        </is>
      </c>
      <c r="AH577" s="7" t="inlineStr">
        <is>
          <t>2001</t>
        </is>
      </c>
      <c r="AJ577" s="7" t="inlineStr">
        <is>
          <t>AN/SPQ-9B, ANTI-SHIP MISSILE DEFENSE (ASMD) SURFACE SURVEILLANCE AND TRACKING RADAR [CVN 80]</t>
        </is>
      </c>
    </row>
    <row r="578" ht="10" customHeight="1">
      <c r="A578" s="7" t="inlineStr">
        <is>
          <t>SCN</t>
        </is>
      </c>
      <c r="B578" s="7" t="inlineStr">
        <is>
          <t>Procurement</t>
        </is>
      </c>
      <c r="D578" s="7" t="inlineStr">
        <is>
          <t>Carrier Replacement Program - P-35 AN/SPQ-9B, ANTI-SHIP MISSILE DEFENSE (ASMD) SURFACE SURVEILLANCE AND TRACKING - System Engineering</t>
        </is>
      </c>
      <c r="E578" s="13" t="inlineStr">
        <is>
          <t>[ALT_VIEW]</t>
        </is>
      </c>
      <c r="F578" s="7" t="inlineStr">
        <is>
          <t>2001 / Carrier Replacement Program</t>
        </is>
      </c>
      <c r="G578" s="7" t="inlineStr">
        <is>
          <t>P-35</t>
        </is>
      </c>
      <c r="I578" s="14" t="n">
        <v>1</v>
      </c>
      <c r="J578" s="7" t="inlineStr">
        <is>
          <t>Full ship DD&amp;C</t>
        </is>
      </c>
      <c r="K578" s="13" t="inlineStr">
        <is>
          <t>USN</t>
        </is>
      </c>
      <c r="L578" s="7" t="inlineStr">
        <is>
          <t>Combatant Ships</t>
        </is>
      </c>
      <c r="M578" s="7" t="inlineStr">
        <is>
          <t>Aircraft Carriers</t>
        </is>
      </c>
      <c r="N578" s="7" t="inlineStr">
        <is>
          <t>CVN</t>
        </is>
      </c>
      <c r="O578" s="15" t="n"/>
      <c r="P578" s="16" t="n">
        <v>443</v>
      </c>
      <c r="S578" s="16" t="n">
        <v>1315</v>
      </c>
      <c r="U578" s="16" t="n">
        <v>1315</v>
      </c>
      <c r="AC578" s="23">
        <f>IF(OR(E578="",E578="[PARENT]"),"ADD",IF(E578="[ALT_VIEW]","ALT",""))</f>
        <v/>
      </c>
      <c r="AD578" s="21">
        <f>IF(Y578&lt;&gt;"",Y578,IF(U578&lt;&gt;"",U578,S578))</f>
        <v/>
      </c>
      <c r="AE578" s="21">
        <f>IF(AB578&lt;&gt;"",AB578,Z578)</f>
        <v/>
      </c>
      <c r="AF578" s="13" t="inlineStr">
        <is>
          <t>P-35 &gt; Carrier Replacement Program &gt; AN/SPQ-9B, ANTI-SHIP MISSILE DEFENSE (ASMD) SURFACE SURVEILLANCE AND TRACKING &gt; System Engineering</t>
        </is>
      </c>
      <c r="AG578" s="7" t="inlineStr">
        <is>
          <t>110</t>
        </is>
      </c>
      <c r="AH578" s="7" t="inlineStr">
        <is>
          <t>2001</t>
        </is>
      </c>
    </row>
    <row r="579" ht="10" customHeight="1">
      <c r="A579" s="7" t="inlineStr">
        <is>
          <t>SCN</t>
        </is>
      </c>
      <c r="B579" s="7" t="inlineStr">
        <is>
          <t>Procurement</t>
        </is>
      </c>
      <c r="D579" s="7" t="inlineStr">
        <is>
          <t>Carrier Replacement Program - P-35 AN/SPQ-9B, ANTI-SHIP MISSILE DEFENSE (ASMD) SURFACE SURVEILLANCE AND TRACKING - Technical Engineering Services</t>
        </is>
      </c>
      <c r="E579" s="13" t="inlineStr">
        <is>
          <t>[ALT_VIEW]</t>
        </is>
      </c>
      <c r="F579" s="7" t="inlineStr">
        <is>
          <t>2001 / Carrier Replacement Program</t>
        </is>
      </c>
      <c r="G579" s="7" t="inlineStr">
        <is>
          <t>P-35</t>
        </is>
      </c>
      <c r="I579" s="14" t="n">
        <v>1</v>
      </c>
      <c r="J579" s="7" t="inlineStr">
        <is>
          <t>Full ship DD&amp;C</t>
        </is>
      </c>
      <c r="K579" s="13" t="inlineStr">
        <is>
          <t>USN</t>
        </is>
      </c>
      <c r="L579" s="7" t="inlineStr">
        <is>
          <t>Combatant Ships</t>
        </is>
      </c>
      <c r="M579" s="7" t="inlineStr">
        <is>
          <t>Aircraft Carriers</t>
        </is>
      </c>
      <c r="N579" s="7" t="inlineStr">
        <is>
          <t>CVN</t>
        </is>
      </c>
      <c r="O579" s="15" t="n"/>
      <c r="P579" s="16" t="n">
        <v>573</v>
      </c>
      <c r="S579" s="16" t="n">
        <v>764</v>
      </c>
      <c r="U579" s="16" t="n">
        <v>764</v>
      </c>
      <c r="AC579" s="23">
        <f>IF(OR(E579="",E579="[PARENT]"),"ADD",IF(E579="[ALT_VIEW]","ALT",""))</f>
        <v/>
      </c>
      <c r="AD579" s="21">
        <f>IF(Y579&lt;&gt;"",Y579,IF(U579&lt;&gt;"",U579,S579))</f>
        <v/>
      </c>
      <c r="AE579" s="21">
        <f>IF(AB579&lt;&gt;"",AB579,Z579)</f>
        <v/>
      </c>
      <c r="AF579" s="13" t="inlineStr">
        <is>
          <t>P-35 &gt; Carrier Replacement Program &gt; AN/SPQ-9B, ANTI-SHIP MISSILE DEFENSE (ASMD) SURFACE SURVEILLANCE AND TRACKING &gt; Technical Engineering Services</t>
        </is>
      </c>
      <c r="AG579" s="7" t="inlineStr">
        <is>
          <t>110</t>
        </is>
      </c>
      <c r="AH579" s="7" t="inlineStr">
        <is>
          <t>2001</t>
        </is>
      </c>
    </row>
    <row r="580" ht="10" customHeight="1">
      <c r="A580" s="7" t="inlineStr">
        <is>
          <t>SCN</t>
        </is>
      </c>
      <c r="B580" s="7" t="inlineStr">
        <is>
          <t>Procurement</t>
        </is>
      </c>
      <c r="D580" s="7" t="inlineStr">
        <is>
          <t>Carrier Replacement Program - P-35 AN/SPQ-9B, ANTI-SHIP MISSILE DEFENSE (ASMD) SURFACE SURVEILLANCE AND TRACKING - Other Costs</t>
        </is>
      </c>
      <c r="E580" s="13" t="inlineStr">
        <is>
          <t>[ALT_VIEW]</t>
        </is>
      </c>
      <c r="F580" s="7" t="inlineStr">
        <is>
          <t>2001 / Carrier Replacement Program</t>
        </is>
      </c>
      <c r="G580" s="7" t="inlineStr">
        <is>
          <t>P-35</t>
        </is>
      </c>
      <c r="I580" s="14" t="n">
        <v>1</v>
      </c>
      <c r="J580" s="7" t="inlineStr">
        <is>
          <t>Full ship DD&amp;C</t>
        </is>
      </c>
      <c r="K580" s="13" t="inlineStr">
        <is>
          <t>USN</t>
        </is>
      </c>
      <c r="L580" s="7" t="inlineStr">
        <is>
          <t>Combatant Ships</t>
        </is>
      </c>
      <c r="M580" s="7" t="inlineStr">
        <is>
          <t>Aircraft Carriers</t>
        </is>
      </c>
      <c r="N580" s="7" t="inlineStr">
        <is>
          <t>CVN</t>
        </is>
      </c>
      <c r="O580" s="15" t="n"/>
      <c r="P580" s="16" t="n">
        <v>1539</v>
      </c>
      <c r="S580" s="16" t="n">
        <v>1473</v>
      </c>
      <c r="U580" s="16" t="n">
        <v>1473</v>
      </c>
      <c r="AC580" s="23">
        <f>IF(OR(E580="",E580="[PARENT]"),"ADD",IF(E580="[ALT_VIEW]","ALT",""))</f>
        <v/>
      </c>
      <c r="AD580" s="21">
        <f>IF(Y580&lt;&gt;"",Y580,IF(U580&lt;&gt;"",U580,S580))</f>
        <v/>
      </c>
      <c r="AE580" s="21">
        <f>IF(AB580&lt;&gt;"",AB580,Z580)</f>
        <v/>
      </c>
      <c r="AF580" s="13" t="inlineStr">
        <is>
          <t>P-35 &gt; Carrier Replacement Program &gt; AN/SPQ-9B, ANTI-SHIP MISSILE DEFENSE (ASMD) SURFACE SURVEILLANCE AND TRACKING &gt; Other Costs</t>
        </is>
      </c>
      <c r="AG580" s="7" t="inlineStr">
        <is>
          <t>110</t>
        </is>
      </c>
      <c r="AH580" s="7" t="inlineStr">
        <is>
          <t>2001</t>
        </is>
      </c>
    </row>
    <row r="581" ht="10" customHeight="1">
      <c r="A581" s="7" t="inlineStr">
        <is>
          <t>SCN</t>
        </is>
      </c>
      <c r="B581" s="7" t="inlineStr">
        <is>
          <t>Procurement</t>
        </is>
      </c>
      <c r="D581" s="7" t="inlineStr">
        <is>
          <t>Carrier Replacement Program - P-35 IMPROVED FRESNEL LENS OPTICAL LANDING SYSTEM (IFLOLS) - Major Hardware                                                                                                 0                              -                                 1</t>
        </is>
      </c>
      <c r="E581" s="13" t="inlineStr">
        <is>
          <t>[ALT_VIEW]</t>
        </is>
      </c>
      <c r="F581" s="7" t="inlineStr">
        <is>
          <t>2001 / Carrier Replacement Program</t>
        </is>
      </c>
      <c r="G581" s="7" t="inlineStr">
        <is>
          <t>P-35</t>
        </is>
      </c>
      <c r="I581" s="14" t="n">
        <v>1</v>
      </c>
      <c r="J581" s="7" t="inlineStr">
        <is>
          <t>Full ship DD&amp;C</t>
        </is>
      </c>
      <c r="K581" s="13" t="inlineStr">
        <is>
          <t>USN</t>
        </is>
      </c>
      <c r="L581" s="7" t="inlineStr">
        <is>
          <t>Combatant Ships</t>
        </is>
      </c>
      <c r="M581" s="7" t="inlineStr">
        <is>
          <t>Aircraft Carriers</t>
        </is>
      </c>
      <c r="N581" s="7" t="inlineStr">
        <is>
          <t>CVN</t>
        </is>
      </c>
      <c r="O581" s="15" t="n"/>
      <c r="S581" s="16" t="n">
        <v>8115</v>
      </c>
      <c r="U581" s="16" t="n">
        <v>8115</v>
      </c>
      <c r="AC581" s="23">
        <f>IF(OR(E581="",E581="[PARENT]"),"ADD",IF(E581="[ALT_VIEW]","ALT",""))</f>
        <v/>
      </c>
      <c r="AD581" s="21">
        <f>IF(Y581&lt;&gt;"",Y581,IF(U581&lt;&gt;"",U581,S581))</f>
        <v/>
      </c>
      <c r="AE581" s="21">
        <f>IF(AB581&lt;&gt;"",AB581,Z581)</f>
        <v/>
      </c>
      <c r="AF581" s="13" t="inlineStr">
        <is>
          <t>P-35 &gt; Carrier Replacement Program &gt; IMPROVED FRESNEL LENS OPTICAL LANDING SYSTEM (IFLOLS) &gt; Major Hardware                                                                                                 0                              -                                 1</t>
        </is>
      </c>
      <c r="AG581" s="7" t="inlineStr">
        <is>
          <t>111</t>
        </is>
      </c>
      <c r="AH581" s="7" t="inlineStr">
        <is>
          <t>2001</t>
        </is>
      </c>
    </row>
    <row r="582" ht="10" customHeight="1">
      <c r="A582" s="7" t="inlineStr">
        <is>
          <t>SCN</t>
        </is>
      </c>
      <c r="B582" s="7" t="inlineStr">
        <is>
          <t>Procurement</t>
        </is>
      </c>
      <c r="D582" s="7" t="inlineStr">
        <is>
          <t>Carrier Replacement Program - P-35 IMPROVED FRESNEL LENS OPTICAL LANDING SYSTEM (IFLOLS) - System Engineering                                                                                                                            -</t>
        </is>
      </c>
      <c r="E582" s="13" t="inlineStr">
        <is>
          <t>[ALT_VIEW]</t>
        </is>
      </c>
      <c r="F582" s="7" t="inlineStr">
        <is>
          <t>2001 / Carrier Replacement Program</t>
        </is>
      </c>
      <c r="G582" s="7" t="inlineStr">
        <is>
          <t>P-35</t>
        </is>
      </c>
      <c r="I582" s="14" t="n">
        <v>1</v>
      </c>
      <c r="J582" s="7" t="inlineStr">
        <is>
          <t>Full ship DD&amp;C</t>
        </is>
      </c>
      <c r="K582" s="13" t="inlineStr">
        <is>
          <t>USN</t>
        </is>
      </c>
      <c r="L582" s="7" t="inlineStr">
        <is>
          <t>Combatant Ships</t>
        </is>
      </c>
      <c r="M582" s="7" t="inlineStr">
        <is>
          <t>Aircraft Carriers</t>
        </is>
      </c>
      <c r="N582" s="7" t="inlineStr">
        <is>
          <t>CVN</t>
        </is>
      </c>
      <c r="O582" s="15" t="n"/>
      <c r="S582" s="16" t="n">
        <v>204</v>
      </c>
      <c r="U582" s="16" t="n">
        <v>204</v>
      </c>
      <c r="AC582" s="23">
        <f>IF(OR(E582="",E582="[PARENT]"),"ADD",IF(E582="[ALT_VIEW]","ALT",""))</f>
        <v/>
      </c>
      <c r="AD582" s="21">
        <f>IF(Y582&lt;&gt;"",Y582,IF(U582&lt;&gt;"",U582,S582))</f>
        <v/>
      </c>
      <c r="AE582" s="21">
        <f>IF(AB582&lt;&gt;"",AB582,Z582)</f>
        <v/>
      </c>
      <c r="AF582" s="13" t="inlineStr">
        <is>
          <t>P-35 &gt; Carrier Replacement Program &gt; IMPROVED FRESNEL LENS OPTICAL LANDING SYSTEM (IFLOLS) &gt; System Engineering                                                                                                                            -</t>
        </is>
      </c>
      <c r="AG582" s="7" t="inlineStr">
        <is>
          <t>111</t>
        </is>
      </c>
      <c r="AH582" s="7" t="inlineStr">
        <is>
          <t>2001</t>
        </is>
      </c>
    </row>
    <row r="583" ht="10" customHeight="1">
      <c r="A583" s="7" t="inlineStr">
        <is>
          <t>SCN</t>
        </is>
      </c>
      <c r="B583" s="7" t="inlineStr">
        <is>
          <t>Procurement</t>
        </is>
      </c>
      <c r="D583" s="7" t="inlineStr">
        <is>
          <t>Carrier Replacement Program - P-35 IMPROVED FRESNEL LENS OPTICAL LANDING SYSTEM (IFLOLS) - Technical Engineering Services                                                                                                                -</t>
        </is>
      </c>
      <c r="E583" s="13" t="inlineStr">
        <is>
          <t>[ALT_VIEW]</t>
        </is>
      </c>
      <c r="F583" s="7" t="inlineStr">
        <is>
          <t>2001 / Carrier Replacement Program</t>
        </is>
      </c>
      <c r="G583" s="7" t="inlineStr">
        <is>
          <t>P-35</t>
        </is>
      </c>
      <c r="I583" s="14" t="n">
        <v>1</v>
      </c>
      <c r="J583" s="7" t="inlineStr">
        <is>
          <t>Full ship DD&amp;C</t>
        </is>
      </c>
      <c r="K583" s="13" t="inlineStr">
        <is>
          <t>USN</t>
        </is>
      </c>
      <c r="L583" s="7" t="inlineStr">
        <is>
          <t>Combatant Ships</t>
        </is>
      </c>
      <c r="M583" s="7" t="inlineStr">
        <is>
          <t>Aircraft Carriers</t>
        </is>
      </c>
      <c r="N583" s="7" t="inlineStr">
        <is>
          <t>CVN</t>
        </is>
      </c>
      <c r="O583" s="15" t="n"/>
      <c r="S583" s="16" t="n">
        <v>45</v>
      </c>
      <c r="U583" s="16" t="n">
        <v>45</v>
      </c>
      <c r="AC583" s="23">
        <f>IF(OR(E583="",E583="[PARENT]"),"ADD",IF(E583="[ALT_VIEW]","ALT",""))</f>
        <v/>
      </c>
      <c r="AD583" s="21">
        <f>IF(Y583&lt;&gt;"",Y583,IF(U583&lt;&gt;"",U583,S583))</f>
        <v/>
      </c>
      <c r="AE583" s="21">
        <f>IF(AB583&lt;&gt;"",AB583,Z583)</f>
        <v/>
      </c>
      <c r="AF583" s="13" t="inlineStr">
        <is>
          <t>P-35 &gt; Carrier Replacement Program &gt; IMPROVED FRESNEL LENS OPTICAL LANDING SYSTEM (IFLOLS) &gt; Technical Engineering Services                                                                                                                -</t>
        </is>
      </c>
      <c r="AG583" s="7" t="inlineStr">
        <is>
          <t>111</t>
        </is>
      </c>
      <c r="AH583" s="7" t="inlineStr">
        <is>
          <t>2001</t>
        </is>
      </c>
    </row>
    <row r="584" ht="10" customHeight="1">
      <c r="A584" s="7" t="inlineStr">
        <is>
          <t>SCN</t>
        </is>
      </c>
      <c r="B584" s="7" t="inlineStr">
        <is>
          <t>Procurement</t>
        </is>
      </c>
      <c r="D584" s="7" t="inlineStr">
        <is>
          <t>Carrier Replacement Program - P-35 IMPROVED FRESNEL LENS OPTICAL LANDING SYSTEM (IFLOLS) - Other Costs                                                                                                                                   -</t>
        </is>
      </c>
      <c r="E584" s="13" t="inlineStr">
        <is>
          <t>[ALT_VIEW]</t>
        </is>
      </c>
      <c r="F584" s="7" t="inlineStr">
        <is>
          <t>2001 / Carrier Replacement Program</t>
        </is>
      </c>
      <c r="G584" s="7" t="inlineStr">
        <is>
          <t>P-35</t>
        </is>
      </c>
      <c r="I584" s="14" t="n">
        <v>1</v>
      </c>
      <c r="J584" s="7" t="inlineStr">
        <is>
          <t>Full ship DD&amp;C</t>
        </is>
      </c>
      <c r="K584" s="13" t="inlineStr">
        <is>
          <t>USN</t>
        </is>
      </c>
      <c r="L584" s="7" t="inlineStr">
        <is>
          <t>Combatant Ships</t>
        </is>
      </c>
      <c r="M584" s="7" t="inlineStr">
        <is>
          <t>Aircraft Carriers</t>
        </is>
      </c>
      <c r="N584" s="7" t="inlineStr">
        <is>
          <t>CVN</t>
        </is>
      </c>
      <c r="O584" s="15" t="n"/>
      <c r="S584" s="16" t="n">
        <v>473</v>
      </c>
      <c r="U584" s="16" t="n">
        <v>473</v>
      </c>
      <c r="AC584" s="23">
        <f>IF(OR(E584="",E584="[PARENT]"),"ADD",IF(E584="[ALT_VIEW]","ALT",""))</f>
        <v/>
      </c>
      <c r="AD584" s="21">
        <f>IF(Y584&lt;&gt;"",Y584,IF(U584&lt;&gt;"",U584,S584))</f>
        <v/>
      </c>
      <c r="AE584" s="21">
        <f>IF(AB584&lt;&gt;"",AB584,Z584)</f>
        <v/>
      </c>
      <c r="AF584" s="13" t="inlineStr">
        <is>
          <t>P-35 &gt; Carrier Replacement Program &gt; IMPROVED FRESNEL LENS OPTICAL LANDING SYSTEM (IFLOLS) &gt; Other Costs                                                                                                                                   -</t>
        </is>
      </c>
      <c r="AG584" s="7" t="inlineStr">
        <is>
          <t>111</t>
        </is>
      </c>
      <c r="AH584" s="7" t="inlineStr">
        <is>
          <t>2001</t>
        </is>
      </c>
    </row>
    <row r="585" ht="10" customHeight="1">
      <c r="A585" s="7" t="inlineStr">
        <is>
          <t>SCN</t>
        </is>
      </c>
      <c r="B585" s="7" t="inlineStr">
        <is>
          <t>Procurement</t>
        </is>
      </c>
      <c r="D585" s="7" t="inlineStr">
        <is>
          <t>Carrier Replacement Program - P-35 INTEGRATED LAUNCH AND RECOVERY TELEVISION SYSTEM (ILARTS) - Major Hardware                                                                                                0                              -                                 1</t>
        </is>
      </c>
      <c r="E585" s="13" t="inlineStr">
        <is>
          <t>[ALT_VIEW]</t>
        </is>
      </c>
      <c r="F585" s="7" t="inlineStr">
        <is>
          <t>2001 / Carrier Replacement Program</t>
        </is>
      </c>
      <c r="G585" s="7" t="inlineStr">
        <is>
          <t>P-35</t>
        </is>
      </c>
      <c r="I585" s="14" t="n">
        <v>1</v>
      </c>
      <c r="J585" s="7" t="inlineStr">
        <is>
          <t>Full ship DD&amp;C</t>
        </is>
      </c>
      <c r="K585" s="13" t="inlineStr">
        <is>
          <t>USN</t>
        </is>
      </c>
      <c r="L585" s="7" t="inlineStr">
        <is>
          <t>Combatant Ships</t>
        </is>
      </c>
      <c r="M585" s="7" t="inlineStr">
        <is>
          <t>Aircraft Carriers</t>
        </is>
      </c>
      <c r="N585" s="7" t="inlineStr">
        <is>
          <t>CVN</t>
        </is>
      </c>
      <c r="O585" s="15" t="n"/>
      <c r="S585" s="16" t="n">
        <v>3145</v>
      </c>
      <c r="U585" s="16" t="n">
        <v>3145</v>
      </c>
      <c r="AC585" s="23">
        <f>IF(OR(E585="",E585="[PARENT]"),"ADD",IF(E585="[ALT_VIEW]","ALT",""))</f>
        <v/>
      </c>
      <c r="AD585" s="21">
        <f>IF(Y585&lt;&gt;"",Y585,IF(U585&lt;&gt;"",U585,S585))</f>
        <v/>
      </c>
      <c r="AE585" s="21">
        <f>IF(AB585&lt;&gt;"",AB585,Z585)</f>
        <v/>
      </c>
      <c r="AF585" s="13" t="inlineStr">
        <is>
          <t>P-35 &gt; Carrier Replacement Program &gt; INTEGRATED LAUNCH AND RECOVERY TELEVISION SYSTEM (ILARTS) &gt; Major Hardware                                                                                                0                              -                                 1</t>
        </is>
      </c>
      <c r="AG585" s="7" t="inlineStr">
        <is>
          <t>112</t>
        </is>
      </c>
      <c r="AH585" s="7" t="inlineStr">
        <is>
          <t>2001</t>
        </is>
      </c>
    </row>
    <row r="586" ht="10" customHeight="1">
      <c r="A586" s="7" t="inlineStr">
        <is>
          <t>SCN</t>
        </is>
      </c>
      <c r="B586" s="7" t="inlineStr">
        <is>
          <t>Procurement</t>
        </is>
      </c>
      <c r="D586" s="7" t="inlineStr">
        <is>
          <t>Carrier Replacement Program - P-35 INTEGRATED LAUNCH AND RECOVERY TELEVISION SYSTEM (ILARTS) - Spares                                                                                                                                       -</t>
        </is>
      </c>
      <c r="E586" s="13" t="inlineStr">
        <is>
          <t>[ALT_VIEW]</t>
        </is>
      </c>
      <c r="F586" s="7" t="inlineStr">
        <is>
          <t>2001 / Carrier Replacement Program</t>
        </is>
      </c>
      <c r="G586" s="7" t="inlineStr">
        <is>
          <t>P-35</t>
        </is>
      </c>
      <c r="I586" s="14" t="n">
        <v>1</v>
      </c>
      <c r="J586" s="7" t="inlineStr">
        <is>
          <t>Full ship DD&amp;C</t>
        </is>
      </c>
      <c r="K586" s="13" t="inlineStr">
        <is>
          <t>USN</t>
        </is>
      </c>
      <c r="L586" s="7" t="inlineStr">
        <is>
          <t>Combatant Ships</t>
        </is>
      </c>
      <c r="M586" s="7" t="inlineStr">
        <is>
          <t>Aircraft Carriers</t>
        </is>
      </c>
      <c r="N586" s="7" t="inlineStr">
        <is>
          <t>CVN</t>
        </is>
      </c>
      <c r="O586" s="15" t="n"/>
      <c r="S586" s="16" t="n">
        <v>397</v>
      </c>
      <c r="U586" s="16" t="n">
        <v>397</v>
      </c>
      <c r="AC586" s="23">
        <f>IF(OR(E586="",E586="[PARENT]"),"ADD",IF(E586="[ALT_VIEW]","ALT",""))</f>
        <v/>
      </c>
      <c r="AD586" s="21">
        <f>IF(Y586&lt;&gt;"",Y586,IF(U586&lt;&gt;"",U586,S586))</f>
        <v/>
      </c>
      <c r="AE586" s="21">
        <f>IF(AB586&lt;&gt;"",AB586,Z586)</f>
        <v/>
      </c>
      <c r="AF586" s="13" t="inlineStr">
        <is>
          <t>P-35 &gt; Carrier Replacement Program &gt; INTEGRATED LAUNCH AND RECOVERY TELEVISION SYSTEM (ILARTS) &gt; Spares                                                                                                                                       -</t>
        </is>
      </c>
      <c r="AG586" s="7" t="inlineStr">
        <is>
          <t>112</t>
        </is>
      </c>
      <c r="AH586" s="7" t="inlineStr">
        <is>
          <t>2001</t>
        </is>
      </c>
    </row>
    <row r="587" ht="10" customHeight="1">
      <c r="A587" s="7" t="inlineStr">
        <is>
          <t>SCN</t>
        </is>
      </c>
      <c r="B587" s="7" t="inlineStr">
        <is>
          <t>Procurement</t>
        </is>
      </c>
      <c r="D587" s="7" t="inlineStr">
        <is>
          <t>Carrier Replacement Program - P-35 INTEGRATED LAUNCH AND RECOVERY TELEVISION SYSTEM (ILARTS) - System Engineering                                                                                                                           -</t>
        </is>
      </c>
      <c r="E587" s="13" t="inlineStr">
        <is>
          <t>[ALT_VIEW]</t>
        </is>
      </c>
      <c r="F587" s="7" t="inlineStr">
        <is>
          <t>2001 / Carrier Replacement Program</t>
        </is>
      </c>
      <c r="G587" s="7" t="inlineStr">
        <is>
          <t>P-35</t>
        </is>
      </c>
      <c r="I587" s="14" t="n">
        <v>1</v>
      </c>
      <c r="J587" s="7" t="inlineStr">
        <is>
          <t>Full ship DD&amp;C</t>
        </is>
      </c>
      <c r="K587" s="13" t="inlineStr">
        <is>
          <t>USN</t>
        </is>
      </c>
      <c r="L587" s="7" t="inlineStr">
        <is>
          <t>Combatant Ships</t>
        </is>
      </c>
      <c r="M587" s="7" t="inlineStr">
        <is>
          <t>Aircraft Carriers</t>
        </is>
      </c>
      <c r="N587" s="7" t="inlineStr">
        <is>
          <t>CVN</t>
        </is>
      </c>
      <c r="O587" s="15" t="n"/>
      <c r="S587" s="16" t="n">
        <v>291</v>
      </c>
      <c r="U587" s="16" t="n">
        <v>291</v>
      </c>
      <c r="AC587" s="23">
        <f>IF(OR(E587="",E587="[PARENT]"),"ADD",IF(E587="[ALT_VIEW]","ALT",""))</f>
        <v/>
      </c>
      <c r="AD587" s="21">
        <f>IF(Y587&lt;&gt;"",Y587,IF(U587&lt;&gt;"",U587,S587))</f>
        <v/>
      </c>
      <c r="AE587" s="21">
        <f>IF(AB587&lt;&gt;"",AB587,Z587)</f>
        <v/>
      </c>
      <c r="AF587" s="13" t="inlineStr">
        <is>
          <t>P-35 &gt; Carrier Replacement Program &gt; INTEGRATED LAUNCH AND RECOVERY TELEVISION SYSTEM (ILARTS) &gt; System Engineering                                                                                                                           -</t>
        </is>
      </c>
      <c r="AG587" s="7" t="inlineStr">
        <is>
          <t>112</t>
        </is>
      </c>
      <c r="AH587" s="7" t="inlineStr">
        <is>
          <t>2001</t>
        </is>
      </c>
    </row>
    <row r="588" ht="10" customHeight="1">
      <c r="A588" s="7" t="inlineStr">
        <is>
          <t>SCN</t>
        </is>
      </c>
      <c r="B588" s="7" t="inlineStr">
        <is>
          <t>Procurement</t>
        </is>
      </c>
      <c r="D588" s="7" t="inlineStr">
        <is>
          <t>Carrier Replacement Program - P-35 INTEGRATED LAUNCH AND RECOVERY TELEVISION SYSTEM (ILARTS) - Technical Engineering Services                                                                                                               -</t>
        </is>
      </c>
      <c r="E588" s="13" t="inlineStr">
        <is>
          <t>[ALT_VIEW]</t>
        </is>
      </c>
      <c r="F588" s="7" t="inlineStr">
        <is>
          <t>2001 / Carrier Replacement Program</t>
        </is>
      </c>
      <c r="G588" s="7" t="inlineStr">
        <is>
          <t>P-35</t>
        </is>
      </c>
      <c r="I588" s="14" t="n">
        <v>1</v>
      </c>
      <c r="J588" s="7" t="inlineStr">
        <is>
          <t>Full ship DD&amp;C</t>
        </is>
      </c>
      <c r="K588" s="13" t="inlineStr">
        <is>
          <t>USN</t>
        </is>
      </c>
      <c r="L588" s="7" t="inlineStr">
        <is>
          <t>Combatant Ships</t>
        </is>
      </c>
      <c r="M588" s="7" t="inlineStr">
        <is>
          <t>Aircraft Carriers</t>
        </is>
      </c>
      <c r="N588" s="7" t="inlineStr">
        <is>
          <t>CVN</t>
        </is>
      </c>
      <c r="O588" s="15" t="n"/>
      <c r="S588" s="16" t="n">
        <v>730</v>
      </c>
      <c r="U588" s="16" t="n">
        <v>730</v>
      </c>
      <c r="AC588" s="23">
        <f>IF(OR(E588="",E588="[PARENT]"),"ADD",IF(E588="[ALT_VIEW]","ALT",""))</f>
        <v/>
      </c>
      <c r="AD588" s="21">
        <f>IF(Y588&lt;&gt;"",Y588,IF(U588&lt;&gt;"",U588,S588))</f>
        <v/>
      </c>
      <c r="AE588" s="21">
        <f>IF(AB588&lt;&gt;"",AB588,Z588)</f>
        <v/>
      </c>
      <c r="AF588" s="13" t="inlineStr">
        <is>
          <t>P-35 &gt; Carrier Replacement Program &gt; INTEGRATED LAUNCH AND RECOVERY TELEVISION SYSTEM (ILARTS) &gt; Technical Engineering Services                                                                                                               -</t>
        </is>
      </c>
      <c r="AG588" s="7" t="inlineStr">
        <is>
          <t>112</t>
        </is>
      </c>
      <c r="AH588" s="7" t="inlineStr">
        <is>
          <t>2001</t>
        </is>
      </c>
    </row>
    <row r="589" ht="10" customHeight="1">
      <c r="A589" s="7" t="inlineStr">
        <is>
          <t>SCN</t>
        </is>
      </c>
      <c r="B589" s="7" t="inlineStr">
        <is>
          <t>Procurement</t>
        </is>
      </c>
      <c r="D589" s="7" t="inlineStr">
        <is>
          <t>Carrier Replacement Program - P-35 INTEGRATED LAUNCH AND RECOVERY TELEVISION SYSTEM (ILARTS) - Other Costs                                                                                                                                  -</t>
        </is>
      </c>
      <c r="E589" s="13" t="inlineStr">
        <is>
          <t>[ALT_VIEW]</t>
        </is>
      </c>
      <c r="F589" s="7" t="inlineStr">
        <is>
          <t>2001 / Carrier Replacement Program</t>
        </is>
      </c>
      <c r="G589" s="7" t="inlineStr">
        <is>
          <t>P-35</t>
        </is>
      </c>
      <c r="I589" s="14" t="n">
        <v>1</v>
      </c>
      <c r="J589" s="7" t="inlineStr">
        <is>
          <t>Full ship DD&amp;C</t>
        </is>
      </c>
      <c r="K589" s="13" t="inlineStr">
        <is>
          <t>USN</t>
        </is>
      </c>
      <c r="L589" s="7" t="inlineStr">
        <is>
          <t>Combatant Ships</t>
        </is>
      </c>
      <c r="M589" s="7" t="inlineStr">
        <is>
          <t>Aircraft Carriers</t>
        </is>
      </c>
      <c r="N589" s="7" t="inlineStr">
        <is>
          <t>CVN</t>
        </is>
      </c>
      <c r="O589" s="15" t="n"/>
      <c r="S589" s="16" t="n">
        <v>960</v>
      </c>
      <c r="U589" s="16" t="n">
        <v>960</v>
      </c>
      <c r="AC589" s="23">
        <f>IF(OR(E589="",E589="[PARENT]"),"ADD",IF(E589="[ALT_VIEW]","ALT",""))</f>
        <v/>
      </c>
      <c r="AD589" s="21">
        <f>IF(Y589&lt;&gt;"",Y589,IF(U589&lt;&gt;"",U589,S589))</f>
        <v/>
      </c>
      <c r="AE589" s="21">
        <f>IF(AB589&lt;&gt;"",AB589,Z589)</f>
        <v/>
      </c>
      <c r="AF589" s="13" t="inlineStr">
        <is>
          <t>P-35 &gt; Carrier Replacement Program &gt; INTEGRATED LAUNCH AND RECOVERY TELEVISION SYSTEM (ILARTS) &gt; Other Costs                                                                                                                                  -</t>
        </is>
      </c>
      <c r="AG589" s="7" t="inlineStr">
        <is>
          <t>112</t>
        </is>
      </c>
      <c r="AH589" s="7" t="inlineStr">
        <is>
          <t>2001</t>
        </is>
      </c>
    </row>
    <row r="590" ht="10" customHeight="1">
      <c r="A590" s="7" t="inlineStr">
        <is>
          <t>SCN</t>
        </is>
      </c>
      <c r="B590" s="7" t="inlineStr">
        <is>
          <t>Procurement</t>
        </is>
      </c>
      <c r="D590" s="7" t="inlineStr">
        <is>
          <t>Carrier Replacement Program - P-35 UNMANNED AVIATION WARFARE CENTER (UAWC) - Major Hardware                                                                                                 0                              -                                 1</t>
        </is>
      </c>
      <c r="E590" s="13" t="inlineStr">
        <is>
          <t>[ALT_VIEW]</t>
        </is>
      </c>
      <c r="F590" s="7" t="inlineStr">
        <is>
          <t>2001 / Carrier Replacement Program</t>
        </is>
      </c>
      <c r="G590" s="7" t="inlineStr">
        <is>
          <t>P-35</t>
        </is>
      </c>
      <c r="I590" s="14" t="n">
        <v>1</v>
      </c>
      <c r="J590" s="7" t="inlineStr">
        <is>
          <t>Full ship DD&amp;C</t>
        </is>
      </c>
      <c r="K590" s="13" t="inlineStr">
        <is>
          <t>USN</t>
        </is>
      </c>
      <c r="L590" s="7" t="inlineStr">
        <is>
          <t>Combatant Ships</t>
        </is>
      </c>
      <c r="M590" s="7" t="inlineStr">
        <is>
          <t>Aircraft Carriers</t>
        </is>
      </c>
      <c r="N590" s="7" t="inlineStr">
        <is>
          <t>CVN</t>
        </is>
      </c>
      <c r="O590" s="15" t="n"/>
      <c r="S590" s="16" t="n">
        <v>32500</v>
      </c>
      <c r="U590" s="16" t="n">
        <v>32500</v>
      </c>
      <c r="AC590" s="23">
        <f>IF(OR(E590="",E590="[PARENT]"),"ADD",IF(E590="[ALT_VIEW]","ALT",""))</f>
        <v/>
      </c>
      <c r="AD590" s="21">
        <f>IF(Y590&lt;&gt;"",Y590,IF(U590&lt;&gt;"",U590,S590))</f>
        <v/>
      </c>
      <c r="AE590" s="21">
        <f>IF(AB590&lt;&gt;"",AB590,Z590)</f>
        <v/>
      </c>
      <c r="AF590" s="13" t="inlineStr">
        <is>
          <t>P-35 &gt; Carrier Replacement Program &gt; UNMANNED AVIATION WARFARE CENTER (UAWC) &gt; Major Hardware                                                                                                 0                              -                                 1</t>
        </is>
      </c>
      <c r="AG590" s="7" t="inlineStr">
        <is>
          <t>113</t>
        </is>
      </c>
      <c r="AH590" s="7" t="inlineStr">
        <is>
          <t>2001</t>
        </is>
      </c>
    </row>
    <row r="591" ht="10" customHeight="1">
      <c r="A591" s="7" t="inlineStr">
        <is>
          <t>SCN</t>
        </is>
      </c>
      <c r="B591" s="7" t="inlineStr">
        <is>
          <t>Procurement</t>
        </is>
      </c>
      <c r="D591" s="7" t="inlineStr">
        <is>
          <t>Carrier Replacement Program - P-35 UNMANNED AVIATION WARFARE CENTER (UAWC) - Technical Engineering Services                                                                                                                -</t>
        </is>
      </c>
      <c r="E591" s="13" t="inlineStr">
        <is>
          <t>[ALT_VIEW]</t>
        </is>
      </c>
      <c r="F591" s="7" t="inlineStr">
        <is>
          <t>2001 / Carrier Replacement Program</t>
        </is>
      </c>
      <c r="G591" s="7" t="inlineStr">
        <is>
          <t>P-35</t>
        </is>
      </c>
      <c r="I591" s="14" t="n">
        <v>1</v>
      </c>
      <c r="J591" s="7" t="inlineStr">
        <is>
          <t>Full ship DD&amp;C</t>
        </is>
      </c>
      <c r="K591" s="13" t="inlineStr">
        <is>
          <t>USN</t>
        </is>
      </c>
      <c r="L591" s="7" t="inlineStr">
        <is>
          <t>Combatant Ships</t>
        </is>
      </c>
      <c r="M591" s="7" t="inlineStr">
        <is>
          <t>Aircraft Carriers</t>
        </is>
      </c>
      <c r="N591" s="7" t="inlineStr">
        <is>
          <t>CVN</t>
        </is>
      </c>
      <c r="O591" s="15" t="n"/>
      <c r="S591" s="16" t="n">
        <v>13600</v>
      </c>
      <c r="U591" s="16" t="n">
        <v>13600</v>
      </c>
      <c r="AC591" s="23">
        <f>IF(OR(E591="",E591="[PARENT]"),"ADD",IF(E591="[ALT_VIEW]","ALT",""))</f>
        <v/>
      </c>
      <c r="AD591" s="21">
        <f>IF(Y591&lt;&gt;"",Y591,IF(U591&lt;&gt;"",U591,S591))</f>
        <v/>
      </c>
      <c r="AE591" s="21">
        <f>IF(AB591&lt;&gt;"",AB591,Z591)</f>
        <v/>
      </c>
      <c r="AF591" s="13" t="inlineStr">
        <is>
          <t>P-35 &gt; Carrier Replacement Program &gt; UNMANNED AVIATION WARFARE CENTER (UAWC) &gt; Technical Engineering Services                                                                                                                -</t>
        </is>
      </c>
      <c r="AG591" s="7" t="inlineStr">
        <is>
          <t>113</t>
        </is>
      </c>
      <c r="AH591" s="7" t="inlineStr">
        <is>
          <t>2001</t>
        </is>
      </c>
    </row>
    <row r="592" ht="10" customHeight="1">
      <c r="A592" s="7" t="inlineStr">
        <is>
          <t>SCN</t>
        </is>
      </c>
      <c r="B592" s="7" t="inlineStr">
        <is>
          <t>Procurement</t>
        </is>
      </c>
      <c r="D592" s="7" t="inlineStr">
        <is>
          <t>Carrier Replacement Program - P-10 - CVN 82 - Basic</t>
        </is>
      </c>
      <c r="E592" s="13" t="inlineStr">
        <is>
          <t>[SUB]</t>
        </is>
      </c>
      <c r="F592" s="7" t="inlineStr">
        <is>
          <t>2001 / Carrier Replacement Program AP</t>
        </is>
      </c>
      <c r="I592" s="14" t="n">
        <v>1</v>
      </c>
      <c r="J592" s="7" t="inlineStr">
        <is>
          <t>Advance procurement / LLTM</t>
        </is>
      </c>
      <c r="K592" s="13" t="inlineStr">
        <is>
          <t>USN</t>
        </is>
      </c>
      <c r="L592" s="7" t="inlineStr">
        <is>
          <t>Combatant Ships</t>
        </is>
      </c>
      <c r="M592" s="7" t="inlineStr">
        <is>
          <t>Aircraft Carriers</t>
        </is>
      </c>
      <c r="N592" s="7" t="inlineStr">
        <is>
          <t>CVN</t>
        </is>
      </c>
      <c r="O592" s="15" t="n"/>
      <c r="S592" s="16" t="n">
        <v>336112</v>
      </c>
      <c r="U592" s="16" t="n">
        <v>336112</v>
      </c>
      <c r="AC592" s="23">
        <f>IF(OR(E592="",E592="[PARENT]"),"ADD",IF(E592="[ALT_VIEW]","ALT",""))</f>
        <v/>
      </c>
      <c r="AD592" s="21">
        <f>IF(Y592&lt;&gt;"",Y592,IF(U592&lt;&gt;"",U592,S592))</f>
        <v/>
      </c>
      <c r="AE592" s="21">
        <f>IF(AB592&lt;&gt;"",AB592,Z592)</f>
        <v/>
      </c>
      <c r="AF592" s="13" t="inlineStr">
        <is>
          <t>P-10 &gt; Carrier Replacement Program &gt; CVN 82 - Basic</t>
        </is>
      </c>
      <c r="AG592" s="7" t="inlineStr">
        <is>
          <t>115</t>
        </is>
      </c>
      <c r="AH592" s="7" t="inlineStr">
        <is>
          <t>2001</t>
        </is>
      </c>
      <c r="AJ592" s="7" t="inlineStr">
        <is>
          <t>Basic</t>
        </is>
      </c>
    </row>
    <row r="593" ht="10" customHeight="1">
      <c r="A593" s="7" t="inlineStr">
        <is>
          <t>SCN</t>
        </is>
      </c>
      <c r="B593" s="7" t="inlineStr">
        <is>
          <t>Procurement</t>
        </is>
      </c>
      <c r="D593" s="7" t="inlineStr">
        <is>
          <t>Carrier Replacement Program - P-10 - CVN 82 - Propulsion Equipment</t>
        </is>
      </c>
      <c r="E593" s="13" t="inlineStr">
        <is>
          <t>[SUB]</t>
        </is>
      </c>
      <c r="F593" s="7" t="inlineStr">
        <is>
          <t>2001 / Carrier Replacement Program AP</t>
        </is>
      </c>
      <c r="I593" s="14" t="n">
        <v>1</v>
      </c>
      <c r="J593" s="7" t="inlineStr">
        <is>
          <t>Advance procurement / LLTM</t>
        </is>
      </c>
      <c r="K593" s="13" t="inlineStr">
        <is>
          <t>USN</t>
        </is>
      </c>
      <c r="L593" s="7" t="inlineStr">
        <is>
          <t>Combatant Ships</t>
        </is>
      </c>
      <c r="M593" s="7" t="inlineStr">
        <is>
          <t>Aircraft Carriers</t>
        </is>
      </c>
      <c r="N593" s="7" t="inlineStr">
        <is>
          <t>CVN</t>
        </is>
      </c>
      <c r="O593" s="15" t="n"/>
      <c r="S593" s="16" t="n">
        <v>273500</v>
      </c>
      <c r="U593" s="16" t="n">
        <v>273500</v>
      </c>
      <c r="AC593" s="23">
        <f>IF(OR(E593="",E593="[PARENT]"),"ADD",IF(E593="[ALT_VIEW]","ALT",""))</f>
        <v/>
      </c>
      <c r="AD593" s="21">
        <f>IF(Y593&lt;&gt;"",Y593,IF(U593&lt;&gt;"",U593,S593))</f>
        <v/>
      </c>
      <c r="AE593" s="21">
        <f>IF(AB593&lt;&gt;"",AB593,Z593)</f>
        <v/>
      </c>
      <c r="AF593" s="13" t="inlineStr">
        <is>
          <t>P-10 &gt; Carrier Replacement Program &gt; CVN 82 - Propulsion Equipment</t>
        </is>
      </c>
      <c r="AG593" s="7" t="inlineStr">
        <is>
          <t>115</t>
        </is>
      </c>
      <c r="AH593" s="7" t="inlineStr">
        <is>
          <t>2001</t>
        </is>
      </c>
      <c r="AJ593" s="7" t="inlineStr">
        <is>
          <t>Propulsion Equipment</t>
        </is>
      </c>
    </row>
    <row r="594" ht="10" customHeight="1">
      <c r="A594" s="7" t="inlineStr">
        <is>
          <t>SCN</t>
        </is>
      </c>
      <c r="B594" s="7" t="inlineStr">
        <is>
          <t>Procurement</t>
        </is>
      </c>
      <c r="D594" s="7" t="inlineStr">
        <is>
          <t>Carrier Replacement Program - P-10 - CVN 82 - Ordnance</t>
        </is>
      </c>
      <c r="E594" s="13" t="inlineStr">
        <is>
          <t>[SUB]</t>
        </is>
      </c>
      <c r="F594" s="7" t="inlineStr">
        <is>
          <t>2001 / Carrier Replacement Program AP</t>
        </is>
      </c>
      <c r="I594" s="14" t="n">
        <v>1</v>
      </c>
      <c r="J594" s="7" t="inlineStr">
        <is>
          <t>Advance procurement / LLTM</t>
        </is>
      </c>
      <c r="K594" s="13" t="inlineStr">
        <is>
          <t>USN</t>
        </is>
      </c>
      <c r="L594" s="7" t="inlineStr">
        <is>
          <t>Combatant Ships</t>
        </is>
      </c>
      <c r="M594" s="7" t="inlineStr">
        <is>
          <t>Aircraft Carriers</t>
        </is>
      </c>
      <c r="N594" s="7" t="inlineStr">
        <is>
          <t>CVN</t>
        </is>
      </c>
      <c r="O594" s="15" t="n"/>
      <c r="S594" s="16" t="n">
        <v>2426</v>
      </c>
      <c r="U594" s="16" t="n">
        <v>2426</v>
      </c>
      <c r="AC594" s="23">
        <f>IF(OR(E594="",E594="[PARENT]"),"ADD",IF(E594="[ALT_VIEW]","ALT",""))</f>
        <v/>
      </c>
      <c r="AD594" s="21">
        <f>IF(Y594&lt;&gt;"",Y594,IF(U594&lt;&gt;"",U594,S594))</f>
        <v/>
      </c>
      <c r="AE594" s="21">
        <f>IF(AB594&lt;&gt;"",AB594,Z594)</f>
        <v/>
      </c>
      <c r="AF594" s="13" t="inlineStr">
        <is>
          <t>P-10 &gt; Carrier Replacement Program &gt; CVN 82 - Ordnance</t>
        </is>
      </c>
      <c r="AG594" s="7" t="inlineStr">
        <is>
          <t>115</t>
        </is>
      </c>
      <c r="AH594" s="7" t="inlineStr">
        <is>
          <t>2001</t>
        </is>
      </c>
      <c r="AJ594" s="7" t="inlineStr">
        <is>
          <t>Ordnance</t>
        </is>
      </c>
    </row>
    <row r="595" ht="10" customHeight="1">
      <c r="A595" s="7" t="inlineStr">
        <is>
          <t>SCN</t>
        </is>
      </c>
      <c r="B595" s="7" t="inlineStr">
        <is>
          <t>Procurement</t>
        </is>
      </c>
      <c r="D595" s="7" t="inlineStr">
        <is>
          <t>Carrier Replacement Program - P-10 - CVN 83 - Basic                                                                                       -               -              -             -</t>
        </is>
      </c>
      <c r="E595" s="13" t="inlineStr">
        <is>
          <t>[SUB]</t>
        </is>
      </c>
      <c r="F595" s="7" t="inlineStr">
        <is>
          <t>2001 / Carrier Replacement Program AP</t>
        </is>
      </c>
      <c r="I595" s="14" t="n">
        <v>1</v>
      </c>
      <c r="J595" s="7" t="inlineStr">
        <is>
          <t>Advance procurement / LLTM</t>
        </is>
      </c>
      <c r="K595" s="13" t="inlineStr">
        <is>
          <t>USN</t>
        </is>
      </c>
      <c r="L595" s="7" t="inlineStr">
        <is>
          <t>Combatant Ships</t>
        </is>
      </c>
      <c r="M595" s="7" t="inlineStr">
        <is>
          <t>Aircraft Carriers</t>
        </is>
      </c>
      <c r="N595" s="7" t="inlineStr">
        <is>
          <t>CVN</t>
        </is>
      </c>
      <c r="O595" s="15" t="n"/>
      <c r="P595" s="16" t="n">
        <v>0</v>
      </c>
      <c r="AC595" s="23">
        <f>IF(OR(E595="",E595="[PARENT]"),"ADD",IF(E595="[ALT_VIEW]","ALT",""))</f>
        <v/>
      </c>
      <c r="AD595" s="21">
        <f>IF(Y595&lt;&gt;"",Y595,IF(U595&lt;&gt;"",U595,S595))</f>
        <v/>
      </c>
      <c r="AE595" s="21">
        <f>IF(AB595&lt;&gt;"",AB595,Z595)</f>
        <v/>
      </c>
      <c r="AF595" s="13" t="inlineStr">
        <is>
          <t>P-10 &gt; Carrier Replacement Program &gt; CVN 83 - Basic                                                                                       -               -              -             -</t>
        </is>
      </c>
      <c r="AG595" s="7" t="inlineStr">
        <is>
          <t>115</t>
        </is>
      </c>
      <c r="AH595" s="7" t="inlineStr">
        <is>
          <t>2001</t>
        </is>
      </c>
    </row>
    <row r="596" ht="10" customHeight="1">
      <c r="A596" s="7" t="inlineStr">
        <is>
          <t>SCN</t>
        </is>
      </c>
      <c r="B596" s="7" t="inlineStr">
        <is>
          <t>Procurement</t>
        </is>
      </c>
      <c r="D596" s="7" t="inlineStr">
        <is>
          <t>Carrier Replacement Program - P-10 - CVN 83 - Ordnance                                                                                    -               -              -             -</t>
        </is>
      </c>
      <c r="E596" s="13" t="inlineStr">
        <is>
          <t>[SUB]</t>
        </is>
      </c>
      <c r="F596" s="7" t="inlineStr">
        <is>
          <t>2001 / Carrier Replacement Program AP</t>
        </is>
      </c>
      <c r="I596" s="14" t="n">
        <v>1</v>
      </c>
      <c r="J596" s="7" t="inlineStr">
        <is>
          <t>Advance procurement / LLTM</t>
        </is>
      </c>
      <c r="K596" s="13" t="inlineStr">
        <is>
          <t>USN</t>
        </is>
      </c>
      <c r="L596" s="7" t="inlineStr">
        <is>
          <t>Combatant Ships</t>
        </is>
      </c>
      <c r="M596" s="7" t="inlineStr">
        <is>
          <t>Aircraft Carriers</t>
        </is>
      </c>
      <c r="N596" s="7" t="inlineStr">
        <is>
          <t>CVN</t>
        </is>
      </c>
      <c r="O596" s="15" t="n"/>
      <c r="P596" s="16" t="n">
        <v>0</v>
      </c>
      <c r="AC596" s="23">
        <f>IF(OR(E596="",E596="[PARENT]"),"ADD",IF(E596="[ALT_VIEW]","ALT",""))</f>
        <v/>
      </c>
      <c r="AD596" s="21">
        <f>IF(Y596&lt;&gt;"",Y596,IF(U596&lt;&gt;"",U596,S596))</f>
        <v/>
      </c>
      <c r="AE596" s="21">
        <f>IF(AB596&lt;&gt;"",AB596,Z596)</f>
        <v/>
      </c>
      <c r="AF596" s="13" t="inlineStr">
        <is>
          <t>P-10 &gt; Carrier Replacement Program &gt; CVN 83 - Ordnance                                                                                    -               -              -             -</t>
        </is>
      </c>
      <c r="AG596" s="7" t="inlineStr">
        <is>
          <t>115</t>
        </is>
      </c>
      <c r="AH596" s="7" t="inlineStr">
        <is>
          <t>2001</t>
        </is>
      </c>
    </row>
    <row r="597" ht="10" customHeight="1">
      <c r="A597" s="7" t="inlineStr">
        <is>
          <t>SCN</t>
        </is>
      </c>
      <c r="B597" s="7" t="inlineStr">
        <is>
          <t>Procurement</t>
        </is>
      </c>
      <c r="D597" s="7" t="inlineStr">
        <is>
          <t>Carrier Replacement Program - P-10 - CVN 83 - Basic                                                                                         -                   -                 -                                      -</t>
        </is>
      </c>
      <c r="E597" s="13" t="inlineStr">
        <is>
          <t>[SUB]</t>
        </is>
      </c>
      <c r="F597" s="7" t="inlineStr">
        <is>
          <t>2001 / Carrier Replacement Program AP</t>
        </is>
      </c>
      <c r="I597" s="14" t="n">
        <v>1</v>
      </c>
      <c r="J597" s="7" t="inlineStr">
        <is>
          <t>Advance procurement / LLTM</t>
        </is>
      </c>
      <c r="K597" s="13" t="inlineStr">
        <is>
          <t>USN</t>
        </is>
      </c>
      <c r="L597" s="7" t="inlineStr">
        <is>
          <t>Combatant Ships</t>
        </is>
      </c>
      <c r="M597" s="7" t="inlineStr">
        <is>
          <t>Aircraft Carriers</t>
        </is>
      </c>
      <c r="N597" s="7" t="inlineStr">
        <is>
          <t>CVN</t>
        </is>
      </c>
      <c r="O597" s="15" t="n"/>
      <c r="P597" s="16" t="n">
        <v>0</v>
      </c>
      <c r="AC597" s="23">
        <f>IF(OR(E597="",E597="[PARENT]"),"ADD",IF(E597="[ALT_VIEW]","ALT",""))</f>
        <v/>
      </c>
      <c r="AD597" s="21">
        <f>IF(Y597&lt;&gt;"",Y597,IF(U597&lt;&gt;"",U597,S597))</f>
        <v/>
      </c>
      <c r="AE597" s="21">
        <f>IF(AB597&lt;&gt;"",AB597,Z597)</f>
        <v/>
      </c>
      <c r="AF597" s="13" t="inlineStr">
        <is>
          <t>P-10 &gt; Carrier Replacement Program &gt; CVN 83 - Basic                                                                                         -                   -                 -                                      -</t>
        </is>
      </c>
      <c r="AG597" s="7" t="inlineStr">
        <is>
          <t>116</t>
        </is>
      </c>
      <c r="AH597" s="7" t="inlineStr">
        <is>
          <t>2001</t>
        </is>
      </c>
    </row>
    <row r="598" ht="10" customHeight="1">
      <c r="A598" s="7" t="inlineStr">
        <is>
          <t>SCN</t>
        </is>
      </c>
      <c r="B598" s="7" t="inlineStr">
        <is>
          <t>Procurement</t>
        </is>
      </c>
      <c r="D598" s="7" t="inlineStr">
        <is>
          <t>Carrier Replacement Program - P-10 - CVN 83 - Ordnance                                                                                      -                   -                 -                                      -</t>
        </is>
      </c>
      <c r="E598" s="13" t="inlineStr">
        <is>
          <t>[SUB]</t>
        </is>
      </c>
      <c r="F598" s="7" t="inlineStr">
        <is>
          <t>2001 / Carrier Replacement Program AP</t>
        </is>
      </c>
      <c r="I598" s="14" t="n">
        <v>1</v>
      </c>
      <c r="J598" s="7" t="inlineStr">
        <is>
          <t>Advance procurement / LLTM</t>
        </is>
      </c>
      <c r="K598" s="13" t="inlineStr">
        <is>
          <t>USN</t>
        </is>
      </c>
      <c r="L598" s="7" t="inlineStr">
        <is>
          <t>Combatant Ships</t>
        </is>
      </c>
      <c r="M598" s="7" t="inlineStr">
        <is>
          <t>Aircraft Carriers</t>
        </is>
      </c>
      <c r="N598" s="7" t="inlineStr">
        <is>
          <t>CVN</t>
        </is>
      </c>
      <c r="O598" s="15" t="n"/>
      <c r="P598" s="16" t="n">
        <v>0</v>
      </c>
      <c r="AC598" s="23">
        <f>IF(OR(E598="",E598="[PARENT]"),"ADD",IF(E598="[ALT_VIEW]","ALT",""))</f>
        <v/>
      </c>
      <c r="AD598" s="21">
        <f>IF(Y598&lt;&gt;"",Y598,IF(U598&lt;&gt;"",U598,S598))</f>
        <v/>
      </c>
      <c r="AE598" s="21">
        <f>IF(AB598&lt;&gt;"",AB598,Z598)</f>
        <v/>
      </c>
      <c r="AF598" s="13" t="inlineStr">
        <is>
          <t>P-10 &gt; Carrier Replacement Program &gt; CVN 83 - Ordnance                                                                                      -                   -                 -                                      -</t>
        </is>
      </c>
      <c r="AG598" s="7" t="inlineStr">
        <is>
          <t>116</t>
        </is>
      </c>
      <c r="AH598" s="7" t="inlineStr">
        <is>
          <t>2001</t>
        </is>
      </c>
    </row>
    <row r="599" ht="10" customHeight="1">
      <c r="A599" s="7" t="inlineStr">
        <is>
          <t>SCN</t>
        </is>
      </c>
      <c r="B599" s="7" t="inlineStr">
        <is>
          <t>Procurement</t>
        </is>
      </c>
      <c r="D599" s="7" t="inlineStr">
        <is>
          <t>CVN-81 - P-5c - Basic Construction</t>
        </is>
      </c>
      <c r="E599" s="13" t="inlineStr">
        <is>
          <t>[ALT_VIEW]</t>
        </is>
      </c>
      <c r="F599" s="7" t="inlineStr">
        <is>
          <t>2004 / CVN-81</t>
        </is>
      </c>
      <c r="G599" s="7" t="inlineStr">
        <is>
          <t>P-5c</t>
        </is>
      </c>
      <c r="H599" s="7" t="inlineStr">
        <is>
          <t>Basic Construction</t>
        </is>
      </c>
      <c r="I599" s="14" t="n">
        <v>1</v>
      </c>
      <c r="J599" s="7" t="inlineStr">
        <is>
          <t>Full ship DD&amp;C</t>
        </is>
      </c>
      <c r="K599" s="13" t="inlineStr">
        <is>
          <t>USN</t>
        </is>
      </c>
      <c r="L599" s="7" t="inlineStr">
        <is>
          <t>Combatant Ships</t>
        </is>
      </c>
      <c r="M599" s="7" t="inlineStr">
        <is>
          <t>Aircraft Carriers</t>
        </is>
      </c>
      <c r="N599" s="7" t="inlineStr">
        <is>
          <t>CVN</t>
        </is>
      </c>
      <c r="O599" s="15" t="n"/>
      <c r="AC599" s="23">
        <f>IF(OR(E599="",E599="[PARENT]"),"ADD",IF(E599="[ALT_VIEW]","ALT",""))</f>
        <v/>
      </c>
      <c r="AD599" s="21">
        <f>IF(Y599&lt;&gt;"",Y599,IF(U599&lt;&gt;"",U599,S599))</f>
        <v/>
      </c>
      <c r="AE599" s="21">
        <f>IF(AB599&lt;&gt;"",AB599,Z599)</f>
        <v/>
      </c>
      <c r="AF599" s="13" t="inlineStr">
        <is>
          <t>P-5c &gt; CVN-81 &gt; Basic Construction</t>
        </is>
      </c>
      <c r="AG599" s="7" t="inlineStr">
        <is>
          <t>119</t>
        </is>
      </c>
      <c r="AH599" s="7" t="inlineStr">
        <is>
          <t>2004</t>
        </is>
      </c>
      <c r="AJ599" s="7" t="inlineStr">
        <is>
          <t>Basic Construction</t>
        </is>
      </c>
    </row>
    <row r="600" ht="10" customHeight="1">
      <c r="A600" s="7" t="inlineStr">
        <is>
          <t>SCN</t>
        </is>
      </c>
      <c r="B600" s="7" t="inlineStr">
        <is>
          <t>Procurement</t>
        </is>
      </c>
      <c r="D600" s="7" t="inlineStr">
        <is>
          <t>CVN-81 - P-5c - Change Orders</t>
        </is>
      </c>
      <c r="E600" s="13" t="inlineStr">
        <is>
          <t>[ALT_VIEW]</t>
        </is>
      </c>
      <c r="F600" s="7" t="inlineStr">
        <is>
          <t>2004 / CVN-81</t>
        </is>
      </c>
      <c r="G600" s="7" t="inlineStr">
        <is>
          <t>P-5c</t>
        </is>
      </c>
      <c r="H600" s="7" t="inlineStr">
        <is>
          <t>Change Orders</t>
        </is>
      </c>
      <c r="I600" s="14" t="n">
        <v>1</v>
      </c>
      <c r="J600" s="7" t="inlineStr">
        <is>
          <t>Full ship DD&amp;C</t>
        </is>
      </c>
      <c r="K600" s="13" t="inlineStr">
        <is>
          <t>USN</t>
        </is>
      </c>
      <c r="L600" s="7" t="inlineStr">
        <is>
          <t>Combatant Ships</t>
        </is>
      </c>
      <c r="M600" s="7" t="inlineStr">
        <is>
          <t>Aircraft Carriers</t>
        </is>
      </c>
      <c r="N600" s="7" t="inlineStr">
        <is>
          <t>CVN</t>
        </is>
      </c>
      <c r="O600" s="15" t="n"/>
      <c r="AC600" s="23">
        <f>IF(OR(E600="",E600="[PARENT]"),"ADD",IF(E600="[ALT_VIEW]","ALT",""))</f>
        <v/>
      </c>
      <c r="AD600" s="21">
        <f>IF(Y600&lt;&gt;"",Y600,IF(U600&lt;&gt;"",U600,S600))</f>
        <v/>
      </c>
      <c r="AE600" s="21">
        <f>IF(AB600&lt;&gt;"",AB600,Z600)</f>
        <v/>
      </c>
      <c r="AF600" s="13" t="inlineStr">
        <is>
          <t>P-5c &gt; CVN-81 &gt; Change Orders</t>
        </is>
      </c>
      <c r="AG600" s="7" t="inlineStr">
        <is>
          <t>119</t>
        </is>
      </c>
      <c r="AH600" s="7" t="inlineStr">
        <is>
          <t>2004</t>
        </is>
      </c>
      <c r="AJ600" s="7" t="inlineStr">
        <is>
          <t>Change Orders</t>
        </is>
      </c>
    </row>
    <row r="601" ht="10" customHeight="1">
      <c r="A601" s="7" t="inlineStr">
        <is>
          <t>SCN</t>
        </is>
      </c>
      <c r="B601" s="7" t="inlineStr">
        <is>
          <t>Procurement</t>
        </is>
      </c>
      <c r="D601" s="7" t="inlineStr">
        <is>
          <t>CVN-81 - P-5c - Electronics</t>
        </is>
      </c>
      <c r="E601" s="13" t="inlineStr">
        <is>
          <t>[ALT_VIEW]</t>
        </is>
      </c>
      <c r="F601" s="7" t="inlineStr">
        <is>
          <t>2004 / CVN-81</t>
        </is>
      </c>
      <c r="G601" s="7" t="inlineStr">
        <is>
          <t>P-5c</t>
        </is>
      </c>
      <c r="H601" s="7" t="inlineStr">
        <is>
          <t>Electronics</t>
        </is>
      </c>
      <c r="I601" s="14" t="n">
        <v>1</v>
      </c>
      <c r="J601" s="7" t="inlineStr">
        <is>
          <t>Full ship DD&amp;C</t>
        </is>
      </c>
      <c r="K601" s="13" t="inlineStr">
        <is>
          <t>USN</t>
        </is>
      </c>
      <c r="L601" s="7" t="inlineStr">
        <is>
          <t>Combatant Ships</t>
        </is>
      </c>
      <c r="M601" s="7" t="inlineStr">
        <is>
          <t>Aircraft Carriers</t>
        </is>
      </c>
      <c r="N601" s="7" t="inlineStr">
        <is>
          <t>CVN</t>
        </is>
      </c>
      <c r="O601" s="15" t="n"/>
      <c r="AC601" s="23">
        <f>IF(OR(E601="",E601="[PARENT]"),"ADD",IF(E601="[ALT_VIEW]","ALT",""))</f>
        <v/>
      </c>
      <c r="AD601" s="21">
        <f>IF(Y601&lt;&gt;"",Y601,IF(U601&lt;&gt;"",U601,S601))</f>
        <v/>
      </c>
      <c r="AE601" s="21">
        <f>IF(AB601&lt;&gt;"",AB601,Z601)</f>
        <v/>
      </c>
      <c r="AF601" s="13" t="inlineStr">
        <is>
          <t>P-5c &gt; CVN-81 &gt; Electronics</t>
        </is>
      </c>
      <c r="AG601" s="7" t="inlineStr">
        <is>
          <t>119</t>
        </is>
      </c>
      <c r="AH601" s="7" t="inlineStr">
        <is>
          <t>2004</t>
        </is>
      </c>
    </row>
    <row r="602" ht="10" customHeight="1">
      <c r="A602" s="7" t="inlineStr">
        <is>
          <t>SCN</t>
        </is>
      </c>
      <c r="B602" s="7" t="inlineStr">
        <is>
          <t>Procurement</t>
        </is>
      </c>
      <c r="D602" s="7" t="inlineStr">
        <is>
          <t>CVN-81 - P-5c - Propulsion Equipment</t>
        </is>
      </c>
      <c r="E602" s="13" t="inlineStr">
        <is>
          <t>[ALT_VIEW]</t>
        </is>
      </c>
      <c r="F602" s="7" t="inlineStr">
        <is>
          <t>2004 / CVN-81</t>
        </is>
      </c>
      <c r="G602" s="7" t="inlineStr">
        <is>
          <t>P-5c</t>
        </is>
      </c>
      <c r="H602" s="7" t="inlineStr">
        <is>
          <t>Propulsion Equipment</t>
        </is>
      </c>
      <c r="I602" s="14" t="n">
        <v>1</v>
      </c>
      <c r="J602" s="7" t="inlineStr">
        <is>
          <t>Full ship DD&amp;C</t>
        </is>
      </c>
      <c r="K602" s="13" t="inlineStr">
        <is>
          <t>USN</t>
        </is>
      </c>
      <c r="L602" s="7" t="inlineStr">
        <is>
          <t>Combatant Ships</t>
        </is>
      </c>
      <c r="M602" s="7" t="inlineStr">
        <is>
          <t>Aircraft Carriers</t>
        </is>
      </c>
      <c r="N602" s="7" t="inlineStr">
        <is>
          <t>CVN</t>
        </is>
      </c>
      <c r="O602" s="15" t="n"/>
      <c r="AC602" s="23">
        <f>IF(OR(E602="",E602="[PARENT]"),"ADD",IF(E602="[ALT_VIEW]","ALT",""))</f>
        <v/>
      </c>
      <c r="AD602" s="21">
        <f>IF(Y602&lt;&gt;"",Y602,IF(U602&lt;&gt;"",U602,S602))</f>
        <v/>
      </c>
      <c r="AE602" s="21">
        <f>IF(AB602&lt;&gt;"",AB602,Z602)</f>
        <v/>
      </c>
      <c r="AF602" s="13" t="inlineStr">
        <is>
          <t>P-5c &gt; CVN-81 &gt; Propulsion Equipment</t>
        </is>
      </c>
      <c r="AG602" s="7" t="inlineStr">
        <is>
          <t>119</t>
        </is>
      </c>
      <c r="AH602" s="7" t="inlineStr">
        <is>
          <t>2004</t>
        </is>
      </c>
      <c r="AJ602" s="7" t="inlineStr">
        <is>
          <t>Propulsion Equipment</t>
        </is>
      </c>
    </row>
    <row r="603" ht="10" customHeight="1">
      <c r="A603" s="7" t="inlineStr">
        <is>
          <t>SCN</t>
        </is>
      </c>
      <c r="B603" s="7" t="inlineStr">
        <is>
          <t>Procurement</t>
        </is>
      </c>
      <c r="D603" s="7" t="inlineStr">
        <is>
          <t>CVN-81 - P-5c - Hull, Mechanical, and Electrical</t>
        </is>
      </c>
      <c r="E603" s="13" t="inlineStr">
        <is>
          <t>[ALT_VIEW]</t>
        </is>
      </c>
      <c r="F603" s="7" t="inlineStr">
        <is>
          <t>2004 / CVN-81</t>
        </is>
      </c>
      <c r="G603" s="7" t="inlineStr">
        <is>
          <t>P-5c</t>
        </is>
      </c>
      <c r="H603" s="7" t="inlineStr">
        <is>
          <t>Hull, Mechanical, and Electrical</t>
        </is>
      </c>
      <c r="I603" s="14" t="n">
        <v>1</v>
      </c>
      <c r="J603" s="7" t="inlineStr">
        <is>
          <t>Full ship DD&amp;C</t>
        </is>
      </c>
      <c r="K603" s="13" t="inlineStr">
        <is>
          <t>USN</t>
        </is>
      </c>
      <c r="L603" s="7" t="inlineStr">
        <is>
          <t>Combatant Ships</t>
        </is>
      </c>
      <c r="M603" s="7" t="inlineStr">
        <is>
          <t>Aircraft Carriers</t>
        </is>
      </c>
      <c r="N603" s="7" t="inlineStr">
        <is>
          <t>CVN</t>
        </is>
      </c>
      <c r="O603" s="15" t="n"/>
      <c r="AC603" s="23">
        <f>IF(OR(E603="",E603="[PARENT]"),"ADD",IF(E603="[ALT_VIEW]","ALT",""))</f>
        <v/>
      </c>
      <c r="AD603" s="21">
        <f>IF(Y603&lt;&gt;"",Y603,IF(U603&lt;&gt;"",U603,S603))</f>
        <v/>
      </c>
      <c r="AE603" s="21">
        <f>IF(AB603&lt;&gt;"",AB603,Z603)</f>
        <v/>
      </c>
      <c r="AF603" s="13" t="inlineStr">
        <is>
          <t>P-5c &gt; CVN-81 &gt; Hull, Mechanical, and Electrical</t>
        </is>
      </c>
      <c r="AG603" s="7" t="inlineStr">
        <is>
          <t>119</t>
        </is>
      </c>
      <c r="AH603" s="7" t="inlineStr">
        <is>
          <t>2004</t>
        </is>
      </c>
    </row>
    <row r="604" ht="10" customHeight="1">
      <c r="A604" s="7" t="inlineStr">
        <is>
          <t>SCN</t>
        </is>
      </c>
      <c r="B604" s="7" t="inlineStr">
        <is>
          <t>Procurement</t>
        </is>
      </c>
      <c r="D604" s="7" t="inlineStr">
        <is>
          <t>CVN-81 - P-5c - Ordnance</t>
        </is>
      </c>
      <c r="E604" s="13" t="inlineStr">
        <is>
          <t>[ALT_VIEW]</t>
        </is>
      </c>
      <c r="F604" s="7" t="inlineStr">
        <is>
          <t>2004 / CVN-81</t>
        </is>
      </c>
      <c r="G604" s="7" t="inlineStr">
        <is>
          <t>P-5c</t>
        </is>
      </c>
      <c r="H604" s="7" t="inlineStr">
        <is>
          <t>Ordnance</t>
        </is>
      </c>
      <c r="I604" s="14" t="n">
        <v>1</v>
      </c>
      <c r="J604" s="7" t="inlineStr">
        <is>
          <t>Full ship DD&amp;C</t>
        </is>
      </c>
      <c r="K604" s="13" t="inlineStr">
        <is>
          <t>USN</t>
        </is>
      </c>
      <c r="L604" s="7" t="inlineStr">
        <is>
          <t>Combatant Ships</t>
        </is>
      </c>
      <c r="M604" s="7" t="inlineStr">
        <is>
          <t>Aircraft Carriers</t>
        </is>
      </c>
      <c r="N604" s="7" t="inlineStr">
        <is>
          <t>CVN</t>
        </is>
      </c>
      <c r="O604" s="15" t="n"/>
      <c r="AC604" s="23">
        <f>IF(OR(E604="",E604="[PARENT]"),"ADD",IF(E604="[ALT_VIEW]","ALT",""))</f>
        <v/>
      </c>
      <c r="AD604" s="21">
        <f>IF(Y604&lt;&gt;"",Y604,IF(U604&lt;&gt;"",U604,S604))</f>
        <v/>
      </c>
      <c r="AE604" s="21">
        <f>IF(AB604&lt;&gt;"",AB604,Z604)</f>
        <v/>
      </c>
      <c r="AF604" s="13" t="inlineStr">
        <is>
          <t>P-5c &gt; CVN-81 &gt; Ordnance</t>
        </is>
      </c>
      <c r="AG604" s="7" t="inlineStr">
        <is>
          <t>119</t>
        </is>
      </c>
      <c r="AH604" s="7" t="inlineStr">
        <is>
          <t>2004</t>
        </is>
      </c>
    </row>
    <row r="605" ht="10" customHeight="1">
      <c r="A605" s="7" t="inlineStr">
        <is>
          <t>SCN</t>
        </is>
      </c>
      <c r="B605" s="7" t="inlineStr">
        <is>
          <t>Procurement</t>
        </is>
      </c>
      <c r="D605" s="7" t="inlineStr">
        <is>
          <t>CVN-81 - P-5c - Other Cost</t>
        </is>
      </c>
      <c r="E605" s="13" t="inlineStr">
        <is>
          <t>[ALT_VIEW]</t>
        </is>
      </c>
      <c r="F605" s="7" t="inlineStr">
        <is>
          <t>2004 / CVN-81</t>
        </is>
      </c>
      <c r="G605" s="7" t="inlineStr">
        <is>
          <t>P-5c</t>
        </is>
      </c>
      <c r="H605" s="7" t="inlineStr">
        <is>
          <t>Other Cost</t>
        </is>
      </c>
      <c r="I605" s="14" t="n">
        <v>1</v>
      </c>
      <c r="J605" s="7" t="inlineStr">
        <is>
          <t>Full ship DD&amp;C</t>
        </is>
      </c>
      <c r="K605" s="13" t="inlineStr">
        <is>
          <t>USN</t>
        </is>
      </c>
      <c r="L605" s="7" t="inlineStr">
        <is>
          <t>Combatant Ships</t>
        </is>
      </c>
      <c r="M605" s="7" t="inlineStr">
        <is>
          <t>Aircraft Carriers</t>
        </is>
      </c>
      <c r="N605" s="7" t="inlineStr">
        <is>
          <t>CVN</t>
        </is>
      </c>
      <c r="O605" s="15" t="n"/>
      <c r="AC605" s="23">
        <f>IF(OR(E605="",E605="[PARENT]"),"ADD",IF(E605="[ALT_VIEW]","ALT",""))</f>
        <v/>
      </c>
      <c r="AD605" s="21">
        <f>IF(Y605&lt;&gt;"",Y605,IF(U605&lt;&gt;"",U605,S605))</f>
        <v/>
      </c>
      <c r="AE605" s="21">
        <f>IF(AB605&lt;&gt;"",AB605,Z605)</f>
        <v/>
      </c>
      <c r="AF605" s="13" t="inlineStr">
        <is>
          <t>P-5c &gt; CVN-81 &gt; Other Cost</t>
        </is>
      </c>
      <c r="AG605" s="7" t="inlineStr">
        <is>
          <t>119</t>
        </is>
      </c>
      <c r="AH605" s="7" t="inlineStr">
        <is>
          <t>2004</t>
        </is>
      </c>
    </row>
    <row r="606" ht="10" customHeight="1">
      <c r="A606" s="7" t="inlineStr">
        <is>
          <t>SCN</t>
        </is>
      </c>
      <c r="B606" s="7" t="inlineStr">
        <is>
          <t>Procurement</t>
        </is>
      </c>
      <c r="D606" s="7" t="inlineStr">
        <is>
          <t>CVN-81 - P-8a Electronics - CONSOLIDATED AFLOAT NETWORK AND ENTERPRISE SERVICES (CANES) 1</t>
        </is>
      </c>
      <c r="E606" s="13" t="inlineStr">
        <is>
          <t>[ALT_VIEW]</t>
        </is>
      </c>
      <c r="F606" s="7" t="inlineStr">
        <is>
          <t>2004 / CVN-81</t>
        </is>
      </c>
      <c r="G606" s="7" t="inlineStr">
        <is>
          <t>P-8a</t>
        </is>
      </c>
      <c r="H606" s="7" t="inlineStr">
        <is>
          <t>Electronics</t>
        </is>
      </c>
      <c r="I606" s="14" t="n">
        <v>1</v>
      </c>
      <c r="J606" s="7" t="inlineStr">
        <is>
          <t>Full ship DD&amp;C</t>
        </is>
      </c>
      <c r="K606" s="13" t="inlineStr">
        <is>
          <t>USN</t>
        </is>
      </c>
      <c r="L606" s="7" t="inlineStr">
        <is>
          <t>Combatant Ships</t>
        </is>
      </c>
      <c r="M606" s="7" t="inlineStr">
        <is>
          <t>Aircraft Carriers</t>
        </is>
      </c>
      <c r="N606" s="7" t="inlineStr">
        <is>
          <t>CVN</t>
        </is>
      </c>
      <c r="O606" s="15" t="n"/>
      <c r="S606" s="16" t="n">
        <v>28122</v>
      </c>
      <c r="U606" s="16" t="n">
        <v>28122</v>
      </c>
      <c r="AC606" s="23">
        <f>IF(OR(E606="",E606="[PARENT]"),"ADD",IF(E606="[ALT_VIEW]","ALT",""))</f>
        <v/>
      </c>
      <c r="AD606" s="21">
        <f>IF(Y606&lt;&gt;"",Y606,IF(U606&lt;&gt;"",U606,S606))</f>
        <v/>
      </c>
      <c r="AE606" s="21">
        <f>IF(AB606&lt;&gt;"",AB606,Z606)</f>
        <v/>
      </c>
      <c r="AF606" s="13" t="inlineStr">
        <is>
          <t>P-8a &gt; CVN-81 &gt; Electronics &gt; CONSOLIDATED AFLOAT NETWORK AND ENTERPRISE SERVICES (CANES) 1</t>
        </is>
      </c>
      <c r="AG606" s="7" t="inlineStr">
        <is>
          <t>121</t>
        </is>
      </c>
      <c r="AH606" s="7" t="inlineStr">
        <is>
          <t>2004</t>
        </is>
      </c>
      <c r="AJ606" s="7" t="inlineStr">
        <is>
          <t>CONSOLIDATED AFLOAT NETWORK AND ENTERPRISE SERVICES (CANES)</t>
        </is>
      </c>
    </row>
    <row r="607" ht="10" customHeight="1">
      <c r="A607" s="7" t="inlineStr">
        <is>
          <t>SCN</t>
        </is>
      </c>
      <c r="B607" s="7" t="inlineStr">
        <is>
          <t>Procurement</t>
        </is>
      </c>
      <c r="D607" s="7" t="inlineStr">
        <is>
          <t>CVN-81 - P-8a Electronics - AN/USG-2, COOPERATIVE ENGAGEMENT CAPABILITY (CEC) 1</t>
        </is>
      </c>
      <c r="E607" s="13" t="inlineStr">
        <is>
          <t>[ALT_VIEW]</t>
        </is>
      </c>
      <c r="F607" s="7" t="inlineStr">
        <is>
          <t>2004 / CVN-81</t>
        </is>
      </c>
      <c r="G607" s="7" t="inlineStr">
        <is>
          <t>P-8a</t>
        </is>
      </c>
      <c r="H607" s="7" t="inlineStr">
        <is>
          <t>Electronics</t>
        </is>
      </c>
      <c r="I607" s="14" t="n">
        <v>1</v>
      </c>
      <c r="J607" s="7" t="inlineStr">
        <is>
          <t>Full ship DD&amp;C</t>
        </is>
      </c>
      <c r="K607" s="13" t="inlineStr">
        <is>
          <t>USN</t>
        </is>
      </c>
      <c r="L607" s="7" t="inlineStr">
        <is>
          <t>Combatant Ships</t>
        </is>
      </c>
      <c r="M607" s="7" t="inlineStr">
        <is>
          <t>Aircraft Carriers</t>
        </is>
      </c>
      <c r="N607" s="7" t="inlineStr">
        <is>
          <t>CVN</t>
        </is>
      </c>
      <c r="O607" s="15" t="n"/>
      <c r="S607" s="16" t="n">
        <v>8695</v>
      </c>
      <c r="U607" s="16" t="n">
        <v>8695</v>
      </c>
      <c r="AC607" s="23">
        <f>IF(OR(E607="",E607="[PARENT]"),"ADD",IF(E607="[ALT_VIEW]","ALT",""))</f>
        <v/>
      </c>
      <c r="AD607" s="21">
        <f>IF(Y607&lt;&gt;"",Y607,IF(U607&lt;&gt;"",U607,S607))</f>
        <v/>
      </c>
      <c r="AE607" s="21">
        <f>IF(AB607&lt;&gt;"",AB607,Z607)</f>
        <v/>
      </c>
      <c r="AF607" s="13" t="inlineStr">
        <is>
          <t>P-8a &gt; CVN-81 &gt; Electronics &gt; AN/USG-2, COOPERATIVE ENGAGEMENT CAPABILITY (CEC) 1</t>
        </is>
      </c>
      <c r="AG607" s="7" t="inlineStr">
        <is>
          <t>121</t>
        </is>
      </c>
      <c r="AH607" s="7" t="inlineStr">
        <is>
          <t>2004</t>
        </is>
      </c>
      <c r="AJ607" s="7" t="inlineStr">
        <is>
          <t>AN/USG-2, COOPERATIVE ENGAGEMENT CAPABILITY (CEC)</t>
        </is>
      </c>
    </row>
    <row r="608" ht="10" customHeight="1">
      <c r="A608" s="7" t="inlineStr">
        <is>
          <t>SCN</t>
        </is>
      </c>
      <c r="B608" s="7" t="inlineStr">
        <is>
          <t>Procurement</t>
        </is>
      </c>
      <c r="D608" s="7" t="inlineStr">
        <is>
          <t>CVN-81 - P-8a Electronics - SAT 1</t>
        </is>
      </c>
      <c r="E608" s="13" t="inlineStr">
        <is>
          <t>[ALT_VIEW]</t>
        </is>
      </c>
      <c r="F608" s="7" t="inlineStr">
        <is>
          <t>2004 / CVN-81</t>
        </is>
      </c>
      <c r="G608" s="7" t="inlineStr">
        <is>
          <t>P-8a</t>
        </is>
      </c>
      <c r="H608" s="7" t="inlineStr">
        <is>
          <t>Electronics</t>
        </is>
      </c>
      <c r="I608" s="14" t="n">
        <v>1</v>
      </c>
      <c r="J608" s="7" t="inlineStr">
        <is>
          <t>Full ship DD&amp;C</t>
        </is>
      </c>
      <c r="K608" s="13" t="inlineStr">
        <is>
          <t>USN</t>
        </is>
      </c>
      <c r="L608" s="7" t="inlineStr">
        <is>
          <t>Combatant Ships</t>
        </is>
      </c>
      <c r="M608" s="7" t="inlineStr">
        <is>
          <t>Aircraft Carriers</t>
        </is>
      </c>
      <c r="N608" s="7" t="inlineStr">
        <is>
          <t>CVN</t>
        </is>
      </c>
      <c r="O608" s="15" t="n"/>
      <c r="S608" s="16" t="n">
        <v>10146</v>
      </c>
      <c r="U608" s="16" t="n">
        <v>10146</v>
      </c>
      <c r="AC608" s="23">
        <f>IF(OR(E608="",E608="[PARENT]"),"ADD",IF(E608="[ALT_VIEW]","ALT",""))</f>
        <v/>
      </c>
      <c r="AD608" s="21">
        <f>IF(Y608&lt;&gt;"",Y608,IF(U608&lt;&gt;"",U608,S608))</f>
        <v/>
      </c>
      <c r="AE608" s="21">
        <f>IF(AB608&lt;&gt;"",AB608,Z608)</f>
        <v/>
      </c>
      <c r="AF608" s="13" t="inlineStr">
        <is>
          <t>P-8a &gt; CVN-81 &gt; Electronics &gt; SAT 1</t>
        </is>
      </c>
      <c r="AG608" s="7" t="inlineStr">
        <is>
          <t>121</t>
        </is>
      </c>
      <c r="AH608" s="7" t="inlineStr">
        <is>
          <t>2004</t>
        </is>
      </c>
    </row>
    <row r="609" ht="10" customHeight="1">
      <c r="A609" s="7" t="inlineStr">
        <is>
          <t>SCN</t>
        </is>
      </c>
      <c r="B609" s="7" t="inlineStr">
        <is>
          <t>Procurement</t>
        </is>
      </c>
      <c r="D609" s="7" t="inlineStr">
        <is>
          <t>CVN-81 - P-8a Electronics - AN/UPX-29(V), INTERROGATOR FRIEND OR FOE (IFF) W/MK XII 1</t>
        </is>
      </c>
      <c r="E609" s="13" t="inlineStr">
        <is>
          <t>[ALT_VIEW]</t>
        </is>
      </c>
      <c r="F609" s="7" t="inlineStr">
        <is>
          <t>2004 / CVN-81</t>
        </is>
      </c>
      <c r="G609" s="7" t="inlineStr">
        <is>
          <t>P-8a</t>
        </is>
      </c>
      <c r="H609" s="7" t="inlineStr">
        <is>
          <t>Electronics</t>
        </is>
      </c>
      <c r="I609" s="14" t="n">
        <v>1</v>
      </c>
      <c r="J609" s="7" t="inlineStr">
        <is>
          <t>Full ship DD&amp;C</t>
        </is>
      </c>
      <c r="K609" s="13" t="inlineStr">
        <is>
          <t>USN</t>
        </is>
      </c>
      <c r="L609" s="7" t="inlineStr">
        <is>
          <t>Combatant Ships</t>
        </is>
      </c>
      <c r="M609" s="7" t="inlineStr">
        <is>
          <t>Aircraft Carriers</t>
        </is>
      </c>
      <c r="N609" s="7" t="inlineStr">
        <is>
          <t>CVN</t>
        </is>
      </c>
      <c r="O609" s="15" t="n"/>
      <c r="S609" s="16" t="n">
        <v>8912</v>
      </c>
      <c r="U609" s="16" t="n">
        <v>8912</v>
      </c>
      <c r="AC609" s="23">
        <f>IF(OR(E609="",E609="[PARENT]"),"ADD",IF(E609="[ALT_VIEW]","ALT",""))</f>
        <v/>
      </c>
      <c r="AD609" s="21">
        <f>IF(Y609&lt;&gt;"",Y609,IF(U609&lt;&gt;"",U609,S609))</f>
        <v/>
      </c>
      <c r="AE609" s="21">
        <f>IF(AB609&lt;&gt;"",AB609,Z609)</f>
        <v/>
      </c>
      <c r="AF609" s="13" t="inlineStr">
        <is>
          <t>P-8a &gt; CVN-81 &gt; Electronics &gt; AN/UPX-29(V), INTERROGATOR FRIEND OR FOE (IFF) W/MK XII 1</t>
        </is>
      </c>
      <c r="AG609" s="7" t="inlineStr">
        <is>
          <t>121</t>
        </is>
      </c>
      <c r="AH609" s="7" t="inlineStr">
        <is>
          <t>2004</t>
        </is>
      </c>
      <c r="AJ609" s="7" t="inlineStr">
        <is>
          <t>AN/UPX-29(V), INTERROGATOR FRIEND OR FOE (IFF) W/MK XII</t>
        </is>
      </c>
    </row>
    <row r="610" ht="10" customHeight="1">
      <c r="A610" s="7" t="inlineStr">
        <is>
          <t>SCN</t>
        </is>
      </c>
      <c r="B610" s="7" t="inlineStr">
        <is>
          <t>Procurement</t>
        </is>
      </c>
      <c r="D610" s="7" t="inlineStr">
        <is>
          <t>CVN-81 - P-8a Electronics - SPN-46, AUTOMATIC CARRIER LANDING SYSTEM 1</t>
        </is>
      </c>
      <c r="E610" s="13" t="inlineStr">
        <is>
          <t>[ALT_VIEW]</t>
        </is>
      </c>
      <c r="F610" s="7" t="inlineStr">
        <is>
          <t>2004 / CVN-81</t>
        </is>
      </c>
      <c r="G610" s="7" t="inlineStr">
        <is>
          <t>P-8a</t>
        </is>
      </c>
      <c r="H610" s="7" t="inlineStr">
        <is>
          <t>Electronics</t>
        </is>
      </c>
      <c r="I610" s="14" t="n">
        <v>1</v>
      </c>
      <c r="J610" s="7" t="inlineStr">
        <is>
          <t>Full ship DD&amp;C</t>
        </is>
      </c>
      <c r="K610" s="13" t="inlineStr">
        <is>
          <t>USN</t>
        </is>
      </c>
      <c r="L610" s="7" t="inlineStr">
        <is>
          <t>Combatant Ships</t>
        </is>
      </c>
      <c r="M610" s="7" t="inlineStr">
        <is>
          <t>Aircraft Carriers</t>
        </is>
      </c>
      <c r="N610" s="7" t="inlineStr">
        <is>
          <t>CVN</t>
        </is>
      </c>
      <c r="O610" s="15" t="n"/>
      <c r="S610" s="16" t="n">
        <v>14549</v>
      </c>
      <c r="U610" s="16" t="n">
        <v>14549</v>
      </c>
      <c r="X610" s="16" t="n">
        <v>1622935</v>
      </c>
      <c r="Y610" s="16" t="n">
        <v>1622935</v>
      </c>
      <c r="AC610" s="23">
        <f>IF(OR(E610="",E610="[PARENT]"),"ADD",IF(E610="[ALT_VIEW]","ALT",""))</f>
        <v/>
      </c>
      <c r="AD610" s="21">
        <f>IF(Y610&lt;&gt;"",Y610,IF(U610&lt;&gt;"",U610,S610))</f>
        <v/>
      </c>
      <c r="AE610" s="21">
        <f>IF(AB610&lt;&gt;"",AB610,Z610)</f>
        <v/>
      </c>
      <c r="AF610" s="13" t="inlineStr">
        <is>
          <t>P-8a &gt; CVN-81 &gt; Electronics &gt; SPN-46, AUTOMATIC CARRIER LANDING SYSTEM 1</t>
        </is>
      </c>
      <c r="AG610" s="7" t="inlineStr">
        <is>
          <t>121</t>
        </is>
      </c>
      <c r="AH610" s="7" t="inlineStr">
        <is>
          <t>2004</t>
        </is>
      </c>
      <c r="AJ610" s="7" t="inlineStr">
        <is>
          <t>SPN-46, AUTOMATIC CARRIER LANDING SYSTEM</t>
        </is>
      </c>
    </row>
    <row r="611" ht="10" customHeight="1">
      <c r="A611" s="7" t="inlineStr">
        <is>
          <t>SCN</t>
        </is>
      </c>
      <c r="B611" s="7" t="inlineStr">
        <is>
          <t>Procurement</t>
        </is>
      </c>
      <c r="D611" s="7" t="inlineStr">
        <is>
          <t>CVN-81 - P-8a Electronics - SHIP SELF DEFENSE SYSTEM (SSDS) 1</t>
        </is>
      </c>
      <c r="E611" s="13" t="inlineStr">
        <is>
          <t>[ALT_VIEW]</t>
        </is>
      </c>
      <c r="F611" s="7" t="inlineStr">
        <is>
          <t>2004 / CVN-81</t>
        </is>
      </c>
      <c r="G611" s="7" t="inlineStr">
        <is>
          <t>P-8a</t>
        </is>
      </c>
      <c r="H611" s="7" t="inlineStr">
        <is>
          <t>Electronics</t>
        </is>
      </c>
      <c r="I611" s="14" t="n">
        <v>1</v>
      </c>
      <c r="J611" s="7" t="inlineStr">
        <is>
          <t>Full ship DD&amp;C</t>
        </is>
      </c>
      <c r="K611" s="13" t="inlineStr">
        <is>
          <t>USN</t>
        </is>
      </c>
      <c r="L611" s="7" t="inlineStr">
        <is>
          <t>Combatant Ships</t>
        </is>
      </c>
      <c r="M611" s="7" t="inlineStr">
        <is>
          <t>Aircraft Carriers</t>
        </is>
      </c>
      <c r="N611" s="7" t="inlineStr">
        <is>
          <t>CVN</t>
        </is>
      </c>
      <c r="O611" s="15" t="n"/>
      <c r="S611" s="16" t="n">
        <v>40499</v>
      </c>
      <c r="U611" s="16" t="n">
        <v>40499</v>
      </c>
      <c r="AC611" s="23">
        <f>IF(OR(E611="",E611="[PARENT]"),"ADD",IF(E611="[ALT_VIEW]","ALT",""))</f>
        <v/>
      </c>
      <c r="AD611" s="21">
        <f>IF(Y611&lt;&gt;"",Y611,IF(U611&lt;&gt;"",U611,S611))</f>
        <v/>
      </c>
      <c r="AE611" s="21">
        <f>IF(AB611&lt;&gt;"",AB611,Z611)</f>
        <v/>
      </c>
      <c r="AF611" s="13" t="inlineStr">
        <is>
          <t>P-8a &gt; CVN-81 &gt; Electronics &gt; SHIP SELF DEFENSE SYSTEM (SSDS) 1</t>
        </is>
      </c>
      <c r="AG611" s="7" t="inlineStr">
        <is>
          <t>121</t>
        </is>
      </c>
      <c r="AH611" s="7" t="inlineStr">
        <is>
          <t>2004</t>
        </is>
      </c>
      <c r="AJ611" s="7" t="inlineStr">
        <is>
          <t>SHIP SELF DEFENSE SYSTEM (SSDS)</t>
        </is>
      </c>
    </row>
    <row r="612" ht="10" customHeight="1">
      <c r="A612" s="7" t="inlineStr">
        <is>
          <t>SCN</t>
        </is>
      </c>
      <c r="B612" s="7" t="inlineStr">
        <is>
          <t>Procurement</t>
        </is>
      </c>
      <c r="D612" s="7" t="inlineStr">
        <is>
          <t>CVN-81 - P-8a Electronics - AN/SYY-1(V)1 AIR TRAFFIC CONTROL SYSTEM, SHIPBOARD 1</t>
        </is>
      </c>
      <c r="E612" s="13" t="inlineStr">
        <is>
          <t>[ALT_VIEW]</t>
        </is>
      </c>
      <c r="F612" s="7" t="inlineStr">
        <is>
          <t>2004 / CVN-81</t>
        </is>
      </c>
      <c r="G612" s="7" t="inlineStr">
        <is>
          <t>P-8a</t>
        </is>
      </c>
      <c r="H612" s="7" t="inlineStr">
        <is>
          <t>Electronics</t>
        </is>
      </c>
      <c r="I612" s="14" t="n">
        <v>1</v>
      </c>
      <c r="J612" s="7" t="inlineStr">
        <is>
          <t>Full ship DD&amp;C</t>
        </is>
      </c>
      <c r="K612" s="13" t="inlineStr">
        <is>
          <t>USN</t>
        </is>
      </c>
      <c r="L612" s="7" t="inlineStr">
        <is>
          <t>Combatant Ships</t>
        </is>
      </c>
      <c r="M612" s="7" t="inlineStr">
        <is>
          <t>Aircraft Carriers</t>
        </is>
      </c>
      <c r="N612" s="7" t="inlineStr">
        <is>
          <t>CVN</t>
        </is>
      </c>
      <c r="O612" s="15" t="n"/>
      <c r="S612" s="16" t="n">
        <v>5521</v>
      </c>
      <c r="U612" s="16" t="n">
        <v>5521</v>
      </c>
      <c r="AC612" s="23">
        <f>IF(OR(E612="",E612="[PARENT]"),"ADD",IF(E612="[ALT_VIEW]","ALT",""))</f>
        <v/>
      </c>
      <c r="AD612" s="21">
        <f>IF(Y612&lt;&gt;"",Y612,IF(U612&lt;&gt;"",U612,S612))</f>
        <v/>
      </c>
      <c r="AE612" s="21">
        <f>IF(AB612&lt;&gt;"",AB612,Z612)</f>
        <v/>
      </c>
      <c r="AF612" s="13" t="inlineStr">
        <is>
          <t>P-8a &gt; CVN-81 &gt; Electronics &gt; AN/SYY-1(V)1 AIR TRAFFIC CONTROL SYSTEM, SHIPBOARD 1</t>
        </is>
      </c>
      <c r="AG612" s="7" t="inlineStr">
        <is>
          <t>121</t>
        </is>
      </c>
      <c r="AH612" s="7" t="inlineStr">
        <is>
          <t>2004</t>
        </is>
      </c>
      <c r="AJ612" s="7" t="inlineStr">
        <is>
          <t>AN/SYY-1(V)1 AIR TRAFFIC CONTROL SYSTEM, SHIPBOARD</t>
        </is>
      </c>
    </row>
    <row r="613" ht="10" customHeight="1">
      <c r="A613" s="7" t="inlineStr">
        <is>
          <t>SCN</t>
        </is>
      </c>
      <c r="B613" s="7" t="inlineStr">
        <is>
          <t>Procurement</t>
        </is>
      </c>
      <c r="D613" s="7" t="inlineStr">
        <is>
          <t>CVN-81 - P-8a Electronics - NAVY MULTI-BAND TERMINAL (NMT) 1</t>
        </is>
      </c>
      <c r="E613" s="13" t="inlineStr">
        <is>
          <t>[ALT_VIEW]</t>
        </is>
      </c>
      <c r="F613" s="7" t="inlineStr">
        <is>
          <t>2004 / CVN-81</t>
        </is>
      </c>
      <c r="G613" s="7" t="inlineStr">
        <is>
          <t>P-8a</t>
        </is>
      </c>
      <c r="H613" s="7" t="inlineStr">
        <is>
          <t>Electronics</t>
        </is>
      </c>
      <c r="I613" s="14" t="n">
        <v>1</v>
      </c>
      <c r="J613" s="7" t="inlineStr">
        <is>
          <t>Full ship DD&amp;C</t>
        </is>
      </c>
      <c r="K613" s="13" t="inlineStr">
        <is>
          <t>USN</t>
        </is>
      </c>
      <c r="L613" s="7" t="inlineStr">
        <is>
          <t>Combatant Ships</t>
        </is>
      </c>
      <c r="M613" s="7" t="inlineStr">
        <is>
          <t>Aircraft Carriers</t>
        </is>
      </c>
      <c r="N613" s="7" t="inlineStr">
        <is>
          <t>CVN</t>
        </is>
      </c>
      <c r="O613" s="15" t="n"/>
      <c r="S613" s="16" t="n">
        <v>31556</v>
      </c>
      <c r="U613" s="16" t="n">
        <v>31556</v>
      </c>
      <c r="AC613" s="23">
        <f>IF(OR(E613="",E613="[PARENT]"),"ADD",IF(E613="[ALT_VIEW]","ALT",""))</f>
        <v/>
      </c>
      <c r="AD613" s="21">
        <f>IF(Y613&lt;&gt;"",Y613,IF(U613&lt;&gt;"",U613,S613))</f>
        <v/>
      </c>
      <c r="AE613" s="21">
        <f>IF(AB613&lt;&gt;"",AB613,Z613)</f>
        <v/>
      </c>
      <c r="AF613" s="13" t="inlineStr">
        <is>
          <t>P-8a &gt; CVN-81 &gt; Electronics &gt; NAVY MULTI-BAND TERMINAL (NMT) 1</t>
        </is>
      </c>
      <c r="AG613" s="7" t="inlineStr">
        <is>
          <t>121</t>
        </is>
      </c>
      <c r="AH613" s="7" t="inlineStr">
        <is>
          <t>2004</t>
        </is>
      </c>
      <c r="AJ613" s="7" t="inlineStr">
        <is>
          <t>NAVY MULTI-BAND TERMINAL (NMT)</t>
        </is>
      </c>
    </row>
    <row r="614" ht="10" customHeight="1">
      <c r="A614" s="7" t="inlineStr">
        <is>
          <t>SCN</t>
        </is>
      </c>
      <c r="B614" s="7" t="inlineStr">
        <is>
          <t>Procurement</t>
        </is>
      </c>
      <c r="D614" s="7" t="inlineStr">
        <is>
          <t>CVN-81 - P-8a Electronics - AN/SLQ-32(V)7, SURFACE ELECTRONIC WARFARE IMPROVEMENT PROGRAM (SEWIP) BLOCK 3 1</t>
        </is>
      </c>
      <c r="E614" s="13" t="inlineStr">
        <is>
          <t>[ALT_VIEW]</t>
        </is>
      </c>
      <c r="F614" s="7" t="inlineStr">
        <is>
          <t>2004 / CVN-81</t>
        </is>
      </c>
      <c r="G614" s="7" t="inlineStr">
        <is>
          <t>P-8a</t>
        </is>
      </c>
      <c r="H614" s="7" t="inlineStr">
        <is>
          <t>Electronics</t>
        </is>
      </c>
      <c r="I614" s="14" t="n">
        <v>1</v>
      </c>
      <c r="J614" s="7" t="inlineStr">
        <is>
          <t>Full ship DD&amp;C</t>
        </is>
      </c>
      <c r="K614" s="13" t="inlineStr">
        <is>
          <t>USN</t>
        </is>
      </c>
      <c r="L614" s="7" t="inlineStr">
        <is>
          <t>Combatant Ships</t>
        </is>
      </c>
      <c r="M614" s="7" t="inlineStr">
        <is>
          <t>Aircraft Carriers</t>
        </is>
      </c>
      <c r="N614" s="7" t="inlineStr">
        <is>
          <t>CVN</t>
        </is>
      </c>
      <c r="O614" s="15" t="n"/>
      <c r="S614" s="16" t="n">
        <v>163100</v>
      </c>
      <c r="U614" s="16" t="n">
        <v>163100</v>
      </c>
      <c r="AC614" s="23">
        <f>IF(OR(E614="",E614="[PARENT]"),"ADD",IF(E614="[ALT_VIEW]","ALT",""))</f>
        <v/>
      </c>
      <c r="AD614" s="21">
        <f>IF(Y614&lt;&gt;"",Y614,IF(U614&lt;&gt;"",U614,S614))</f>
        <v/>
      </c>
      <c r="AE614" s="21">
        <f>IF(AB614&lt;&gt;"",AB614,Z614)</f>
        <v/>
      </c>
      <c r="AF614" s="13" t="inlineStr">
        <is>
          <t>P-8a &gt; CVN-81 &gt; Electronics &gt; AN/SLQ-32(V)7, SURFACE ELECTRONIC WARFARE IMPROVEMENT PROGRAM (SEWIP) BLOCK 3 1</t>
        </is>
      </c>
      <c r="AG614" s="7" t="inlineStr">
        <is>
          <t>121</t>
        </is>
      </c>
      <c r="AH614" s="7" t="inlineStr">
        <is>
          <t>2004</t>
        </is>
      </c>
      <c r="AJ614" s="7" t="inlineStr">
        <is>
          <t>AN/SLQ-32(V)7, SURFACE ELECTRONIC WARFARE IMPROVEMENT PROGRAM (SEWIP) BLOCK 3</t>
        </is>
      </c>
    </row>
    <row r="615" ht="10" customHeight="1">
      <c r="A615" s="7" t="inlineStr">
        <is>
          <t>SCN</t>
        </is>
      </c>
      <c r="B615" s="7" t="inlineStr">
        <is>
          <t>Procurement</t>
        </is>
      </c>
      <c r="D615" s="7" t="inlineStr">
        <is>
          <t>CVN-81 - P-8a Electronics - SPECTRAL 1</t>
        </is>
      </c>
      <c r="E615" s="13" t="inlineStr">
        <is>
          <t>[ALT_VIEW]</t>
        </is>
      </c>
      <c r="F615" s="7" t="inlineStr">
        <is>
          <t>2004 / CVN-81</t>
        </is>
      </c>
      <c r="G615" s="7" t="inlineStr">
        <is>
          <t>P-8a</t>
        </is>
      </c>
      <c r="H615" s="7" t="inlineStr">
        <is>
          <t>Electronics</t>
        </is>
      </c>
      <c r="I615" s="14" t="n">
        <v>1</v>
      </c>
      <c r="J615" s="7" t="inlineStr">
        <is>
          <t>Full ship DD&amp;C</t>
        </is>
      </c>
      <c r="K615" s="13" t="inlineStr">
        <is>
          <t>USN</t>
        </is>
      </c>
      <c r="L615" s="7" t="inlineStr">
        <is>
          <t>Combatant Ships</t>
        </is>
      </c>
      <c r="M615" s="7" t="inlineStr">
        <is>
          <t>Aircraft Carriers</t>
        </is>
      </c>
      <c r="N615" s="7" t="inlineStr">
        <is>
          <t>CVN</t>
        </is>
      </c>
      <c r="O615" s="15" t="n"/>
      <c r="S615" s="16" t="n">
        <v>19101</v>
      </c>
      <c r="U615" s="16" t="n">
        <v>19101</v>
      </c>
      <c r="AC615" s="23">
        <f>IF(OR(E615="",E615="[PARENT]"),"ADD",IF(E615="[ALT_VIEW]","ALT",""))</f>
        <v/>
      </c>
      <c r="AD615" s="21">
        <f>IF(Y615&lt;&gt;"",Y615,IF(U615&lt;&gt;"",U615,S615))</f>
        <v/>
      </c>
      <c r="AE615" s="21">
        <f>IF(AB615&lt;&gt;"",AB615,Z615)</f>
        <v/>
      </c>
      <c r="AF615" s="13" t="inlineStr">
        <is>
          <t>P-8a &gt; CVN-81 &gt; Electronics &gt; SPECTRAL 1</t>
        </is>
      </c>
      <c r="AG615" s="7" t="inlineStr">
        <is>
          <t>121</t>
        </is>
      </c>
      <c r="AH615" s="7" t="inlineStr">
        <is>
          <t>2004</t>
        </is>
      </c>
      <c r="AJ615" s="7" t="inlineStr">
        <is>
          <t>SPECTRAL</t>
        </is>
      </c>
    </row>
    <row r="616" ht="10" customHeight="1">
      <c r="A616" s="7" t="inlineStr">
        <is>
          <t>SCN</t>
        </is>
      </c>
      <c r="B616" s="7" t="inlineStr">
        <is>
          <t>Procurement</t>
        </is>
      </c>
      <c r="D616" s="7" t="inlineStr">
        <is>
          <t>CVN-81 - P-8a Electronics - AN/SRC-66(V)3 HFDAG 1</t>
        </is>
      </c>
      <c r="E616" s="13" t="inlineStr">
        <is>
          <t>[ALT_VIEW]</t>
        </is>
      </c>
      <c r="F616" s="7" t="inlineStr">
        <is>
          <t>2004 / CVN-81</t>
        </is>
      </c>
      <c r="G616" s="7" t="inlineStr">
        <is>
          <t>P-8a</t>
        </is>
      </c>
      <c r="H616" s="7" t="inlineStr">
        <is>
          <t>Electronics</t>
        </is>
      </c>
      <c r="I616" s="14" t="n">
        <v>1</v>
      </c>
      <c r="J616" s="7" t="inlineStr">
        <is>
          <t>Full ship DD&amp;C</t>
        </is>
      </c>
      <c r="K616" s="13" t="inlineStr">
        <is>
          <t>USN</t>
        </is>
      </c>
      <c r="L616" s="7" t="inlineStr">
        <is>
          <t>Combatant Ships</t>
        </is>
      </c>
      <c r="M616" s="7" t="inlineStr">
        <is>
          <t>Aircraft Carriers</t>
        </is>
      </c>
      <c r="N616" s="7" t="inlineStr">
        <is>
          <t>CVN</t>
        </is>
      </c>
      <c r="O616" s="15" t="n"/>
      <c r="S616" s="16" t="n">
        <v>7067</v>
      </c>
      <c r="U616" s="16" t="n">
        <v>7067</v>
      </c>
      <c r="AC616" s="23">
        <f>IF(OR(E616="",E616="[PARENT]"),"ADD",IF(E616="[ALT_VIEW]","ALT",""))</f>
        <v/>
      </c>
      <c r="AD616" s="21">
        <f>IF(Y616&lt;&gt;"",Y616,IF(U616&lt;&gt;"",U616,S616))</f>
        <v/>
      </c>
      <c r="AE616" s="21">
        <f>IF(AB616&lt;&gt;"",AB616,Z616)</f>
        <v/>
      </c>
      <c r="AF616" s="13" t="inlineStr">
        <is>
          <t>P-8a &gt; CVN-81 &gt; Electronics &gt; AN/SRC-66(V)3 HFDAG 1</t>
        </is>
      </c>
      <c r="AG616" s="7" t="inlineStr">
        <is>
          <t>121</t>
        </is>
      </c>
      <c r="AH616" s="7" t="inlineStr">
        <is>
          <t>2004</t>
        </is>
      </c>
      <c r="AJ616" s="7" t="inlineStr">
        <is>
          <t>AN/SRC-66(V)3 HFDAG</t>
        </is>
      </c>
    </row>
    <row r="617" ht="10" customHeight="1">
      <c r="A617" s="7" t="inlineStr">
        <is>
          <t>SCN</t>
        </is>
      </c>
      <c r="B617" s="7" t="inlineStr">
        <is>
          <t>Procurement</t>
        </is>
      </c>
      <c r="D617" s="7" t="inlineStr">
        <is>
          <t>CVN-81 - P-8a Electronics - AN/USN-3(V)1 SATELLITE SIGNAL LANDING SYSTEM (SSLS) 1</t>
        </is>
      </c>
      <c r="E617" s="13" t="inlineStr">
        <is>
          <t>[ALT_VIEW]</t>
        </is>
      </c>
      <c r="F617" s="7" t="inlineStr">
        <is>
          <t>2004 / CVN-81</t>
        </is>
      </c>
      <c r="G617" s="7" t="inlineStr">
        <is>
          <t>P-8a</t>
        </is>
      </c>
      <c r="H617" s="7" t="inlineStr">
        <is>
          <t>Electronics</t>
        </is>
      </c>
      <c r="I617" s="14" t="n">
        <v>1</v>
      </c>
      <c r="J617" s="7" t="inlineStr">
        <is>
          <t>Full ship DD&amp;C</t>
        </is>
      </c>
      <c r="K617" s="13" t="inlineStr">
        <is>
          <t>USN</t>
        </is>
      </c>
      <c r="L617" s="7" t="inlineStr">
        <is>
          <t>Combatant Ships</t>
        </is>
      </c>
      <c r="M617" s="7" t="inlineStr">
        <is>
          <t>Aircraft Carriers</t>
        </is>
      </c>
      <c r="N617" s="7" t="inlineStr">
        <is>
          <t>CVN</t>
        </is>
      </c>
      <c r="O617" s="15" t="n"/>
      <c r="S617" s="16" t="n">
        <v>13482</v>
      </c>
      <c r="U617" s="16" t="n">
        <v>13482</v>
      </c>
      <c r="AC617" s="23">
        <f>IF(OR(E617="",E617="[PARENT]"),"ADD",IF(E617="[ALT_VIEW]","ALT",""))</f>
        <v/>
      </c>
      <c r="AD617" s="21">
        <f>IF(Y617&lt;&gt;"",Y617,IF(U617&lt;&gt;"",U617,S617))</f>
        <v/>
      </c>
      <c r="AE617" s="21">
        <f>IF(AB617&lt;&gt;"",AB617,Z617)</f>
        <v/>
      </c>
      <c r="AF617" s="13" t="inlineStr">
        <is>
          <t>P-8a &gt; CVN-81 &gt; Electronics &gt; AN/USN-3(V)1 SATELLITE SIGNAL LANDING SYSTEM (SSLS) 1</t>
        </is>
      </c>
      <c r="AG617" s="7" t="inlineStr">
        <is>
          <t>121</t>
        </is>
      </c>
      <c r="AH617" s="7" t="inlineStr">
        <is>
          <t>2004</t>
        </is>
      </c>
      <c r="AJ617" s="7" t="inlineStr">
        <is>
          <t>AN/USN-3(V)1 SATELLITE SIGNAL LANDING SYSTEM (SSLS)</t>
        </is>
      </c>
    </row>
    <row r="618" ht="10" customHeight="1">
      <c r="A618" s="7" t="inlineStr">
        <is>
          <t>SCN</t>
        </is>
      </c>
      <c r="B618" s="7" t="inlineStr">
        <is>
          <t>Procurement</t>
        </is>
      </c>
      <c r="D618" s="7" t="inlineStr">
        <is>
          <t>CVN-81 - P-8a Electronics - OA-9277 ULTRA HIGH FREQUENCY (UHF) MULTICOUPLER 1</t>
        </is>
      </c>
      <c r="E618" s="13" t="inlineStr">
        <is>
          <t>[ALT_VIEW]</t>
        </is>
      </c>
      <c r="F618" s="7" t="inlineStr">
        <is>
          <t>2004 / CVN-81</t>
        </is>
      </c>
      <c r="G618" s="7" t="inlineStr">
        <is>
          <t>P-8a</t>
        </is>
      </c>
      <c r="H618" s="7" t="inlineStr">
        <is>
          <t>Electronics</t>
        </is>
      </c>
      <c r="I618" s="14" t="n">
        <v>1</v>
      </c>
      <c r="J618" s="7" t="inlineStr">
        <is>
          <t>Full ship DD&amp;C</t>
        </is>
      </c>
      <c r="K618" s="13" t="inlineStr">
        <is>
          <t>USN</t>
        </is>
      </c>
      <c r="L618" s="7" t="inlineStr">
        <is>
          <t>Combatant Ships</t>
        </is>
      </c>
      <c r="M618" s="7" t="inlineStr">
        <is>
          <t>Aircraft Carriers</t>
        </is>
      </c>
      <c r="N618" s="7" t="inlineStr">
        <is>
          <t>CVN</t>
        </is>
      </c>
      <c r="O618" s="15" t="n"/>
      <c r="S618" s="16" t="n">
        <v>8232</v>
      </c>
      <c r="U618" s="16" t="n">
        <v>8232</v>
      </c>
      <c r="AC618" s="23">
        <f>IF(OR(E618="",E618="[PARENT]"),"ADD",IF(E618="[ALT_VIEW]","ALT",""))</f>
        <v/>
      </c>
      <c r="AD618" s="21">
        <f>IF(Y618&lt;&gt;"",Y618,IF(U618&lt;&gt;"",U618,S618))</f>
        <v/>
      </c>
      <c r="AE618" s="21">
        <f>IF(AB618&lt;&gt;"",AB618,Z618)</f>
        <v/>
      </c>
      <c r="AF618" s="13" t="inlineStr">
        <is>
          <t>P-8a &gt; CVN-81 &gt; Electronics &gt; OA-9277 ULTRA HIGH FREQUENCY (UHF) MULTICOUPLER 1</t>
        </is>
      </c>
      <c r="AG618" s="7" t="inlineStr">
        <is>
          <t>121</t>
        </is>
      </c>
      <c r="AH618" s="7" t="inlineStr">
        <is>
          <t>2004</t>
        </is>
      </c>
      <c r="AJ618" s="7" t="inlineStr">
        <is>
          <t>OA-9277 ULTRA HIGH FREQUENCY (UHF) MULTICOUPLER</t>
        </is>
      </c>
    </row>
    <row r="619" ht="10" customHeight="1">
      <c r="A619" s="7" t="inlineStr">
        <is>
          <t>SCN</t>
        </is>
      </c>
      <c r="B619" s="7" t="inlineStr">
        <is>
          <t>Procurement</t>
        </is>
      </c>
      <c r="D619" s="7" t="inlineStr">
        <is>
          <t>CVN-81 - P-8a Electronics - AN/WSN-12(V)1, RING LASER GYRO NAVIGATOR (RLGN) 1</t>
        </is>
      </c>
      <c r="E619" s="13" t="inlineStr">
        <is>
          <t>[ALT_VIEW]</t>
        </is>
      </c>
      <c r="F619" s="7" t="inlineStr">
        <is>
          <t>2004 / CVN-81</t>
        </is>
      </c>
      <c r="G619" s="7" t="inlineStr">
        <is>
          <t>P-8a</t>
        </is>
      </c>
      <c r="H619" s="7" t="inlineStr">
        <is>
          <t>Electronics</t>
        </is>
      </c>
      <c r="I619" s="14" t="n">
        <v>1</v>
      </c>
      <c r="J619" s="7" t="inlineStr">
        <is>
          <t>Full ship DD&amp;C</t>
        </is>
      </c>
      <c r="K619" s="13" t="inlineStr">
        <is>
          <t>USN</t>
        </is>
      </c>
      <c r="L619" s="7" t="inlineStr">
        <is>
          <t>Combatant Ships</t>
        </is>
      </c>
      <c r="M619" s="7" t="inlineStr">
        <is>
          <t>Aircraft Carriers</t>
        </is>
      </c>
      <c r="N619" s="7" t="inlineStr">
        <is>
          <t>CVN</t>
        </is>
      </c>
      <c r="O619" s="15" t="n"/>
      <c r="S619" s="16" t="n">
        <v>8076</v>
      </c>
      <c r="U619" s="16" t="n">
        <v>8076</v>
      </c>
      <c r="AC619" s="23">
        <f>IF(OR(E619="",E619="[PARENT]"),"ADD",IF(E619="[ALT_VIEW]","ALT",""))</f>
        <v/>
      </c>
      <c r="AD619" s="21">
        <f>IF(Y619&lt;&gt;"",Y619,IF(U619&lt;&gt;"",U619,S619))</f>
        <v/>
      </c>
      <c r="AE619" s="21">
        <f>IF(AB619&lt;&gt;"",AB619,Z619)</f>
        <v/>
      </c>
      <c r="AF619" s="13" t="inlineStr">
        <is>
          <t>P-8a &gt; CVN-81 &gt; Electronics &gt; AN/WSN-12(V)1, RING LASER GYRO NAVIGATOR (RLGN) 1</t>
        </is>
      </c>
      <c r="AG619" s="7" t="inlineStr">
        <is>
          <t>121</t>
        </is>
      </c>
      <c r="AH619" s="7" t="inlineStr">
        <is>
          <t>2004</t>
        </is>
      </c>
      <c r="AJ619" s="7" t="inlineStr">
        <is>
          <t>AN/WSN-12(V)1, RING LASER GYRO NAVIGATOR (RLGN)</t>
        </is>
      </c>
    </row>
    <row r="620" ht="10" customHeight="1">
      <c r="A620" s="7" t="inlineStr">
        <is>
          <t>SCN</t>
        </is>
      </c>
      <c r="B620" s="7" t="inlineStr">
        <is>
          <t>Procurement</t>
        </is>
      </c>
      <c r="D620" s="7" t="inlineStr">
        <is>
          <t>CVN-81 - P-8a Electronics - AN/USQ-214(V)1, NETWORK TACTICAL COMMON DATA LINK (NTCDL) SYSTEM 1</t>
        </is>
      </c>
      <c r="E620" s="13" t="inlineStr">
        <is>
          <t>[ALT_VIEW]</t>
        </is>
      </c>
      <c r="F620" s="7" t="inlineStr">
        <is>
          <t>2004 / CVN-81</t>
        </is>
      </c>
      <c r="G620" s="7" t="inlineStr">
        <is>
          <t>P-8a</t>
        </is>
      </c>
      <c r="H620" s="7" t="inlineStr">
        <is>
          <t>Electronics</t>
        </is>
      </c>
      <c r="I620" s="14" t="n">
        <v>1</v>
      </c>
      <c r="J620" s="7" t="inlineStr">
        <is>
          <t>Full ship DD&amp;C</t>
        </is>
      </c>
      <c r="K620" s="13" t="inlineStr">
        <is>
          <t>USN</t>
        </is>
      </c>
      <c r="L620" s="7" t="inlineStr">
        <is>
          <t>Combatant Ships</t>
        </is>
      </c>
      <c r="M620" s="7" t="inlineStr">
        <is>
          <t>Aircraft Carriers</t>
        </is>
      </c>
      <c r="N620" s="7" t="inlineStr">
        <is>
          <t>CVN</t>
        </is>
      </c>
      <c r="O620" s="15" t="n"/>
      <c r="S620" s="16" t="n">
        <v>8426</v>
      </c>
      <c r="U620" s="16" t="n">
        <v>8426</v>
      </c>
      <c r="AC620" s="23">
        <f>IF(OR(E620="",E620="[PARENT]"),"ADD",IF(E620="[ALT_VIEW]","ALT",""))</f>
        <v/>
      </c>
      <c r="AD620" s="21">
        <f>IF(Y620&lt;&gt;"",Y620,IF(U620&lt;&gt;"",U620,S620))</f>
        <v/>
      </c>
      <c r="AE620" s="21">
        <f>IF(AB620&lt;&gt;"",AB620,Z620)</f>
        <v/>
      </c>
      <c r="AF620" s="13" t="inlineStr">
        <is>
          <t>P-8a &gt; CVN-81 &gt; Electronics &gt; AN/USQ-214(V)1, NETWORK TACTICAL COMMON DATA LINK (NTCDL) SYSTEM 1</t>
        </is>
      </c>
      <c r="AG620" s="7" t="inlineStr">
        <is>
          <t>121</t>
        </is>
      </c>
      <c r="AH620" s="7" t="inlineStr">
        <is>
          <t>2004</t>
        </is>
      </c>
      <c r="AJ620" s="7" t="inlineStr">
        <is>
          <t>AN/USQ-214(V)1, NETWORK TACTICAL COMMON DATA LINK (NTCDL) SYSTEM</t>
        </is>
      </c>
    </row>
    <row r="621" ht="10" customHeight="1">
      <c r="A621" s="7" t="inlineStr">
        <is>
          <t>SCN</t>
        </is>
      </c>
      <c r="B621" s="7" t="inlineStr">
        <is>
          <t>Procurement</t>
        </is>
      </c>
      <c r="D621" s="7" t="inlineStr">
        <is>
          <t>CVN-81 - P-8a Electronics - MK 53 MOD 15 DECOY LAUNCHING SYSTEM (DLS) 1</t>
        </is>
      </c>
      <c r="E621" s="13" t="inlineStr">
        <is>
          <t>[ALT_VIEW]</t>
        </is>
      </c>
      <c r="F621" s="7" t="inlineStr">
        <is>
          <t>2004 / CVN-81</t>
        </is>
      </c>
      <c r="G621" s="7" t="inlineStr">
        <is>
          <t>P-8a</t>
        </is>
      </c>
      <c r="H621" s="7" t="inlineStr">
        <is>
          <t>Electronics</t>
        </is>
      </c>
      <c r="I621" s="14" t="n">
        <v>1</v>
      </c>
      <c r="J621" s="7" t="inlineStr">
        <is>
          <t>Full ship DD&amp;C</t>
        </is>
      </c>
      <c r="K621" s="13" t="inlineStr">
        <is>
          <t>USN</t>
        </is>
      </c>
      <c r="L621" s="7" t="inlineStr">
        <is>
          <t>Combatant Ships</t>
        </is>
      </c>
      <c r="M621" s="7" t="inlineStr">
        <is>
          <t>Aircraft Carriers</t>
        </is>
      </c>
      <c r="N621" s="7" t="inlineStr">
        <is>
          <t>CVN</t>
        </is>
      </c>
      <c r="O621" s="15" t="n"/>
      <c r="S621" s="16" t="n">
        <v>20000</v>
      </c>
      <c r="U621" s="16" t="n">
        <v>20000</v>
      </c>
      <c r="AC621" s="23">
        <f>IF(OR(E621="",E621="[PARENT]"),"ADD",IF(E621="[ALT_VIEW]","ALT",""))</f>
        <v/>
      </c>
      <c r="AD621" s="21">
        <f>IF(Y621&lt;&gt;"",Y621,IF(U621&lt;&gt;"",U621,S621))</f>
        <v/>
      </c>
      <c r="AE621" s="21">
        <f>IF(AB621&lt;&gt;"",AB621,Z621)</f>
        <v/>
      </c>
      <c r="AF621" s="13" t="inlineStr">
        <is>
          <t>P-8a &gt; CVN-81 &gt; Electronics &gt; MK 53 MOD 15 DECOY LAUNCHING SYSTEM (DLS) 1</t>
        </is>
      </c>
      <c r="AG621" s="7" t="inlineStr">
        <is>
          <t>121</t>
        </is>
      </c>
      <c r="AH621" s="7" t="inlineStr">
        <is>
          <t>2004</t>
        </is>
      </c>
      <c r="AJ621" s="7" t="inlineStr">
        <is>
          <t>MK 53 MOD 15 DECOY LAUNCHING SYSTEM (DLS)</t>
        </is>
      </c>
    </row>
    <row r="622" ht="10" customHeight="1">
      <c r="A622" s="7" t="inlineStr">
        <is>
          <t>SCN</t>
        </is>
      </c>
      <c r="B622" s="7" t="inlineStr">
        <is>
          <t>Procurement</t>
        </is>
      </c>
      <c r="D622" s="7" t="inlineStr">
        <is>
          <t>CVN-81 - P-8a Electronics - I-STALKER 1</t>
        </is>
      </c>
      <c r="E622" s="13" t="inlineStr">
        <is>
          <t>[ALT_VIEW]</t>
        </is>
      </c>
      <c r="F622" s="7" t="inlineStr">
        <is>
          <t>2004 / CVN-81</t>
        </is>
      </c>
      <c r="G622" s="7" t="inlineStr">
        <is>
          <t>P-8a</t>
        </is>
      </c>
      <c r="H622" s="7" t="inlineStr">
        <is>
          <t>Electronics</t>
        </is>
      </c>
      <c r="I622" s="14" t="n">
        <v>1</v>
      </c>
      <c r="J622" s="7" t="inlineStr">
        <is>
          <t>Full ship DD&amp;C</t>
        </is>
      </c>
      <c r="K622" s="13" t="inlineStr">
        <is>
          <t>USN</t>
        </is>
      </c>
      <c r="L622" s="7" t="inlineStr">
        <is>
          <t>Combatant Ships</t>
        </is>
      </c>
      <c r="M622" s="7" t="inlineStr">
        <is>
          <t>Aircraft Carriers</t>
        </is>
      </c>
      <c r="N622" s="7" t="inlineStr">
        <is>
          <t>CVN</t>
        </is>
      </c>
      <c r="O622" s="15" t="n"/>
      <c r="S622" s="16" t="n">
        <v>7500</v>
      </c>
      <c r="U622" s="16" t="n">
        <v>7500</v>
      </c>
      <c r="AC622" s="23">
        <f>IF(OR(E622="",E622="[PARENT]"),"ADD",IF(E622="[ALT_VIEW]","ALT",""))</f>
        <v/>
      </c>
      <c r="AD622" s="21">
        <f>IF(Y622&lt;&gt;"",Y622,IF(U622&lt;&gt;"",U622,S622))</f>
        <v/>
      </c>
      <c r="AE622" s="21">
        <f>IF(AB622&lt;&gt;"",AB622,Z622)</f>
        <v/>
      </c>
      <c r="AF622" s="13" t="inlineStr">
        <is>
          <t>P-8a &gt; CVN-81 &gt; Electronics &gt; I-STALKER 1</t>
        </is>
      </c>
      <c r="AG622" s="7" t="inlineStr">
        <is>
          <t>121</t>
        </is>
      </c>
      <c r="AH622" s="7" t="inlineStr">
        <is>
          <t>2004</t>
        </is>
      </c>
      <c r="AJ622" s="7" t="inlineStr">
        <is>
          <t>I-STALKER</t>
        </is>
      </c>
    </row>
    <row r="623" ht="10" customHeight="1">
      <c r="A623" s="7" t="inlineStr">
        <is>
          <t>SCN</t>
        </is>
      </c>
      <c r="B623" s="7" t="inlineStr">
        <is>
          <t>Procurement</t>
        </is>
      </c>
      <c r="D623" s="7" t="inlineStr">
        <is>
          <t>CVN-81 - P-8a Electronics - AN/USQ-155(V)1 TACTICAL VARIANT SWITCH 1</t>
        </is>
      </c>
      <c r="E623" s="13" t="inlineStr">
        <is>
          <t>[ALT_VIEW]</t>
        </is>
      </c>
      <c r="F623" s="7" t="inlineStr">
        <is>
          <t>2004 / CVN-81</t>
        </is>
      </c>
      <c r="G623" s="7" t="inlineStr">
        <is>
          <t>P-8a</t>
        </is>
      </c>
      <c r="H623" s="7" t="inlineStr">
        <is>
          <t>Electronics</t>
        </is>
      </c>
      <c r="I623" s="14" t="n">
        <v>1</v>
      </c>
      <c r="J623" s="7" t="inlineStr">
        <is>
          <t>Full ship DD&amp;C</t>
        </is>
      </c>
      <c r="K623" s="13" t="inlineStr">
        <is>
          <t>USN</t>
        </is>
      </c>
      <c r="L623" s="7" t="inlineStr">
        <is>
          <t>Combatant Ships</t>
        </is>
      </c>
      <c r="M623" s="7" t="inlineStr">
        <is>
          <t>Aircraft Carriers</t>
        </is>
      </c>
      <c r="N623" s="7" t="inlineStr">
        <is>
          <t>CVN</t>
        </is>
      </c>
      <c r="O623" s="15" t="n"/>
      <c r="S623" s="16" t="n">
        <v>3597</v>
      </c>
      <c r="U623" s="16" t="n">
        <v>3597</v>
      </c>
      <c r="AC623" s="23">
        <f>IF(OR(E623="",E623="[PARENT]"),"ADD",IF(E623="[ALT_VIEW]","ALT",""))</f>
        <v/>
      </c>
      <c r="AD623" s="21">
        <f>IF(Y623&lt;&gt;"",Y623,IF(U623&lt;&gt;"",U623,S623))</f>
        <v/>
      </c>
      <c r="AE623" s="21">
        <f>IF(AB623&lt;&gt;"",AB623,Z623)</f>
        <v/>
      </c>
      <c r="AF623" s="13" t="inlineStr">
        <is>
          <t>P-8a &gt; CVN-81 &gt; Electronics &gt; AN/USQ-155(V)1 TACTICAL VARIANT SWITCH 1</t>
        </is>
      </c>
      <c r="AG623" s="7" t="inlineStr">
        <is>
          <t>121</t>
        </is>
      </c>
      <c r="AH623" s="7" t="inlineStr">
        <is>
          <t>2004</t>
        </is>
      </c>
      <c r="AJ623" s="7" t="inlineStr">
        <is>
          <t>AN/USQ-155(V)1 TACTICAL VARIANT SWITCH</t>
        </is>
      </c>
    </row>
    <row r="624" ht="10" customHeight="1">
      <c r="A624" s="7" t="inlineStr">
        <is>
          <t>SCN</t>
        </is>
      </c>
      <c r="B624" s="7" t="inlineStr">
        <is>
          <t>Procurement</t>
        </is>
      </c>
      <c r="D624" s="7" t="inlineStr">
        <is>
          <t>CVN-81 - P-8a Electronics - INFORMATION ASSURANCE (IA)</t>
        </is>
      </c>
      <c r="E624" s="13" t="inlineStr">
        <is>
          <t>[ALT_VIEW]</t>
        </is>
      </c>
      <c r="F624" s="7" t="inlineStr">
        <is>
          <t>2004 / CVN-81</t>
        </is>
      </c>
      <c r="G624" s="7" t="inlineStr">
        <is>
          <t>P-8a</t>
        </is>
      </c>
      <c r="H624" s="7" t="inlineStr">
        <is>
          <t>Electronics</t>
        </is>
      </c>
      <c r="I624" s="14" t="n">
        <v>1</v>
      </c>
      <c r="J624" s="7" t="inlineStr">
        <is>
          <t>Full ship DD&amp;C</t>
        </is>
      </c>
      <c r="K624" s="13" t="inlineStr">
        <is>
          <t>USN</t>
        </is>
      </c>
      <c r="L624" s="7" t="inlineStr">
        <is>
          <t>Combatant Ships</t>
        </is>
      </c>
      <c r="M624" s="7" t="inlineStr">
        <is>
          <t>Aircraft Carriers</t>
        </is>
      </c>
      <c r="N624" s="7" t="inlineStr">
        <is>
          <t>CVN</t>
        </is>
      </c>
      <c r="O624" s="15" t="n"/>
      <c r="S624" s="16" t="n">
        <v>2626</v>
      </c>
      <c r="U624" s="16" t="n">
        <v>2626</v>
      </c>
      <c r="AC624" s="23">
        <f>IF(OR(E624="",E624="[PARENT]"),"ADD",IF(E624="[ALT_VIEW]","ALT",""))</f>
        <v/>
      </c>
      <c r="AD624" s="21">
        <f>IF(Y624&lt;&gt;"",Y624,IF(U624&lt;&gt;"",U624,S624))</f>
        <v/>
      </c>
      <c r="AE624" s="21">
        <f>IF(AB624&lt;&gt;"",AB624,Z624)</f>
        <v/>
      </c>
      <c r="AF624" s="13" t="inlineStr">
        <is>
          <t>P-8a &gt; CVN-81 &gt; Electronics &gt; INFORMATION ASSURANCE (IA)</t>
        </is>
      </c>
      <c r="AG624" s="7" t="inlineStr">
        <is>
          <t>121</t>
        </is>
      </c>
      <c r="AH624" s="7" t="inlineStr">
        <is>
          <t>2004</t>
        </is>
      </c>
      <c r="AJ624" s="7" t="inlineStr">
        <is>
          <t>INFORMATION ASSURANCE (IA)</t>
        </is>
      </c>
    </row>
    <row r="625" ht="10" customHeight="1">
      <c r="A625" s="7" t="inlineStr">
        <is>
          <t>SCN</t>
        </is>
      </c>
      <c r="B625" s="7" t="inlineStr">
        <is>
          <t>Procurement</t>
        </is>
      </c>
      <c r="D625" s="7" t="inlineStr">
        <is>
          <t>CVN-81 - P-8a Electronics - AN/URC-141X, MULTI-FUNCTION INFORMATION DISTRIBUTION SYSTEM (MIDS)-ON SHIP (MOS) 1</t>
        </is>
      </c>
      <c r="E625" s="13" t="inlineStr">
        <is>
          <t>[ALT_VIEW]</t>
        </is>
      </c>
      <c r="F625" s="7" t="inlineStr">
        <is>
          <t>2004 / CVN-81</t>
        </is>
      </c>
      <c r="G625" s="7" t="inlineStr">
        <is>
          <t>P-8a</t>
        </is>
      </c>
      <c r="H625" s="7" t="inlineStr">
        <is>
          <t>Electronics</t>
        </is>
      </c>
      <c r="I625" s="14" t="n">
        <v>1</v>
      </c>
      <c r="J625" s="7" t="inlineStr">
        <is>
          <t>Full ship DD&amp;C</t>
        </is>
      </c>
      <c r="K625" s="13" t="inlineStr">
        <is>
          <t>USN</t>
        </is>
      </c>
      <c r="L625" s="7" t="inlineStr">
        <is>
          <t>Combatant Ships</t>
        </is>
      </c>
      <c r="M625" s="7" t="inlineStr">
        <is>
          <t>Aircraft Carriers</t>
        </is>
      </c>
      <c r="N625" s="7" t="inlineStr">
        <is>
          <t>CVN</t>
        </is>
      </c>
      <c r="O625" s="15" t="n"/>
      <c r="S625" s="16" t="n">
        <v>1747</v>
      </c>
      <c r="U625" s="16" t="n">
        <v>1747</v>
      </c>
      <c r="AC625" s="23">
        <f>IF(OR(E625="",E625="[PARENT]"),"ADD",IF(E625="[ALT_VIEW]","ALT",""))</f>
        <v/>
      </c>
      <c r="AD625" s="21">
        <f>IF(Y625&lt;&gt;"",Y625,IF(U625&lt;&gt;"",U625,S625))</f>
        <v/>
      </c>
      <c r="AE625" s="21">
        <f>IF(AB625&lt;&gt;"",AB625,Z625)</f>
        <v/>
      </c>
      <c r="AF625" s="13" t="inlineStr">
        <is>
          <t>P-8a &gt; CVN-81 &gt; Electronics &gt; AN/URC-141X, MULTI-FUNCTION INFORMATION DISTRIBUTION SYSTEM (MIDS)-ON SHIP (MOS) 1</t>
        </is>
      </c>
      <c r="AG625" s="7" t="inlineStr">
        <is>
          <t>121</t>
        </is>
      </c>
      <c r="AH625" s="7" t="inlineStr">
        <is>
          <t>2004</t>
        </is>
      </c>
      <c r="AJ625" s="7" t="inlineStr">
        <is>
          <t>AN/URC-141X, MULTI-FUNCTION INFORMATION DISTRIBUTION SYSTEM (MIDS)-ON SHIP (MOS)</t>
        </is>
      </c>
    </row>
    <row r="626" ht="10" customHeight="1">
      <c r="A626" s="7" t="inlineStr">
        <is>
          <t>SCN</t>
        </is>
      </c>
      <c r="B626" s="7" t="inlineStr">
        <is>
          <t>Procurement</t>
        </is>
      </c>
      <c r="D626" s="7" t="inlineStr">
        <is>
          <t>CVN-81 - P-8a Electronics - AN/SLQ-25E DUAL, SURFACE SHIP TORPEDO DEFENSE SYSTEM, NIXIE 1</t>
        </is>
      </c>
      <c r="E626" s="13" t="inlineStr">
        <is>
          <t>[ALT_VIEW]</t>
        </is>
      </c>
      <c r="F626" s="7" t="inlineStr">
        <is>
          <t>2004 / CVN-81</t>
        </is>
      </c>
      <c r="G626" s="7" t="inlineStr">
        <is>
          <t>P-8a</t>
        </is>
      </c>
      <c r="H626" s="7" t="inlineStr">
        <is>
          <t>Electronics</t>
        </is>
      </c>
      <c r="I626" s="14" t="n">
        <v>1</v>
      </c>
      <c r="J626" s="7" t="inlineStr">
        <is>
          <t>Full ship DD&amp;C</t>
        </is>
      </c>
      <c r="K626" s="13" t="inlineStr">
        <is>
          <t>USN</t>
        </is>
      </c>
      <c r="L626" s="7" t="inlineStr">
        <is>
          <t>Combatant Ships</t>
        </is>
      </c>
      <c r="M626" s="7" t="inlineStr">
        <is>
          <t>Aircraft Carriers</t>
        </is>
      </c>
      <c r="N626" s="7" t="inlineStr">
        <is>
          <t>CVN</t>
        </is>
      </c>
      <c r="O626" s="15" t="n"/>
      <c r="S626" s="16" t="n">
        <v>7779</v>
      </c>
      <c r="U626" s="16" t="n">
        <v>7779</v>
      </c>
      <c r="AC626" s="23">
        <f>IF(OR(E626="",E626="[PARENT]"),"ADD",IF(E626="[ALT_VIEW]","ALT",""))</f>
        <v/>
      </c>
      <c r="AD626" s="21">
        <f>IF(Y626&lt;&gt;"",Y626,IF(U626&lt;&gt;"",U626,S626))</f>
        <v/>
      </c>
      <c r="AE626" s="21">
        <f>IF(AB626&lt;&gt;"",AB626,Z626)</f>
        <v/>
      </c>
      <c r="AF626" s="13" t="inlineStr">
        <is>
          <t>P-8a &gt; CVN-81 &gt; Electronics &gt; AN/SLQ-25E DUAL, SURFACE SHIP TORPEDO DEFENSE SYSTEM, NIXIE 1</t>
        </is>
      </c>
      <c r="AG626" s="7" t="inlineStr">
        <is>
          <t>121</t>
        </is>
      </c>
      <c r="AH626" s="7" t="inlineStr">
        <is>
          <t>2004</t>
        </is>
      </c>
      <c r="AJ626" s="7" t="inlineStr">
        <is>
          <t>AN/SLQ-25E DUAL, SURFACE SHIP TORPEDO DEFENSE SYSTEM, NIXIE</t>
        </is>
      </c>
    </row>
    <row r="627" ht="10" customHeight="1">
      <c r="A627" s="7" t="inlineStr">
        <is>
          <t>SCN</t>
        </is>
      </c>
      <c r="B627" s="7" t="inlineStr">
        <is>
          <t>Procurement</t>
        </is>
      </c>
      <c r="D627" s="7" t="inlineStr">
        <is>
          <t>CVN-81 - P-8a Electronics - SHIPBOARD AIR TRAFFIC CONTROL COMMUNICATIONS (SATCC) 1</t>
        </is>
      </c>
      <c r="E627" s="13" t="inlineStr">
        <is>
          <t>[ALT_VIEW]</t>
        </is>
      </c>
      <c r="F627" s="7" t="inlineStr">
        <is>
          <t>2004 / CVN-81</t>
        </is>
      </c>
      <c r="G627" s="7" t="inlineStr">
        <is>
          <t>P-8a</t>
        </is>
      </c>
      <c r="H627" s="7" t="inlineStr">
        <is>
          <t>Electronics</t>
        </is>
      </c>
      <c r="I627" s="14" t="n">
        <v>1</v>
      </c>
      <c r="J627" s="7" t="inlineStr">
        <is>
          <t>Full ship DD&amp;C</t>
        </is>
      </c>
      <c r="K627" s="13" t="inlineStr">
        <is>
          <t>USN</t>
        </is>
      </c>
      <c r="L627" s="7" t="inlineStr">
        <is>
          <t>Combatant Ships</t>
        </is>
      </c>
      <c r="M627" s="7" t="inlineStr">
        <is>
          <t>Aircraft Carriers</t>
        </is>
      </c>
      <c r="N627" s="7" t="inlineStr">
        <is>
          <t>CVN</t>
        </is>
      </c>
      <c r="O627" s="15" t="n"/>
      <c r="S627" s="16" t="n">
        <v>3469</v>
      </c>
      <c r="U627" s="16" t="n">
        <v>3469</v>
      </c>
      <c r="AC627" s="23">
        <f>IF(OR(E627="",E627="[PARENT]"),"ADD",IF(E627="[ALT_VIEW]","ALT",""))</f>
        <v/>
      </c>
      <c r="AD627" s="21">
        <f>IF(Y627&lt;&gt;"",Y627,IF(U627&lt;&gt;"",U627,S627))</f>
        <v/>
      </c>
      <c r="AE627" s="21">
        <f>IF(AB627&lt;&gt;"",AB627,Z627)</f>
        <v/>
      </c>
      <c r="AF627" s="13" t="inlineStr">
        <is>
          <t>P-8a &gt; CVN-81 &gt; Electronics &gt; SHIPBOARD AIR TRAFFIC CONTROL COMMUNICATIONS (SATCC) 1</t>
        </is>
      </c>
      <c r="AG627" s="7" t="inlineStr">
        <is>
          <t>121</t>
        </is>
      </c>
      <c r="AH627" s="7" t="inlineStr">
        <is>
          <t>2004</t>
        </is>
      </c>
      <c r="AJ627" s="7" t="inlineStr">
        <is>
          <t>SHIPBOARD AIR TRAFFIC CONTROL COMMUNICATIONS (SATCC)</t>
        </is>
      </c>
    </row>
    <row r="628" ht="10" customHeight="1">
      <c r="A628" s="7" t="inlineStr">
        <is>
          <t>SCN</t>
        </is>
      </c>
      <c r="B628" s="7" t="inlineStr">
        <is>
          <t>Procurement</t>
        </is>
      </c>
      <c r="D628" s="7" t="inlineStr">
        <is>
          <t>CVN-81 - P-8a Electronics - DISTRIBUTED SYSTEMS DESIGN INTEGRATION SERVICES 1</t>
        </is>
      </c>
      <c r="E628" s="13" t="inlineStr">
        <is>
          <t>[ALT_VIEW]</t>
        </is>
      </c>
      <c r="F628" s="7" t="inlineStr">
        <is>
          <t>2004 / CVN-81</t>
        </is>
      </c>
      <c r="G628" s="7" t="inlineStr">
        <is>
          <t>P-8a</t>
        </is>
      </c>
      <c r="H628" s="7" t="inlineStr">
        <is>
          <t>Electronics</t>
        </is>
      </c>
      <c r="I628" s="14" t="n">
        <v>1</v>
      </c>
      <c r="J628" s="7" t="inlineStr">
        <is>
          <t>Full ship DD&amp;C</t>
        </is>
      </c>
      <c r="K628" s="13" t="inlineStr">
        <is>
          <t>USN</t>
        </is>
      </c>
      <c r="L628" s="7" t="inlineStr">
        <is>
          <t>Combatant Ships</t>
        </is>
      </c>
      <c r="M628" s="7" t="inlineStr">
        <is>
          <t>Aircraft Carriers</t>
        </is>
      </c>
      <c r="N628" s="7" t="inlineStr">
        <is>
          <t>CVN</t>
        </is>
      </c>
      <c r="O628" s="15" t="n"/>
      <c r="S628" s="16" t="n">
        <v>21186</v>
      </c>
      <c r="U628" s="16" t="n">
        <v>21186</v>
      </c>
      <c r="AC628" s="23">
        <f>IF(OR(E628="",E628="[PARENT]"),"ADD",IF(E628="[ALT_VIEW]","ALT",""))</f>
        <v/>
      </c>
      <c r="AD628" s="21">
        <f>IF(Y628&lt;&gt;"",Y628,IF(U628&lt;&gt;"",U628,S628))</f>
        <v/>
      </c>
      <c r="AE628" s="21">
        <f>IF(AB628&lt;&gt;"",AB628,Z628)</f>
        <v/>
      </c>
      <c r="AF628" s="13" t="inlineStr">
        <is>
          <t>P-8a &gt; CVN-81 &gt; Electronics &gt; DISTRIBUTED SYSTEMS DESIGN INTEGRATION SERVICES 1</t>
        </is>
      </c>
      <c r="AG628" s="7" t="inlineStr">
        <is>
          <t>121</t>
        </is>
      </c>
      <c r="AH628" s="7" t="inlineStr">
        <is>
          <t>2004</t>
        </is>
      </c>
      <c r="AJ628" s="7" t="inlineStr">
        <is>
          <t>DISTRIBUTED SYSTEMS DESIGN INTEGRATION SERVICES</t>
        </is>
      </c>
    </row>
    <row r="629" ht="10" customHeight="1">
      <c r="A629" s="7" t="inlineStr">
        <is>
          <t>SCN</t>
        </is>
      </c>
      <c r="B629" s="7" t="inlineStr">
        <is>
          <t>Procurement</t>
        </is>
      </c>
      <c r="D629" s="7" t="inlineStr">
        <is>
          <t>CVN-81 - P-8a Electronics - C4I INTEGRATION &amp; COORDINATION</t>
        </is>
      </c>
      <c r="E629" s="13" t="inlineStr">
        <is>
          <t>[ALT_VIEW]</t>
        </is>
      </c>
      <c r="F629" s="7" t="inlineStr">
        <is>
          <t>2004 / CVN-81</t>
        </is>
      </c>
      <c r="G629" s="7" t="inlineStr">
        <is>
          <t>P-8a</t>
        </is>
      </c>
      <c r="H629" s="7" t="inlineStr">
        <is>
          <t>Electronics</t>
        </is>
      </c>
      <c r="I629" s="14" t="n">
        <v>1</v>
      </c>
      <c r="J629" s="7" t="inlineStr">
        <is>
          <t>Full ship DD&amp;C</t>
        </is>
      </c>
      <c r="K629" s="13" t="inlineStr">
        <is>
          <t>USN</t>
        </is>
      </c>
      <c r="L629" s="7" t="inlineStr">
        <is>
          <t>Combatant Ships</t>
        </is>
      </c>
      <c r="M629" s="7" t="inlineStr">
        <is>
          <t>Aircraft Carriers</t>
        </is>
      </c>
      <c r="N629" s="7" t="inlineStr">
        <is>
          <t>CVN</t>
        </is>
      </c>
      <c r="O629" s="15" t="n"/>
      <c r="S629" s="16" t="n">
        <v>8657</v>
      </c>
      <c r="U629" s="16" t="n">
        <v>8657</v>
      </c>
      <c r="AC629" s="23">
        <f>IF(OR(E629="",E629="[PARENT]"),"ADD",IF(E629="[ALT_VIEW]","ALT",""))</f>
        <v/>
      </c>
      <c r="AD629" s="21">
        <f>IF(Y629&lt;&gt;"",Y629,IF(U629&lt;&gt;"",U629,S629))</f>
        <v/>
      </c>
      <c r="AE629" s="21">
        <f>IF(AB629&lt;&gt;"",AB629,Z629)</f>
        <v/>
      </c>
      <c r="AF629" s="13" t="inlineStr">
        <is>
          <t>P-8a &gt; CVN-81 &gt; Electronics &gt; C4I INTEGRATION &amp; COORDINATION</t>
        </is>
      </c>
      <c r="AG629" s="7" t="inlineStr">
        <is>
          <t>121</t>
        </is>
      </c>
      <c r="AH629" s="7" t="inlineStr">
        <is>
          <t>2004</t>
        </is>
      </c>
      <c r="AJ629" s="7" t="inlineStr">
        <is>
          <t>C4I INTEGRATION &amp; COORDINATION</t>
        </is>
      </c>
    </row>
    <row r="630" ht="10" customHeight="1">
      <c r="A630" s="7" t="inlineStr">
        <is>
          <t>SCN</t>
        </is>
      </c>
      <c r="B630" s="7" t="inlineStr">
        <is>
          <t>Procurement</t>
        </is>
      </c>
      <c r="D630" s="7" t="inlineStr">
        <is>
          <t>CVN-81 - P-8a Electronics - DISTRIBUTED COMMON GROUND STATION - NAVY (DCGS-N) TACTICAL EDGE EQUIPMENT (DTEE) 1</t>
        </is>
      </c>
      <c r="E630" s="13" t="inlineStr">
        <is>
          <t>[ALT_VIEW]</t>
        </is>
      </c>
      <c r="F630" s="7" t="inlineStr">
        <is>
          <t>2004 / CVN-81</t>
        </is>
      </c>
      <c r="G630" s="7" t="inlineStr">
        <is>
          <t>P-8a</t>
        </is>
      </c>
      <c r="H630" s="7" t="inlineStr">
        <is>
          <t>Electronics</t>
        </is>
      </c>
      <c r="I630" s="14" t="n">
        <v>1</v>
      </c>
      <c r="J630" s="7" t="inlineStr">
        <is>
          <t>Full ship DD&amp;C</t>
        </is>
      </c>
      <c r="K630" s="13" t="inlineStr">
        <is>
          <t>USN</t>
        </is>
      </c>
      <c r="L630" s="7" t="inlineStr">
        <is>
          <t>Combatant Ships</t>
        </is>
      </c>
      <c r="M630" s="7" t="inlineStr">
        <is>
          <t>Aircraft Carriers</t>
        </is>
      </c>
      <c r="N630" s="7" t="inlineStr">
        <is>
          <t>CVN</t>
        </is>
      </c>
      <c r="O630" s="15" t="n"/>
      <c r="S630" s="16" t="n">
        <v>2634</v>
      </c>
      <c r="U630" s="16" t="n">
        <v>2634</v>
      </c>
      <c r="AC630" s="23">
        <f>IF(OR(E630="",E630="[PARENT]"),"ADD",IF(E630="[ALT_VIEW]","ALT",""))</f>
        <v/>
      </c>
      <c r="AD630" s="21">
        <f>IF(Y630&lt;&gt;"",Y630,IF(U630&lt;&gt;"",U630,S630))</f>
        <v/>
      </c>
      <c r="AE630" s="21">
        <f>IF(AB630&lt;&gt;"",AB630,Z630)</f>
        <v/>
      </c>
      <c r="AF630" s="13" t="inlineStr">
        <is>
          <t>P-8a &gt; CVN-81 &gt; Electronics &gt; DISTRIBUTED COMMON GROUND STATION - NAVY (DCGS-N) TACTICAL EDGE EQUIPMENT (DTEE) 1</t>
        </is>
      </c>
      <c r="AG630" s="7" t="inlineStr">
        <is>
          <t>121</t>
        </is>
      </c>
      <c r="AH630" s="7" t="inlineStr">
        <is>
          <t>2004</t>
        </is>
      </c>
      <c r="AJ630" s="7" t="inlineStr">
        <is>
          <t>DISTRIBUTED COMMON GROUND STATION - NAVY (DCGS-N) TACTICAL EDGE EQUIPMENT (DTEE)</t>
        </is>
      </c>
    </row>
    <row r="631" ht="10" customHeight="1">
      <c r="A631" s="7" t="inlineStr">
        <is>
          <t>SCN</t>
        </is>
      </c>
      <c r="B631" s="7" t="inlineStr">
        <is>
          <t>Procurement</t>
        </is>
      </c>
      <c r="D631" s="7" t="inlineStr">
        <is>
          <t>CVN-81 - P-8a Electronics - AN/USQ-144M(V)2 AUTOMATED DIGITAL NETWORK SYSTEM (ADNS) 1</t>
        </is>
      </c>
      <c r="E631" s="13" t="inlineStr">
        <is>
          <t>[ALT_VIEW]</t>
        </is>
      </c>
      <c r="F631" s="7" t="inlineStr">
        <is>
          <t>2004 / CVN-81</t>
        </is>
      </c>
      <c r="G631" s="7" t="inlineStr">
        <is>
          <t>P-8a</t>
        </is>
      </c>
      <c r="H631" s="7" t="inlineStr">
        <is>
          <t>Electronics</t>
        </is>
      </c>
      <c r="I631" s="14" t="n">
        <v>1</v>
      </c>
      <c r="J631" s="7" t="inlineStr">
        <is>
          <t>Full ship DD&amp;C</t>
        </is>
      </c>
      <c r="K631" s="13" t="inlineStr">
        <is>
          <t>USN</t>
        </is>
      </c>
      <c r="L631" s="7" t="inlineStr">
        <is>
          <t>Combatant Ships</t>
        </is>
      </c>
      <c r="M631" s="7" t="inlineStr">
        <is>
          <t>Aircraft Carriers</t>
        </is>
      </c>
      <c r="N631" s="7" t="inlineStr">
        <is>
          <t>CVN</t>
        </is>
      </c>
      <c r="O631" s="15" t="n"/>
      <c r="S631" s="16" t="n">
        <v>2027</v>
      </c>
      <c r="U631" s="16" t="n">
        <v>2027</v>
      </c>
      <c r="AC631" s="23">
        <f>IF(OR(E631="",E631="[PARENT]"),"ADD",IF(E631="[ALT_VIEW]","ALT",""))</f>
        <v/>
      </c>
      <c r="AD631" s="21">
        <f>IF(Y631&lt;&gt;"",Y631,IF(U631&lt;&gt;"",U631,S631))</f>
        <v/>
      </c>
      <c r="AE631" s="21">
        <f>IF(AB631&lt;&gt;"",AB631,Z631)</f>
        <v/>
      </c>
      <c r="AF631" s="13" t="inlineStr">
        <is>
          <t>P-8a &gt; CVN-81 &gt; Electronics &gt; AN/USQ-144M(V)2 AUTOMATED DIGITAL NETWORK SYSTEM (ADNS) 1</t>
        </is>
      </c>
      <c r="AG631" s="7" t="inlineStr">
        <is>
          <t>121</t>
        </is>
      </c>
      <c r="AH631" s="7" t="inlineStr">
        <is>
          <t>2004</t>
        </is>
      </c>
      <c r="AJ631" s="7" t="inlineStr">
        <is>
          <t>AN/USQ-144M(V)2 AUTOMATED DIGITAL NETWORK SYSTEM (ADNS)</t>
        </is>
      </c>
    </row>
    <row r="632" ht="10" customHeight="1">
      <c r="A632" s="7" t="inlineStr">
        <is>
          <t>SCN</t>
        </is>
      </c>
      <c r="B632" s="7" t="inlineStr">
        <is>
          <t>Procurement</t>
        </is>
      </c>
      <c r="D632" s="7" t="inlineStr">
        <is>
          <t>CVN-81 - P-8a Electronics - AN/UYQ-131 COMMAND &amp; CONTROL PROCESSOR SYSTEM (C2P MOD) 1</t>
        </is>
      </c>
      <c r="E632" s="13" t="inlineStr">
        <is>
          <t>[ALT_VIEW]</t>
        </is>
      </c>
      <c r="F632" s="7" t="inlineStr">
        <is>
          <t>2004 / CVN-81</t>
        </is>
      </c>
      <c r="G632" s="7" t="inlineStr">
        <is>
          <t>P-8a</t>
        </is>
      </c>
      <c r="H632" s="7" t="inlineStr">
        <is>
          <t>Electronics</t>
        </is>
      </c>
      <c r="I632" s="14" t="n">
        <v>1</v>
      </c>
      <c r="J632" s="7" t="inlineStr">
        <is>
          <t>Full ship DD&amp;C</t>
        </is>
      </c>
      <c r="K632" s="13" t="inlineStr">
        <is>
          <t>USN</t>
        </is>
      </c>
      <c r="L632" s="7" t="inlineStr">
        <is>
          <t>Combatant Ships</t>
        </is>
      </c>
      <c r="M632" s="7" t="inlineStr">
        <is>
          <t>Aircraft Carriers</t>
        </is>
      </c>
      <c r="N632" s="7" t="inlineStr">
        <is>
          <t>CVN</t>
        </is>
      </c>
      <c r="O632" s="15" t="n"/>
      <c r="S632" s="16" t="n">
        <v>1536</v>
      </c>
      <c r="U632" s="16" t="n">
        <v>1536</v>
      </c>
      <c r="AC632" s="23">
        <f>IF(OR(E632="",E632="[PARENT]"),"ADD",IF(E632="[ALT_VIEW]","ALT",""))</f>
        <v/>
      </c>
      <c r="AD632" s="21">
        <f>IF(Y632&lt;&gt;"",Y632,IF(U632&lt;&gt;"",U632,S632))</f>
        <v/>
      </c>
      <c r="AE632" s="21">
        <f>IF(AB632&lt;&gt;"",AB632,Z632)</f>
        <v/>
      </c>
      <c r="AF632" s="13" t="inlineStr">
        <is>
          <t>P-8a &gt; CVN-81 &gt; Electronics &gt; AN/UYQ-131 COMMAND &amp; CONTROL PROCESSOR SYSTEM (C2P MOD) 1</t>
        </is>
      </c>
      <c r="AG632" s="7" t="inlineStr">
        <is>
          <t>121</t>
        </is>
      </c>
      <c r="AH632" s="7" t="inlineStr">
        <is>
          <t>2004</t>
        </is>
      </c>
      <c r="AJ632" s="7" t="inlineStr">
        <is>
          <t>AN/UYQ-131 COMMAND &amp; CONTROL PROCESSOR SYSTEM (C2P MOD)</t>
        </is>
      </c>
    </row>
    <row r="633" ht="10" customHeight="1">
      <c r="A633" s="7" t="inlineStr">
        <is>
          <t>SCN</t>
        </is>
      </c>
      <c r="B633" s="7" t="inlineStr">
        <is>
          <t>Procurement</t>
        </is>
      </c>
      <c r="D633" s="7" t="inlineStr">
        <is>
          <t>CVN-81 - P-8a Electronics - ARC-210 CARRIER AIR TRAFFIC CONTROL CENTER (CATCC) - PRIFLY - LANDING SIGNAL OFFICER (LSO) SYSTEM 1</t>
        </is>
      </c>
      <c r="E633" s="13" t="inlineStr">
        <is>
          <t>[ALT_VIEW]</t>
        </is>
      </c>
      <c r="F633" s="7" t="inlineStr">
        <is>
          <t>2004 / CVN-81</t>
        </is>
      </c>
      <c r="G633" s="7" t="inlineStr">
        <is>
          <t>P-8a</t>
        </is>
      </c>
      <c r="H633" s="7" t="inlineStr">
        <is>
          <t>Electronics</t>
        </is>
      </c>
      <c r="I633" s="14" t="n">
        <v>1</v>
      </c>
      <c r="J633" s="7" t="inlineStr">
        <is>
          <t>Full ship DD&amp;C</t>
        </is>
      </c>
      <c r="K633" s="13" t="inlineStr">
        <is>
          <t>USN</t>
        </is>
      </c>
      <c r="L633" s="7" t="inlineStr">
        <is>
          <t>Combatant Ships</t>
        </is>
      </c>
      <c r="M633" s="7" t="inlineStr">
        <is>
          <t>Aircraft Carriers</t>
        </is>
      </c>
      <c r="N633" s="7" t="inlineStr">
        <is>
          <t>CVN</t>
        </is>
      </c>
      <c r="O633" s="15" t="n"/>
      <c r="S633" s="16" t="n">
        <v>2514</v>
      </c>
      <c r="U633" s="16" t="n">
        <v>2514</v>
      </c>
      <c r="AC633" s="23">
        <f>IF(OR(E633="",E633="[PARENT]"),"ADD",IF(E633="[ALT_VIEW]","ALT",""))</f>
        <v/>
      </c>
      <c r="AD633" s="21">
        <f>IF(Y633&lt;&gt;"",Y633,IF(U633&lt;&gt;"",U633,S633))</f>
        <v/>
      </c>
      <c r="AE633" s="21">
        <f>IF(AB633&lt;&gt;"",AB633,Z633)</f>
        <v/>
      </c>
      <c r="AF633" s="13" t="inlineStr">
        <is>
          <t>P-8a &gt; CVN-81 &gt; Electronics &gt; ARC-210 CARRIER AIR TRAFFIC CONTROL CENTER (CATCC) - PRIFLY - LANDING SIGNAL OFFICER (LSO) SYSTEM 1</t>
        </is>
      </c>
      <c r="AG633" s="7" t="inlineStr">
        <is>
          <t>121</t>
        </is>
      </c>
      <c r="AH633" s="7" t="inlineStr">
        <is>
          <t>2004</t>
        </is>
      </c>
      <c r="AJ633" s="7" t="inlineStr">
        <is>
          <t>ARC-210 CARRIER AIR TRAFFIC CONTROL CENTER (CATCC) - PRIFLY - LANDING SIGNAL OFFICER (LSO) SYSTEM</t>
        </is>
      </c>
    </row>
    <row r="634" ht="10" customHeight="1">
      <c r="A634" s="7" t="inlineStr">
        <is>
          <t>SCN</t>
        </is>
      </c>
      <c r="B634" s="7" t="inlineStr">
        <is>
          <t>Procurement</t>
        </is>
      </c>
      <c r="D634" s="7" t="inlineStr">
        <is>
          <t>CVN-81 - P-8a Electronics - WARFARE SYSTEM INTEGRATION</t>
        </is>
      </c>
      <c r="E634" s="13" t="inlineStr">
        <is>
          <t>[ALT_VIEW]</t>
        </is>
      </c>
      <c r="F634" s="7" t="inlineStr">
        <is>
          <t>2004 / CVN-81</t>
        </is>
      </c>
      <c r="G634" s="7" t="inlineStr">
        <is>
          <t>P-8a</t>
        </is>
      </c>
      <c r="H634" s="7" t="inlineStr">
        <is>
          <t>Electronics</t>
        </is>
      </c>
      <c r="I634" s="14" t="n">
        <v>1</v>
      </c>
      <c r="J634" s="7" t="inlineStr">
        <is>
          <t>Full ship DD&amp;C</t>
        </is>
      </c>
      <c r="K634" s="13" t="inlineStr">
        <is>
          <t>USN</t>
        </is>
      </c>
      <c r="L634" s="7" t="inlineStr">
        <is>
          <t>Combatant Ships</t>
        </is>
      </c>
      <c r="M634" s="7" t="inlineStr">
        <is>
          <t>Aircraft Carriers</t>
        </is>
      </c>
      <c r="N634" s="7" t="inlineStr">
        <is>
          <t>CVN</t>
        </is>
      </c>
      <c r="O634" s="15" t="n"/>
      <c r="S634" s="16" t="n">
        <v>26795</v>
      </c>
      <c r="U634" s="16" t="n">
        <v>26795</v>
      </c>
      <c r="AC634" s="23">
        <f>IF(OR(E634="",E634="[PARENT]"),"ADD",IF(E634="[ALT_VIEW]","ALT",""))</f>
        <v/>
      </c>
      <c r="AD634" s="21">
        <f>IF(Y634&lt;&gt;"",Y634,IF(U634&lt;&gt;"",U634,S634))</f>
        <v/>
      </c>
      <c r="AE634" s="21">
        <f>IF(AB634&lt;&gt;"",AB634,Z634)</f>
        <v/>
      </c>
      <c r="AF634" s="13" t="inlineStr">
        <is>
          <t>P-8a &gt; CVN-81 &gt; Electronics &gt; WARFARE SYSTEM INTEGRATION</t>
        </is>
      </c>
      <c r="AG634" s="7" t="inlineStr">
        <is>
          <t>121</t>
        </is>
      </c>
      <c r="AH634" s="7" t="inlineStr">
        <is>
          <t>2004</t>
        </is>
      </c>
      <c r="AJ634" s="7" t="inlineStr">
        <is>
          <t>WARFARE SYSTEM INTEGRATION</t>
        </is>
      </c>
    </row>
    <row r="635" ht="10" customHeight="1">
      <c r="A635" s="7" t="inlineStr">
        <is>
          <t>SCN</t>
        </is>
      </c>
      <c r="B635" s="7" t="inlineStr">
        <is>
          <t>Procurement</t>
        </is>
      </c>
      <c r="D635" s="7" t="inlineStr">
        <is>
          <t>CVN-81 - P-8a Electronics - COMMERCIAL BROADBAND SATELLITE PROGRAM, FORCE LEVEL VARIANT (CBSP-FLV) 2</t>
        </is>
      </c>
      <c r="E635" s="13" t="inlineStr">
        <is>
          <t>[ALT_VIEW]</t>
        </is>
      </c>
      <c r="F635" s="7" t="inlineStr">
        <is>
          <t>2004 / CVN-81</t>
        </is>
      </c>
      <c r="G635" s="7" t="inlineStr">
        <is>
          <t>P-8a</t>
        </is>
      </c>
      <c r="H635" s="7" t="inlineStr">
        <is>
          <t>Electronics</t>
        </is>
      </c>
      <c r="I635" s="14" t="n">
        <v>1</v>
      </c>
      <c r="J635" s="7" t="inlineStr">
        <is>
          <t>Full ship DD&amp;C</t>
        </is>
      </c>
      <c r="K635" s="13" t="inlineStr">
        <is>
          <t>USN</t>
        </is>
      </c>
      <c r="L635" s="7" t="inlineStr">
        <is>
          <t>Combatant Ships</t>
        </is>
      </c>
      <c r="M635" s="7" t="inlineStr">
        <is>
          <t>Aircraft Carriers</t>
        </is>
      </c>
      <c r="N635" s="7" t="inlineStr">
        <is>
          <t>CVN</t>
        </is>
      </c>
      <c r="O635" s="15" t="n"/>
      <c r="S635" s="16" t="n">
        <v>4771</v>
      </c>
      <c r="U635" s="16" t="n">
        <v>4771</v>
      </c>
      <c r="AC635" s="23">
        <f>IF(OR(E635="",E635="[PARENT]"),"ADD",IF(E635="[ALT_VIEW]","ALT",""))</f>
        <v/>
      </c>
      <c r="AD635" s="21">
        <f>IF(Y635&lt;&gt;"",Y635,IF(U635&lt;&gt;"",U635,S635))</f>
        <v/>
      </c>
      <c r="AE635" s="21">
        <f>IF(AB635&lt;&gt;"",AB635,Z635)</f>
        <v/>
      </c>
      <c r="AF635" s="13" t="inlineStr">
        <is>
          <t>P-8a &gt; CVN-81 &gt; Electronics &gt; COMMERCIAL BROADBAND SATELLITE PROGRAM, FORCE LEVEL VARIANT (CBSP-FLV) 2</t>
        </is>
      </c>
      <c r="AG635" s="7" t="inlineStr">
        <is>
          <t>121</t>
        </is>
      </c>
      <c r="AH635" s="7" t="inlineStr">
        <is>
          <t>2004</t>
        </is>
      </c>
      <c r="AJ635" s="7" t="inlineStr">
        <is>
          <t>COMMERCIAL BROADBAND SATELLITE PROGRAM, FORCE LEVEL VARIANT (CBSP-FLV)</t>
        </is>
      </c>
    </row>
    <row r="636" ht="10" customHeight="1">
      <c r="A636" s="7" t="inlineStr">
        <is>
          <t>SCN</t>
        </is>
      </c>
      <c r="B636" s="7" t="inlineStr">
        <is>
          <t>Procurement</t>
        </is>
      </c>
      <c r="D636" s="7" t="inlineStr">
        <is>
          <t>CVN-81 - P-8a Electronics - GLOBAL POSITIONING SYSTEM, NAVIGATION, AND TIMING SERVICE (GPNTS) 1</t>
        </is>
      </c>
      <c r="E636" s="13" t="inlineStr">
        <is>
          <t>[ALT_VIEW]</t>
        </is>
      </c>
      <c r="F636" s="7" t="inlineStr">
        <is>
          <t>2004 / CVN-81</t>
        </is>
      </c>
      <c r="G636" s="7" t="inlineStr">
        <is>
          <t>P-8a</t>
        </is>
      </c>
      <c r="H636" s="7" t="inlineStr">
        <is>
          <t>Electronics</t>
        </is>
      </c>
      <c r="I636" s="14" t="n">
        <v>1</v>
      </c>
      <c r="J636" s="7" t="inlineStr">
        <is>
          <t>Full ship DD&amp;C</t>
        </is>
      </c>
      <c r="K636" s="13" t="inlineStr">
        <is>
          <t>USN</t>
        </is>
      </c>
      <c r="L636" s="7" t="inlineStr">
        <is>
          <t>Combatant Ships</t>
        </is>
      </c>
      <c r="M636" s="7" t="inlineStr">
        <is>
          <t>Aircraft Carriers</t>
        </is>
      </c>
      <c r="N636" s="7" t="inlineStr">
        <is>
          <t>CVN</t>
        </is>
      </c>
      <c r="O636" s="15" t="n"/>
      <c r="S636" s="16" t="n">
        <v>2727</v>
      </c>
      <c r="U636" s="16" t="n">
        <v>2727</v>
      </c>
      <c r="AC636" s="23">
        <f>IF(OR(E636="",E636="[PARENT]"),"ADD",IF(E636="[ALT_VIEW]","ALT",""))</f>
        <v/>
      </c>
      <c r="AD636" s="21">
        <f>IF(Y636&lt;&gt;"",Y636,IF(U636&lt;&gt;"",U636,S636))</f>
        <v/>
      </c>
      <c r="AE636" s="21">
        <f>IF(AB636&lt;&gt;"",AB636,Z636)</f>
        <v/>
      </c>
      <c r="AF636" s="13" t="inlineStr">
        <is>
          <t>P-8a &gt; CVN-81 &gt; Electronics &gt; GLOBAL POSITIONING SYSTEM, NAVIGATION, AND TIMING SERVICE (GPNTS) 1</t>
        </is>
      </c>
      <c r="AG636" s="7" t="inlineStr">
        <is>
          <t>122</t>
        </is>
      </c>
      <c r="AH636" s="7" t="inlineStr">
        <is>
          <t>2004</t>
        </is>
      </c>
      <c r="AJ636" s="7" t="inlineStr">
        <is>
          <t>GLOBAL POSITIONING SYSTEM, NAVIGATION, AND TIMING SERVICE (GPNTS)</t>
        </is>
      </c>
    </row>
    <row r="637" ht="10" customHeight="1">
      <c r="A637" s="7" t="inlineStr">
        <is>
          <t>SCN</t>
        </is>
      </c>
      <c r="B637" s="7" t="inlineStr">
        <is>
          <t>Procurement</t>
        </is>
      </c>
      <c r="D637" s="7" t="inlineStr">
        <is>
          <t>CVN-81 - P-8a Electronics - INTEGRATED STRIKE PLANNING &amp; EXECUTION SYSTEMS (ISP&amp;E) 1</t>
        </is>
      </c>
      <c r="E637" s="13" t="inlineStr">
        <is>
          <t>[ALT_VIEW]</t>
        </is>
      </c>
      <c r="F637" s="7" t="inlineStr">
        <is>
          <t>2004 / CVN-81</t>
        </is>
      </c>
      <c r="G637" s="7" t="inlineStr">
        <is>
          <t>P-8a</t>
        </is>
      </c>
      <c r="H637" s="7" t="inlineStr">
        <is>
          <t>Electronics</t>
        </is>
      </c>
      <c r="I637" s="14" t="n">
        <v>1</v>
      </c>
      <c r="J637" s="7" t="inlineStr">
        <is>
          <t>Full ship DD&amp;C</t>
        </is>
      </c>
      <c r="K637" s="13" t="inlineStr">
        <is>
          <t>USN</t>
        </is>
      </c>
      <c r="L637" s="7" t="inlineStr">
        <is>
          <t>Combatant Ships</t>
        </is>
      </c>
      <c r="M637" s="7" t="inlineStr">
        <is>
          <t>Aircraft Carriers</t>
        </is>
      </c>
      <c r="N637" s="7" t="inlineStr">
        <is>
          <t>CVN</t>
        </is>
      </c>
      <c r="O637" s="15" t="n"/>
      <c r="S637" s="16" t="n">
        <v>3478</v>
      </c>
      <c r="U637" s="16" t="n">
        <v>3478</v>
      </c>
      <c r="AC637" s="23">
        <f>IF(OR(E637="",E637="[PARENT]"),"ADD",IF(E637="[ALT_VIEW]","ALT",""))</f>
        <v/>
      </c>
      <c r="AD637" s="21">
        <f>IF(Y637&lt;&gt;"",Y637,IF(U637&lt;&gt;"",U637,S637))</f>
        <v/>
      </c>
      <c r="AE637" s="21">
        <f>IF(AB637&lt;&gt;"",AB637,Z637)</f>
        <v/>
      </c>
      <c r="AF637" s="13" t="inlineStr">
        <is>
          <t>P-8a &gt; CVN-81 &gt; Electronics &gt; INTEGRATED STRIKE PLANNING &amp; EXECUTION SYSTEMS (ISP&amp;E) 1</t>
        </is>
      </c>
      <c r="AG637" s="7" t="inlineStr">
        <is>
          <t>122</t>
        </is>
      </c>
      <c r="AH637" s="7" t="inlineStr">
        <is>
          <t>2004</t>
        </is>
      </c>
      <c r="AJ637" s="7" t="inlineStr">
        <is>
          <t>INTEGRATED STRIKE PLANNING &amp; EXECUTION SYSTEMS (ISP&amp;E)</t>
        </is>
      </c>
    </row>
    <row r="638" ht="10" customHeight="1">
      <c r="A638" s="7" t="inlineStr">
        <is>
          <t>SCN</t>
        </is>
      </c>
      <c r="B638" s="7" t="inlineStr">
        <is>
          <t>Procurement</t>
        </is>
      </c>
      <c r="D638" s="7" t="inlineStr">
        <is>
          <t>CVN-81 - P-8a Electronics - AN/SPN-41 (V), INSTRUMENT LANDING SYSTEM (ILS) 1</t>
        </is>
      </c>
      <c r="E638" s="13" t="inlineStr">
        <is>
          <t>[ALT_VIEW]</t>
        </is>
      </c>
      <c r="F638" s="7" t="inlineStr">
        <is>
          <t>2004 / CVN-81</t>
        </is>
      </c>
      <c r="G638" s="7" t="inlineStr">
        <is>
          <t>P-8a</t>
        </is>
      </c>
      <c r="H638" s="7" t="inlineStr">
        <is>
          <t>Electronics</t>
        </is>
      </c>
      <c r="I638" s="14" t="n">
        <v>1</v>
      </c>
      <c r="J638" s="7" t="inlineStr">
        <is>
          <t>Full ship DD&amp;C</t>
        </is>
      </c>
      <c r="K638" s="13" t="inlineStr">
        <is>
          <t>USN</t>
        </is>
      </c>
      <c r="L638" s="7" t="inlineStr">
        <is>
          <t>Combatant Ships</t>
        </is>
      </c>
      <c r="M638" s="7" t="inlineStr">
        <is>
          <t>Aircraft Carriers</t>
        </is>
      </c>
      <c r="N638" s="7" t="inlineStr">
        <is>
          <t>CVN</t>
        </is>
      </c>
      <c r="O638" s="15" t="n"/>
      <c r="S638" s="16" t="n">
        <v>4689</v>
      </c>
      <c r="U638" s="16" t="n">
        <v>4689</v>
      </c>
      <c r="AC638" s="23">
        <f>IF(OR(E638="",E638="[PARENT]"),"ADD",IF(E638="[ALT_VIEW]","ALT",""))</f>
        <v/>
      </c>
      <c r="AD638" s="21">
        <f>IF(Y638&lt;&gt;"",Y638,IF(U638&lt;&gt;"",U638,S638))</f>
        <v/>
      </c>
      <c r="AE638" s="21">
        <f>IF(AB638&lt;&gt;"",AB638,Z638)</f>
        <v/>
      </c>
      <c r="AF638" s="13" t="inlineStr">
        <is>
          <t>P-8a &gt; CVN-81 &gt; Electronics &gt; AN/SPN-41 (V), INSTRUMENT LANDING SYSTEM (ILS) 1</t>
        </is>
      </c>
      <c r="AG638" s="7" t="inlineStr">
        <is>
          <t>122</t>
        </is>
      </c>
      <c r="AH638" s="7" t="inlineStr">
        <is>
          <t>2004</t>
        </is>
      </c>
      <c r="AJ638" s="7" t="inlineStr">
        <is>
          <t>AN/SPN-41 (V), INSTRUMENT LANDING SYSTEM (ILS)</t>
        </is>
      </c>
    </row>
    <row r="639" ht="10" customHeight="1">
      <c r="A639" s="7" t="inlineStr">
        <is>
          <t>SCN</t>
        </is>
      </c>
      <c r="B639" s="7" t="inlineStr">
        <is>
          <t>Procurement</t>
        </is>
      </c>
      <c r="D639" s="7" t="inlineStr">
        <is>
          <t>CVN-81 - P-8a Electronics - SHIP SIGNAL EXPLOITATION SPACE (SSES/SI) COMMUNICATIONS 1</t>
        </is>
      </c>
      <c r="E639" s="13" t="inlineStr">
        <is>
          <t>[ALT_VIEW]</t>
        </is>
      </c>
      <c r="F639" s="7" t="inlineStr">
        <is>
          <t>2004 / CVN-81</t>
        </is>
      </c>
      <c r="G639" s="7" t="inlineStr">
        <is>
          <t>P-8a</t>
        </is>
      </c>
      <c r="H639" s="7" t="inlineStr">
        <is>
          <t>Electronics</t>
        </is>
      </c>
      <c r="I639" s="14" t="n">
        <v>1</v>
      </c>
      <c r="J639" s="7" t="inlineStr">
        <is>
          <t>Full ship DD&amp;C</t>
        </is>
      </c>
      <c r="K639" s="13" t="inlineStr">
        <is>
          <t>USN</t>
        </is>
      </c>
      <c r="L639" s="7" t="inlineStr">
        <is>
          <t>Combatant Ships</t>
        </is>
      </c>
      <c r="M639" s="7" t="inlineStr">
        <is>
          <t>Aircraft Carriers</t>
        </is>
      </c>
      <c r="N639" s="7" t="inlineStr">
        <is>
          <t>CVN</t>
        </is>
      </c>
      <c r="O639" s="15" t="n"/>
      <c r="S639" s="16" t="n">
        <v>4210</v>
      </c>
      <c r="U639" s="16" t="n">
        <v>4210</v>
      </c>
      <c r="AC639" s="23">
        <f>IF(OR(E639="",E639="[PARENT]"),"ADD",IF(E639="[ALT_VIEW]","ALT",""))</f>
        <v/>
      </c>
      <c r="AD639" s="21">
        <f>IF(Y639&lt;&gt;"",Y639,IF(U639&lt;&gt;"",U639,S639))</f>
        <v/>
      </c>
      <c r="AE639" s="21">
        <f>IF(AB639&lt;&gt;"",AB639,Z639)</f>
        <v/>
      </c>
      <c r="AF639" s="13" t="inlineStr">
        <is>
          <t>P-8a &gt; CVN-81 &gt; Electronics &gt; SHIP SIGNAL EXPLOITATION SPACE (SSES/SI) COMMUNICATIONS 1</t>
        </is>
      </c>
      <c r="AG639" s="7" t="inlineStr">
        <is>
          <t>122</t>
        </is>
      </c>
      <c r="AH639" s="7" t="inlineStr">
        <is>
          <t>2004</t>
        </is>
      </c>
      <c r="AJ639" s="7" t="inlineStr">
        <is>
          <t>SHIP SIGNAL EXPLOITATION SPACE (SSES/SI) COMMUNICATIONS</t>
        </is>
      </c>
    </row>
    <row r="640" ht="10" customHeight="1">
      <c r="A640" s="7" t="inlineStr">
        <is>
          <t>SCN</t>
        </is>
      </c>
      <c r="B640" s="7" t="inlineStr">
        <is>
          <t>Procurement</t>
        </is>
      </c>
      <c r="D640" s="7" t="inlineStr">
        <is>
          <t>CVN-81 - P-8a Electronics - TURNKEY RADIO COMMUNICATIONS SYSTEM (RCS) 1</t>
        </is>
      </c>
      <c r="E640" s="13" t="inlineStr">
        <is>
          <t>[ALT_VIEW]</t>
        </is>
      </c>
      <c r="F640" s="7" t="inlineStr">
        <is>
          <t>2004 / CVN-81</t>
        </is>
      </c>
      <c r="G640" s="7" t="inlineStr">
        <is>
          <t>P-8a</t>
        </is>
      </c>
      <c r="H640" s="7" t="inlineStr">
        <is>
          <t>Electronics</t>
        </is>
      </c>
      <c r="I640" s="14" t="n">
        <v>1</v>
      </c>
      <c r="J640" s="7" t="inlineStr">
        <is>
          <t>Full ship DD&amp;C</t>
        </is>
      </c>
      <c r="K640" s="13" t="inlineStr">
        <is>
          <t>USN</t>
        </is>
      </c>
      <c r="L640" s="7" t="inlineStr">
        <is>
          <t>Combatant Ships</t>
        </is>
      </c>
      <c r="M640" s="7" t="inlineStr">
        <is>
          <t>Aircraft Carriers</t>
        </is>
      </c>
      <c r="N640" s="7" t="inlineStr">
        <is>
          <t>CVN</t>
        </is>
      </c>
      <c r="O640" s="15" t="n"/>
      <c r="S640" s="16" t="n">
        <v>21081</v>
      </c>
      <c r="U640" s="16" t="n">
        <v>21081</v>
      </c>
      <c r="AC640" s="23">
        <f>IF(OR(E640="",E640="[PARENT]"),"ADD",IF(E640="[ALT_VIEW]","ALT",""))</f>
        <v/>
      </c>
      <c r="AD640" s="21">
        <f>IF(Y640&lt;&gt;"",Y640,IF(U640&lt;&gt;"",U640,S640))</f>
        <v/>
      </c>
      <c r="AE640" s="21">
        <f>IF(AB640&lt;&gt;"",AB640,Z640)</f>
        <v/>
      </c>
      <c r="AF640" s="13" t="inlineStr">
        <is>
          <t>P-8a &gt; CVN-81 &gt; Electronics &gt; TURNKEY RADIO COMMUNICATIONS SYSTEM (RCS) 1</t>
        </is>
      </c>
      <c r="AG640" s="7" t="inlineStr">
        <is>
          <t>122</t>
        </is>
      </c>
      <c r="AH640" s="7" t="inlineStr">
        <is>
          <t>2004</t>
        </is>
      </c>
      <c r="AJ640" s="7" t="inlineStr">
        <is>
          <t>TURNKEY RADIO COMMUNICATIONS SYSTEM (RCS)</t>
        </is>
      </c>
    </row>
    <row r="641" ht="10" customHeight="1">
      <c r="A641" s="7" t="inlineStr">
        <is>
          <t>SCN</t>
        </is>
      </c>
      <c r="B641" s="7" t="inlineStr">
        <is>
          <t>Procurement</t>
        </is>
      </c>
      <c r="D641" s="7" t="inlineStr">
        <is>
          <t>CVN-81 - P-8a Electronics - AN/USQ-T52 TRAINING INTERFACE UNIT (TIU) ADVANCED TRAINING DOMAIN (ATD) 1</t>
        </is>
      </c>
      <c r="E641" s="13" t="inlineStr">
        <is>
          <t>[ALT_VIEW]</t>
        </is>
      </c>
      <c r="F641" s="7" t="inlineStr">
        <is>
          <t>2004 / CVN-81</t>
        </is>
      </c>
      <c r="G641" s="7" t="inlineStr">
        <is>
          <t>P-8a</t>
        </is>
      </c>
      <c r="H641" s="7" t="inlineStr">
        <is>
          <t>Electronics</t>
        </is>
      </c>
      <c r="I641" s="14" t="n">
        <v>1</v>
      </c>
      <c r="J641" s="7" t="inlineStr">
        <is>
          <t>Full ship DD&amp;C</t>
        </is>
      </c>
      <c r="K641" s="13" t="inlineStr">
        <is>
          <t>USN</t>
        </is>
      </c>
      <c r="L641" s="7" t="inlineStr">
        <is>
          <t>Combatant Ships</t>
        </is>
      </c>
      <c r="M641" s="7" t="inlineStr">
        <is>
          <t>Aircraft Carriers</t>
        </is>
      </c>
      <c r="N641" s="7" t="inlineStr">
        <is>
          <t>CVN</t>
        </is>
      </c>
      <c r="O641" s="15" t="n"/>
      <c r="S641" s="16" t="n">
        <v>1491</v>
      </c>
      <c r="U641" s="16" t="n">
        <v>1491</v>
      </c>
      <c r="AC641" s="23">
        <f>IF(OR(E641="",E641="[PARENT]"),"ADD",IF(E641="[ALT_VIEW]","ALT",""))</f>
        <v/>
      </c>
      <c r="AD641" s="21">
        <f>IF(Y641&lt;&gt;"",Y641,IF(U641&lt;&gt;"",U641,S641))</f>
        <v/>
      </c>
      <c r="AE641" s="21">
        <f>IF(AB641&lt;&gt;"",AB641,Z641)</f>
        <v/>
      </c>
      <c r="AF641" s="13" t="inlineStr">
        <is>
          <t>P-8a &gt; CVN-81 &gt; Electronics &gt; AN/USQ-T52 TRAINING INTERFACE UNIT (TIU) ADVANCED TRAINING DOMAIN (ATD) 1</t>
        </is>
      </c>
      <c r="AG641" s="7" t="inlineStr">
        <is>
          <t>122</t>
        </is>
      </c>
      <c r="AH641" s="7" t="inlineStr">
        <is>
          <t>2004</t>
        </is>
      </c>
      <c r="AJ641" s="7" t="inlineStr">
        <is>
          <t>AN/USQ-T52 TRAINING INTERFACE UNIT (TIU) ADVANCED TRAINING DOMAIN (ATD)</t>
        </is>
      </c>
    </row>
    <row r="642" ht="10" customHeight="1">
      <c r="A642" s="7" t="inlineStr">
        <is>
          <t>SCN</t>
        </is>
      </c>
      <c r="B642" s="7" t="inlineStr">
        <is>
          <t>Procurement</t>
        </is>
      </c>
      <c r="D642" s="7" t="inlineStr">
        <is>
          <t>CVN-81 - P-8a Electronics - AN/SPS-73(V)18 NEXT GENERATION SURFACE SEARCH RADAR (NGSSR) 1</t>
        </is>
      </c>
      <c r="E642" s="13" t="inlineStr">
        <is>
          <t>[ALT_VIEW]</t>
        </is>
      </c>
      <c r="F642" s="7" t="inlineStr">
        <is>
          <t>2004 / CVN-81</t>
        </is>
      </c>
      <c r="G642" s="7" t="inlineStr">
        <is>
          <t>P-8a</t>
        </is>
      </c>
      <c r="H642" s="7" t="inlineStr">
        <is>
          <t>Electronics</t>
        </is>
      </c>
      <c r="I642" s="14" t="n">
        <v>1</v>
      </c>
      <c r="J642" s="7" t="inlineStr">
        <is>
          <t>Full ship DD&amp;C</t>
        </is>
      </c>
      <c r="K642" s="13" t="inlineStr">
        <is>
          <t>USN</t>
        </is>
      </c>
      <c r="L642" s="7" t="inlineStr">
        <is>
          <t>Combatant Ships</t>
        </is>
      </c>
      <c r="M642" s="7" t="inlineStr">
        <is>
          <t>Aircraft Carriers</t>
        </is>
      </c>
      <c r="N642" s="7" t="inlineStr">
        <is>
          <t>CVN</t>
        </is>
      </c>
      <c r="O642" s="15" t="n"/>
      <c r="S642" s="16" t="n">
        <v>3516</v>
      </c>
      <c r="U642" s="16" t="n">
        <v>3516</v>
      </c>
      <c r="AC642" s="23">
        <f>IF(OR(E642="",E642="[PARENT]"),"ADD",IF(E642="[ALT_VIEW]","ALT",""))</f>
        <v/>
      </c>
      <c r="AD642" s="21">
        <f>IF(Y642&lt;&gt;"",Y642,IF(U642&lt;&gt;"",U642,S642))</f>
        <v/>
      </c>
      <c r="AE642" s="21">
        <f>IF(AB642&lt;&gt;"",AB642,Z642)</f>
        <v/>
      </c>
      <c r="AF642" s="13" t="inlineStr">
        <is>
          <t>P-8a &gt; CVN-81 &gt; Electronics &gt; AN/SPS-73(V)18 NEXT GENERATION SURFACE SEARCH RADAR (NGSSR) 1</t>
        </is>
      </c>
      <c r="AG642" s="7" t="inlineStr">
        <is>
          <t>122</t>
        </is>
      </c>
      <c r="AH642" s="7" t="inlineStr">
        <is>
          <t>2004</t>
        </is>
      </c>
      <c r="AJ642" s="7" t="inlineStr">
        <is>
          <t>AN/SPS-73(V)18 NEXT GENERATION SURFACE SEARCH RADAR (NGSSR)</t>
        </is>
      </c>
    </row>
    <row r="643" ht="10" customHeight="1">
      <c r="A643" s="7" t="inlineStr">
        <is>
          <t>SCN</t>
        </is>
      </c>
      <c r="B643" s="7" t="inlineStr">
        <is>
          <t>Procurement</t>
        </is>
      </c>
      <c r="D643" s="7" t="inlineStr">
        <is>
          <t>CVN-81 - P-8a Electronics - READY ROOM (JSF) 1</t>
        </is>
      </c>
      <c r="E643" s="13" t="inlineStr">
        <is>
          <t>[ALT_VIEW]</t>
        </is>
      </c>
      <c r="F643" s="7" t="inlineStr">
        <is>
          <t>2004 / CVN-81</t>
        </is>
      </c>
      <c r="G643" s="7" t="inlineStr">
        <is>
          <t>P-8a</t>
        </is>
      </c>
      <c r="H643" s="7" t="inlineStr">
        <is>
          <t>Electronics</t>
        </is>
      </c>
      <c r="I643" s="14" t="n">
        <v>1</v>
      </c>
      <c r="J643" s="7" t="inlineStr">
        <is>
          <t>Full ship DD&amp;C</t>
        </is>
      </c>
      <c r="K643" s="13" t="inlineStr">
        <is>
          <t>USN</t>
        </is>
      </c>
      <c r="L643" s="7" t="inlineStr">
        <is>
          <t>Combatant Ships</t>
        </is>
      </c>
      <c r="M643" s="7" t="inlineStr">
        <is>
          <t>Aircraft Carriers</t>
        </is>
      </c>
      <c r="N643" s="7" t="inlineStr">
        <is>
          <t>CVN</t>
        </is>
      </c>
      <c r="O643" s="15" t="n"/>
      <c r="S643" s="16" t="n">
        <v>7900</v>
      </c>
      <c r="U643" s="16" t="n">
        <v>7900</v>
      </c>
      <c r="AC643" s="23">
        <f>IF(OR(E643="",E643="[PARENT]"),"ADD",IF(E643="[ALT_VIEW]","ALT",""))</f>
        <v/>
      </c>
      <c r="AD643" s="21">
        <f>IF(Y643&lt;&gt;"",Y643,IF(U643&lt;&gt;"",U643,S643))</f>
        <v/>
      </c>
      <c r="AE643" s="21">
        <f>IF(AB643&lt;&gt;"",AB643,Z643)</f>
        <v/>
      </c>
      <c r="AF643" s="13" t="inlineStr">
        <is>
          <t>P-8a &gt; CVN-81 &gt; Electronics &gt; READY ROOM (JSF) 1</t>
        </is>
      </c>
      <c r="AG643" s="7" t="inlineStr">
        <is>
          <t>122</t>
        </is>
      </c>
      <c r="AH643" s="7" t="inlineStr">
        <is>
          <t>2004</t>
        </is>
      </c>
      <c r="AJ643" s="7" t="inlineStr">
        <is>
          <t>READY ROOM (JSF)</t>
        </is>
      </c>
    </row>
    <row r="644" ht="10" customHeight="1">
      <c r="A644" s="7" t="inlineStr">
        <is>
          <t>SCN</t>
        </is>
      </c>
      <c r="B644" s="7" t="inlineStr">
        <is>
          <t>Procurement</t>
        </is>
      </c>
      <c r="D644" s="7" t="inlineStr">
        <is>
          <t>CVN-81 - P-8a Electronics - LITHIUM ION BATTERY HANDLING &amp; STORAGE</t>
        </is>
      </c>
      <c r="E644" s="13" t="inlineStr">
        <is>
          <t>[ALT_VIEW]</t>
        </is>
      </c>
      <c r="F644" s="7" t="inlineStr">
        <is>
          <t>2004 / CVN-81</t>
        </is>
      </c>
      <c r="G644" s="7" t="inlineStr">
        <is>
          <t>P-8a</t>
        </is>
      </c>
      <c r="H644" s="7" t="inlineStr">
        <is>
          <t>Electronics</t>
        </is>
      </c>
      <c r="I644" s="14" t="n">
        <v>1</v>
      </c>
      <c r="J644" s="7" t="inlineStr">
        <is>
          <t>Full ship DD&amp;C</t>
        </is>
      </c>
      <c r="K644" s="13" t="inlineStr">
        <is>
          <t>USN</t>
        </is>
      </c>
      <c r="L644" s="7" t="inlineStr">
        <is>
          <t>Combatant Ships</t>
        </is>
      </c>
      <c r="M644" s="7" t="inlineStr">
        <is>
          <t>Aircraft Carriers</t>
        </is>
      </c>
      <c r="N644" s="7" t="inlineStr">
        <is>
          <t>CVN</t>
        </is>
      </c>
      <c r="O644" s="15" t="n"/>
      <c r="S644" s="16" t="n">
        <v>2400</v>
      </c>
      <c r="U644" s="16" t="n">
        <v>2400</v>
      </c>
      <c r="AC644" s="23">
        <f>IF(OR(E644="",E644="[PARENT]"),"ADD",IF(E644="[ALT_VIEW]","ALT",""))</f>
        <v/>
      </c>
      <c r="AD644" s="21">
        <f>IF(Y644&lt;&gt;"",Y644,IF(U644&lt;&gt;"",U644,S644))</f>
        <v/>
      </c>
      <c r="AE644" s="21">
        <f>IF(AB644&lt;&gt;"",AB644,Z644)</f>
        <v/>
      </c>
      <c r="AF644" s="13" t="inlineStr">
        <is>
          <t>P-8a &gt; CVN-81 &gt; Electronics &gt; LITHIUM ION BATTERY HANDLING &amp; STORAGE</t>
        </is>
      </c>
      <c r="AG644" s="7" t="inlineStr">
        <is>
          <t>122</t>
        </is>
      </c>
      <c r="AH644" s="7" t="inlineStr">
        <is>
          <t>2004</t>
        </is>
      </c>
      <c r="AJ644" s="7" t="inlineStr">
        <is>
          <t>LITHIUM ION BATTERY HANDLING &amp; STORAGE</t>
        </is>
      </c>
    </row>
    <row r="645" ht="10" customHeight="1">
      <c r="A645" s="7" t="inlineStr">
        <is>
          <t>SCN</t>
        </is>
      </c>
      <c r="B645" s="7" t="inlineStr">
        <is>
          <t>Procurement</t>
        </is>
      </c>
      <c r="D645" s="7" t="inlineStr">
        <is>
          <t>CVN-81 - P-8a Electronics - OE-570G SATELLITE ANTENNA 1</t>
        </is>
      </c>
      <c r="E645" s="13" t="inlineStr">
        <is>
          <t>[ALT_VIEW]</t>
        </is>
      </c>
      <c r="F645" s="7" t="inlineStr">
        <is>
          <t>2004 / CVN-81</t>
        </is>
      </c>
      <c r="G645" s="7" t="inlineStr">
        <is>
          <t>P-8a</t>
        </is>
      </c>
      <c r="H645" s="7" t="inlineStr">
        <is>
          <t>Electronics</t>
        </is>
      </c>
      <c r="I645" s="14" t="n">
        <v>1</v>
      </c>
      <c r="J645" s="7" t="inlineStr">
        <is>
          <t>Full ship DD&amp;C</t>
        </is>
      </c>
      <c r="K645" s="13" t="inlineStr">
        <is>
          <t>USN</t>
        </is>
      </c>
      <c r="L645" s="7" t="inlineStr">
        <is>
          <t>Combatant Ships</t>
        </is>
      </c>
      <c r="M645" s="7" t="inlineStr">
        <is>
          <t>Aircraft Carriers</t>
        </is>
      </c>
      <c r="N645" s="7" t="inlineStr">
        <is>
          <t>CVN</t>
        </is>
      </c>
      <c r="O645" s="15" t="n"/>
      <c r="S645" s="16" t="n">
        <v>1204</v>
      </c>
      <c r="U645" s="16" t="n">
        <v>1204</v>
      </c>
      <c r="AC645" s="23">
        <f>IF(OR(E645="",E645="[PARENT]"),"ADD",IF(E645="[ALT_VIEW]","ALT",""))</f>
        <v/>
      </c>
      <c r="AD645" s="21">
        <f>IF(Y645&lt;&gt;"",Y645,IF(U645&lt;&gt;"",U645,S645))</f>
        <v/>
      </c>
      <c r="AE645" s="21">
        <f>IF(AB645&lt;&gt;"",AB645,Z645)</f>
        <v/>
      </c>
      <c r="AF645" s="13" t="inlineStr">
        <is>
          <t>P-8a &gt; CVN-81 &gt; Electronics &gt; OE-570G SATELLITE ANTENNA 1</t>
        </is>
      </c>
      <c r="AG645" s="7" t="inlineStr">
        <is>
          <t>122</t>
        </is>
      </c>
      <c r="AH645" s="7" t="inlineStr">
        <is>
          <t>2004</t>
        </is>
      </c>
      <c r="AJ645" s="7" t="inlineStr">
        <is>
          <t>OE-570G SATELLITE ANTENNA</t>
        </is>
      </c>
    </row>
    <row r="646" ht="10" customHeight="1">
      <c r="A646" s="7" t="inlineStr">
        <is>
          <t>SCN</t>
        </is>
      </c>
      <c r="B646" s="7" t="inlineStr">
        <is>
          <t>Procurement</t>
        </is>
      </c>
      <c r="D646" s="7" t="inlineStr">
        <is>
          <t>CVN-81 - P-8a Electronics - ELECTRONIC CHART DISPLAY AND INFORMATION SYSTEM, NAVY (ECDIS-N) 1</t>
        </is>
      </c>
      <c r="E646" s="13" t="inlineStr">
        <is>
          <t>[ALT_VIEW]</t>
        </is>
      </c>
      <c r="F646" s="7" t="inlineStr">
        <is>
          <t>2004 / CVN-81</t>
        </is>
      </c>
      <c r="G646" s="7" t="inlineStr">
        <is>
          <t>P-8a</t>
        </is>
      </c>
      <c r="H646" s="7" t="inlineStr">
        <is>
          <t>Electronics</t>
        </is>
      </c>
      <c r="I646" s="14" t="n">
        <v>1</v>
      </c>
      <c r="J646" s="7" t="inlineStr">
        <is>
          <t>Full ship DD&amp;C</t>
        </is>
      </c>
      <c r="K646" s="13" t="inlineStr">
        <is>
          <t>USN</t>
        </is>
      </c>
      <c r="L646" s="7" t="inlineStr">
        <is>
          <t>Combatant Ships</t>
        </is>
      </c>
      <c r="M646" s="7" t="inlineStr">
        <is>
          <t>Aircraft Carriers</t>
        </is>
      </c>
      <c r="N646" s="7" t="inlineStr">
        <is>
          <t>CVN</t>
        </is>
      </c>
      <c r="O646" s="15" t="n"/>
      <c r="S646" s="16" t="n">
        <v>2077</v>
      </c>
      <c r="U646" s="16" t="n">
        <v>2077</v>
      </c>
      <c r="AC646" s="23">
        <f>IF(OR(E646="",E646="[PARENT]"),"ADD",IF(E646="[ALT_VIEW]","ALT",""))</f>
        <v/>
      </c>
      <c r="AD646" s="21">
        <f>IF(Y646&lt;&gt;"",Y646,IF(U646&lt;&gt;"",U646,S646))</f>
        <v/>
      </c>
      <c r="AE646" s="21">
        <f>IF(AB646&lt;&gt;"",AB646,Z646)</f>
        <v/>
      </c>
      <c r="AF646" s="13" t="inlineStr">
        <is>
          <t>P-8a &gt; CVN-81 &gt; Electronics &gt; ELECTRONIC CHART DISPLAY AND INFORMATION SYSTEM, NAVY (ECDIS-N) 1</t>
        </is>
      </c>
      <c r="AG646" s="7" t="inlineStr">
        <is>
          <t>122</t>
        </is>
      </c>
      <c r="AH646" s="7" t="inlineStr">
        <is>
          <t>2004</t>
        </is>
      </c>
      <c r="AJ646" s="7" t="inlineStr">
        <is>
          <t>ELECTRONIC CHART DISPLAY AND INFORMATION SYSTEM, NAVY (ECDIS-N)</t>
        </is>
      </c>
    </row>
    <row r="647" ht="10" customHeight="1">
      <c r="A647" s="7" t="inlineStr">
        <is>
          <t>SCN</t>
        </is>
      </c>
      <c r="B647" s="7" t="inlineStr">
        <is>
          <t>Procurement</t>
        </is>
      </c>
      <c r="D647" s="7" t="inlineStr">
        <is>
          <t>CVN-81 - P-8a Electronics - ENVIRONMENTAL SATELLITE RECEIVER PROGRAM (ESRP) 1</t>
        </is>
      </c>
      <c r="E647" s="13" t="inlineStr">
        <is>
          <t>[ALT_VIEW]</t>
        </is>
      </c>
      <c r="F647" s="7" t="inlineStr">
        <is>
          <t>2004 / CVN-81</t>
        </is>
      </c>
      <c r="G647" s="7" t="inlineStr">
        <is>
          <t>P-8a</t>
        </is>
      </c>
      <c r="H647" s="7" t="inlineStr">
        <is>
          <t>Electronics</t>
        </is>
      </c>
      <c r="I647" s="14" t="n">
        <v>1</v>
      </c>
      <c r="J647" s="7" t="inlineStr">
        <is>
          <t>Full ship DD&amp;C</t>
        </is>
      </c>
      <c r="K647" s="13" t="inlineStr">
        <is>
          <t>USN</t>
        </is>
      </c>
      <c r="L647" s="7" t="inlineStr">
        <is>
          <t>Combatant Ships</t>
        </is>
      </c>
      <c r="M647" s="7" t="inlineStr">
        <is>
          <t>Aircraft Carriers</t>
        </is>
      </c>
      <c r="N647" s="7" t="inlineStr">
        <is>
          <t>CVN</t>
        </is>
      </c>
      <c r="O647" s="15" t="n"/>
      <c r="S647" s="16" t="n">
        <v>4347</v>
      </c>
      <c r="U647" s="16" t="n">
        <v>4347</v>
      </c>
      <c r="AC647" s="23">
        <f>IF(OR(E647="",E647="[PARENT]"),"ADD",IF(E647="[ALT_VIEW]","ALT",""))</f>
        <v/>
      </c>
      <c r="AD647" s="21">
        <f>IF(Y647&lt;&gt;"",Y647,IF(U647&lt;&gt;"",U647,S647))</f>
        <v/>
      </c>
      <c r="AE647" s="21">
        <f>IF(AB647&lt;&gt;"",AB647,Z647)</f>
        <v/>
      </c>
      <c r="AF647" s="13" t="inlineStr">
        <is>
          <t>P-8a &gt; CVN-81 &gt; Electronics &gt; ENVIRONMENTAL SATELLITE RECEIVER PROGRAM (ESRP) 1</t>
        </is>
      </c>
      <c r="AG647" s="7" t="inlineStr">
        <is>
          <t>122</t>
        </is>
      </c>
      <c r="AH647" s="7" t="inlineStr">
        <is>
          <t>2004</t>
        </is>
      </c>
      <c r="AJ647" s="7" t="inlineStr">
        <is>
          <t>ENVIRONMENTAL SATELLITE RECEIVER PROGRAM (ESRP)</t>
        </is>
      </c>
    </row>
    <row r="648" ht="10" customHeight="1">
      <c r="A648" s="7" t="inlineStr">
        <is>
          <t>SCN</t>
        </is>
      </c>
      <c r="B648" s="7" t="inlineStr">
        <is>
          <t>Procurement</t>
        </is>
      </c>
      <c r="D648" s="7" t="inlineStr">
        <is>
          <t>CVN-81 - P-8a Electronics - Other ELECTRONICS</t>
        </is>
      </c>
      <c r="E648" s="13" t="inlineStr">
        <is>
          <t>[ALT_VIEW]</t>
        </is>
      </c>
      <c r="F648" s="7" t="inlineStr">
        <is>
          <t>2004 / CVN-81</t>
        </is>
      </c>
      <c r="G648" s="7" t="inlineStr">
        <is>
          <t>P-8a</t>
        </is>
      </c>
      <c r="H648" s="7" t="inlineStr">
        <is>
          <t>Electronics</t>
        </is>
      </c>
      <c r="I648" s="14" t="n">
        <v>1</v>
      </c>
      <c r="J648" s="7" t="inlineStr">
        <is>
          <t>Full ship DD&amp;C</t>
        </is>
      </c>
      <c r="K648" s="13" t="inlineStr">
        <is>
          <t>USN</t>
        </is>
      </c>
      <c r="L648" s="7" t="inlineStr">
        <is>
          <t>Combatant Ships</t>
        </is>
      </c>
      <c r="M648" s="7" t="inlineStr">
        <is>
          <t>Aircraft Carriers</t>
        </is>
      </c>
      <c r="N648" s="7" t="inlineStr">
        <is>
          <t>CVN</t>
        </is>
      </c>
      <c r="O648" s="15" t="n"/>
      <c r="S648" s="16" t="n">
        <v>13115</v>
      </c>
      <c r="U648" s="16" t="n">
        <v>13115</v>
      </c>
      <c r="AC648" s="23">
        <f>IF(OR(E648="",E648="[PARENT]"),"ADD",IF(E648="[ALT_VIEW]","ALT",""))</f>
        <v/>
      </c>
      <c r="AD648" s="21">
        <f>IF(Y648&lt;&gt;"",Y648,IF(U648&lt;&gt;"",U648,S648))</f>
        <v/>
      </c>
      <c r="AE648" s="21">
        <f>IF(AB648&lt;&gt;"",AB648,Z648)</f>
        <v/>
      </c>
      <c r="AF648" s="13" t="inlineStr">
        <is>
          <t>P-8a &gt; CVN-81 &gt; Electronics &gt; Other ELECTRONICS</t>
        </is>
      </c>
      <c r="AG648" s="7" t="inlineStr">
        <is>
          <t>122</t>
        </is>
      </c>
      <c r="AH648" s="7" t="inlineStr">
        <is>
          <t>2004</t>
        </is>
      </c>
      <c r="AJ648" s="7" t="inlineStr">
        <is>
          <t>Other ELECTRONICS</t>
        </is>
      </c>
    </row>
    <row r="649" ht="10" customHeight="1">
      <c r="A649" s="7" t="inlineStr">
        <is>
          <t>SCN</t>
        </is>
      </c>
      <c r="B649" s="7" t="inlineStr">
        <is>
          <t>Procurement</t>
        </is>
      </c>
      <c r="D649" s="7" t="inlineStr">
        <is>
          <t>CVN-81 - P-8a Hull, Mechanical, and Electrical - HM&amp;E ENGINEERING SERVICES</t>
        </is>
      </c>
      <c r="E649" s="13" t="inlineStr">
        <is>
          <t>[ALT_VIEW]</t>
        </is>
      </c>
      <c r="F649" s="7" t="inlineStr">
        <is>
          <t>2004 / CVN-81</t>
        </is>
      </c>
      <c r="G649" s="7" t="inlineStr">
        <is>
          <t>P-8a</t>
        </is>
      </c>
      <c r="H649" s="7" t="inlineStr">
        <is>
          <t>Hull, Mechanical, and Electrical</t>
        </is>
      </c>
      <c r="I649" s="14" t="n">
        <v>1</v>
      </c>
      <c r="J649" s="7" t="inlineStr">
        <is>
          <t>Full ship DD&amp;C</t>
        </is>
      </c>
      <c r="K649" s="13" t="inlineStr">
        <is>
          <t>USN</t>
        </is>
      </c>
      <c r="L649" s="7" t="inlineStr">
        <is>
          <t>Combatant Ships</t>
        </is>
      </c>
      <c r="M649" s="7" t="inlineStr">
        <is>
          <t>Aircraft Carriers</t>
        </is>
      </c>
      <c r="N649" s="7" t="inlineStr">
        <is>
          <t>CVN</t>
        </is>
      </c>
      <c r="O649" s="15" t="n"/>
      <c r="S649" s="16" t="n">
        <v>8093</v>
      </c>
      <c r="U649" s="16" t="n">
        <v>8093</v>
      </c>
      <c r="AC649" s="23">
        <f>IF(OR(E649="",E649="[PARENT]"),"ADD",IF(E649="[ALT_VIEW]","ALT",""))</f>
        <v/>
      </c>
      <c r="AD649" s="21">
        <f>IF(Y649&lt;&gt;"",Y649,IF(U649&lt;&gt;"",U649,S649))</f>
        <v/>
      </c>
      <c r="AE649" s="21">
        <f>IF(AB649&lt;&gt;"",AB649,Z649)</f>
        <v/>
      </c>
      <c r="AF649" s="13" t="inlineStr">
        <is>
          <t>P-8a &gt; CVN-81 &gt; Hull, Mechanical, and Electrical &gt; HM&amp;E ENGINEERING SERVICES</t>
        </is>
      </c>
      <c r="AG649" s="7" t="inlineStr">
        <is>
          <t>123</t>
        </is>
      </c>
      <c r="AH649" s="7" t="inlineStr">
        <is>
          <t>2004</t>
        </is>
      </c>
      <c r="AJ649" s="7" t="inlineStr">
        <is>
          <t>HM&amp;E ENGINEERING SERVICES</t>
        </is>
      </c>
    </row>
    <row r="650" ht="10" customHeight="1">
      <c r="A650" s="7" t="inlineStr">
        <is>
          <t>SCN</t>
        </is>
      </c>
      <c r="B650" s="7" t="inlineStr">
        <is>
          <t>Procurement</t>
        </is>
      </c>
      <c r="D650" s="7" t="inlineStr">
        <is>
          <t>CVN-81 - P-8a Hull, Mechanical, and Electrical - LIFE RAFTS</t>
        </is>
      </c>
      <c r="E650" s="13" t="inlineStr">
        <is>
          <t>[ALT_VIEW]</t>
        </is>
      </c>
      <c r="F650" s="7" t="inlineStr">
        <is>
          <t>2004 / CVN-81</t>
        </is>
      </c>
      <c r="G650" s="7" t="inlineStr">
        <is>
          <t>P-8a</t>
        </is>
      </c>
      <c r="H650" s="7" t="inlineStr">
        <is>
          <t>Hull, Mechanical, and Electrical</t>
        </is>
      </c>
      <c r="I650" s="14" t="n">
        <v>1</v>
      </c>
      <c r="J650" s="7" t="inlineStr">
        <is>
          <t>Full ship DD&amp;C</t>
        </is>
      </c>
      <c r="K650" s="13" t="inlineStr">
        <is>
          <t>USN</t>
        </is>
      </c>
      <c r="L650" s="7" t="inlineStr">
        <is>
          <t>Combatant Ships</t>
        </is>
      </c>
      <c r="M650" s="7" t="inlineStr">
        <is>
          <t>Aircraft Carriers</t>
        </is>
      </c>
      <c r="N650" s="7" t="inlineStr">
        <is>
          <t>CVN</t>
        </is>
      </c>
      <c r="O650" s="15" t="n"/>
      <c r="S650" s="16" t="n">
        <v>2130</v>
      </c>
      <c r="U650" s="16" t="n">
        <v>2130</v>
      </c>
      <c r="AC650" s="23">
        <f>IF(OR(E650="",E650="[PARENT]"),"ADD",IF(E650="[ALT_VIEW]","ALT",""))</f>
        <v/>
      </c>
      <c r="AD650" s="21">
        <f>IF(Y650&lt;&gt;"",Y650,IF(U650&lt;&gt;"",U650,S650))</f>
        <v/>
      </c>
      <c r="AE650" s="21">
        <f>IF(AB650&lt;&gt;"",AB650,Z650)</f>
        <v/>
      </c>
      <c r="AF650" s="13" t="inlineStr">
        <is>
          <t>P-8a &gt; CVN-81 &gt; Hull, Mechanical, and Electrical &gt; LIFE RAFTS</t>
        </is>
      </c>
      <c r="AG650" s="7" t="inlineStr">
        <is>
          <t>123</t>
        </is>
      </c>
      <c r="AH650" s="7" t="inlineStr">
        <is>
          <t>2004</t>
        </is>
      </c>
      <c r="AJ650" s="7" t="inlineStr">
        <is>
          <t>LIFE RAFTS</t>
        </is>
      </c>
    </row>
    <row r="651" ht="10" customHeight="1">
      <c r="A651" s="7" t="inlineStr">
        <is>
          <t>SCN</t>
        </is>
      </c>
      <c r="B651" s="7" t="inlineStr">
        <is>
          <t>Procurement</t>
        </is>
      </c>
      <c r="D651" s="7" t="inlineStr">
        <is>
          <t>CVN-81 - P-8a Hull, Mechanical, and Electrical - SUPSHIP MATERIAL AND GFE</t>
        </is>
      </c>
      <c r="E651" s="13" t="inlineStr">
        <is>
          <t>[ALT_VIEW]</t>
        </is>
      </c>
      <c r="F651" s="7" t="inlineStr">
        <is>
          <t>2004 / CVN-81</t>
        </is>
      </c>
      <c r="G651" s="7" t="inlineStr">
        <is>
          <t>P-8a</t>
        </is>
      </c>
      <c r="H651" s="7" t="inlineStr">
        <is>
          <t>Hull, Mechanical, and Electrical</t>
        </is>
      </c>
      <c r="I651" s="14" t="n">
        <v>1</v>
      </c>
      <c r="J651" s="7" t="inlineStr">
        <is>
          <t>Full ship DD&amp;C</t>
        </is>
      </c>
      <c r="K651" s="13" t="inlineStr">
        <is>
          <t>USN</t>
        </is>
      </c>
      <c r="L651" s="7" t="inlineStr">
        <is>
          <t>Combatant Ships</t>
        </is>
      </c>
      <c r="M651" s="7" t="inlineStr">
        <is>
          <t>Aircraft Carriers</t>
        </is>
      </c>
      <c r="N651" s="7" t="inlineStr">
        <is>
          <t>CVN</t>
        </is>
      </c>
      <c r="O651" s="15" t="n"/>
      <c r="S651" s="16" t="n">
        <v>616</v>
      </c>
      <c r="U651" s="16" t="n">
        <v>616</v>
      </c>
      <c r="AC651" s="23">
        <f>IF(OR(E651="",E651="[PARENT]"),"ADD",IF(E651="[ALT_VIEW]","ALT",""))</f>
        <v/>
      </c>
      <c r="AD651" s="21">
        <f>IF(Y651&lt;&gt;"",Y651,IF(U651&lt;&gt;"",U651,S651))</f>
        <v/>
      </c>
      <c r="AE651" s="21">
        <f>IF(AB651&lt;&gt;"",AB651,Z651)</f>
        <v/>
      </c>
      <c r="AF651" s="13" t="inlineStr">
        <is>
          <t>P-8a &gt; CVN-81 &gt; Hull, Mechanical, and Electrical &gt; SUPSHIP MATERIAL AND GFE</t>
        </is>
      </c>
      <c r="AG651" s="7" t="inlineStr">
        <is>
          <t>123</t>
        </is>
      </c>
      <c r="AH651" s="7" t="inlineStr">
        <is>
          <t>2004</t>
        </is>
      </c>
      <c r="AJ651" s="7" t="inlineStr">
        <is>
          <t>SUPSHIP MATERIAL AND GFE</t>
        </is>
      </c>
    </row>
    <row r="652" ht="10" customHeight="1">
      <c r="A652" s="7" t="inlineStr">
        <is>
          <t>SCN</t>
        </is>
      </c>
      <c r="B652" s="7" t="inlineStr">
        <is>
          <t>Procurement</t>
        </is>
      </c>
      <c r="D652" s="7" t="inlineStr">
        <is>
          <t>CVN-81 - P-8a Hull, Mechanical, and Electrical - TRUCKS (FORKLIFTS)</t>
        </is>
      </c>
      <c r="E652" s="13" t="inlineStr">
        <is>
          <t>[ALT_VIEW]</t>
        </is>
      </c>
      <c r="F652" s="7" t="inlineStr">
        <is>
          <t>2004 / CVN-81</t>
        </is>
      </c>
      <c r="G652" s="7" t="inlineStr">
        <is>
          <t>P-8a</t>
        </is>
      </c>
      <c r="H652" s="7" t="inlineStr">
        <is>
          <t>Hull, Mechanical, and Electrical</t>
        </is>
      </c>
      <c r="I652" s="14" t="n">
        <v>1</v>
      </c>
      <c r="J652" s="7" t="inlineStr">
        <is>
          <t>Full ship DD&amp;C</t>
        </is>
      </c>
      <c r="K652" s="13" t="inlineStr">
        <is>
          <t>USN</t>
        </is>
      </c>
      <c r="L652" s="7" t="inlineStr">
        <is>
          <t>Combatant Ships</t>
        </is>
      </c>
      <c r="M652" s="7" t="inlineStr">
        <is>
          <t>Aircraft Carriers</t>
        </is>
      </c>
      <c r="N652" s="7" t="inlineStr">
        <is>
          <t>CVN</t>
        </is>
      </c>
      <c r="O652" s="15" t="n"/>
      <c r="S652" s="16" t="n">
        <v>820</v>
      </c>
      <c r="U652" s="16" t="n">
        <v>820</v>
      </c>
      <c r="AC652" s="23">
        <f>IF(OR(E652="",E652="[PARENT]"),"ADD",IF(E652="[ALT_VIEW]","ALT",""))</f>
        <v/>
      </c>
      <c r="AD652" s="21">
        <f>IF(Y652&lt;&gt;"",Y652,IF(U652&lt;&gt;"",U652,S652))</f>
        <v/>
      </c>
      <c r="AE652" s="21">
        <f>IF(AB652&lt;&gt;"",AB652,Z652)</f>
        <v/>
      </c>
      <c r="AF652" s="13" t="inlineStr">
        <is>
          <t>P-8a &gt; CVN-81 &gt; Hull, Mechanical, and Electrical &gt; TRUCKS (FORKLIFTS)</t>
        </is>
      </c>
      <c r="AG652" s="7" t="inlineStr">
        <is>
          <t>123</t>
        </is>
      </c>
      <c r="AH652" s="7" t="inlineStr">
        <is>
          <t>2004</t>
        </is>
      </c>
      <c r="AJ652" s="7" t="inlineStr">
        <is>
          <t>TRUCKS (FORKLIFTS)</t>
        </is>
      </c>
    </row>
    <row r="653" ht="10" customHeight="1">
      <c r="A653" s="7" t="inlineStr">
        <is>
          <t>SCN</t>
        </is>
      </c>
      <c r="B653" s="7" t="inlineStr">
        <is>
          <t>Procurement</t>
        </is>
      </c>
      <c r="D653" s="7" t="inlineStr">
        <is>
          <t>CVN-81 - P-8a Hull, Mechanical, and Electrical - Other HM&amp;E</t>
        </is>
      </c>
      <c r="E653" s="13" t="inlineStr">
        <is>
          <t>[ALT_VIEW]</t>
        </is>
      </c>
      <c r="F653" s="7" t="inlineStr">
        <is>
          <t>2004 / CVN-81</t>
        </is>
      </c>
      <c r="G653" s="7" t="inlineStr">
        <is>
          <t>P-8a</t>
        </is>
      </c>
      <c r="H653" s="7" t="inlineStr">
        <is>
          <t>Hull, Mechanical, and Electrical</t>
        </is>
      </c>
      <c r="I653" s="14" t="n">
        <v>1</v>
      </c>
      <c r="J653" s="7" t="inlineStr">
        <is>
          <t>Full ship DD&amp;C</t>
        </is>
      </c>
      <c r="K653" s="13" t="inlineStr">
        <is>
          <t>USN</t>
        </is>
      </c>
      <c r="L653" s="7" t="inlineStr">
        <is>
          <t>Combatant Ships</t>
        </is>
      </c>
      <c r="M653" s="7" t="inlineStr">
        <is>
          <t>Aircraft Carriers</t>
        </is>
      </c>
      <c r="N653" s="7" t="inlineStr">
        <is>
          <t>CVN</t>
        </is>
      </c>
      <c r="O653" s="15" t="n"/>
      <c r="S653" s="16" t="n">
        <v>3597</v>
      </c>
      <c r="U653" s="16" t="n">
        <v>3597</v>
      </c>
      <c r="AC653" s="23">
        <f>IF(OR(E653="",E653="[PARENT]"),"ADD",IF(E653="[ALT_VIEW]","ALT",""))</f>
        <v/>
      </c>
      <c r="AD653" s="21">
        <f>IF(Y653&lt;&gt;"",Y653,IF(U653&lt;&gt;"",U653,S653))</f>
        <v/>
      </c>
      <c r="AE653" s="21">
        <f>IF(AB653&lt;&gt;"",AB653,Z653)</f>
        <v/>
      </c>
      <c r="AF653" s="13" t="inlineStr">
        <is>
          <t>P-8a &gt; CVN-81 &gt; Hull, Mechanical, and Electrical &gt; Other HM&amp;E</t>
        </is>
      </c>
      <c r="AG653" s="7" t="inlineStr">
        <is>
          <t>123</t>
        </is>
      </c>
      <c r="AH653" s="7" t="inlineStr">
        <is>
          <t>2004</t>
        </is>
      </c>
      <c r="AJ653" s="7" t="inlineStr">
        <is>
          <t>Other HM&amp;E</t>
        </is>
      </c>
    </row>
    <row r="654" ht="10" customHeight="1">
      <c r="A654" s="7" t="inlineStr">
        <is>
          <t>SCN</t>
        </is>
      </c>
      <c r="B654" s="7" t="inlineStr">
        <is>
          <t>Procurement</t>
        </is>
      </c>
      <c r="D654" s="7" t="inlineStr">
        <is>
          <t>CVN-81 - P-8a Ordnance - ELECTROMAGNETIC AIRCRAFT LAUNCHING SYSTEM (EMALS) 1</t>
        </is>
      </c>
      <c r="E654" s="13" t="inlineStr">
        <is>
          <t>[ALT_VIEW]</t>
        </is>
      </c>
      <c r="F654" s="7" t="inlineStr">
        <is>
          <t>2004 / CVN-81</t>
        </is>
      </c>
      <c r="G654" s="7" t="inlineStr">
        <is>
          <t>P-8a</t>
        </is>
      </c>
      <c r="H654" s="7" t="inlineStr">
        <is>
          <t>Ordnance</t>
        </is>
      </c>
      <c r="I654" s="14" t="n">
        <v>1</v>
      </c>
      <c r="J654" s="7" t="inlineStr">
        <is>
          <t>Full ship DD&amp;C</t>
        </is>
      </c>
      <c r="K654" s="13" t="inlineStr">
        <is>
          <t>USN</t>
        </is>
      </c>
      <c r="L654" s="7" t="inlineStr">
        <is>
          <t>Combatant Ships</t>
        </is>
      </c>
      <c r="M654" s="7" t="inlineStr">
        <is>
          <t>Aircraft Carriers</t>
        </is>
      </c>
      <c r="N654" s="7" t="inlineStr">
        <is>
          <t>CVN</t>
        </is>
      </c>
      <c r="O654" s="15" t="n"/>
      <c r="S654" s="16" t="n">
        <v>1191529</v>
      </c>
      <c r="U654" s="16" t="n">
        <v>1191529</v>
      </c>
      <c r="AC654" s="23">
        <f>IF(OR(E654="",E654="[PARENT]"),"ADD",IF(E654="[ALT_VIEW]","ALT",""))</f>
        <v/>
      </c>
      <c r="AD654" s="21">
        <f>IF(Y654&lt;&gt;"",Y654,IF(U654&lt;&gt;"",U654,S654))</f>
        <v/>
      </c>
      <c r="AE654" s="21">
        <f>IF(AB654&lt;&gt;"",AB654,Z654)</f>
        <v/>
      </c>
      <c r="AF654" s="13" t="inlineStr">
        <is>
          <t>P-8a &gt; CVN-81 &gt; Ordnance &gt; ELECTROMAGNETIC AIRCRAFT LAUNCHING SYSTEM (EMALS) 1</t>
        </is>
      </c>
      <c r="AG654" s="7" t="inlineStr">
        <is>
          <t>124</t>
        </is>
      </c>
      <c r="AH654" s="7" t="inlineStr">
        <is>
          <t>2004</t>
        </is>
      </c>
      <c r="AJ654" s="7" t="inlineStr">
        <is>
          <t>ELECTROMAGNETIC AIRCRAFT LAUNCHING SYSTEM (EMALS)</t>
        </is>
      </c>
    </row>
    <row r="655" ht="10" customHeight="1">
      <c r="A655" s="7" t="inlineStr">
        <is>
          <t>SCN</t>
        </is>
      </c>
      <c r="B655" s="7" t="inlineStr">
        <is>
          <t>Procurement</t>
        </is>
      </c>
      <c r="D655" s="7" t="inlineStr">
        <is>
          <t>CVN-81 - P-8a Ordnance - AN/SPY-6(V)3 ENTERPRISE AIR SURVEILLANCE RADAR (EASR) 1</t>
        </is>
      </c>
      <c r="E655" s="13" t="inlineStr">
        <is>
          <t>[ALT_VIEW]</t>
        </is>
      </c>
      <c r="F655" s="7" t="inlineStr">
        <is>
          <t>2004 / CVN-81</t>
        </is>
      </c>
      <c r="G655" s="7" t="inlineStr">
        <is>
          <t>P-8a</t>
        </is>
      </c>
      <c r="H655" s="7" t="inlineStr">
        <is>
          <t>Ordnance</t>
        </is>
      </c>
      <c r="I655" s="14" t="n">
        <v>1</v>
      </c>
      <c r="J655" s="7" t="inlineStr">
        <is>
          <t>Full ship DD&amp;C</t>
        </is>
      </c>
      <c r="K655" s="13" t="inlineStr">
        <is>
          <t>USN</t>
        </is>
      </c>
      <c r="L655" s="7" t="inlineStr">
        <is>
          <t>Combatant Ships</t>
        </is>
      </c>
      <c r="M655" s="7" t="inlineStr">
        <is>
          <t>Aircraft Carriers</t>
        </is>
      </c>
      <c r="N655" s="7" t="inlineStr">
        <is>
          <t>CVN</t>
        </is>
      </c>
      <c r="O655" s="15" t="n"/>
      <c r="S655" s="16" t="n">
        <v>75378</v>
      </c>
      <c r="U655" s="16" t="n">
        <v>75378</v>
      </c>
      <c r="AC655" s="23">
        <f>IF(OR(E655="",E655="[PARENT]"),"ADD",IF(E655="[ALT_VIEW]","ALT",""))</f>
        <v/>
      </c>
      <c r="AD655" s="21">
        <f>IF(Y655&lt;&gt;"",Y655,IF(U655&lt;&gt;"",U655,S655))</f>
        <v/>
      </c>
      <c r="AE655" s="21">
        <f>IF(AB655&lt;&gt;"",AB655,Z655)</f>
        <v/>
      </c>
      <c r="AF655" s="13" t="inlineStr">
        <is>
          <t>P-8a &gt; CVN-81 &gt; Ordnance &gt; AN/SPY-6(V)3 ENTERPRISE AIR SURVEILLANCE RADAR (EASR) 1</t>
        </is>
      </c>
      <c r="AG655" s="7" t="inlineStr">
        <is>
          <t>124</t>
        </is>
      </c>
      <c r="AH655" s="7" t="inlineStr">
        <is>
          <t>2004</t>
        </is>
      </c>
      <c r="AJ655" s="7" t="inlineStr">
        <is>
          <t>AN/SPY-6(V)3 ENTERPRISE AIR SURVEILLANCE RADAR (EASR)</t>
        </is>
      </c>
    </row>
    <row r="656" ht="10" customHeight="1">
      <c r="A656" s="7" t="inlineStr">
        <is>
          <t>SCN</t>
        </is>
      </c>
      <c r="B656" s="7" t="inlineStr">
        <is>
          <t>Procurement</t>
        </is>
      </c>
      <c r="D656" s="7" t="inlineStr">
        <is>
          <t>CVN-81 - P-8a Ordnance - ADVANCED ARRESTING GEAR (AAG) 1</t>
        </is>
      </c>
      <c r="E656" s="13" t="inlineStr">
        <is>
          <t>[ALT_VIEW]</t>
        </is>
      </c>
      <c r="F656" s="7" t="inlineStr">
        <is>
          <t>2004 / CVN-81</t>
        </is>
      </c>
      <c r="G656" s="7" t="inlineStr">
        <is>
          <t>P-8a</t>
        </is>
      </c>
      <c r="H656" s="7" t="inlineStr">
        <is>
          <t>Ordnance</t>
        </is>
      </c>
      <c r="I656" s="14" t="n">
        <v>1</v>
      </c>
      <c r="J656" s="7" t="inlineStr">
        <is>
          <t>Full ship DD&amp;C</t>
        </is>
      </c>
      <c r="K656" s="13" t="inlineStr">
        <is>
          <t>USN</t>
        </is>
      </c>
      <c r="L656" s="7" t="inlineStr">
        <is>
          <t>Combatant Ships</t>
        </is>
      </c>
      <c r="M656" s="7" t="inlineStr">
        <is>
          <t>Aircraft Carriers</t>
        </is>
      </c>
      <c r="N656" s="7" t="inlineStr">
        <is>
          <t>CVN</t>
        </is>
      </c>
      <c r="O656" s="15" t="n"/>
      <c r="S656" s="16" t="n">
        <v>596110</v>
      </c>
      <c r="U656" s="16" t="n">
        <v>596110</v>
      </c>
      <c r="AC656" s="23">
        <f>IF(OR(E656="",E656="[PARENT]"),"ADD",IF(E656="[ALT_VIEW]","ALT",""))</f>
        <v/>
      </c>
      <c r="AD656" s="21">
        <f>IF(Y656&lt;&gt;"",Y656,IF(U656&lt;&gt;"",U656,S656))</f>
        <v/>
      </c>
      <c r="AE656" s="21">
        <f>IF(AB656&lt;&gt;"",AB656,Z656)</f>
        <v/>
      </c>
      <c r="AF656" s="13" t="inlineStr">
        <is>
          <t>P-8a &gt; CVN-81 &gt; Ordnance &gt; ADVANCED ARRESTING GEAR (AAG) 1</t>
        </is>
      </c>
      <c r="AG656" s="7" t="inlineStr">
        <is>
          <t>124</t>
        </is>
      </c>
      <c r="AH656" s="7" t="inlineStr">
        <is>
          <t>2004</t>
        </is>
      </c>
      <c r="AJ656" s="7" t="inlineStr">
        <is>
          <t>ADVANCED ARRESTING GEAR (AAG)</t>
        </is>
      </c>
    </row>
    <row r="657" ht="10" customHeight="1">
      <c r="A657" s="7" t="inlineStr">
        <is>
          <t>SCN</t>
        </is>
      </c>
      <c r="B657" s="7" t="inlineStr">
        <is>
          <t>Procurement</t>
        </is>
      </c>
      <c r="D657" s="7" t="inlineStr">
        <is>
          <t>CVN-81 - P-8a Ordnance - PHALANX BLOCK 1B MK 15 MOD 21 &amp; 22, CLOSE - IN WEAPONS SYSTEM (CIWS) 3</t>
        </is>
      </c>
      <c r="E657" s="13" t="inlineStr">
        <is>
          <t>[ALT_VIEW]</t>
        </is>
      </c>
      <c r="F657" s="7" t="inlineStr">
        <is>
          <t>2004 / CVN-81</t>
        </is>
      </c>
      <c r="G657" s="7" t="inlineStr">
        <is>
          <t>P-8a</t>
        </is>
      </c>
      <c r="H657" s="7" t="inlineStr">
        <is>
          <t>Ordnance</t>
        </is>
      </c>
      <c r="I657" s="14" t="n">
        <v>1</v>
      </c>
      <c r="J657" s="7" t="inlineStr">
        <is>
          <t>Full ship DD&amp;C</t>
        </is>
      </c>
      <c r="K657" s="13" t="inlineStr">
        <is>
          <t>USN</t>
        </is>
      </c>
      <c r="L657" s="7" t="inlineStr">
        <is>
          <t>Combatant Ships</t>
        </is>
      </c>
      <c r="M657" s="7" t="inlineStr">
        <is>
          <t>Aircraft Carriers</t>
        </is>
      </c>
      <c r="N657" s="7" t="inlineStr">
        <is>
          <t>CVN</t>
        </is>
      </c>
      <c r="O657" s="15" t="n"/>
      <c r="S657" s="16" t="n">
        <v>28343</v>
      </c>
      <c r="U657" s="16" t="n">
        <v>28343</v>
      </c>
      <c r="AC657" s="23">
        <f>IF(OR(E657="",E657="[PARENT]"),"ADD",IF(E657="[ALT_VIEW]","ALT",""))</f>
        <v/>
      </c>
      <c r="AD657" s="21">
        <f>IF(Y657&lt;&gt;"",Y657,IF(U657&lt;&gt;"",U657,S657))</f>
        <v/>
      </c>
      <c r="AE657" s="21">
        <f>IF(AB657&lt;&gt;"",AB657,Z657)</f>
        <v/>
      </c>
      <c r="AF657" s="13" t="inlineStr">
        <is>
          <t>P-8a &gt; CVN-81 &gt; Ordnance &gt; PHALANX BLOCK 1B MK 15 MOD 21 &amp; 22, CLOSE - IN WEAPONS SYSTEM (CIWS) 3</t>
        </is>
      </c>
      <c r="AG657" s="7" t="inlineStr">
        <is>
          <t>124</t>
        </is>
      </c>
      <c r="AH657" s="7" t="inlineStr">
        <is>
          <t>2004</t>
        </is>
      </c>
    </row>
    <row r="658" ht="10" customHeight="1">
      <c r="A658" s="7" t="inlineStr">
        <is>
          <t>SCN</t>
        </is>
      </c>
      <c r="B658" s="7" t="inlineStr">
        <is>
          <t>Procurement</t>
        </is>
      </c>
      <c r="D658" s="7" t="inlineStr">
        <is>
          <t>CVN-81 - P-8a Ordnance - AN/SQQ-34, CARRIER-TACTICAL SUPPORT CENTER (CV-TSC) 1</t>
        </is>
      </c>
      <c r="E658" s="13" t="inlineStr">
        <is>
          <t>[ALT_VIEW]</t>
        </is>
      </c>
      <c r="F658" s="7" t="inlineStr">
        <is>
          <t>2004 / CVN-81</t>
        </is>
      </c>
      <c r="G658" s="7" t="inlineStr">
        <is>
          <t>P-8a</t>
        </is>
      </c>
      <c r="H658" s="7" t="inlineStr">
        <is>
          <t>Ordnance</t>
        </is>
      </c>
      <c r="I658" s="14" t="n">
        <v>1</v>
      </c>
      <c r="J658" s="7" t="inlineStr">
        <is>
          <t>Full ship DD&amp;C</t>
        </is>
      </c>
      <c r="K658" s="13" t="inlineStr">
        <is>
          <t>USN</t>
        </is>
      </c>
      <c r="L658" s="7" t="inlineStr">
        <is>
          <t>Combatant Ships</t>
        </is>
      </c>
      <c r="M658" s="7" t="inlineStr">
        <is>
          <t>Aircraft Carriers</t>
        </is>
      </c>
      <c r="N658" s="7" t="inlineStr">
        <is>
          <t>CVN</t>
        </is>
      </c>
      <c r="O658" s="15" t="n"/>
      <c r="S658" s="16" t="n">
        <v>3684</v>
      </c>
      <c r="U658" s="16" t="n">
        <v>3684</v>
      </c>
      <c r="AC658" s="23">
        <f>IF(OR(E658="",E658="[PARENT]"),"ADD",IF(E658="[ALT_VIEW]","ALT",""))</f>
        <v/>
      </c>
      <c r="AD658" s="21">
        <f>IF(Y658&lt;&gt;"",Y658,IF(U658&lt;&gt;"",U658,S658))</f>
        <v/>
      </c>
      <c r="AE658" s="21">
        <f>IF(AB658&lt;&gt;"",AB658,Z658)</f>
        <v/>
      </c>
      <c r="AF658" s="13" t="inlineStr">
        <is>
          <t>P-8a &gt; CVN-81 &gt; Ordnance &gt; AN/SQQ-34, CARRIER-TACTICAL SUPPORT CENTER (CV-TSC) 1</t>
        </is>
      </c>
      <c r="AG658" s="7" t="inlineStr">
        <is>
          <t>124</t>
        </is>
      </c>
      <c r="AH658" s="7" t="inlineStr">
        <is>
          <t>2004</t>
        </is>
      </c>
      <c r="AJ658" s="7" t="inlineStr">
        <is>
          <t>AN/SQQ-34, CARRIER-TACTICAL SUPPORT CENTER (CV-TSC)</t>
        </is>
      </c>
    </row>
    <row r="659" ht="10" customHeight="1">
      <c r="A659" s="7" t="inlineStr">
        <is>
          <t>SCN</t>
        </is>
      </c>
      <c r="B659" s="7" t="inlineStr">
        <is>
          <t>Procurement</t>
        </is>
      </c>
      <c r="D659" s="7" t="inlineStr">
        <is>
          <t>CVN-81 - P-8a Ordnance - MK-57 NATO SEASPARROW MISSILE SYSTEM (NSSMS) 1</t>
        </is>
      </c>
      <c r="E659" s="13" t="inlineStr">
        <is>
          <t>[ALT_VIEW]</t>
        </is>
      </c>
      <c r="F659" s="7" t="inlineStr">
        <is>
          <t>2004 / CVN-81</t>
        </is>
      </c>
      <c r="G659" s="7" t="inlineStr">
        <is>
          <t>P-8a</t>
        </is>
      </c>
      <c r="H659" s="7" t="inlineStr">
        <is>
          <t>Ordnance</t>
        </is>
      </c>
      <c r="I659" s="14" t="n">
        <v>1</v>
      </c>
      <c r="J659" s="7" t="inlineStr">
        <is>
          <t>Full ship DD&amp;C</t>
        </is>
      </c>
      <c r="K659" s="13" t="inlineStr">
        <is>
          <t>USN</t>
        </is>
      </c>
      <c r="L659" s="7" t="inlineStr">
        <is>
          <t>Combatant Ships</t>
        </is>
      </c>
      <c r="M659" s="7" t="inlineStr">
        <is>
          <t>Aircraft Carriers</t>
        </is>
      </c>
      <c r="N659" s="7" t="inlineStr">
        <is>
          <t>CVN</t>
        </is>
      </c>
      <c r="O659" s="15" t="n"/>
      <c r="S659" s="16" t="n">
        <v>45849</v>
      </c>
      <c r="U659" s="16" t="n">
        <v>45849</v>
      </c>
      <c r="AC659" s="23">
        <f>IF(OR(E659="",E659="[PARENT]"),"ADD",IF(E659="[ALT_VIEW]","ALT",""))</f>
        <v/>
      </c>
      <c r="AD659" s="21">
        <f>IF(Y659&lt;&gt;"",Y659,IF(U659&lt;&gt;"",U659,S659))</f>
        <v/>
      </c>
      <c r="AE659" s="21">
        <f>IF(AB659&lt;&gt;"",AB659,Z659)</f>
        <v/>
      </c>
      <c r="AF659" s="13" t="inlineStr">
        <is>
          <t>P-8a &gt; CVN-81 &gt; Ordnance &gt; MK-57 NATO SEASPARROW MISSILE SYSTEM (NSSMS) 1</t>
        </is>
      </c>
      <c r="AG659" s="7" t="inlineStr">
        <is>
          <t>124</t>
        </is>
      </c>
      <c r="AH659" s="7" t="inlineStr">
        <is>
          <t>2004</t>
        </is>
      </c>
      <c r="AJ659" s="7" t="inlineStr">
        <is>
          <t>MK-57 NATO SEASPARROW MISSILE SYSTEM (NSSMS)</t>
        </is>
      </c>
    </row>
    <row r="660" ht="10" customHeight="1">
      <c r="A660" s="7" t="inlineStr">
        <is>
          <t>SCN</t>
        </is>
      </c>
      <c r="B660" s="7" t="inlineStr">
        <is>
          <t>Procurement</t>
        </is>
      </c>
      <c r="D660" s="7" t="inlineStr">
        <is>
          <t>CVN-81 - P-8a Ordnance - AVIATION DATA MANAGEMENT AND CONTROL SYSTEM (ADMACS) 1</t>
        </is>
      </c>
      <c r="E660" s="13" t="inlineStr">
        <is>
          <t>[ALT_VIEW]</t>
        </is>
      </c>
      <c r="F660" s="7" t="inlineStr">
        <is>
          <t>2004 / CVN-81</t>
        </is>
      </c>
      <c r="G660" s="7" t="inlineStr">
        <is>
          <t>P-8a</t>
        </is>
      </c>
      <c r="H660" s="7" t="inlineStr">
        <is>
          <t>Ordnance</t>
        </is>
      </c>
      <c r="I660" s="14" t="n">
        <v>1</v>
      </c>
      <c r="J660" s="7" t="inlineStr">
        <is>
          <t>Full ship DD&amp;C</t>
        </is>
      </c>
      <c r="K660" s="13" t="inlineStr">
        <is>
          <t>USN</t>
        </is>
      </c>
      <c r="L660" s="7" t="inlineStr">
        <is>
          <t>Combatant Ships</t>
        </is>
      </c>
      <c r="M660" s="7" t="inlineStr">
        <is>
          <t>Aircraft Carriers</t>
        </is>
      </c>
      <c r="N660" s="7" t="inlineStr">
        <is>
          <t>CVN</t>
        </is>
      </c>
      <c r="O660" s="15" t="n"/>
      <c r="S660" s="16" t="n">
        <v>8772</v>
      </c>
      <c r="U660" s="16" t="n">
        <v>8772</v>
      </c>
      <c r="AC660" s="23">
        <f>IF(OR(E660="",E660="[PARENT]"),"ADD",IF(E660="[ALT_VIEW]","ALT",""))</f>
        <v/>
      </c>
      <c r="AD660" s="21">
        <f>IF(Y660&lt;&gt;"",Y660,IF(U660&lt;&gt;"",U660,S660))</f>
        <v/>
      </c>
      <c r="AE660" s="21">
        <f>IF(AB660&lt;&gt;"",AB660,Z660)</f>
        <v/>
      </c>
      <c r="AF660" s="13" t="inlineStr">
        <is>
          <t>P-8a &gt; CVN-81 &gt; Ordnance &gt; AVIATION DATA MANAGEMENT AND CONTROL SYSTEM (ADMACS) 1</t>
        </is>
      </c>
      <c r="AG660" s="7" t="inlineStr">
        <is>
          <t>124</t>
        </is>
      </c>
      <c r="AH660" s="7" t="inlineStr">
        <is>
          <t>2004</t>
        </is>
      </c>
      <c r="AJ660" s="7" t="inlineStr">
        <is>
          <t>AVIATION DATA MANAGEMENT AND CONTROL SYSTEM (ADMACS)</t>
        </is>
      </c>
    </row>
    <row r="661" ht="10" customHeight="1">
      <c r="A661" s="7" t="inlineStr">
        <is>
          <t>SCN</t>
        </is>
      </c>
      <c r="B661" s="7" t="inlineStr">
        <is>
          <t>Procurement</t>
        </is>
      </c>
      <c r="D661" s="7" t="inlineStr">
        <is>
          <t>CVN-81 - P-8a Ordnance - MK 49, MOD 3 ROLLING AIRFRAME MISSILE (RAM) 2</t>
        </is>
      </c>
      <c r="E661" s="13" t="inlineStr">
        <is>
          <t>[ALT_VIEW]</t>
        </is>
      </c>
      <c r="F661" s="7" t="inlineStr">
        <is>
          <t>2004 / CVN-81</t>
        </is>
      </c>
      <c r="G661" s="7" t="inlineStr">
        <is>
          <t>P-8a</t>
        </is>
      </c>
      <c r="H661" s="7" t="inlineStr">
        <is>
          <t>Ordnance</t>
        </is>
      </c>
      <c r="I661" s="14" t="n">
        <v>1</v>
      </c>
      <c r="J661" s="7" t="inlineStr">
        <is>
          <t>Full ship DD&amp;C</t>
        </is>
      </c>
      <c r="K661" s="13" t="inlineStr">
        <is>
          <t>USN</t>
        </is>
      </c>
      <c r="L661" s="7" t="inlineStr">
        <is>
          <t>Combatant Ships</t>
        </is>
      </c>
      <c r="M661" s="7" t="inlineStr">
        <is>
          <t>Aircraft Carriers</t>
        </is>
      </c>
      <c r="N661" s="7" t="inlineStr">
        <is>
          <t>CVN</t>
        </is>
      </c>
      <c r="O661" s="15" t="n"/>
      <c r="S661" s="16" t="n">
        <v>22490</v>
      </c>
      <c r="U661" s="16" t="n">
        <v>22490</v>
      </c>
      <c r="AC661" s="23">
        <f>IF(OR(E661="",E661="[PARENT]"),"ADD",IF(E661="[ALT_VIEW]","ALT",""))</f>
        <v/>
      </c>
      <c r="AD661" s="21">
        <f>IF(Y661&lt;&gt;"",Y661,IF(U661&lt;&gt;"",U661,S661))</f>
        <v/>
      </c>
      <c r="AE661" s="21">
        <f>IF(AB661&lt;&gt;"",AB661,Z661)</f>
        <v/>
      </c>
      <c r="AF661" s="13" t="inlineStr">
        <is>
          <t>P-8a &gt; CVN-81 &gt; Ordnance &gt; MK 49, MOD 3 ROLLING AIRFRAME MISSILE (RAM) 2</t>
        </is>
      </c>
      <c r="AG661" s="7" t="inlineStr">
        <is>
          <t>124</t>
        </is>
      </c>
      <c r="AH661" s="7" t="inlineStr">
        <is>
          <t>2004</t>
        </is>
      </c>
      <c r="AJ661" s="7" t="inlineStr">
        <is>
          <t>MK 49, MOD 3 ROLLING AIRFRAME MISSILE (RAM)</t>
        </is>
      </c>
    </row>
    <row r="662" ht="10" customHeight="1">
      <c r="A662" s="7" t="inlineStr">
        <is>
          <t>SCN</t>
        </is>
      </c>
      <c r="B662" s="7" t="inlineStr">
        <is>
          <t>Procurement</t>
        </is>
      </c>
      <c r="D662" s="7" t="inlineStr">
        <is>
          <t>CVN-81 - P-8a Ordnance - AN/SPQ-9B, ANTI-SHIP MISSILE DEFENSE (ASMD) SURFACE SURVEILLANCE AND TRACKING RADAR 1</t>
        </is>
      </c>
      <c r="E662" s="13" t="inlineStr">
        <is>
          <t>[ALT_VIEW]</t>
        </is>
      </c>
      <c r="F662" s="7" t="inlineStr">
        <is>
          <t>2004 / CVN-81</t>
        </is>
      </c>
      <c r="G662" s="7" t="inlineStr">
        <is>
          <t>P-8a</t>
        </is>
      </c>
      <c r="H662" s="7" t="inlineStr">
        <is>
          <t>Ordnance</t>
        </is>
      </c>
      <c r="I662" s="14" t="n">
        <v>1</v>
      </c>
      <c r="J662" s="7" t="inlineStr">
        <is>
          <t>Full ship DD&amp;C</t>
        </is>
      </c>
      <c r="K662" s="13" t="inlineStr">
        <is>
          <t>USN</t>
        </is>
      </c>
      <c r="L662" s="7" t="inlineStr">
        <is>
          <t>Combatant Ships</t>
        </is>
      </c>
      <c r="M662" s="7" t="inlineStr">
        <is>
          <t>Aircraft Carriers</t>
        </is>
      </c>
      <c r="N662" s="7" t="inlineStr">
        <is>
          <t>CVN</t>
        </is>
      </c>
      <c r="O662" s="15" t="n"/>
      <c r="S662" s="16" t="n">
        <v>8775</v>
      </c>
      <c r="U662" s="16" t="n">
        <v>8775</v>
      </c>
      <c r="AC662" s="23">
        <f>IF(OR(E662="",E662="[PARENT]"),"ADD",IF(E662="[ALT_VIEW]","ALT",""))</f>
        <v/>
      </c>
      <c r="AD662" s="21">
        <f>IF(Y662&lt;&gt;"",Y662,IF(U662&lt;&gt;"",U662,S662))</f>
        <v/>
      </c>
      <c r="AE662" s="21">
        <f>IF(AB662&lt;&gt;"",AB662,Z662)</f>
        <v/>
      </c>
      <c r="AF662" s="13" t="inlineStr">
        <is>
          <t>P-8a &gt; CVN-81 &gt; Ordnance &gt; AN/SPQ-9B, ANTI-SHIP MISSILE DEFENSE (ASMD) SURFACE SURVEILLANCE AND TRACKING RADAR 1</t>
        </is>
      </c>
      <c r="AG662" s="7" t="inlineStr">
        <is>
          <t>124</t>
        </is>
      </c>
      <c r="AH662" s="7" t="inlineStr">
        <is>
          <t>2004</t>
        </is>
      </c>
      <c r="AJ662" s="7" t="inlineStr">
        <is>
          <t>AN/SPQ-9B, ANTI-SHIP MISSILE DEFENSE (ASMD) SURFACE SURVEILLANCE AND TRACKING RADAR [CVN 81]</t>
        </is>
      </c>
    </row>
    <row r="663" ht="10" customHeight="1">
      <c r="A663" s="7" t="inlineStr">
        <is>
          <t>SCN</t>
        </is>
      </c>
      <c r="B663" s="7" t="inlineStr">
        <is>
          <t>Procurement</t>
        </is>
      </c>
      <c r="D663" s="7" t="inlineStr">
        <is>
          <t>CVN-81 - P-8a Ordnance - IMPROVED FRESNEL LENS OPTICAL LANDING SYSTEM (IFLOLS) 1</t>
        </is>
      </c>
      <c r="E663" s="13" t="inlineStr">
        <is>
          <t>[ALT_VIEW]</t>
        </is>
      </c>
      <c r="F663" s="7" t="inlineStr">
        <is>
          <t>2004 / CVN-81</t>
        </is>
      </c>
      <c r="G663" s="7" t="inlineStr">
        <is>
          <t>P-8a</t>
        </is>
      </c>
      <c r="H663" s="7" t="inlineStr">
        <is>
          <t>Ordnance</t>
        </is>
      </c>
      <c r="I663" s="14" t="n">
        <v>1</v>
      </c>
      <c r="J663" s="7" t="inlineStr">
        <is>
          <t>Full ship DD&amp;C</t>
        </is>
      </c>
      <c r="K663" s="13" t="inlineStr">
        <is>
          <t>USN</t>
        </is>
      </c>
      <c r="L663" s="7" t="inlineStr">
        <is>
          <t>Combatant Ships</t>
        </is>
      </c>
      <c r="M663" s="7" t="inlineStr">
        <is>
          <t>Aircraft Carriers</t>
        </is>
      </c>
      <c r="N663" s="7" t="inlineStr">
        <is>
          <t>CVN</t>
        </is>
      </c>
      <c r="O663" s="15" t="n"/>
      <c r="S663" s="16" t="n">
        <v>9954</v>
      </c>
      <c r="U663" s="16" t="n">
        <v>9954</v>
      </c>
      <c r="AC663" s="23">
        <f>IF(OR(E663="",E663="[PARENT]"),"ADD",IF(E663="[ALT_VIEW]","ALT",""))</f>
        <v/>
      </c>
      <c r="AD663" s="21">
        <f>IF(Y663&lt;&gt;"",Y663,IF(U663&lt;&gt;"",U663,S663))</f>
        <v/>
      </c>
      <c r="AE663" s="21">
        <f>IF(AB663&lt;&gt;"",AB663,Z663)</f>
        <v/>
      </c>
      <c r="AF663" s="13" t="inlineStr">
        <is>
          <t>P-8a &gt; CVN-81 &gt; Ordnance &gt; IMPROVED FRESNEL LENS OPTICAL LANDING SYSTEM (IFLOLS) 1</t>
        </is>
      </c>
      <c r="AG663" s="7" t="inlineStr">
        <is>
          <t>124</t>
        </is>
      </c>
      <c r="AH663" s="7" t="inlineStr">
        <is>
          <t>2004</t>
        </is>
      </c>
      <c r="AJ663" s="7" t="inlineStr">
        <is>
          <t>IMPROVED FRESNEL LENS OPTICAL LANDING SYSTEM (IFLOLS)</t>
        </is>
      </c>
    </row>
    <row r="664" ht="10" customHeight="1">
      <c r="A664" s="7" t="inlineStr">
        <is>
          <t>SCN</t>
        </is>
      </c>
      <c r="B664" s="7" t="inlineStr">
        <is>
          <t>Procurement</t>
        </is>
      </c>
      <c r="D664" s="7" t="inlineStr">
        <is>
          <t>CVN-81 - P-8a Ordnance - INTEGRATED LAUNCH AND RECOVERY TELEVISION SYSTEM (ILARTS) 1</t>
        </is>
      </c>
      <c r="E664" s="13" t="inlineStr">
        <is>
          <t>[ALT_VIEW]</t>
        </is>
      </c>
      <c r="F664" s="7" t="inlineStr">
        <is>
          <t>2004 / CVN-81</t>
        </is>
      </c>
      <c r="G664" s="7" t="inlineStr">
        <is>
          <t>P-8a</t>
        </is>
      </c>
      <c r="H664" s="7" t="inlineStr">
        <is>
          <t>Ordnance</t>
        </is>
      </c>
      <c r="I664" s="14" t="n">
        <v>1</v>
      </c>
      <c r="J664" s="7" t="inlineStr">
        <is>
          <t>Full ship DD&amp;C</t>
        </is>
      </c>
      <c r="K664" s="13" t="inlineStr">
        <is>
          <t>USN</t>
        </is>
      </c>
      <c r="L664" s="7" t="inlineStr">
        <is>
          <t>Combatant Ships</t>
        </is>
      </c>
      <c r="M664" s="7" t="inlineStr">
        <is>
          <t>Aircraft Carriers</t>
        </is>
      </c>
      <c r="N664" s="7" t="inlineStr">
        <is>
          <t>CVN</t>
        </is>
      </c>
      <c r="O664" s="15" t="n"/>
      <c r="S664" s="16" t="n">
        <v>6396</v>
      </c>
      <c r="U664" s="16" t="n">
        <v>6396</v>
      </c>
      <c r="AC664" s="23">
        <f>IF(OR(E664="",E664="[PARENT]"),"ADD",IF(E664="[ALT_VIEW]","ALT",""))</f>
        <v/>
      </c>
      <c r="AD664" s="21">
        <f>IF(Y664&lt;&gt;"",Y664,IF(U664&lt;&gt;"",U664,S664))</f>
        <v/>
      </c>
      <c r="AE664" s="21">
        <f>IF(AB664&lt;&gt;"",AB664,Z664)</f>
        <v/>
      </c>
      <c r="AF664" s="13" t="inlineStr">
        <is>
          <t>P-8a &gt; CVN-81 &gt; Ordnance &gt; INTEGRATED LAUNCH AND RECOVERY TELEVISION SYSTEM (ILARTS) 1</t>
        </is>
      </c>
      <c r="AG664" s="7" t="inlineStr">
        <is>
          <t>124</t>
        </is>
      </c>
      <c r="AH664" s="7" t="inlineStr">
        <is>
          <t>2004</t>
        </is>
      </c>
      <c r="AJ664" s="7" t="inlineStr">
        <is>
          <t>INTEGRATED LAUNCH AND RECOVERY TELEVISION SYSTEM (ILARTS)</t>
        </is>
      </c>
    </row>
    <row r="665" ht="10" customHeight="1">
      <c r="A665" s="7" t="inlineStr">
        <is>
          <t>SCN</t>
        </is>
      </c>
      <c r="B665" s="7" t="inlineStr">
        <is>
          <t>Procurement</t>
        </is>
      </c>
      <c r="D665" s="7" t="inlineStr">
        <is>
          <t>CVN-81 - P-8a Ordnance - UNMANNED AVIATION WARFARE CENTER (UAWC) 1</t>
        </is>
      </c>
      <c r="E665" s="13" t="inlineStr">
        <is>
          <t>[ALT_VIEW]</t>
        </is>
      </c>
      <c r="F665" s="7" t="inlineStr">
        <is>
          <t>2004 / CVN-81</t>
        </is>
      </c>
      <c r="G665" s="7" t="inlineStr">
        <is>
          <t>P-8a</t>
        </is>
      </c>
      <c r="H665" s="7" t="inlineStr">
        <is>
          <t>Ordnance</t>
        </is>
      </c>
      <c r="I665" s="14" t="n">
        <v>1</v>
      </c>
      <c r="J665" s="7" t="inlineStr">
        <is>
          <t>Full ship DD&amp;C</t>
        </is>
      </c>
      <c r="K665" s="13" t="inlineStr">
        <is>
          <t>USN</t>
        </is>
      </c>
      <c r="L665" s="7" t="inlineStr">
        <is>
          <t>Combatant Ships</t>
        </is>
      </c>
      <c r="M665" s="7" t="inlineStr">
        <is>
          <t>Aircraft Carriers</t>
        </is>
      </c>
      <c r="N665" s="7" t="inlineStr">
        <is>
          <t>CVN</t>
        </is>
      </c>
      <c r="O665" s="15" t="n"/>
      <c r="S665" s="16" t="n">
        <v>46115</v>
      </c>
      <c r="U665" s="16" t="n">
        <v>46115</v>
      </c>
      <c r="AC665" s="23">
        <f>IF(OR(E665="",E665="[PARENT]"),"ADD",IF(E665="[ALT_VIEW]","ALT",""))</f>
        <v/>
      </c>
      <c r="AD665" s="21">
        <f>IF(Y665&lt;&gt;"",Y665,IF(U665&lt;&gt;"",U665,S665))</f>
        <v/>
      </c>
      <c r="AE665" s="21">
        <f>IF(AB665&lt;&gt;"",AB665,Z665)</f>
        <v/>
      </c>
      <c r="AF665" s="13" t="inlineStr">
        <is>
          <t>P-8a &gt; CVN-81 &gt; Ordnance &gt; UNMANNED AVIATION WARFARE CENTER (UAWC) 1</t>
        </is>
      </c>
      <c r="AG665" s="7" t="inlineStr">
        <is>
          <t>124</t>
        </is>
      </c>
      <c r="AH665" s="7" t="inlineStr">
        <is>
          <t>2004</t>
        </is>
      </c>
      <c r="AJ665" s="7" t="inlineStr">
        <is>
          <t>UNMANNED AVIATION WARFARE CENTER (UAWC)</t>
        </is>
      </c>
    </row>
    <row r="666" ht="10" customHeight="1">
      <c r="A666" s="7" t="inlineStr">
        <is>
          <t>SCN</t>
        </is>
      </c>
      <c r="B666" s="7" t="inlineStr">
        <is>
          <t>Procurement</t>
        </is>
      </c>
      <c r="D666" s="7" t="inlineStr">
        <is>
          <t>CVN-81 - P-8a Ordnance - LANDING SIGNAL OFFICER DISPLAY SYSTEM (LSODS) 1</t>
        </is>
      </c>
      <c r="E666" s="13" t="inlineStr">
        <is>
          <t>[ALT_VIEW]</t>
        </is>
      </c>
      <c r="F666" s="7" t="inlineStr">
        <is>
          <t>2004 / CVN-81</t>
        </is>
      </c>
      <c r="G666" s="7" t="inlineStr">
        <is>
          <t>P-8a</t>
        </is>
      </c>
      <c r="H666" s="7" t="inlineStr">
        <is>
          <t>Ordnance</t>
        </is>
      </c>
      <c r="I666" s="14" t="n">
        <v>1</v>
      </c>
      <c r="J666" s="7" t="inlineStr">
        <is>
          <t>Full ship DD&amp;C</t>
        </is>
      </c>
      <c r="K666" s="13" t="inlineStr">
        <is>
          <t>USN</t>
        </is>
      </c>
      <c r="L666" s="7" t="inlineStr">
        <is>
          <t>Combatant Ships</t>
        </is>
      </c>
      <c r="M666" s="7" t="inlineStr">
        <is>
          <t>Aircraft Carriers</t>
        </is>
      </c>
      <c r="N666" s="7" t="inlineStr">
        <is>
          <t>CVN</t>
        </is>
      </c>
      <c r="O666" s="15" t="n"/>
      <c r="S666" s="16" t="n">
        <v>3056</v>
      </c>
      <c r="U666" s="16" t="n">
        <v>3056</v>
      </c>
      <c r="AC666" s="23">
        <f>IF(OR(E666="",E666="[PARENT]"),"ADD",IF(E666="[ALT_VIEW]","ALT",""))</f>
        <v/>
      </c>
      <c r="AD666" s="21">
        <f>IF(Y666&lt;&gt;"",Y666,IF(U666&lt;&gt;"",U666,S666))</f>
        <v/>
      </c>
      <c r="AE666" s="21">
        <f>IF(AB666&lt;&gt;"",AB666,Z666)</f>
        <v/>
      </c>
      <c r="AF666" s="13" t="inlineStr">
        <is>
          <t>P-8a &gt; CVN-81 &gt; Ordnance &gt; LANDING SIGNAL OFFICER DISPLAY SYSTEM (LSODS) 1</t>
        </is>
      </c>
      <c r="AG666" s="7" t="inlineStr">
        <is>
          <t>124</t>
        </is>
      </c>
      <c r="AH666" s="7" t="inlineStr">
        <is>
          <t>2004</t>
        </is>
      </c>
      <c r="AJ666" s="7" t="inlineStr">
        <is>
          <t>LANDING SIGNAL OFFICER DISPLAY SYSTEM (LSODS)</t>
        </is>
      </c>
    </row>
    <row r="667" ht="10" customHeight="1">
      <c r="A667" s="7" t="inlineStr">
        <is>
          <t>SCN</t>
        </is>
      </c>
      <c r="B667" s="7" t="inlineStr">
        <is>
          <t>Procurement</t>
        </is>
      </c>
      <c r="D667" s="7" t="inlineStr">
        <is>
          <t>CVN-81 - P-8a Ordnance - MORIAH BLOCK 2 1</t>
        </is>
      </c>
      <c r="E667" s="13" t="inlineStr">
        <is>
          <t>[ALT_VIEW]</t>
        </is>
      </c>
      <c r="F667" s="7" t="inlineStr">
        <is>
          <t>2004 / CVN-81</t>
        </is>
      </c>
      <c r="G667" s="7" t="inlineStr">
        <is>
          <t>P-8a</t>
        </is>
      </c>
      <c r="H667" s="7" t="inlineStr">
        <is>
          <t>Ordnance</t>
        </is>
      </c>
      <c r="I667" s="14" t="n">
        <v>1</v>
      </c>
      <c r="J667" s="7" t="inlineStr">
        <is>
          <t>Full ship DD&amp;C</t>
        </is>
      </c>
      <c r="K667" s="13" t="inlineStr">
        <is>
          <t>USN</t>
        </is>
      </c>
      <c r="L667" s="7" t="inlineStr">
        <is>
          <t>Combatant Ships</t>
        </is>
      </c>
      <c r="M667" s="7" t="inlineStr">
        <is>
          <t>Aircraft Carriers</t>
        </is>
      </c>
      <c r="N667" s="7" t="inlineStr">
        <is>
          <t>CVN</t>
        </is>
      </c>
      <c r="O667" s="15" t="n"/>
      <c r="S667" s="16" t="n">
        <v>2013</v>
      </c>
      <c r="U667" s="16" t="n">
        <v>2013</v>
      </c>
      <c r="AC667" s="23">
        <f>IF(OR(E667="",E667="[PARENT]"),"ADD",IF(E667="[ALT_VIEW]","ALT",""))</f>
        <v/>
      </c>
      <c r="AD667" s="21">
        <f>IF(Y667&lt;&gt;"",Y667,IF(U667&lt;&gt;"",U667,S667))</f>
        <v/>
      </c>
      <c r="AE667" s="21">
        <f>IF(AB667&lt;&gt;"",AB667,Z667)</f>
        <v/>
      </c>
      <c r="AF667" s="13" t="inlineStr">
        <is>
          <t>P-8a &gt; CVN-81 &gt; Ordnance &gt; MORIAH BLOCK 2 1</t>
        </is>
      </c>
      <c r="AG667" s="7" t="inlineStr">
        <is>
          <t>124</t>
        </is>
      </c>
      <c r="AH667" s="7" t="inlineStr">
        <is>
          <t>2004</t>
        </is>
      </c>
      <c r="AJ667" s="7" t="inlineStr">
        <is>
          <t>MORIAH BLOCK 2</t>
        </is>
      </c>
    </row>
    <row r="668" ht="10" customHeight="1">
      <c r="A668" s="7" t="inlineStr">
        <is>
          <t>SCN</t>
        </is>
      </c>
      <c r="B668" s="7" t="inlineStr">
        <is>
          <t>Procurement</t>
        </is>
      </c>
      <c r="D668" s="7" t="inlineStr">
        <is>
          <t>CVN-81 - P-8a Ordnance - LONG RANGE LINEUP SYSTEM (LRLS) 1</t>
        </is>
      </c>
      <c r="E668" s="13" t="inlineStr">
        <is>
          <t>[ALT_VIEW]</t>
        </is>
      </c>
      <c r="F668" s="7" t="inlineStr">
        <is>
          <t>2004 / CVN-81</t>
        </is>
      </c>
      <c r="G668" s="7" t="inlineStr">
        <is>
          <t>P-8a</t>
        </is>
      </c>
      <c r="H668" s="7" t="inlineStr">
        <is>
          <t>Ordnance</t>
        </is>
      </c>
      <c r="I668" s="14" t="n">
        <v>1</v>
      </c>
      <c r="J668" s="7" t="inlineStr">
        <is>
          <t>Full ship DD&amp;C</t>
        </is>
      </c>
      <c r="K668" s="13" t="inlineStr">
        <is>
          <t>USN</t>
        </is>
      </c>
      <c r="L668" s="7" t="inlineStr">
        <is>
          <t>Combatant Ships</t>
        </is>
      </c>
      <c r="M668" s="7" t="inlineStr">
        <is>
          <t>Aircraft Carriers</t>
        </is>
      </c>
      <c r="N668" s="7" t="inlineStr">
        <is>
          <t>CVN</t>
        </is>
      </c>
      <c r="O668" s="15" t="n"/>
      <c r="S668" s="16" t="n">
        <v>1074</v>
      </c>
      <c r="U668" s="16" t="n">
        <v>1074</v>
      </c>
      <c r="AC668" s="23">
        <f>IF(OR(E668="",E668="[PARENT]"),"ADD",IF(E668="[ALT_VIEW]","ALT",""))</f>
        <v/>
      </c>
      <c r="AD668" s="21">
        <f>IF(Y668&lt;&gt;"",Y668,IF(U668&lt;&gt;"",U668,S668))</f>
        <v/>
      </c>
      <c r="AE668" s="21">
        <f>IF(AB668&lt;&gt;"",AB668,Z668)</f>
        <v/>
      </c>
      <c r="AF668" s="13" t="inlineStr">
        <is>
          <t>P-8a &gt; CVN-81 &gt; Ordnance &gt; LONG RANGE LINEUP SYSTEM (LRLS) 1</t>
        </is>
      </c>
      <c r="AG668" s="7" t="inlineStr">
        <is>
          <t>124</t>
        </is>
      </c>
      <c r="AH668" s="7" t="inlineStr">
        <is>
          <t>2004</t>
        </is>
      </c>
      <c r="AJ668" s="7" t="inlineStr">
        <is>
          <t>LONG RANGE LINEUP SYSTEM (LRLS)</t>
        </is>
      </c>
    </row>
    <row r="669" ht="10" customHeight="1">
      <c r="A669" s="7" t="inlineStr">
        <is>
          <t>SCN</t>
        </is>
      </c>
      <c r="B669" s="7" t="inlineStr">
        <is>
          <t>Procurement</t>
        </is>
      </c>
      <c r="D669" s="7" t="inlineStr">
        <is>
          <t>CVN-81 - P-8a Ordnance - COMPACT SWAGING MACHINE (CSM) 2</t>
        </is>
      </c>
      <c r="E669" s="13" t="inlineStr">
        <is>
          <t>[ALT_VIEW]</t>
        </is>
      </c>
      <c r="F669" s="7" t="inlineStr">
        <is>
          <t>2004 / CVN-81</t>
        </is>
      </c>
      <c r="G669" s="7" t="inlineStr">
        <is>
          <t>P-8a</t>
        </is>
      </c>
      <c r="H669" s="7" t="inlineStr">
        <is>
          <t>Ordnance</t>
        </is>
      </c>
      <c r="I669" s="14" t="n">
        <v>1</v>
      </c>
      <c r="J669" s="7" t="inlineStr">
        <is>
          <t>Full ship DD&amp;C</t>
        </is>
      </c>
      <c r="K669" s="13" t="inlineStr">
        <is>
          <t>USN</t>
        </is>
      </c>
      <c r="L669" s="7" t="inlineStr">
        <is>
          <t>Combatant Ships</t>
        </is>
      </c>
      <c r="M669" s="7" t="inlineStr">
        <is>
          <t>Aircraft Carriers</t>
        </is>
      </c>
      <c r="N669" s="7" t="inlineStr">
        <is>
          <t>CVN</t>
        </is>
      </c>
      <c r="O669" s="15" t="n"/>
      <c r="S669" s="16" t="n">
        <v>1635</v>
      </c>
      <c r="U669" s="16" t="n">
        <v>1635</v>
      </c>
      <c r="AC669" s="23">
        <f>IF(OR(E669="",E669="[PARENT]"),"ADD",IF(E669="[ALT_VIEW]","ALT",""))</f>
        <v/>
      </c>
      <c r="AD669" s="21">
        <f>IF(Y669&lt;&gt;"",Y669,IF(U669&lt;&gt;"",U669,S669))</f>
        <v/>
      </c>
      <c r="AE669" s="21">
        <f>IF(AB669&lt;&gt;"",AB669,Z669)</f>
        <v/>
      </c>
      <c r="AF669" s="13" t="inlineStr">
        <is>
          <t>P-8a &gt; CVN-81 &gt; Ordnance &gt; COMPACT SWAGING MACHINE (CSM) 2</t>
        </is>
      </c>
      <c r="AG669" s="7" t="inlineStr">
        <is>
          <t>124</t>
        </is>
      </c>
      <c r="AH669" s="7" t="inlineStr">
        <is>
          <t>2004</t>
        </is>
      </c>
      <c r="AJ669" s="7" t="inlineStr">
        <is>
          <t>COMPACT SWAGING MACHINE (CSM)</t>
        </is>
      </c>
    </row>
    <row r="670" ht="10" customHeight="1">
      <c r="A670" s="7" t="inlineStr">
        <is>
          <t>SCN</t>
        </is>
      </c>
      <c r="B670" s="7" t="inlineStr">
        <is>
          <t>Procurement</t>
        </is>
      </c>
      <c r="D670" s="7" t="inlineStr">
        <is>
          <t>CVN-81 - P-8a Ordnance - JOINT STRIKE FIGHTER ALIS 1</t>
        </is>
      </c>
      <c r="E670" s="13" t="inlineStr">
        <is>
          <t>[ALT_VIEW]</t>
        </is>
      </c>
      <c r="F670" s="7" t="inlineStr">
        <is>
          <t>2004 / CVN-81</t>
        </is>
      </c>
      <c r="G670" s="7" t="inlineStr">
        <is>
          <t>P-8a</t>
        </is>
      </c>
      <c r="H670" s="7" t="inlineStr">
        <is>
          <t>Ordnance</t>
        </is>
      </c>
      <c r="I670" s="14" t="n">
        <v>1</v>
      </c>
      <c r="J670" s="7" t="inlineStr">
        <is>
          <t>Full ship DD&amp;C</t>
        </is>
      </c>
      <c r="K670" s="13" t="inlineStr">
        <is>
          <t>USN</t>
        </is>
      </c>
      <c r="L670" s="7" t="inlineStr">
        <is>
          <t>Combatant Ships</t>
        </is>
      </c>
      <c r="M670" s="7" t="inlineStr">
        <is>
          <t>Aircraft Carriers</t>
        </is>
      </c>
      <c r="N670" s="7" t="inlineStr">
        <is>
          <t>CVN</t>
        </is>
      </c>
      <c r="O670" s="15" t="n"/>
      <c r="S670" s="16" t="n">
        <v>1995</v>
      </c>
      <c r="U670" s="16" t="n">
        <v>1995</v>
      </c>
      <c r="AC670" s="23">
        <f>IF(OR(E670="",E670="[PARENT]"),"ADD",IF(E670="[ALT_VIEW]","ALT",""))</f>
        <v/>
      </c>
      <c r="AD670" s="21">
        <f>IF(Y670&lt;&gt;"",Y670,IF(U670&lt;&gt;"",U670,S670))</f>
        <v/>
      </c>
      <c r="AE670" s="21">
        <f>IF(AB670&lt;&gt;"",AB670,Z670)</f>
        <v/>
      </c>
      <c r="AF670" s="13" t="inlineStr">
        <is>
          <t>P-8a &gt; CVN-81 &gt; Ordnance &gt; JOINT STRIKE FIGHTER ALIS 1</t>
        </is>
      </c>
      <c r="AG670" s="7" t="inlineStr">
        <is>
          <t>124</t>
        </is>
      </c>
      <c r="AH670" s="7" t="inlineStr">
        <is>
          <t>2004</t>
        </is>
      </c>
      <c r="AJ670" s="7" t="inlineStr">
        <is>
          <t>JOINT STRIKE FIGHTER ALIS</t>
        </is>
      </c>
    </row>
    <row r="671" ht="10" customHeight="1">
      <c r="A671" s="7" t="inlineStr">
        <is>
          <t>SCN</t>
        </is>
      </c>
      <c r="B671" s="7" t="inlineStr">
        <is>
          <t>Procurement</t>
        </is>
      </c>
      <c r="D671" s="7" t="inlineStr">
        <is>
          <t>CVN-81 - P-8a Ordnance - MK-38 MOD 3 MACHINE GUN SYSTEM (MGS) 4</t>
        </is>
      </c>
      <c r="E671" s="13" t="inlineStr">
        <is>
          <t>[ALT_VIEW]</t>
        </is>
      </c>
      <c r="F671" s="7" t="inlineStr">
        <is>
          <t>2004 / CVN-81</t>
        </is>
      </c>
      <c r="G671" s="7" t="inlineStr">
        <is>
          <t>P-8a</t>
        </is>
      </c>
      <c r="H671" s="7" t="inlineStr">
        <is>
          <t>Ordnance</t>
        </is>
      </c>
      <c r="I671" s="14" t="n">
        <v>1</v>
      </c>
      <c r="J671" s="7" t="inlineStr">
        <is>
          <t>Full ship DD&amp;C</t>
        </is>
      </c>
      <c r="K671" s="13" t="inlineStr">
        <is>
          <t>USN</t>
        </is>
      </c>
      <c r="L671" s="7" t="inlineStr">
        <is>
          <t>Combatant Ships</t>
        </is>
      </c>
      <c r="M671" s="7" t="inlineStr">
        <is>
          <t>Aircraft Carriers</t>
        </is>
      </c>
      <c r="N671" s="7" t="inlineStr">
        <is>
          <t>CVN</t>
        </is>
      </c>
      <c r="O671" s="15" t="n"/>
      <c r="S671" s="16" t="n">
        <v>4417</v>
      </c>
      <c r="U671" s="16" t="n">
        <v>4417</v>
      </c>
      <c r="AC671" s="23">
        <f>IF(OR(E671="",E671="[PARENT]"),"ADD",IF(E671="[ALT_VIEW]","ALT",""))</f>
        <v/>
      </c>
      <c r="AD671" s="21">
        <f>IF(Y671&lt;&gt;"",Y671,IF(U671&lt;&gt;"",U671,S671))</f>
        <v/>
      </c>
      <c r="AE671" s="21">
        <f>IF(AB671&lt;&gt;"",AB671,Z671)</f>
        <v/>
      </c>
      <c r="AF671" s="13" t="inlineStr">
        <is>
          <t>P-8a &gt; CVN-81 &gt; Ordnance &gt; MK-38 MOD 3 MACHINE GUN SYSTEM (MGS) 4</t>
        </is>
      </c>
      <c r="AG671" s="7" t="inlineStr">
        <is>
          <t>124</t>
        </is>
      </c>
      <c r="AH671" s="7" t="inlineStr">
        <is>
          <t>2004</t>
        </is>
      </c>
      <c r="AJ671" s="7" t="inlineStr">
        <is>
          <t>MK-38 MOD 3 MACHINE GUN SYSTEM (MGS)</t>
        </is>
      </c>
    </row>
    <row r="672" ht="10" customHeight="1">
      <c r="A672" s="7" t="inlineStr">
        <is>
          <t>SCN</t>
        </is>
      </c>
      <c r="B672" s="7" t="inlineStr">
        <is>
          <t>Procurement</t>
        </is>
      </c>
      <c r="D672" s="7" t="inlineStr">
        <is>
          <t>CVN-81 - P-8a Ordnance - MANUALLY OPERATED VISUAL LANDING AID SYSTEM (MOVLAS) 1</t>
        </is>
      </c>
      <c r="E672" s="13" t="inlineStr">
        <is>
          <t>[ALT_VIEW]</t>
        </is>
      </c>
      <c r="F672" s="7" t="inlineStr">
        <is>
          <t>2004 / CVN-81</t>
        </is>
      </c>
      <c r="G672" s="7" t="inlineStr">
        <is>
          <t>P-8a</t>
        </is>
      </c>
      <c r="H672" s="7" t="inlineStr">
        <is>
          <t>Ordnance</t>
        </is>
      </c>
      <c r="I672" s="14" t="n">
        <v>1</v>
      </c>
      <c r="J672" s="7" t="inlineStr">
        <is>
          <t>Full ship DD&amp;C</t>
        </is>
      </c>
      <c r="K672" s="13" t="inlineStr">
        <is>
          <t>USN</t>
        </is>
      </c>
      <c r="L672" s="7" t="inlineStr">
        <is>
          <t>Combatant Ships</t>
        </is>
      </c>
      <c r="M672" s="7" t="inlineStr">
        <is>
          <t>Aircraft Carriers</t>
        </is>
      </c>
      <c r="N672" s="7" t="inlineStr">
        <is>
          <t>CVN</t>
        </is>
      </c>
      <c r="O672" s="15" t="n"/>
      <c r="S672" s="16" t="n">
        <v>1849</v>
      </c>
      <c r="U672" s="16" t="n">
        <v>1849</v>
      </c>
      <c r="AC672" s="23">
        <f>IF(OR(E672="",E672="[PARENT]"),"ADD",IF(E672="[ALT_VIEW]","ALT",""))</f>
        <v/>
      </c>
      <c r="AD672" s="21">
        <f>IF(Y672&lt;&gt;"",Y672,IF(U672&lt;&gt;"",U672,S672))</f>
        <v/>
      </c>
      <c r="AE672" s="21">
        <f>IF(AB672&lt;&gt;"",AB672,Z672)</f>
        <v/>
      </c>
      <c r="AF672" s="13" t="inlineStr">
        <is>
          <t>P-8a &gt; CVN-81 &gt; Ordnance &gt; MANUALLY OPERATED VISUAL LANDING AID SYSTEM (MOVLAS) 1</t>
        </is>
      </c>
      <c r="AG672" s="7" t="inlineStr">
        <is>
          <t>124</t>
        </is>
      </c>
      <c r="AH672" s="7" t="inlineStr">
        <is>
          <t>2004</t>
        </is>
      </c>
      <c r="AJ672" s="7" t="inlineStr">
        <is>
          <t>MANUALLY OPERATED VISUAL LANDING AID SYSTEM (MOVLAS)</t>
        </is>
      </c>
    </row>
    <row r="673" ht="10" customHeight="1">
      <c r="A673" s="7" t="inlineStr">
        <is>
          <t>SCN</t>
        </is>
      </c>
      <c r="B673" s="7" t="inlineStr">
        <is>
          <t>Procurement</t>
        </is>
      </c>
      <c r="D673" s="7" t="inlineStr">
        <is>
          <t>CVN-81 - P-8a Ordnance - MAGOPS) 1</t>
        </is>
      </c>
      <c r="E673" s="13" t="inlineStr">
        <is>
          <t>[ALT_VIEW]</t>
        </is>
      </c>
      <c r="F673" s="7" t="inlineStr">
        <is>
          <t>2004 / CVN-81</t>
        </is>
      </c>
      <c r="G673" s="7" t="inlineStr">
        <is>
          <t>P-8a</t>
        </is>
      </c>
      <c r="H673" s="7" t="inlineStr">
        <is>
          <t>Ordnance</t>
        </is>
      </c>
      <c r="I673" s="14" t="n">
        <v>1</v>
      </c>
      <c r="J673" s="7" t="inlineStr">
        <is>
          <t>Full ship DD&amp;C</t>
        </is>
      </c>
      <c r="K673" s="13" t="inlineStr">
        <is>
          <t>USN</t>
        </is>
      </c>
      <c r="L673" s="7" t="inlineStr">
        <is>
          <t>Combatant Ships</t>
        </is>
      </c>
      <c r="M673" s="7" t="inlineStr">
        <is>
          <t>Aircraft Carriers</t>
        </is>
      </c>
      <c r="N673" s="7" t="inlineStr">
        <is>
          <t>CVN</t>
        </is>
      </c>
      <c r="O673" s="15" t="n"/>
      <c r="S673" s="16" t="n">
        <v>4600</v>
      </c>
      <c r="U673" s="16" t="n">
        <v>4600</v>
      </c>
      <c r="AC673" s="23">
        <f>IF(OR(E673="",E673="[PARENT]"),"ADD",IF(E673="[ALT_VIEW]","ALT",""))</f>
        <v/>
      </c>
      <c r="AD673" s="21">
        <f>IF(Y673&lt;&gt;"",Y673,IF(U673&lt;&gt;"",U673,S673))</f>
        <v/>
      </c>
      <c r="AE673" s="21">
        <f>IF(AB673&lt;&gt;"",AB673,Z673)</f>
        <v/>
      </c>
      <c r="AF673" s="13" t="inlineStr">
        <is>
          <t>P-8a &gt; CVN-81 &gt; Ordnance &gt; MAGOPS) 1</t>
        </is>
      </c>
      <c r="AG673" s="7" t="inlineStr">
        <is>
          <t>124</t>
        </is>
      </c>
      <c r="AH673" s="7" t="inlineStr">
        <is>
          <t>2004</t>
        </is>
      </c>
    </row>
    <row r="674" ht="10" customHeight="1">
      <c r="A674" s="7" t="inlineStr">
        <is>
          <t>SCN</t>
        </is>
      </c>
      <c r="B674" s="7" t="inlineStr">
        <is>
          <t>Procurement</t>
        </is>
      </c>
      <c r="D674" s="7" t="inlineStr">
        <is>
          <t>CVN-81 - P-8a Ordnance - Other ORDNANCE</t>
        </is>
      </c>
      <c r="E674" s="13" t="inlineStr">
        <is>
          <t>[ALT_VIEW]</t>
        </is>
      </c>
      <c r="F674" s="7" t="inlineStr">
        <is>
          <t>2004 / CVN-81</t>
        </is>
      </c>
      <c r="G674" s="7" t="inlineStr">
        <is>
          <t>P-8a</t>
        </is>
      </c>
      <c r="H674" s="7" t="inlineStr">
        <is>
          <t>Ordnance</t>
        </is>
      </c>
      <c r="I674" s="14" t="n">
        <v>1</v>
      </c>
      <c r="J674" s="7" t="inlineStr">
        <is>
          <t>Full ship DD&amp;C</t>
        </is>
      </c>
      <c r="K674" s="13" t="inlineStr">
        <is>
          <t>USN</t>
        </is>
      </c>
      <c r="L674" s="7" t="inlineStr">
        <is>
          <t>Combatant Ships</t>
        </is>
      </c>
      <c r="M674" s="7" t="inlineStr">
        <is>
          <t>Aircraft Carriers</t>
        </is>
      </c>
      <c r="N674" s="7" t="inlineStr">
        <is>
          <t>CVN</t>
        </is>
      </c>
      <c r="O674" s="15" t="n"/>
      <c r="S674" s="16" t="n">
        <v>9166</v>
      </c>
      <c r="U674" s="16" t="n">
        <v>9166</v>
      </c>
      <c r="AC674" s="23">
        <f>IF(OR(E674="",E674="[PARENT]"),"ADD",IF(E674="[ALT_VIEW]","ALT",""))</f>
        <v/>
      </c>
      <c r="AD674" s="21">
        <f>IF(Y674&lt;&gt;"",Y674,IF(U674&lt;&gt;"",U674,S674))</f>
        <v/>
      </c>
      <c r="AE674" s="21">
        <f>IF(AB674&lt;&gt;"",AB674,Z674)</f>
        <v/>
      </c>
      <c r="AF674" s="13" t="inlineStr">
        <is>
          <t>P-8a &gt; CVN-81 &gt; Ordnance &gt; Other ORDNANCE</t>
        </is>
      </c>
      <c r="AG674" s="7" t="inlineStr">
        <is>
          <t>124</t>
        </is>
      </c>
      <c r="AH674" s="7" t="inlineStr">
        <is>
          <t>2004</t>
        </is>
      </c>
      <c r="AJ674" s="7" t="inlineStr">
        <is>
          <t>Other ORDNANCE</t>
        </is>
      </c>
    </row>
    <row r="675" ht="10" customHeight="1">
      <c r="A675" s="7" t="inlineStr">
        <is>
          <t>SCN</t>
        </is>
      </c>
      <c r="B675" s="7" t="inlineStr">
        <is>
          <t>Procurement</t>
        </is>
      </c>
      <c r="D675" s="7" t="inlineStr">
        <is>
          <t>CVN-81 - P-35 CONSOLIDATED AFLOAT NETWORK AND ENTERPRISE SERVICES (CANES) - Major Hardware                                                                                                                                                     1</t>
        </is>
      </c>
      <c r="E675" s="13" t="inlineStr">
        <is>
          <t>[ALT_VIEW]</t>
        </is>
      </c>
      <c r="F675" s="7" t="inlineStr">
        <is>
          <t>2004 / CVN-81</t>
        </is>
      </c>
      <c r="G675" s="7" t="inlineStr">
        <is>
          <t>P-35</t>
        </is>
      </c>
      <c r="I675" s="14" t="n">
        <v>1</v>
      </c>
      <c r="J675" s="7" t="inlineStr">
        <is>
          <t>Full ship DD&amp;C</t>
        </is>
      </c>
      <c r="K675" s="13" t="inlineStr">
        <is>
          <t>USN</t>
        </is>
      </c>
      <c r="L675" s="7" t="inlineStr">
        <is>
          <t>Combatant Ships</t>
        </is>
      </c>
      <c r="M675" s="7" t="inlineStr">
        <is>
          <t>Aircraft Carriers</t>
        </is>
      </c>
      <c r="N675" s="7" t="inlineStr">
        <is>
          <t>CVN</t>
        </is>
      </c>
      <c r="O675" s="15" t="n"/>
      <c r="S675" s="16" t="n">
        <v>17519</v>
      </c>
      <c r="U675" s="16" t="n">
        <v>17519</v>
      </c>
      <c r="AC675" s="23">
        <f>IF(OR(E675="",E675="[PARENT]"),"ADD",IF(E675="[ALT_VIEW]","ALT",""))</f>
        <v/>
      </c>
      <c r="AD675" s="21">
        <f>IF(Y675&lt;&gt;"",Y675,IF(U675&lt;&gt;"",U675,S675))</f>
        <v/>
      </c>
      <c r="AE675" s="21">
        <f>IF(AB675&lt;&gt;"",AB675,Z675)</f>
        <v/>
      </c>
      <c r="AF675" s="13" t="inlineStr">
        <is>
          <t>P-35 &gt; CVN-81 &gt; CONSOLIDATED AFLOAT NETWORK AND ENTERPRISE SERVICES (CANES) &gt; Major Hardware                                                                                                                                                     1</t>
        </is>
      </c>
      <c r="AG675" s="7" t="inlineStr">
        <is>
          <t>125</t>
        </is>
      </c>
      <c r="AH675" s="7" t="inlineStr">
        <is>
          <t>2004</t>
        </is>
      </c>
    </row>
    <row r="676" ht="10" customHeight="1">
      <c r="A676" s="7" t="inlineStr">
        <is>
          <t>SCN</t>
        </is>
      </c>
      <c r="B676" s="7" t="inlineStr">
        <is>
          <t>Procurement</t>
        </is>
      </c>
      <c r="D676" s="7" t="inlineStr">
        <is>
          <t>CVN-81 - P-35 CONSOLIDATED AFLOAT NETWORK AND ENTERPRISE SERVICES (CANES) - Technical Data and Documentation</t>
        </is>
      </c>
      <c r="E676" s="13" t="inlineStr">
        <is>
          <t>[ALT_VIEW]</t>
        </is>
      </c>
      <c r="F676" s="7" t="inlineStr">
        <is>
          <t>2004 / CVN-81</t>
        </is>
      </c>
      <c r="G676" s="7" t="inlineStr">
        <is>
          <t>P-35</t>
        </is>
      </c>
      <c r="I676" s="14" t="n">
        <v>1</v>
      </c>
      <c r="J676" s="7" t="inlineStr">
        <is>
          <t>Full ship DD&amp;C</t>
        </is>
      </c>
      <c r="K676" s="13" t="inlineStr">
        <is>
          <t>USN</t>
        </is>
      </c>
      <c r="L676" s="7" t="inlineStr">
        <is>
          <t>Combatant Ships</t>
        </is>
      </c>
      <c r="M676" s="7" t="inlineStr">
        <is>
          <t>Aircraft Carriers</t>
        </is>
      </c>
      <c r="N676" s="7" t="inlineStr">
        <is>
          <t>CVN</t>
        </is>
      </c>
      <c r="O676" s="15" t="n"/>
      <c r="S676" s="16" t="n">
        <v>451</v>
      </c>
      <c r="U676" s="16" t="n">
        <v>451</v>
      </c>
      <c r="AC676" s="23">
        <f>IF(OR(E676="",E676="[PARENT]"),"ADD",IF(E676="[ALT_VIEW]","ALT",""))</f>
        <v/>
      </c>
      <c r="AD676" s="21">
        <f>IF(Y676&lt;&gt;"",Y676,IF(U676&lt;&gt;"",U676,S676))</f>
        <v/>
      </c>
      <c r="AE676" s="21">
        <f>IF(AB676&lt;&gt;"",AB676,Z676)</f>
        <v/>
      </c>
      <c r="AF676" s="13" t="inlineStr">
        <is>
          <t>P-35 &gt; CVN-81 &gt; CONSOLIDATED AFLOAT NETWORK AND ENTERPRISE SERVICES (CANES) &gt; Technical Data and Documentation</t>
        </is>
      </c>
      <c r="AG676" s="7" t="inlineStr">
        <is>
          <t>125</t>
        </is>
      </c>
      <c r="AH676" s="7" t="inlineStr">
        <is>
          <t>2004</t>
        </is>
      </c>
    </row>
    <row r="677" ht="10" customHeight="1">
      <c r="A677" s="7" t="inlineStr">
        <is>
          <t>SCN</t>
        </is>
      </c>
      <c r="B677" s="7" t="inlineStr">
        <is>
          <t>Procurement</t>
        </is>
      </c>
      <c r="D677" s="7" t="inlineStr">
        <is>
          <t>CVN-81 - P-35 CONSOLIDATED AFLOAT NETWORK AND ENTERPRISE SERVICES (CANES) - Spares</t>
        </is>
      </c>
      <c r="E677" s="13" t="inlineStr">
        <is>
          <t>[ALT_VIEW]</t>
        </is>
      </c>
      <c r="F677" s="7" t="inlineStr">
        <is>
          <t>2004 / CVN-81</t>
        </is>
      </c>
      <c r="G677" s="7" t="inlineStr">
        <is>
          <t>P-35</t>
        </is>
      </c>
      <c r="I677" s="14" t="n">
        <v>1</v>
      </c>
      <c r="J677" s="7" t="inlineStr">
        <is>
          <t>Full ship DD&amp;C</t>
        </is>
      </c>
      <c r="K677" s="13" t="inlineStr">
        <is>
          <t>USN</t>
        </is>
      </c>
      <c r="L677" s="7" t="inlineStr">
        <is>
          <t>Combatant Ships</t>
        </is>
      </c>
      <c r="M677" s="7" t="inlineStr">
        <is>
          <t>Aircraft Carriers</t>
        </is>
      </c>
      <c r="N677" s="7" t="inlineStr">
        <is>
          <t>CVN</t>
        </is>
      </c>
      <c r="O677" s="15" t="n"/>
      <c r="S677" s="16" t="n">
        <v>976</v>
      </c>
      <c r="U677" s="16" t="n">
        <v>976</v>
      </c>
      <c r="AC677" s="23">
        <f>IF(OR(E677="",E677="[PARENT]"),"ADD",IF(E677="[ALT_VIEW]","ALT",""))</f>
        <v/>
      </c>
      <c r="AD677" s="21">
        <f>IF(Y677&lt;&gt;"",Y677,IF(U677&lt;&gt;"",U677,S677))</f>
        <v/>
      </c>
      <c r="AE677" s="21">
        <f>IF(AB677&lt;&gt;"",AB677,Z677)</f>
        <v/>
      </c>
      <c r="AF677" s="13" t="inlineStr">
        <is>
          <t>P-35 &gt; CVN-81 &gt; CONSOLIDATED AFLOAT NETWORK AND ENTERPRISE SERVICES (CANES) &gt; Spares</t>
        </is>
      </c>
      <c r="AG677" s="7" t="inlineStr">
        <is>
          <t>125</t>
        </is>
      </c>
      <c r="AH677" s="7" t="inlineStr">
        <is>
          <t>2004</t>
        </is>
      </c>
      <c r="AJ677" s="7" t="inlineStr">
        <is>
          <t>CONSOLIDATED AFLOAT NETWORK AND ENTERPRISE SERVICES (CANES) [CVN 81]</t>
        </is>
      </c>
    </row>
    <row r="678" ht="10" customHeight="1">
      <c r="A678" s="7" t="inlineStr">
        <is>
          <t>SCN</t>
        </is>
      </c>
      <c r="B678" s="7" t="inlineStr">
        <is>
          <t>Procurement</t>
        </is>
      </c>
      <c r="D678" s="7" t="inlineStr">
        <is>
          <t>CVN-81 - P-35 CONSOLIDATED AFLOAT NETWORK AND ENTERPRISE SERVICES (CANES) - System Engineering</t>
        </is>
      </c>
      <c r="E678" s="13" t="inlineStr">
        <is>
          <t>[ALT_VIEW]</t>
        </is>
      </c>
      <c r="F678" s="7" t="inlineStr">
        <is>
          <t>2004 / CVN-81</t>
        </is>
      </c>
      <c r="G678" s="7" t="inlineStr">
        <is>
          <t>P-35</t>
        </is>
      </c>
      <c r="I678" s="14" t="n">
        <v>1</v>
      </c>
      <c r="J678" s="7" t="inlineStr">
        <is>
          <t>Full ship DD&amp;C</t>
        </is>
      </c>
      <c r="K678" s="13" t="inlineStr">
        <is>
          <t>USN</t>
        </is>
      </c>
      <c r="L678" s="7" t="inlineStr">
        <is>
          <t>Combatant Ships</t>
        </is>
      </c>
      <c r="M678" s="7" t="inlineStr">
        <is>
          <t>Aircraft Carriers</t>
        </is>
      </c>
      <c r="N678" s="7" t="inlineStr">
        <is>
          <t>CVN</t>
        </is>
      </c>
      <c r="O678" s="15" t="n"/>
      <c r="S678" s="16" t="n">
        <v>2103</v>
      </c>
      <c r="U678" s="16" t="n">
        <v>2103</v>
      </c>
      <c r="AC678" s="23">
        <f>IF(OR(E678="",E678="[PARENT]"),"ADD",IF(E678="[ALT_VIEW]","ALT",""))</f>
        <v/>
      </c>
      <c r="AD678" s="21">
        <f>IF(Y678&lt;&gt;"",Y678,IF(U678&lt;&gt;"",U678,S678))</f>
        <v/>
      </c>
      <c r="AE678" s="21">
        <f>IF(AB678&lt;&gt;"",AB678,Z678)</f>
        <v/>
      </c>
      <c r="AF678" s="13" t="inlineStr">
        <is>
          <t>P-35 &gt; CVN-81 &gt; CONSOLIDATED AFLOAT NETWORK AND ENTERPRISE SERVICES (CANES) &gt; System Engineering</t>
        </is>
      </c>
      <c r="AG678" s="7" t="inlineStr">
        <is>
          <t>125</t>
        </is>
      </c>
      <c r="AH678" s="7" t="inlineStr">
        <is>
          <t>2004</t>
        </is>
      </c>
    </row>
    <row r="679" ht="10" customHeight="1">
      <c r="A679" s="7" t="inlineStr">
        <is>
          <t>SCN</t>
        </is>
      </c>
      <c r="B679" s="7" t="inlineStr">
        <is>
          <t>Procurement</t>
        </is>
      </c>
      <c r="D679" s="7" t="inlineStr">
        <is>
          <t>CVN-81 - P-35 CONSOLIDATED AFLOAT NETWORK AND ENTERPRISE SERVICES (CANES) - Technical Engineering Services</t>
        </is>
      </c>
      <c r="E679" s="13" t="inlineStr">
        <is>
          <t>[ALT_VIEW]</t>
        </is>
      </c>
      <c r="F679" s="7" t="inlineStr">
        <is>
          <t>2004 / CVN-81</t>
        </is>
      </c>
      <c r="G679" s="7" t="inlineStr">
        <is>
          <t>P-35</t>
        </is>
      </c>
      <c r="I679" s="14" t="n">
        <v>1</v>
      </c>
      <c r="J679" s="7" t="inlineStr">
        <is>
          <t>Full ship DD&amp;C</t>
        </is>
      </c>
      <c r="K679" s="13" t="inlineStr">
        <is>
          <t>USN</t>
        </is>
      </c>
      <c r="L679" s="7" t="inlineStr">
        <is>
          <t>Combatant Ships</t>
        </is>
      </c>
      <c r="M679" s="7" t="inlineStr">
        <is>
          <t>Aircraft Carriers</t>
        </is>
      </c>
      <c r="N679" s="7" t="inlineStr">
        <is>
          <t>CVN</t>
        </is>
      </c>
      <c r="O679" s="15" t="n"/>
      <c r="S679" s="16" t="n">
        <v>1468</v>
      </c>
      <c r="U679" s="16" t="n">
        <v>1468</v>
      </c>
      <c r="AC679" s="23">
        <f>IF(OR(E679="",E679="[PARENT]"),"ADD",IF(E679="[ALT_VIEW]","ALT",""))</f>
        <v/>
      </c>
      <c r="AD679" s="21">
        <f>IF(Y679&lt;&gt;"",Y679,IF(U679&lt;&gt;"",U679,S679))</f>
        <v/>
      </c>
      <c r="AE679" s="21">
        <f>IF(AB679&lt;&gt;"",AB679,Z679)</f>
        <v/>
      </c>
      <c r="AF679" s="13" t="inlineStr">
        <is>
          <t>P-35 &gt; CVN-81 &gt; CONSOLIDATED AFLOAT NETWORK AND ENTERPRISE SERVICES (CANES) &gt; Technical Engineering Services</t>
        </is>
      </c>
      <c r="AG679" s="7" t="inlineStr">
        <is>
          <t>125</t>
        </is>
      </c>
      <c r="AH679" s="7" t="inlineStr">
        <is>
          <t>2004</t>
        </is>
      </c>
    </row>
    <row r="680" ht="10" customHeight="1">
      <c r="A680" s="7" t="inlineStr">
        <is>
          <t>SCN</t>
        </is>
      </c>
      <c r="B680" s="7" t="inlineStr">
        <is>
          <t>Procurement</t>
        </is>
      </c>
      <c r="D680" s="7" t="inlineStr">
        <is>
          <t>CVN-81 - P-35 CONSOLIDATED AFLOAT NETWORK AND ENTERPRISE SERVICES (CANES) - Other Costs</t>
        </is>
      </c>
      <c r="E680" s="13" t="inlineStr">
        <is>
          <t>[ALT_VIEW]</t>
        </is>
      </c>
      <c r="F680" s="7" t="inlineStr">
        <is>
          <t>2004 / CVN-81</t>
        </is>
      </c>
      <c r="G680" s="7" t="inlineStr">
        <is>
          <t>P-35</t>
        </is>
      </c>
      <c r="I680" s="14" t="n">
        <v>1</v>
      </c>
      <c r="J680" s="7" t="inlineStr">
        <is>
          <t>Full ship DD&amp;C</t>
        </is>
      </c>
      <c r="K680" s="13" t="inlineStr">
        <is>
          <t>USN</t>
        </is>
      </c>
      <c r="L680" s="7" t="inlineStr">
        <is>
          <t>Combatant Ships</t>
        </is>
      </c>
      <c r="M680" s="7" t="inlineStr">
        <is>
          <t>Aircraft Carriers</t>
        </is>
      </c>
      <c r="N680" s="7" t="inlineStr">
        <is>
          <t>CVN</t>
        </is>
      </c>
      <c r="O680" s="15" t="n"/>
      <c r="S680" s="16" t="n">
        <v>5605</v>
      </c>
      <c r="U680" s="16" t="n">
        <v>5605</v>
      </c>
      <c r="AC680" s="23">
        <f>IF(OR(E680="",E680="[PARENT]"),"ADD",IF(E680="[ALT_VIEW]","ALT",""))</f>
        <v/>
      </c>
      <c r="AD680" s="21">
        <f>IF(Y680&lt;&gt;"",Y680,IF(U680&lt;&gt;"",U680,S680))</f>
        <v/>
      </c>
      <c r="AE680" s="21">
        <f>IF(AB680&lt;&gt;"",AB680,Z680)</f>
        <v/>
      </c>
      <c r="AF680" s="13" t="inlineStr">
        <is>
          <t>P-35 &gt; CVN-81 &gt; CONSOLIDATED AFLOAT NETWORK AND ENTERPRISE SERVICES (CANES) &gt; Other Costs</t>
        </is>
      </c>
      <c r="AG680" s="7" t="inlineStr">
        <is>
          <t>125</t>
        </is>
      </c>
      <c r="AH680" s="7" t="inlineStr">
        <is>
          <t>2004</t>
        </is>
      </c>
      <c r="AJ680" s="7" t="inlineStr">
        <is>
          <t>Other Costs</t>
        </is>
      </c>
    </row>
    <row r="681" ht="10" customHeight="1">
      <c r="A681" s="7" t="inlineStr">
        <is>
          <t>SCN</t>
        </is>
      </c>
      <c r="B681" s="7" t="inlineStr">
        <is>
          <t>Procurement</t>
        </is>
      </c>
      <c r="D681" s="7" t="inlineStr">
        <is>
          <t>CVN-81 - P-35 AN/USG-2, COOPERATIVE ENGAGEMENT CAPABILITY (CEC) - Major Hardware                                                                                                                                                       1</t>
        </is>
      </c>
      <c r="E681" s="13" t="inlineStr">
        <is>
          <t>[ALT_VIEW]</t>
        </is>
      </c>
      <c r="F681" s="7" t="inlineStr">
        <is>
          <t>2004 / CVN-81</t>
        </is>
      </c>
      <c r="G681" s="7" t="inlineStr">
        <is>
          <t>P-35</t>
        </is>
      </c>
      <c r="I681" s="14" t="n">
        <v>1</v>
      </c>
      <c r="J681" s="7" t="inlineStr">
        <is>
          <t>Full ship DD&amp;C</t>
        </is>
      </c>
      <c r="K681" s="13" t="inlineStr">
        <is>
          <t>USN</t>
        </is>
      </c>
      <c r="L681" s="7" t="inlineStr">
        <is>
          <t>Combatant Ships</t>
        </is>
      </c>
      <c r="M681" s="7" t="inlineStr">
        <is>
          <t>Aircraft Carriers</t>
        </is>
      </c>
      <c r="N681" s="7" t="inlineStr">
        <is>
          <t>CVN</t>
        </is>
      </c>
      <c r="O681" s="15" t="n"/>
      <c r="S681" s="16" t="n">
        <v>5847</v>
      </c>
      <c r="U681" s="16" t="n">
        <v>5847</v>
      </c>
      <c r="AC681" s="23">
        <f>IF(OR(E681="",E681="[PARENT]"),"ADD",IF(E681="[ALT_VIEW]","ALT",""))</f>
        <v/>
      </c>
      <c r="AD681" s="21">
        <f>IF(Y681&lt;&gt;"",Y681,IF(U681&lt;&gt;"",U681,S681))</f>
        <v/>
      </c>
      <c r="AE681" s="21">
        <f>IF(AB681&lt;&gt;"",AB681,Z681)</f>
        <v/>
      </c>
      <c r="AF681" s="13" t="inlineStr">
        <is>
          <t>P-35 &gt; CVN-81 &gt; AN/USG-2, COOPERATIVE ENGAGEMENT CAPABILITY (CEC) &gt; Major Hardware                                                                                                                                                       1</t>
        </is>
      </c>
      <c r="AG681" s="7" t="inlineStr">
        <is>
          <t>126</t>
        </is>
      </c>
      <c r="AH681" s="7" t="inlineStr">
        <is>
          <t>2004</t>
        </is>
      </c>
    </row>
    <row r="682" ht="10" customHeight="1">
      <c r="A682" s="7" t="inlineStr">
        <is>
          <t>SCN</t>
        </is>
      </c>
      <c r="B682" s="7" t="inlineStr">
        <is>
          <t>Procurement</t>
        </is>
      </c>
      <c r="D682" s="7" t="inlineStr">
        <is>
          <t>CVN-81 - P-35 AN/USG-2, COOPERATIVE ENGAGEMENT CAPABILITY (CEC) - Spares</t>
        </is>
      </c>
      <c r="E682" s="13" t="inlineStr">
        <is>
          <t>[ALT_VIEW]</t>
        </is>
      </c>
      <c r="F682" s="7" t="inlineStr">
        <is>
          <t>2004 / CVN-81</t>
        </is>
      </c>
      <c r="G682" s="7" t="inlineStr">
        <is>
          <t>P-35</t>
        </is>
      </c>
      <c r="I682" s="14" t="n">
        <v>1</v>
      </c>
      <c r="J682" s="7" t="inlineStr">
        <is>
          <t>Full ship DD&amp;C</t>
        </is>
      </c>
      <c r="K682" s="13" t="inlineStr">
        <is>
          <t>USN</t>
        </is>
      </c>
      <c r="L682" s="7" t="inlineStr">
        <is>
          <t>Combatant Ships</t>
        </is>
      </c>
      <c r="M682" s="7" t="inlineStr">
        <is>
          <t>Aircraft Carriers</t>
        </is>
      </c>
      <c r="N682" s="7" t="inlineStr">
        <is>
          <t>CVN</t>
        </is>
      </c>
      <c r="O682" s="15" t="n"/>
      <c r="S682" s="16" t="n">
        <v>500</v>
      </c>
      <c r="U682" s="16" t="n">
        <v>500</v>
      </c>
      <c r="AC682" s="23">
        <f>IF(OR(E682="",E682="[PARENT]"),"ADD",IF(E682="[ALT_VIEW]","ALT",""))</f>
        <v/>
      </c>
      <c r="AD682" s="21">
        <f>IF(Y682&lt;&gt;"",Y682,IF(U682&lt;&gt;"",U682,S682))</f>
        <v/>
      </c>
      <c r="AE682" s="21">
        <f>IF(AB682&lt;&gt;"",AB682,Z682)</f>
        <v/>
      </c>
      <c r="AF682" s="13" t="inlineStr">
        <is>
          <t>P-35 &gt; CVN-81 &gt; AN/USG-2, COOPERATIVE ENGAGEMENT CAPABILITY (CEC) &gt; Spares</t>
        </is>
      </c>
      <c r="AG682" s="7" t="inlineStr">
        <is>
          <t>126</t>
        </is>
      </c>
      <c r="AH682" s="7" t="inlineStr">
        <is>
          <t>2004</t>
        </is>
      </c>
      <c r="AJ682" s="7" t="inlineStr">
        <is>
          <t>AN/USG-2, COOPERATIVE ENGAGEMENT CAPABILITY (CEC) [CVN 81]</t>
        </is>
      </c>
    </row>
    <row r="683" ht="10" customHeight="1">
      <c r="A683" s="7" t="inlineStr">
        <is>
          <t>SCN</t>
        </is>
      </c>
      <c r="B683" s="7" t="inlineStr">
        <is>
          <t>Procurement</t>
        </is>
      </c>
      <c r="D683" s="7" t="inlineStr">
        <is>
          <t>CVN-81 - P-35 AN/USG-2, COOPERATIVE ENGAGEMENT CAPABILITY (CEC) - System Engineering</t>
        </is>
      </c>
      <c r="E683" s="13" t="inlineStr">
        <is>
          <t>[ALT_VIEW]</t>
        </is>
      </c>
      <c r="F683" s="7" t="inlineStr">
        <is>
          <t>2004 / CVN-81</t>
        </is>
      </c>
      <c r="G683" s="7" t="inlineStr">
        <is>
          <t>P-35</t>
        </is>
      </c>
      <c r="I683" s="14" t="n">
        <v>1</v>
      </c>
      <c r="J683" s="7" t="inlineStr">
        <is>
          <t>Full ship DD&amp;C</t>
        </is>
      </c>
      <c r="K683" s="13" t="inlineStr">
        <is>
          <t>USN</t>
        </is>
      </c>
      <c r="L683" s="7" t="inlineStr">
        <is>
          <t>Combatant Ships</t>
        </is>
      </c>
      <c r="M683" s="7" t="inlineStr">
        <is>
          <t>Aircraft Carriers</t>
        </is>
      </c>
      <c r="N683" s="7" t="inlineStr">
        <is>
          <t>CVN</t>
        </is>
      </c>
      <c r="O683" s="15" t="n"/>
      <c r="S683" s="16" t="n">
        <v>520</v>
      </c>
      <c r="U683" s="16" t="n">
        <v>520</v>
      </c>
      <c r="AC683" s="23">
        <f>IF(OR(E683="",E683="[PARENT]"),"ADD",IF(E683="[ALT_VIEW]","ALT",""))</f>
        <v/>
      </c>
      <c r="AD683" s="21">
        <f>IF(Y683&lt;&gt;"",Y683,IF(U683&lt;&gt;"",U683,S683))</f>
        <v/>
      </c>
      <c r="AE683" s="21">
        <f>IF(AB683&lt;&gt;"",AB683,Z683)</f>
        <v/>
      </c>
      <c r="AF683" s="13" t="inlineStr">
        <is>
          <t>P-35 &gt; CVN-81 &gt; AN/USG-2, COOPERATIVE ENGAGEMENT CAPABILITY (CEC) &gt; System Engineering</t>
        </is>
      </c>
      <c r="AG683" s="7" t="inlineStr">
        <is>
          <t>126</t>
        </is>
      </c>
      <c r="AH683" s="7" t="inlineStr">
        <is>
          <t>2004</t>
        </is>
      </c>
    </row>
    <row r="684" ht="10" customHeight="1">
      <c r="A684" s="7" t="inlineStr">
        <is>
          <t>SCN</t>
        </is>
      </c>
      <c r="B684" s="7" t="inlineStr">
        <is>
          <t>Procurement</t>
        </is>
      </c>
      <c r="D684" s="7" t="inlineStr">
        <is>
          <t>CVN-81 - P-35 AN/USG-2, COOPERATIVE ENGAGEMENT CAPABILITY (CEC) - Technical Engineering Services</t>
        </is>
      </c>
      <c r="E684" s="13" t="inlineStr">
        <is>
          <t>[ALT_VIEW]</t>
        </is>
      </c>
      <c r="F684" s="7" t="inlineStr">
        <is>
          <t>2004 / CVN-81</t>
        </is>
      </c>
      <c r="G684" s="7" t="inlineStr">
        <is>
          <t>P-35</t>
        </is>
      </c>
      <c r="I684" s="14" t="n">
        <v>1</v>
      </c>
      <c r="J684" s="7" t="inlineStr">
        <is>
          <t>Full ship DD&amp;C</t>
        </is>
      </c>
      <c r="K684" s="13" t="inlineStr">
        <is>
          <t>USN</t>
        </is>
      </c>
      <c r="L684" s="7" t="inlineStr">
        <is>
          <t>Combatant Ships</t>
        </is>
      </c>
      <c r="M684" s="7" t="inlineStr">
        <is>
          <t>Aircraft Carriers</t>
        </is>
      </c>
      <c r="N684" s="7" t="inlineStr">
        <is>
          <t>CVN</t>
        </is>
      </c>
      <c r="O684" s="15" t="n"/>
      <c r="S684" s="16" t="n">
        <v>734</v>
      </c>
      <c r="U684" s="16" t="n">
        <v>734</v>
      </c>
      <c r="AC684" s="23">
        <f>IF(OR(E684="",E684="[PARENT]"),"ADD",IF(E684="[ALT_VIEW]","ALT",""))</f>
        <v/>
      </c>
      <c r="AD684" s="21">
        <f>IF(Y684&lt;&gt;"",Y684,IF(U684&lt;&gt;"",U684,S684))</f>
        <v/>
      </c>
      <c r="AE684" s="21">
        <f>IF(AB684&lt;&gt;"",AB684,Z684)</f>
        <v/>
      </c>
      <c r="AF684" s="13" t="inlineStr">
        <is>
          <t>P-35 &gt; CVN-81 &gt; AN/USG-2, COOPERATIVE ENGAGEMENT CAPABILITY (CEC) &gt; Technical Engineering Services</t>
        </is>
      </c>
      <c r="AG684" s="7" t="inlineStr">
        <is>
          <t>126</t>
        </is>
      </c>
      <c r="AH684" s="7" t="inlineStr">
        <is>
          <t>2004</t>
        </is>
      </c>
    </row>
    <row r="685" ht="10" customHeight="1">
      <c r="A685" s="7" t="inlineStr">
        <is>
          <t>SCN</t>
        </is>
      </c>
      <c r="B685" s="7" t="inlineStr">
        <is>
          <t>Procurement</t>
        </is>
      </c>
      <c r="D685" s="7" t="inlineStr">
        <is>
          <t>CVN-81 - P-35 AN/USG-2, COOPERATIVE ENGAGEMENT CAPABILITY (CEC) - Other Costs</t>
        </is>
      </c>
      <c r="E685" s="13" t="inlineStr">
        <is>
          <t>[ALT_VIEW]</t>
        </is>
      </c>
      <c r="F685" s="7" t="inlineStr">
        <is>
          <t>2004 / CVN-81</t>
        </is>
      </c>
      <c r="G685" s="7" t="inlineStr">
        <is>
          <t>P-35</t>
        </is>
      </c>
      <c r="I685" s="14" t="n">
        <v>1</v>
      </c>
      <c r="J685" s="7" t="inlineStr">
        <is>
          <t>Full ship DD&amp;C</t>
        </is>
      </c>
      <c r="K685" s="13" t="inlineStr">
        <is>
          <t>USN</t>
        </is>
      </c>
      <c r="L685" s="7" t="inlineStr">
        <is>
          <t>Combatant Ships</t>
        </is>
      </c>
      <c r="M685" s="7" t="inlineStr">
        <is>
          <t>Aircraft Carriers</t>
        </is>
      </c>
      <c r="N685" s="7" t="inlineStr">
        <is>
          <t>CVN</t>
        </is>
      </c>
      <c r="O685" s="15" t="n"/>
      <c r="S685" s="16" t="n">
        <v>1094</v>
      </c>
      <c r="U685" s="16" t="n">
        <v>1094</v>
      </c>
      <c r="AC685" s="23">
        <f>IF(OR(E685="",E685="[PARENT]"),"ADD",IF(E685="[ALT_VIEW]","ALT",""))</f>
        <v/>
      </c>
      <c r="AD685" s="21">
        <f>IF(Y685&lt;&gt;"",Y685,IF(U685&lt;&gt;"",U685,S685))</f>
        <v/>
      </c>
      <c r="AE685" s="21">
        <f>IF(AB685&lt;&gt;"",AB685,Z685)</f>
        <v/>
      </c>
      <c r="AF685" s="13" t="inlineStr">
        <is>
          <t>P-35 &gt; CVN-81 &gt; AN/USG-2, COOPERATIVE ENGAGEMENT CAPABILITY (CEC) &gt; Other Costs</t>
        </is>
      </c>
      <c r="AG685" s="7" t="inlineStr">
        <is>
          <t>126</t>
        </is>
      </c>
      <c r="AH685" s="7" t="inlineStr">
        <is>
          <t>2004</t>
        </is>
      </c>
    </row>
    <row r="686" ht="10" customHeight="1">
      <c r="A686" s="7" t="inlineStr">
        <is>
          <t>SCN</t>
        </is>
      </c>
      <c r="B686" s="7" t="inlineStr">
        <is>
          <t>Procurement</t>
        </is>
      </c>
      <c r="D686" s="7" t="inlineStr">
        <is>
          <t>CVN-81 - P-35 DIGITAL MODULAR RADIO (DMR) ULTRA HIGH FREQUENCY/VERY HIGH FREQUENCY LINE OF PARM Code: PMW 170 - Major Hardware                                                                                                                                               1</t>
        </is>
      </c>
      <c r="E686" s="13" t="inlineStr">
        <is>
          <t>[ALT_VIEW]</t>
        </is>
      </c>
      <c r="F686" s="7" t="inlineStr">
        <is>
          <t>2004 / CVN-81</t>
        </is>
      </c>
      <c r="G686" s="7" t="inlineStr">
        <is>
          <t>P-35</t>
        </is>
      </c>
      <c r="I686" s="14" t="n">
        <v>1</v>
      </c>
      <c r="J686" s="7" t="inlineStr">
        <is>
          <t>Full ship DD&amp;C</t>
        </is>
      </c>
      <c r="K686" s="13" t="inlineStr">
        <is>
          <t>USN</t>
        </is>
      </c>
      <c r="L686" s="7" t="inlineStr">
        <is>
          <t>Combatant Ships</t>
        </is>
      </c>
      <c r="M686" s="7" t="inlineStr">
        <is>
          <t>Aircraft Carriers</t>
        </is>
      </c>
      <c r="N686" s="7" t="inlineStr">
        <is>
          <t>CVN</t>
        </is>
      </c>
      <c r="O686" s="15" t="n"/>
      <c r="S686" s="16" t="n">
        <v>8787</v>
      </c>
      <c r="U686" s="16" t="n">
        <v>8787</v>
      </c>
      <c r="AC686" s="23">
        <f>IF(OR(E686="",E686="[PARENT]"),"ADD",IF(E686="[ALT_VIEW]","ALT",""))</f>
        <v/>
      </c>
      <c r="AD686" s="21">
        <f>IF(Y686&lt;&gt;"",Y686,IF(U686&lt;&gt;"",U686,S686))</f>
        <v/>
      </c>
      <c r="AE686" s="21">
        <f>IF(AB686&lt;&gt;"",AB686,Z686)</f>
        <v/>
      </c>
      <c r="AF686" s="13" t="inlineStr">
        <is>
          <t>P-35 &gt; CVN-81 &gt; DIGITAL MODULAR RADIO (DMR) ULTRA HIGH FREQUENCY/VERY HIGH FREQUENCY LINE OF PARM Code: PMW 170 &gt; Major Hardware                                                                                                                                               1</t>
        </is>
      </c>
      <c r="AG686" s="7" t="inlineStr">
        <is>
          <t>127</t>
        </is>
      </c>
      <c r="AH686" s="7" t="inlineStr">
        <is>
          <t>2004</t>
        </is>
      </c>
    </row>
    <row r="687" ht="10" customHeight="1">
      <c r="A687" s="7" t="inlineStr">
        <is>
          <t>SCN</t>
        </is>
      </c>
      <c r="B687" s="7" t="inlineStr">
        <is>
          <t>Procurement</t>
        </is>
      </c>
      <c r="D687" s="7" t="inlineStr">
        <is>
          <t>CVN-81 - P-35 DIGITAL MODULAR RADIO (DMR) ULTRA HIGH FREQUENCY/VERY HIGH FREQUENCY LINE OF PARM Code: PMW 170 - Spares</t>
        </is>
      </c>
      <c r="E687" s="13" t="inlineStr">
        <is>
          <t>[ALT_VIEW]</t>
        </is>
      </c>
      <c r="F687" s="7" t="inlineStr">
        <is>
          <t>2004 / CVN-81</t>
        </is>
      </c>
      <c r="G687" s="7" t="inlineStr">
        <is>
          <t>P-35</t>
        </is>
      </c>
      <c r="I687" s="14" t="n">
        <v>1</v>
      </c>
      <c r="J687" s="7" t="inlineStr">
        <is>
          <t>Full ship DD&amp;C</t>
        </is>
      </c>
      <c r="K687" s="13" t="inlineStr">
        <is>
          <t>USN</t>
        </is>
      </c>
      <c r="L687" s="7" t="inlineStr">
        <is>
          <t>Combatant Ships</t>
        </is>
      </c>
      <c r="M687" s="7" t="inlineStr">
        <is>
          <t>Aircraft Carriers</t>
        </is>
      </c>
      <c r="N687" s="7" t="inlineStr">
        <is>
          <t>CVN</t>
        </is>
      </c>
      <c r="O687" s="15" t="n"/>
      <c r="S687" s="16" t="n">
        <v>60</v>
      </c>
      <c r="U687" s="16" t="n">
        <v>60</v>
      </c>
      <c r="AC687" s="23">
        <f>IF(OR(E687="",E687="[PARENT]"),"ADD",IF(E687="[ALT_VIEW]","ALT",""))</f>
        <v/>
      </c>
      <c r="AD687" s="21">
        <f>IF(Y687&lt;&gt;"",Y687,IF(U687&lt;&gt;"",U687,S687))</f>
        <v/>
      </c>
      <c r="AE687" s="21">
        <f>IF(AB687&lt;&gt;"",AB687,Z687)</f>
        <v/>
      </c>
      <c r="AF687" s="13" t="inlineStr">
        <is>
          <t>P-35 &gt; CVN-81 &gt; DIGITAL MODULAR RADIO (DMR) ULTRA HIGH FREQUENCY/VERY HIGH FREQUENCY LINE OF PARM Code: PMW 170 &gt; Spares</t>
        </is>
      </c>
      <c r="AG687" s="7" t="inlineStr">
        <is>
          <t>127</t>
        </is>
      </c>
      <c r="AH687" s="7" t="inlineStr">
        <is>
          <t>2004</t>
        </is>
      </c>
      <c r="AJ687" s="7" t="inlineStr">
        <is>
          <t>DIGITAL MODULAR RADIO (DMR) ULTRA HIGH FREQUENCY/VERY HIGH FREQUENCY LINE OF SIGHT (EHF/VHF LOS) SAT</t>
        </is>
      </c>
    </row>
    <row r="688" ht="10" customHeight="1">
      <c r="A688" s="7" t="inlineStr">
        <is>
          <t>SCN</t>
        </is>
      </c>
      <c r="B688" s="7" t="inlineStr">
        <is>
          <t>Procurement</t>
        </is>
      </c>
      <c r="D688" s="7" t="inlineStr">
        <is>
          <t>CVN-81 - P-35 DIGITAL MODULAR RADIO (DMR) ULTRA HIGH FREQUENCY/VERY HIGH FREQUENCY LINE OF PARM Code: PMW 170 - System Engineering</t>
        </is>
      </c>
      <c r="E688" s="13" t="inlineStr">
        <is>
          <t>[ALT_VIEW]</t>
        </is>
      </c>
      <c r="F688" s="7" t="inlineStr">
        <is>
          <t>2004 / CVN-81</t>
        </is>
      </c>
      <c r="G688" s="7" t="inlineStr">
        <is>
          <t>P-35</t>
        </is>
      </c>
      <c r="I688" s="14" t="n">
        <v>1</v>
      </c>
      <c r="J688" s="7" t="inlineStr">
        <is>
          <t>Full ship DD&amp;C</t>
        </is>
      </c>
      <c r="K688" s="13" t="inlineStr">
        <is>
          <t>USN</t>
        </is>
      </c>
      <c r="L688" s="7" t="inlineStr">
        <is>
          <t>Combatant Ships</t>
        </is>
      </c>
      <c r="M688" s="7" t="inlineStr">
        <is>
          <t>Aircraft Carriers</t>
        </is>
      </c>
      <c r="N688" s="7" t="inlineStr">
        <is>
          <t>CVN</t>
        </is>
      </c>
      <c r="O688" s="15" t="n"/>
      <c r="S688" s="16" t="n">
        <v>528</v>
      </c>
      <c r="U688" s="16" t="n">
        <v>528</v>
      </c>
      <c r="AC688" s="23">
        <f>IF(OR(E688="",E688="[PARENT]"),"ADD",IF(E688="[ALT_VIEW]","ALT",""))</f>
        <v/>
      </c>
      <c r="AD688" s="21">
        <f>IF(Y688&lt;&gt;"",Y688,IF(U688&lt;&gt;"",U688,S688))</f>
        <v/>
      </c>
      <c r="AE688" s="21">
        <f>IF(AB688&lt;&gt;"",AB688,Z688)</f>
        <v/>
      </c>
      <c r="AF688" s="13" t="inlineStr">
        <is>
          <t>P-35 &gt; CVN-81 &gt; DIGITAL MODULAR RADIO (DMR) ULTRA HIGH FREQUENCY/VERY HIGH FREQUENCY LINE OF PARM Code: PMW 170 &gt; System Engineering</t>
        </is>
      </c>
      <c r="AG688" s="7" t="inlineStr">
        <is>
          <t>127</t>
        </is>
      </c>
      <c r="AH688" s="7" t="inlineStr">
        <is>
          <t>2004</t>
        </is>
      </c>
    </row>
    <row r="689" ht="10" customHeight="1">
      <c r="A689" s="7" t="inlineStr">
        <is>
          <t>SCN</t>
        </is>
      </c>
      <c r="B689" s="7" t="inlineStr">
        <is>
          <t>Procurement</t>
        </is>
      </c>
      <c r="D689" s="7" t="inlineStr">
        <is>
          <t>CVN-81 - P-35 DIGITAL MODULAR RADIO (DMR) ULTRA HIGH FREQUENCY/VERY HIGH FREQUENCY LINE OF PARM Code: PMW 170 - Technical Engineering Services</t>
        </is>
      </c>
      <c r="E689" s="13" t="inlineStr">
        <is>
          <t>[ALT_VIEW]</t>
        </is>
      </c>
      <c r="F689" s="7" t="inlineStr">
        <is>
          <t>2004 / CVN-81</t>
        </is>
      </c>
      <c r="G689" s="7" t="inlineStr">
        <is>
          <t>P-35</t>
        </is>
      </c>
      <c r="I689" s="14" t="n">
        <v>1</v>
      </c>
      <c r="J689" s="7" t="inlineStr">
        <is>
          <t>Full ship DD&amp;C</t>
        </is>
      </c>
      <c r="K689" s="13" t="inlineStr">
        <is>
          <t>USN</t>
        </is>
      </c>
      <c r="L689" s="7" t="inlineStr">
        <is>
          <t>Combatant Ships</t>
        </is>
      </c>
      <c r="M689" s="7" t="inlineStr">
        <is>
          <t>Aircraft Carriers</t>
        </is>
      </c>
      <c r="N689" s="7" t="inlineStr">
        <is>
          <t>CVN</t>
        </is>
      </c>
      <c r="O689" s="15" t="n"/>
      <c r="S689" s="16" t="n">
        <v>442</v>
      </c>
      <c r="U689" s="16" t="n">
        <v>442</v>
      </c>
      <c r="AC689" s="23">
        <f>IF(OR(E689="",E689="[PARENT]"),"ADD",IF(E689="[ALT_VIEW]","ALT",""))</f>
        <v/>
      </c>
      <c r="AD689" s="21">
        <f>IF(Y689&lt;&gt;"",Y689,IF(U689&lt;&gt;"",U689,S689))</f>
        <v/>
      </c>
      <c r="AE689" s="21">
        <f>IF(AB689&lt;&gt;"",AB689,Z689)</f>
        <v/>
      </c>
      <c r="AF689" s="13" t="inlineStr">
        <is>
          <t>P-35 &gt; CVN-81 &gt; DIGITAL MODULAR RADIO (DMR) ULTRA HIGH FREQUENCY/VERY HIGH FREQUENCY LINE OF PARM Code: PMW 170 &gt; Technical Engineering Services</t>
        </is>
      </c>
      <c r="AG689" s="7" t="inlineStr">
        <is>
          <t>127</t>
        </is>
      </c>
      <c r="AH689" s="7" t="inlineStr">
        <is>
          <t>2004</t>
        </is>
      </c>
    </row>
    <row r="690" ht="10" customHeight="1">
      <c r="A690" s="7" t="inlineStr">
        <is>
          <t>SCN</t>
        </is>
      </c>
      <c r="B690" s="7" t="inlineStr">
        <is>
          <t>Procurement</t>
        </is>
      </c>
      <c r="D690" s="7" t="inlineStr">
        <is>
          <t>CVN-81 - P-35 DIGITAL MODULAR RADIO (DMR) ULTRA HIGH FREQUENCY/VERY HIGH FREQUENCY LINE OF PARM Code: PMW 170 - Other Costs</t>
        </is>
      </c>
      <c r="E690" s="13" t="inlineStr">
        <is>
          <t>[ALT_VIEW]</t>
        </is>
      </c>
      <c r="F690" s="7" t="inlineStr">
        <is>
          <t>2004 / CVN-81</t>
        </is>
      </c>
      <c r="G690" s="7" t="inlineStr">
        <is>
          <t>P-35</t>
        </is>
      </c>
      <c r="I690" s="14" t="n">
        <v>1</v>
      </c>
      <c r="J690" s="7" t="inlineStr">
        <is>
          <t>Full ship DD&amp;C</t>
        </is>
      </c>
      <c r="K690" s="13" t="inlineStr">
        <is>
          <t>USN</t>
        </is>
      </c>
      <c r="L690" s="7" t="inlineStr">
        <is>
          <t>Combatant Ships</t>
        </is>
      </c>
      <c r="M690" s="7" t="inlineStr">
        <is>
          <t>Aircraft Carriers</t>
        </is>
      </c>
      <c r="N690" s="7" t="inlineStr">
        <is>
          <t>CVN</t>
        </is>
      </c>
      <c r="O690" s="15" t="n"/>
      <c r="S690" s="16" t="n">
        <v>329</v>
      </c>
      <c r="U690" s="16" t="n">
        <v>329</v>
      </c>
      <c r="AC690" s="23">
        <f>IF(OR(E690="",E690="[PARENT]"),"ADD",IF(E690="[ALT_VIEW]","ALT",""))</f>
        <v/>
      </c>
      <c r="AD690" s="21">
        <f>IF(Y690&lt;&gt;"",Y690,IF(U690&lt;&gt;"",U690,S690))</f>
        <v/>
      </c>
      <c r="AE690" s="21">
        <f>IF(AB690&lt;&gt;"",AB690,Z690)</f>
        <v/>
      </c>
      <c r="AF690" s="13" t="inlineStr">
        <is>
          <t>P-35 &gt; CVN-81 &gt; DIGITAL MODULAR RADIO (DMR) ULTRA HIGH FREQUENCY/VERY HIGH FREQUENCY LINE OF PARM Code: PMW 170 &gt; Other Costs</t>
        </is>
      </c>
      <c r="AG690" s="7" t="inlineStr">
        <is>
          <t>127</t>
        </is>
      </c>
      <c r="AH690" s="7" t="inlineStr">
        <is>
          <t>2004</t>
        </is>
      </c>
    </row>
    <row r="691" ht="10" customHeight="1">
      <c r="A691" s="7" t="inlineStr">
        <is>
          <t>SCN</t>
        </is>
      </c>
      <c r="B691" s="7" t="inlineStr">
        <is>
          <t>Procurement</t>
        </is>
      </c>
      <c r="D691" s="7" t="inlineStr">
        <is>
          <t>CVN-81 - P-35 AN/UPX-29(V), INTERROGATOR FRIEND OR FOE (IFF) W/MK XII - Major Hardware                                                                                                                                                       1</t>
        </is>
      </c>
      <c r="E691" s="13" t="inlineStr">
        <is>
          <t>[ALT_VIEW]</t>
        </is>
      </c>
      <c r="F691" s="7" t="inlineStr">
        <is>
          <t>2004 / CVN-81</t>
        </is>
      </c>
      <c r="G691" s="7" t="inlineStr">
        <is>
          <t>P-35</t>
        </is>
      </c>
      <c r="I691" s="14" t="n">
        <v>1</v>
      </c>
      <c r="J691" s="7" t="inlineStr">
        <is>
          <t>Full ship DD&amp;C</t>
        </is>
      </c>
      <c r="K691" s="13" t="inlineStr">
        <is>
          <t>USN</t>
        </is>
      </c>
      <c r="L691" s="7" t="inlineStr">
        <is>
          <t>Combatant Ships</t>
        </is>
      </c>
      <c r="M691" s="7" t="inlineStr">
        <is>
          <t>Aircraft Carriers</t>
        </is>
      </c>
      <c r="N691" s="7" t="inlineStr">
        <is>
          <t>CVN</t>
        </is>
      </c>
      <c r="O691" s="15" t="n"/>
      <c r="S691" s="16" t="n">
        <v>7382</v>
      </c>
      <c r="U691" s="16" t="n">
        <v>7382</v>
      </c>
      <c r="AC691" s="23">
        <f>IF(OR(E691="",E691="[PARENT]"),"ADD",IF(E691="[ALT_VIEW]","ALT",""))</f>
        <v/>
      </c>
      <c r="AD691" s="21">
        <f>IF(Y691&lt;&gt;"",Y691,IF(U691&lt;&gt;"",U691,S691))</f>
        <v/>
      </c>
      <c r="AE691" s="21">
        <f>IF(AB691&lt;&gt;"",AB691,Z691)</f>
        <v/>
      </c>
      <c r="AF691" s="13" t="inlineStr">
        <is>
          <t>P-35 &gt; CVN-81 &gt; AN/UPX-29(V), INTERROGATOR FRIEND OR FOE (IFF) W/MK XII &gt; Major Hardware                                                                                                                                                       1</t>
        </is>
      </c>
      <c r="AG691" s="7" t="inlineStr">
        <is>
          <t>128</t>
        </is>
      </c>
      <c r="AH691" s="7" t="inlineStr">
        <is>
          <t>2004</t>
        </is>
      </c>
    </row>
    <row r="692" ht="10" customHeight="1">
      <c r="A692" s="7" t="inlineStr">
        <is>
          <t>SCN</t>
        </is>
      </c>
      <c r="B692" s="7" t="inlineStr">
        <is>
          <t>Procurement</t>
        </is>
      </c>
      <c r="D692" s="7" t="inlineStr">
        <is>
          <t>CVN-81 - P-35 AN/UPX-29(V), INTERROGATOR FRIEND OR FOE (IFF) W/MK XII - Ancillary Equipment</t>
        </is>
      </c>
      <c r="E692" s="13" t="inlineStr">
        <is>
          <t>[ALT_VIEW]</t>
        </is>
      </c>
      <c r="F692" s="7" t="inlineStr">
        <is>
          <t>2004 / CVN-81</t>
        </is>
      </c>
      <c r="G692" s="7" t="inlineStr">
        <is>
          <t>P-35</t>
        </is>
      </c>
      <c r="I692" s="14" t="n">
        <v>1</v>
      </c>
      <c r="J692" s="7" t="inlineStr">
        <is>
          <t>Full ship DD&amp;C</t>
        </is>
      </c>
      <c r="K692" s="13" t="inlineStr">
        <is>
          <t>USN</t>
        </is>
      </c>
      <c r="L692" s="7" t="inlineStr">
        <is>
          <t>Combatant Ships</t>
        </is>
      </c>
      <c r="M692" s="7" t="inlineStr">
        <is>
          <t>Aircraft Carriers</t>
        </is>
      </c>
      <c r="N692" s="7" t="inlineStr">
        <is>
          <t>CVN</t>
        </is>
      </c>
      <c r="O692" s="15" t="n"/>
      <c r="S692" s="16" t="n">
        <v>96</v>
      </c>
      <c r="U692" s="16" t="n">
        <v>96</v>
      </c>
      <c r="AC692" s="23">
        <f>IF(OR(E692="",E692="[PARENT]"),"ADD",IF(E692="[ALT_VIEW]","ALT",""))</f>
        <v/>
      </c>
      <c r="AD692" s="21">
        <f>IF(Y692&lt;&gt;"",Y692,IF(U692&lt;&gt;"",U692,S692))</f>
        <v/>
      </c>
      <c r="AE692" s="21">
        <f>IF(AB692&lt;&gt;"",AB692,Z692)</f>
        <v/>
      </c>
      <c r="AF692" s="13" t="inlineStr">
        <is>
          <t>P-35 &gt; CVN-81 &gt; AN/UPX-29(V), INTERROGATOR FRIEND OR FOE (IFF) W/MK XII &gt; Ancillary Equipment</t>
        </is>
      </c>
      <c r="AG692" s="7" t="inlineStr">
        <is>
          <t>128</t>
        </is>
      </c>
      <c r="AH692" s="7" t="inlineStr">
        <is>
          <t>2004</t>
        </is>
      </c>
    </row>
    <row r="693" ht="10" customHeight="1">
      <c r="A693" s="7" t="inlineStr">
        <is>
          <t>SCN</t>
        </is>
      </c>
      <c r="B693" s="7" t="inlineStr">
        <is>
          <t>Procurement</t>
        </is>
      </c>
      <c r="D693" s="7" t="inlineStr">
        <is>
          <t>CVN-81 - P-35 AN/UPX-29(V), INTERROGATOR FRIEND OR FOE (IFF) W/MK XII - Technical Data and Documentation</t>
        </is>
      </c>
      <c r="E693" s="13" t="inlineStr">
        <is>
          <t>[ALT_VIEW]</t>
        </is>
      </c>
      <c r="F693" s="7" t="inlineStr">
        <is>
          <t>2004 / CVN-81</t>
        </is>
      </c>
      <c r="G693" s="7" t="inlineStr">
        <is>
          <t>P-35</t>
        </is>
      </c>
      <c r="I693" s="14" t="n">
        <v>1</v>
      </c>
      <c r="J693" s="7" t="inlineStr">
        <is>
          <t>Full ship DD&amp;C</t>
        </is>
      </c>
      <c r="K693" s="13" t="inlineStr">
        <is>
          <t>USN</t>
        </is>
      </c>
      <c r="L693" s="7" t="inlineStr">
        <is>
          <t>Combatant Ships</t>
        </is>
      </c>
      <c r="M693" s="7" t="inlineStr">
        <is>
          <t>Aircraft Carriers</t>
        </is>
      </c>
      <c r="N693" s="7" t="inlineStr">
        <is>
          <t>CVN</t>
        </is>
      </c>
      <c r="O693" s="15" t="n"/>
      <c r="S693" s="16" t="n">
        <v>21</v>
      </c>
      <c r="U693" s="16" t="n">
        <v>21</v>
      </c>
      <c r="AC693" s="23">
        <f>IF(OR(E693="",E693="[PARENT]"),"ADD",IF(E693="[ALT_VIEW]","ALT",""))</f>
        <v/>
      </c>
      <c r="AD693" s="21">
        <f>IF(Y693&lt;&gt;"",Y693,IF(U693&lt;&gt;"",U693,S693))</f>
        <v/>
      </c>
      <c r="AE693" s="21">
        <f>IF(AB693&lt;&gt;"",AB693,Z693)</f>
        <v/>
      </c>
      <c r="AF693" s="13" t="inlineStr">
        <is>
          <t>P-35 &gt; CVN-81 &gt; AN/UPX-29(V), INTERROGATOR FRIEND OR FOE (IFF) W/MK XII &gt; Technical Data and Documentation</t>
        </is>
      </c>
      <c r="AG693" s="7" t="inlineStr">
        <is>
          <t>128</t>
        </is>
      </c>
      <c r="AH693" s="7" t="inlineStr">
        <is>
          <t>2004</t>
        </is>
      </c>
    </row>
    <row r="694" ht="10" customHeight="1">
      <c r="A694" s="7" t="inlineStr">
        <is>
          <t>SCN</t>
        </is>
      </c>
      <c r="B694" s="7" t="inlineStr">
        <is>
          <t>Procurement</t>
        </is>
      </c>
      <c r="D694" s="7" t="inlineStr">
        <is>
          <t>CVN-81 - P-35 AN/UPX-29(V), INTERROGATOR FRIEND OR FOE (IFF) W/MK XII - Spares</t>
        </is>
      </c>
      <c r="E694" s="13" t="inlineStr">
        <is>
          <t>[ALT_VIEW]</t>
        </is>
      </c>
      <c r="F694" s="7" t="inlineStr">
        <is>
          <t>2004 / CVN-81</t>
        </is>
      </c>
      <c r="G694" s="7" t="inlineStr">
        <is>
          <t>P-35</t>
        </is>
      </c>
      <c r="I694" s="14" t="n">
        <v>1</v>
      </c>
      <c r="J694" s="7" t="inlineStr">
        <is>
          <t>Full ship DD&amp;C</t>
        </is>
      </c>
      <c r="K694" s="13" t="inlineStr">
        <is>
          <t>USN</t>
        </is>
      </c>
      <c r="L694" s="7" t="inlineStr">
        <is>
          <t>Combatant Ships</t>
        </is>
      </c>
      <c r="M694" s="7" t="inlineStr">
        <is>
          <t>Aircraft Carriers</t>
        </is>
      </c>
      <c r="N694" s="7" t="inlineStr">
        <is>
          <t>CVN</t>
        </is>
      </c>
      <c r="O694" s="15" t="n"/>
      <c r="S694" s="16" t="n">
        <v>310</v>
      </c>
      <c r="U694" s="16" t="n">
        <v>310</v>
      </c>
      <c r="AC694" s="23">
        <f>IF(OR(E694="",E694="[PARENT]"),"ADD",IF(E694="[ALT_VIEW]","ALT",""))</f>
        <v/>
      </c>
      <c r="AD694" s="21">
        <f>IF(Y694&lt;&gt;"",Y694,IF(U694&lt;&gt;"",U694,S694))</f>
        <v/>
      </c>
      <c r="AE694" s="21">
        <f>IF(AB694&lt;&gt;"",AB694,Z694)</f>
        <v/>
      </c>
      <c r="AF694" s="13" t="inlineStr">
        <is>
          <t>P-35 &gt; CVN-81 &gt; AN/UPX-29(V), INTERROGATOR FRIEND OR FOE (IFF) W/MK XII &gt; Spares</t>
        </is>
      </c>
      <c r="AG694" s="7" t="inlineStr">
        <is>
          <t>128</t>
        </is>
      </c>
      <c r="AH694" s="7" t="inlineStr">
        <is>
          <t>2004</t>
        </is>
      </c>
      <c r="AJ694" s="7" t="inlineStr">
        <is>
          <t>AN/UPX-29(V), INTERROGATOR FRIEND OR FOE (IFF) W/MK XII [CVN 81]</t>
        </is>
      </c>
    </row>
    <row r="695" ht="10" customHeight="1">
      <c r="A695" s="7" t="inlineStr">
        <is>
          <t>SCN</t>
        </is>
      </c>
      <c r="B695" s="7" t="inlineStr">
        <is>
          <t>Procurement</t>
        </is>
      </c>
      <c r="D695" s="7" t="inlineStr">
        <is>
          <t>CVN-81 - P-35 AN/UPX-29(V), INTERROGATOR FRIEND OR FOE (IFF) W/MK XII - System Engineering</t>
        </is>
      </c>
      <c r="E695" s="13" t="inlineStr">
        <is>
          <t>[ALT_VIEW]</t>
        </is>
      </c>
      <c r="F695" s="7" t="inlineStr">
        <is>
          <t>2004 / CVN-81</t>
        </is>
      </c>
      <c r="G695" s="7" t="inlineStr">
        <is>
          <t>P-35</t>
        </is>
      </c>
      <c r="I695" s="14" t="n">
        <v>1</v>
      </c>
      <c r="J695" s="7" t="inlineStr">
        <is>
          <t>Full ship DD&amp;C</t>
        </is>
      </c>
      <c r="K695" s="13" t="inlineStr">
        <is>
          <t>USN</t>
        </is>
      </c>
      <c r="L695" s="7" t="inlineStr">
        <is>
          <t>Combatant Ships</t>
        </is>
      </c>
      <c r="M695" s="7" t="inlineStr">
        <is>
          <t>Aircraft Carriers</t>
        </is>
      </c>
      <c r="N695" s="7" t="inlineStr">
        <is>
          <t>CVN</t>
        </is>
      </c>
      <c r="O695" s="15" t="n"/>
      <c r="S695" s="16" t="n">
        <v>241</v>
      </c>
      <c r="U695" s="16" t="n">
        <v>241</v>
      </c>
      <c r="AC695" s="23">
        <f>IF(OR(E695="",E695="[PARENT]"),"ADD",IF(E695="[ALT_VIEW]","ALT",""))</f>
        <v/>
      </c>
      <c r="AD695" s="21">
        <f>IF(Y695&lt;&gt;"",Y695,IF(U695&lt;&gt;"",U695,S695))</f>
        <v/>
      </c>
      <c r="AE695" s="21">
        <f>IF(AB695&lt;&gt;"",AB695,Z695)</f>
        <v/>
      </c>
      <c r="AF695" s="13" t="inlineStr">
        <is>
          <t>P-35 &gt; CVN-81 &gt; AN/UPX-29(V), INTERROGATOR FRIEND OR FOE (IFF) W/MK XII &gt; System Engineering</t>
        </is>
      </c>
      <c r="AG695" s="7" t="inlineStr">
        <is>
          <t>128</t>
        </is>
      </c>
      <c r="AH695" s="7" t="inlineStr">
        <is>
          <t>2004</t>
        </is>
      </c>
    </row>
    <row r="696" ht="10" customHeight="1">
      <c r="A696" s="7" t="inlineStr">
        <is>
          <t>SCN</t>
        </is>
      </c>
      <c r="B696" s="7" t="inlineStr">
        <is>
          <t>Procurement</t>
        </is>
      </c>
      <c r="D696" s="7" t="inlineStr">
        <is>
          <t>CVN-81 - P-35 AN/UPX-29(V), INTERROGATOR FRIEND OR FOE (IFF) W/MK XII - Technical Engineering Services</t>
        </is>
      </c>
      <c r="E696" s="13" t="inlineStr">
        <is>
          <t>[ALT_VIEW]</t>
        </is>
      </c>
      <c r="F696" s="7" t="inlineStr">
        <is>
          <t>2004 / CVN-81</t>
        </is>
      </c>
      <c r="G696" s="7" t="inlineStr">
        <is>
          <t>P-35</t>
        </is>
      </c>
      <c r="I696" s="14" t="n">
        <v>1</v>
      </c>
      <c r="J696" s="7" t="inlineStr">
        <is>
          <t>Full ship DD&amp;C</t>
        </is>
      </c>
      <c r="K696" s="13" t="inlineStr">
        <is>
          <t>USN</t>
        </is>
      </c>
      <c r="L696" s="7" t="inlineStr">
        <is>
          <t>Combatant Ships</t>
        </is>
      </c>
      <c r="M696" s="7" t="inlineStr">
        <is>
          <t>Aircraft Carriers</t>
        </is>
      </c>
      <c r="N696" s="7" t="inlineStr">
        <is>
          <t>CVN</t>
        </is>
      </c>
      <c r="O696" s="15" t="n"/>
      <c r="S696" s="16" t="n">
        <v>203</v>
      </c>
      <c r="U696" s="16" t="n">
        <v>203</v>
      </c>
      <c r="AC696" s="23">
        <f>IF(OR(E696="",E696="[PARENT]"),"ADD",IF(E696="[ALT_VIEW]","ALT",""))</f>
        <v/>
      </c>
      <c r="AD696" s="21">
        <f>IF(Y696&lt;&gt;"",Y696,IF(U696&lt;&gt;"",U696,S696))</f>
        <v/>
      </c>
      <c r="AE696" s="21">
        <f>IF(AB696&lt;&gt;"",AB696,Z696)</f>
        <v/>
      </c>
      <c r="AF696" s="13" t="inlineStr">
        <is>
          <t>P-35 &gt; CVN-81 &gt; AN/UPX-29(V), INTERROGATOR FRIEND OR FOE (IFF) W/MK XII &gt; Technical Engineering Services</t>
        </is>
      </c>
      <c r="AG696" s="7" t="inlineStr">
        <is>
          <t>128</t>
        </is>
      </c>
      <c r="AH696" s="7" t="inlineStr">
        <is>
          <t>2004</t>
        </is>
      </c>
    </row>
    <row r="697" ht="10" customHeight="1">
      <c r="A697" s="7" t="inlineStr">
        <is>
          <t>SCN</t>
        </is>
      </c>
      <c r="B697" s="7" t="inlineStr">
        <is>
          <t>Procurement</t>
        </is>
      </c>
      <c r="D697" s="7" t="inlineStr">
        <is>
          <t>CVN-81 - P-35 AN/UPX-29(V), INTERROGATOR FRIEND OR FOE (IFF) W/MK XII - Other Costs</t>
        </is>
      </c>
      <c r="E697" s="13" t="inlineStr">
        <is>
          <t>[ALT_VIEW]</t>
        </is>
      </c>
      <c r="F697" s="7" t="inlineStr">
        <is>
          <t>2004 / CVN-81</t>
        </is>
      </c>
      <c r="G697" s="7" t="inlineStr">
        <is>
          <t>P-35</t>
        </is>
      </c>
      <c r="I697" s="14" t="n">
        <v>1</v>
      </c>
      <c r="J697" s="7" t="inlineStr">
        <is>
          <t>Full ship DD&amp;C</t>
        </is>
      </c>
      <c r="K697" s="13" t="inlineStr">
        <is>
          <t>USN</t>
        </is>
      </c>
      <c r="L697" s="7" t="inlineStr">
        <is>
          <t>Combatant Ships</t>
        </is>
      </c>
      <c r="M697" s="7" t="inlineStr">
        <is>
          <t>Aircraft Carriers</t>
        </is>
      </c>
      <c r="N697" s="7" t="inlineStr">
        <is>
          <t>CVN</t>
        </is>
      </c>
      <c r="O697" s="15" t="n"/>
      <c r="S697" s="16" t="n">
        <v>659</v>
      </c>
      <c r="U697" s="16" t="n">
        <v>659</v>
      </c>
      <c r="AC697" s="23">
        <f>IF(OR(E697="",E697="[PARENT]"),"ADD",IF(E697="[ALT_VIEW]","ALT",""))</f>
        <v/>
      </c>
      <c r="AD697" s="21">
        <f>IF(Y697&lt;&gt;"",Y697,IF(U697&lt;&gt;"",U697,S697))</f>
        <v/>
      </c>
      <c r="AE697" s="21">
        <f>IF(AB697&lt;&gt;"",AB697,Z697)</f>
        <v/>
      </c>
      <c r="AF697" s="13" t="inlineStr">
        <is>
          <t>P-35 &gt; CVN-81 &gt; AN/UPX-29(V), INTERROGATOR FRIEND OR FOE (IFF) W/MK XII &gt; Other Costs</t>
        </is>
      </c>
      <c r="AG697" s="7" t="inlineStr">
        <is>
          <t>128</t>
        </is>
      </c>
      <c r="AH697" s="7" t="inlineStr">
        <is>
          <t>2004</t>
        </is>
      </c>
    </row>
    <row r="698" ht="10" customHeight="1">
      <c r="A698" s="7" t="inlineStr">
        <is>
          <t>SCN</t>
        </is>
      </c>
      <c r="B698" s="7" t="inlineStr">
        <is>
          <t>Procurement</t>
        </is>
      </c>
      <c r="D698" s="7" t="inlineStr">
        <is>
          <t>CVN-81 - P-35 SPN-46, AUTOMATIC CARRIER LANDING SYSTEM - Major Hardware                                                                                                                                                 1</t>
        </is>
      </c>
      <c r="E698" s="13" t="inlineStr">
        <is>
          <t>[ALT_VIEW]</t>
        </is>
      </c>
      <c r="F698" s="7" t="inlineStr">
        <is>
          <t>2004 / CVN-81</t>
        </is>
      </c>
      <c r="G698" s="7" t="inlineStr">
        <is>
          <t>P-35</t>
        </is>
      </c>
      <c r="I698" s="14" t="n">
        <v>1</v>
      </c>
      <c r="J698" s="7" t="inlineStr">
        <is>
          <t>Full ship DD&amp;C</t>
        </is>
      </c>
      <c r="K698" s="13" t="inlineStr">
        <is>
          <t>USN</t>
        </is>
      </c>
      <c r="L698" s="7" t="inlineStr">
        <is>
          <t>Combatant Ships</t>
        </is>
      </c>
      <c r="M698" s="7" t="inlineStr">
        <is>
          <t>Aircraft Carriers</t>
        </is>
      </c>
      <c r="N698" s="7" t="inlineStr">
        <is>
          <t>CVN</t>
        </is>
      </c>
      <c r="O698" s="15" t="n"/>
      <c r="S698" s="16" t="n">
        <v>12949</v>
      </c>
      <c r="U698" s="16" t="n">
        <v>12949</v>
      </c>
      <c r="AC698" s="23">
        <f>IF(OR(E698="",E698="[PARENT]"),"ADD",IF(E698="[ALT_VIEW]","ALT",""))</f>
        <v/>
      </c>
      <c r="AD698" s="21">
        <f>IF(Y698&lt;&gt;"",Y698,IF(U698&lt;&gt;"",U698,S698))</f>
        <v/>
      </c>
      <c r="AE698" s="21">
        <f>IF(AB698&lt;&gt;"",AB698,Z698)</f>
        <v/>
      </c>
      <c r="AF698" s="13" t="inlineStr">
        <is>
          <t>P-35 &gt; CVN-81 &gt; SPN-46, AUTOMATIC CARRIER LANDING SYSTEM &gt; Major Hardware                                                                                                                                                 1</t>
        </is>
      </c>
      <c r="AG698" s="7" t="inlineStr">
        <is>
          <t>129</t>
        </is>
      </c>
      <c r="AH698" s="7" t="inlineStr">
        <is>
          <t>2004</t>
        </is>
      </c>
    </row>
    <row r="699" ht="10" customHeight="1">
      <c r="A699" s="7" t="inlineStr">
        <is>
          <t>SCN</t>
        </is>
      </c>
      <c r="B699" s="7" t="inlineStr">
        <is>
          <t>Procurement</t>
        </is>
      </c>
      <c r="D699" s="7" t="inlineStr">
        <is>
          <t>CVN-81 - P-35 SPN-46, AUTOMATIC CARRIER LANDING SYSTEM - System Engineering</t>
        </is>
      </c>
      <c r="E699" s="13" t="inlineStr">
        <is>
          <t>[ALT_VIEW]</t>
        </is>
      </c>
      <c r="F699" s="7" t="inlineStr">
        <is>
          <t>2004 / CVN-81</t>
        </is>
      </c>
      <c r="G699" s="7" t="inlineStr">
        <is>
          <t>P-35</t>
        </is>
      </c>
      <c r="I699" s="14" t="n">
        <v>1</v>
      </c>
      <c r="J699" s="7" t="inlineStr">
        <is>
          <t>Full ship DD&amp;C</t>
        </is>
      </c>
      <c r="K699" s="13" t="inlineStr">
        <is>
          <t>USN</t>
        </is>
      </c>
      <c r="L699" s="7" t="inlineStr">
        <is>
          <t>Combatant Ships</t>
        </is>
      </c>
      <c r="M699" s="7" t="inlineStr">
        <is>
          <t>Aircraft Carriers</t>
        </is>
      </c>
      <c r="N699" s="7" t="inlineStr">
        <is>
          <t>CVN</t>
        </is>
      </c>
      <c r="O699" s="15" t="n"/>
      <c r="S699" s="16" t="n">
        <v>520</v>
      </c>
      <c r="U699" s="16" t="n">
        <v>520</v>
      </c>
      <c r="AC699" s="23">
        <f>IF(OR(E699="",E699="[PARENT]"),"ADD",IF(E699="[ALT_VIEW]","ALT",""))</f>
        <v/>
      </c>
      <c r="AD699" s="21">
        <f>IF(Y699&lt;&gt;"",Y699,IF(U699&lt;&gt;"",U699,S699))</f>
        <v/>
      </c>
      <c r="AE699" s="21">
        <f>IF(AB699&lt;&gt;"",AB699,Z699)</f>
        <v/>
      </c>
      <c r="AF699" s="13" t="inlineStr">
        <is>
          <t>P-35 &gt; CVN-81 &gt; SPN-46, AUTOMATIC CARRIER LANDING SYSTEM &gt; System Engineering</t>
        </is>
      </c>
      <c r="AG699" s="7" t="inlineStr">
        <is>
          <t>129</t>
        </is>
      </c>
      <c r="AH699" s="7" t="inlineStr">
        <is>
          <t>2004</t>
        </is>
      </c>
    </row>
    <row r="700" ht="10" customHeight="1">
      <c r="A700" s="7" t="inlineStr">
        <is>
          <t>SCN</t>
        </is>
      </c>
      <c r="B700" s="7" t="inlineStr">
        <is>
          <t>Procurement</t>
        </is>
      </c>
      <c r="D700" s="7" t="inlineStr">
        <is>
          <t>CVN-81 - P-35 SPN-46, AUTOMATIC CARRIER LANDING SYSTEM - Technical Engineering Services</t>
        </is>
      </c>
      <c r="E700" s="13" t="inlineStr">
        <is>
          <t>[ALT_VIEW]</t>
        </is>
      </c>
      <c r="F700" s="7" t="inlineStr">
        <is>
          <t>2004 / CVN-81</t>
        </is>
      </c>
      <c r="G700" s="7" t="inlineStr">
        <is>
          <t>P-35</t>
        </is>
      </c>
      <c r="I700" s="14" t="n">
        <v>1</v>
      </c>
      <c r="J700" s="7" t="inlineStr">
        <is>
          <t>Full ship DD&amp;C</t>
        </is>
      </c>
      <c r="K700" s="13" t="inlineStr">
        <is>
          <t>USN</t>
        </is>
      </c>
      <c r="L700" s="7" t="inlineStr">
        <is>
          <t>Combatant Ships</t>
        </is>
      </c>
      <c r="M700" s="7" t="inlineStr">
        <is>
          <t>Aircraft Carriers</t>
        </is>
      </c>
      <c r="N700" s="7" t="inlineStr">
        <is>
          <t>CVN</t>
        </is>
      </c>
      <c r="O700" s="15" t="n"/>
      <c r="S700" s="16" t="n">
        <v>640</v>
      </c>
      <c r="U700" s="16" t="n">
        <v>640</v>
      </c>
      <c r="AC700" s="23">
        <f>IF(OR(E700="",E700="[PARENT]"),"ADD",IF(E700="[ALT_VIEW]","ALT",""))</f>
        <v/>
      </c>
      <c r="AD700" s="21">
        <f>IF(Y700&lt;&gt;"",Y700,IF(U700&lt;&gt;"",U700,S700))</f>
        <v/>
      </c>
      <c r="AE700" s="21">
        <f>IF(AB700&lt;&gt;"",AB700,Z700)</f>
        <v/>
      </c>
      <c r="AF700" s="13" t="inlineStr">
        <is>
          <t>P-35 &gt; CVN-81 &gt; SPN-46, AUTOMATIC CARRIER LANDING SYSTEM &gt; Technical Engineering Services</t>
        </is>
      </c>
      <c r="AG700" s="7" t="inlineStr">
        <is>
          <t>129</t>
        </is>
      </c>
      <c r="AH700" s="7" t="inlineStr">
        <is>
          <t>2004</t>
        </is>
      </c>
    </row>
    <row r="701" ht="10" customHeight="1">
      <c r="A701" s="7" t="inlineStr">
        <is>
          <t>SCN</t>
        </is>
      </c>
      <c r="B701" s="7" t="inlineStr">
        <is>
          <t>Procurement</t>
        </is>
      </c>
      <c r="D701" s="7" t="inlineStr">
        <is>
          <t>CVN-81 - P-35 SPN-46, AUTOMATIC CARRIER LANDING SYSTEM - Other Costs</t>
        </is>
      </c>
      <c r="E701" s="13" t="inlineStr">
        <is>
          <t>[ALT_VIEW]</t>
        </is>
      </c>
      <c r="F701" s="7" t="inlineStr">
        <is>
          <t>2004 / CVN-81</t>
        </is>
      </c>
      <c r="G701" s="7" t="inlineStr">
        <is>
          <t>P-35</t>
        </is>
      </c>
      <c r="I701" s="14" t="n">
        <v>1</v>
      </c>
      <c r="J701" s="7" t="inlineStr">
        <is>
          <t>Full ship DD&amp;C</t>
        </is>
      </c>
      <c r="K701" s="13" t="inlineStr">
        <is>
          <t>USN</t>
        </is>
      </c>
      <c r="L701" s="7" t="inlineStr">
        <is>
          <t>Combatant Ships</t>
        </is>
      </c>
      <c r="M701" s="7" t="inlineStr">
        <is>
          <t>Aircraft Carriers</t>
        </is>
      </c>
      <c r="N701" s="7" t="inlineStr">
        <is>
          <t>CVN</t>
        </is>
      </c>
      <c r="O701" s="15" t="n"/>
      <c r="S701" s="16" t="n">
        <v>440</v>
      </c>
      <c r="U701" s="16" t="n">
        <v>440</v>
      </c>
      <c r="AC701" s="23">
        <f>IF(OR(E701="",E701="[PARENT]"),"ADD",IF(E701="[ALT_VIEW]","ALT",""))</f>
        <v/>
      </c>
      <c r="AD701" s="21">
        <f>IF(Y701&lt;&gt;"",Y701,IF(U701&lt;&gt;"",U701,S701))</f>
        <v/>
      </c>
      <c r="AE701" s="21">
        <f>IF(AB701&lt;&gt;"",AB701,Z701)</f>
        <v/>
      </c>
      <c r="AF701" s="13" t="inlineStr">
        <is>
          <t>P-35 &gt; CVN-81 &gt; SPN-46, AUTOMATIC CARRIER LANDING SYSTEM &gt; Other Costs</t>
        </is>
      </c>
      <c r="AG701" s="7" t="inlineStr">
        <is>
          <t>129</t>
        </is>
      </c>
      <c r="AH701" s="7" t="inlineStr">
        <is>
          <t>2004</t>
        </is>
      </c>
    </row>
    <row r="702" ht="10" customHeight="1">
      <c r="A702" s="7" t="inlineStr">
        <is>
          <t>SCN</t>
        </is>
      </c>
      <c r="B702" s="7" t="inlineStr">
        <is>
          <t>Procurement</t>
        </is>
      </c>
      <c r="D702" s="7" t="inlineStr">
        <is>
          <t>CVN-81 - P-35 SHIP SELF DEFENSE SYSTEM (SSDS) - Major Hardware                                                                                                                                                  1</t>
        </is>
      </c>
      <c r="E702" s="13" t="inlineStr">
        <is>
          <t>[ALT_VIEW]</t>
        </is>
      </c>
      <c r="F702" s="7" t="inlineStr">
        <is>
          <t>2004 / CVN-81</t>
        </is>
      </c>
      <c r="G702" s="7" t="inlineStr">
        <is>
          <t>P-35</t>
        </is>
      </c>
      <c r="I702" s="14" t="n">
        <v>1</v>
      </c>
      <c r="J702" s="7" t="inlineStr">
        <is>
          <t>Full ship DD&amp;C</t>
        </is>
      </c>
      <c r="K702" s="13" t="inlineStr">
        <is>
          <t>USN</t>
        </is>
      </c>
      <c r="L702" s="7" t="inlineStr">
        <is>
          <t>Combatant Ships</t>
        </is>
      </c>
      <c r="M702" s="7" t="inlineStr">
        <is>
          <t>Aircraft Carriers</t>
        </is>
      </c>
      <c r="N702" s="7" t="inlineStr">
        <is>
          <t>CVN</t>
        </is>
      </c>
      <c r="O702" s="15" t="n"/>
      <c r="S702" s="16" t="n">
        <v>15232</v>
      </c>
      <c r="U702" s="16" t="n">
        <v>15232</v>
      </c>
      <c r="AC702" s="23">
        <f>IF(OR(E702="",E702="[PARENT]"),"ADD",IF(E702="[ALT_VIEW]","ALT",""))</f>
        <v/>
      </c>
      <c r="AD702" s="21">
        <f>IF(Y702&lt;&gt;"",Y702,IF(U702&lt;&gt;"",U702,S702))</f>
        <v/>
      </c>
      <c r="AE702" s="21">
        <f>IF(AB702&lt;&gt;"",AB702,Z702)</f>
        <v/>
      </c>
      <c r="AF702" s="13" t="inlineStr">
        <is>
          <t>P-35 &gt; CVN-81 &gt; SHIP SELF DEFENSE SYSTEM (SSDS) &gt; Major Hardware                                                                                                                                                  1</t>
        </is>
      </c>
      <c r="AG702" s="7" t="inlineStr">
        <is>
          <t>130</t>
        </is>
      </c>
      <c r="AH702" s="7" t="inlineStr">
        <is>
          <t>2004</t>
        </is>
      </c>
    </row>
    <row r="703" ht="10" customHeight="1">
      <c r="A703" s="7" t="inlineStr">
        <is>
          <t>SCN</t>
        </is>
      </c>
      <c r="B703" s="7" t="inlineStr">
        <is>
          <t>Procurement</t>
        </is>
      </c>
      <c r="D703" s="7" t="inlineStr">
        <is>
          <t>CVN-81 - P-35 SHIP SELF DEFENSE SYSTEM (SSDS) - Technical Data and Documentation</t>
        </is>
      </c>
      <c r="E703" s="13" t="inlineStr">
        <is>
          <t>[ALT_VIEW]</t>
        </is>
      </c>
      <c r="F703" s="7" t="inlineStr">
        <is>
          <t>2004 / CVN-81</t>
        </is>
      </c>
      <c r="G703" s="7" t="inlineStr">
        <is>
          <t>P-35</t>
        </is>
      </c>
      <c r="I703" s="14" t="n">
        <v>1</v>
      </c>
      <c r="J703" s="7" t="inlineStr">
        <is>
          <t>Full ship DD&amp;C</t>
        </is>
      </c>
      <c r="K703" s="13" t="inlineStr">
        <is>
          <t>USN</t>
        </is>
      </c>
      <c r="L703" s="7" t="inlineStr">
        <is>
          <t>Combatant Ships</t>
        </is>
      </c>
      <c r="M703" s="7" t="inlineStr">
        <is>
          <t>Aircraft Carriers</t>
        </is>
      </c>
      <c r="N703" s="7" t="inlineStr">
        <is>
          <t>CVN</t>
        </is>
      </c>
      <c r="O703" s="15" t="n"/>
      <c r="S703" s="16" t="n">
        <v>685</v>
      </c>
      <c r="U703" s="16" t="n">
        <v>685</v>
      </c>
      <c r="AC703" s="23">
        <f>IF(OR(E703="",E703="[PARENT]"),"ADD",IF(E703="[ALT_VIEW]","ALT",""))</f>
        <v/>
      </c>
      <c r="AD703" s="21">
        <f>IF(Y703&lt;&gt;"",Y703,IF(U703&lt;&gt;"",U703,S703))</f>
        <v/>
      </c>
      <c r="AE703" s="21">
        <f>IF(AB703&lt;&gt;"",AB703,Z703)</f>
        <v/>
      </c>
      <c r="AF703" s="13" t="inlineStr">
        <is>
          <t>P-35 &gt; CVN-81 &gt; SHIP SELF DEFENSE SYSTEM (SSDS) &gt; Technical Data and Documentation</t>
        </is>
      </c>
      <c r="AG703" s="7" t="inlineStr">
        <is>
          <t>130</t>
        </is>
      </c>
      <c r="AH703" s="7" t="inlineStr">
        <is>
          <t>2004</t>
        </is>
      </c>
    </row>
    <row r="704" ht="10" customHeight="1">
      <c r="A704" s="7" t="inlineStr">
        <is>
          <t>SCN</t>
        </is>
      </c>
      <c r="B704" s="7" t="inlineStr">
        <is>
          <t>Procurement</t>
        </is>
      </c>
      <c r="D704" s="7" t="inlineStr">
        <is>
          <t>CVN-81 - P-35 SHIP SELF DEFENSE SYSTEM (SSDS) - Spares</t>
        </is>
      </c>
      <c r="E704" s="13" t="inlineStr">
        <is>
          <t>[ALT_VIEW]</t>
        </is>
      </c>
      <c r="F704" s="7" t="inlineStr">
        <is>
          <t>2004 / CVN-81</t>
        </is>
      </c>
      <c r="G704" s="7" t="inlineStr">
        <is>
          <t>P-35</t>
        </is>
      </c>
      <c r="I704" s="14" t="n">
        <v>1</v>
      </c>
      <c r="J704" s="7" t="inlineStr">
        <is>
          <t>Full ship DD&amp;C</t>
        </is>
      </c>
      <c r="K704" s="13" t="inlineStr">
        <is>
          <t>USN</t>
        </is>
      </c>
      <c r="L704" s="7" t="inlineStr">
        <is>
          <t>Combatant Ships</t>
        </is>
      </c>
      <c r="M704" s="7" t="inlineStr">
        <is>
          <t>Aircraft Carriers</t>
        </is>
      </c>
      <c r="N704" s="7" t="inlineStr">
        <is>
          <t>CVN</t>
        </is>
      </c>
      <c r="O704" s="15" t="n"/>
      <c r="S704" s="16" t="n">
        <v>523</v>
      </c>
      <c r="U704" s="16" t="n">
        <v>523</v>
      </c>
      <c r="AC704" s="23">
        <f>IF(OR(E704="",E704="[PARENT]"),"ADD",IF(E704="[ALT_VIEW]","ALT",""))</f>
        <v/>
      </c>
      <c r="AD704" s="21">
        <f>IF(Y704&lt;&gt;"",Y704,IF(U704&lt;&gt;"",U704,S704))</f>
        <v/>
      </c>
      <c r="AE704" s="21">
        <f>IF(AB704&lt;&gt;"",AB704,Z704)</f>
        <v/>
      </c>
      <c r="AF704" s="13" t="inlineStr">
        <is>
          <t>P-35 &gt; CVN-81 &gt; SHIP SELF DEFENSE SYSTEM (SSDS) &gt; Spares</t>
        </is>
      </c>
      <c r="AG704" s="7" t="inlineStr">
        <is>
          <t>130</t>
        </is>
      </c>
      <c r="AH704" s="7" t="inlineStr">
        <is>
          <t>2004</t>
        </is>
      </c>
    </row>
    <row r="705" ht="10" customHeight="1">
      <c r="A705" s="7" t="inlineStr">
        <is>
          <t>SCN</t>
        </is>
      </c>
      <c r="B705" s="7" t="inlineStr">
        <is>
          <t>Procurement</t>
        </is>
      </c>
      <c r="D705" s="7" t="inlineStr">
        <is>
          <t>CVN-81 - P-35 SHIP SELF DEFENSE SYSTEM (SSDS) - System Engineering</t>
        </is>
      </c>
      <c r="E705" s="13" t="inlineStr">
        <is>
          <t>[ALT_VIEW]</t>
        </is>
      </c>
      <c r="F705" s="7" t="inlineStr">
        <is>
          <t>2004 / CVN-81</t>
        </is>
      </c>
      <c r="G705" s="7" t="inlineStr">
        <is>
          <t>P-35</t>
        </is>
      </c>
      <c r="I705" s="14" t="n">
        <v>1</v>
      </c>
      <c r="J705" s="7" t="inlineStr">
        <is>
          <t>Full ship DD&amp;C</t>
        </is>
      </c>
      <c r="K705" s="13" t="inlineStr">
        <is>
          <t>USN</t>
        </is>
      </c>
      <c r="L705" s="7" t="inlineStr">
        <is>
          <t>Combatant Ships</t>
        </is>
      </c>
      <c r="M705" s="7" t="inlineStr">
        <is>
          <t>Aircraft Carriers</t>
        </is>
      </c>
      <c r="N705" s="7" t="inlineStr">
        <is>
          <t>CVN</t>
        </is>
      </c>
      <c r="O705" s="15" t="n"/>
      <c r="S705" s="16" t="n">
        <v>4529</v>
      </c>
      <c r="U705" s="16" t="n">
        <v>4529</v>
      </c>
      <c r="AC705" s="23">
        <f>IF(OR(E705="",E705="[PARENT]"),"ADD",IF(E705="[ALT_VIEW]","ALT",""))</f>
        <v/>
      </c>
      <c r="AD705" s="21">
        <f>IF(Y705&lt;&gt;"",Y705,IF(U705&lt;&gt;"",U705,S705))</f>
        <v/>
      </c>
      <c r="AE705" s="21">
        <f>IF(AB705&lt;&gt;"",AB705,Z705)</f>
        <v/>
      </c>
      <c r="AF705" s="13" t="inlineStr">
        <is>
          <t>P-35 &gt; CVN-81 &gt; SHIP SELF DEFENSE SYSTEM (SSDS) &gt; System Engineering</t>
        </is>
      </c>
      <c r="AG705" s="7" t="inlineStr">
        <is>
          <t>130</t>
        </is>
      </c>
      <c r="AH705" s="7" t="inlineStr">
        <is>
          <t>2004</t>
        </is>
      </c>
    </row>
    <row r="706" ht="10" customHeight="1">
      <c r="A706" s="7" t="inlineStr">
        <is>
          <t>SCN</t>
        </is>
      </c>
      <c r="B706" s="7" t="inlineStr">
        <is>
          <t>Procurement</t>
        </is>
      </c>
      <c r="D706" s="7" t="inlineStr">
        <is>
          <t>CVN-81 - P-35 SHIP SELF DEFENSE SYSTEM (SSDS) - Technical Engineering Services</t>
        </is>
      </c>
      <c r="E706" s="13" t="inlineStr">
        <is>
          <t>[ALT_VIEW]</t>
        </is>
      </c>
      <c r="F706" s="7" t="inlineStr">
        <is>
          <t>2004 / CVN-81</t>
        </is>
      </c>
      <c r="G706" s="7" t="inlineStr">
        <is>
          <t>P-35</t>
        </is>
      </c>
      <c r="I706" s="14" t="n">
        <v>1</v>
      </c>
      <c r="J706" s="7" t="inlineStr">
        <is>
          <t>Full ship DD&amp;C</t>
        </is>
      </c>
      <c r="K706" s="13" t="inlineStr">
        <is>
          <t>USN</t>
        </is>
      </c>
      <c r="L706" s="7" t="inlineStr">
        <is>
          <t>Combatant Ships</t>
        </is>
      </c>
      <c r="M706" s="7" t="inlineStr">
        <is>
          <t>Aircraft Carriers</t>
        </is>
      </c>
      <c r="N706" s="7" t="inlineStr">
        <is>
          <t>CVN</t>
        </is>
      </c>
      <c r="O706" s="15" t="n"/>
      <c r="S706" s="16" t="n">
        <v>1731</v>
      </c>
      <c r="U706" s="16" t="n">
        <v>1731</v>
      </c>
      <c r="AC706" s="23">
        <f>IF(OR(E706="",E706="[PARENT]"),"ADD",IF(E706="[ALT_VIEW]","ALT",""))</f>
        <v/>
      </c>
      <c r="AD706" s="21">
        <f>IF(Y706&lt;&gt;"",Y706,IF(U706&lt;&gt;"",U706,S706))</f>
        <v/>
      </c>
      <c r="AE706" s="21">
        <f>IF(AB706&lt;&gt;"",AB706,Z706)</f>
        <v/>
      </c>
      <c r="AF706" s="13" t="inlineStr">
        <is>
          <t>P-35 &gt; CVN-81 &gt; SHIP SELF DEFENSE SYSTEM (SSDS) &gt; Technical Engineering Services</t>
        </is>
      </c>
      <c r="AG706" s="7" t="inlineStr">
        <is>
          <t>130</t>
        </is>
      </c>
      <c r="AH706" s="7" t="inlineStr">
        <is>
          <t>2004</t>
        </is>
      </c>
    </row>
    <row r="707" ht="10" customHeight="1">
      <c r="A707" s="7" t="inlineStr">
        <is>
          <t>SCN</t>
        </is>
      </c>
      <c r="B707" s="7" t="inlineStr">
        <is>
          <t>Procurement</t>
        </is>
      </c>
      <c r="D707" s="7" t="inlineStr">
        <is>
          <t>CVN-81 - P-35 SHIP SELF DEFENSE SYSTEM (SSDS) - Other Costs</t>
        </is>
      </c>
      <c r="E707" s="13" t="inlineStr">
        <is>
          <t>[ALT_VIEW]</t>
        </is>
      </c>
      <c r="F707" s="7" t="inlineStr">
        <is>
          <t>2004 / CVN-81</t>
        </is>
      </c>
      <c r="G707" s="7" t="inlineStr">
        <is>
          <t>P-35</t>
        </is>
      </c>
      <c r="I707" s="14" t="n">
        <v>1</v>
      </c>
      <c r="J707" s="7" t="inlineStr">
        <is>
          <t>Full ship DD&amp;C</t>
        </is>
      </c>
      <c r="K707" s="13" t="inlineStr">
        <is>
          <t>USN</t>
        </is>
      </c>
      <c r="L707" s="7" t="inlineStr">
        <is>
          <t>Combatant Ships</t>
        </is>
      </c>
      <c r="M707" s="7" t="inlineStr">
        <is>
          <t>Aircraft Carriers</t>
        </is>
      </c>
      <c r="N707" s="7" t="inlineStr">
        <is>
          <t>CVN</t>
        </is>
      </c>
      <c r="O707" s="15" t="n"/>
      <c r="S707" s="16" t="n">
        <v>17799</v>
      </c>
      <c r="U707" s="16" t="n">
        <v>17799</v>
      </c>
      <c r="AC707" s="23">
        <f>IF(OR(E707="",E707="[PARENT]"),"ADD",IF(E707="[ALT_VIEW]","ALT",""))</f>
        <v/>
      </c>
      <c r="AD707" s="21">
        <f>IF(Y707&lt;&gt;"",Y707,IF(U707&lt;&gt;"",U707,S707))</f>
        <v/>
      </c>
      <c r="AE707" s="21">
        <f>IF(AB707&lt;&gt;"",AB707,Z707)</f>
        <v/>
      </c>
      <c r="AF707" s="13" t="inlineStr">
        <is>
          <t>P-35 &gt; CVN-81 &gt; SHIP SELF DEFENSE SYSTEM (SSDS) &gt; Other Costs</t>
        </is>
      </c>
      <c r="AG707" s="7" t="inlineStr">
        <is>
          <t>130</t>
        </is>
      </c>
      <c r="AH707" s="7" t="inlineStr">
        <is>
          <t>2004</t>
        </is>
      </c>
    </row>
    <row r="708" ht="10" customHeight="1">
      <c r="A708" s="7" t="inlineStr">
        <is>
          <t>SCN</t>
        </is>
      </c>
      <c r="B708" s="7" t="inlineStr">
        <is>
          <t>Procurement</t>
        </is>
      </c>
      <c r="D708" s="7" t="inlineStr">
        <is>
          <t>CVN-81 - P-35 AN/SYY-1(V)1 AIR TRAFFIC CONTROL SYSTEM, SHIPBOARD - Major Hardware                                                                                                                                                     1</t>
        </is>
      </c>
      <c r="E708" s="13" t="inlineStr">
        <is>
          <t>[ALT_VIEW]</t>
        </is>
      </c>
      <c r="F708" s="7" t="inlineStr">
        <is>
          <t>2004 / CVN-81</t>
        </is>
      </c>
      <c r="G708" s="7" t="inlineStr">
        <is>
          <t>P-35</t>
        </is>
      </c>
      <c r="I708" s="14" t="n">
        <v>1</v>
      </c>
      <c r="J708" s="7" t="inlineStr">
        <is>
          <t>Full ship DD&amp;C</t>
        </is>
      </c>
      <c r="K708" s="13" t="inlineStr">
        <is>
          <t>USN</t>
        </is>
      </c>
      <c r="L708" s="7" t="inlineStr">
        <is>
          <t>Combatant Ships</t>
        </is>
      </c>
      <c r="M708" s="7" t="inlineStr">
        <is>
          <t>Aircraft Carriers</t>
        </is>
      </c>
      <c r="N708" s="7" t="inlineStr">
        <is>
          <t>CVN</t>
        </is>
      </c>
      <c r="O708" s="15" t="n"/>
      <c r="S708" s="16" t="n">
        <v>3168</v>
      </c>
      <c r="U708" s="16" t="n">
        <v>3168</v>
      </c>
      <c r="AC708" s="23">
        <f>IF(OR(E708="",E708="[PARENT]"),"ADD",IF(E708="[ALT_VIEW]","ALT",""))</f>
        <v/>
      </c>
      <c r="AD708" s="21">
        <f>IF(Y708&lt;&gt;"",Y708,IF(U708&lt;&gt;"",U708,S708))</f>
        <v/>
      </c>
      <c r="AE708" s="21">
        <f>IF(AB708&lt;&gt;"",AB708,Z708)</f>
        <v/>
      </c>
      <c r="AF708" s="13" t="inlineStr">
        <is>
          <t>P-35 &gt; CVN-81 &gt; AN/SYY-1(V)1 AIR TRAFFIC CONTROL SYSTEM, SHIPBOARD &gt; Major Hardware                                                                                                                                                     1</t>
        </is>
      </c>
      <c r="AG708" s="7" t="inlineStr">
        <is>
          <t>131</t>
        </is>
      </c>
      <c r="AH708" s="7" t="inlineStr">
        <is>
          <t>2004</t>
        </is>
      </c>
    </row>
    <row r="709" ht="10" customHeight="1">
      <c r="A709" s="7" t="inlineStr">
        <is>
          <t>SCN</t>
        </is>
      </c>
      <c r="B709" s="7" t="inlineStr">
        <is>
          <t>Procurement</t>
        </is>
      </c>
      <c r="D709" s="7" t="inlineStr">
        <is>
          <t>CVN-81 - P-35 AN/SYY-1(V)1 AIR TRAFFIC CONTROL SYSTEM, SHIPBOARD - Spares</t>
        </is>
      </c>
      <c r="E709" s="13" t="inlineStr">
        <is>
          <t>[ALT_VIEW]</t>
        </is>
      </c>
      <c r="F709" s="7" t="inlineStr">
        <is>
          <t>2004 / CVN-81</t>
        </is>
      </c>
      <c r="G709" s="7" t="inlineStr">
        <is>
          <t>P-35</t>
        </is>
      </c>
      <c r="I709" s="14" t="n">
        <v>1</v>
      </c>
      <c r="J709" s="7" t="inlineStr">
        <is>
          <t>Full ship DD&amp;C</t>
        </is>
      </c>
      <c r="K709" s="13" t="inlineStr">
        <is>
          <t>USN</t>
        </is>
      </c>
      <c r="L709" s="7" t="inlineStr">
        <is>
          <t>Combatant Ships</t>
        </is>
      </c>
      <c r="M709" s="7" t="inlineStr">
        <is>
          <t>Aircraft Carriers</t>
        </is>
      </c>
      <c r="N709" s="7" t="inlineStr">
        <is>
          <t>CVN</t>
        </is>
      </c>
      <c r="O709" s="15" t="n"/>
      <c r="S709" s="16" t="n">
        <v>72</v>
      </c>
      <c r="U709" s="16" t="n">
        <v>72</v>
      </c>
      <c r="AC709" s="23">
        <f>IF(OR(E709="",E709="[PARENT]"),"ADD",IF(E709="[ALT_VIEW]","ALT",""))</f>
        <v/>
      </c>
      <c r="AD709" s="21">
        <f>IF(Y709&lt;&gt;"",Y709,IF(U709&lt;&gt;"",U709,S709))</f>
        <v/>
      </c>
      <c r="AE709" s="21">
        <f>IF(AB709&lt;&gt;"",AB709,Z709)</f>
        <v/>
      </c>
      <c r="AF709" s="13" t="inlineStr">
        <is>
          <t>P-35 &gt; CVN-81 &gt; AN/SYY-1(V)1 AIR TRAFFIC CONTROL SYSTEM, SHIPBOARD &gt; Spares</t>
        </is>
      </c>
      <c r="AG709" s="7" t="inlineStr">
        <is>
          <t>131</t>
        </is>
      </c>
      <c r="AH709" s="7" t="inlineStr">
        <is>
          <t>2004</t>
        </is>
      </c>
      <c r="AJ709" s="7" t="inlineStr">
        <is>
          <t>AN/SYY-1(V)1 AIR TRAFFIC CONTROL SYSTEM, SHIPBOARD [CVN 81]</t>
        </is>
      </c>
    </row>
    <row r="710" ht="10" customHeight="1">
      <c r="A710" s="7" t="inlineStr">
        <is>
          <t>SCN</t>
        </is>
      </c>
      <c r="B710" s="7" t="inlineStr">
        <is>
          <t>Procurement</t>
        </is>
      </c>
      <c r="D710" s="7" t="inlineStr">
        <is>
          <t>CVN-81 - P-35 AN/SYY-1(V)1 AIR TRAFFIC CONTROL SYSTEM, SHIPBOARD - System Engineering</t>
        </is>
      </c>
      <c r="E710" s="13" t="inlineStr">
        <is>
          <t>[ALT_VIEW]</t>
        </is>
      </c>
      <c r="F710" s="7" t="inlineStr">
        <is>
          <t>2004 / CVN-81</t>
        </is>
      </c>
      <c r="G710" s="7" t="inlineStr">
        <is>
          <t>P-35</t>
        </is>
      </c>
      <c r="I710" s="14" t="n">
        <v>1</v>
      </c>
      <c r="J710" s="7" t="inlineStr">
        <is>
          <t>Full ship DD&amp;C</t>
        </is>
      </c>
      <c r="K710" s="13" t="inlineStr">
        <is>
          <t>USN</t>
        </is>
      </c>
      <c r="L710" s="7" t="inlineStr">
        <is>
          <t>Combatant Ships</t>
        </is>
      </c>
      <c r="M710" s="7" t="inlineStr">
        <is>
          <t>Aircraft Carriers</t>
        </is>
      </c>
      <c r="N710" s="7" t="inlineStr">
        <is>
          <t>CVN</t>
        </is>
      </c>
      <c r="O710" s="15" t="n"/>
      <c r="S710" s="16" t="n">
        <v>619</v>
      </c>
      <c r="U710" s="16" t="n">
        <v>619</v>
      </c>
      <c r="AC710" s="23">
        <f>IF(OR(E710="",E710="[PARENT]"),"ADD",IF(E710="[ALT_VIEW]","ALT",""))</f>
        <v/>
      </c>
      <c r="AD710" s="21">
        <f>IF(Y710&lt;&gt;"",Y710,IF(U710&lt;&gt;"",U710,S710))</f>
        <v/>
      </c>
      <c r="AE710" s="21">
        <f>IF(AB710&lt;&gt;"",AB710,Z710)</f>
        <v/>
      </c>
      <c r="AF710" s="13" t="inlineStr">
        <is>
          <t>P-35 &gt; CVN-81 &gt; AN/SYY-1(V)1 AIR TRAFFIC CONTROL SYSTEM, SHIPBOARD &gt; System Engineering</t>
        </is>
      </c>
      <c r="AG710" s="7" t="inlineStr">
        <is>
          <t>131</t>
        </is>
      </c>
      <c r="AH710" s="7" t="inlineStr">
        <is>
          <t>2004</t>
        </is>
      </c>
    </row>
    <row r="711" ht="10" customHeight="1">
      <c r="A711" s="7" t="inlineStr">
        <is>
          <t>SCN</t>
        </is>
      </c>
      <c r="B711" s="7" t="inlineStr">
        <is>
          <t>Procurement</t>
        </is>
      </c>
      <c r="D711" s="7" t="inlineStr">
        <is>
          <t>CVN-81 - P-35 AN/SYY-1(V)1 AIR TRAFFIC CONTROL SYSTEM, SHIPBOARD - Technical Engineering Services</t>
        </is>
      </c>
      <c r="E711" s="13" t="inlineStr">
        <is>
          <t>[ALT_VIEW]</t>
        </is>
      </c>
      <c r="F711" s="7" t="inlineStr">
        <is>
          <t>2004 / CVN-81</t>
        </is>
      </c>
      <c r="G711" s="7" t="inlineStr">
        <is>
          <t>P-35</t>
        </is>
      </c>
      <c r="I711" s="14" t="n">
        <v>1</v>
      </c>
      <c r="J711" s="7" t="inlineStr">
        <is>
          <t>Full ship DD&amp;C</t>
        </is>
      </c>
      <c r="K711" s="13" t="inlineStr">
        <is>
          <t>USN</t>
        </is>
      </c>
      <c r="L711" s="7" t="inlineStr">
        <is>
          <t>Combatant Ships</t>
        </is>
      </c>
      <c r="M711" s="7" t="inlineStr">
        <is>
          <t>Aircraft Carriers</t>
        </is>
      </c>
      <c r="N711" s="7" t="inlineStr">
        <is>
          <t>CVN</t>
        </is>
      </c>
      <c r="O711" s="15" t="n"/>
      <c r="S711" s="16" t="n">
        <v>743</v>
      </c>
      <c r="U711" s="16" t="n">
        <v>743</v>
      </c>
      <c r="AC711" s="23">
        <f>IF(OR(E711="",E711="[PARENT]"),"ADD",IF(E711="[ALT_VIEW]","ALT",""))</f>
        <v/>
      </c>
      <c r="AD711" s="21">
        <f>IF(Y711&lt;&gt;"",Y711,IF(U711&lt;&gt;"",U711,S711))</f>
        <v/>
      </c>
      <c r="AE711" s="21">
        <f>IF(AB711&lt;&gt;"",AB711,Z711)</f>
        <v/>
      </c>
      <c r="AF711" s="13" t="inlineStr">
        <is>
          <t>P-35 &gt; CVN-81 &gt; AN/SYY-1(V)1 AIR TRAFFIC CONTROL SYSTEM, SHIPBOARD &gt; Technical Engineering Services</t>
        </is>
      </c>
      <c r="AG711" s="7" t="inlineStr">
        <is>
          <t>131</t>
        </is>
      </c>
      <c r="AH711" s="7" t="inlineStr">
        <is>
          <t>2004</t>
        </is>
      </c>
    </row>
    <row r="712" ht="10" customHeight="1">
      <c r="A712" s="7" t="inlineStr">
        <is>
          <t>SCN</t>
        </is>
      </c>
      <c r="B712" s="7" t="inlineStr">
        <is>
          <t>Procurement</t>
        </is>
      </c>
      <c r="D712" s="7" t="inlineStr">
        <is>
          <t>CVN-81 - P-35 AN/SYY-1(V)1 AIR TRAFFIC CONTROL SYSTEM, SHIPBOARD - Other Costs</t>
        </is>
      </c>
      <c r="E712" s="13" t="inlineStr">
        <is>
          <t>[ALT_VIEW]</t>
        </is>
      </c>
      <c r="F712" s="7" t="inlineStr">
        <is>
          <t>2004 / CVN-81</t>
        </is>
      </c>
      <c r="G712" s="7" t="inlineStr">
        <is>
          <t>P-35</t>
        </is>
      </c>
      <c r="I712" s="14" t="n">
        <v>1</v>
      </c>
      <c r="J712" s="7" t="inlineStr">
        <is>
          <t>Full ship DD&amp;C</t>
        </is>
      </c>
      <c r="K712" s="13" t="inlineStr">
        <is>
          <t>USN</t>
        </is>
      </c>
      <c r="L712" s="7" t="inlineStr">
        <is>
          <t>Combatant Ships</t>
        </is>
      </c>
      <c r="M712" s="7" t="inlineStr">
        <is>
          <t>Aircraft Carriers</t>
        </is>
      </c>
      <c r="N712" s="7" t="inlineStr">
        <is>
          <t>CVN</t>
        </is>
      </c>
      <c r="O712" s="15" t="n"/>
      <c r="S712" s="16" t="n">
        <v>919</v>
      </c>
      <c r="U712" s="16" t="n">
        <v>919</v>
      </c>
      <c r="AC712" s="23">
        <f>IF(OR(E712="",E712="[PARENT]"),"ADD",IF(E712="[ALT_VIEW]","ALT",""))</f>
        <v/>
      </c>
      <c r="AD712" s="21">
        <f>IF(Y712&lt;&gt;"",Y712,IF(U712&lt;&gt;"",U712,S712))</f>
        <v/>
      </c>
      <c r="AE712" s="21">
        <f>IF(AB712&lt;&gt;"",AB712,Z712)</f>
        <v/>
      </c>
      <c r="AF712" s="13" t="inlineStr">
        <is>
          <t>P-35 &gt; CVN-81 &gt; AN/SYY-1(V)1 AIR TRAFFIC CONTROL SYSTEM, SHIPBOARD &gt; Other Costs</t>
        </is>
      </c>
      <c r="AG712" s="7" t="inlineStr">
        <is>
          <t>131</t>
        </is>
      </c>
      <c r="AH712" s="7" t="inlineStr">
        <is>
          <t>2004</t>
        </is>
      </c>
    </row>
    <row r="713" ht="10" customHeight="1">
      <c r="A713" s="7" t="inlineStr">
        <is>
          <t>SCN</t>
        </is>
      </c>
      <c r="B713" s="7" t="inlineStr">
        <is>
          <t>Procurement</t>
        </is>
      </c>
      <c r="D713" s="7" t="inlineStr">
        <is>
          <t>CVN-81 - P-35 NAVY MULTI-BAND TERMINAL (NMT) - Major Hardware                                                                                                                                                     1</t>
        </is>
      </c>
      <c r="E713" s="13" t="inlineStr">
        <is>
          <t>[ALT_VIEW]</t>
        </is>
      </c>
      <c r="F713" s="7" t="inlineStr">
        <is>
          <t>2004 / CVN-81</t>
        </is>
      </c>
      <c r="G713" s="7" t="inlineStr">
        <is>
          <t>P-35</t>
        </is>
      </c>
      <c r="I713" s="14" t="n">
        <v>1</v>
      </c>
      <c r="J713" s="7" t="inlineStr">
        <is>
          <t>Full ship DD&amp;C</t>
        </is>
      </c>
      <c r="K713" s="13" t="inlineStr">
        <is>
          <t>USN</t>
        </is>
      </c>
      <c r="L713" s="7" t="inlineStr">
        <is>
          <t>Combatant Ships</t>
        </is>
      </c>
      <c r="M713" s="7" t="inlineStr">
        <is>
          <t>Aircraft Carriers</t>
        </is>
      </c>
      <c r="N713" s="7" t="inlineStr">
        <is>
          <t>CVN</t>
        </is>
      </c>
      <c r="O713" s="15" t="n"/>
      <c r="S713" s="16" t="n">
        <v>29786</v>
      </c>
      <c r="U713" s="16" t="n">
        <v>29786</v>
      </c>
      <c r="AC713" s="23">
        <f>IF(OR(E713="",E713="[PARENT]"),"ADD",IF(E713="[ALT_VIEW]","ALT",""))</f>
        <v/>
      </c>
      <c r="AD713" s="21">
        <f>IF(Y713&lt;&gt;"",Y713,IF(U713&lt;&gt;"",U713,S713))</f>
        <v/>
      </c>
      <c r="AE713" s="21">
        <f>IF(AB713&lt;&gt;"",AB713,Z713)</f>
        <v/>
      </c>
      <c r="AF713" s="13" t="inlineStr">
        <is>
          <t>P-35 &gt; CVN-81 &gt; NAVY MULTI-BAND TERMINAL (NMT) &gt; Major Hardware                                                                                                                                                     1</t>
        </is>
      </c>
      <c r="AG713" s="7" t="inlineStr">
        <is>
          <t>132</t>
        </is>
      </c>
      <c r="AH713" s="7" t="inlineStr">
        <is>
          <t>2004</t>
        </is>
      </c>
    </row>
    <row r="714" ht="10" customHeight="1">
      <c r="A714" s="7" t="inlineStr">
        <is>
          <t>SCN</t>
        </is>
      </c>
      <c r="B714" s="7" t="inlineStr">
        <is>
          <t>Procurement</t>
        </is>
      </c>
      <c r="D714" s="7" t="inlineStr">
        <is>
          <t>CVN-81 - P-35 NAVY MULTI-BAND TERMINAL (NMT) - Spares</t>
        </is>
      </c>
      <c r="E714" s="13" t="inlineStr">
        <is>
          <t>[ALT_VIEW]</t>
        </is>
      </c>
      <c r="F714" s="7" t="inlineStr">
        <is>
          <t>2004 / CVN-81</t>
        </is>
      </c>
      <c r="G714" s="7" t="inlineStr">
        <is>
          <t>P-35</t>
        </is>
      </c>
      <c r="I714" s="14" t="n">
        <v>1</v>
      </c>
      <c r="J714" s="7" t="inlineStr">
        <is>
          <t>Full ship DD&amp;C</t>
        </is>
      </c>
      <c r="K714" s="13" t="inlineStr">
        <is>
          <t>USN</t>
        </is>
      </c>
      <c r="L714" s="7" t="inlineStr">
        <is>
          <t>Combatant Ships</t>
        </is>
      </c>
      <c r="M714" s="7" t="inlineStr">
        <is>
          <t>Aircraft Carriers</t>
        </is>
      </c>
      <c r="N714" s="7" t="inlineStr">
        <is>
          <t>CVN</t>
        </is>
      </c>
      <c r="O714" s="15" t="n"/>
      <c r="S714" s="16" t="n">
        <v>1027</v>
      </c>
      <c r="U714" s="16" t="n">
        <v>1027</v>
      </c>
      <c r="AC714" s="23">
        <f>IF(OR(E714="",E714="[PARENT]"),"ADD",IF(E714="[ALT_VIEW]","ALT",""))</f>
        <v/>
      </c>
      <c r="AD714" s="21">
        <f>IF(Y714&lt;&gt;"",Y714,IF(U714&lt;&gt;"",U714,S714))</f>
        <v/>
      </c>
      <c r="AE714" s="21">
        <f>IF(AB714&lt;&gt;"",AB714,Z714)</f>
        <v/>
      </c>
      <c r="AF714" s="13" t="inlineStr">
        <is>
          <t>P-35 &gt; CVN-81 &gt; NAVY MULTI-BAND TERMINAL (NMT) &gt; Spares</t>
        </is>
      </c>
      <c r="AG714" s="7" t="inlineStr">
        <is>
          <t>132</t>
        </is>
      </c>
      <c r="AH714" s="7" t="inlineStr">
        <is>
          <t>2004</t>
        </is>
      </c>
    </row>
    <row r="715" ht="10" customHeight="1">
      <c r="A715" s="7" t="inlineStr">
        <is>
          <t>SCN</t>
        </is>
      </c>
      <c r="B715" s="7" t="inlineStr">
        <is>
          <t>Procurement</t>
        </is>
      </c>
      <c r="D715" s="7" t="inlineStr">
        <is>
          <t>CVN-81 - P-35 NAVY MULTI-BAND TERMINAL (NMT) - System Engineering</t>
        </is>
      </c>
      <c r="E715" s="13" t="inlineStr">
        <is>
          <t>[ALT_VIEW]</t>
        </is>
      </c>
      <c r="F715" s="7" t="inlineStr">
        <is>
          <t>2004 / CVN-81</t>
        </is>
      </c>
      <c r="G715" s="7" t="inlineStr">
        <is>
          <t>P-35</t>
        </is>
      </c>
      <c r="I715" s="14" t="n">
        <v>1</v>
      </c>
      <c r="J715" s="7" t="inlineStr">
        <is>
          <t>Full ship DD&amp;C</t>
        </is>
      </c>
      <c r="K715" s="13" t="inlineStr">
        <is>
          <t>USN</t>
        </is>
      </c>
      <c r="L715" s="7" t="inlineStr">
        <is>
          <t>Combatant Ships</t>
        </is>
      </c>
      <c r="M715" s="7" t="inlineStr">
        <is>
          <t>Aircraft Carriers</t>
        </is>
      </c>
      <c r="N715" s="7" t="inlineStr">
        <is>
          <t>CVN</t>
        </is>
      </c>
      <c r="O715" s="15" t="n"/>
      <c r="S715" s="16" t="n">
        <v>81</v>
      </c>
      <c r="U715" s="16" t="n">
        <v>81</v>
      </c>
      <c r="AC715" s="23">
        <f>IF(OR(E715="",E715="[PARENT]"),"ADD",IF(E715="[ALT_VIEW]","ALT",""))</f>
        <v/>
      </c>
      <c r="AD715" s="21">
        <f>IF(Y715&lt;&gt;"",Y715,IF(U715&lt;&gt;"",U715,S715))</f>
        <v/>
      </c>
      <c r="AE715" s="21">
        <f>IF(AB715&lt;&gt;"",AB715,Z715)</f>
        <v/>
      </c>
      <c r="AF715" s="13" t="inlineStr">
        <is>
          <t>P-35 &gt; CVN-81 &gt; NAVY MULTI-BAND TERMINAL (NMT) &gt; System Engineering</t>
        </is>
      </c>
      <c r="AG715" s="7" t="inlineStr">
        <is>
          <t>132</t>
        </is>
      </c>
      <c r="AH715" s="7" t="inlineStr">
        <is>
          <t>2004</t>
        </is>
      </c>
    </row>
    <row r="716" ht="10" customHeight="1">
      <c r="A716" s="7" t="inlineStr">
        <is>
          <t>SCN</t>
        </is>
      </c>
      <c r="B716" s="7" t="inlineStr">
        <is>
          <t>Procurement</t>
        </is>
      </c>
      <c r="D716" s="7" t="inlineStr">
        <is>
          <t>CVN-81 - P-35 NAVY MULTI-BAND TERMINAL (NMT) - Technical Engineering Services</t>
        </is>
      </c>
      <c r="E716" s="13" t="inlineStr">
        <is>
          <t>[ALT_VIEW]</t>
        </is>
      </c>
      <c r="F716" s="7" t="inlineStr">
        <is>
          <t>2004 / CVN-81</t>
        </is>
      </c>
      <c r="G716" s="7" t="inlineStr">
        <is>
          <t>P-35</t>
        </is>
      </c>
      <c r="I716" s="14" t="n">
        <v>1</v>
      </c>
      <c r="J716" s="7" t="inlineStr">
        <is>
          <t>Full ship DD&amp;C</t>
        </is>
      </c>
      <c r="K716" s="13" t="inlineStr">
        <is>
          <t>USN</t>
        </is>
      </c>
      <c r="L716" s="7" t="inlineStr">
        <is>
          <t>Combatant Ships</t>
        </is>
      </c>
      <c r="M716" s="7" t="inlineStr">
        <is>
          <t>Aircraft Carriers</t>
        </is>
      </c>
      <c r="N716" s="7" t="inlineStr">
        <is>
          <t>CVN</t>
        </is>
      </c>
      <c r="O716" s="15" t="n"/>
      <c r="S716" s="16" t="n">
        <v>94</v>
      </c>
      <c r="U716" s="16" t="n">
        <v>94</v>
      </c>
      <c r="AC716" s="23">
        <f>IF(OR(E716="",E716="[PARENT]"),"ADD",IF(E716="[ALT_VIEW]","ALT",""))</f>
        <v/>
      </c>
      <c r="AD716" s="21">
        <f>IF(Y716&lt;&gt;"",Y716,IF(U716&lt;&gt;"",U716,S716))</f>
        <v/>
      </c>
      <c r="AE716" s="21">
        <f>IF(AB716&lt;&gt;"",AB716,Z716)</f>
        <v/>
      </c>
      <c r="AF716" s="13" t="inlineStr">
        <is>
          <t>P-35 &gt; CVN-81 &gt; NAVY MULTI-BAND TERMINAL (NMT) &gt; Technical Engineering Services</t>
        </is>
      </c>
      <c r="AG716" s="7" t="inlineStr">
        <is>
          <t>132</t>
        </is>
      </c>
      <c r="AH716" s="7" t="inlineStr">
        <is>
          <t>2004</t>
        </is>
      </c>
    </row>
    <row r="717" ht="10" customHeight="1">
      <c r="A717" s="7" t="inlineStr">
        <is>
          <t>SCN</t>
        </is>
      </c>
      <c r="B717" s="7" t="inlineStr">
        <is>
          <t>Procurement</t>
        </is>
      </c>
      <c r="D717" s="7" t="inlineStr">
        <is>
          <t>CVN-81 - P-35 NAVY MULTI-BAND TERMINAL (NMT) - Other Costs</t>
        </is>
      </c>
      <c r="E717" s="13" t="inlineStr">
        <is>
          <t>[ALT_VIEW]</t>
        </is>
      </c>
      <c r="F717" s="7" t="inlineStr">
        <is>
          <t>2004 / CVN-81</t>
        </is>
      </c>
      <c r="G717" s="7" t="inlineStr">
        <is>
          <t>P-35</t>
        </is>
      </c>
      <c r="I717" s="14" t="n">
        <v>1</v>
      </c>
      <c r="J717" s="7" t="inlineStr">
        <is>
          <t>Full ship DD&amp;C</t>
        </is>
      </c>
      <c r="K717" s="13" t="inlineStr">
        <is>
          <t>USN</t>
        </is>
      </c>
      <c r="L717" s="7" t="inlineStr">
        <is>
          <t>Combatant Ships</t>
        </is>
      </c>
      <c r="M717" s="7" t="inlineStr">
        <is>
          <t>Aircraft Carriers</t>
        </is>
      </c>
      <c r="N717" s="7" t="inlineStr">
        <is>
          <t>CVN</t>
        </is>
      </c>
      <c r="O717" s="15" t="n"/>
      <c r="S717" s="16" t="n">
        <v>568</v>
      </c>
      <c r="U717" s="16" t="n">
        <v>568</v>
      </c>
      <c r="AC717" s="23">
        <f>IF(OR(E717="",E717="[PARENT]"),"ADD",IF(E717="[ALT_VIEW]","ALT",""))</f>
        <v/>
      </c>
      <c r="AD717" s="21">
        <f>IF(Y717&lt;&gt;"",Y717,IF(U717&lt;&gt;"",U717,S717))</f>
        <v/>
      </c>
      <c r="AE717" s="21">
        <f>IF(AB717&lt;&gt;"",AB717,Z717)</f>
        <v/>
      </c>
      <c r="AF717" s="13" t="inlineStr">
        <is>
          <t>P-35 &gt; CVN-81 &gt; NAVY MULTI-BAND TERMINAL (NMT) &gt; Other Costs</t>
        </is>
      </c>
      <c r="AG717" s="7" t="inlineStr">
        <is>
          <t>132</t>
        </is>
      </c>
      <c r="AH717" s="7" t="inlineStr">
        <is>
          <t>2004</t>
        </is>
      </c>
    </row>
    <row r="718" ht="10" customHeight="1">
      <c r="A718" s="7" t="inlineStr">
        <is>
          <t>SCN</t>
        </is>
      </c>
      <c r="B718" s="7" t="inlineStr">
        <is>
          <t>Procurement</t>
        </is>
      </c>
      <c r="D718" s="7" t="inlineStr">
        <is>
          <t>CVN-81 - P-35 AN/SLQ-32(V)7, SURFACE ELECTRONIC WARFARE IMPROVEMENT PROGRAM (SEWIP) BLOCK PARM Code: PEO IWS 2E - Major Hardware                                                                                                                                                   1</t>
        </is>
      </c>
      <c r="E718" s="13" t="inlineStr">
        <is>
          <t>[ALT_VIEW]</t>
        </is>
      </c>
      <c r="F718" s="7" t="inlineStr">
        <is>
          <t>2004 / CVN-81</t>
        </is>
      </c>
      <c r="G718" s="7" t="inlineStr">
        <is>
          <t>P-35</t>
        </is>
      </c>
      <c r="I718" s="14" t="n">
        <v>1</v>
      </c>
      <c r="J718" s="7" t="inlineStr">
        <is>
          <t>Full ship DD&amp;C</t>
        </is>
      </c>
      <c r="K718" s="13" t="inlineStr">
        <is>
          <t>USN</t>
        </is>
      </c>
      <c r="L718" s="7" t="inlineStr">
        <is>
          <t>Combatant Ships</t>
        </is>
      </c>
      <c r="M718" s="7" t="inlineStr">
        <is>
          <t>Aircraft Carriers</t>
        </is>
      </c>
      <c r="N718" s="7" t="inlineStr">
        <is>
          <t>CVN</t>
        </is>
      </c>
      <c r="O718" s="15" t="n"/>
      <c r="S718" s="16" t="n">
        <v>98616</v>
      </c>
      <c r="U718" s="16" t="n">
        <v>98616</v>
      </c>
      <c r="AC718" s="23">
        <f>IF(OR(E718="",E718="[PARENT]"),"ADD",IF(E718="[ALT_VIEW]","ALT",""))</f>
        <v/>
      </c>
      <c r="AD718" s="21">
        <f>IF(Y718&lt;&gt;"",Y718,IF(U718&lt;&gt;"",U718,S718))</f>
        <v/>
      </c>
      <c r="AE718" s="21">
        <f>IF(AB718&lt;&gt;"",AB718,Z718)</f>
        <v/>
      </c>
      <c r="AF718" s="13" t="inlineStr">
        <is>
          <t>P-35 &gt; CVN-81 &gt; AN/SLQ-32(V)7, SURFACE ELECTRONIC WARFARE IMPROVEMENT PROGRAM (SEWIP) BLOCK PARM Code: PEO IWS 2E &gt; Major Hardware                                                                                                                                                   1</t>
        </is>
      </c>
      <c r="AG718" s="7" t="inlineStr">
        <is>
          <t>133</t>
        </is>
      </c>
      <c r="AH718" s="7" t="inlineStr">
        <is>
          <t>2004</t>
        </is>
      </c>
    </row>
    <row r="719" ht="10" customHeight="1">
      <c r="A719" s="7" t="inlineStr">
        <is>
          <t>SCN</t>
        </is>
      </c>
      <c r="B719" s="7" t="inlineStr">
        <is>
          <t>Procurement</t>
        </is>
      </c>
      <c r="D719" s="7" t="inlineStr">
        <is>
          <t>CVN-81 - P-35 AN/SLQ-32(V)7, SURFACE ELECTRONIC WARFARE IMPROVEMENT PROGRAM (SEWIP) BLOCK PARM Code: PEO IWS 2E - Ancillary Equipment</t>
        </is>
      </c>
      <c r="E719" s="13" t="inlineStr">
        <is>
          <t>[ALT_VIEW]</t>
        </is>
      </c>
      <c r="F719" s="7" t="inlineStr">
        <is>
          <t>2004 / CVN-81</t>
        </is>
      </c>
      <c r="G719" s="7" t="inlineStr">
        <is>
          <t>P-35</t>
        </is>
      </c>
      <c r="I719" s="14" t="n">
        <v>1</v>
      </c>
      <c r="J719" s="7" t="inlineStr">
        <is>
          <t>Full ship DD&amp;C</t>
        </is>
      </c>
      <c r="K719" s="13" t="inlineStr">
        <is>
          <t>USN</t>
        </is>
      </c>
      <c r="L719" s="7" t="inlineStr">
        <is>
          <t>Combatant Ships</t>
        </is>
      </c>
      <c r="M719" s="7" t="inlineStr">
        <is>
          <t>Aircraft Carriers</t>
        </is>
      </c>
      <c r="N719" s="7" t="inlineStr">
        <is>
          <t>CVN</t>
        </is>
      </c>
      <c r="O719" s="15" t="n"/>
      <c r="S719" s="16" t="n">
        <v>655</v>
      </c>
      <c r="U719" s="16" t="n">
        <v>655</v>
      </c>
      <c r="AC719" s="23">
        <f>IF(OR(E719="",E719="[PARENT]"),"ADD",IF(E719="[ALT_VIEW]","ALT",""))</f>
        <v/>
      </c>
      <c r="AD719" s="21">
        <f>IF(Y719&lt;&gt;"",Y719,IF(U719&lt;&gt;"",U719,S719))</f>
        <v/>
      </c>
      <c r="AE719" s="21">
        <f>IF(AB719&lt;&gt;"",AB719,Z719)</f>
        <v/>
      </c>
      <c r="AF719" s="13" t="inlineStr">
        <is>
          <t>P-35 &gt; CVN-81 &gt; AN/SLQ-32(V)7, SURFACE ELECTRONIC WARFARE IMPROVEMENT PROGRAM (SEWIP) BLOCK PARM Code: PEO IWS 2E &gt; Ancillary Equipment</t>
        </is>
      </c>
      <c r="AG719" s="7" t="inlineStr">
        <is>
          <t>133</t>
        </is>
      </c>
      <c r="AH719" s="7" t="inlineStr">
        <is>
          <t>2004</t>
        </is>
      </c>
    </row>
    <row r="720" ht="10" customHeight="1">
      <c r="A720" s="7" t="inlineStr">
        <is>
          <t>SCN</t>
        </is>
      </c>
      <c r="B720" s="7" t="inlineStr">
        <is>
          <t>Procurement</t>
        </is>
      </c>
      <c r="D720" s="7" t="inlineStr">
        <is>
          <t>CVN-81 - P-35 AN/SLQ-32(V)7, SURFACE ELECTRONIC WARFARE IMPROVEMENT PROGRAM (SEWIP) BLOCK PARM Code: PEO IWS 2E - Spares</t>
        </is>
      </c>
      <c r="E720" s="13" t="inlineStr">
        <is>
          <t>[ALT_VIEW]</t>
        </is>
      </c>
      <c r="F720" s="7" t="inlineStr">
        <is>
          <t>2004 / CVN-81</t>
        </is>
      </c>
      <c r="G720" s="7" t="inlineStr">
        <is>
          <t>P-35</t>
        </is>
      </c>
      <c r="I720" s="14" t="n">
        <v>1</v>
      </c>
      <c r="J720" s="7" t="inlineStr">
        <is>
          <t>Full ship DD&amp;C</t>
        </is>
      </c>
      <c r="K720" s="13" t="inlineStr">
        <is>
          <t>USN</t>
        </is>
      </c>
      <c r="L720" s="7" t="inlineStr">
        <is>
          <t>Combatant Ships</t>
        </is>
      </c>
      <c r="M720" s="7" t="inlineStr">
        <is>
          <t>Aircraft Carriers</t>
        </is>
      </c>
      <c r="N720" s="7" t="inlineStr">
        <is>
          <t>CVN</t>
        </is>
      </c>
      <c r="O720" s="15" t="n"/>
      <c r="S720" s="16" t="n">
        <v>2688</v>
      </c>
      <c r="U720" s="16" t="n">
        <v>2688</v>
      </c>
      <c r="AC720" s="23">
        <f>IF(OR(E720="",E720="[PARENT]"),"ADD",IF(E720="[ALT_VIEW]","ALT",""))</f>
        <v/>
      </c>
      <c r="AD720" s="21">
        <f>IF(Y720&lt;&gt;"",Y720,IF(U720&lt;&gt;"",U720,S720))</f>
        <v/>
      </c>
      <c r="AE720" s="21">
        <f>IF(AB720&lt;&gt;"",AB720,Z720)</f>
        <v/>
      </c>
      <c r="AF720" s="13" t="inlineStr">
        <is>
          <t>P-35 &gt; CVN-81 &gt; AN/SLQ-32(V)7, SURFACE ELECTRONIC WARFARE IMPROVEMENT PROGRAM (SEWIP) BLOCK PARM Code: PEO IWS 2E &gt; Spares</t>
        </is>
      </c>
      <c r="AG720" s="7" t="inlineStr">
        <is>
          <t>133</t>
        </is>
      </c>
      <c r="AH720" s="7" t="inlineStr">
        <is>
          <t>2004</t>
        </is>
      </c>
    </row>
    <row r="721" ht="10" customHeight="1">
      <c r="A721" s="7" t="inlineStr">
        <is>
          <t>SCN</t>
        </is>
      </c>
      <c r="B721" s="7" t="inlineStr">
        <is>
          <t>Procurement</t>
        </is>
      </c>
      <c r="D721" s="7" t="inlineStr">
        <is>
          <t>CVN-81 - P-35 AN/SLQ-32(V)7, SURFACE ELECTRONIC WARFARE IMPROVEMENT PROGRAM (SEWIP) BLOCK PARM Code: PEO IWS 2E - System Engineering</t>
        </is>
      </c>
      <c r="E721" s="13" t="inlineStr">
        <is>
          <t>[ALT_VIEW]</t>
        </is>
      </c>
      <c r="F721" s="7" t="inlineStr">
        <is>
          <t>2004 / CVN-81</t>
        </is>
      </c>
      <c r="G721" s="7" t="inlineStr">
        <is>
          <t>P-35</t>
        </is>
      </c>
      <c r="I721" s="14" t="n">
        <v>1</v>
      </c>
      <c r="J721" s="7" t="inlineStr">
        <is>
          <t>Full ship DD&amp;C</t>
        </is>
      </c>
      <c r="K721" s="13" t="inlineStr">
        <is>
          <t>USN</t>
        </is>
      </c>
      <c r="L721" s="7" t="inlineStr">
        <is>
          <t>Combatant Ships</t>
        </is>
      </c>
      <c r="M721" s="7" t="inlineStr">
        <is>
          <t>Aircraft Carriers</t>
        </is>
      </c>
      <c r="N721" s="7" t="inlineStr">
        <is>
          <t>CVN</t>
        </is>
      </c>
      <c r="O721" s="15" t="n"/>
      <c r="S721" s="16" t="n">
        <v>2022</v>
      </c>
      <c r="U721" s="16" t="n">
        <v>2022</v>
      </c>
      <c r="AC721" s="23">
        <f>IF(OR(E721="",E721="[PARENT]"),"ADD",IF(E721="[ALT_VIEW]","ALT",""))</f>
        <v/>
      </c>
      <c r="AD721" s="21">
        <f>IF(Y721&lt;&gt;"",Y721,IF(U721&lt;&gt;"",U721,S721))</f>
        <v/>
      </c>
      <c r="AE721" s="21">
        <f>IF(AB721&lt;&gt;"",AB721,Z721)</f>
        <v/>
      </c>
      <c r="AF721" s="13" t="inlineStr">
        <is>
          <t>P-35 &gt; CVN-81 &gt; AN/SLQ-32(V)7, SURFACE ELECTRONIC WARFARE IMPROVEMENT PROGRAM (SEWIP) BLOCK PARM Code: PEO IWS 2E &gt; System Engineering</t>
        </is>
      </c>
      <c r="AG721" s="7" t="inlineStr">
        <is>
          <t>133</t>
        </is>
      </c>
      <c r="AH721" s="7" t="inlineStr">
        <is>
          <t>2004</t>
        </is>
      </c>
    </row>
    <row r="722" ht="10" customHeight="1">
      <c r="A722" s="7" t="inlineStr">
        <is>
          <t>SCN</t>
        </is>
      </c>
      <c r="B722" s="7" t="inlineStr">
        <is>
          <t>Procurement</t>
        </is>
      </c>
      <c r="D722" s="7" t="inlineStr">
        <is>
          <t>CVN-81 - P-35 AN/SLQ-32(V)7, SURFACE ELECTRONIC WARFARE IMPROVEMENT PROGRAM (SEWIP) BLOCK PARM Code: PEO IWS 2E - Technical Engineering Services</t>
        </is>
      </c>
      <c r="E722" s="13" t="inlineStr">
        <is>
          <t>[ALT_VIEW]</t>
        </is>
      </c>
      <c r="F722" s="7" t="inlineStr">
        <is>
          <t>2004 / CVN-81</t>
        </is>
      </c>
      <c r="G722" s="7" t="inlineStr">
        <is>
          <t>P-35</t>
        </is>
      </c>
      <c r="I722" s="14" t="n">
        <v>1</v>
      </c>
      <c r="J722" s="7" t="inlineStr">
        <is>
          <t>Full ship DD&amp;C</t>
        </is>
      </c>
      <c r="K722" s="13" t="inlineStr">
        <is>
          <t>USN</t>
        </is>
      </c>
      <c r="L722" s="7" t="inlineStr">
        <is>
          <t>Combatant Ships</t>
        </is>
      </c>
      <c r="M722" s="7" t="inlineStr">
        <is>
          <t>Aircraft Carriers</t>
        </is>
      </c>
      <c r="N722" s="7" t="inlineStr">
        <is>
          <t>CVN</t>
        </is>
      </c>
      <c r="O722" s="15" t="n"/>
      <c r="S722" s="16" t="n">
        <v>4089</v>
      </c>
      <c r="U722" s="16" t="n">
        <v>4089</v>
      </c>
      <c r="AC722" s="23">
        <f>IF(OR(E722="",E722="[PARENT]"),"ADD",IF(E722="[ALT_VIEW]","ALT",""))</f>
        <v/>
      </c>
      <c r="AD722" s="21">
        <f>IF(Y722&lt;&gt;"",Y722,IF(U722&lt;&gt;"",U722,S722))</f>
        <v/>
      </c>
      <c r="AE722" s="21">
        <f>IF(AB722&lt;&gt;"",AB722,Z722)</f>
        <v/>
      </c>
      <c r="AF722" s="13" t="inlineStr">
        <is>
          <t>P-35 &gt; CVN-81 &gt; AN/SLQ-32(V)7, SURFACE ELECTRONIC WARFARE IMPROVEMENT PROGRAM (SEWIP) BLOCK PARM Code: PEO IWS 2E &gt; Technical Engineering Services</t>
        </is>
      </c>
      <c r="AG722" s="7" t="inlineStr">
        <is>
          <t>133</t>
        </is>
      </c>
      <c r="AH722" s="7" t="inlineStr">
        <is>
          <t>2004</t>
        </is>
      </c>
    </row>
    <row r="723" ht="10" customHeight="1">
      <c r="A723" s="7" t="inlineStr">
        <is>
          <t>SCN</t>
        </is>
      </c>
      <c r="B723" s="7" t="inlineStr">
        <is>
          <t>Procurement</t>
        </is>
      </c>
      <c r="D723" s="7" t="inlineStr">
        <is>
          <t>CVN-81 - P-35 AN/SLQ-32(V)7, SURFACE ELECTRONIC WARFARE IMPROVEMENT PROGRAM (SEWIP) BLOCK PARM Code: PEO IWS 2E - Other Costs</t>
        </is>
      </c>
      <c r="E723" s="13" t="inlineStr">
        <is>
          <t>[ALT_VIEW]</t>
        </is>
      </c>
      <c r="F723" s="7" t="inlineStr">
        <is>
          <t>2004 / CVN-81</t>
        </is>
      </c>
      <c r="G723" s="7" t="inlineStr">
        <is>
          <t>P-35</t>
        </is>
      </c>
      <c r="I723" s="14" t="n">
        <v>1</v>
      </c>
      <c r="J723" s="7" t="inlineStr">
        <is>
          <t>Full ship DD&amp;C</t>
        </is>
      </c>
      <c r="K723" s="13" t="inlineStr">
        <is>
          <t>USN</t>
        </is>
      </c>
      <c r="L723" s="7" t="inlineStr">
        <is>
          <t>Combatant Ships</t>
        </is>
      </c>
      <c r="M723" s="7" t="inlineStr">
        <is>
          <t>Aircraft Carriers</t>
        </is>
      </c>
      <c r="N723" s="7" t="inlineStr">
        <is>
          <t>CVN</t>
        </is>
      </c>
      <c r="O723" s="15" t="n"/>
      <c r="S723" s="16" t="n">
        <v>55030</v>
      </c>
      <c r="U723" s="16" t="n">
        <v>55030</v>
      </c>
      <c r="AC723" s="23">
        <f>IF(OR(E723="",E723="[PARENT]"),"ADD",IF(E723="[ALT_VIEW]","ALT",""))</f>
        <v/>
      </c>
      <c r="AD723" s="21">
        <f>IF(Y723&lt;&gt;"",Y723,IF(U723&lt;&gt;"",U723,S723))</f>
        <v/>
      </c>
      <c r="AE723" s="21">
        <f>IF(AB723&lt;&gt;"",AB723,Z723)</f>
        <v/>
      </c>
      <c r="AF723" s="13" t="inlineStr">
        <is>
          <t>P-35 &gt; CVN-81 &gt; AN/SLQ-32(V)7, SURFACE ELECTRONIC WARFARE IMPROVEMENT PROGRAM (SEWIP) BLOCK PARM Code: PEO IWS 2E &gt; Other Costs</t>
        </is>
      </c>
      <c r="AG723" s="7" t="inlineStr">
        <is>
          <t>133</t>
        </is>
      </c>
      <c r="AH723" s="7" t="inlineStr">
        <is>
          <t>2004</t>
        </is>
      </c>
    </row>
    <row r="724" ht="10" customHeight="1">
      <c r="A724" s="7" t="inlineStr">
        <is>
          <t>SCN</t>
        </is>
      </c>
      <c r="B724" s="7" t="inlineStr">
        <is>
          <t>Procurement</t>
        </is>
      </c>
      <c r="D724" s="7" t="inlineStr">
        <is>
          <t>CVN-81 - P-35 SPECTRAL - Major Hardware                                                                                                                                                          1</t>
        </is>
      </c>
      <c r="E724" s="13" t="inlineStr">
        <is>
          <t>[ALT_VIEW]</t>
        </is>
      </c>
      <c r="F724" s="7" t="inlineStr">
        <is>
          <t>2004 / CVN-81</t>
        </is>
      </c>
      <c r="G724" s="7" t="inlineStr">
        <is>
          <t>P-35</t>
        </is>
      </c>
      <c r="I724" s="14" t="n">
        <v>1</v>
      </c>
      <c r="J724" s="7" t="inlineStr">
        <is>
          <t>Full ship DD&amp;C</t>
        </is>
      </c>
      <c r="K724" s="13" t="inlineStr">
        <is>
          <t>USN</t>
        </is>
      </c>
      <c r="L724" s="7" t="inlineStr">
        <is>
          <t>Combatant Ships</t>
        </is>
      </c>
      <c r="M724" s="7" t="inlineStr">
        <is>
          <t>Aircraft Carriers</t>
        </is>
      </c>
      <c r="N724" s="7" t="inlineStr">
        <is>
          <t>CVN</t>
        </is>
      </c>
      <c r="O724" s="15" t="n"/>
      <c r="S724" s="16" t="n">
        <v>15998</v>
      </c>
      <c r="U724" s="16" t="n">
        <v>15998</v>
      </c>
      <c r="AC724" s="23">
        <f>IF(OR(E724="",E724="[PARENT]"),"ADD",IF(E724="[ALT_VIEW]","ALT",""))</f>
        <v/>
      </c>
      <c r="AD724" s="21">
        <f>IF(Y724&lt;&gt;"",Y724,IF(U724&lt;&gt;"",U724,S724))</f>
        <v/>
      </c>
      <c r="AE724" s="21">
        <f>IF(AB724&lt;&gt;"",AB724,Z724)</f>
        <v/>
      </c>
      <c r="AF724" s="13" t="inlineStr">
        <is>
          <t>P-35 &gt; CVN-81 &gt; SPECTRAL &gt; Major Hardware                                                                                                                                                          1</t>
        </is>
      </c>
      <c r="AG724" s="7" t="inlineStr">
        <is>
          <t>134</t>
        </is>
      </c>
      <c r="AH724" s="7" t="inlineStr">
        <is>
          <t>2004</t>
        </is>
      </c>
    </row>
    <row r="725" ht="10" customHeight="1">
      <c r="A725" s="7" t="inlineStr">
        <is>
          <t>SCN</t>
        </is>
      </c>
      <c r="B725" s="7" t="inlineStr">
        <is>
          <t>Procurement</t>
        </is>
      </c>
      <c r="D725" s="7" t="inlineStr">
        <is>
          <t>CVN-81 - P-35 SPECTRAL - Spares</t>
        </is>
      </c>
      <c r="E725" s="13" t="inlineStr">
        <is>
          <t>[ALT_VIEW]</t>
        </is>
      </c>
      <c r="F725" s="7" t="inlineStr">
        <is>
          <t>2004 / CVN-81</t>
        </is>
      </c>
      <c r="G725" s="7" t="inlineStr">
        <is>
          <t>P-35</t>
        </is>
      </c>
      <c r="I725" s="14" t="n">
        <v>1</v>
      </c>
      <c r="J725" s="7" t="inlineStr">
        <is>
          <t>Full ship DD&amp;C</t>
        </is>
      </c>
      <c r="K725" s="13" t="inlineStr">
        <is>
          <t>USN</t>
        </is>
      </c>
      <c r="L725" s="7" t="inlineStr">
        <is>
          <t>Combatant Ships</t>
        </is>
      </c>
      <c r="M725" s="7" t="inlineStr">
        <is>
          <t>Aircraft Carriers</t>
        </is>
      </c>
      <c r="N725" s="7" t="inlineStr">
        <is>
          <t>CVN</t>
        </is>
      </c>
      <c r="O725" s="15" t="n"/>
      <c r="S725" s="16" t="n">
        <v>721</v>
      </c>
      <c r="U725" s="16" t="n">
        <v>721</v>
      </c>
      <c r="AC725" s="23">
        <f>IF(OR(E725="",E725="[PARENT]"),"ADD",IF(E725="[ALT_VIEW]","ALT",""))</f>
        <v/>
      </c>
      <c r="AD725" s="21">
        <f>IF(Y725&lt;&gt;"",Y725,IF(U725&lt;&gt;"",U725,S725))</f>
        <v/>
      </c>
      <c r="AE725" s="21">
        <f>IF(AB725&lt;&gt;"",AB725,Z725)</f>
        <v/>
      </c>
      <c r="AF725" s="13" t="inlineStr">
        <is>
          <t>P-35 &gt; CVN-81 &gt; SPECTRAL &gt; Spares</t>
        </is>
      </c>
      <c r="AG725" s="7" t="inlineStr">
        <is>
          <t>134</t>
        </is>
      </c>
      <c r="AH725" s="7" t="inlineStr">
        <is>
          <t>2004</t>
        </is>
      </c>
    </row>
    <row r="726" ht="10" customHeight="1">
      <c r="A726" s="7" t="inlineStr">
        <is>
          <t>SCN</t>
        </is>
      </c>
      <c r="B726" s="7" t="inlineStr">
        <is>
          <t>Procurement</t>
        </is>
      </c>
      <c r="D726" s="7" t="inlineStr">
        <is>
          <t>CVN-81 - P-35 SPECTRAL - System Engineering</t>
        </is>
      </c>
      <c r="E726" s="13" t="inlineStr">
        <is>
          <t>[ALT_VIEW]</t>
        </is>
      </c>
      <c r="F726" s="7" t="inlineStr">
        <is>
          <t>2004 / CVN-81</t>
        </is>
      </c>
      <c r="G726" s="7" t="inlineStr">
        <is>
          <t>P-35</t>
        </is>
      </c>
      <c r="I726" s="14" t="n">
        <v>1</v>
      </c>
      <c r="J726" s="7" t="inlineStr">
        <is>
          <t>Full ship DD&amp;C</t>
        </is>
      </c>
      <c r="K726" s="13" t="inlineStr">
        <is>
          <t>USN</t>
        </is>
      </c>
      <c r="L726" s="7" t="inlineStr">
        <is>
          <t>Combatant Ships</t>
        </is>
      </c>
      <c r="M726" s="7" t="inlineStr">
        <is>
          <t>Aircraft Carriers</t>
        </is>
      </c>
      <c r="N726" s="7" t="inlineStr">
        <is>
          <t>CVN</t>
        </is>
      </c>
      <c r="O726" s="15" t="n"/>
      <c r="S726" s="16" t="n">
        <v>858</v>
      </c>
      <c r="U726" s="16" t="n">
        <v>858</v>
      </c>
      <c r="AC726" s="23">
        <f>IF(OR(E726="",E726="[PARENT]"),"ADD",IF(E726="[ALT_VIEW]","ALT",""))</f>
        <v/>
      </c>
      <c r="AD726" s="21">
        <f>IF(Y726&lt;&gt;"",Y726,IF(U726&lt;&gt;"",U726,S726))</f>
        <v/>
      </c>
      <c r="AE726" s="21">
        <f>IF(AB726&lt;&gt;"",AB726,Z726)</f>
        <v/>
      </c>
      <c r="AF726" s="13" t="inlineStr">
        <is>
          <t>P-35 &gt; CVN-81 &gt; SPECTRAL &gt; System Engineering</t>
        </is>
      </c>
      <c r="AG726" s="7" t="inlineStr">
        <is>
          <t>134</t>
        </is>
      </c>
      <c r="AH726" s="7" t="inlineStr">
        <is>
          <t>2004</t>
        </is>
      </c>
    </row>
    <row r="727" ht="10" customHeight="1">
      <c r="A727" s="7" t="inlineStr">
        <is>
          <t>SCN</t>
        </is>
      </c>
      <c r="B727" s="7" t="inlineStr">
        <is>
          <t>Procurement</t>
        </is>
      </c>
      <c r="D727" s="7" t="inlineStr">
        <is>
          <t>CVN-81 - P-35 SPECTRAL - Technical Engineering Services</t>
        </is>
      </c>
      <c r="E727" s="13" t="inlineStr">
        <is>
          <t>[ALT_VIEW]</t>
        </is>
      </c>
      <c r="F727" s="7" t="inlineStr">
        <is>
          <t>2004 / CVN-81</t>
        </is>
      </c>
      <c r="G727" s="7" t="inlineStr">
        <is>
          <t>P-35</t>
        </is>
      </c>
      <c r="I727" s="14" t="n">
        <v>1</v>
      </c>
      <c r="J727" s="7" t="inlineStr">
        <is>
          <t>Full ship DD&amp;C</t>
        </is>
      </c>
      <c r="K727" s="13" t="inlineStr">
        <is>
          <t>USN</t>
        </is>
      </c>
      <c r="L727" s="7" t="inlineStr">
        <is>
          <t>Combatant Ships</t>
        </is>
      </c>
      <c r="M727" s="7" t="inlineStr">
        <is>
          <t>Aircraft Carriers</t>
        </is>
      </c>
      <c r="N727" s="7" t="inlineStr">
        <is>
          <t>CVN</t>
        </is>
      </c>
      <c r="O727" s="15" t="n"/>
      <c r="S727" s="16" t="n">
        <v>191</v>
      </c>
      <c r="U727" s="16" t="n">
        <v>191</v>
      </c>
      <c r="AC727" s="23">
        <f>IF(OR(E727="",E727="[PARENT]"),"ADD",IF(E727="[ALT_VIEW]","ALT",""))</f>
        <v/>
      </c>
      <c r="AD727" s="21">
        <f>IF(Y727&lt;&gt;"",Y727,IF(U727&lt;&gt;"",U727,S727))</f>
        <v/>
      </c>
      <c r="AE727" s="21">
        <f>IF(AB727&lt;&gt;"",AB727,Z727)</f>
        <v/>
      </c>
      <c r="AF727" s="13" t="inlineStr">
        <is>
          <t>P-35 &gt; CVN-81 &gt; SPECTRAL &gt; Technical Engineering Services</t>
        </is>
      </c>
      <c r="AG727" s="7" t="inlineStr">
        <is>
          <t>134</t>
        </is>
      </c>
      <c r="AH727" s="7" t="inlineStr">
        <is>
          <t>2004</t>
        </is>
      </c>
    </row>
    <row r="728" ht="10" customHeight="1">
      <c r="A728" s="7" t="inlineStr">
        <is>
          <t>SCN</t>
        </is>
      </c>
      <c r="B728" s="7" t="inlineStr">
        <is>
          <t>Procurement</t>
        </is>
      </c>
      <c r="D728" s="7" t="inlineStr">
        <is>
          <t>CVN-81 - P-35 SPECTRAL - Other Costs</t>
        </is>
      </c>
      <c r="E728" s="13" t="inlineStr">
        <is>
          <t>[ALT_VIEW]</t>
        </is>
      </c>
      <c r="F728" s="7" t="inlineStr">
        <is>
          <t>2004 / CVN-81</t>
        </is>
      </c>
      <c r="G728" s="7" t="inlineStr">
        <is>
          <t>P-35</t>
        </is>
      </c>
      <c r="I728" s="14" t="n">
        <v>1</v>
      </c>
      <c r="J728" s="7" t="inlineStr">
        <is>
          <t>Full ship DD&amp;C</t>
        </is>
      </c>
      <c r="K728" s="13" t="inlineStr">
        <is>
          <t>USN</t>
        </is>
      </c>
      <c r="L728" s="7" t="inlineStr">
        <is>
          <t>Combatant Ships</t>
        </is>
      </c>
      <c r="M728" s="7" t="inlineStr">
        <is>
          <t>Aircraft Carriers</t>
        </is>
      </c>
      <c r="N728" s="7" t="inlineStr">
        <is>
          <t>CVN</t>
        </is>
      </c>
      <c r="O728" s="15" t="n"/>
      <c r="S728" s="16" t="n">
        <v>1333</v>
      </c>
      <c r="U728" s="16" t="n">
        <v>1333</v>
      </c>
      <c r="AC728" s="23">
        <f>IF(OR(E728="",E728="[PARENT]"),"ADD",IF(E728="[ALT_VIEW]","ALT",""))</f>
        <v/>
      </c>
      <c r="AD728" s="21">
        <f>IF(Y728&lt;&gt;"",Y728,IF(U728&lt;&gt;"",U728,S728))</f>
        <v/>
      </c>
      <c r="AE728" s="21">
        <f>IF(AB728&lt;&gt;"",AB728,Z728)</f>
        <v/>
      </c>
      <c r="AF728" s="13" t="inlineStr">
        <is>
          <t>P-35 &gt; CVN-81 &gt; SPECTRAL &gt; Other Costs</t>
        </is>
      </c>
      <c r="AG728" s="7" t="inlineStr">
        <is>
          <t>134</t>
        </is>
      </c>
      <c r="AH728" s="7" t="inlineStr">
        <is>
          <t>2004</t>
        </is>
      </c>
    </row>
    <row r="729" ht="10" customHeight="1">
      <c r="A729" s="7" t="inlineStr">
        <is>
          <t>SCN</t>
        </is>
      </c>
      <c r="B729" s="7" t="inlineStr">
        <is>
          <t>Procurement</t>
        </is>
      </c>
      <c r="D729" s="7" t="inlineStr">
        <is>
          <t>CVN-81 - P-35 AN/SRC-66(V)3 HFDAG - Major Hardware                                                                                                                                                 1</t>
        </is>
      </c>
      <c r="E729" s="13" t="inlineStr">
        <is>
          <t>[ALT_VIEW]</t>
        </is>
      </c>
      <c r="F729" s="7" t="inlineStr">
        <is>
          <t>2004 / CVN-81</t>
        </is>
      </c>
      <c r="G729" s="7" t="inlineStr">
        <is>
          <t>P-35</t>
        </is>
      </c>
      <c r="I729" s="14" t="n">
        <v>1</v>
      </c>
      <c r="J729" s="7" t="inlineStr">
        <is>
          <t>Full ship DD&amp;C</t>
        </is>
      </c>
      <c r="K729" s="13" t="inlineStr">
        <is>
          <t>USN</t>
        </is>
      </c>
      <c r="L729" s="7" t="inlineStr">
        <is>
          <t>Combatant Ships</t>
        </is>
      </c>
      <c r="M729" s="7" t="inlineStr">
        <is>
          <t>Aircraft Carriers</t>
        </is>
      </c>
      <c r="N729" s="7" t="inlineStr">
        <is>
          <t>CVN</t>
        </is>
      </c>
      <c r="O729" s="15" t="n"/>
      <c r="S729" s="16" t="n">
        <v>6014</v>
      </c>
      <c r="U729" s="16" t="n">
        <v>6014</v>
      </c>
      <c r="AC729" s="23">
        <f>IF(OR(E729="",E729="[PARENT]"),"ADD",IF(E729="[ALT_VIEW]","ALT",""))</f>
        <v/>
      </c>
      <c r="AD729" s="21">
        <f>IF(Y729&lt;&gt;"",Y729,IF(U729&lt;&gt;"",U729,S729))</f>
        <v/>
      </c>
      <c r="AE729" s="21">
        <f>IF(AB729&lt;&gt;"",AB729,Z729)</f>
        <v/>
      </c>
      <c r="AF729" s="13" t="inlineStr">
        <is>
          <t>P-35 &gt; CVN-81 &gt; AN/SRC-66(V)3 HFDAG &gt; Major Hardware                                                                                                                                                 1</t>
        </is>
      </c>
      <c r="AG729" s="7" t="inlineStr">
        <is>
          <t>135</t>
        </is>
      </c>
      <c r="AH729" s="7" t="inlineStr">
        <is>
          <t>2004</t>
        </is>
      </c>
    </row>
    <row r="730" ht="10" customHeight="1">
      <c r="A730" s="7" t="inlineStr">
        <is>
          <t>SCN</t>
        </is>
      </c>
      <c r="B730" s="7" t="inlineStr">
        <is>
          <t>Procurement</t>
        </is>
      </c>
      <c r="D730" s="7" t="inlineStr">
        <is>
          <t>CVN-81 - P-35 AN/SRC-66(V)3 HFDAG - Spares</t>
        </is>
      </c>
      <c r="E730" s="13" t="inlineStr">
        <is>
          <t>[ALT_VIEW]</t>
        </is>
      </c>
      <c r="F730" s="7" t="inlineStr">
        <is>
          <t>2004 / CVN-81</t>
        </is>
      </c>
      <c r="G730" s="7" t="inlineStr">
        <is>
          <t>P-35</t>
        </is>
      </c>
      <c r="I730" s="14" t="n">
        <v>1</v>
      </c>
      <c r="J730" s="7" t="inlineStr">
        <is>
          <t>Full ship DD&amp;C</t>
        </is>
      </c>
      <c r="K730" s="13" t="inlineStr">
        <is>
          <t>USN</t>
        </is>
      </c>
      <c r="L730" s="7" t="inlineStr">
        <is>
          <t>Combatant Ships</t>
        </is>
      </c>
      <c r="M730" s="7" t="inlineStr">
        <is>
          <t>Aircraft Carriers</t>
        </is>
      </c>
      <c r="N730" s="7" t="inlineStr">
        <is>
          <t>CVN</t>
        </is>
      </c>
      <c r="O730" s="15" t="n"/>
      <c r="S730" s="16" t="n">
        <v>11</v>
      </c>
      <c r="U730" s="16" t="n">
        <v>11</v>
      </c>
      <c r="AC730" s="23">
        <f>IF(OR(E730="",E730="[PARENT]"),"ADD",IF(E730="[ALT_VIEW]","ALT",""))</f>
        <v/>
      </c>
      <c r="AD730" s="21">
        <f>IF(Y730&lt;&gt;"",Y730,IF(U730&lt;&gt;"",U730,S730))</f>
        <v/>
      </c>
      <c r="AE730" s="21">
        <f>IF(AB730&lt;&gt;"",AB730,Z730)</f>
        <v/>
      </c>
      <c r="AF730" s="13" t="inlineStr">
        <is>
          <t>P-35 &gt; CVN-81 &gt; AN/SRC-66(V)3 HFDAG &gt; Spares</t>
        </is>
      </c>
      <c r="AG730" s="7" t="inlineStr">
        <is>
          <t>135</t>
        </is>
      </c>
      <c r="AH730" s="7" t="inlineStr">
        <is>
          <t>2004</t>
        </is>
      </c>
    </row>
    <row r="731" ht="10" customHeight="1">
      <c r="A731" s="7" t="inlineStr">
        <is>
          <t>SCN</t>
        </is>
      </c>
      <c r="B731" s="7" t="inlineStr">
        <is>
          <t>Procurement</t>
        </is>
      </c>
      <c r="D731" s="7" t="inlineStr">
        <is>
          <t>CVN-81 - P-35 AN/SRC-66(V)3 HFDAG - System Engineering</t>
        </is>
      </c>
      <c r="E731" s="13" t="inlineStr">
        <is>
          <t>[ALT_VIEW]</t>
        </is>
      </c>
      <c r="F731" s="7" t="inlineStr">
        <is>
          <t>2004 / CVN-81</t>
        </is>
      </c>
      <c r="G731" s="7" t="inlineStr">
        <is>
          <t>P-35</t>
        </is>
      </c>
      <c r="I731" s="14" t="n">
        <v>1</v>
      </c>
      <c r="J731" s="7" t="inlineStr">
        <is>
          <t>Full ship DD&amp;C</t>
        </is>
      </c>
      <c r="K731" s="13" t="inlineStr">
        <is>
          <t>USN</t>
        </is>
      </c>
      <c r="L731" s="7" t="inlineStr">
        <is>
          <t>Combatant Ships</t>
        </is>
      </c>
      <c r="M731" s="7" t="inlineStr">
        <is>
          <t>Aircraft Carriers</t>
        </is>
      </c>
      <c r="N731" s="7" t="inlineStr">
        <is>
          <t>CVN</t>
        </is>
      </c>
      <c r="O731" s="15" t="n"/>
      <c r="S731" s="16" t="n">
        <v>375</v>
      </c>
      <c r="U731" s="16" t="n">
        <v>375</v>
      </c>
      <c r="AC731" s="23">
        <f>IF(OR(E731="",E731="[PARENT]"),"ADD",IF(E731="[ALT_VIEW]","ALT",""))</f>
        <v/>
      </c>
      <c r="AD731" s="21">
        <f>IF(Y731&lt;&gt;"",Y731,IF(U731&lt;&gt;"",U731,S731))</f>
        <v/>
      </c>
      <c r="AE731" s="21">
        <f>IF(AB731&lt;&gt;"",AB731,Z731)</f>
        <v/>
      </c>
      <c r="AF731" s="13" t="inlineStr">
        <is>
          <t>P-35 &gt; CVN-81 &gt; AN/SRC-66(V)3 HFDAG &gt; System Engineering</t>
        </is>
      </c>
      <c r="AG731" s="7" t="inlineStr">
        <is>
          <t>135</t>
        </is>
      </c>
      <c r="AH731" s="7" t="inlineStr">
        <is>
          <t>2004</t>
        </is>
      </c>
    </row>
    <row r="732" ht="10" customHeight="1">
      <c r="A732" s="7" t="inlineStr">
        <is>
          <t>SCN</t>
        </is>
      </c>
      <c r="B732" s="7" t="inlineStr">
        <is>
          <t>Procurement</t>
        </is>
      </c>
      <c r="D732" s="7" t="inlineStr">
        <is>
          <t>CVN-81 - P-35 AN/SRC-66(V)3 HFDAG - Technical Engineering Services</t>
        </is>
      </c>
      <c r="E732" s="13" t="inlineStr">
        <is>
          <t>[ALT_VIEW]</t>
        </is>
      </c>
      <c r="F732" s="7" t="inlineStr">
        <is>
          <t>2004 / CVN-81</t>
        </is>
      </c>
      <c r="G732" s="7" t="inlineStr">
        <is>
          <t>P-35</t>
        </is>
      </c>
      <c r="I732" s="14" t="n">
        <v>1</v>
      </c>
      <c r="J732" s="7" t="inlineStr">
        <is>
          <t>Full ship DD&amp;C</t>
        </is>
      </c>
      <c r="K732" s="13" t="inlineStr">
        <is>
          <t>USN</t>
        </is>
      </c>
      <c r="L732" s="7" t="inlineStr">
        <is>
          <t>Combatant Ships</t>
        </is>
      </c>
      <c r="M732" s="7" t="inlineStr">
        <is>
          <t>Aircraft Carriers</t>
        </is>
      </c>
      <c r="N732" s="7" t="inlineStr">
        <is>
          <t>CVN</t>
        </is>
      </c>
      <c r="O732" s="15" t="n"/>
      <c r="S732" s="16" t="n">
        <v>439</v>
      </c>
      <c r="U732" s="16" t="n">
        <v>439</v>
      </c>
      <c r="AC732" s="23">
        <f>IF(OR(E732="",E732="[PARENT]"),"ADD",IF(E732="[ALT_VIEW]","ALT",""))</f>
        <v/>
      </c>
      <c r="AD732" s="21">
        <f>IF(Y732&lt;&gt;"",Y732,IF(U732&lt;&gt;"",U732,S732))</f>
        <v/>
      </c>
      <c r="AE732" s="21">
        <f>IF(AB732&lt;&gt;"",AB732,Z732)</f>
        <v/>
      </c>
      <c r="AF732" s="13" t="inlineStr">
        <is>
          <t>P-35 &gt; CVN-81 &gt; AN/SRC-66(V)3 HFDAG &gt; Technical Engineering Services</t>
        </is>
      </c>
      <c r="AG732" s="7" t="inlineStr">
        <is>
          <t>135</t>
        </is>
      </c>
      <c r="AH732" s="7" t="inlineStr">
        <is>
          <t>2004</t>
        </is>
      </c>
    </row>
    <row r="733" ht="10" customHeight="1">
      <c r="A733" s="7" t="inlineStr">
        <is>
          <t>SCN</t>
        </is>
      </c>
      <c r="B733" s="7" t="inlineStr">
        <is>
          <t>Procurement</t>
        </is>
      </c>
      <c r="D733" s="7" t="inlineStr">
        <is>
          <t>CVN-81 - P-35 AN/SRC-66(V)3 HFDAG - Other Costs</t>
        </is>
      </c>
      <c r="E733" s="13" t="inlineStr">
        <is>
          <t>[ALT_VIEW]</t>
        </is>
      </c>
      <c r="F733" s="7" t="inlineStr">
        <is>
          <t>2004 / CVN-81</t>
        </is>
      </c>
      <c r="G733" s="7" t="inlineStr">
        <is>
          <t>P-35</t>
        </is>
      </c>
      <c r="I733" s="14" t="n">
        <v>1</v>
      </c>
      <c r="J733" s="7" t="inlineStr">
        <is>
          <t>Full ship DD&amp;C</t>
        </is>
      </c>
      <c r="K733" s="13" t="inlineStr">
        <is>
          <t>USN</t>
        </is>
      </c>
      <c r="L733" s="7" t="inlineStr">
        <is>
          <t>Combatant Ships</t>
        </is>
      </c>
      <c r="M733" s="7" t="inlineStr">
        <is>
          <t>Aircraft Carriers</t>
        </is>
      </c>
      <c r="N733" s="7" t="inlineStr">
        <is>
          <t>CVN</t>
        </is>
      </c>
      <c r="O733" s="15" t="n"/>
      <c r="S733" s="16" t="n">
        <v>228</v>
      </c>
      <c r="U733" s="16" t="n">
        <v>228</v>
      </c>
      <c r="AC733" s="23">
        <f>IF(OR(E733="",E733="[PARENT]"),"ADD",IF(E733="[ALT_VIEW]","ALT",""))</f>
        <v/>
      </c>
      <c r="AD733" s="21">
        <f>IF(Y733&lt;&gt;"",Y733,IF(U733&lt;&gt;"",U733,S733))</f>
        <v/>
      </c>
      <c r="AE733" s="21">
        <f>IF(AB733&lt;&gt;"",AB733,Z733)</f>
        <v/>
      </c>
      <c r="AF733" s="13" t="inlineStr">
        <is>
          <t>P-35 &gt; CVN-81 &gt; AN/SRC-66(V)3 HFDAG &gt; Other Costs</t>
        </is>
      </c>
      <c r="AG733" s="7" t="inlineStr">
        <is>
          <t>135</t>
        </is>
      </c>
      <c r="AH733" s="7" t="inlineStr">
        <is>
          <t>2004</t>
        </is>
      </c>
    </row>
    <row r="734" ht="10" customHeight="1">
      <c r="A734" s="7" t="inlineStr">
        <is>
          <t>SCN</t>
        </is>
      </c>
      <c r="B734" s="7" t="inlineStr">
        <is>
          <t>Procurement</t>
        </is>
      </c>
      <c r="D734" s="7" t="inlineStr">
        <is>
          <t>CVN-81 - P-35 AN/USN-3(V)1 SATELLITE SIGNAL LANDING SYSTEM (SSLS) - Major Hardware                                                                                                                                                    1</t>
        </is>
      </c>
      <c r="E734" s="13" t="inlineStr">
        <is>
          <t>[ALT_VIEW]</t>
        </is>
      </c>
      <c r="F734" s="7" t="inlineStr">
        <is>
          <t>2004 / CVN-81</t>
        </is>
      </c>
      <c r="G734" s="7" t="inlineStr">
        <is>
          <t>P-35</t>
        </is>
      </c>
      <c r="I734" s="14" t="n">
        <v>1</v>
      </c>
      <c r="J734" s="7" t="inlineStr">
        <is>
          <t>Full ship DD&amp;C</t>
        </is>
      </c>
      <c r="K734" s="13" t="inlineStr">
        <is>
          <t>USN</t>
        </is>
      </c>
      <c r="L734" s="7" t="inlineStr">
        <is>
          <t>Combatant Ships</t>
        </is>
      </c>
      <c r="M734" s="7" t="inlineStr">
        <is>
          <t>Aircraft Carriers</t>
        </is>
      </c>
      <c r="N734" s="7" t="inlineStr">
        <is>
          <t>CVN</t>
        </is>
      </c>
      <c r="O734" s="15" t="n"/>
      <c r="S734" s="16" t="n">
        <v>9661</v>
      </c>
      <c r="U734" s="16" t="n">
        <v>9661</v>
      </c>
      <c r="AC734" s="23">
        <f>IF(OR(E734="",E734="[PARENT]"),"ADD",IF(E734="[ALT_VIEW]","ALT",""))</f>
        <v/>
      </c>
      <c r="AD734" s="21">
        <f>IF(Y734&lt;&gt;"",Y734,IF(U734&lt;&gt;"",U734,S734))</f>
        <v/>
      </c>
      <c r="AE734" s="21">
        <f>IF(AB734&lt;&gt;"",AB734,Z734)</f>
        <v/>
      </c>
      <c r="AF734" s="13" t="inlineStr">
        <is>
          <t>P-35 &gt; CVN-81 &gt; AN/USN-3(V)1 SATELLITE SIGNAL LANDING SYSTEM (SSLS) &gt; Major Hardware                                                                                                                                                    1</t>
        </is>
      </c>
      <c r="AG734" s="7" t="inlineStr">
        <is>
          <t>136</t>
        </is>
      </c>
      <c r="AH734" s="7" t="inlineStr">
        <is>
          <t>2004</t>
        </is>
      </c>
    </row>
    <row r="735" ht="10" customHeight="1">
      <c r="A735" s="7" t="inlineStr">
        <is>
          <t>SCN</t>
        </is>
      </c>
      <c r="B735" s="7" t="inlineStr">
        <is>
          <t>Procurement</t>
        </is>
      </c>
      <c r="D735" s="7" t="inlineStr">
        <is>
          <t>CVN-81 - P-35 AN/USN-3(V)1 SATELLITE SIGNAL LANDING SYSTEM (SSLS) - Spares</t>
        </is>
      </c>
      <c r="E735" s="13" t="inlineStr">
        <is>
          <t>[ALT_VIEW]</t>
        </is>
      </c>
      <c r="F735" s="7" t="inlineStr">
        <is>
          <t>2004 / CVN-81</t>
        </is>
      </c>
      <c r="G735" s="7" t="inlineStr">
        <is>
          <t>P-35</t>
        </is>
      </c>
      <c r="I735" s="14" t="n">
        <v>1</v>
      </c>
      <c r="J735" s="7" t="inlineStr">
        <is>
          <t>Full ship DD&amp;C</t>
        </is>
      </c>
      <c r="K735" s="13" t="inlineStr">
        <is>
          <t>USN</t>
        </is>
      </c>
      <c r="L735" s="7" t="inlineStr">
        <is>
          <t>Combatant Ships</t>
        </is>
      </c>
      <c r="M735" s="7" t="inlineStr">
        <is>
          <t>Aircraft Carriers</t>
        </is>
      </c>
      <c r="N735" s="7" t="inlineStr">
        <is>
          <t>CVN</t>
        </is>
      </c>
      <c r="O735" s="15" t="n"/>
      <c r="S735" s="16" t="n">
        <v>76</v>
      </c>
      <c r="U735" s="16" t="n">
        <v>76</v>
      </c>
      <c r="AC735" s="23">
        <f>IF(OR(E735="",E735="[PARENT]"),"ADD",IF(E735="[ALT_VIEW]","ALT",""))</f>
        <v/>
      </c>
      <c r="AD735" s="21">
        <f>IF(Y735&lt;&gt;"",Y735,IF(U735&lt;&gt;"",U735,S735))</f>
        <v/>
      </c>
      <c r="AE735" s="21">
        <f>IF(AB735&lt;&gt;"",AB735,Z735)</f>
        <v/>
      </c>
      <c r="AF735" s="13" t="inlineStr">
        <is>
          <t>P-35 &gt; CVN-81 &gt; AN/USN-3(V)1 SATELLITE SIGNAL LANDING SYSTEM (SSLS) &gt; Spares</t>
        </is>
      </c>
      <c r="AG735" s="7" t="inlineStr">
        <is>
          <t>136</t>
        </is>
      </c>
      <c r="AH735" s="7" t="inlineStr">
        <is>
          <t>2004</t>
        </is>
      </c>
      <c r="AJ735" s="7" t="inlineStr">
        <is>
          <t>AN/USN-3(V)1 SATELLITE SIGNAL LANDING SYSTEM (SSLS) [CVN 81]</t>
        </is>
      </c>
    </row>
    <row r="736" ht="10" customHeight="1">
      <c r="A736" s="7" t="inlineStr">
        <is>
          <t>SCN</t>
        </is>
      </c>
      <c r="B736" s="7" t="inlineStr">
        <is>
          <t>Procurement</t>
        </is>
      </c>
      <c r="D736" s="7" t="inlineStr">
        <is>
          <t>CVN-81 - P-35 AN/USN-3(V)1 SATELLITE SIGNAL LANDING SYSTEM (SSLS) - System Engineering</t>
        </is>
      </c>
      <c r="E736" s="13" t="inlineStr">
        <is>
          <t>[ALT_VIEW]</t>
        </is>
      </c>
      <c r="F736" s="7" t="inlineStr">
        <is>
          <t>2004 / CVN-81</t>
        </is>
      </c>
      <c r="G736" s="7" t="inlineStr">
        <is>
          <t>P-35</t>
        </is>
      </c>
      <c r="I736" s="14" t="n">
        <v>1</v>
      </c>
      <c r="J736" s="7" t="inlineStr">
        <is>
          <t>Full ship DD&amp;C</t>
        </is>
      </c>
      <c r="K736" s="13" t="inlineStr">
        <is>
          <t>USN</t>
        </is>
      </c>
      <c r="L736" s="7" t="inlineStr">
        <is>
          <t>Combatant Ships</t>
        </is>
      </c>
      <c r="M736" s="7" t="inlineStr">
        <is>
          <t>Aircraft Carriers</t>
        </is>
      </c>
      <c r="N736" s="7" t="inlineStr">
        <is>
          <t>CVN</t>
        </is>
      </c>
      <c r="O736" s="15" t="n"/>
      <c r="S736" s="16" t="n">
        <v>802</v>
      </c>
      <c r="U736" s="16" t="n">
        <v>802</v>
      </c>
      <c r="AC736" s="23">
        <f>IF(OR(E736="",E736="[PARENT]"),"ADD",IF(E736="[ALT_VIEW]","ALT",""))</f>
        <v/>
      </c>
      <c r="AD736" s="21">
        <f>IF(Y736&lt;&gt;"",Y736,IF(U736&lt;&gt;"",U736,S736))</f>
        <v/>
      </c>
      <c r="AE736" s="21">
        <f>IF(AB736&lt;&gt;"",AB736,Z736)</f>
        <v/>
      </c>
      <c r="AF736" s="13" t="inlineStr">
        <is>
          <t>P-35 &gt; CVN-81 &gt; AN/USN-3(V)1 SATELLITE SIGNAL LANDING SYSTEM (SSLS) &gt; System Engineering</t>
        </is>
      </c>
      <c r="AG736" s="7" t="inlineStr">
        <is>
          <t>136</t>
        </is>
      </c>
      <c r="AH736" s="7" t="inlineStr">
        <is>
          <t>2004</t>
        </is>
      </c>
    </row>
    <row r="737" ht="10" customHeight="1">
      <c r="A737" s="7" t="inlineStr">
        <is>
          <t>SCN</t>
        </is>
      </c>
      <c r="B737" s="7" t="inlineStr">
        <is>
          <t>Procurement</t>
        </is>
      </c>
      <c r="D737" s="7" t="inlineStr">
        <is>
          <t>CVN-81 - P-35 AN/USN-3(V)1 SATELLITE SIGNAL LANDING SYSTEM (SSLS) - Technical Engineering Services</t>
        </is>
      </c>
      <c r="E737" s="13" t="inlineStr">
        <is>
          <t>[ALT_VIEW]</t>
        </is>
      </c>
      <c r="F737" s="7" t="inlineStr">
        <is>
          <t>2004 / CVN-81</t>
        </is>
      </c>
      <c r="G737" s="7" t="inlineStr">
        <is>
          <t>P-35</t>
        </is>
      </c>
      <c r="I737" s="14" t="n">
        <v>1</v>
      </c>
      <c r="J737" s="7" t="inlineStr">
        <is>
          <t>Full ship DD&amp;C</t>
        </is>
      </c>
      <c r="K737" s="13" t="inlineStr">
        <is>
          <t>USN</t>
        </is>
      </c>
      <c r="L737" s="7" t="inlineStr">
        <is>
          <t>Combatant Ships</t>
        </is>
      </c>
      <c r="M737" s="7" t="inlineStr">
        <is>
          <t>Aircraft Carriers</t>
        </is>
      </c>
      <c r="N737" s="7" t="inlineStr">
        <is>
          <t>CVN</t>
        </is>
      </c>
      <c r="O737" s="15" t="n"/>
      <c r="S737" s="16" t="n">
        <v>529</v>
      </c>
      <c r="U737" s="16" t="n">
        <v>529</v>
      </c>
      <c r="AC737" s="23">
        <f>IF(OR(E737="",E737="[PARENT]"),"ADD",IF(E737="[ALT_VIEW]","ALT",""))</f>
        <v/>
      </c>
      <c r="AD737" s="21">
        <f>IF(Y737&lt;&gt;"",Y737,IF(U737&lt;&gt;"",U737,S737))</f>
        <v/>
      </c>
      <c r="AE737" s="21">
        <f>IF(AB737&lt;&gt;"",AB737,Z737)</f>
        <v/>
      </c>
      <c r="AF737" s="13" t="inlineStr">
        <is>
          <t>P-35 &gt; CVN-81 &gt; AN/USN-3(V)1 SATELLITE SIGNAL LANDING SYSTEM (SSLS) &gt; Technical Engineering Services</t>
        </is>
      </c>
      <c r="AG737" s="7" t="inlineStr">
        <is>
          <t>136</t>
        </is>
      </c>
      <c r="AH737" s="7" t="inlineStr">
        <is>
          <t>2004</t>
        </is>
      </c>
    </row>
    <row r="738" ht="10" customHeight="1">
      <c r="A738" s="7" t="inlineStr">
        <is>
          <t>SCN</t>
        </is>
      </c>
      <c r="B738" s="7" t="inlineStr">
        <is>
          <t>Procurement</t>
        </is>
      </c>
      <c r="D738" s="7" t="inlineStr">
        <is>
          <t>CVN-81 - P-35 AN/USN-3(V)1 SATELLITE SIGNAL LANDING SYSTEM (SSLS) - Other Costs</t>
        </is>
      </c>
      <c r="E738" s="13" t="inlineStr">
        <is>
          <t>[ALT_VIEW]</t>
        </is>
      </c>
      <c r="F738" s="7" t="inlineStr">
        <is>
          <t>2004 / CVN-81</t>
        </is>
      </c>
      <c r="G738" s="7" t="inlineStr">
        <is>
          <t>P-35</t>
        </is>
      </c>
      <c r="I738" s="14" t="n">
        <v>1</v>
      </c>
      <c r="J738" s="7" t="inlineStr">
        <is>
          <t>Full ship DD&amp;C</t>
        </is>
      </c>
      <c r="K738" s="13" t="inlineStr">
        <is>
          <t>USN</t>
        </is>
      </c>
      <c r="L738" s="7" t="inlineStr">
        <is>
          <t>Combatant Ships</t>
        </is>
      </c>
      <c r="M738" s="7" t="inlineStr">
        <is>
          <t>Aircraft Carriers</t>
        </is>
      </c>
      <c r="N738" s="7" t="inlineStr">
        <is>
          <t>CVN</t>
        </is>
      </c>
      <c r="O738" s="15" t="n"/>
      <c r="S738" s="16" t="n">
        <v>2414</v>
      </c>
      <c r="U738" s="16" t="n">
        <v>2414</v>
      </c>
      <c r="AC738" s="23">
        <f>IF(OR(E738="",E738="[PARENT]"),"ADD",IF(E738="[ALT_VIEW]","ALT",""))</f>
        <v/>
      </c>
      <c r="AD738" s="21">
        <f>IF(Y738&lt;&gt;"",Y738,IF(U738&lt;&gt;"",U738,S738))</f>
        <v/>
      </c>
      <c r="AE738" s="21">
        <f>IF(AB738&lt;&gt;"",AB738,Z738)</f>
        <v/>
      </c>
      <c r="AF738" s="13" t="inlineStr">
        <is>
          <t>P-35 &gt; CVN-81 &gt; AN/USN-3(V)1 SATELLITE SIGNAL LANDING SYSTEM (SSLS) &gt; Other Costs</t>
        </is>
      </c>
      <c r="AG738" s="7" t="inlineStr">
        <is>
          <t>136</t>
        </is>
      </c>
      <c r="AH738" s="7" t="inlineStr">
        <is>
          <t>2004</t>
        </is>
      </c>
    </row>
    <row r="739" ht="10" customHeight="1">
      <c r="A739" s="7" t="inlineStr">
        <is>
          <t>SCN</t>
        </is>
      </c>
      <c r="B739" s="7" t="inlineStr">
        <is>
          <t>Procurement</t>
        </is>
      </c>
      <c r="D739" s="7" t="inlineStr">
        <is>
          <t>CVN-81 - P-35 OA-9277 ULTRA HIGH FREQUENCY (UHF) MULTICOUPLER - Major Hardware                                                                                                                                             1</t>
        </is>
      </c>
      <c r="E739" s="13" t="inlineStr">
        <is>
          <t>[ALT_VIEW]</t>
        </is>
      </c>
      <c r="F739" s="7" t="inlineStr">
        <is>
          <t>2004 / CVN-81</t>
        </is>
      </c>
      <c r="G739" s="7" t="inlineStr">
        <is>
          <t>P-35</t>
        </is>
      </c>
      <c r="I739" s="14" t="n">
        <v>1</v>
      </c>
      <c r="J739" s="7" t="inlineStr">
        <is>
          <t>Full ship DD&amp;C</t>
        </is>
      </c>
      <c r="K739" s="13" t="inlineStr">
        <is>
          <t>USN</t>
        </is>
      </c>
      <c r="L739" s="7" t="inlineStr">
        <is>
          <t>Combatant Ships</t>
        </is>
      </c>
      <c r="M739" s="7" t="inlineStr">
        <is>
          <t>Aircraft Carriers</t>
        </is>
      </c>
      <c r="N739" s="7" t="inlineStr">
        <is>
          <t>CVN</t>
        </is>
      </c>
      <c r="O739" s="15" t="n"/>
      <c r="S739" s="16" t="n">
        <v>7970</v>
      </c>
      <c r="U739" s="16" t="n">
        <v>7970</v>
      </c>
      <c r="AC739" s="23">
        <f>IF(OR(E739="",E739="[PARENT]"),"ADD",IF(E739="[ALT_VIEW]","ALT",""))</f>
        <v/>
      </c>
      <c r="AD739" s="21">
        <f>IF(Y739&lt;&gt;"",Y739,IF(U739&lt;&gt;"",U739,S739))</f>
        <v/>
      </c>
      <c r="AE739" s="21">
        <f>IF(AB739&lt;&gt;"",AB739,Z739)</f>
        <v/>
      </c>
      <c r="AF739" s="13" t="inlineStr">
        <is>
          <t>P-35 &gt; CVN-81 &gt; OA-9277 ULTRA HIGH FREQUENCY (UHF) MULTICOUPLER &gt; Major Hardware                                                                                                                                             1</t>
        </is>
      </c>
      <c r="AG739" s="7" t="inlineStr">
        <is>
          <t>137</t>
        </is>
      </c>
      <c r="AH739" s="7" t="inlineStr">
        <is>
          <t>2004</t>
        </is>
      </c>
    </row>
    <row r="740" ht="10" customHeight="1">
      <c r="A740" s="7" t="inlineStr">
        <is>
          <t>SCN</t>
        </is>
      </c>
      <c r="B740" s="7" t="inlineStr">
        <is>
          <t>Procurement</t>
        </is>
      </c>
      <c r="D740" s="7" t="inlineStr">
        <is>
          <t>CVN-81 - P-35 OA-9277 ULTRA HIGH FREQUENCY (UHF) MULTICOUPLER - System Engineering</t>
        </is>
      </c>
      <c r="E740" s="13" t="inlineStr">
        <is>
          <t>[ALT_VIEW]</t>
        </is>
      </c>
      <c r="F740" s="7" t="inlineStr">
        <is>
          <t>2004 / CVN-81</t>
        </is>
      </c>
      <c r="G740" s="7" t="inlineStr">
        <is>
          <t>P-35</t>
        </is>
      </c>
      <c r="I740" s="14" t="n">
        <v>1</v>
      </c>
      <c r="J740" s="7" t="inlineStr">
        <is>
          <t>Full ship DD&amp;C</t>
        </is>
      </c>
      <c r="K740" s="13" t="inlineStr">
        <is>
          <t>USN</t>
        </is>
      </c>
      <c r="L740" s="7" t="inlineStr">
        <is>
          <t>Combatant Ships</t>
        </is>
      </c>
      <c r="M740" s="7" t="inlineStr">
        <is>
          <t>Aircraft Carriers</t>
        </is>
      </c>
      <c r="N740" s="7" t="inlineStr">
        <is>
          <t>CVN</t>
        </is>
      </c>
      <c r="O740" s="15" t="n"/>
      <c r="S740" s="16" t="n">
        <v>68</v>
      </c>
      <c r="U740" s="16" t="n">
        <v>68</v>
      </c>
      <c r="AC740" s="23">
        <f>IF(OR(E740="",E740="[PARENT]"),"ADD",IF(E740="[ALT_VIEW]","ALT",""))</f>
        <v/>
      </c>
      <c r="AD740" s="21">
        <f>IF(Y740&lt;&gt;"",Y740,IF(U740&lt;&gt;"",U740,S740))</f>
        <v/>
      </c>
      <c r="AE740" s="21">
        <f>IF(AB740&lt;&gt;"",AB740,Z740)</f>
        <v/>
      </c>
      <c r="AF740" s="13" t="inlineStr">
        <is>
          <t>P-35 &gt; CVN-81 &gt; OA-9277 ULTRA HIGH FREQUENCY (UHF) MULTICOUPLER &gt; System Engineering</t>
        </is>
      </c>
      <c r="AG740" s="7" t="inlineStr">
        <is>
          <t>137</t>
        </is>
      </c>
      <c r="AH740" s="7" t="inlineStr">
        <is>
          <t>2004</t>
        </is>
      </c>
    </row>
    <row r="741" ht="10" customHeight="1">
      <c r="A741" s="7" t="inlineStr">
        <is>
          <t>SCN</t>
        </is>
      </c>
      <c r="B741" s="7" t="inlineStr">
        <is>
          <t>Procurement</t>
        </is>
      </c>
      <c r="D741" s="7" t="inlineStr">
        <is>
          <t>CVN-81 - P-35 OA-9277 ULTRA HIGH FREQUENCY (UHF) MULTICOUPLER - Technical Engineering Services</t>
        </is>
      </c>
      <c r="E741" s="13" t="inlineStr">
        <is>
          <t>[ALT_VIEW]</t>
        </is>
      </c>
      <c r="F741" s="7" t="inlineStr">
        <is>
          <t>2004 / CVN-81</t>
        </is>
      </c>
      <c r="G741" s="7" t="inlineStr">
        <is>
          <t>P-35</t>
        </is>
      </c>
      <c r="I741" s="14" t="n">
        <v>1</v>
      </c>
      <c r="J741" s="7" t="inlineStr">
        <is>
          <t>Full ship DD&amp;C</t>
        </is>
      </c>
      <c r="K741" s="13" t="inlineStr">
        <is>
          <t>USN</t>
        </is>
      </c>
      <c r="L741" s="7" t="inlineStr">
        <is>
          <t>Combatant Ships</t>
        </is>
      </c>
      <c r="M741" s="7" t="inlineStr">
        <is>
          <t>Aircraft Carriers</t>
        </is>
      </c>
      <c r="N741" s="7" t="inlineStr">
        <is>
          <t>CVN</t>
        </is>
      </c>
      <c r="O741" s="15" t="n"/>
      <c r="S741" s="16" t="n">
        <v>69</v>
      </c>
      <c r="U741" s="16" t="n">
        <v>69</v>
      </c>
      <c r="AC741" s="23">
        <f>IF(OR(E741="",E741="[PARENT]"),"ADD",IF(E741="[ALT_VIEW]","ALT",""))</f>
        <v/>
      </c>
      <c r="AD741" s="21">
        <f>IF(Y741&lt;&gt;"",Y741,IF(U741&lt;&gt;"",U741,S741))</f>
        <v/>
      </c>
      <c r="AE741" s="21">
        <f>IF(AB741&lt;&gt;"",AB741,Z741)</f>
        <v/>
      </c>
      <c r="AF741" s="13" t="inlineStr">
        <is>
          <t>P-35 &gt; CVN-81 &gt; OA-9277 ULTRA HIGH FREQUENCY (UHF) MULTICOUPLER &gt; Technical Engineering Services</t>
        </is>
      </c>
      <c r="AG741" s="7" t="inlineStr">
        <is>
          <t>137</t>
        </is>
      </c>
      <c r="AH741" s="7" t="inlineStr">
        <is>
          <t>2004</t>
        </is>
      </c>
    </row>
    <row r="742" ht="10" customHeight="1">
      <c r="A742" s="7" t="inlineStr">
        <is>
          <t>SCN</t>
        </is>
      </c>
      <c r="B742" s="7" t="inlineStr">
        <is>
          <t>Procurement</t>
        </is>
      </c>
      <c r="D742" s="7" t="inlineStr">
        <is>
          <t>CVN-81 - P-35 OA-9277 ULTRA HIGH FREQUENCY (UHF) MULTICOUPLER - Other Costs</t>
        </is>
      </c>
      <c r="E742" s="13" t="inlineStr">
        <is>
          <t>[ALT_VIEW]</t>
        </is>
      </c>
      <c r="F742" s="7" t="inlineStr">
        <is>
          <t>2004 / CVN-81</t>
        </is>
      </c>
      <c r="G742" s="7" t="inlineStr">
        <is>
          <t>P-35</t>
        </is>
      </c>
      <c r="I742" s="14" t="n">
        <v>1</v>
      </c>
      <c r="J742" s="7" t="inlineStr">
        <is>
          <t>Full ship DD&amp;C</t>
        </is>
      </c>
      <c r="K742" s="13" t="inlineStr">
        <is>
          <t>USN</t>
        </is>
      </c>
      <c r="L742" s="7" t="inlineStr">
        <is>
          <t>Combatant Ships</t>
        </is>
      </c>
      <c r="M742" s="7" t="inlineStr">
        <is>
          <t>Aircraft Carriers</t>
        </is>
      </c>
      <c r="N742" s="7" t="inlineStr">
        <is>
          <t>CVN</t>
        </is>
      </c>
      <c r="O742" s="15" t="n"/>
      <c r="S742" s="16" t="n">
        <v>125</v>
      </c>
      <c r="U742" s="16" t="n">
        <v>125</v>
      </c>
      <c r="AC742" s="23">
        <f>IF(OR(E742="",E742="[PARENT]"),"ADD",IF(E742="[ALT_VIEW]","ALT",""))</f>
        <v/>
      </c>
      <c r="AD742" s="21">
        <f>IF(Y742&lt;&gt;"",Y742,IF(U742&lt;&gt;"",U742,S742))</f>
        <v/>
      </c>
      <c r="AE742" s="21">
        <f>IF(AB742&lt;&gt;"",AB742,Z742)</f>
        <v/>
      </c>
      <c r="AF742" s="13" t="inlineStr">
        <is>
          <t>P-35 &gt; CVN-81 &gt; OA-9277 ULTRA HIGH FREQUENCY (UHF) MULTICOUPLER &gt; Other Costs</t>
        </is>
      </c>
      <c r="AG742" s="7" t="inlineStr">
        <is>
          <t>137</t>
        </is>
      </c>
      <c r="AH742" s="7" t="inlineStr">
        <is>
          <t>2004</t>
        </is>
      </c>
    </row>
    <row r="743" ht="10" customHeight="1">
      <c r="A743" s="7" t="inlineStr">
        <is>
          <t>SCN</t>
        </is>
      </c>
      <c r="B743" s="7" t="inlineStr">
        <is>
          <t>Procurement</t>
        </is>
      </c>
      <c r="D743" s="7" t="inlineStr">
        <is>
          <t>CVN-81 - P-35 AN/WSN-12(V)1, RING LASER GYRO NAVIGATOR (RLGN) - Major Hardware                                                                                                                                              1</t>
        </is>
      </c>
      <c r="E743" s="13" t="inlineStr">
        <is>
          <t>[ALT_VIEW]</t>
        </is>
      </c>
      <c r="F743" s="7" t="inlineStr">
        <is>
          <t>2004 / CVN-81</t>
        </is>
      </c>
      <c r="G743" s="7" t="inlineStr">
        <is>
          <t>P-35</t>
        </is>
      </c>
      <c r="I743" s="14" t="n">
        <v>1</v>
      </c>
      <c r="J743" s="7" t="inlineStr">
        <is>
          <t>Full ship DD&amp;C</t>
        </is>
      </c>
      <c r="K743" s="13" t="inlineStr">
        <is>
          <t>USN</t>
        </is>
      </c>
      <c r="L743" s="7" t="inlineStr">
        <is>
          <t>Combatant Ships</t>
        </is>
      </c>
      <c r="M743" s="7" t="inlineStr">
        <is>
          <t>Aircraft Carriers</t>
        </is>
      </c>
      <c r="N743" s="7" t="inlineStr">
        <is>
          <t>CVN</t>
        </is>
      </c>
      <c r="O743" s="15" t="n"/>
      <c r="S743" s="16" t="n">
        <v>5846</v>
      </c>
      <c r="U743" s="16" t="n">
        <v>5846</v>
      </c>
      <c r="AC743" s="23">
        <f>IF(OR(E743="",E743="[PARENT]"),"ADD",IF(E743="[ALT_VIEW]","ALT",""))</f>
        <v/>
      </c>
      <c r="AD743" s="21">
        <f>IF(Y743&lt;&gt;"",Y743,IF(U743&lt;&gt;"",U743,S743))</f>
        <v/>
      </c>
      <c r="AE743" s="21">
        <f>IF(AB743&lt;&gt;"",AB743,Z743)</f>
        <v/>
      </c>
      <c r="AF743" s="13" t="inlineStr">
        <is>
          <t>P-35 &gt; CVN-81 &gt; AN/WSN-12(V)1, RING LASER GYRO NAVIGATOR (RLGN) &gt; Major Hardware                                                                                                                                              1</t>
        </is>
      </c>
      <c r="AG743" s="7" t="inlineStr">
        <is>
          <t>138</t>
        </is>
      </c>
      <c r="AH743" s="7" t="inlineStr">
        <is>
          <t>2004</t>
        </is>
      </c>
    </row>
    <row r="744" ht="10" customHeight="1">
      <c r="A744" s="7" t="inlineStr">
        <is>
          <t>SCN</t>
        </is>
      </c>
      <c r="B744" s="7" t="inlineStr">
        <is>
          <t>Procurement</t>
        </is>
      </c>
      <c r="D744" s="7" t="inlineStr">
        <is>
          <t>CVN-81 - P-35 AN/WSN-12(V)1, RING LASER GYRO NAVIGATOR (RLGN) - Spares</t>
        </is>
      </c>
      <c r="E744" s="13" t="inlineStr">
        <is>
          <t>[ALT_VIEW]</t>
        </is>
      </c>
      <c r="F744" s="7" t="inlineStr">
        <is>
          <t>2004 / CVN-81</t>
        </is>
      </c>
      <c r="G744" s="7" t="inlineStr">
        <is>
          <t>P-35</t>
        </is>
      </c>
      <c r="I744" s="14" t="n">
        <v>1</v>
      </c>
      <c r="J744" s="7" t="inlineStr">
        <is>
          <t>Full ship DD&amp;C</t>
        </is>
      </c>
      <c r="K744" s="13" t="inlineStr">
        <is>
          <t>USN</t>
        </is>
      </c>
      <c r="L744" s="7" t="inlineStr">
        <is>
          <t>Combatant Ships</t>
        </is>
      </c>
      <c r="M744" s="7" t="inlineStr">
        <is>
          <t>Aircraft Carriers</t>
        </is>
      </c>
      <c r="N744" s="7" t="inlineStr">
        <is>
          <t>CVN</t>
        </is>
      </c>
      <c r="O744" s="15" t="n"/>
      <c r="S744" s="16" t="n">
        <v>364</v>
      </c>
      <c r="U744" s="16" t="n">
        <v>364</v>
      </c>
      <c r="AC744" s="23">
        <f>IF(OR(E744="",E744="[PARENT]"),"ADD",IF(E744="[ALT_VIEW]","ALT",""))</f>
        <v/>
      </c>
      <c r="AD744" s="21">
        <f>IF(Y744&lt;&gt;"",Y744,IF(U744&lt;&gt;"",U744,S744))</f>
        <v/>
      </c>
      <c r="AE744" s="21">
        <f>IF(AB744&lt;&gt;"",AB744,Z744)</f>
        <v/>
      </c>
      <c r="AF744" s="13" t="inlineStr">
        <is>
          <t>P-35 &gt; CVN-81 &gt; AN/WSN-12(V)1, RING LASER GYRO NAVIGATOR (RLGN) &gt; Spares</t>
        </is>
      </c>
      <c r="AG744" s="7" t="inlineStr">
        <is>
          <t>138</t>
        </is>
      </c>
      <c r="AH744" s="7" t="inlineStr">
        <is>
          <t>2004</t>
        </is>
      </c>
      <c r="AJ744" s="7" t="inlineStr">
        <is>
          <t>AN/WSN-12(V)1, RING LASER GYRO NAVIGATOR (RLGN) [CVN 81]</t>
        </is>
      </c>
    </row>
    <row r="745" ht="10" customHeight="1">
      <c r="A745" s="7" t="inlineStr">
        <is>
          <t>SCN</t>
        </is>
      </c>
      <c r="B745" s="7" t="inlineStr">
        <is>
          <t>Procurement</t>
        </is>
      </c>
      <c r="D745" s="7" t="inlineStr">
        <is>
          <t>CVN-81 - P-35 AN/WSN-12(V)1, RING LASER GYRO NAVIGATOR (RLGN) - System Engineering</t>
        </is>
      </c>
      <c r="E745" s="13" t="inlineStr">
        <is>
          <t>[ALT_VIEW]</t>
        </is>
      </c>
      <c r="F745" s="7" t="inlineStr">
        <is>
          <t>2004 / CVN-81</t>
        </is>
      </c>
      <c r="G745" s="7" t="inlineStr">
        <is>
          <t>P-35</t>
        </is>
      </c>
      <c r="I745" s="14" t="n">
        <v>1</v>
      </c>
      <c r="J745" s="7" t="inlineStr">
        <is>
          <t>Full ship DD&amp;C</t>
        </is>
      </c>
      <c r="K745" s="13" t="inlineStr">
        <is>
          <t>USN</t>
        </is>
      </c>
      <c r="L745" s="7" t="inlineStr">
        <is>
          <t>Combatant Ships</t>
        </is>
      </c>
      <c r="M745" s="7" t="inlineStr">
        <is>
          <t>Aircraft Carriers</t>
        </is>
      </c>
      <c r="N745" s="7" t="inlineStr">
        <is>
          <t>CVN</t>
        </is>
      </c>
      <c r="O745" s="15" t="n"/>
      <c r="S745" s="16" t="n">
        <v>889</v>
      </c>
      <c r="U745" s="16" t="n">
        <v>889</v>
      </c>
      <c r="AC745" s="23">
        <f>IF(OR(E745="",E745="[PARENT]"),"ADD",IF(E745="[ALT_VIEW]","ALT",""))</f>
        <v/>
      </c>
      <c r="AD745" s="21">
        <f>IF(Y745&lt;&gt;"",Y745,IF(U745&lt;&gt;"",U745,S745))</f>
        <v/>
      </c>
      <c r="AE745" s="21">
        <f>IF(AB745&lt;&gt;"",AB745,Z745)</f>
        <v/>
      </c>
      <c r="AF745" s="13" t="inlineStr">
        <is>
          <t>P-35 &gt; CVN-81 &gt; AN/WSN-12(V)1, RING LASER GYRO NAVIGATOR (RLGN) &gt; System Engineering</t>
        </is>
      </c>
      <c r="AG745" s="7" t="inlineStr">
        <is>
          <t>138</t>
        </is>
      </c>
      <c r="AH745" s="7" t="inlineStr">
        <is>
          <t>2004</t>
        </is>
      </c>
    </row>
    <row r="746" ht="10" customHeight="1">
      <c r="A746" s="7" t="inlineStr">
        <is>
          <t>SCN</t>
        </is>
      </c>
      <c r="B746" s="7" t="inlineStr">
        <is>
          <t>Procurement</t>
        </is>
      </c>
      <c r="D746" s="7" t="inlineStr">
        <is>
          <t>CVN-81 - P-35 AN/WSN-12(V)1, RING LASER GYRO NAVIGATOR (RLGN) - Technical Engineering Services</t>
        </is>
      </c>
      <c r="E746" s="13" t="inlineStr">
        <is>
          <t>[ALT_VIEW]</t>
        </is>
      </c>
      <c r="F746" s="7" t="inlineStr">
        <is>
          <t>2004 / CVN-81</t>
        </is>
      </c>
      <c r="G746" s="7" t="inlineStr">
        <is>
          <t>P-35</t>
        </is>
      </c>
      <c r="I746" s="14" t="n">
        <v>1</v>
      </c>
      <c r="J746" s="7" t="inlineStr">
        <is>
          <t>Full ship DD&amp;C</t>
        </is>
      </c>
      <c r="K746" s="13" t="inlineStr">
        <is>
          <t>USN</t>
        </is>
      </c>
      <c r="L746" s="7" t="inlineStr">
        <is>
          <t>Combatant Ships</t>
        </is>
      </c>
      <c r="M746" s="7" t="inlineStr">
        <is>
          <t>Aircraft Carriers</t>
        </is>
      </c>
      <c r="N746" s="7" t="inlineStr">
        <is>
          <t>CVN</t>
        </is>
      </c>
      <c r="O746" s="15" t="n"/>
      <c r="S746" s="16" t="n">
        <v>233</v>
      </c>
      <c r="U746" s="16" t="n">
        <v>233</v>
      </c>
      <c r="AC746" s="23">
        <f>IF(OR(E746="",E746="[PARENT]"),"ADD",IF(E746="[ALT_VIEW]","ALT",""))</f>
        <v/>
      </c>
      <c r="AD746" s="21">
        <f>IF(Y746&lt;&gt;"",Y746,IF(U746&lt;&gt;"",U746,S746))</f>
        <v/>
      </c>
      <c r="AE746" s="21">
        <f>IF(AB746&lt;&gt;"",AB746,Z746)</f>
        <v/>
      </c>
      <c r="AF746" s="13" t="inlineStr">
        <is>
          <t>P-35 &gt; CVN-81 &gt; AN/WSN-12(V)1, RING LASER GYRO NAVIGATOR (RLGN) &gt; Technical Engineering Services</t>
        </is>
      </c>
      <c r="AG746" s="7" t="inlineStr">
        <is>
          <t>138</t>
        </is>
      </c>
      <c r="AH746" s="7" t="inlineStr">
        <is>
          <t>2004</t>
        </is>
      </c>
    </row>
    <row r="747" ht="10" customHeight="1">
      <c r="A747" s="7" t="inlineStr">
        <is>
          <t>SCN</t>
        </is>
      </c>
      <c r="B747" s="7" t="inlineStr">
        <is>
          <t>Procurement</t>
        </is>
      </c>
      <c r="D747" s="7" t="inlineStr">
        <is>
          <t>CVN-81 - P-35 AN/WSN-12(V)1, RING LASER GYRO NAVIGATOR (RLGN) - Other Costs</t>
        </is>
      </c>
      <c r="E747" s="13" t="inlineStr">
        <is>
          <t>[ALT_VIEW]</t>
        </is>
      </c>
      <c r="F747" s="7" t="inlineStr">
        <is>
          <t>2004 / CVN-81</t>
        </is>
      </c>
      <c r="G747" s="7" t="inlineStr">
        <is>
          <t>P-35</t>
        </is>
      </c>
      <c r="I747" s="14" t="n">
        <v>1</v>
      </c>
      <c r="J747" s="7" t="inlineStr">
        <is>
          <t>Full ship DD&amp;C</t>
        </is>
      </c>
      <c r="K747" s="13" t="inlineStr">
        <is>
          <t>USN</t>
        </is>
      </c>
      <c r="L747" s="7" t="inlineStr">
        <is>
          <t>Combatant Ships</t>
        </is>
      </c>
      <c r="M747" s="7" t="inlineStr">
        <is>
          <t>Aircraft Carriers</t>
        </is>
      </c>
      <c r="N747" s="7" t="inlineStr">
        <is>
          <t>CVN</t>
        </is>
      </c>
      <c r="O747" s="15" t="n"/>
      <c r="S747" s="16" t="n">
        <v>744</v>
      </c>
      <c r="U747" s="16" t="n">
        <v>744</v>
      </c>
      <c r="AC747" s="23">
        <f>IF(OR(E747="",E747="[PARENT]"),"ADD",IF(E747="[ALT_VIEW]","ALT",""))</f>
        <v/>
      </c>
      <c r="AD747" s="21">
        <f>IF(Y747&lt;&gt;"",Y747,IF(U747&lt;&gt;"",U747,S747))</f>
        <v/>
      </c>
      <c r="AE747" s="21">
        <f>IF(AB747&lt;&gt;"",AB747,Z747)</f>
        <v/>
      </c>
      <c r="AF747" s="13" t="inlineStr">
        <is>
          <t>P-35 &gt; CVN-81 &gt; AN/WSN-12(V)1, RING LASER GYRO NAVIGATOR (RLGN) &gt; Other Costs</t>
        </is>
      </c>
      <c r="AG747" s="7" t="inlineStr">
        <is>
          <t>138</t>
        </is>
      </c>
      <c r="AH747" s="7" t="inlineStr">
        <is>
          <t>2004</t>
        </is>
      </c>
    </row>
    <row r="748" ht="10" customHeight="1">
      <c r="A748" s="7" t="inlineStr">
        <is>
          <t>SCN</t>
        </is>
      </c>
      <c r="B748" s="7" t="inlineStr">
        <is>
          <t>Procurement</t>
        </is>
      </c>
      <c r="D748" s="7" t="inlineStr">
        <is>
          <t>CVN-81 - P-35 AN/USQ-214(V)1, NETWORK TACTICAL COMMON DATA LINK (NTCDL) SYSTEM - Major Hardware                                                                                                                                                    1</t>
        </is>
      </c>
      <c r="E748" s="13" t="inlineStr">
        <is>
          <t>[ALT_VIEW]</t>
        </is>
      </c>
      <c r="F748" s="7" t="inlineStr">
        <is>
          <t>2004 / CVN-81</t>
        </is>
      </c>
      <c r="G748" s="7" t="inlineStr">
        <is>
          <t>P-35</t>
        </is>
      </c>
      <c r="I748" s="14" t="n">
        <v>1</v>
      </c>
      <c r="J748" s="7" t="inlineStr">
        <is>
          <t>Full ship DD&amp;C</t>
        </is>
      </c>
      <c r="K748" s="13" t="inlineStr">
        <is>
          <t>USN</t>
        </is>
      </c>
      <c r="L748" s="7" t="inlineStr">
        <is>
          <t>Combatant Ships</t>
        </is>
      </c>
      <c r="M748" s="7" t="inlineStr">
        <is>
          <t>Aircraft Carriers</t>
        </is>
      </c>
      <c r="N748" s="7" t="inlineStr">
        <is>
          <t>CVN</t>
        </is>
      </c>
      <c r="O748" s="15" t="n"/>
      <c r="S748" s="16" t="n">
        <v>6416</v>
      </c>
      <c r="U748" s="16" t="n">
        <v>6416</v>
      </c>
      <c r="AC748" s="23">
        <f>IF(OR(E748="",E748="[PARENT]"),"ADD",IF(E748="[ALT_VIEW]","ALT",""))</f>
        <v/>
      </c>
      <c r="AD748" s="21">
        <f>IF(Y748&lt;&gt;"",Y748,IF(U748&lt;&gt;"",U748,S748))</f>
        <v/>
      </c>
      <c r="AE748" s="21">
        <f>IF(AB748&lt;&gt;"",AB748,Z748)</f>
        <v/>
      </c>
      <c r="AF748" s="13" t="inlineStr">
        <is>
          <t>P-35 &gt; CVN-81 &gt; AN/USQ-214(V)1, NETWORK TACTICAL COMMON DATA LINK (NTCDL) SYSTEM &gt; Major Hardware                                                                                                                                                    1</t>
        </is>
      </c>
      <c r="AG748" s="7" t="inlineStr">
        <is>
          <t>139</t>
        </is>
      </c>
      <c r="AH748" s="7" t="inlineStr">
        <is>
          <t>2004</t>
        </is>
      </c>
    </row>
    <row r="749" ht="10" customHeight="1">
      <c r="A749" s="7" t="inlineStr">
        <is>
          <t>SCN</t>
        </is>
      </c>
      <c r="B749" s="7" t="inlineStr">
        <is>
          <t>Procurement</t>
        </is>
      </c>
      <c r="D749" s="7" t="inlineStr">
        <is>
          <t>CVN-81 - P-35 AN/USQ-214(V)1, NETWORK TACTICAL COMMON DATA LINK (NTCDL) SYSTEM - Spares</t>
        </is>
      </c>
      <c r="E749" s="13" t="inlineStr">
        <is>
          <t>[ALT_VIEW]</t>
        </is>
      </c>
      <c r="F749" s="7" t="inlineStr">
        <is>
          <t>2004 / CVN-81</t>
        </is>
      </c>
      <c r="G749" s="7" t="inlineStr">
        <is>
          <t>P-35</t>
        </is>
      </c>
      <c r="I749" s="14" t="n">
        <v>1</v>
      </c>
      <c r="J749" s="7" t="inlineStr">
        <is>
          <t>Full ship DD&amp;C</t>
        </is>
      </c>
      <c r="K749" s="13" t="inlineStr">
        <is>
          <t>USN</t>
        </is>
      </c>
      <c r="L749" s="7" t="inlineStr">
        <is>
          <t>Combatant Ships</t>
        </is>
      </c>
      <c r="M749" s="7" t="inlineStr">
        <is>
          <t>Aircraft Carriers</t>
        </is>
      </c>
      <c r="N749" s="7" t="inlineStr">
        <is>
          <t>CVN</t>
        </is>
      </c>
      <c r="O749" s="15" t="n"/>
      <c r="S749" s="16" t="n">
        <v>858</v>
      </c>
      <c r="U749" s="16" t="n">
        <v>858</v>
      </c>
      <c r="AC749" s="23">
        <f>IF(OR(E749="",E749="[PARENT]"),"ADD",IF(E749="[ALT_VIEW]","ALT",""))</f>
        <v/>
      </c>
      <c r="AD749" s="21">
        <f>IF(Y749&lt;&gt;"",Y749,IF(U749&lt;&gt;"",U749,S749))</f>
        <v/>
      </c>
      <c r="AE749" s="21">
        <f>IF(AB749&lt;&gt;"",AB749,Z749)</f>
        <v/>
      </c>
      <c r="AF749" s="13" t="inlineStr">
        <is>
          <t>P-35 &gt; CVN-81 &gt; AN/USQ-214(V)1, NETWORK TACTICAL COMMON DATA LINK (NTCDL) SYSTEM &gt; Spares</t>
        </is>
      </c>
      <c r="AG749" s="7" t="inlineStr">
        <is>
          <t>139</t>
        </is>
      </c>
      <c r="AH749" s="7" t="inlineStr">
        <is>
          <t>2004</t>
        </is>
      </c>
      <c r="AJ749" s="7" t="inlineStr">
        <is>
          <t>AN/USQ-214(V)1, NETWORK TACTICAL COMMON DATA LINK (NTCDL) SYSTEM [CVN 81]</t>
        </is>
      </c>
    </row>
    <row r="750" ht="10" customHeight="1">
      <c r="A750" s="7" t="inlineStr">
        <is>
          <t>SCN</t>
        </is>
      </c>
      <c r="B750" s="7" t="inlineStr">
        <is>
          <t>Procurement</t>
        </is>
      </c>
      <c r="D750" s="7" t="inlineStr">
        <is>
          <t>CVN-81 - P-35 AN/USQ-214(V)1, NETWORK TACTICAL COMMON DATA LINK (NTCDL) SYSTEM - System Engineering</t>
        </is>
      </c>
      <c r="E750" s="13" t="inlineStr">
        <is>
          <t>[ALT_VIEW]</t>
        </is>
      </c>
      <c r="F750" s="7" t="inlineStr">
        <is>
          <t>2004 / CVN-81</t>
        </is>
      </c>
      <c r="G750" s="7" t="inlineStr">
        <is>
          <t>P-35</t>
        </is>
      </c>
      <c r="I750" s="14" t="n">
        <v>1</v>
      </c>
      <c r="J750" s="7" t="inlineStr">
        <is>
          <t>Full ship DD&amp;C</t>
        </is>
      </c>
      <c r="K750" s="13" t="inlineStr">
        <is>
          <t>USN</t>
        </is>
      </c>
      <c r="L750" s="7" t="inlineStr">
        <is>
          <t>Combatant Ships</t>
        </is>
      </c>
      <c r="M750" s="7" t="inlineStr">
        <is>
          <t>Aircraft Carriers</t>
        </is>
      </c>
      <c r="N750" s="7" t="inlineStr">
        <is>
          <t>CVN</t>
        </is>
      </c>
      <c r="O750" s="15" t="n"/>
      <c r="S750" s="16" t="n">
        <v>250</v>
      </c>
      <c r="U750" s="16" t="n">
        <v>250</v>
      </c>
      <c r="AC750" s="23">
        <f>IF(OR(E750="",E750="[PARENT]"),"ADD",IF(E750="[ALT_VIEW]","ALT",""))</f>
        <v/>
      </c>
      <c r="AD750" s="21">
        <f>IF(Y750&lt;&gt;"",Y750,IF(U750&lt;&gt;"",U750,S750))</f>
        <v/>
      </c>
      <c r="AE750" s="21">
        <f>IF(AB750&lt;&gt;"",AB750,Z750)</f>
        <v/>
      </c>
      <c r="AF750" s="13" t="inlineStr">
        <is>
          <t>P-35 &gt; CVN-81 &gt; AN/USQ-214(V)1, NETWORK TACTICAL COMMON DATA LINK (NTCDL) SYSTEM &gt; System Engineering</t>
        </is>
      </c>
      <c r="AG750" s="7" t="inlineStr">
        <is>
          <t>139</t>
        </is>
      </c>
      <c r="AH750" s="7" t="inlineStr">
        <is>
          <t>2004</t>
        </is>
      </c>
    </row>
    <row r="751" ht="10" customHeight="1">
      <c r="A751" s="7" t="inlineStr">
        <is>
          <t>SCN</t>
        </is>
      </c>
      <c r="B751" s="7" t="inlineStr">
        <is>
          <t>Procurement</t>
        </is>
      </c>
      <c r="D751" s="7" t="inlineStr">
        <is>
          <t>CVN-81 - P-35 AN/USQ-214(V)1, NETWORK TACTICAL COMMON DATA LINK (NTCDL) SYSTEM - Technical Engineering Services</t>
        </is>
      </c>
      <c r="E751" s="13" t="inlineStr">
        <is>
          <t>[ALT_VIEW]</t>
        </is>
      </c>
      <c r="F751" s="7" t="inlineStr">
        <is>
          <t>2004 / CVN-81</t>
        </is>
      </c>
      <c r="G751" s="7" t="inlineStr">
        <is>
          <t>P-35</t>
        </is>
      </c>
      <c r="I751" s="14" t="n">
        <v>1</v>
      </c>
      <c r="J751" s="7" t="inlineStr">
        <is>
          <t>Full ship DD&amp;C</t>
        </is>
      </c>
      <c r="K751" s="13" t="inlineStr">
        <is>
          <t>USN</t>
        </is>
      </c>
      <c r="L751" s="7" t="inlineStr">
        <is>
          <t>Combatant Ships</t>
        </is>
      </c>
      <c r="M751" s="7" t="inlineStr">
        <is>
          <t>Aircraft Carriers</t>
        </is>
      </c>
      <c r="N751" s="7" t="inlineStr">
        <is>
          <t>CVN</t>
        </is>
      </c>
      <c r="O751" s="15" t="n"/>
      <c r="S751" s="16" t="n">
        <v>259</v>
      </c>
      <c r="U751" s="16" t="n">
        <v>259</v>
      </c>
      <c r="AC751" s="23">
        <f>IF(OR(E751="",E751="[PARENT]"),"ADD",IF(E751="[ALT_VIEW]","ALT",""))</f>
        <v/>
      </c>
      <c r="AD751" s="21">
        <f>IF(Y751&lt;&gt;"",Y751,IF(U751&lt;&gt;"",U751,S751))</f>
        <v/>
      </c>
      <c r="AE751" s="21">
        <f>IF(AB751&lt;&gt;"",AB751,Z751)</f>
        <v/>
      </c>
      <c r="AF751" s="13" t="inlineStr">
        <is>
          <t>P-35 &gt; CVN-81 &gt; AN/USQ-214(V)1, NETWORK TACTICAL COMMON DATA LINK (NTCDL) SYSTEM &gt; Technical Engineering Services</t>
        </is>
      </c>
      <c r="AG751" s="7" t="inlineStr">
        <is>
          <t>139</t>
        </is>
      </c>
      <c r="AH751" s="7" t="inlineStr">
        <is>
          <t>2004</t>
        </is>
      </c>
    </row>
    <row r="752" ht="10" customHeight="1">
      <c r="A752" s="7" t="inlineStr">
        <is>
          <t>SCN</t>
        </is>
      </c>
      <c r="B752" s="7" t="inlineStr">
        <is>
          <t>Procurement</t>
        </is>
      </c>
      <c r="D752" s="7" t="inlineStr">
        <is>
          <t>CVN-81 - P-35 AN/USQ-214(V)1, NETWORK TACTICAL COMMON DATA LINK (NTCDL) SYSTEM - Other Costs</t>
        </is>
      </c>
      <c r="E752" s="13" t="inlineStr">
        <is>
          <t>[ALT_VIEW]</t>
        </is>
      </c>
      <c r="F752" s="7" t="inlineStr">
        <is>
          <t>2004 / CVN-81</t>
        </is>
      </c>
      <c r="G752" s="7" t="inlineStr">
        <is>
          <t>P-35</t>
        </is>
      </c>
      <c r="I752" s="14" t="n">
        <v>1</v>
      </c>
      <c r="J752" s="7" t="inlineStr">
        <is>
          <t>Full ship DD&amp;C</t>
        </is>
      </c>
      <c r="K752" s="13" t="inlineStr">
        <is>
          <t>USN</t>
        </is>
      </c>
      <c r="L752" s="7" t="inlineStr">
        <is>
          <t>Combatant Ships</t>
        </is>
      </c>
      <c r="M752" s="7" t="inlineStr">
        <is>
          <t>Aircraft Carriers</t>
        </is>
      </c>
      <c r="N752" s="7" t="inlineStr">
        <is>
          <t>CVN</t>
        </is>
      </c>
      <c r="O752" s="15" t="n"/>
      <c r="S752" s="16" t="n">
        <v>643</v>
      </c>
      <c r="U752" s="16" t="n">
        <v>643</v>
      </c>
      <c r="AC752" s="23">
        <f>IF(OR(E752="",E752="[PARENT]"),"ADD",IF(E752="[ALT_VIEW]","ALT",""))</f>
        <v/>
      </c>
      <c r="AD752" s="21">
        <f>IF(Y752&lt;&gt;"",Y752,IF(U752&lt;&gt;"",U752,S752))</f>
        <v/>
      </c>
      <c r="AE752" s="21">
        <f>IF(AB752&lt;&gt;"",AB752,Z752)</f>
        <v/>
      </c>
      <c r="AF752" s="13" t="inlineStr">
        <is>
          <t>P-35 &gt; CVN-81 &gt; AN/USQ-214(V)1, NETWORK TACTICAL COMMON DATA LINK (NTCDL) SYSTEM &gt; Other Costs</t>
        </is>
      </c>
      <c r="AG752" s="7" t="inlineStr">
        <is>
          <t>139</t>
        </is>
      </c>
      <c r="AH752" s="7" t="inlineStr">
        <is>
          <t>2004</t>
        </is>
      </c>
    </row>
    <row r="753" ht="10" customHeight="1">
      <c r="A753" s="7" t="inlineStr">
        <is>
          <t>SCN</t>
        </is>
      </c>
      <c r="B753" s="7" t="inlineStr">
        <is>
          <t>Procurement</t>
        </is>
      </c>
      <c r="D753" s="7" t="inlineStr">
        <is>
          <t>CVN-81 - P-35 MK 53 MOD 15 DECOY LAUNCHING SYSTEM (DLS) - Major Hardware                                                                                                                                                   1</t>
        </is>
      </c>
      <c r="E753" s="13" t="inlineStr">
        <is>
          <t>[ALT_VIEW]</t>
        </is>
      </c>
      <c r="F753" s="7" t="inlineStr">
        <is>
          <t>2004 / CVN-81</t>
        </is>
      </c>
      <c r="G753" s="7" t="inlineStr">
        <is>
          <t>P-35</t>
        </is>
      </c>
      <c r="I753" s="14" t="n">
        <v>1</v>
      </c>
      <c r="J753" s="7" t="inlineStr">
        <is>
          <t>Full ship DD&amp;C</t>
        </is>
      </c>
      <c r="K753" s="13" t="inlineStr">
        <is>
          <t>USN</t>
        </is>
      </c>
      <c r="L753" s="7" t="inlineStr">
        <is>
          <t>Combatant Ships</t>
        </is>
      </c>
      <c r="M753" s="7" t="inlineStr">
        <is>
          <t>Aircraft Carriers</t>
        </is>
      </c>
      <c r="N753" s="7" t="inlineStr">
        <is>
          <t>CVN</t>
        </is>
      </c>
      <c r="O753" s="15" t="n"/>
      <c r="S753" s="16" t="n">
        <v>3785</v>
      </c>
      <c r="U753" s="16" t="n">
        <v>3785</v>
      </c>
      <c r="AC753" s="23">
        <f>IF(OR(E753="",E753="[PARENT]"),"ADD",IF(E753="[ALT_VIEW]","ALT",""))</f>
        <v/>
      </c>
      <c r="AD753" s="21">
        <f>IF(Y753&lt;&gt;"",Y753,IF(U753&lt;&gt;"",U753,S753))</f>
        <v/>
      </c>
      <c r="AE753" s="21">
        <f>IF(AB753&lt;&gt;"",AB753,Z753)</f>
        <v/>
      </c>
      <c r="AF753" s="13" t="inlineStr">
        <is>
          <t>P-35 &gt; CVN-81 &gt; MK 53 MOD 15 DECOY LAUNCHING SYSTEM (DLS) &gt; Major Hardware                                                                                                                                                   1</t>
        </is>
      </c>
      <c r="AG753" s="7" t="inlineStr">
        <is>
          <t>140</t>
        </is>
      </c>
      <c r="AH753" s="7" t="inlineStr">
        <is>
          <t>2004</t>
        </is>
      </c>
    </row>
    <row r="754" ht="10" customHeight="1">
      <c r="A754" s="7" t="inlineStr">
        <is>
          <t>SCN</t>
        </is>
      </c>
      <c r="B754" s="7" t="inlineStr">
        <is>
          <t>Procurement</t>
        </is>
      </c>
      <c r="D754" s="7" t="inlineStr">
        <is>
          <t>CVN-81 - P-35 MK 53 MOD 15 DECOY LAUNCHING SYSTEM (DLS) - Technical Data and Documentation</t>
        </is>
      </c>
      <c r="E754" s="13" t="inlineStr">
        <is>
          <t>[ALT_VIEW]</t>
        </is>
      </c>
      <c r="F754" s="7" t="inlineStr">
        <is>
          <t>2004 / CVN-81</t>
        </is>
      </c>
      <c r="G754" s="7" t="inlineStr">
        <is>
          <t>P-35</t>
        </is>
      </c>
      <c r="I754" s="14" t="n">
        <v>1</v>
      </c>
      <c r="J754" s="7" t="inlineStr">
        <is>
          <t>Full ship DD&amp;C</t>
        </is>
      </c>
      <c r="K754" s="13" t="inlineStr">
        <is>
          <t>USN</t>
        </is>
      </c>
      <c r="L754" s="7" t="inlineStr">
        <is>
          <t>Combatant Ships</t>
        </is>
      </c>
      <c r="M754" s="7" t="inlineStr">
        <is>
          <t>Aircraft Carriers</t>
        </is>
      </c>
      <c r="N754" s="7" t="inlineStr">
        <is>
          <t>CVN</t>
        </is>
      </c>
      <c r="O754" s="15" t="n"/>
      <c r="S754" s="16" t="n">
        <v>79</v>
      </c>
      <c r="U754" s="16" t="n">
        <v>79</v>
      </c>
      <c r="AC754" s="23">
        <f>IF(OR(E754="",E754="[PARENT]"),"ADD",IF(E754="[ALT_VIEW]","ALT",""))</f>
        <v/>
      </c>
      <c r="AD754" s="21">
        <f>IF(Y754&lt;&gt;"",Y754,IF(U754&lt;&gt;"",U754,S754))</f>
        <v/>
      </c>
      <c r="AE754" s="21">
        <f>IF(AB754&lt;&gt;"",AB754,Z754)</f>
        <v/>
      </c>
      <c r="AF754" s="13" t="inlineStr">
        <is>
          <t>P-35 &gt; CVN-81 &gt; MK 53 MOD 15 DECOY LAUNCHING SYSTEM (DLS) &gt; Technical Data and Documentation</t>
        </is>
      </c>
      <c r="AG754" s="7" t="inlineStr">
        <is>
          <t>140</t>
        </is>
      </c>
      <c r="AH754" s="7" t="inlineStr">
        <is>
          <t>2004</t>
        </is>
      </c>
    </row>
    <row r="755" ht="10" customHeight="1">
      <c r="A755" s="7" t="inlineStr">
        <is>
          <t>SCN</t>
        </is>
      </c>
      <c r="B755" s="7" t="inlineStr">
        <is>
          <t>Procurement</t>
        </is>
      </c>
      <c r="D755" s="7" t="inlineStr">
        <is>
          <t>CVN-81 - P-35 MK 53 MOD 15 DECOY LAUNCHING SYSTEM (DLS) - Spares</t>
        </is>
      </c>
      <c r="E755" s="13" t="inlineStr">
        <is>
          <t>[ALT_VIEW]</t>
        </is>
      </c>
      <c r="F755" s="7" t="inlineStr">
        <is>
          <t>2004 / CVN-81</t>
        </is>
      </c>
      <c r="G755" s="7" t="inlineStr">
        <is>
          <t>P-35</t>
        </is>
      </c>
      <c r="I755" s="14" t="n">
        <v>1</v>
      </c>
      <c r="J755" s="7" t="inlineStr">
        <is>
          <t>Full ship DD&amp;C</t>
        </is>
      </c>
      <c r="K755" s="13" t="inlineStr">
        <is>
          <t>USN</t>
        </is>
      </c>
      <c r="L755" s="7" t="inlineStr">
        <is>
          <t>Combatant Ships</t>
        </is>
      </c>
      <c r="M755" s="7" t="inlineStr">
        <is>
          <t>Aircraft Carriers</t>
        </is>
      </c>
      <c r="N755" s="7" t="inlineStr">
        <is>
          <t>CVN</t>
        </is>
      </c>
      <c r="O755" s="15" t="n"/>
      <c r="S755" s="16" t="n">
        <v>82</v>
      </c>
      <c r="U755" s="16" t="n">
        <v>82</v>
      </c>
      <c r="AC755" s="23">
        <f>IF(OR(E755="",E755="[PARENT]"),"ADD",IF(E755="[ALT_VIEW]","ALT",""))</f>
        <v/>
      </c>
      <c r="AD755" s="21">
        <f>IF(Y755&lt;&gt;"",Y755,IF(U755&lt;&gt;"",U755,S755))</f>
        <v/>
      </c>
      <c r="AE755" s="21">
        <f>IF(AB755&lt;&gt;"",AB755,Z755)</f>
        <v/>
      </c>
      <c r="AF755" s="13" t="inlineStr">
        <is>
          <t>P-35 &gt; CVN-81 &gt; MK 53 MOD 15 DECOY LAUNCHING SYSTEM (DLS) &gt; Spares</t>
        </is>
      </c>
      <c r="AG755" s="7" t="inlineStr">
        <is>
          <t>140</t>
        </is>
      </c>
      <c r="AH755" s="7" t="inlineStr">
        <is>
          <t>2004</t>
        </is>
      </c>
      <c r="AJ755" s="7" t="inlineStr">
        <is>
          <t>MK 53 MOD 15 DECOY LAUNCHING SYSTEM (DLS) [CVN 81]</t>
        </is>
      </c>
    </row>
    <row r="756" ht="10" customHeight="1">
      <c r="A756" s="7" t="inlineStr">
        <is>
          <t>SCN</t>
        </is>
      </c>
      <c r="B756" s="7" t="inlineStr">
        <is>
          <t>Procurement</t>
        </is>
      </c>
      <c r="D756" s="7" t="inlineStr">
        <is>
          <t>CVN-81 - P-35 MK 53 MOD 15 DECOY LAUNCHING SYSTEM (DLS) - System Engineering</t>
        </is>
      </c>
      <c r="E756" s="13" t="inlineStr">
        <is>
          <t>[ALT_VIEW]</t>
        </is>
      </c>
      <c r="F756" s="7" t="inlineStr">
        <is>
          <t>2004 / CVN-81</t>
        </is>
      </c>
      <c r="G756" s="7" t="inlineStr">
        <is>
          <t>P-35</t>
        </is>
      </c>
      <c r="I756" s="14" t="n">
        <v>1</v>
      </c>
      <c r="J756" s="7" t="inlineStr">
        <is>
          <t>Full ship DD&amp;C</t>
        </is>
      </c>
      <c r="K756" s="13" t="inlineStr">
        <is>
          <t>USN</t>
        </is>
      </c>
      <c r="L756" s="7" t="inlineStr">
        <is>
          <t>Combatant Ships</t>
        </is>
      </c>
      <c r="M756" s="7" t="inlineStr">
        <is>
          <t>Aircraft Carriers</t>
        </is>
      </c>
      <c r="N756" s="7" t="inlineStr">
        <is>
          <t>CVN</t>
        </is>
      </c>
      <c r="O756" s="15" t="n"/>
      <c r="S756" s="16" t="n">
        <v>655</v>
      </c>
      <c r="U756" s="16" t="n">
        <v>655</v>
      </c>
      <c r="AC756" s="23">
        <f>IF(OR(E756="",E756="[PARENT]"),"ADD",IF(E756="[ALT_VIEW]","ALT",""))</f>
        <v/>
      </c>
      <c r="AD756" s="21">
        <f>IF(Y756&lt;&gt;"",Y756,IF(U756&lt;&gt;"",U756,S756))</f>
        <v/>
      </c>
      <c r="AE756" s="21">
        <f>IF(AB756&lt;&gt;"",AB756,Z756)</f>
        <v/>
      </c>
      <c r="AF756" s="13" t="inlineStr">
        <is>
          <t>P-35 &gt; CVN-81 &gt; MK 53 MOD 15 DECOY LAUNCHING SYSTEM (DLS) &gt; System Engineering</t>
        </is>
      </c>
      <c r="AG756" s="7" t="inlineStr">
        <is>
          <t>140</t>
        </is>
      </c>
      <c r="AH756" s="7" t="inlineStr">
        <is>
          <t>2004</t>
        </is>
      </c>
    </row>
    <row r="757" ht="10" customHeight="1">
      <c r="A757" s="7" t="inlineStr">
        <is>
          <t>SCN</t>
        </is>
      </c>
      <c r="B757" s="7" t="inlineStr">
        <is>
          <t>Procurement</t>
        </is>
      </c>
      <c r="D757" s="7" t="inlineStr">
        <is>
          <t>CVN-81 - P-35 MK 53 MOD 15 DECOY LAUNCHING SYSTEM (DLS) - Technical Engineering Services</t>
        </is>
      </c>
      <c r="E757" s="13" t="inlineStr">
        <is>
          <t>[ALT_VIEW]</t>
        </is>
      </c>
      <c r="F757" s="7" t="inlineStr">
        <is>
          <t>2004 / CVN-81</t>
        </is>
      </c>
      <c r="G757" s="7" t="inlineStr">
        <is>
          <t>P-35</t>
        </is>
      </c>
      <c r="I757" s="14" t="n">
        <v>1</v>
      </c>
      <c r="J757" s="7" t="inlineStr">
        <is>
          <t>Full ship DD&amp;C</t>
        </is>
      </c>
      <c r="K757" s="13" t="inlineStr">
        <is>
          <t>USN</t>
        </is>
      </c>
      <c r="L757" s="7" t="inlineStr">
        <is>
          <t>Combatant Ships</t>
        </is>
      </c>
      <c r="M757" s="7" t="inlineStr">
        <is>
          <t>Aircraft Carriers</t>
        </is>
      </c>
      <c r="N757" s="7" t="inlineStr">
        <is>
          <t>CVN</t>
        </is>
      </c>
      <c r="O757" s="15" t="n"/>
      <c r="S757" s="16" t="n">
        <v>3491</v>
      </c>
      <c r="U757" s="16" t="n">
        <v>3491</v>
      </c>
      <c r="AC757" s="23">
        <f>IF(OR(E757="",E757="[PARENT]"),"ADD",IF(E757="[ALT_VIEW]","ALT",""))</f>
        <v/>
      </c>
      <c r="AD757" s="21">
        <f>IF(Y757&lt;&gt;"",Y757,IF(U757&lt;&gt;"",U757,S757))</f>
        <v/>
      </c>
      <c r="AE757" s="21">
        <f>IF(AB757&lt;&gt;"",AB757,Z757)</f>
        <v/>
      </c>
      <c r="AF757" s="13" t="inlineStr">
        <is>
          <t>P-35 &gt; CVN-81 &gt; MK 53 MOD 15 DECOY LAUNCHING SYSTEM (DLS) &gt; Technical Engineering Services</t>
        </is>
      </c>
      <c r="AG757" s="7" t="inlineStr">
        <is>
          <t>140</t>
        </is>
      </c>
      <c r="AH757" s="7" t="inlineStr">
        <is>
          <t>2004</t>
        </is>
      </c>
    </row>
    <row r="758" ht="10" customHeight="1">
      <c r="A758" s="7" t="inlineStr">
        <is>
          <t>SCN</t>
        </is>
      </c>
      <c r="B758" s="7" t="inlineStr">
        <is>
          <t>Procurement</t>
        </is>
      </c>
      <c r="D758" s="7" t="inlineStr">
        <is>
          <t>CVN-81 - P-35 MK 53 MOD 15 DECOY LAUNCHING SYSTEM (DLS) - Other Costs</t>
        </is>
      </c>
      <c r="E758" s="13" t="inlineStr">
        <is>
          <t>[ALT_VIEW]</t>
        </is>
      </c>
      <c r="F758" s="7" t="inlineStr">
        <is>
          <t>2004 / CVN-81</t>
        </is>
      </c>
      <c r="G758" s="7" t="inlineStr">
        <is>
          <t>P-35</t>
        </is>
      </c>
      <c r="I758" s="14" t="n">
        <v>1</v>
      </c>
      <c r="J758" s="7" t="inlineStr">
        <is>
          <t>Full ship DD&amp;C</t>
        </is>
      </c>
      <c r="K758" s="13" t="inlineStr">
        <is>
          <t>USN</t>
        </is>
      </c>
      <c r="L758" s="7" t="inlineStr">
        <is>
          <t>Combatant Ships</t>
        </is>
      </c>
      <c r="M758" s="7" t="inlineStr">
        <is>
          <t>Aircraft Carriers</t>
        </is>
      </c>
      <c r="N758" s="7" t="inlineStr">
        <is>
          <t>CVN</t>
        </is>
      </c>
      <c r="O758" s="15" t="n"/>
      <c r="S758" s="16" t="n">
        <v>11908</v>
      </c>
      <c r="U758" s="16" t="n">
        <v>11908</v>
      </c>
      <c r="AC758" s="23">
        <f>IF(OR(E758="",E758="[PARENT]"),"ADD",IF(E758="[ALT_VIEW]","ALT",""))</f>
        <v/>
      </c>
      <c r="AD758" s="21">
        <f>IF(Y758&lt;&gt;"",Y758,IF(U758&lt;&gt;"",U758,S758))</f>
        <v/>
      </c>
      <c r="AE758" s="21">
        <f>IF(AB758&lt;&gt;"",AB758,Z758)</f>
        <v/>
      </c>
      <c r="AF758" s="13" t="inlineStr">
        <is>
          <t>P-35 &gt; CVN-81 &gt; MK 53 MOD 15 DECOY LAUNCHING SYSTEM (DLS) &gt; Other Costs</t>
        </is>
      </c>
      <c r="AG758" s="7" t="inlineStr">
        <is>
          <t>140</t>
        </is>
      </c>
      <c r="AH758" s="7" t="inlineStr">
        <is>
          <t>2004</t>
        </is>
      </c>
    </row>
    <row r="759" ht="10" customHeight="1">
      <c r="A759" s="7" t="inlineStr">
        <is>
          <t>SCN</t>
        </is>
      </c>
      <c r="B759" s="7" t="inlineStr">
        <is>
          <t>Procurement</t>
        </is>
      </c>
      <c r="D759" s="7" t="inlineStr">
        <is>
          <t>CVN-81 - P-35 I-STALKER - Major Hardware                                                                                                                                                       1</t>
        </is>
      </c>
      <c r="E759" s="13" t="inlineStr">
        <is>
          <t>[ALT_VIEW]</t>
        </is>
      </c>
      <c r="F759" s="7" t="inlineStr">
        <is>
          <t>2004 / CVN-81</t>
        </is>
      </c>
      <c r="G759" s="7" t="inlineStr">
        <is>
          <t>P-35</t>
        </is>
      </c>
      <c r="I759" s="14" t="n">
        <v>1</v>
      </c>
      <c r="J759" s="7" t="inlineStr">
        <is>
          <t>Full ship DD&amp;C</t>
        </is>
      </c>
      <c r="K759" s="13" t="inlineStr">
        <is>
          <t>USN</t>
        </is>
      </c>
      <c r="L759" s="7" t="inlineStr">
        <is>
          <t>Combatant Ships</t>
        </is>
      </c>
      <c r="M759" s="7" t="inlineStr">
        <is>
          <t>Aircraft Carriers</t>
        </is>
      </c>
      <c r="N759" s="7" t="inlineStr">
        <is>
          <t>CVN</t>
        </is>
      </c>
      <c r="O759" s="15" t="n"/>
      <c r="S759" s="16" t="n">
        <v>4199</v>
      </c>
      <c r="U759" s="16" t="n">
        <v>4199</v>
      </c>
      <c r="AC759" s="23">
        <f>IF(OR(E759="",E759="[PARENT]"),"ADD",IF(E759="[ALT_VIEW]","ALT",""))</f>
        <v/>
      </c>
      <c r="AD759" s="21">
        <f>IF(Y759&lt;&gt;"",Y759,IF(U759&lt;&gt;"",U759,S759))</f>
        <v/>
      </c>
      <c r="AE759" s="21">
        <f>IF(AB759&lt;&gt;"",AB759,Z759)</f>
        <v/>
      </c>
      <c r="AF759" s="13" t="inlineStr">
        <is>
          <t>P-35 &gt; CVN-81 &gt; I-STALKER &gt; Major Hardware                                                                                                                                                       1</t>
        </is>
      </c>
      <c r="AG759" s="7" t="inlineStr">
        <is>
          <t>141</t>
        </is>
      </c>
      <c r="AH759" s="7" t="inlineStr">
        <is>
          <t>2004</t>
        </is>
      </c>
    </row>
    <row r="760" ht="10" customHeight="1">
      <c r="A760" s="7" t="inlineStr">
        <is>
          <t>SCN</t>
        </is>
      </c>
      <c r="B760" s="7" t="inlineStr">
        <is>
          <t>Procurement</t>
        </is>
      </c>
      <c r="D760" s="7" t="inlineStr">
        <is>
          <t>CVN-81 - P-35 I-STALKER - Ancillary Equipment</t>
        </is>
      </c>
      <c r="E760" s="13" t="inlineStr">
        <is>
          <t>[ALT_VIEW]</t>
        </is>
      </c>
      <c r="F760" s="7" t="inlineStr">
        <is>
          <t>2004 / CVN-81</t>
        </is>
      </c>
      <c r="G760" s="7" t="inlineStr">
        <is>
          <t>P-35</t>
        </is>
      </c>
      <c r="I760" s="14" t="n">
        <v>1</v>
      </c>
      <c r="J760" s="7" t="inlineStr">
        <is>
          <t>Full ship DD&amp;C</t>
        </is>
      </c>
      <c r="K760" s="13" t="inlineStr">
        <is>
          <t>USN</t>
        </is>
      </c>
      <c r="L760" s="7" t="inlineStr">
        <is>
          <t>Combatant Ships</t>
        </is>
      </c>
      <c r="M760" s="7" t="inlineStr">
        <is>
          <t>Aircraft Carriers</t>
        </is>
      </c>
      <c r="N760" s="7" t="inlineStr">
        <is>
          <t>CVN</t>
        </is>
      </c>
      <c r="O760" s="15" t="n"/>
      <c r="S760" s="16" t="n">
        <v>52</v>
      </c>
      <c r="U760" s="16" t="n">
        <v>52</v>
      </c>
      <c r="AC760" s="23">
        <f>IF(OR(E760="",E760="[PARENT]"),"ADD",IF(E760="[ALT_VIEW]","ALT",""))</f>
        <v/>
      </c>
      <c r="AD760" s="21">
        <f>IF(Y760&lt;&gt;"",Y760,IF(U760&lt;&gt;"",U760,S760))</f>
        <v/>
      </c>
      <c r="AE760" s="21">
        <f>IF(AB760&lt;&gt;"",AB760,Z760)</f>
        <v/>
      </c>
      <c r="AF760" s="13" t="inlineStr">
        <is>
          <t>P-35 &gt; CVN-81 &gt; I-STALKER &gt; Ancillary Equipment</t>
        </is>
      </c>
      <c r="AG760" s="7" t="inlineStr">
        <is>
          <t>141</t>
        </is>
      </c>
      <c r="AH760" s="7" t="inlineStr">
        <is>
          <t>2004</t>
        </is>
      </c>
    </row>
    <row r="761" ht="10" customHeight="1">
      <c r="A761" s="7" t="inlineStr">
        <is>
          <t>SCN</t>
        </is>
      </c>
      <c r="B761" s="7" t="inlineStr">
        <is>
          <t>Procurement</t>
        </is>
      </c>
      <c r="D761" s="7" t="inlineStr">
        <is>
          <t>CVN-81 - P-35 I-STALKER - Spares</t>
        </is>
      </c>
      <c r="E761" s="13" t="inlineStr">
        <is>
          <t>[ALT_VIEW]</t>
        </is>
      </c>
      <c r="F761" s="7" t="inlineStr">
        <is>
          <t>2004 / CVN-81</t>
        </is>
      </c>
      <c r="G761" s="7" t="inlineStr">
        <is>
          <t>P-35</t>
        </is>
      </c>
      <c r="I761" s="14" t="n">
        <v>1</v>
      </c>
      <c r="J761" s="7" t="inlineStr">
        <is>
          <t>Full ship DD&amp;C</t>
        </is>
      </c>
      <c r="K761" s="13" t="inlineStr">
        <is>
          <t>USN</t>
        </is>
      </c>
      <c r="L761" s="7" t="inlineStr">
        <is>
          <t>Combatant Ships</t>
        </is>
      </c>
      <c r="M761" s="7" t="inlineStr">
        <is>
          <t>Aircraft Carriers</t>
        </is>
      </c>
      <c r="N761" s="7" t="inlineStr">
        <is>
          <t>CVN</t>
        </is>
      </c>
      <c r="O761" s="15" t="n"/>
      <c r="S761" s="16" t="n">
        <v>149</v>
      </c>
      <c r="U761" s="16" t="n">
        <v>149</v>
      </c>
      <c r="AC761" s="23">
        <f>IF(OR(E761="",E761="[PARENT]"),"ADD",IF(E761="[ALT_VIEW]","ALT",""))</f>
        <v/>
      </c>
      <c r="AD761" s="21">
        <f>IF(Y761&lt;&gt;"",Y761,IF(U761&lt;&gt;"",U761,S761))</f>
        <v/>
      </c>
      <c r="AE761" s="21">
        <f>IF(AB761&lt;&gt;"",AB761,Z761)</f>
        <v/>
      </c>
      <c r="AF761" s="13" t="inlineStr">
        <is>
          <t>P-35 &gt; CVN-81 &gt; I-STALKER &gt; Spares</t>
        </is>
      </c>
      <c r="AG761" s="7" t="inlineStr">
        <is>
          <t>141</t>
        </is>
      </c>
      <c r="AH761" s="7" t="inlineStr">
        <is>
          <t>2004</t>
        </is>
      </c>
    </row>
    <row r="762" ht="10" customHeight="1">
      <c r="A762" s="7" t="inlineStr">
        <is>
          <t>SCN</t>
        </is>
      </c>
      <c r="B762" s="7" t="inlineStr">
        <is>
          <t>Procurement</t>
        </is>
      </c>
      <c r="D762" s="7" t="inlineStr">
        <is>
          <t>CVN-81 - P-35 I-STALKER - System Engineering</t>
        </is>
      </c>
      <c r="E762" s="13" t="inlineStr">
        <is>
          <t>[ALT_VIEW]</t>
        </is>
      </c>
      <c r="F762" s="7" t="inlineStr">
        <is>
          <t>2004 / CVN-81</t>
        </is>
      </c>
      <c r="G762" s="7" t="inlineStr">
        <is>
          <t>P-35</t>
        </is>
      </c>
      <c r="I762" s="14" t="n">
        <v>1</v>
      </c>
      <c r="J762" s="7" t="inlineStr">
        <is>
          <t>Full ship DD&amp;C</t>
        </is>
      </c>
      <c r="K762" s="13" t="inlineStr">
        <is>
          <t>USN</t>
        </is>
      </c>
      <c r="L762" s="7" t="inlineStr">
        <is>
          <t>Combatant Ships</t>
        </is>
      </c>
      <c r="M762" s="7" t="inlineStr">
        <is>
          <t>Aircraft Carriers</t>
        </is>
      </c>
      <c r="N762" s="7" t="inlineStr">
        <is>
          <t>CVN</t>
        </is>
      </c>
      <c r="O762" s="15" t="n"/>
      <c r="S762" s="16" t="n">
        <v>496</v>
      </c>
      <c r="U762" s="16" t="n">
        <v>496</v>
      </c>
      <c r="AC762" s="23">
        <f>IF(OR(E762="",E762="[PARENT]"),"ADD",IF(E762="[ALT_VIEW]","ALT",""))</f>
        <v/>
      </c>
      <c r="AD762" s="21">
        <f>IF(Y762&lt;&gt;"",Y762,IF(U762&lt;&gt;"",U762,S762))</f>
        <v/>
      </c>
      <c r="AE762" s="21">
        <f>IF(AB762&lt;&gt;"",AB762,Z762)</f>
        <v/>
      </c>
      <c r="AF762" s="13" t="inlineStr">
        <is>
          <t>P-35 &gt; CVN-81 &gt; I-STALKER &gt; System Engineering</t>
        </is>
      </c>
      <c r="AG762" s="7" t="inlineStr">
        <is>
          <t>141</t>
        </is>
      </c>
      <c r="AH762" s="7" t="inlineStr">
        <is>
          <t>2004</t>
        </is>
      </c>
    </row>
    <row r="763" ht="10" customHeight="1">
      <c r="A763" s="7" t="inlineStr">
        <is>
          <t>SCN</t>
        </is>
      </c>
      <c r="B763" s="7" t="inlineStr">
        <is>
          <t>Procurement</t>
        </is>
      </c>
      <c r="D763" s="7" t="inlineStr">
        <is>
          <t>CVN-81 - P-35 I-STALKER - Technical Engineering Services</t>
        </is>
      </c>
      <c r="E763" s="13" t="inlineStr">
        <is>
          <t>[ALT_VIEW]</t>
        </is>
      </c>
      <c r="F763" s="7" t="inlineStr">
        <is>
          <t>2004 / CVN-81</t>
        </is>
      </c>
      <c r="G763" s="7" t="inlineStr">
        <is>
          <t>P-35</t>
        </is>
      </c>
      <c r="I763" s="14" t="n">
        <v>1</v>
      </c>
      <c r="J763" s="7" t="inlineStr">
        <is>
          <t>Full ship DD&amp;C</t>
        </is>
      </c>
      <c r="K763" s="13" t="inlineStr">
        <is>
          <t>USN</t>
        </is>
      </c>
      <c r="L763" s="7" t="inlineStr">
        <is>
          <t>Combatant Ships</t>
        </is>
      </c>
      <c r="M763" s="7" t="inlineStr">
        <is>
          <t>Aircraft Carriers</t>
        </is>
      </c>
      <c r="N763" s="7" t="inlineStr">
        <is>
          <t>CVN</t>
        </is>
      </c>
      <c r="O763" s="15" t="n"/>
      <c r="S763" s="16" t="n">
        <v>1769</v>
      </c>
      <c r="U763" s="16" t="n">
        <v>1769</v>
      </c>
      <c r="AC763" s="23">
        <f>IF(OR(E763="",E763="[PARENT]"),"ADD",IF(E763="[ALT_VIEW]","ALT",""))</f>
        <v/>
      </c>
      <c r="AD763" s="21">
        <f>IF(Y763&lt;&gt;"",Y763,IF(U763&lt;&gt;"",U763,S763))</f>
        <v/>
      </c>
      <c r="AE763" s="21">
        <f>IF(AB763&lt;&gt;"",AB763,Z763)</f>
        <v/>
      </c>
      <c r="AF763" s="13" t="inlineStr">
        <is>
          <t>P-35 &gt; CVN-81 &gt; I-STALKER &gt; Technical Engineering Services</t>
        </is>
      </c>
      <c r="AG763" s="7" t="inlineStr">
        <is>
          <t>141</t>
        </is>
      </c>
      <c r="AH763" s="7" t="inlineStr">
        <is>
          <t>2004</t>
        </is>
      </c>
    </row>
    <row r="764" ht="10" customHeight="1">
      <c r="A764" s="7" t="inlineStr">
        <is>
          <t>SCN</t>
        </is>
      </c>
      <c r="B764" s="7" t="inlineStr">
        <is>
          <t>Procurement</t>
        </is>
      </c>
      <c r="D764" s="7" t="inlineStr">
        <is>
          <t>CVN-81 - P-35 I-STALKER - Other Costs</t>
        </is>
      </c>
      <c r="E764" s="13" t="inlineStr">
        <is>
          <t>[ALT_VIEW]</t>
        </is>
      </c>
      <c r="F764" s="7" t="inlineStr">
        <is>
          <t>2004 / CVN-81</t>
        </is>
      </c>
      <c r="G764" s="7" t="inlineStr">
        <is>
          <t>P-35</t>
        </is>
      </c>
      <c r="I764" s="14" t="n">
        <v>1</v>
      </c>
      <c r="J764" s="7" t="inlineStr">
        <is>
          <t>Full ship DD&amp;C</t>
        </is>
      </c>
      <c r="K764" s="13" t="inlineStr">
        <is>
          <t>USN</t>
        </is>
      </c>
      <c r="L764" s="7" t="inlineStr">
        <is>
          <t>Combatant Ships</t>
        </is>
      </c>
      <c r="M764" s="7" t="inlineStr">
        <is>
          <t>Aircraft Carriers</t>
        </is>
      </c>
      <c r="N764" s="7" t="inlineStr">
        <is>
          <t>CVN</t>
        </is>
      </c>
      <c r="O764" s="15" t="n"/>
      <c r="S764" s="16" t="n">
        <v>835</v>
      </c>
      <c r="U764" s="16" t="n">
        <v>835</v>
      </c>
      <c r="AC764" s="23">
        <f>IF(OR(E764="",E764="[PARENT]"),"ADD",IF(E764="[ALT_VIEW]","ALT",""))</f>
        <v/>
      </c>
      <c r="AD764" s="21">
        <f>IF(Y764&lt;&gt;"",Y764,IF(U764&lt;&gt;"",U764,S764))</f>
        <v/>
      </c>
      <c r="AE764" s="21">
        <f>IF(AB764&lt;&gt;"",AB764,Z764)</f>
        <v/>
      </c>
      <c r="AF764" s="13" t="inlineStr">
        <is>
          <t>P-35 &gt; CVN-81 &gt; I-STALKER &gt; Other Costs</t>
        </is>
      </c>
      <c r="AG764" s="7" t="inlineStr">
        <is>
          <t>141</t>
        </is>
      </c>
      <c r="AH764" s="7" t="inlineStr">
        <is>
          <t>2004</t>
        </is>
      </c>
    </row>
    <row r="765" ht="10" customHeight="1">
      <c r="A765" s="7" t="inlineStr">
        <is>
          <t>SCN</t>
        </is>
      </c>
      <c r="B765" s="7" t="inlineStr">
        <is>
          <t>Procurement</t>
        </is>
      </c>
      <c r="D765" s="7" t="inlineStr">
        <is>
          <t>CVN-81 - P-35 ELECTROMAGNETIC AIRCRAFT LAUNCHING SYSTEM (EMALS) - Major Hardware                                                                                                                                                  1</t>
        </is>
      </c>
      <c r="E765" s="13" t="inlineStr">
        <is>
          <t>[ALT_VIEW]</t>
        </is>
      </c>
      <c r="F765" s="7" t="inlineStr">
        <is>
          <t>2004 / CVN-81</t>
        </is>
      </c>
      <c r="G765" s="7" t="inlineStr">
        <is>
          <t>P-35</t>
        </is>
      </c>
      <c r="I765" s="14" t="n">
        <v>1</v>
      </c>
      <c r="J765" s="7" t="inlineStr">
        <is>
          <t>Full ship DD&amp;C</t>
        </is>
      </c>
      <c r="K765" s="13" t="inlineStr">
        <is>
          <t>USN</t>
        </is>
      </c>
      <c r="L765" s="7" t="inlineStr">
        <is>
          <t>Combatant Ships</t>
        </is>
      </c>
      <c r="M765" s="7" t="inlineStr">
        <is>
          <t>Aircraft Carriers</t>
        </is>
      </c>
      <c r="N765" s="7" t="inlineStr">
        <is>
          <t>CVN</t>
        </is>
      </c>
      <c r="O765" s="15" t="n"/>
      <c r="S765" s="16" t="n">
        <v>1130077</v>
      </c>
      <c r="U765" s="16" t="n">
        <v>1130077</v>
      </c>
      <c r="AC765" s="23">
        <f>IF(OR(E765="",E765="[PARENT]"),"ADD",IF(E765="[ALT_VIEW]","ALT",""))</f>
        <v/>
      </c>
      <c r="AD765" s="21">
        <f>IF(Y765&lt;&gt;"",Y765,IF(U765&lt;&gt;"",U765,S765))</f>
        <v/>
      </c>
      <c r="AE765" s="21">
        <f>IF(AB765&lt;&gt;"",AB765,Z765)</f>
        <v/>
      </c>
      <c r="AF765" s="13" t="inlineStr">
        <is>
          <t>P-35 &gt; CVN-81 &gt; ELECTROMAGNETIC AIRCRAFT LAUNCHING SYSTEM (EMALS) &gt; Major Hardware                                                                                                                                                  1</t>
        </is>
      </c>
      <c r="AG765" s="7" t="inlineStr">
        <is>
          <t>142</t>
        </is>
      </c>
      <c r="AH765" s="7" t="inlineStr">
        <is>
          <t>2004</t>
        </is>
      </c>
    </row>
    <row r="766" ht="10" customHeight="1">
      <c r="A766" s="7" t="inlineStr">
        <is>
          <t>SCN</t>
        </is>
      </c>
      <c r="B766" s="7" t="inlineStr">
        <is>
          <t>Procurement</t>
        </is>
      </c>
      <c r="D766" s="7" t="inlineStr">
        <is>
          <t>CVN-81 - P-35 ELECTROMAGNETIC AIRCRAFT LAUNCHING SYSTEM (EMALS) - Spares</t>
        </is>
      </c>
      <c r="E766" s="13" t="inlineStr">
        <is>
          <t>[ALT_VIEW]</t>
        </is>
      </c>
      <c r="F766" s="7" t="inlineStr">
        <is>
          <t>2004 / CVN-81</t>
        </is>
      </c>
      <c r="G766" s="7" t="inlineStr">
        <is>
          <t>P-35</t>
        </is>
      </c>
      <c r="I766" s="14" t="n">
        <v>1</v>
      </c>
      <c r="J766" s="7" t="inlineStr">
        <is>
          <t>Full ship DD&amp;C</t>
        </is>
      </c>
      <c r="K766" s="13" t="inlineStr">
        <is>
          <t>USN</t>
        </is>
      </c>
      <c r="L766" s="7" t="inlineStr">
        <is>
          <t>Combatant Ships</t>
        </is>
      </c>
      <c r="M766" s="7" t="inlineStr">
        <is>
          <t>Aircraft Carriers</t>
        </is>
      </c>
      <c r="N766" s="7" t="inlineStr">
        <is>
          <t>CVN</t>
        </is>
      </c>
      <c r="O766" s="15" t="n"/>
      <c r="S766" s="16" t="n">
        <v>6437</v>
      </c>
      <c r="U766" s="16" t="n">
        <v>6437</v>
      </c>
      <c r="AC766" s="23">
        <f>IF(OR(E766="",E766="[PARENT]"),"ADD",IF(E766="[ALT_VIEW]","ALT",""))</f>
        <v/>
      </c>
      <c r="AD766" s="21">
        <f>IF(Y766&lt;&gt;"",Y766,IF(U766&lt;&gt;"",U766,S766))</f>
        <v/>
      </c>
      <c r="AE766" s="21">
        <f>IF(AB766&lt;&gt;"",AB766,Z766)</f>
        <v/>
      </c>
      <c r="AF766" s="13" t="inlineStr">
        <is>
          <t>P-35 &gt; CVN-81 &gt; ELECTROMAGNETIC AIRCRAFT LAUNCHING SYSTEM (EMALS) &gt; Spares</t>
        </is>
      </c>
      <c r="AG766" s="7" t="inlineStr">
        <is>
          <t>142</t>
        </is>
      </c>
      <c r="AH766" s="7" t="inlineStr">
        <is>
          <t>2004</t>
        </is>
      </c>
      <c r="AJ766" s="7" t="inlineStr">
        <is>
          <t>ELECTROMAGNETIC AIRCRAFT LAUNCHING SYSTEM (EMALS) [CVN 81]</t>
        </is>
      </c>
    </row>
    <row r="767" ht="10" customHeight="1">
      <c r="A767" s="7" t="inlineStr">
        <is>
          <t>SCN</t>
        </is>
      </c>
      <c r="B767" s="7" t="inlineStr">
        <is>
          <t>Procurement</t>
        </is>
      </c>
      <c r="D767" s="7" t="inlineStr">
        <is>
          <t>CVN-81 - P-35 ELECTROMAGNETIC AIRCRAFT LAUNCHING SYSTEM (EMALS) - System Engineering</t>
        </is>
      </c>
      <c r="E767" s="13" t="inlineStr">
        <is>
          <t>[ALT_VIEW]</t>
        </is>
      </c>
      <c r="F767" s="7" t="inlineStr">
        <is>
          <t>2004 / CVN-81</t>
        </is>
      </c>
      <c r="G767" s="7" t="inlineStr">
        <is>
          <t>P-35</t>
        </is>
      </c>
      <c r="I767" s="14" t="n">
        <v>1</v>
      </c>
      <c r="J767" s="7" t="inlineStr">
        <is>
          <t>Full ship DD&amp;C</t>
        </is>
      </c>
      <c r="K767" s="13" t="inlineStr">
        <is>
          <t>USN</t>
        </is>
      </c>
      <c r="L767" s="7" t="inlineStr">
        <is>
          <t>Combatant Ships</t>
        </is>
      </c>
      <c r="M767" s="7" t="inlineStr">
        <is>
          <t>Aircraft Carriers</t>
        </is>
      </c>
      <c r="N767" s="7" t="inlineStr">
        <is>
          <t>CVN</t>
        </is>
      </c>
      <c r="O767" s="15" t="n"/>
      <c r="S767" s="16" t="n">
        <v>17291</v>
      </c>
      <c r="U767" s="16" t="n">
        <v>17291</v>
      </c>
      <c r="AC767" s="23">
        <f>IF(OR(E767="",E767="[PARENT]"),"ADD",IF(E767="[ALT_VIEW]","ALT",""))</f>
        <v/>
      </c>
      <c r="AD767" s="21">
        <f>IF(Y767&lt;&gt;"",Y767,IF(U767&lt;&gt;"",U767,S767))</f>
        <v/>
      </c>
      <c r="AE767" s="21">
        <f>IF(AB767&lt;&gt;"",AB767,Z767)</f>
        <v/>
      </c>
      <c r="AF767" s="13" t="inlineStr">
        <is>
          <t>P-35 &gt; CVN-81 &gt; ELECTROMAGNETIC AIRCRAFT LAUNCHING SYSTEM (EMALS) &gt; System Engineering</t>
        </is>
      </c>
      <c r="AG767" s="7" t="inlineStr">
        <is>
          <t>142</t>
        </is>
      </c>
      <c r="AH767" s="7" t="inlineStr">
        <is>
          <t>2004</t>
        </is>
      </c>
    </row>
    <row r="768" ht="10" customHeight="1">
      <c r="A768" s="7" t="inlineStr">
        <is>
          <t>SCN</t>
        </is>
      </c>
      <c r="B768" s="7" t="inlineStr">
        <is>
          <t>Procurement</t>
        </is>
      </c>
      <c r="D768" s="7" t="inlineStr">
        <is>
          <t>CVN-81 - P-35 ELECTROMAGNETIC AIRCRAFT LAUNCHING SYSTEM (EMALS) - Technical Engineering Services</t>
        </is>
      </c>
      <c r="E768" s="13" t="inlineStr">
        <is>
          <t>[ALT_VIEW]</t>
        </is>
      </c>
      <c r="F768" s="7" t="inlineStr">
        <is>
          <t>2004 / CVN-81</t>
        </is>
      </c>
      <c r="G768" s="7" t="inlineStr">
        <is>
          <t>P-35</t>
        </is>
      </c>
      <c r="I768" s="14" t="n">
        <v>1</v>
      </c>
      <c r="J768" s="7" t="inlineStr">
        <is>
          <t>Full ship DD&amp;C</t>
        </is>
      </c>
      <c r="K768" s="13" t="inlineStr">
        <is>
          <t>USN</t>
        </is>
      </c>
      <c r="L768" s="7" t="inlineStr">
        <is>
          <t>Combatant Ships</t>
        </is>
      </c>
      <c r="M768" s="7" t="inlineStr">
        <is>
          <t>Aircraft Carriers</t>
        </is>
      </c>
      <c r="N768" s="7" t="inlineStr">
        <is>
          <t>CVN</t>
        </is>
      </c>
      <c r="O768" s="15" t="n"/>
      <c r="S768" s="16" t="n">
        <v>532</v>
      </c>
      <c r="U768" s="16" t="n">
        <v>532</v>
      </c>
      <c r="AC768" s="23">
        <f>IF(OR(E768="",E768="[PARENT]"),"ADD",IF(E768="[ALT_VIEW]","ALT",""))</f>
        <v/>
      </c>
      <c r="AD768" s="21">
        <f>IF(Y768&lt;&gt;"",Y768,IF(U768&lt;&gt;"",U768,S768))</f>
        <v/>
      </c>
      <c r="AE768" s="21">
        <f>IF(AB768&lt;&gt;"",AB768,Z768)</f>
        <v/>
      </c>
      <c r="AF768" s="13" t="inlineStr">
        <is>
          <t>P-35 &gt; CVN-81 &gt; ELECTROMAGNETIC AIRCRAFT LAUNCHING SYSTEM (EMALS) &gt; Technical Engineering Services</t>
        </is>
      </c>
      <c r="AG768" s="7" t="inlineStr">
        <is>
          <t>142</t>
        </is>
      </c>
      <c r="AH768" s="7" t="inlineStr">
        <is>
          <t>2004</t>
        </is>
      </c>
    </row>
    <row r="769" ht="10" customHeight="1">
      <c r="A769" s="7" t="inlineStr">
        <is>
          <t>SCN</t>
        </is>
      </c>
      <c r="B769" s="7" t="inlineStr">
        <is>
          <t>Procurement</t>
        </is>
      </c>
      <c r="D769" s="7" t="inlineStr">
        <is>
          <t>CVN-81 - P-35 ELECTROMAGNETIC AIRCRAFT LAUNCHING SYSTEM (EMALS) - Other Costs</t>
        </is>
      </c>
      <c r="E769" s="13" t="inlineStr">
        <is>
          <t>[ALT_VIEW]</t>
        </is>
      </c>
      <c r="F769" s="7" t="inlineStr">
        <is>
          <t>2004 / CVN-81</t>
        </is>
      </c>
      <c r="G769" s="7" t="inlineStr">
        <is>
          <t>P-35</t>
        </is>
      </c>
      <c r="I769" s="14" t="n">
        <v>1</v>
      </c>
      <c r="J769" s="7" t="inlineStr">
        <is>
          <t>Full ship DD&amp;C</t>
        </is>
      </c>
      <c r="K769" s="13" t="inlineStr">
        <is>
          <t>USN</t>
        </is>
      </c>
      <c r="L769" s="7" t="inlineStr">
        <is>
          <t>Combatant Ships</t>
        </is>
      </c>
      <c r="M769" s="7" t="inlineStr">
        <is>
          <t>Aircraft Carriers</t>
        </is>
      </c>
      <c r="N769" s="7" t="inlineStr">
        <is>
          <t>CVN</t>
        </is>
      </c>
      <c r="O769" s="15" t="n"/>
      <c r="S769" s="16" t="n">
        <v>37192</v>
      </c>
      <c r="U769" s="16" t="n">
        <v>37192</v>
      </c>
      <c r="AC769" s="23">
        <f>IF(OR(E769="",E769="[PARENT]"),"ADD",IF(E769="[ALT_VIEW]","ALT",""))</f>
        <v/>
      </c>
      <c r="AD769" s="21">
        <f>IF(Y769&lt;&gt;"",Y769,IF(U769&lt;&gt;"",U769,S769))</f>
        <v/>
      </c>
      <c r="AE769" s="21">
        <f>IF(AB769&lt;&gt;"",AB769,Z769)</f>
        <v/>
      </c>
      <c r="AF769" s="13" t="inlineStr">
        <is>
          <t>P-35 &gt; CVN-81 &gt; ELECTROMAGNETIC AIRCRAFT LAUNCHING SYSTEM (EMALS) &gt; Other Costs</t>
        </is>
      </c>
      <c r="AG769" s="7" t="inlineStr">
        <is>
          <t>142</t>
        </is>
      </c>
      <c r="AH769" s="7" t="inlineStr">
        <is>
          <t>2004</t>
        </is>
      </c>
    </row>
    <row r="770" ht="10" customHeight="1">
      <c r="A770" s="7" t="inlineStr">
        <is>
          <t>SCN</t>
        </is>
      </c>
      <c r="B770" s="7" t="inlineStr">
        <is>
          <t>Procurement</t>
        </is>
      </c>
      <c r="D770" s="7" t="inlineStr">
        <is>
          <t>CVN-81 - P-35 AN/SPY-6(V)3 ENTERPRISE AIR SURVEILLANCE RADAR (EASR) - Major Hardware                                                                                                                                                     1</t>
        </is>
      </c>
      <c r="E770" s="13" t="inlineStr">
        <is>
          <t>[ALT_VIEW]</t>
        </is>
      </c>
      <c r="F770" s="7" t="inlineStr">
        <is>
          <t>2004 / CVN-81</t>
        </is>
      </c>
      <c r="G770" s="7" t="inlineStr">
        <is>
          <t>P-35</t>
        </is>
      </c>
      <c r="I770" s="14" t="n">
        <v>1</v>
      </c>
      <c r="J770" s="7" t="inlineStr">
        <is>
          <t>Full ship DD&amp;C</t>
        </is>
      </c>
      <c r="K770" s="13" t="inlineStr">
        <is>
          <t>USN</t>
        </is>
      </c>
      <c r="L770" s="7" t="inlineStr">
        <is>
          <t>Combatant Ships</t>
        </is>
      </c>
      <c r="M770" s="7" t="inlineStr">
        <is>
          <t>Aircraft Carriers</t>
        </is>
      </c>
      <c r="N770" s="7" t="inlineStr">
        <is>
          <t>CVN</t>
        </is>
      </c>
      <c r="O770" s="15" t="n"/>
      <c r="S770" s="16" t="n">
        <v>53710</v>
      </c>
      <c r="U770" s="16" t="n">
        <v>53710</v>
      </c>
      <c r="AC770" s="23">
        <f>IF(OR(E770="",E770="[PARENT]"),"ADD",IF(E770="[ALT_VIEW]","ALT",""))</f>
        <v/>
      </c>
      <c r="AD770" s="21">
        <f>IF(Y770&lt;&gt;"",Y770,IF(U770&lt;&gt;"",U770,S770))</f>
        <v/>
      </c>
      <c r="AE770" s="21">
        <f>IF(AB770&lt;&gt;"",AB770,Z770)</f>
        <v/>
      </c>
      <c r="AF770" s="13" t="inlineStr">
        <is>
          <t>P-35 &gt; CVN-81 &gt; AN/SPY-6(V)3 ENTERPRISE AIR SURVEILLANCE RADAR (EASR) &gt; Major Hardware                                                                                                                                                     1</t>
        </is>
      </c>
      <c r="AG770" s="7" t="inlineStr">
        <is>
          <t>143</t>
        </is>
      </c>
      <c r="AH770" s="7" t="inlineStr">
        <is>
          <t>2004</t>
        </is>
      </c>
    </row>
    <row r="771" ht="10" customHeight="1">
      <c r="A771" s="7" t="inlineStr">
        <is>
          <t>SCN</t>
        </is>
      </c>
      <c r="B771" s="7" t="inlineStr">
        <is>
          <t>Procurement</t>
        </is>
      </c>
      <c r="D771" s="7" t="inlineStr">
        <is>
          <t>CVN-81 - P-35 AN/SPY-6(V)3 ENTERPRISE AIR SURVEILLANCE RADAR (EASR) - Ancillary Equipment</t>
        </is>
      </c>
      <c r="E771" s="13" t="inlineStr">
        <is>
          <t>[ALT_VIEW]</t>
        </is>
      </c>
      <c r="F771" s="7" t="inlineStr">
        <is>
          <t>2004 / CVN-81</t>
        </is>
      </c>
      <c r="G771" s="7" t="inlineStr">
        <is>
          <t>P-35</t>
        </is>
      </c>
      <c r="I771" s="14" t="n">
        <v>1</v>
      </c>
      <c r="J771" s="7" t="inlineStr">
        <is>
          <t>Full ship DD&amp;C</t>
        </is>
      </c>
      <c r="K771" s="13" t="inlineStr">
        <is>
          <t>USN</t>
        </is>
      </c>
      <c r="L771" s="7" t="inlineStr">
        <is>
          <t>Combatant Ships</t>
        </is>
      </c>
      <c r="M771" s="7" t="inlineStr">
        <is>
          <t>Aircraft Carriers</t>
        </is>
      </c>
      <c r="N771" s="7" t="inlineStr">
        <is>
          <t>CVN</t>
        </is>
      </c>
      <c r="O771" s="15" t="n"/>
      <c r="S771" s="16" t="n">
        <v>193</v>
      </c>
      <c r="U771" s="16" t="n">
        <v>193</v>
      </c>
      <c r="AC771" s="23">
        <f>IF(OR(E771="",E771="[PARENT]"),"ADD",IF(E771="[ALT_VIEW]","ALT",""))</f>
        <v/>
      </c>
      <c r="AD771" s="21">
        <f>IF(Y771&lt;&gt;"",Y771,IF(U771&lt;&gt;"",U771,S771))</f>
        <v/>
      </c>
      <c r="AE771" s="21">
        <f>IF(AB771&lt;&gt;"",AB771,Z771)</f>
        <v/>
      </c>
      <c r="AF771" s="13" t="inlineStr">
        <is>
          <t>P-35 &gt; CVN-81 &gt; AN/SPY-6(V)3 ENTERPRISE AIR SURVEILLANCE RADAR (EASR) &gt; Ancillary Equipment</t>
        </is>
      </c>
      <c r="AG771" s="7" t="inlineStr">
        <is>
          <t>143</t>
        </is>
      </c>
      <c r="AH771" s="7" t="inlineStr">
        <is>
          <t>2004</t>
        </is>
      </c>
    </row>
    <row r="772" ht="10" customHeight="1">
      <c r="A772" s="7" t="inlineStr">
        <is>
          <t>SCN</t>
        </is>
      </c>
      <c r="B772" s="7" t="inlineStr">
        <is>
          <t>Procurement</t>
        </is>
      </c>
      <c r="D772" s="7" t="inlineStr">
        <is>
          <t>CVN-81 - P-35 AN/SPY-6(V)3 ENTERPRISE AIR SURVEILLANCE RADAR (EASR) - Spares</t>
        </is>
      </c>
      <c r="E772" s="13" t="inlineStr">
        <is>
          <t>[ALT_VIEW]</t>
        </is>
      </c>
      <c r="F772" s="7" t="inlineStr">
        <is>
          <t>2004 / CVN-81</t>
        </is>
      </c>
      <c r="G772" s="7" t="inlineStr">
        <is>
          <t>P-35</t>
        </is>
      </c>
      <c r="I772" s="14" t="n">
        <v>1</v>
      </c>
      <c r="J772" s="7" t="inlineStr">
        <is>
          <t>Full ship DD&amp;C</t>
        </is>
      </c>
      <c r="K772" s="13" t="inlineStr">
        <is>
          <t>USN</t>
        </is>
      </c>
      <c r="L772" s="7" t="inlineStr">
        <is>
          <t>Combatant Ships</t>
        </is>
      </c>
      <c r="M772" s="7" t="inlineStr">
        <is>
          <t>Aircraft Carriers</t>
        </is>
      </c>
      <c r="N772" s="7" t="inlineStr">
        <is>
          <t>CVN</t>
        </is>
      </c>
      <c r="O772" s="15" t="n"/>
      <c r="S772" s="16" t="n">
        <v>1439</v>
      </c>
      <c r="U772" s="16" t="n">
        <v>1439</v>
      </c>
      <c r="AC772" s="23">
        <f>IF(OR(E772="",E772="[PARENT]"),"ADD",IF(E772="[ALT_VIEW]","ALT",""))</f>
        <v/>
      </c>
      <c r="AD772" s="21">
        <f>IF(Y772&lt;&gt;"",Y772,IF(U772&lt;&gt;"",U772,S772))</f>
        <v/>
      </c>
      <c r="AE772" s="21">
        <f>IF(AB772&lt;&gt;"",AB772,Z772)</f>
        <v/>
      </c>
      <c r="AF772" s="13" t="inlineStr">
        <is>
          <t>P-35 &gt; CVN-81 &gt; AN/SPY-6(V)3 ENTERPRISE AIR SURVEILLANCE RADAR (EASR) &gt; Spares</t>
        </is>
      </c>
      <c r="AG772" s="7" t="inlineStr">
        <is>
          <t>143</t>
        </is>
      </c>
      <c r="AH772" s="7" t="inlineStr">
        <is>
          <t>2004</t>
        </is>
      </c>
      <c r="AJ772" s="7" t="inlineStr">
        <is>
          <t>AN/SPY-6(V)3 ENTERPRISE AIR SURVEILLANCE RADAR (EASR) [CVN 81]</t>
        </is>
      </c>
    </row>
    <row r="773" ht="10" customHeight="1">
      <c r="A773" s="7" t="inlineStr">
        <is>
          <t>SCN</t>
        </is>
      </c>
      <c r="B773" s="7" t="inlineStr">
        <is>
          <t>Procurement</t>
        </is>
      </c>
      <c r="D773" s="7" t="inlineStr">
        <is>
          <t>CVN-81 - P-35 AN/SPY-6(V)3 ENTERPRISE AIR SURVEILLANCE RADAR (EASR) - System Engineering</t>
        </is>
      </c>
      <c r="E773" s="13" t="inlineStr">
        <is>
          <t>[ALT_VIEW]</t>
        </is>
      </c>
      <c r="F773" s="7" t="inlineStr">
        <is>
          <t>2004 / CVN-81</t>
        </is>
      </c>
      <c r="G773" s="7" t="inlineStr">
        <is>
          <t>P-35</t>
        </is>
      </c>
      <c r="I773" s="14" t="n">
        <v>1</v>
      </c>
      <c r="J773" s="7" t="inlineStr">
        <is>
          <t>Full ship DD&amp;C</t>
        </is>
      </c>
      <c r="K773" s="13" t="inlineStr">
        <is>
          <t>USN</t>
        </is>
      </c>
      <c r="L773" s="7" t="inlineStr">
        <is>
          <t>Combatant Ships</t>
        </is>
      </c>
      <c r="M773" s="7" t="inlineStr">
        <is>
          <t>Aircraft Carriers</t>
        </is>
      </c>
      <c r="N773" s="7" t="inlineStr">
        <is>
          <t>CVN</t>
        </is>
      </c>
      <c r="O773" s="15" t="n"/>
      <c r="S773" s="16" t="n">
        <v>8745</v>
      </c>
      <c r="U773" s="16" t="n">
        <v>8745</v>
      </c>
      <c r="AC773" s="23">
        <f>IF(OR(E773="",E773="[PARENT]"),"ADD",IF(E773="[ALT_VIEW]","ALT",""))</f>
        <v/>
      </c>
      <c r="AD773" s="21">
        <f>IF(Y773&lt;&gt;"",Y773,IF(U773&lt;&gt;"",U773,S773))</f>
        <v/>
      </c>
      <c r="AE773" s="21">
        <f>IF(AB773&lt;&gt;"",AB773,Z773)</f>
        <v/>
      </c>
      <c r="AF773" s="13" t="inlineStr">
        <is>
          <t>P-35 &gt; CVN-81 &gt; AN/SPY-6(V)3 ENTERPRISE AIR SURVEILLANCE RADAR (EASR) &gt; System Engineering</t>
        </is>
      </c>
      <c r="AG773" s="7" t="inlineStr">
        <is>
          <t>143</t>
        </is>
      </c>
      <c r="AH773" s="7" t="inlineStr">
        <is>
          <t>2004</t>
        </is>
      </c>
    </row>
    <row r="774" ht="10" customHeight="1">
      <c r="A774" s="7" t="inlineStr">
        <is>
          <t>SCN</t>
        </is>
      </c>
      <c r="B774" s="7" t="inlineStr">
        <is>
          <t>Procurement</t>
        </is>
      </c>
      <c r="D774" s="7" t="inlineStr">
        <is>
          <t>CVN-81 - P-35 AN/SPY-6(V)3 ENTERPRISE AIR SURVEILLANCE RADAR (EASR) - Technical Engineering Services</t>
        </is>
      </c>
      <c r="E774" s="13" t="inlineStr">
        <is>
          <t>[ALT_VIEW]</t>
        </is>
      </c>
      <c r="F774" s="7" t="inlineStr">
        <is>
          <t>2004 / CVN-81</t>
        </is>
      </c>
      <c r="G774" s="7" t="inlineStr">
        <is>
          <t>P-35</t>
        </is>
      </c>
      <c r="I774" s="14" t="n">
        <v>1</v>
      </c>
      <c r="J774" s="7" t="inlineStr">
        <is>
          <t>Full ship DD&amp;C</t>
        </is>
      </c>
      <c r="K774" s="13" t="inlineStr">
        <is>
          <t>USN</t>
        </is>
      </c>
      <c r="L774" s="7" t="inlineStr">
        <is>
          <t>Combatant Ships</t>
        </is>
      </c>
      <c r="M774" s="7" t="inlineStr">
        <is>
          <t>Aircraft Carriers</t>
        </is>
      </c>
      <c r="N774" s="7" t="inlineStr">
        <is>
          <t>CVN</t>
        </is>
      </c>
      <c r="O774" s="15" t="n"/>
      <c r="S774" s="16" t="n">
        <v>5114</v>
      </c>
      <c r="U774" s="16" t="n">
        <v>5114</v>
      </c>
      <c r="AC774" s="23">
        <f>IF(OR(E774="",E774="[PARENT]"),"ADD",IF(E774="[ALT_VIEW]","ALT",""))</f>
        <v/>
      </c>
      <c r="AD774" s="21">
        <f>IF(Y774&lt;&gt;"",Y774,IF(U774&lt;&gt;"",U774,S774))</f>
        <v/>
      </c>
      <c r="AE774" s="21">
        <f>IF(AB774&lt;&gt;"",AB774,Z774)</f>
        <v/>
      </c>
      <c r="AF774" s="13" t="inlineStr">
        <is>
          <t>P-35 &gt; CVN-81 &gt; AN/SPY-6(V)3 ENTERPRISE AIR SURVEILLANCE RADAR (EASR) &gt; Technical Engineering Services</t>
        </is>
      </c>
      <c r="AG774" s="7" t="inlineStr">
        <is>
          <t>143</t>
        </is>
      </c>
      <c r="AH774" s="7" t="inlineStr">
        <is>
          <t>2004</t>
        </is>
      </c>
    </row>
    <row r="775" ht="10" customHeight="1">
      <c r="A775" s="7" t="inlineStr">
        <is>
          <t>SCN</t>
        </is>
      </c>
      <c r="B775" s="7" t="inlineStr">
        <is>
          <t>Procurement</t>
        </is>
      </c>
      <c r="D775" s="7" t="inlineStr">
        <is>
          <t>CVN-81 - P-35 AN/SPY-6(V)3 ENTERPRISE AIR SURVEILLANCE RADAR (EASR) - Other Costs</t>
        </is>
      </c>
      <c r="E775" s="13" t="inlineStr">
        <is>
          <t>[ALT_VIEW]</t>
        </is>
      </c>
      <c r="F775" s="7" t="inlineStr">
        <is>
          <t>2004 / CVN-81</t>
        </is>
      </c>
      <c r="G775" s="7" t="inlineStr">
        <is>
          <t>P-35</t>
        </is>
      </c>
      <c r="I775" s="14" t="n">
        <v>1</v>
      </c>
      <c r="J775" s="7" t="inlineStr">
        <is>
          <t>Full ship DD&amp;C</t>
        </is>
      </c>
      <c r="K775" s="13" t="inlineStr">
        <is>
          <t>USN</t>
        </is>
      </c>
      <c r="L775" s="7" t="inlineStr">
        <is>
          <t>Combatant Ships</t>
        </is>
      </c>
      <c r="M775" s="7" t="inlineStr">
        <is>
          <t>Aircraft Carriers</t>
        </is>
      </c>
      <c r="N775" s="7" t="inlineStr">
        <is>
          <t>CVN</t>
        </is>
      </c>
      <c r="O775" s="15" t="n"/>
      <c r="S775" s="16" t="n">
        <v>6177</v>
      </c>
      <c r="U775" s="16" t="n">
        <v>6177</v>
      </c>
      <c r="AC775" s="23">
        <f>IF(OR(E775="",E775="[PARENT]"),"ADD",IF(E775="[ALT_VIEW]","ALT",""))</f>
        <v/>
      </c>
      <c r="AD775" s="21">
        <f>IF(Y775&lt;&gt;"",Y775,IF(U775&lt;&gt;"",U775,S775))</f>
        <v/>
      </c>
      <c r="AE775" s="21">
        <f>IF(AB775&lt;&gt;"",AB775,Z775)</f>
        <v/>
      </c>
      <c r="AF775" s="13" t="inlineStr">
        <is>
          <t>P-35 &gt; CVN-81 &gt; AN/SPY-6(V)3 ENTERPRISE AIR SURVEILLANCE RADAR (EASR) &gt; Other Costs</t>
        </is>
      </c>
      <c r="AG775" s="7" t="inlineStr">
        <is>
          <t>143</t>
        </is>
      </c>
      <c r="AH775" s="7" t="inlineStr">
        <is>
          <t>2004</t>
        </is>
      </c>
    </row>
    <row r="776" ht="10" customHeight="1">
      <c r="A776" s="7" t="inlineStr">
        <is>
          <t>SCN</t>
        </is>
      </c>
      <c r="B776" s="7" t="inlineStr">
        <is>
          <t>Procurement</t>
        </is>
      </c>
      <c r="D776" s="7" t="inlineStr">
        <is>
          <t>CVN-81 - P-35 ADVANCED ARRESTING GEAR (AAG) - Major Hardware                                                                                                                                                       1</t>
        </is>
      </c>
      <c r="E776" s="13" t="inlineStr">
        <is>
          <t>[ALT_VIEW]</t>
        </is>
      </c>
      <c r="F776" s="7" t="inlineStr">
        <is>
          <t>2004 / CVN-81</t>
        </is>
      </c>
      <c r="G776" s="7" t="inlineStr">
        <is>
          <t>P-35</t>
        </is>
      </c>
      <c r="I776" s="14" t="n">
        <v>1</v>
      </c>
      <c r="J776" s="7" t="inlineStr">
        <is>
          <t>Full ship DD&amp;C</t>
        </is>
      </c>
      <c r="K776" s="13" t="inlineStr">
        <is>
          <t>USN</t>
        </is>
      </c>
      <c r="L776" s="7" t="inlineStr">
        <is>
          <t>Combatant Ships</t>
        </is>
      </c>
      <c r="M776" s="7" t="inlineStr">
        <is>
          <t>Aircraft Carriers</t>
        </is>
      </c>
      <c r="N776" s="7" t="inlineStr">
        <is>
          <t>CVN</t>
        </is>
      </c>
      <c r="O776" s="15" t="n"/>
      <c r="S776" s="16" t="n">
        <v>551603</v>
      </c>
      <c r="U776" s="16" t="n">
        <v>551603</v>
      </c>
      <c r="AC776" s="23">
        <f>IF(OR(E776="",E776="[PARENT]"),"ADD",IF(E776="[ALT_VIEW]","ALT",""))</f>
        <v/>
      </c>
      <c r="AD776" s="21">
        <f>IF(Y776&lt;&gt;"",Y776,IF(U776&lt;&gt;"",U776,S776))</f>
        <v/>
      </c>
      <c r="AE776" s="21">
        <f>IF(AB776&lt;&gt;"",AB776,Z776)</f>
        <v/>
      </c>
      <c r="AF776" s="13" t="inlineStr">
        <is>
          <t>P-35 &gt; CVN-81 &gt; ADVANCED ARRESTING GEAR (AAG) &gt; Major Hardware                                                                                                                                                       1</t>
        </is>
      </c>
      <c r="AG776" s="7" t="inlineStr">
        <is>
          <t>144</t>
        </is>
      </c>
      <c r="AH776" s="7" t="inlineStr">
        <is>
          <t>2004</t>
        </is>
      </c>
    </row>
    <row r="777" ht="10" customHeight="1">
      <c r="A777" s="7" t="inlineStr">
        <is>
          <t>SCN</t>
        </is>
      </c>
      <c r="B777" s="7" t="inlineStr">
        <is>
          <t>Procurement</t>
        </is>
      </c>
      <c r="D777" s="7" t="inlineStr">
        <is>
          <t>CVN-81 - P-35 ADVANCED ARRESTING GEAR (AAG) - Spares</t>
        </is>
      </c>
      <c r="E777" s="13" t="inlineStr">
        <is>
          <t>[ALT_VIEW]</t>
        </is>
      </c>
      <c r="F777" s="7" t="inlineStr">
        <is>
          <t>2004 / CVN-81</t>
        </is>
      </c>
      <c r="G777" s="7" t="inlineStr">
        <is>
          <t>P-35</t>
        </is>
      </c>
      <c r="I777" s="14" t="n">
        <v>1</v>
      </c>
      <c r="J777" s="7" t="inlineStr">
        <is>
          <t>Full ship DD&amp;C</t>
        </is>
      </c>
      <c r="K777" s="13" t="inlineStr">
        <is>
          <t>USN</t>
        </is>
      </c>
      <c r="L777" s="7" t="inlineStr">
        <is>
          <t>Combatant Ships</t>
        </is>
      </c>
      <c r="M777" s="7" t="inlineStr">
        <is>
          <t>Aircraft Carriers</t>
        </is>
      </c>
      <c r="N777" s="7" t="inlineStr">
        <is>
          <t>CVN</t>
        </is>
      </c>
      <c r="O777" s="15" t="n"/>
      <c r="S777" s="16" t="n">
        <v>200</v>
      </c>
      <c r="U777" s="16" t="n">
        <v>200</v>
      </c>
      <c r="AC777" s="23">
        <f>IF(OR(E777="",E777="[PARENT]"),"ADD",IF(E777="[ALT_VIEW]","ALT",""))</f>
        <v/>
      </c>
      <c r="AD777" s="21">
        <f>IF(Y777&lt;&gt;"",Y777,IF(U777&lt;&gt;"",U777,S777))</f>
        <v/>
      </c>
      <c r="AE777" s="21">
        <f>IF(AB777&lt;&gt;"",AB777,Z777)</f>
        <v/>
      </c>
      <c r="AF777" s="13" t="inlineStr">
        <is>
          <t>P-35 &gt; CVN-81 &gt; ADVANCED ARRESTING GEAR (AAG) &gt; Spares</t>
        </is>
      </c>
      <c r="AG777" s="7" t="inlineStr">
        <is>
          <t>144</t>
        </is>
      </c>
      <c r="AH777" s="7" t="inlineStr">
        <is>
          <t>2004</t>
        </is>
      </c>
    </row>
    <row r="778" ht="10" customHeight="1">
      <c r="A778" s="7" t="inlineStr">
        <is>
          <t>SCN</t>
        </is>
      </c>
      <c r="B778" s="7" t="inlineStr">
        <is>
          <t>Procurement</t>
        </is>
      </c>
      <c r="D778" s="7" t="inlineStr">
        <is>
          <t>CVN-81 - P-35 ADVANCED ARRESTING GEAR (AAG) - System Engineering</t>
        </is>
      </c>
      <c r="E778" s="13" t="inlineStr">
        <is>
          <t>[ALT_VIEW]</t>
        </is>
      </c>
      <c r="F778" s="7" t="inlineStr">
        <is>
          <t>2004 / CVN-81</t>
        </is>
      </c>
      <c r="G778" s="7" t="inlineStr">
        <is>
          <t>P-35</t>
        </is>
      </c>
      <c r="I778" s="14" t="n">
        <v>1</v>
      </c>
      <c r="J778" s="7" t="inlineStr">
        <is>
          <t>Full ship DD&amp;C</t>
        </is>
      </c>
      <c r="K778" s="13" t="inlineStr">
        <is>
          <t>USN</t>
        </is>
      </c>
      <c r="L778" s="7" t="inlineStr">
        <is>
          <t>Combatant Ships</t>
        </is>
      </c>
      <c r="M778" s="7" t="inlineStr">
        <is>
          <t>Aircraft Carriers</t>
        </is>
      </c>
      <c r="N778" s="7" t="inlineStr">
        <is>
          <t>CVN</t>
        </is>
      </c>
      <c r="O778" s="15" t="n"/>
      <c r="S778" s="16" t="n">
        <v>13108</v>
      </c>
      <c r="U778" s="16" t="n">
        <v>13108</v>
      </c>
      <c r="AC778" s="23">
        <f>IF(OR(E778="",E778="[PARENT]"),"ADD",IF(E778="[ALT_VIEW]","ALT",""))</f>
        <v/>
      </c>
      <c r="AD778" s="21">
        <f>IF(Y778&lt;&gt;"",Y778,IF(U778&lt;&gt;"",U778,S778))</f>
        <v/>
      </c>
      <c r="AE778" s="21">
        <f>IF(AB778&lt;&gt;"",AB778,Z778)</f>
        <v/>
      </c>
      <c r="AF778" s="13" t="inlineStr">
        <is>
          <t>P-35 &gt; CVN-81 &gt; ADVANCED ARRESTING GEAR (AAG) &gt; System Engineering</t>
        </is>
      </c>
      <c r="AG778" s="7" t="inlineStr">
        <is>
          <t>144</t>
        </is>
      </c>
      <c r="AH778" s="7" t="inlineStr">
        <is>
          <t>2004</t>
        </is>
      </c>
    </row>
    <row r="779" ht="10" customHeight="1">
      <c r="A779" s="7" t="inlineStr">
        <is>
          <t>SCN</t>
        </is>
      </c>
      <c r="B779" s="7" t="inlineStr">
        <is>
          <t>Procurement</t>
        </is>
      </c>
      <c r="D779" s="7" t="inlineStr">
        <is>
          <t>CVN-81 - P-35 ADVANCED ARRESTING GEAR (AAG) - Technical Engineering Services</t>
        </is>
      </c>
      <c r="E779" s="13" t="inlineStr">
        <is>
          <t>[ALT_VIEW]</t>
        </is>
      </c>
      <c r="F779" s="7" t="inlineStr">
        <is>
          <t>2004 / CVN-81</t>
        </is>
      </c>
      <c r="G779" s="7" t="inlineStr">
        <is>
          <t>P-35</t>
        </is>
      </c>
      <c r="I779" s="14" t="n">
        <v>1</v>
      </c>
      <c r="J779" s="7" t="inlineStr">
        <is>
          <t>Full ship DD&amp;C</t>
        </is>
      </c>
      <c r="K779" s="13" t="inlineStr">
        <is>
          <t>USN</t>
        </is>
      </c>
      <c r="L779" s="7" t="inlineStr">
        <is>
          <t>Combatant Ships</t>
        </is>
      </c>
      <c r="M779" s="7" t="inlineStr">
        <is>
          <t>Aircraft Carriers</t>
        </is>
      </c>
      <c r="N779" s="7" t="inlineStr">
        <is>
          <t>CVN</t>
        </is>
      </c>
      <c r="O779" s="15" t="n"/>
      <c r="S779" s="16" t="n">
        <v>488</v>
      </c>
      <c r="U779" s="16" t="n">
        <v>488</v>
      </c>
      <c r="AC779" s="23">
        <f>IF(OR(E779="",E779="[PARENT]"),"ADD",IF(E779="[ALT_VIEW]","ALT",""))</f>
        <v/>
      </c>
      <c r="AD779" s="21">
        <f>IF(Y779&lt;&gt;"",Y779,IF(U779&lt;&gt;"",U779,S779))</f>
        <v/>
      </c>
      <c r="AE779" s="21">
        <f>IF(AB779&lt;&gt;"",AB779,Z779)</f>
        <v/>
      </c>
      <c r="AF779" s="13" t="inlineStr">
        <is>
          <t>P-35 &gt; CVN-81 &gt; ADVANCED ARRESTING GEAR (AAG) &gt; Technical Engineering Services</t>
        </is>
      </c>
      <c r="AG779" s="7" t="inlineStr">
        <is>
          <t>144</t>
        </is>
      </c>
      <c r="AH779" s="7" t="inlineStr">
        <is>
          <t>2004</t>
        </is>
      </c>
    </row>
    <row r="780" ht="10" customHeight="1">
      <c r="A780" s="7" t="inlineStr">
        <is>
          <t>SCN</t>
        </is>
      </c>
      <c r="B780" s="7" t="inlineStr">
        <is>
          <t>Procurement</t>
        </is>
      </c>
      <c r="D780" s="7" t="inlineStr">
        <is>
          <t>CVN-81 - P-35 ADVANCED ARRESTING GEAR (AAG) - Other Costs</t>
        </is>
      </c>
      <c r="E780" s="13" t="inlineStr">
        <is>
          <t>[ALT_VIEW]</t>
        </is>
      </c>
      <c r="F780" s="7" t="inlineStr">
        <is>
          <t>2004 / CVN-81</t>
        </is>
      </c>
      <c r="G780" s="7" t="inlineStr">
        <is>
          <t>P-35</t>
        </is>
      </c>
      <c r="I780" s="14" t="n">
        <v>1</v>
      </c>
      <c r="J780" s="7" t="inlineStr">
        <is>
          <t>Full ship DD&amp;C</t>
        </is>
      </c>
      <c r="K780" s="13" t="inlineStr">
        <is>
          <t>USN</t>
        </is>
      </c>
      <c r="L780" s="7" t="inlineStr">
        <is>
          <t>Combatant Ships</t>
        </is>
      </c>
      <c r="M780" s="7" t="inlineStr">
        <is>
          <t>Aircraft Carriers</t>
        </is>
      </c>
      <c r="N780" s="7" t="inlineStr">
        <is>
          <t>CVN</t>
        </is>
      </c>
      <c r="O780" s="15" t="n"/>
      <c r="S780" s="16" t="n">
        <v>30711</v>
      </c>
      <c r="U780" s="16" t="n">
        <v>30711</v>
      </c>
      <c r="AC780" s="23">
        <f>IF(OR(E780="",E780="[PARENT]"),"ADD",IF(E780="[ALT_VIEW]","ALT",""))</f>
        <v/>
      </c>
      <c r="AD780" s="21">
        <f>IF(Y780&lt;&gt;"",Y780,IF(U780&lt;&gt;"",U780,S780))</f>
        <v/>
      </c>
      <c r="AE780" s="21">
        <f>IF(AB780&lt;&gt;"",AB780,Z780)</f>
        <v/>
      </c>
      <c r="AF780" s="13" t="inlineStr">
        <is>
          <t>P-35 &gt; CVN-81 &gt; ADVANCED ARRESTING GEAR (AAG) &gt; Other Costs</t>
        </is>
      </c>
      <c r="AG780" s="7" t="inlineStr">
        <is>
          <t>144</t>
        </is>
      </c>
      <c r="AH780" s="7" t="inlineStr">
        <is>
          <t>2004</t>
        </is>
      </c>
    </row>
    <row r="781" ht="10" customHeight="1">
      <c r="A781" s="7" t="inlineStr">
        <is>
          <t>SCN</t>
        </is>
      </c>
      <c r="B781" s="7" t="inlineStr">
        <is>
          <t>Procurement</t>
        </is>
      </c>
      <c r="D781" s="7" t="inlineStr">
        <is>
          <t>CVN-81 - P-35 PHALANX BLOCK 1B MK 15 MOD 21 &amp; 22, CLOSE - IN WEAPONS SYSTEM (CIWS) - Major Hardware                                                                                                                                                         3</t>
        </is>
      </c>
      <c r="E781" s="13" t="inlineStr">
        <is>
          <t>[ALT_VIEW]</t>
        </is>
      </c>
      <c r="F781" s="7" t="inlineStr">
        <is>
          <t>2004 / CVN-81</t>
        </is>
      </c>
      <c r="G781" s="7" t="inlineStr">
        <is>
          <t>P-35</t>
        </is>
      </c>
      <c r="I781" s="14" t="n">
        <v>1</v>
      </c>
      <c r="J781" s="7" t="inlineStr">
        <is>
          <t>Full ship DD&amp;C</t>
        </is>
      </c>
      <c r="K781" s="13" t="inlineStr">
        <is>
          <t>USN</t>
        </is>
      </c>
      <c r="L781" s="7" t="inlineStr">
        <is>
          <t>Combatant Ships</t>
        </is>
      </c>
      <c r="M781" s="7" t="inlineStr">
        <is>
          <t>Aircraft Carriers</t>
        </is>
      </c>
      <c r="N781" s="7" t="inlineStr">
        <is>
          <t>CVN</t>
        </is>
      </c>
      <c r="O781" s="15" t="n"/>
      <c r="S781" s="16" t="n">
        <v>22657</v>
      </c>
      <c r="U781" s="16" t="n">
        <v>22657</v>
      </c>
      <c r="AC781" s="23">
        <f>IF(OR(E781="",E781="[PARENT]"),"ADD",IF(E781="[ALT_VIEW]","ALT",""))</f>
        <v/>
      </c>
      <c r="AD781" s="21">
        <f>IF(Y781&lt;&gt;"",Y781,IF(U781&lt;&gt;"",U781,S781))</f>
        <v/>
      </c>
      <c r="AE781" s="21">
        <f>IF(AB781&lt;&gt;"",AB781,Z781)</f>
        <v/>
      </c>
      <c r="AF781" s="13" t="inlineStr">
        <is>
          <t>P-35 &gt; CVN-81 &gt; PHALANX BLOCK 1B MK 15 MOD 21 &amp; 22, CLOSE - IN WEAPONS SYSTEM (CIWS) &gt; Major Hardware                                                                                                                                                         3</t>
        </is>
      </c>
      <c r="AG781" s="7" t="inlineStr">
        <is>
          <t>145</t>
        </is>
      </c>
      <c r="AH781" s="7" t="inlineStr">
        <is>
          <t>2004</t>
        </is>
      </c>
    </row>
    <row r="782" ht="10" customHeight="1">
      <c r="A782" s="7" t="inlineStr">
        <is>
          <t>SCN</t>
        </is>
      </c>
      <c r="B782" s="7" t="inlineStr">
        <is>
          <t>Procurement</t>
        </is>
      </c>
      <c r="D782" s="7" t="inlineStr">
        <is>
          <t>CVN-81 - P-35 PHALANX BLOCK 1B MK 15 MOD 21 &amp; 22, CLOSE - IN WEAPONS SYSTEM (CIWS) - Ancillary Equipment</t>
        </is>
      </c>
      <c r="E782" s="13" t="inlineStr">
        <is>
          <t>[ALT_VIEW]</t>
        </is>
      </c>
      <c r="F782" s="7" t="inlineStr">
        <is>
          <t>2004 / CVN-81</t>
        </is>
      </c>
      <c r="G782" s="7" t="inlineStr">
        <is>
          <t>P-35</t>
        </is>
      </c>
      <c r="I782" s="14" t="n">
        <v>1</v>
      </c>
      <c r="J782" s="7" t="inlineStr">
        <is>
          <t>Full ship DD&amp;C</t>
        </is>
      </c>
      <c r="K782" s="13" t="inlineStr">
        <is>
          <t>USN</t>
        </is>
      </c>
      <c r="L782" s="7" t="inlineStr">
        <is>
          <t>Combatant Ships</t>
        </is>
      </c>
      <c r="M782" s="7" t="inlineStr">
        <is>
          <t>Aircraft Carriers</t>
        </is>
      </c>
      <c r="N782" s="7" t="inlineStr">
        <is>
          <t>CVN</t>
        </is>
      </c>
      <c r="O782" s="15" t="n"/>
      <c r="S782" s="16" t="n">
        <v>278</v>
      </c>
      <c r="U782" s="16" t="n">
        <v>278</v>
      </c>
      <c r="AC782" s="23">
        <f>IF(OR(E782="",E782="[PARENT]"),"ADD",IF(E782="[ALT_VIEW]","ALT",""))</f>
        <v/>
      </c>
      <c r="AD782" s="21">
        <f>IF(Y782&lt;&gt;"",Y782,IF(U782&lt;&gt;"",U782,S782))</f>
        <v/>
      </c>
      <c r="AE782" s="21">
        <f>IF(AB782&lt;&gt;"",AB782,Z782)</f>
        <v/>
      </c>
      <c r="AF782" s="13" t="inlineStr">
        <is>
          <t>P-35 &gt; CVN-81 &gt; PHALANX BLOCK 1B MK 15 MOD 21 &amp; 22, CLOSE - IN WEAPONS SYSTEM (CIWS) &gt; Ancillary Equipment</t>
        </is>
      </c>
      <c r="AG782" s="7" t="inlineStr">
        <is>
          <t>145</t>
        </is>
      </c>
      <c r="AH782" s="7" t="inlineStr">
        <is>
          <t>2004</t>
        </is>
      </c>
    </row>
    <row r="783" ht="10" customHeight="1">
      <c r="A783" s="7" t="inlineStr">
        <is>
          <t>SCN</t>
        </is>
      </c>
      <c r="B783" s="7" t="inlineStr">
        <is>
          <t>Procurement</t>
        </is>
      </c>
      <c r="D783" s="7" t="inlineStr">
        <is>
          <t>CVN-81 - P-35 PHALANX BLOCK 1B MK 15 MOD 21 &amp; 22, CLOSE - IN WEAPONS SYSTEM (CIWS) - Spares</t>
        </is>
      </c>
      <c r="E783" s="13" t="inlineStr">
        <is>
          <t>[ALT_VIEW]</t>
        </is>
      </c>
      <c r="F783" s="7" t="inlineStr">
        <is>
          <t>2004 / CVN-81</t>
        </is>
      </c>
      <c r="G783" s="7" t="inlineStr">
        <is>
          <t>P-35</t>
        </is>
      </c>
      <c r="I783" s="14" t="n">
        <v>1</v>
      </c>
      <c r="J783" s="7" t="inlineStr">
        <is>
          <t>Full ship DD&amp;C</t>
        </is>
      </c>
      <c r="K783" s="13" t="inlineStr">
        <is>
          <t>USN</t>
        </is>
      </c>
      <c r="L783" s="7" t="inlineStr">
        <is>
          <t>Combatant Ships</t>
        </is>
      </c>
      <c r="M783" s="7" t="inlineStr">
        <is>
          <t>Aircraft Carriers</t>
        </is>
      </c>
      <c r="N783" s="7" t="inlineStr">
        <is>
          <t>CVN</t>
        </is>
      </c>
      <c r="O783" s="15" t="n"/>
      <c r="S783" s="16" t="n">
        <v>485</v>
      </c>
      <c r="U783" s="16" t="n">
        <v>485</v>
      </c>
      <c r="AC783" s="23">
        <f>IF(OR(E783="",E783="[PARENT]"),"ADD",IF(E783="[ALT_VIEW]","ALT",""))</f>
        <v/>
      </c>
      <c r="AD783" s="21">
        <f>IF(Y783&lt;&gt;"",Y783,IF(U783&lt;&gt;"",U783,S783))</f>
        <v/>
      </c>
      <c r="AE783" s="21">
        <f>IF(AB783&lt;&gt;"",AB783,Z783)</f>
        <v/>
      </c>
      <c r="AF783" s="13" t="inlineStr">
        <is>
          <t>P-35 &gt; CVN-81 &gt; PHALANX BLOCK 1B MK 15 MOD 21 &amp; 22, CLOSE - IN WEAPONS SYSTEM (CIWS) &gt; Spares</t>
        </is>
      </c>
      <c r="AG783" s="7" t="inlineStr">
        <is>
          <t>145</t>
        </is>
      </c>
      <c r="AH783" s="7" t="inlineStr">
        <is>
          <t>2004</t>
        </is>
      </c>
      <c r="AJ783" s="7" t="inlineStr">
        <is>
          <t>PHALANX BLOCK 1B MK 15 MOD 21 &amp; 22,  CLOSE - IN WEAPONS SYSTEM (CIWS)</t>
        </is>
      </c>
    </row>
    <row r="784" ht="10" customHeight="1">
      <c r="A784" s="7" t="inlineStr">
        <is>
          <t>SCN</t>
        </is>
      </c>
      <c r="B784" s="7" t="inlineStr">
        <is>
          <t>Procurement</t>
        </is>
      </c>
      <c r="D784" s="7" t="inlineStr">
        <is>
          <t>CVN-81 - P-35 PHALANX BLOCK 1B MK 15 MOD 21 &amp; 22, CLOSE - IN WEAPONS SYSTEM (CIWS) - System Engineering</t>
        </is>
      </c>
      <c r="E784" s="13" t="inlineStr">
        <is>
          <t>[ALT_VIEW]</t>
        </is>
      </c>
      <c r="F784" s="7" t="inlineStr">
        <is>
          <t>2004 / CVN-81</t>
        </is>
      </c>
      <c r="G784" s="7" t="inlineStr">
        <is>
          <t>P-35</t>
        </is>
      </c>
      <c r="I784" s="14" t="n">
        <v>1</v>
      </c>
      <c r="J784" s="7" t="inlineStr">
        <is>
          <t>Full ship DD&amp;C</t>
        </is>
      </c>
      <c r="K784" s="13" t="inlineStr">
        <is>
          <t>USN</t>
        </is>
      </c>
      <c r="L784" s="7" t="inlineStr">
        <is>
          <t>Combatant Ships</t>
        </is>
      </c>
      <c r="M784" s="7" t="inlineStr">
        <is>
          <t>Aircraft Carriers</t>
        </is>
      </c>
      <c r="N784" s="7" t="inlineStr">
        <is>
          <t>CVN</t>
        </is>
      </c>
      <c r="O784" s="15" t="n"/>
      <c r="S784" s="16" t="n">
        <v>1768</v>
      </c>
      <c r="U784" s="16" t="n">
        <v>1768</v>
      </c>
      <c r="AC784" s="23">
        <f>IF(OR(E784="",E784="[PARENT]"),"ADD",IF(E784="[ALT_VIEW]","ALT",""))</f>
        <v/>
      </c>
      <c r="AD784" s="21">
        <f>IF(Y784&lt;&gt;"",Y784,IF(U784&lt;&gt;"",U784,S784))</f>
        <v/>
      </c>
      <c r="AE784" s="21">
        <f>IF(AB784&lt;&gt;"",AB784,Z784)</f>
        <v/>
      </c>
      <c r="AF784" s="13" t="inlineStr">
        <is>
          <t>P-35 &gt; CVN-81 &gt; PHALANX BLOCK 1B MK 15 MOD 21 &amp; 22, CLOSE - IN WEAPONS SYSTEM (CIWS) &gt; System Engineering</t>
        </is>
      </c>
      <c r="AG784" s="7" t="inlineStr">
        <is>
          <t>145</t>
        </is>
      </c>
      <c r="AH784" s="7" t="inlineStr">
        <is>
          <t>2004</t>
        </is>
      </c>
    </row>
    <row r="785" ht="10" customHeight="1">
      <c r="A785" s="7" t="inlineStr">
        <is>
          <t>SCN</t>
        </is>
      </c>
      <c r="B785" s="7" t="inlineStr">
        <is>
          <t>Procurement</t>
        </is>
      </c>
      <c r="D785" s="7" t="inlineStr">
        <is>
          <t>CVN-81 - P-35 PHALANX BLOCK 1B MK 15 MOD 21 &amp; 22, CLOSE - IN WEAPONS SYSTEM (CIWS) - Technical Engineering Services</t>
        </is>
      </c>
      <c r="E785" s="13" t="inlineStr">
        <is>
          <t>[ALT_VIEW]</t>
        </is>
      </c>
      <c r="F785" s="7" t="inlineStr">
        <is>
          <t>2004 / CVN-81</t>
        </is>
      </c>
      <c r="G785" s="7" t="inlineStr">
        <is>
          <t>P-35</t>
        </is>
      </c>
      <c r="I785" s="14" t="n">
        <v>1</v>
      </c>
      <c r="J785" s="7" t="inlineStr">
        <is>
          <t>Full ship DD&amp;C</t>
        </is>
      </c>
      <c r="K785" s="13" t="inlineStr">
        <is>
          <t>USN</t>
        </is>
      </c>
      <c r="L785" s="7" t="inlineStr">
        <is>
          <t>Combatant Ships</t>
        </is>
      </c>
      <c r="M785" s="7" t="inlineStr">
        <is>
          <t>Aircraft Carriers</t>
        </is>
      </c>
      <c r="N785" s="7" t="inlineStr">
        <is>
          <t>CVN</t>
        </is>
      </c>
      <c r="O785" s="15" t="n"/>
      <c r="S785" s="16" t="n">
        <v>988</v>
      </c>
      <c r="U785" s="16" t="n">
        <v>988</v>
      </c>
      <c r="AC785" s="23">
        <f>IF(OR(E785="",E785="[PARENT]"),"ADD",IF(E785="[ALT_VIEW]","ALT",""))</f>
        <v/>
      </c>
      <c r="AD785" s="21">
        <f>IF(Y785&lt;&gt;"",Y785,IF(U785&lt;&gt;"",U785,S785))</f>
        <v/>
      </c>
      <c r="AE785" s="21">
        <f>IF(AB785&lt;&gt;"",AB785,Z785)</f>
        <v/>
      </c>
      <c r="AF785" s="13" t="inlineStr">
        <is>
          <t>P-35 &gt; CVN-81 &gt; PHALANX BLOCK 1B MK 15 MOD 21 &amp; 22, CLOSE - IN WEAPONS SYSTEM (CIWS) &gt; Technical Engineering Services</t>
        </is>
      </c>
      <c r="AG785" s="7" t="inlineStr">
        <is>
          <t>145</t>
        </is>
      </c>
      <c r="AH785" s="7" t="inlineStr">
        <is>
          <t>2004</t>
        </is>
      </c>
    </row>
    <row r="786" ht="10" customHeight="1">
      <c r="A786" s="7" t="inlineStr">
        <is>
          <t>SCN</t>
        </is>
      </c>
      <c r="B786" s="7" t="inlineStr">
        <is>
          <t>Procurement</t>
        </is>
      </c>
      <c r="D786" s="7" t="inlineStr">
        <is>
          <t>CVN-81 - P-35 PHALANX BLOCK 1B MK 15 MOD 21 &amp; 22, CLOSE - IN WEAPONS SYSTEM (CIWS) - Other Costs</t>
        </is>
      </c>
      <c r="E786" s="13" t="inlineStr">
        <is>
          <t>[ALT_VIEW]</t>
        </is>
      </c>
      <c r="F786" s="7" t="inlineStr">
        <is>
          <t>2004 / CVN-81</t>
        </is>
      </c>
      <c r="G786" s="7" t="inlineStr">
        <is>
          <t>P-35</t>
        </is>
      </c>
      <c r="I786" s="14" t="n">
        <v>1</v>
      </c>
      <c r="J786" s="7" t="inlineStr">
        <is>
          <t>Full ship DD&amp;C</t>
        </is>
      </c>
      <c r="K786" s="13" t="inlineStr">
        <is>
          <t>USN</t>
        </is>
      </c>
      <c r="L786" s="7" t="inlineStr">
        <is>
          <t>Combatant Ships</t>
        </is>
      </c>
      <c r="M786" s="7" t="inlineStr">
        <is>
          <t>Aircraft Carriers</t>
        </is>
      </c>
      <c r="N786" s="7" t="inlineStr">
        <is>
          <t>CVN</t>
        </is>
      </c>
      <c r="O786" s="15" t="n"/>
      <c r="S786" s="16" t="n">
        <v>2167</v>
      </c>
      <c r="U786" s="16" t="n">
        <v>2167</v>
      </c>
      <c r="AC786" s="23">
        <f>IF(OR(E786="",E786="[PARENT]"),"ADD",IF(E786="[ALT_VIEW]","ALT",""))</f>
        <v/>
      </c>
      <c r="AD786" s="21">
        <f>IF(Y786&lt;&gt;"",Y786,IF(U786&lt;&gt;"",U786,S786))</f>
        <v/>
      </c>
      <c r="AE786" s="21">
        <f>IF(AB786&lt;&gt;"",AB786,Z786)</f>
        <v/>
      </c>
      <c r="AF786" s="13" t="inlineStr">
        <is>
          <t>P-35 &gt; CVN-81 &gt; PHALANX BLOCK 1B MK 15 MOD 21 &amp; 22, CLOSE - IN WEAPONS SYSTEM (CIWS) &gt; Other Costs</t>
        </is>
      </c>
      <c r="AG786" s="7" t="inlineStr">
        <is>
          <t>145</t>
        </is>
      </c>
      <c r="AH786" s="7" t="inlineStr">
        <is>
          <t>2004</t>
        </is>
      </c>
    </row>
    <row r="787" ht="10" customHeight="1">
      <c r="A787" s="7" t="inlineStr">
        <is>
          <t>SCN</t>
        </is>
      </c>
      <c r="B787" s="7" t="inlineStr">
        <is>
          <t>Procurement</t>
        </is>
      </c>
      <c r="D787" s="7" t="inlineStr">
        <is>
          <t>CVN-81 - P-35 AN/SQQ-34, CARRIER-TACTICAL SUPPORT CENTER (CV-TSC) - Major Hardware                                                                                                                                             1</t>
        </is>
      </c>
      <c r="E787" s="13" t="inlineStr">
        <is>
          <t>[ALT_VIEW]</t>
        </is>
      </c>
      <c r="F787" s="7" t="inlineStr">
        <is>
          <t>2004 / CVN-81</t>
        </is>
      </c>
      <c r="G787" s="7" t="inlineStr">
        <is>
          <t>P-35</t>
        </is>
      </c>
      <c r="I787" s="14" t="n">
        <v>1</v>
      </c>
      <c r="J787" s="7" t="inlineStr">
        <is>
          <t>Full ship DD&amp;C</t>
        </is>
      </c>
      <c r="K787" s="13" t="inlineStr">
        <is>
          <t>USN</t>
        </is>
      </c>
      <c r="L787" s="7" t="inlineStr">
        <is>
          <t>Combatant Ships</t>
        </is>
      </c>
      <c r="M787" s="7" t="inlineStr">
        <is>
          <t>Aircraft Carriers</t>
        </is>
      </c>
      <c r="N787" s="7" t="inlineStr">
        <is>
          <t>CVN</t>
        </is>
      </c>
      <c r="O787" s="15" t="n"/>
      <c r="S787" s="16" t="n">
        <v>3100</v>
      </c>
      <c r="U787" s="16" t="n">
        <v>3100</v>
      </c>
      <c r="AC787" s="23">
        <f>IF(OR(E787="",E787="[PARENT]"),"ADD",IF(E787="[ALT_VIEW]","ALT",""))</f>
        <v/>
      </c>
      <c r="AD787" s="21">
        <f>IF(Y787&lt;&gt;"",Y787,IF(U787&lt;&gt;"",U787,S787))</f>
        <v/>
      </c>
      <c r="AE787" s="21">
        <f>IF(AB787&lt;&gt;"",AB787,Z787)</f>
        <v/>
      </c>
      <c r="AF787" s="13" t="inlineStr">
        <is>
          <t>P-35 &gt; CVN-81 &gt; AN/SQQ-34, CARRIER-TACTICAL SUPPORT CENTER (CV-TSC) &gt; Major Hardware                                                                                                                                             1</t>
        </is>
      </c>
      <c r="AG787" s="7" t="inlineStr">
        <is>
          <t>146</t>
        </is>
      </c>
      <c r="AH787" s="7" t="inlineStr">
        <is>
          <t>2004</t>
        </is>
      </c>
    </row>
    <row r="788" ht="10" customHeight="1">
      <c r="A788" s="7" t="inlineStr">
        <is>
          <t>SCN</t>
        </is>
      </c>
      <c r="B788" s="7" t="inlineStr">
        <is>
          <t>Procurement</t>
        </is>
      </c>
      <c r="D788" s="7" t="inlineStr">
        <is>
          <t>CVN-81 - P-35 AN/SQQ-34, CARRIER-TACTICAL SUPPORT CENTER (CV-TSC) - Spares</t>
        </is>
      </c>
      <c r="E788" s="13" t="inlineStr">
        <is>
          <t>[ALT_VIEW]</t>
        </is>
      </c>
      <c r="F788" s="7" t="inlineStr">
        <is>
          <t>2004 / CVN-81</t>
        </is>
      </c>
      <c r="G788" s="7" t="inlineStr">
        <is>
          <t>P-35</t>
        </is>
      </c>
      <c r="I788" s="14" t="n">
        <v>1</v>
      </c>
      <c r="J788" s="7" t="inlineStr">
        <is>
          <t>Full ship DD&amp;C</t>
        </is>
      </c>
      <c r="K788" s="13" t="inlineStr">
        <is>
          <t>USN</t>
        </is>
      </c>
      <c r="L788" s="7" t="inlineStr">
        <is>
          <t>Combatant Ships</t>
        </is>
      </c>
      <c r="M788" s="7" t="inlineStr">
        <is>
          <t>Aircraft Carriers</t>
        </is>
      </c>
      <c r="N788" s="7" t="inlineStr">
        <is>
          <t>CVN</t>
        </is>
      </c>
      <c r="O788" s="15" t="n"/>
      <c r="S788" s="16" t="n">
        <v>220</v>
      </c>
      <c r="U788" s="16" t="n">
        <v>220</v>
      </c>
      <c r="AC788" s="23">
        <f>IF(OR(E788="",E788="[PARENT]"),"ADD",IF(E788="[ALT_VIEW]","ALT",""))</f>
        <v/>
      </c>
      <c r="AD788" s="21">
        <f>IF(Y788&lt;&gt;"",Y788,IF(U788&lt;&gt;"",U788,S788))</f>
        <v/>
      </c>
      <c r="AE788" s="21">
        <f>IF(AB788&lt;&gt;"",AB788,Z788)</f>
        <v/>
      </c>
      <c r="AF788" s="13" t="inlineStr">
        <is>
          <t>P-35 &gt; CVN-81 &gt; AN/SQQ-34, CARRIER-TACTICAL SUPPORT CENTER (CV-TSC) &gt; Spares</t>
        </is>
      </c>
      <c r="AG788" s="7" t="inlineStr">
        <is>
          <t>146</t>
        </is>
      </c>
      <c r="AH788" s="7" t="inlineStr">
        <is>
          <t>2004</t>
        </is>
      </c>
      <c r="AJ788" s="7" t="inlineStr">
        <is>
          <t>AN/SQQ-34, CARRIER-TACTICAL SUPPORT CENTER (CV-TSC) [CVN 81]</t>
        </is>
      </c>
    </row>
    <row r="789" ht="10" customHeight="1">
      <c r="A789" s="7" t="inlineStr">
        <is>
          <t>SCN</t>
        </is>
      </c>
      <c r="B789" s="7" t="inlineStr">
        <is>
          <t>Procurement</t>
        </is>
      </c>
      <c r="D789" s="7" t="inlineStr">
        <is>
          <t>CVN-81 - P-35 AN/SQQ-34, CARRIER-TACTICAL SUPPORT CENTER (CV-TSC) - System Engineering</t>
        </is>
      </c>
      <c r="E789" s="13" t="inlineStr">
        <is>
          <t>[ALT_VIEW]</t>
        </is>
      </c>
      <c r="F789" s="7" t="inlineStr">
        <is>
          <t>2004 / CVN-81</t>
        </is>
      </c>
      <c r="G789" s="7" t="inlineStr">
        <is>
          <t>P-35</t>
        </is>
      </c>
      <c r="I789" s="14" t="n">
        <v>1</v>
      </c>
      <c r="J789" s="7" t="inlineStr">
        <is>
          <t>Full ship DD&amp;C</t>
        </is>
      </c>
      <c r="K789" s="13" t="inlineStr">
        <is>
          <t>USN</t>
        </is>
      </c>
      <c r="L789" s="7" t="inlineStr">
        <is>
          <t>Combatant Ships</t>
        </is>
      </c>
      <c r="M789" s="7" t="inlineStr">
        <is>
          <t>Aircraft Carriers</t>
        </is>
      </c>
      <c r="N789" s="7" t="inlineStr">
        <is>
          <t>CVN</t>
        </is>
      </c>
      <c r="O789" s="15" t="n"/>
      <c r="S789" s="16" t="n">
        <v>93</v>
      </c>
      <c r="U789" s="16" t="n">
        <v>93</v>
      </c>
      <c r="AC789" s="23">
        <f>IF(OR(E789="",E789="[PARENT]"),"ADD",IF(E789="[ALT_VIEW]","ALT",""))</f>
        <v/>
      </c>
      <c r="AD789" s="21">
        <f>IF(Y789&lt;&gt;"",Y789,IF(U789&lt;&gt;"",U789,S789))</f>
        <v/>
      </c>
      <c r="AE789" s="21">
        <f>IF(AB789&lt;&gt;"",AB789,Z789)</f>
        <v/>
      </c>
      <c r="AF789" s="13" t="inlineStr">
        <is>
          <t>P-35 &gt; CVN-81 &gt; AN/SQQ-34, CARRIER-TACTICAL SUPPORT CENTER (CV-TSC) &gt; System Engineering</t>
        </is>
      </c>
      <c r="AG789" s="7" t="inlineStr">
        <is>
          <t>146</t>
        </is>
      </c>
      <c r="AH789" s="7" t="inlineStr">
        <is>
          <t>2004</t>
        </is>
      </c>
    </row>
    <row r="790" ht="10" customHeight="1">
      <c r="A790" s="7" t="inlineStr">
        <is>
          <t>SCN</t>
        </is>
      </c>
      <c r="B790" s="7" t="inlineStr">
        <is>
          <t>Procurement</t>
        </is>
      </c>
      <c r="D790" s="7" t="inlineStr">
        <is>
          <t>CVN-81 - P-35 AN/SQQ-34, CARRIER-TACTICAL SUPPORT CENTER (CV-TSC) - Other Costs</t>
        </is>
      </c>
      <c r="E790" s="13" t="inlineStr">
        <is>
          <t>[ALT_VIEW]</t>
        </is>
      </c>
      <c r="F790" s="7" t="inlineStr">
        <is>
          <t>2004 / CVN-81</t>
        </is>
      </c>
      <c r="G790" s="7" t="inlineStr">
        <is>
          <t>P-35</t>
        </is>
      </c>
      <c r="I790" s="14" t="n">
        <v>1</v>
      </c>
      <c r="J790" s="7" t="inlineStr">
        <is>
          <t>Full ship DD&amp;C</t>
        </is>
      </c>
      <c r="K790" s="13" t="inlineStr">
        <is>
          <t>USN</t>
        </is>
      </c>
      <c r="L790" s="7" t="inlineStr">
        <is>
          <t>Combatant Ships</t>
        </is>
      </c>
      <c r="M790" s="7" t="inlineStr">
        <is>
          <t>Aircraft Carriers</t>
        </is>
      </c>
      <c r="N790" s="7" t="inlineStr">
        <is>
          <t>CVN</t>
        </is>
      </c>
      <c r="O790" s="15" t="n"/>
      <c r="S790" s="16" t="n">
        <v>271</v>
      </c>
      <c r="U790" s="16" t="n">
        <v>271</v>
      </c>
      <c r="AC790" s="23">
        <f>IF(OR(E790="",E790="[PARENT]"),"ADD",IF(E790="[ALT_VIEW]","ALT",""))</f>
        <v/>
      </c>
      <c r="AD790" s="21">
        <f>IF(Y790&lt;&gt;"",Y790,IF(U790&lt;&gt;"",U790,S790))</f>
        <v/>
      </c>
      <c r="AE790" s="21">
        <f>IF(AB790&lt;&gt;"",AB790,Z790)</f>
        <v/>
      </c>
      <c r="AF790" s="13" t="inlineStr">
        <is>
          <t>P-35 &gt; CVN-81 &gt; AN/SQQ-34, CARRIER-TACTICAL SUPPORT CENTER (CV-TSC) &gt; Other Costs</t>
        </is>
      </c>
      <c r="AG790" s="7" t="inlineStr">
        <is>
          <t>146</t>
        </is>
      </c>
      <c r="AH790" s="7" t="inlineStr">
        <is>
          <t>2004</t>
        </is>
      </c>
    </row>
    <row r="791" ht="10" customHeight="1">
      <c r="A791" s="7" t="inlineStr">
        <is>
          <t>SCN</t>
        </is>
      </c>
      <c r="B791" s="7" t="inlineStr">
        <is>
          <t>Procurement</t>
        </is>
      </c>
      <c r="D791" s="7" t="inlineStr">
        <is>
          <t>CVN-81 - P-35 MK-57 NATO SEASPARROW MISSILE SYSTEM (NSSMS) - Major Hardware                                                                                                                                                1</t>
        </is>
      </c>
      <c r="E791" s="13" t="inlineStr">
        <is>
          <t>[ALT_VIEW]</t>
        </is>
      </c>
      <c r="F791" s="7" t="inlineStr">
        <is>
          <t>2004 / CVN-81</t>
        </is>
      </c>
      <c r="G791" s="7" t="inlineStr">
        <is>
          <t>P-35</t>
        </is>
      </c>
      <c r="I791" s="14" t="n">
        <v>1</v>
      </c>
      <c r="J791" s="7" t="inlineStr">
        <is>
          <t>Full ship DD&amp;C</t>
        </is>
      </c>
      <c r="K791" s="13" t="inlineStr">
        <is>
          <t>USN</t>
        </is>
      </c>
      <c r="L791" s="7" t="inlineStr">
        <is>
          <t>Combatant Ships</t>
        </is>
      </c>
      <c r="M791" s="7" t="inlineStr">
        <is>
          <t>Aircraft Carriers</t>
        </is>
      </c>
      <c r="N791" s="7" t="inlineStr">
        <is>
          <t>CVN</t>
        </is>
      </c>
      <c r="O791" s="15" t="n"/>
      <c r="S791" s="16" t="n">
        <v>40165</v>
      </c>
      <c r="U791" s="16" t="n">
        <v>40165</v>
      </c>
      <c r="AC791" s="23">
        <f>IF(OR(E791="",E791="[PARENT]"),"ADD",IF(E791="[ALT_VIEW]","ALT",""))</f>
        <v/>
      </c>
      <c r="AD791" s="21">
        <f>IF(Y791&lt;&gt;"",Y791,IF(U791&lt;&gt;"",U791,S791))</f>
        <v/>
      </c>
      <c r="AE791" s="21">
        <f>IF(AB791&lt;&gt;"",AB791,Z791)</f>
        <v/>
      </c>
      <c r="AF791" s="13" t="inlineStr">
        <is>
          <t>P-35 &gt; CVN-81 &gt; MK-57 NATO SEASPARROW MISSILE SYSTEM (NSSMS) &gt; Major Hardware                                                                                                                                                1</t>
        </is>
      </c>
      <c r="AG791" s="7" t="inlineStr">
        <is>
          <t>147</t>
        </is>
      </c>
      <c r="AH791" s="7" t="inlineStr">
        <is>
          <t>2004</t>
        </is>
      </c>
    </row>
    <row r="792" ht="10" customHeight="1">
      <c r="A792" s="7" t="inlineStr">
        <is>
          <t>SCN</t>
        </is>
      </c>
      <c r="B792" s="7" t="inlineStr">
        <is>
          <t>Procurement</t>
        </is>
      </c>
      <c r="D792" s="7" t="inlineStr">
        <is>
          <t>CVN-81 - P-35 MK-57 NATO SEASPARROW MISSILE SYSTEM (NSSMS) - Ancillary Equipment</t>
        </is>
      </c>
      <c r="E792" s="13" t="inlineStr">
        <is>
          <t>[ALT_VIEW]</t>
        </is>
      </c>
      <c r="F792" s="7" t="inlineStr">
        <is>
          <t>2004 / CVN-81</t>
        </is>
      </c>
      <c r="G792" s="7" t="inlineStr">
        <is>
          <t>P-35</t>
        </is>
      </c>
      <c r="I792" s="14" t="n">
        <v>1</v>
      </c>
      <c r="J792" s="7" t="inlineStr">
        <is>
          <t>Full ship DD&amp;C</t>
        </is>
      </c>
      <c r="K792" s="13" t="inlineStr">
        <is>
          <t>USN</t>
        </is>
      </c>
      <c r="L792" s="7" t="inlineStr">
        <is>
          <t>Combatant Ships</t>
        </is>
      </c>
      <c r="M792" s="7" t="inlineStr">
        <is>
          <t>Aircraft Carriers</t>
        </is>
      </c>
      <c r="N792" s="7" t="inlineStr">
        <is>
          <t>CVN</t>
        </is>
      </c>
      <c r="O792" s="15" t="n"/>
      <c r="S792" s="16" t="n">
        <v>432</v>
      </c>
      <c r="U792" s="16" t="n">
        <v>432</v>
      </c>
      <c r="AC792" s="23">
        <f>IF(OR(E792="",E792="[PARENT]"),"ADD",IF(E792="[ALT_VIEW]","ALT",""))</f>
        <v/>
      </c>
      <c r="AD792" s="21">
        <f>IF(Y792&lt;&gt;"",Y792,IF(U792&lt;&gt;"",U792,S792))</f>
        <v/>
      </c>
      <c r="AE792" s="21">
        <f>IF(AB792&lt;&gt;"",AB792,Z792)</f>
        <v/>
      </c>
      <c r="AF792" s="13" t="inlineStr">
        <is>
          <t>P-35 &gt; CVN-81 &gt; MK-57 NATO SEASPARROW MISSILE SYSTEM (NSSMS) &gt; Ancillary Equipment</t>
        </is>
      </c>
      <c r="AG792" s="7" t="inlineStr">
        <is>
          <t>147</t>
        </is>
      </c>
      <c r="AH792" s="7" t="inlineStr">
        <is>
          <t>2004</t>
        </is>
      </c>
    </row>
    <row r="793" ht="10" customHeight="1">
      <c r="A793" s="7" t="inlineStr">
        <is>
          <t>SCN</t>
        </is>
      </c>
      <c r="B793" s="7" t="inlineStr">
        <is>
          <t>Procurement</t>
        </is>
      </c>
      <c r="D793" s="7" t="inlineStr">
        <is>
          <t>CVN-81 - P-35 MK-57 NATO SEASPARROW MISSILE SYSTEM (NSSMS) - Spares</t>
        </is>
      </c>
      <c r="E793" s="13" t="inlineStr">
        <is>
          <t>[ALT_VIEW]</t>
        </is>
      </c>
      <c r="F793" s="7" t="inlineStr">
        <is>
          <t>2004 / CVN-81</t>
        </is>
      </c>
      <c r="G793" s="7" t="inlineStr">
        <is>
          <t>P-35</t>
        </is>
      </c>
      <c r="I793" s="14" t="n">
        <v>1</v>
      </c>
      <c r="J793" s="7" t="inlineStr">
        <is>
          <t>Full ship DD&amp;C</t>
        </is>
      </c>
      <c r="K793" s="13" t="inlineStr">
        <is>
          <t>USN</t>
        </is>
      </c>
      <c r="L793" s="7" t="inlineStr">
        <is>
          <t>Combatant Ships</t>
        </is>
      </c>
      <c r="M793" s="7" t="inlineStr">
        <is>
          <t>Aircraft Carriers</t>
        </is>
      </c>
      <c r="N793" s="7" t="inlineStr">
        <is>
          <t>CVN</t>
        </is>
      </c>
      <c r="O793" s="15" t="n"/>
      <c r="S793" s="16" t="n">
        <v>1788</v>
      </c>
      <c r="U793" s="16" t="n">
        <v>1788</v>
      </c>
      <c r="AC793" s="23">
        <f>IF(OR(E793="",E793="[PARENT]"),"ADD",IF(E793="[ALT_VIEW]","ALT",""))</f>
        <v/>
      </c>
      <c r="AD793" s="21">
        <f>IF(Y793&lt;&gt;"",Y793,IF(U793&lt;&gt;"",U793,S793))</f>
        <v/>
      </c>
      <c r="AE793" s="21">
        <f>IF(AB793&lt;&gt;"",AB793,Z793)</f>
        <v/>
      </c>
      <c r="AF793" s="13" t="inlineStr">
        <is>
          <t>P-35 &gt; CVN-81 &gt; MK-57 NATO SEASPARROW MISSILE SYSTEM (NSSMS) &gt; Spares</t>
        </is>
      </c>
      <c r="AG793" s="7" t="inlineStr">
        <is>
          <t>147</t>
        </is>
      </c>
      <c r="AH793" s="7" t="inlineStr">
        <is>
          <t>2004</t>
        </is>
      </c>
      <c r="AJ793" s="7" t="inlineStr">
        <is>
          <t>MK-57 NATO SEASPARROW MISSILE SYSTEM (NSSMS) [CVN 81]</t>
        </is>
      </c>
    </row>
    <row r="794" ht="10" customHeight="1">
      <c r="A794" s="7" t="inlineStr">
        <is>
          <t>SCN</t>
        </is>
      </c>
      <c r="B794" s="7" t="inlineStr">
        <is>
          <t>Procurement</t>
        </is>
      </c>
      <c r="D794" s="7" t="inlineStr">
        <is>
          <t>CVN-81 - P-35 MK-57 NATO SEASPARROW MISSILE SYSTEM (NSSMS) - System Engineering</t>
        </is>
      </c>
      <c r="E794" s="13" t="inlineStr">
        <is>
          <t>[ALT_VIEW]</t>
        </is>
      </c>
      <c r="F794" s="7" t="inlineStr">
        <is>
          <t>2004 / CVN-81</t>
        </is>
      </c>
      <c r="G794" s="7" t="inlineStr">
        <is>
          <t>P-35</t>
        </is>
      </c>
      <c r="I794" s="14" t="n">
        <v>1</v>
      </c>
      <c r="J794" s="7" t="inlineStr">
        <is>
          <t>Full ship DD&amp;C</t>
        </is>
      </c>
      <c r="K794" s="13" t="inlineStr">
        <is>
          <t>USN</t>
        </is>
      </c>
      <c r="L794" s="7" t="inlineStr">
        <is>
          <t>Combatant Ships</t>
        </is>
      </c>
      <c r="M794" s="7" t="inlineStr">
        <is>
          <t>Aircraft Carriers</t>
        </is>
      </c>
      <c r="N794" s="7" t="inlineStr">
        <is>
          <t>CVN</t>
        </is>
      </c>
      <c r="O794" s="15" t="n"/>
      <c r="S794" s="16" t="n">
        <v>811</v>
      </c>
      <c r="U794" s="16" t="n">
        <v>811</v>
      </c>
      <c r="AC794" s="23">
        <f>IF(OR(E794="",E794="[PARENT]"),"ADD",IF(E794="[ALT_VIEW]","ALT",""))</f>
        <v/>
      </c>
      <c r="AD794" s="21">
        <f>IF(Y794&lt;&gt;"",Y794,IF(U794&lt;&gt;"",U794,S794))</f>
        <v/>
      </c>
      <c r="AE794" s="21">
        <f>IF(AB794&lt;&gt;"",AB794,Z794)</f>
        <v/>
      </c>
      <c r="AF794" s="13" t="inlineStr">
        <is>
          <t>P-35 &gt; CVN-81 &gt; MK-57 NATO SEASPARROW MISSILE SYSTEM (NSSMS) &gt; System Engineering</t>
        </is>
      </c>
      <c r="AG794" s="7" t="inlineStr">
        <is>
          <t>147</t>
        </is>
      </c>
      <c r="AH794" s="7" t="inlineStr">
        <is>
          <t>2004</t>
        </is>
      </c>
    </row>
    <row r="795" ht="10" customHeight="1">
      <c r="A795" s="7" t="inlineStr">
        <is>
          <t>SCN</t>
        </is>
      </c>
      <c r="B795" s="7" t="inlineStr">
        <is>
          <t>Procurement</t>
        </is>
      </c>
      <c r="D795" s="7" t="inlineStr">
        <is>
          <t>CVN-81 - P-35 MK-57 NATO SEASPARROW MISSILE SYSTEM (NSSMS) - Technical Engineering Services</t>
        </is>
      </c>
      <c r="E795" s="13" t="inlineStr">
        <is>
          <t>[ALT_VIEW]</t>
        </is>
      </c>
      <c r="F795" s="7" t="inlineStr">
        <is>
          <t>2004 / CVN-81</t>
        </is>
      </c>
      <c r="G795" s="7" t="inlineStr">
        <is>
          <t>P-35</t>
        </is>
      </c>
      <c r="I795" s="14" t="n">
        <v>1</v>
      </c>
      <c r="J795" s="7" t="inlineStr">
        <is>
          <t>Full ship DD&amp;C</t>
        </is>
      </c>
      <c r="K795" s="13" t="inlineStr">
        <is>
          <t>USN</t>
        </is>
      </c>
      <c r="L795" s="7" t="inlineStr">
        <is>
          <t>Combatant Ships</t>
        </is>
      </c>
      <c r="M795" s="7" t="inlineStr">
        <is>
          <t>Aircraft Carriers</t>
        </is>
      </c>
      <c r="N795" s="7" t="inlineStr">
        <is>
          <t>CVN</t>
        </is>
      </c>
      <c r="O795" s="15" t="n"/>
      <c r="S795" s="16" t="n">
        <v>768</v>
      </c>
      <c r="U795" s="16" t="n">
        <v>768</v>
      </c>
      <c r="AC795" s="23">
        <f>IF(OR(E795="",E795="[PARENT]"),"ADD",IF(E795="[ALT_VIEW]","ALT",""))</f>
        <v/>
      </c>
      <c r="AD795" s="21">
        <f>IF(Y795&lt;&gt;"",Y795,IF(U795&lt;&gt;"",U795,S795))</f>
        <v/>
      </c>
      <c r="AE795" s="21">
        <f>IF(AB795&lt;&gt;"",AB795,Z795)</f>
        <v/>
      </c>
      <c r="AF795" s="13" t="inlineStr">
        <is>
          <t>P-35 &gt; CVN-81 &gt; MK-57 NATO SEASPARROW MISSILE SYSTEM (NSSMS) &gt; Technical Engineering Services</t>
        </is>
      </c>
      <c r="AG795" s="7" t="inlineStr">
        <is>
          <t>147</t>
        </is>
      </c>
      <c r="AH795" s="7" t="inlineStr">
        <is>
          <t>2004</t>
        </is>
      </c>
    </row>
    <row r="796" ht="10" customHeight="1">
      <c r="A796" s="7" t="inlineStr">
        <is>
          <t>SCN</t>
        </is>
      </c>
      <c r="B796" s="7" t="inlineStr">
        <is>
          <t>Procurement</t>
        </is>
      </c>
      <c r="D796" s="7" t="inlineStr">
        <is>
          <t>CVN-81 - P-35 MK-57 NATO SEASPARROW MISSILE SYSTEM (NSSMS) - Other Costs</t>
        </is>
      </c>
      <c r="E796" s="13" t="inlineStr">
        <is>
          <t>[ALT_VIEW]</t>
        </is>
      </c>
      <c r="F796" s="7" t="inlineStr">
        <is>
          <t>2004 / CVN-81</t>
        </is>
      </c>
      <c r="G796" s="7" t="inlineStr">
        <is>
          <t>P-35</t>
        </is>
      </c>
      <c r="I796" s="14" t="n">
        <v>1</v>
      </c>
      <c r="J796" s="7" t="inlineStr">
        <is>
          <t>Full ship DD&amp;C</t>
        </is>
      </c>
      <c r="K796" s="13" t="inlineStr">
        <is>
          <t>USN</t>
        </is>
      </c>
      <c r="L796" s="7" t="inlineStr">
        <is>
          <t>Combatant Ships</t>
        </is>
      </c>
      <c r="M796" s="7" t="inlineStr">
        <is>
          <t>Aircraft Carriers</t>
        </is>
      </c>
      <c r="N796" s="7" t="inlineStr">
        <is>
          <t>CVN</t>
        </is>
      </c>
      <c r="O796" s="15" t="n"/>
      <c r="S796" s="16" t="n">
        <v>1885</v>
      </c>
      <c r="U796" s="16" t="n">
        <v>1885</v>
      </c>
      <c r="AC796" s="23">
        <f>IF(OR(E796="",E796="[PARENT]"),"ADD",IF(E796="[ALT_VIEW]","ALT",""))</f>
        <v/>
      </c>
      <c r="AD796" s="21">
        <f>IF(Y796&lt;&gt;"",Y796,IF(U796&lt;&gt;"",U796,S796))</f>
        <v/>
      </c>
      <c r="AE796" s="21">
        <f>IF(AB796&lt;&gt;"",AB796,Z796)</f>
        <v/>
      </c>
      <c r="AF796" s="13" t="inlineStr">
        <is>
          <t>P-35 &gt; CVN-81 &gt; MK-57 NATO SEASPARROW MISSILE SYSTEM (NSSMS) &gt; Other Costs</t>
        </is>
      </c>
      <c r="AG796" s="7" t="inlineStr">
        <is>
          <t>147</t>
        </is>
      </c>
      <c r="AH796" s="7" t="inlineStr">
        <is>
          <t>2004</t>
        </is>
      </c>
    </row>
    <row r="797" ht="10" customHeight="1">
      <c r="A797" s="7" t="inlineStr">
        <is>
          <t>SCN</t>
        </is>
      </c>
      <c r="B797" s="7" t="inlineStr">
        <is>
          <t>Procurement</t>
        </is>
      </c>
      <c r="D797" s="7" t="inlineStr">
        <is>
          <t>CVN-81 - P-35 AVIATION DATA MANAGEMENT AND CONTROL SYSTEM (ADMACS) - Major Hardware                                                                                                                                                    1</t>
        </is>
      </c>
      <c r="E797" s="13" t="inlineStr">
        <is>
          <t>[ALT_VIEW]</t>
        </is>
      </c>
      <c r="F797" s="7" t="inlineStr">
        <is>
          <t>2004 / CVN-81</t>
        </is>
      </c>
      <c r="G797" s="7" t="inlineStr">
        <is>
          <t>P-35</t>
        </is>
      </c>
      <c r="I797" s="14" t="n">
        <v>1</v>
      </c>
      <c r="J797" s="7" t="inlineStr">
        <is>
          <t>Full ship DD&amp;C</t>
        </is>
      </c>
      <c r="K797" s="13" t="inlineStr">
        <is>
          <t>USN</t>
        </is>
      </c>
      <c r="L797" s="7" t="inlineStr">
        <is>
          <t>Combatant Ships</t>
        </is>
      </c>
      <c r="M797" s="7" t="inlineStr">
        <is>
          <t>Aircraft Carriers</t>
        </is>
      </c>
      <c r="N797" s="7" t="inlineStr">
        <is>
          <t>CVN</t>
        </is>
      </c>
      <c r="O797" s="15" t="n"/>
      <c r="S797" s="16" t="n">
        <v>5108</v>
      </c>
      <c r="U797" s="16" t="n">
        <v>5108</v>
      </c>
      <c r="AC797" s="23">
        <f>IF(OR(E797="",E797="[PARENT]"),"ADD",IF(E797="[ALT_VIEW]","ALT",""))</f>
        <v/>
      </c>
      <c r="AD797" s="21">
        <f>IF(Y797&lt;&gt;"",Y797,IF(U797&lt;&gt;"",U797,S797))</f>
        <v/>
      </c>
      <c r="AE797" s="21">
        <f>IF(AB797&lt;&gt;"",AB797,Z797)</f>
        <v/>
      </c>
      <c r="AF797" s="13" t="inlineStr">
        <is>
          <t>P-35 &gt; CVN-81 &gt; AVIATION DATA MANAGEMENT AND CONTROL SYSTEM (ADMACS) &gt; Major Hardware                                                                                                                                                    1</t>
        </is>
      </c>
      <c r="AG797" s="7" t="inlineStr">
        <is>
          <t>148</t>
        </is>
      </c>
      <c r="AH797" s="7" t="inlineStr">
        <is>
          <t>2004</t>
        </is>
      </c>
    </row>
    <row r="798" ht="10" customHeight="1">
      <c r="A798" s="7" t="inlineStr">
        <is>
          <t>SCN</t>
        </is>
      </c>
      <c r="B798" s="7" t="inlineStr">
        <is>
          <t>Procurement</t>
        </is>
      </c>
      <c r="D798" s="7" t="inlineStr">
        <is>
          <t>CVN-81 - P-35 AVIATION DATA MANAGEMENT AND CONTROL SYSTEM (ADMACS) - System Engineering</t>
        </is>
      </c>
      <c r="E798" s="13" t="inlineStr">
        <is>
          <t>[ALT_VIEW]</t>
        </is>
      </c>
      <c r="F798" s="7" t="inlineStr">
        <is>
          <t>2004 / CVN-81</t>
        </is>
      </c>
      <c r="G798" s="7" t="inlineStr">
        <is>
          <t>P-35</t>
        </is>
      </c>
      <c r="I798" s="14" t="n">
        <v>1</v>
      </c>
      <c r="J798" s="7" t="inlineStr">
        <is>
          <t>Full ship DD&amp;C</t>
        </is>
      </c>
      <c r="K798" s="13" t="inlineStr">
        <is>
          <t>USN</t>
        </is>
      </c>
      <c r="L798" s="7" t="inlineStr">
        <is>
          <t>Combatant Ships</t>
        </is>
      </c>
      <c r="M798" s="7" t="inlineStr">
        <is>
          <t>Aircraft Carriers</t>
        </is>
      </c>
      <c r="N798" s="7" t="inlineStr">
        <is>
          <t>CVN</t>
        </is>
      </c>
      <c r="O798" s="15" t="n"/>
      <c r="S798" s="16" t="n">
        <v>944</v>
      </c>
      <c r="U798" s="16" t="n">
        <v>944</v>
      </c>
      <c r="AC798" s="23">
        <f>IF(OR(E798="",E798="[PARENT]"),"ADD",IF(E798="[ALT_VIEW]","ALT",""))</f>
        <v/>
      </c>
      <c r="AD798" s="21">
        <f>IF(Y798&lt;&gt;"",Y798,IF(U798&lt;&gt;"",U798,S798))</f>
        <v/>
      </c>
      <c r="AE798" s="21">
        <f>IF(AB798&lt;&gt;"",AB798,Z798)</f>
        <v/>
      </c>
      <c r="AF798" s="13" t="inlineStr">
        <is>
          <t>P-35 &gt; CVN-81 &gt; AVIATION DATA MANAGEMENT AND CONTROL SYSTEM (ADMACS) &gt; System Engineering</t>
        </is>
      </c>
      <c r="AG798" s="7" t="inlineStr">
        <is>
          <t>148</t>
        </is>
      </c>
      <c r="AH798" s="7" t="inlineStr">
        <is>
          <t>2004</t>
        </is>
      </c>
    </row>
    <row r="799" ht="10" customHeight="1">
      <c r="A799" s="7" t="inlineStr">
        <is>
          <t>SCN</t>
        </is>
      </c>
      <c r="B799" s="7" t="inlineStr">
        <is>
          <t>Procurement</t>
        </is>
      </c>
      <c r="D799" s="7" t="inlineStr">
        <is>
          <t>CVN-81 - P-35 AVIATION DATA MANAGEMENT AND CONTROL SYSTEM (ADMACS) - Technical Engineering Services</t>
        </is>
      </c>
      <c r="E799" s="13" t="inlineStr">
        <is>
          <t>[ALT_VIEW]</t>
        </is>
      </c>
      <c r="F799" s="7" t="inlineStr">
        <is>
          <t>2004 / CVN-81</t>
        </is>
      </c>
      <c r="G799" s="7" t="inlineStr">
        <is>
          <t>P-35</t>
        </is>
      </c>
      <c r="I799" s="14" t="n">
        <v>1</v>
      </c>
      <c r="J799" s="7" t="inlineStr">
        <is>
          <t>Full ship DD&amp;C</t>
        </is>
      </c>
      <c r="K799" s="13" t="inlineStr">
        <is>
          <t>USN</t>
        </is>
      </c>
      <c r="L799" s="7" t="inlineStr">
        <is>
          <t>Combatant Ships</t>
        </is>
      </c>
      <c r="M799" s="7" t="inlineStr">
        <is>
          <t>Aircraft Carriers</t>
        </is>
      </c>
      <c r="N799" s="7" t="inlineStr">
        <is>
          <t>CVN</t>
        </is>
      </c>
      <c r="O799" s="15" t="n"/>
      <c r="S799" s="16" t="n">
        <v>588</v>
      </c>
      <c r="U799" s="16" t="n">
        <v>588</v>
      </c>
      <c r="AC799" s="23">
        <f>IF(OR(E799="",E799="[PARENT]"),"ADD",IF(E799="[ALT_VIEW]","ALT",""))</f>
        <v/>
      </c>
      <c r="AD799" s="21">
        <f>IF(Y799&lt;&gt;"",Y799,IF(U799&lt;&gt;"",U799,S799))</f>
        <v/>
      </c>
      <c r="AE799" s="21">
        <f>IF(AB799&lt;&gt;"",AB799,Z799)</f>
        <v/>
      </c>
      <c r="AF799" s="13" t="inlineStr">
        <is>
          <t>P-35 &gt; CVN-81 &gt; AVIATION DATA MANAGEMENT AND CONTROL SYSTEM (ADMACS) &gt; Technical Engineering Services</t>
        </is>
      </c>
      <c r="AG799" s="7" t="inlineStr">
        <is>
          <t>148</t>
        </is>
      </c>
      <c r="AH799" s="7" t="inlineStr">
        <is>
          <t>2004</t>
        </is>
      </c>
    </row>
    <row r="800" ht="10" customHeight="1">
      <c r="A800" s="7" t="inlineStr">
        <is>
          <t>SCN</t>
        </is>
      </c>
      <c r="B800" s="7" t="inlineStr">
        <is>
          <t>Procurement</t>
        </is>
      </c>
      <c r="D800" s="7" t="inlineStr">
        <is>
          <t>CVN-81 - P-35 AVIATION DATA MANAGEMENT AND CONTROL SYSTEM (ADMACS) - Other Costs</t>
        </is>
      </c>
      <c r="E800" s="13" t="inlineStr">
        <is>
          <t>[ALT_VIEW]</t>
        </is>
      </c>
      <c r="F800" s="7" t="inlineStr">
        <is>
          <t>2004 / CVN-81</t>
        </is>
      </c>
      <c r="G800" s="7" t="inlineStr">
        <is>
          <t>P-35</t>
        </is>
      </c>
      <c r="I800" s="14" t="n">
        <v>1</v>
      </c>
      <c r="J800" s="7" t="inlineStr">
        <is>
          <t>Full ship DD&amp;C</t>
        </is>
      </c>
      <c r="K800" s="13" t="inlineStr">
        <is>
          <t>USN</t>
        </is>
      </c>
      <c r="L800" s="7" t="inlineStr">
        <is>
          <t>Combatant Ships</t>
        </is>
      </c>
      <c r="M800" s="7" t="inlineStr">
        <is>
          <t>Aircraft Carriers</t>
        </is>
      </c>
      <c r="N800" s="7" t="inlineStr">
        <is>
          <t>CVN</t>
        </is>
      </c>
      <c r="O800" s="15" t="n"/>
      <c r="S800" s="16" t="n">
        <v>2132</v>
      </c>
      <c r="U800" s="16" t="n">
        <v>2132</v>
      </c>
      <c r="AC800" s="23">
        <f>IF(OR(E800="",E800="[PARENT]"),"ADD",IF(E800="[ALT_VIEW]","ALT",""))</f>
        <v/>
      </c>
      <c r="AD800" s="21">
        <f>IF(Y800&lt;&gt;"",Y800,IF(U800&lt;&gt;"",U800,S800))</f>
        <v/>
      </c>
      <c r="AE800" s="21">
        <f>IF(AB800&lt;&gt;"",AB800,Z800)</f>
        <v/>
      </c>
      <c r="AF800" s="13" t="inlineStr">
        <is>
          <t>P-35 &gt; CVN-81 &gt; AVIATION DATA MANAGEMENT AND CONTROL SYSTEM (ADMACS) &gt; Other Costs</t>
        </is>
      </c>
      <c r="AG800" s="7" t="inlineStr">
        <is>
          <t>148</t>
        </is>
      </c>
      <c r="AH800" s="7" t="inlineStr">
        <is>
          <t>2004</t>
        </is>
      </c>
    </row>
    <row r="801" ht="10" customHeight="1">
      <c r="A801" s="7" t="inlineStr">
        <is>
          <t>SCN</t>
        </is>
      </c>
      <c r="B801" s="7" t="inlineStr">
        <is>
          <t>Procurement</t>
        </is>
      </c>
      <c r="D801" s="7" t="inlineStr">
        <is>
          <t>CVN-81 - P-35 MK 49, MOD 3 ROLLING AIRFRAME MISSILE (RAM) - Major Hardware                                                                                                                                                   2</t>
        </is>
      </c>
      <c r="E801" s="13" t="inlineStr">
        <is>
          <t>[ALT_VIEW]</t>
        </is>
      </c>
      <c r="F801" s="7" t="inlineStr">
        <is>
          <t>2004 / CVN-81</t>
        </is>
      </c>
      <c r="G801" s="7" t="inlineStr">
        <is>
          <t>P-35</t>
        </is>
      </c>
      <c r="I801" s="14" t="n">
        <v>1</v>
      </c>
      <c r="J801" s="7" t="inlineStr">
        <is>
          <t>Full ship DD&amp;C</t>
        </is>
      </c>
      <c r="K801" s="13" t="inlineStr">
        <is>
          <t>USN</t>
        </is>
      </c>
      <c r="L801" s="7" t="inlineStr">
        <is>
          <t>Combatant Ships</t>
        </is>
      </c>
      <c r="M801" s="7" t="inlineStr">
        <is>
          <t>Aircraft Carriers</t>
        </is>
      </c>
      <c r="N801" s="7" t="inlineStr">
        <is>
          <t>CVN</t>
        </is>
      </c>
      <c r="O801" s="15" t="n"/>
      <c r="S801" s="16" t="n">
        <v>18650</v>
      </c>
      <c r="U801" s="16" t="n">
        <v>18650</v>
      </c>
      <c r="AC801" s="23">
        <f>IF(OR(E801="",E801="[PARENT]"),"ADD",IF(E801="[ALT_VIEW]","ALT",""))</f>
        <v/>
      </c>
      <c r="AD801" s="21">
        <f>IF(Y801&lt;&gt;"",Y801,IF(U801&lt;&gt;"",U801,S801))</f>
        <v/>
      </c>
      <c r="AE801" s="21">
        <f>IF(AB801&lt;&gt;"",AB801,Z801)</f>
        <v/>
      </c>
      <c r="AF801" s="13" t="inlineStr">
        <is>
          <t>P-35 &gt; CVN-81 &gt; MK 49, MOD 3 ROLLING AIRFRAME MISSILE (RAM) &gt; Major Hardware                                                                                                                                                   2</t>
        </is>
      </c>
      <c r="AG801" s="7" t="inlineStr">
        <is>
          <t>149</t>
        </is>
      </c>
      <c r="AH801" s="7" t="inlineStr">
        <is>
          <t>2004</t>
        </is>
      </c>
    </row>
    <row r="802" ht="10" customHeight="1">
      <c r="A802" s="7" t="inlineStr">
        <is>
          <t>SCN</t>
        </is>
      </c>
      <c r="B802" s="7" t="inlineStr">
        <is>
          <t>Procurement</t>
        </is>
      </c>
      <c r="D802" s="7" t="inlineStr">
        <is>
          <t>CVN-81 - P-35 MK 49, MOD 3 ROLLING AIRFRAME MISSILE (RAM) - Ancillary Equipment</t>
        </is>
      </c>
      <c r="E802" s="13" t="inlineStr">
        <is>
          <t>[ALT_VIEW]</t>
        </is>
      </c>
      <c r="F802" s="7" t="inlineStr">
        <is>
          <t>2004 / CVN-81</t>
        </is>
      </c>
      <c r="G802" s="7" t="inlineStr">
        <is>
          <t>P-35</t>
        </is>
      </c>
      <c r="I802" s="14" t="n">
        <v>1</v>
      </c>
      <c r="J802" s="7" t="inlineStr">
        <is>
          <t>Full ship DD&amp;C</t>
        </is>
      </c>
      <c r="K802" s="13" t="inlineStr">
        <is>
          <t>USN</t>
        </is>
      </c>
      <c r="L802" s="7" t="inlineStr">
        <is>
          <t>Combatant Ships</t>
        </is>
      </c>
      <c r="M802" s="7" t="inlineStr">
        <is>
          <t>Aircraft Carriers</t>
        </is>
      </c>
      <c r="N802" s="7" t="inlineStr">
        <is>
          <t>CVN</t>
        </is>
      </c>
      <c r="O802" s="15" t="n"/>
      <c r="S802" s="16" t="n">
        <v>293</v>
      </c>
      <c r="U802" s="16" t="n">
        <v>293</v>
      </c>
      <c r="AC802" s="23">
        <f>IF(OR(E802="",E802="[PARENT]"),"ADD",IF(E802="[ALT_VIEW]","ALT",""))</f>
        <v/>
      </c>
      <c r="AD802" s="21">
        <f>IF(Y802&lt;&gt;"",Y802,IF(U802&lt;&gt;"",U802,S802))</f>
        <v/>
      </c>
      <c r="AE802" s="21">
        <f>IF(AB802&lt;&gt;"",AB802,Z802)</f>
        <v/>
      </c>
      <c r="AF802" s="13" t="inlineStr">
        <is>
          <t>P-35 &gt; CVN-81 &gt; MK 49, MOD 3 ROLLING AIRFRAME MISSILE (RAM) &gt; Ancillary Equipment</t>
        </is>
      </c>
      <c r="AG802" s="7" t="inlineStr">
        <is>
          <t>149</t>
        </is>
      </c>
      <c r="AH802" s="7" t="inlineStr">
        <is>
          <t>2004</t>
        </is>
      </c>
    </row>
    <row r="803" ht="10" customHeight="1">
      <c r="A803" s="7" t="inlineStr">
        <is>
          <t>SCN</t>
        </is>
      </c>
      <c r="B803" s="7" t="inlineStr">
        <is>
          <t>Procurement</t>
        </is>
      </c>
      <c r="D803" s="7" t="inlineStr">
        <is>
          <t>CVN-81 - P-35 MK 49, MOD 3 ROLLING AIRFRAME MISSILE (RAM) - Spares</t>
        </is>
      </c>
      <c r="E803" s="13" t="inlineStr">
        <is>
          <t>[ALT_VIEW]</t>
        </is>
      </c>
      <c r="F803" s="7" t="inlineStr">
        <is>
          <t>2004 / CVN-81</t>
        </is>
      </c>
      <c r="G803" s="7" t="inlineStr">
        <is>
          <t>P-35</t>
        </is>
      </c>
      <c r="I803" s="14" t="n">
        <v>1</v>
      </c>
      <c r="J803" s="7" t="inlineStr">
        <is>
          <t>Full ship DD&amp;C</t>
        </is>
      </c>
      <c r="K803" s="13" t="inlineStr">
        <is>
          <t>USN</t>
        </is>
      </c>
      <c r="L803" s="7" t="inlineStr">
        <is>
          <t>Combatant Ships</t>
        </is>
      </c>
      <c r="M803" s="7" t="inlineStr">
        <is>
          <t>Aircraft Carriers</t>
        </is>
      </c>
      <c r="N803" s="7" t="inlineStr">
        <is>
          <t>CVN</t>
        </is>
      </c>
      <c r="O803" s="15" t="n"/>
      <c r="S803" s="16" t="n">
        <v>160</v>
      </c>
      <c r="U803" s="16" t="n">
        <v>160</v>
      </c>
      <c r="AC803" s="23">
        <f>IF(OR(E803="",E803="[PARENT]"),"ADD",IF(E803="[ALT_VIEW]","ALT",""))</f>
        <v/>
      </c>
      <c r="AD803" s="21">
        <f>IF(Y803&lt;&gt;"",Y803,IF(U803&lt;&gt;"",U803,S803))</f>
        <v/>
      </c>
      <c r="AE803" s="21">
        <f>IF(AB803&lt;&gt;"",AB803,Z803)</f>
        <v/>
      </c>
      <c r="AF803" s="13" t="inlineStr">
        <is>
          <t>P-35 &gt; CVN-81 &gt; MK 49, MOD 3 ROLLING AIRFRAME MISSILE (RAM) &gt; Spares</t>
        </is>
      </c>
      <c r="AG803" s="7" t="inlineStr">
        <is>
          <t>149</t>
        </is>
      </c>
      <c r="AH803" s="7" t="inlineStr">
        <is>
          <t>2004</t>
        </is>
      </c>
      <c r="AJ803" s="7" t="inlineStr">
        <is>
          <t>MK 49, MOD 3 ROLLING AIRFRAME MISSILE (RAM) [CVN 81]</t>
        </is>
      </c>
    </row>
    <row r="804" ht="10" customHeight="1">
      <c r="A804" s="7" t="inlineStr">
        <is>
          <t>SCN</t>
        </is>
      </c>
      <c r="B804" s="7" t="inlineStr">
        <is>
          <t>Procurement</t>
        </is>
      </c>
      <c r="D804" s="7" t="inlineStr">
        <is>
          <t>CVN-81 - P-35 MK 49, MOD 3 ROLLING AIRFRAME MISSILE (RAM) - System Engineering</t>
        </is>
      </c>
      <c r="E804" s="13" t="inlineStr">
        <is>
          <t>[ALT_VIEW]</t>
        </is>
      </c>
      <c r="F804" s="7" t="inlineStr">
        <is>
          <t>2004 / CVN-81</t>
        </is>
      </c>
      <c r="G804" s="7" t="inlineStr">
        <is>
          <t>P-35</t>
        </is>
      </c>
      <c r="I804" s="14" t="n">
        <v>1</v>
      </c>
      <c r="J804" s="7" t="inlineStr">
        <is>
          <t>Full ship DD&amp;C</t>
        </is>
      </c>
      <c r="K804" s="13" t="inlineStr">
        <is>
          <t>USN</t>
        </is>
      </c>
      <c r="L804" s="7" t="inlineStr">
        <is>
          <t>Combatant Ships</t>
        </is>
      </c>
      <c r="M804" s="7" t="inlineStr">
        <is>
          <t>Aircraft Carriers</t>
        </is>
      </c>
      <c r="N804" s="7" t="inlineStr">
        <is>
          <t>CVN</t>
        </is>
      </c>
      <c r="O804" s="15" t="n"/>
      <c r="S804" s="16" t="n">
        <v>1306</v>
      </c>
      <c r="U804" s="16" t="n">
        <v>1306</v>
      </c>
      <c r="AC804" s="23">
        <f>IF(OR(E804="",E804="[PARENT]"),"ADD",IF(E804="[ALT_VIEW]","ALT",""))</f>
        <v/>
      </c>
      <c r="AD804" s="21">
        <f>IF(Y804&lt;&gt;"",Y804,IF(U804&lt;&gt;"",U804,S804))</f>
        <v/>
      </c>
      <c r="AE804" s="21">
        <f>IF(AB804&lt;&gt;"",AB804,Z804)</f>
        <v/>
      </c>
      <c r="AF804" s="13" t="inlineStr">
        <is>
          <t>P-35 &gt; CVN-81 &gt; MK 49, MOD 3 ROLLING AIRFRAME MISSILE (RAM) &gt; System Engineering</t>
        </is>
      </c>
      <c r="AG804" s="7" t="inlineStr">
        <is>
          <t>149</t>
        </is>
      </c>
      <c r="AH804" s="7" t="inlineStr">
        <is>
          <t>2004</t>
        </is>
      </c>
    </row>
    <row r="805" ht="10" customHeight="1">
      <c r="A805" s="7" t="inlineStr">
        <is>
          <t>SCN</t>
        </is>
      </c>
      <c r="B805" s="7" t="inlineStr">
        <is>
          <t>Procurement</t>
        </is>
      </c>
      <c r="D805" s="7" t="inlineStr">
        <is>
          <t>CVN-81 - P-35 MK 49, MOD 3 ROLLING AIRFRAME MISSILE (RAM) - Technical Engineering Services</t>
        </is>
      </c>
      <c r="E805" s="13" t="inlineStr">
        <is>
          <t>[ALT_VIEW]</t>
        </is>
      </c>
      <c r="F805" s="7" t="inlineStr">
        <is>
          <t>2004 / CVN-81</t>
        </is>
      </c>
      <c r="G805" s="7" t="inlineStr">
        <is>
          <t>P-35</t>
        </is>
      </c>
      <c r="I805" s="14" t="n">
        <v>1</v>
      </c>
      <c r="J805" s="7" t="inlineStr">
        <is>
          <t>Full ship DD&amp;C</t>
        </is>
      </c>
      <c r="K805" s="13" t="inlineStr">
        <is>
          <t>USN</t>
        </is>
      </c>
      <c r="L805" s="7" t="inlineStr">
        <is>
          <t>Combatant Ships</t>
        </is>
      </c>
      <c r="M805" s="7" t="inlineStr">
        <is>
          <t>Aircraft Carriers</t>
        </is>
      </c>
      <c r="N805" s="7" t="inlineStr">
        <is>
          <t>CVN</t>
        </is>
      </c>
      <c r="O805" s="15" t="n"/>
      <c r="S805" s="16" t="n">
        <v>437</v>
      </c>
      <c r="U805" s="16" t="n">
        <v>437</v>
      </c>
      <c r="AC805" s="23">
        <f>IF(OR(E805="",E805="[PARENT]"),"ADD",IF(E805="[ALT_VIEW]","ALT",""))</f>
        <v/>
      </c>
      <c r="AD805" s="21">
        <f>IF(Y805&lt;&gt;"",Y805,IF(U805&lt;&gt;"",U805,S805))</f>
        <v/>
      </c>
      <c r="AE805" s="21">
        <f>IF(AB805&lt;&gt;"",AB805,Z805)</f>
        <v/>
      </c>
      <c r="AF805" s="13" t="inlineStr">
        <is>
          <t>P-35 &gt; CVN-81 &gt; MK 49, MOD 3 ROLLING AIRFRAME MISSILE (RAM) &gt; Technical Engineering Services</t>
        </is>
      </c>
      <c r="AG805" s="7" t="inlineStr">
        <is>
          <t>149</t>
        </is>
      </c>
      <c r="AH805" s="7" t="inlineStr">
        <is>
          <t>2004</t>
        </is>
      </c>
    </row>
    <row r="806" ht="10" customHeight="1">
      <c r="A806" s="7" t="inlineStr">
        <is>
          <t>SCN</t>
        </is>
      </c>
      <c r="B806" s="7" t="inlineStr">
        <is>
          <t>Procurement</t>
        </is>
      </c>
      <c r="D806" s="7" t="inlineStr">
        <is>
          <t>CVN-81 - P-35 MK 49, MOD 3 ROLLING AIRFRAME MISSILE (RAM) - Other Costs</t>
        </is>
      </c>
      <c r="E806" s="13" t="inlineStr">
        <is>
          <t>[ALT_VIEW]</t>
        </is>
      </c>
      <c r="F806" s="7" t="inlineStr">
        <is>
          <t>2004 / CVN-81</t>
        </is>
      </c>
      <c r="G806" s="7" t="inlineStr">
        <is>
          <t>P-35</t>
        </is>
      </c>
      <c r="I806" s="14" t="n">
        <v>1</v>
      </c>
      <c r="J806" s="7" t="inlineStr">
        <is>
          <t>Full ship DD&amp;C</t>
        </is>
      </c>
      <c r="K806" s="13" t="inlineStr">
        <is>
          <t>USN</t>
        </is>
      </c>
      <c r="L806" s="7" t="inlineStr">
        <is>
          <t>Combatant Ships</t>
        </is>
      </c>
      <c r="M806" s="7" t="inlineStr">
        <is>
          <t>Aircraft Carriers</t>
        </is>
      </c>
      <c r="N806" s="7" t="inlineStr">
        <is>
          <t>CVN</t>
        </is>
      </c>
      <c r="O806" s="15" t="n"/>
      <c r="S806" s="16" t="n">
        <v>1644</v>
      </c>
      <c r="U806" s="16" t="n">
        <v>1644</v>
      </c>
      <c r="AC806" s="23">
        <f>IF(OR(E806="",E806="[PARENT]"),"ADD",IF(E806="[ALT_VIEW]","ALT",""))</f>
        <v/>
      </c>
      <c r="AD806" s="21">
        <f>IF(Y806&lt;&gt;"",Y806,IF(U806&lt;&gt;"",U806,S806))</f>
        <v/>
      </c>
      <c r="AE806" s="21">
        <f>IF(AB806&lt;&gt;"",AB806,Z806)</f>
        <v/>
      </c>
      <c r="AF806" s="13" t="inlineStr">
        <is>
          <t>P-35 &gt; CVN-81 &gt; MK 49, MOD 3 ROLLING AIRFRAME MISSILE (RAM) &gt; Other Costs</t>
        </is>
      </c>
      <c r="AG806" s="7" t="inlineStr">
        <is>
          <t>149</t>
        </is>
      </c>
      <c r="AH806" s="7" t="inlineStr">
        <is>
          <t>2004</t>
        </is>
      </c>
    </row>
    <row r="807" ht="10" customHeight="1">
      <c r="A807" s="7" t="inlineStr">
        <is>
          <t>SCN</t>
        </is>
      </c>
      <c r="B807" s="7" t="inlineStr">
        <is>
          <t>Procurement</t>
        </is>
      </c>
      <c r="D807" s="7" t="inlineStr">
        <is>
          <t>CVN-81 - P-35 AN/SPQ-9B, ANTI-SHIP MISSILE DEFENSE (ASMD) SURFACE SURVEILLANCE AND TRACKING - Major Hardware                                                                                                                                                  1</t>
        </is>
      </c>
      <c r="E807" s="13" t="inlineStr">
        <is>
          <t>[ALT_VIEW]</t>
        </is>
      </c>
      <c r="F807" s="7" t="inlineStr">
        <is>
          <t>2004 / CVN-81</t>
        </is>
      </c>
      <c r="G807" s="7" t="inlineStr">
        <is>
          <t>P-35</t>
        </is>
      </c>
      <c r="I807" s="14" t="n">
        <v>1</v>
      </c>
      <c r="J807" s="7" t="inlineStr">
        <is>
          <t>Full ship DD&amp;C</t>
        </is>
      </c>
      <c r="K807" s="13" t="inlineStr">
        <is>
          <t>USN</t>
        </is>
      </c>
      <c r="L807" s="7" t="inlineStr">
        <is>
          <t>Combatant Ships</t>
        </is>
      </c>
      <c r="M807" s="7" t="inlineStr">
        <is>
          <t>Aircraft Carriers</t>
        </is>
      </c>
      <c r="N807" s="7" t="inlineStr">
        <is>
          <t>CVN</t>
        </is>
      </c>
      <c r="O807" s="15" t="n"/>
      <c r="S807" s="16" t="n">
        <v>4884</v>
      </c>
      <c r="U807" s="16" t="n">
        <v>4884</v>
      </c>
      <c r="AC807" s="23">
        <f>IF(OR(E807="",E807="[PARENT]"),"ADD",IF(E807="[ALT_VIEW]","ALT",""))</f>
        <v/>
      </c>
      <c r="AD807" s="21">
        <f>IF(Y807&lt;&gt;"",Y807,IF(U807&lt;&gt;"",U807,S807))</f>
        <v/>
      </c>
      <c r="AE807" s="21">
        <f>IF(AB807&lt;&gt;"",AB807,Z807)</f>
        <v/>
      </c>
      <c r="AF807" s="13" t="inlineStr">
        <is>
          <t>P-35 &gt; CVN-81 &gt; AN/SPQ-9B, ANTI-SHIP MISSILE DEFENSE (ASMD) SURFACE SURVEILLANCE AND TRACKING &gt; Major Hardware                                                                                                                                                  1</t>
        </is>
      </c>
      <c r="AG807" s="7" t="inlineStr">
        <is>
          <t>150</t>
        </is>
      </c>
      <c r="AH807" s="7" t="inlineStr">
        <is>
          <t>2004</t>
        </is>
      </c>
    </row>
    <row r="808" ht="10" customHeight="1">
      <c r="A808" s="7" t="inlineStr">
        <is>
          <t>SCN</t>
        </is>
      </c>
      <c r="B808" s="7" t="inlineStr">
        <is>
          <t>Procurement</t>
        </is>
      </c>
      <c r="D808" s="7" t="inlineStr">
        <is>
          <t>CVN-81 - P-35 AN/SPQ-9B, ANTI-SHIP MISSILE DEFENSE (ASMD) SURFACE SURVEILLANCE AND TRACKING - Spares</t>
        </is>
      </c>
      <c r="E808" s="13" t="inlineStr">
        <is>
          <t>[ALT_VIEW]</t>
        </is>
      </c>
      <c r="F808" s="7" t="inlineStr">
        <is>
          <t>2004 / CVN-81</t>
        </is>
      </c>
      <c r="G808" s="7" t="inlineStr">
        <is>
          <t>P-35</t>
        </is>
      </c>
      <c r="I808" s="14" t="n">
        <v>1</v>
      </c>
      <c r="J808" s="7" t="inlineStr">
        <is>
          <t>Full ship DD&amp;C</t>
        </is>
      </c>
      <c r="K808" s="13" t="inlineStr">
        <is>
          <t>USN</t>
        </is>
      </c>
      <c r="L808" s="7" t="inlineStr">
        <is>
          <t>Combatant Ships</t>
        </is>
      </c>
      <c r="M808" s="7" t="inlineStr">
        <is>
          <t>Aircraft Carriers</t>
        </is>
      </c>
      <c r="N808" s="7" t="inlineStr">
        <is>
          <t>CVN</t>
        </is>
      </c>
      <c r="O808" s="15" t="n"/>
      <c r="S808" s="16" t="n">
        <v>222</v>
      </c>
      <c r="U808" s="16" t="n">
        <v>222</v>
      </c>
      <c r="AC808" s="23">
        <f>IF(OR(E808="",E808="[PARENT]"),"ADD",IF(E808="[ALT_VIEW]","ALT",""))</f>
        <v/>
      </c>
      <c r="AD808" s="21">
        <f>IF(Y808&lt;&gt;"",Y808,IF(U808&lt;&gt;"",U808,S808))</f>
        <v/>
      </c>
      <c r="AE808" s="21">
        <f>IF(AB808&lt;&gt;"",AB808,Z808)</f>
        <v/>
      </c>
      <c r="AF808" s="13" t="inlineStr">
        <is>
          <t>P-35 &gt; CVN-81 &gt; AN/SPQ-9B, ANTI-SHIP MISSILE DEFENSE (ASMD) SURFACE SURVEILLANCE AND TRACKING &gt; Spares</t>
        </is>
      </c>
      <c r="AG808" s="7" t="inlineStr">
        <is>
          <t>150</t>
        </is>
      </c>
      <c r="AH808" s="7" t="inlineStr">
        <is>
          <t>2004</t>
        </is>
      </c>
      <c r="AJ808" s="7" t="inlineStr">
        <is>
          <t>AN/SPQ-9B, ANTI-SHIP MISSILE DEFENSE (ASMD) SURFACE SURVEILLANCE AND TRACKING RADAR</t>
        </is>
      </c>
    </row>
    <row r="809" ht="10" customHeight="1">
      <c r="A809" s="7" t="inlineStr">
        <is>
          <t>SCN</t>
        </is>
      </c>
      <c r="B809" s="7" t="inlineStr">
        <is>
          <t>Procurement</t>
        </is>
      </c>
      <c r="D809" s="7" t="inlineStr">
        <is>
          <t>CVN-81 - P-35 AN/SPQ-9B, ANTI-SHIP MISSILE DEFENSE (ASMD) SURFACE SURVEILLANCE AND TRACKING - System Engineering</t>
        </is>
      </c>
      <c r="E809" s="13" t="inlineStr">
        <is>
          <t>[ALT_VIEW]</t>
        </is>
      </c>
      <c r="F809" s="7" t="inlineStr">
        <is>
          <t>2004 / CVN-81</t>
        </is>
      </c>
      <c r="G809" s="7" t="inlineStr">
        <is>
          <t>P-35</t>
        </is>
      </c>
      <c r="I809" s="14" t="n">
        <v>1</v>
      </c>
      <c r="J809" s="7" t="inlineStr">
        <is>
          <t>Full ship DD&amp;C</t>
        </is>
      </c>
      <c r="K809" s="13" t="inlineStr">
        <is>
          <t>USN</t>
        </is>
      </c>
      <c r="L809" s="7" t="inlineStr">
        <is>
          <t>Combatant Ships</t>
        </is>
      </c>
      <c r="M809" s="7" t="inlineStr">
        <is>
          <t>Aircraft Carriers</t>
        </is>
      </c>
      <c r="N809" s="7" t="inlineStr">
        <is>
          <t>CVN</t>
        </is>
      </c>
      <c r="O809" s="15" t="n"/>
      <c r="S809" s="16" t="n">
        <v>1287</v>
      </c>
      <c r="U809" s="16" t="n">
        <v>1287</v>
      </c>
      <c r="AC809" s="23">
        <f>IF(OR(E809="",E809="[PARENT]"),"ADD",IF(E809="[ALT_VIEW]","ALT",""))</f>
        <v/>
      </c>
      <c r="AD809" s="21">
        <f>IF(Y809&lt;&gt;"",Y809,IF(U809&lt;&gt;"",U809,S809))</f>
        <v/>
      </c>
      <c r="AE809" s="21">
        <f>IF(AB809&lt;&gt;"",AB809,Z809)</f>
        <v/>
      </c>
      <c r="AF809" s="13" t="inlineStr">
        <is>
          <t>P-35 &gt; CVN-81 &gt; AN/SPQ-9B, ANTI-SHIP MISSILE DEFENSE (ASMD) SURFACE SURVEILLANCE AND TRACKING &gt; System Engineering</t>
        </is>
      </c>
      <c r="AG809" s="7" t="inlineStr">
        <is>
          <t>150</t>
        </is>
      </c>
      <c r="AH809" s="7" t="inlineStr">
        <is>
          <t>2004</t>
        </is>
      </c>
    </row>
    <row r="810" ht="10" customHeight="1">
      <c r="A810" s="7" t="inlineStr">
        <is>
          <t>SCN</t>
        </is>
      </c>
      <c r="B810" s="7" t="inlineStr">
        <is>
          <t>Procurement</t>
        </is>
      </c>
      <c r="D810" s="7" t="inlineStr">
        <is>
          <t>CVN-81 - P-35 AN/SPQ-9B, ANTI-SHIP MISSILE DEFENSE (ASMD) SURFACE SURVEILLANCE AND TRACKING - Technical Engineering Services</t>
        </is>
      </c>
      <c r="E810" s="13" t="inlineStr">
        <is>
          <t>[ALT_VIEW]</t>
        </is>
      </c>
      <c r="F810" s="7" t="inlineStr">
        <is>
          <t>2004 / CVN-81</t>
        </is>
      </c>
      <c r="G810" s="7" t="inlineStr">
        <is>
          <t>P-35</t>
        </is>
      </c>
      <c r="I810" s="14" t="n">
        <v>1</v>
      </c>
      <c r="J810" s="7" t="inlineStr">
        <is>
          <t>Full ship DD&amp;C</t>
        </is>
      </c>
      <c r="K810" s="13" t="inlineStr">
        <is>
          <t>USN</t>
        </is>
      </c>
      <c r="L810" s="7" t="inlineStr">
        <is>
          <t>Combatant Ships</t>
        </is>
      </c>
      <c r="M810" s="7" t="inlineStr">
        <is>
          <t>Aircraft Carriers</t>
        </is>
      </c>
      <c r="N810" s="7" t="inlineStr">
        <is>
          <t>CVN</t>
        </is>
      </c>
      <c r="O810" s="15" t="n"/>
      <c r="S810" s="16" t="n">
        <v>825</v>
      </c>
      <c r="U810" s="16" t="n">
        <v>825</v>
      </c>
      <c r="AC810" s="23">
        <f>IF(OR(E810="",E810="[PARENT]"),"ADD",IF(E810="[ALT_VIEW]","ALT",""))</f>
        <v/>
      </c>
      <c r="AD810" s="21">
        <f>IF(Y810&lt;&gt;"",Y810,IF(U810&lt;&gt;"",U810,S810))</f>
        <v/>
      </c>
      <c r="AE810" s="21">
        <f>IF(AB810&lt;&gt;"",AB810,Z810)</f>
        <v/>
      </c>
      <c r="AF810" s="13" t="inlineStr">
        <is>
          <t>P-35 &gt; CVN-81 &gt; AN/SPQ-9B, ANTI-SHIP MISSILE DEFENSE (ASMD) SURFACE SURVEILLANCE AND TRACKING &gt; Technical Engineering Services</t>
        </is>
      </c>
      <c r="AG810" s="7" t="inlineStr">
        <is>
          <t>150</t>
        </is>
      </c>
      <c r="AH810" s="7" t="inlineStr">
        <is>
          <t>2004</t>
        </is>
      </c>
    </row>
    <row r="811" ht="10" customHeight="1">
      <c r="A811" s="7" t="inlineStr">
        <is>
          <t>SCN</t>
        </is>
      </c>
      <c r="B811" s="7" t="inlineStr">
        <is>
          <t>Procurement</t>
        </is>
      </c>
      <c r="D811" s="7" t="inlineStr">
        <is>
          <t>CVN-81 - P-35 AN/SPQ-9B, ANTI-SHIP MISSILE DEFENSE (ASMD) SURFACE SURVEILLANCE AND TRACKING - Other Costs</t>
        </is>
      </c>
      <c r="E811" s="13" t="inlineStr">
        <is>
          <t>[ALT_VIEW]</t>
        </is>
      </c>
      <c r="F811" s="7" t="inlineStr">
        <is>
          <t>2004 / CVN-81</t>
        </is>
      </c>
      <c r="G811" s="7" t="inlineStr">
        <is>
          <t>P-35</t>
        </is>
      </c>
      <c r="I811" s="14" t="n">
        <v>1</v>
      </c>
      <c r="J811" s="7" t="inlineStr">
        <is>
          <t>Full ship DD&amp;C</t>
        </is>
      </c>
      <c r="K811" s="13" t="inlineStr">
        <is>
          <t>USN</t>
        </is>
      </c>
      <c r="L811" s="7" t="inlineStr">
        <is>
          <t>Combatant Ships</t>
        </is>
      </c>
      <c r="M811" s="7" t="inlineStr">
        <is>
          <t>Aircraft Carriers</t>
        </is>
      </c>
      <c r="N811" s="7" t="inlineStr">
        <is>
          <t>CVN</t>
        </is>
      </c>
      <c r="O811" s="15" t="n"/>
      <c r="S811" s="16" t="n">
        <v>1557</v>
      </c>
      <c r="U811" s="16" t="n">
        <v>1557</v>
      </c>
      <c r="AC811" s="23">
        <f>IF(OR(E811="",E811="[PARENT]"),"ADD",IF(E811="[ALT_VIEW]","ALT",""))</f>
        <v/>
      </c>
      <c r="AD811" s="21">
        <f>IF(Y811&lt;&gt;"",Y811,IF(U811&lt;&gt;"",U811,S811))</f>
        <v/>
      </c>
      <c r="AE811" s="21">
        <f>IF(AB811&lt;&gt;"",AB811,Z811)</f>
        <v/>
      </c>
      <c r="AF811" s="13" t="inlineStr">
        <is>
          <t>P-35 &gt; CVN-81 &gt; AN/SPQ-9B, ANTI-SHIP MISSILE DEFENSE (ASMD) SURFACE SURVEILLANCE AND TRACKING &gt; Other Costs</t>
        </is>
      </c>
      <c r="AG811" s="7" t="inlineStr">
        <is>
          <t>150</t>
        </is>
      </c>
      <c r="AH811" s="7" t="inlineStr">
        <is>
          <t>2004</t>
        </is>
      </c>
    </row>
    <row r="812" ht="10" customHeight="1">
      <c r="A812" s="7" t="inlineStr">
        <is>
          <t>SCN</t>
        </is>
      </c>
      <c r="B812" s="7" t="inlineStr">
        <is>
          <t>Procurement</t>
        </is>
      </c>
      <c r="D812" s="7" t="inlineStr">
        <is>
          <t>CVN-81 - P-35 IMPROVED FRESNEL LENS OPTICAL LANDING SYSTEM (IFLOLS) - Major Hardware                                                                                                                                                    1</t>
        </is>
      </c>
      <c r="E812" s="13" t="inlineStr">
        <is>
          <t>[ALT_VIEW]</t>
        </is>
      </c>
      <c r="F812" s="7" t="inlineStr">
        <is>
          <t>2004 / CVN-81</t>
        </is>
      </c>
      <c r="G812" s="7" t="inlineStr">
        <is>
          <t>P-35</t>
        </is>
      </c>
      <c r="I812" s="14" t="n">
        <v>1</v>
      </c>
      <c r="J812" s="7" t="inlineStr">
        <is>
          <t>Full ship DD&amp;C</t>
        </is>
      </c>
      <c r="K812" s="13" t="inlineStr">
        <is>
          <t>USN</t>
        </is>
      </c>
      <c r="L812" s="7" t="inlineStr">
        <is>
          <t>Combatant Ships</t>
        </is>
      </c>
      <c r="M812" s="7" t="inlineStr">
        <is>
          <t>Aircraft Carriers</t>
        </is>
      </c>
      <c r="N812" s="7" t="inlineStr">
        <is>
          <t>CVN</t>
        </is>
      </c>
      <c r="O812" s="15" t="n"/>
      <c r="S812" s="16" t="n">
        <v>9074</v>
      </c>
      <c r="U812" s="16" t="n">
        <v>9074</v>
      </c>
      <c r="AC812" s="23">
        <f>IF(OR(E812="",E812="[PARENT]"),"ADD",IF(E812="[ALT_VIEW]","ALT",""))</f>
        <v/>
      </c>
      <c r="AD812" s="21">
        <f>IF(Y812&lt;&gt;"",Y812,IF(U812&lt;&gt;"",U812,S812))</f>
        <v/>
      </c>
      <c r="AE812" s="21">
        <f>IF(AB812&lt;&gt;"",AB812,Z812)</f>
        <v/>
      </c>
      <c r="AF812" s="13" t="inlineStr">
        <is>
          <t>P-35 &gt; CVN-81 &gt; IMPROVED FRESNEL LENS OPTICAL LANDING SYSTEM (IFLOLS) &gt; Major Hardware                                                                                                                                                    1</t>
        </is>
      </c>
      <c r="AG812" s="7" t="inlineStr">
        <is>
          <t>151</t>
        </is>
      </c>
      <c r="AH812" s="7" t="inlineStr">
        <is>
          <t>2004</t>
        </is>
      </c>
    </row>
    <row r="813" ht="10" customHeight="1">
      <c r="A813" s="7" t="inlineStr">
        <is>
          <t>SCN</t>
        </is>
      </c>
      <c r="B813" s="7" t="inlineStr">
        <is>
          <t>Procurement</t>
        </is>
      </c>
      <c r="D813" s="7" t="inlineStr">
        <is>
          <t>CVN-81 - P-35 IMPROVED FRESNEL LENS OPTICAL LANDING SYSTEM (IFLOLS) - System Engineering</t>
        </is>
      </c>
      <c r="E813" s="13" t="inlineStr">
        <is>
          <t>[ALT_VIEW]</t>
        </is>
      </c>
      <c r="F813" s="7" t="inlineStr">
        <is>
          <t>2004 / CVN-81</t>
        </is>
      </c>
      <c r="G813" s="7" t="inlineStr">
        <is>
          <t>P-35</t>
        </is>
      </c>
      <c r="I813" s="14" t="n">
        <v>1</v>
      </c>
      <c r="J813" s="7" t="inlineStr">
        <is>
          <t>Full ship DD&amp;C</t>
        </is>
      </c>
      <c r="K813" s="13" t="inlineStr">
        <is>
          <t>USN</t>
        </is>
      </c>
      <c r="L813" s="7" t="inlineStr">
        <is>
          <t>Combatant Ships</t>
        </is>
      </c>
      <c r="M813" s="7" t="inlineStr">
        <is>
          <t>Aircraft Carriers</t>
        </is>
      </c>
      <c r="N813" s="7" t="inlineStr">
        <is>
          <t>CVN</t>
        </is>
      </c>
      <c r="O813" s="15" t="n"/>
      <c r="S813" s="16" t="n">
        <v>261</v>
      </c>
      <c r="U813" s="16" t="n">
        <v>261</v>
      </c>
      <c r="AC813" s="23">
        <f>IF(OR(E813="",E813="[PARENT]"),"ADD",IF(E813="[ALT_VIEW]","ALT",""))</f>
        <v/>
      </c>
      <c r="AD813" s="21">
        <f>IF(Y813&lt;&gt;"",Y813,IF(U813&lt;&gt;"",U813,S813))</f>
        <v/>
      </c>
      <c r="AE813" s="21">
        <f>IF(AB813&lt;&gt;"",AB813,Z813)</f>
        <v/>
      </c>
      <c r="AF813" s="13" t="inlineStr">
        <is>
          <t>P-35 &gt; CVN-81 &gt; IMPROVED FRESNEL LENS OPTICAL LANDING SYSTEM (IFLOLS) &gt; System Engineering</t>
        </is>
      </c>
      <c r="AG813" s="7" t="inlineStr">
        <is>
          <t>151</t>
        </is>
      </c>
      <c r="AH813" s="7" t="inlineStr">
        <is>
          <t>2004</t>
        </is>
      </c>
    </row>
    <row r="814" ht="10" customHeight="1">
      <c r="A814" s="7" t="inlineStr">
        <is>
          <t>SCN</t>
        </is>
      </c>
      <c r="B814" s="7" t="inlineStr">
        <is>
          <t>Procurement</t>
        </is>
      </c>
      <c r="D814" s="7" t="inlineStr">
        <is>
          <t>CVN-81 - P-35 IMPROVED FRESNEL LENS OPTICAL LANDING SYSTEM (IFLOLS) - Technical Engineering Services</t>
        </is>
      </c>
      <c r="E814" s="13" t="inlineStr">
        <is>
          <t>[ALT_VIEW]</t>
        </is>
      </c>
      <c r="F814" s="7" t="inlineStr">
        <is>
          <t>2004 / CVN-81</t>
        </is>
      </c>
      <c r="G814" s="7" t="inlineStr">
        <is>
          <t>P-35</t>
        </is>
      </c>
      <c r="I814" s="14" t="n">
        <v>1</v>
      </c>
      <c r="J814" s="7" t="inlineStr">
        <is>
          <t>Full ship DD&amp;C</t>
        </is>
      </c>
      <c r="K814" s="13" t="inlineStr">
        <is>
          <t>USN</t>
        </is>
      </c>
      <c r="L814" s="7" t="inlineStr">
        <is>
          <t>Combatant Ships</t>
        </is>
      </c>
      <c r="M814" s="7" t="inlineStr">
        <is>
          <t>Aircraft Carriers</t>
        </is>
      </c>
      <c r="N814" s="7" t="inlineStr">
        <is>
          <t>CVN</t>
        </is>
      </c>
      <c r="O814" s="15" t="n"/>
      <c r="S814" s="16" t="n">
        <v>55</v>
      </c>
      <c r="U814" s="16" t="n">
        <v>55</v>
      </c>
      <c r="AC814" s="23">
        <f>IF(OR(E814="",E814="[PARENT]"),"ADD",IF(E814="[ALT_VIEW]","ALT",""))</f>
        <v/>
      </c>
      <c r="AD814" s="21">
        <f>IF(Y814&lt;&gt;"",Y814,IF(U814&lt;&gt;"",U814,S814))</f>
        <v/>
      </c>
      <c r="AE814" s="21">
        <f>IF(AB814&lt;&gt;"",AB814,Z814)</f>
        <v/>
      </c>
      <c r="AF814" s="13" t="inlineStr">
        <is>
          <t>P-35 &gt; CVN-81 &gt; IMPROVED FRESNEL LENS OPTICAL LANDING SYSTEM (IFLOLS) &gt; Technical Engineering Services</t>
        </is>
      </c>
      <c r="AG814" s="7" t="inlineStr">
        <is>
          <t>151</t>
        </is>
      </c>
      <c r="AH814" s="7" t="inlineStr">
        <is>
          <t>2004</t>
        </is>
      </c>
    </row>
    <row r="815" ht="10" customHeight="1">
      <c r="A815" s="7" t="inlineStr">
        <is>
          <t>SCN</t>
        </is>
      </c>
      <c r="B815" s="7" t="inlineStr">
        <is>
          <t>Procurement</t>
        </is>
      </c>
      <c r="D815" s="7" t="inlineStr">
        <is>
          <t>CVN-81 - P-35 IMPROVED FRESNEL LENS OPTICAL LANDING SYSTEM (IFLOLS) - Other Costs</t>
        </is>
      </c>
      <c r="E815" s="13" t="inlineStr">
        <is>
          <t>[ALT_VIEW]</t>
        </is>
      </c>
      <c r="F815" s="7" t="inlineStr">
        <is>
          <t>2004 / CVN-81</t>
        </is>
      </c>
      <c r="G815" s="7" t="inlineStr">
        <is>
          <t>P-35</t>
        </is>
      </c>
      <c r="I815" s="14" t="n">
        <v>1</v>
      </c>
      <c r="J815" s="7" t="inlineStr">
        <is>
          <t>Full ship DD&amp;C</t>
        </is>
      </c>
      <c r="K815" s="13" t="inlineStr">
        <is>
          <t>USN</t>
        </is>
      </c>
      <c r="L815" s="7" t="inlineStr">
        <is>
          <t>Combatant Ships</t>
        </is>
      </c>
      <c r="M815" s="7" t="inlineStr">
        <is>
          <t>Aircraft Carriers</t>
        </is>
      </c>
      <c r="N815" s="7" t="inlineStr">
        <is>
          <t>CVN</t>
        </is>
      </c>
      <c r="O815" s="15" t="n"/>
      <c r="S815" s="16" t="n">
        <v>564</v>
      </c>
      <c r="U815" s="16" t="n">
        <v>564</v>
      </c>
      <c r="AC815" s="23">
        <f>IF(OR(E815="",E815="[PARENT]"),"ADD",IF(E815="[ALT_VIEW]","ALT",""))</f>
        <v/>
      </c>
      <c r="AD815" s="21">
        <f>IF(Y815&lt;&gt;"",Y815,IF(U815&lt;&gt;"",U815,S815))</f>
        <v/>
      </c>
      <c r="AE815" s="21">
        <f>IF(AB815&lt;&gt;"",AB815,Z815)</f>
        <v/>
      </c>
      <c r="AF815" s="13" t="inlineStr">
        <is>
          <t>P-35 &gt; CVN-81 &gt; IMPROVED FRESNEL LENS OPTICAL LANDING SYSTEM (IFLOLS) &gt; Other Costs</t>
        </is>
      </c>
      <c r="AG815" s="7" t="inlineStr">
        <is>
          <t>151</t>
        </is>
      </c>
      <c r="AH815" s="7" t="inlineStr">
        <is>
          <t>2004</t>
        </is>
      </c>
    </row>
    <row r="816" ht="10" customHeight="1">
      <c r="A816" s="7" t="inlineStr">
        <is>
          <t>SCN</t>
        </is>
      </c>
      <c r="B816" s="7" t="inlineStr">
        <is>
          <t>Procurement</t>
        </is>
      </c>
      <c r="D816" s="7" t="inlineStr">
        <is>
          <t>CVN-81 - P-35 INTEGRATED LAUNCH AND RECOVERY TELEVISION SYSTEM (ILARTS) - Major Hardware                                                                                                                                                     1</t>
        </is>
      </c>
      <c r="E816" s="13" t="inlineStr">
        <is>
          <t>[ALT_VIEW]</t>
        </is>
      </c>
      <c r="F816" s="7" t="inlineStr">
        <is>
          <t>2004 / CVN-81</t>
        </is>
      </c>
      <c r="G816" s="7" t="inlineStr">
        <is>
          <t>P-35</t>
        </is>
      </c>
      <c r="I816" s="14" t="n">
        <v>1</v>
      </c>
      <c r="J816" s="7" t="inlineStr">
        <is>
          <t>Full ship DD&amp;C</t>
        </is>
      </c>
      <c r="K816" s="13" t="inlineStr">
        <is>
          <t>USN</t>
        </is>
      </c>
      <c r="L816" s="7" t="inlineStr">
        <is>
          <t>Combatant Ships</t>
        </is>
      </c>
      <c r="M816" s="7" t="inlineStr">
        <is>
          <t>Aircraft Carriers</t>
        </is>
      </c>
      <c r="N816" s="7" t="inlineStr">
        <is>
          <t>CVN</t>
        </is>
      </c>
      <c r="O816" s="15" t="n"/>
      <c r="S816" s="16" t="n">
        <v>3628</v>
      </c>
      <c r="U816" s="16" t="n">
        <v>3628</v>
      </c>
      <c r="AC816" s="23">
        <f>IF(OR(E816="",E816="[PARENT]"),"ADD",IF(E816="[ALT_VIEW]","ALT",""))</f>
        <v/>
      </c>
      <c r="AD816" s="21">
        <f>IF(Y816&lt;&gt;"",Y816,IF(U816&lt;&gt;"",U816,S816))</f>
        <v/>
      </c>
      <c r="AE816" s="21">
        <f>IF(AB816&lt;&gt;"",AB816,Z816)</f>
        <v/>
      </c>
      <c r="AF816" s="13" t="inlineStr">
        <is>
          <t>P-35 &gt; CVN-81 &gt; INTEGRATED LAUNCH AND RECOVERY TELEVISION SYSTEM (ILARTS) &gt; Major Hardware                                                                                                                                                     1</t>
        </is>
      </c>
      <c r="AG816" s="7" t="inlineStr">
        <is>
          <t>152</t>
        </is>
      </c>
      <c r="AH816" s="7" t="inlineStr">
        <is>
          <t>2004</t>
        </is>
      </c>
    </row>
    <row r="817" ht="10" customHeight="1">
      <c r="A817" s="7" t="inlineStr">
        <is>
          <t>SCN</t>
        </is>
      </c>
      <c r="B817" s="7" t="inlineStr">
        <is>
          <t>Procurement</t>
        </is>
      </c>
      <c r="D817" s="7" t="inlineStr">
        <is>
          <t>CVN-81 - P-35 INTEGRATED LAUNCH AND RECOVERY TELEVISION SYSTEM (ILARTS) - System Engineering</t>
        </is>
      </c>
      <c r="E817" s="13" t="inlineStr">
        <is>
          <t>[ALT_VIEW]</t>
        </is>
      </c>
      <c r="F817" s="7" t="inlineStr">
        <is>
          <t>2004 / CVN-81</t>
        </is>
      </c>
      <c r="G817" s="7" t="inlineStr">
        <is>
          <t>P-35</t>
        </is>
      </c>
      <c r="I817" s="14" t="n">
        <v>1</v>
      </c>
      <c r="J817" s="7" t="inlineStr">
        <is>
          <t>Full ship DD&amp;C</t>
        </is>
      </c>
      <c r="K817" s="13" t="inlineStr">
        <is>
          <t>USN</t>
        </is>
      </c>
      <c r="L817" s="7" t="inlineStr">
        <is>
          <t>Combatant Ships</t>
        </is>
      </c>
      <c r="M817" s="7" t="inlineStr">
        <is>
          <t>Aircraft Carriers</t>
        </is>
      </c>
      <c r="N817" s="7" t="inlineStr">
        <is>
          <t>CVN</t>
        </is>
      </c>
      <c r="O817" s="15" t="n"/>
      <c r="S817" s="16" t="n">
        <v>378</v>
      </c>
      <c r="U817" s="16" t="n">
        <v>378</v>
      </c>
      <c r="AC817" s="23">
        <f>IF(OR(E817="",E817="[PARENT]"),"ADD",IF(E817="[ALT_VIEW]","ALT",""))</f>
        <v/>
      </c>
      <c r="AD817" s="21">
        <f>IF(Y817&lt;&gt;"",Y817,IF(U817&lt;&gt;"",U817,S817))</f>
        <v/>
      </c>
      <c r="AE817" s="21">
        <f>IF(AB817&lt;&gt;"",AB817,Z817)</f>
        <v/>
      </c>
      <c r="AF817" s="13" t="inlineStr">
        <is>
          <t>P-35 &gt; CVN-81 &gt; INTEGRATED LAUNCH AND RECOVERY TELEVISION SYSTEM (ILARTS) &gt; System Engineering</t>
        </is>
      </c>
      <c r="AG817" s="7" t="inlineStr">
        <is>
          <t>152</t>
        </is>
      </c>
      <c r="AH817" s="7" t="inlineStr">
        <is>
          <t>2004</t>
        </is>
      </c>
    </row>
    <row r="818" ht="10" customHeight="1">
      <c r="A818" s="7" t="inlineStr">
        <is>
          <t>SCN</t>
        </is>
      </c>
      <c r="B818" s="7" t="inlineStr">
        <is>
          <t>Procurement</t>
        </is>
      </c>
      <c r="D818" s="7" t="inlineStr">
        <is>
          <t>CVN-81 - P-35 INTEGRATED LAUNCH AND RECOVERY TELEVISION SYSTEM (ILARTS) - Technical Engineering Services</t>
        </is>
      </c>
      <c r="E818" s="13" t="inlineStr">
        <is>
          <t>[ALT_VIEW]</t>
        </is>
      </c>
      <c r="F818" s="7" t="inlineStr">
        <is>
          <t>2004 / CVN-81</t>
        </is>
      </c>
      <c r="G818" s="7" t="inlineStr">
        <is>
          <t>P-35</t>
        </is>
      </c>
      <c r="I818" s="14" t="n">
        <v>1</v>
      </c>
      <c r="J818" s="7" t="inlineStr">
        <is>
          <t>Full ship DD&amp;C</t>
        </is>
      </c>
      <c r="K818" s="13" t="inlineStr">
        <is>
          <t>USN</t>
        </is>
      </c>
      <c r="L818" s="7" t="inlineStr">
        <is>
          <t>Combatant Ships</t>
        </is>
      </c>
      <c r="M818" s="7" t="inlineStr">
        <is>
          <t>Aircraft Carriers</t>
        </is>
      </c>
      <c r="N818" s="7" t="inlineStr">
        <is>
          <t>CVN</t>
        </is>
      </c>
      <c r="O818" s="15" t="n"/>
      <c r="S818" s="16" t="n">
        <v>966</v>
      </c>
      <c r="U818" s="16" t="n">
        <v>966</v>
      </c>
      <c r="AC818" s="23">
        <f>IF(OR(E818="",E818="[PARENT]"),"ADD",IF(E818="[ALT_VIEW]","ALT",""))</f>
        <v/>
      </c>
      <c r="AD818" s="21">
        <f>IF(Y818&lt;&gt;"",Y818,IF(U818&lt;&gt;"",U818,S818))</f>
        <v/>
      </c>
      <c r="AE818" s="21">
        <f>IF(AB818&lt;&gt;"",AB818,Z818)</f>
        <v/>
      </c>
      <c r="AF818" s="13" t="inlineStr">
        <is>
          <t>P-35 &gt; CVN-81 &gt; INTEGRATED LAUNCH AND RECOVERY TELEVISION SYSTEM (ILARTS) &gt; Technical Engineering Services</t>
        </is>
      </c>
      <c r="AG818" s="7" t="inlineStr">
        <is>
          <t>152</t>
        </is>
      </c>
      <c r="AH818" s="7" t="inlineStr">
        <is>
          <t>2004</t>
        </is>
      </c>
    </row>
    <row r="819" ht="10" customHeight="1">
      <c r="A819" s="7" t="inlineStr">
        <is>
          <t>SCN</t>
        </is>
      </c>
      <c r="B819" s="7" t="inlineStr">
        <is>
          <t>Procurement</t>
        </is>
      </c>
      <c r="D819" s="7" t="inlineStr">
        <is>
          <t>CVN-81 - P-35 INTEGRATED LAUNCH AND RECOVERY TELEVISION SYSTEM (ILARTS) - Other Costs</t>
        </is>
      </c>
      <c r="E819" s="13" t="inlineStr">
        <is>
          <t>[ALT_VIEW]</t>
        </is>
      </c>
      <c r="F819" s="7" t="inlineStr">
        <is>
          <t>2004 / CVN-81</t>
        </is>
      </c>
      <c r="G819" s="7" t="inlineStr">
        <is>
          <t>P-35</t>
        </is>
      </c>
      <c r="I819" s="14" t="n">
        <v>1</v>
      </c>
      <c r="J819" s="7" t="inlineStr">
        <is>
          <t>Full ship DD&amp;C</t>
        </is>
      </c>
      <c r="K819" s="13" t="inlineStr">
        <is>
          <t>USN</t>
        </is>
      </c>
      <c r="L819" s="7" t="inlineStr">
        <is>
          <t>Combatant Ships</t>
        </is>
      </c>
      <c r="M819" s="7" t="inlineStr">
        <is>
          <t>Aircraft Carriers</t>
        </is>
      </c>
      <c r="N819" s="7" t="inlineStr">
        <is>
          <t>CVN</t>
        </is>
      </c>
      <c r="O819" s="15" t="n"/>
      <c r="S819" s="16" t="n">
        <v>1424</v>
      </c>
      <c r="U819" s="16" t="n">
        <v>1424</v>
      </c>
      <c r="AC819" s="23">
        <f>IF(OR(E819="",E819="[PARENT]"),"ADD",IF(E819="[ALT_VIEW]","ALT",""))</f>
        <v/>
      </c>
      <c r="AD819" s="21">
        <f>IF(Y819&lt;&gt;"",Y819,IF(U819&lt;&gt;"",U819,S819))</f>
        <v/>
      </c>
      <c r="AE819" s="21">
        <f>IF(AB819&lt;&gt;"",AB819,Z819)</f>
        <v/>
      </c>
      <c r="AF819" s="13" t="inlineStr">
        <is>
          <t>P-35 &gt; CVN-81 &gt; INTEGRATED LAUNCH AND RECOVERY TELEVISION SYSTEM (ILARTS) &gt; Other Costs</t>
        </is>
      </c>
      <c r="AG819" s="7" t="inlineStr">
        <is>
          <t>152</t>
        </is>
      </c>
      <c r="AH819" s="7" t="inlineStr">
        <is>
          <t>2004</t>
        </is>
      </c>
    </row>
    <row r="820" ht="10" customHeight="1">
      <c r="A820" s="7" t="inlineStr">
        <is>
          <t>SCN</t>
        </is>
      </c>
      <c r="B820" s="7" t="inlineStr">
        <is>
          <t>Procurement</t>
        </is>
      </c>
      <c r="D820" s="7" t="inlineStr">
        <is>
          <t>CVN-81 - P-35 UNMANNED AVIATION WARFARE CENTER (UAWC) - Major Hardware                                                                                                                                                   1</t>
        </is>
      </c>
      <c r="E820" s="13" t="inlineStr">
        <is>
          <t>[ALT_VIEW]</t>
        </is>
      </c>
      <c r="F820" s="7" t="inlineStr">
        <is>
          <t>2004 / CVN-81</t>
        </is>
      </c>
      <c r="G820" s="7" t="inlineStr">
        <is>
          <t>P-35</t>
        </is>
      </c>
      <c r="I820" s="14" t="n">
        <v>1</v>
      </c>
      <c r="J820" s="7" t="inlineStr">
        <is>
          <t>Full ship DD&amp;C</t>
        </is>
      </c>
      <c r="K820" s="13" t="inlineStr">
        <is>
          <t>USN</t>
        </is>
      </c>
      <c r="L820" s="7" t="inlineStr">
        <is>
          <t>Combatant Ships</t>
        </is>
      </c>
      <c r="M820" s="7" t="inlineStr">
        <is>
          <t>Aircraft Carriers</t>
        </is>
      </c>
      <c r="N820" s="7" t="inlineStr">
        <is>
          <t>CVN</t>
        </is>
      </c>
      <c r="O820" s="15" t="n"/>
      <c r="S820" s="16" t="n">
        <v>32515</v>
      </c>
      <c r="U820" s="16" t="n">
        <v>32515</v>
      </c>
      <c r="AC820" s="23">
        <f>IF(OR(E820="",E820="[PARENT]"),"ADD",IF(E820="[ALT_VIEW]","ALT",""))</f>
        <v/>
      </c>
      <c r="AD820" s="21">
        <f>IF(Y820&lt;&gt;"",Y820,IF(U820&lt;&gt;"",U820,S820))</f>
        <v/>
      </c>
      <c r="AE820" s="21">
        <f>IF(AB820&lt;&gt;"",AB820,Z820)</f>
        <v/>
      </c>
      <c r="AF820" s="13" t="inlineStr">
        <is>
          <t>P-35 &gt; CVN-81 &gt; UNMANNED AVIATION WARFARE CENTER (UAWC) &gt; Major Hardware                                                                                                                                                   1</t>
        </is>
      </c>
      <c r="AG820" s="7" t="inlineStr">
        <is>
          <t>153</t>
        </is>
      </c>
      <c r="AH820" s="7" t="inlineStr">
        <is>
          <t>2004</t>
        </is>
      </c>
    </row>
    <row r="821" ht="10" customHeight="1">
      <c r="A821" s="7" t="inlineStr">
        <is>
          <t>SCN</t>
        </is>
      </c>
      <c r="B821" s="7" t="inlineStr">
        <is>
          <t>Procurement</t>
        </is>
      </c>
      <c r="D821" s="7" t="inlineStr">
        <is>
          <t>CVN-81 - P-35 UNMANNED AVIATION WARFARE CENTER (UAWC) - Technical Engineering Services</t>
        </is>
      </c>
      <c r="E821" s="13" t="inlineStr">
        <is>
          <t>[ALT_VIEW]</t>
        </is>
      </c>
      <c r="F821" s="7" t="inlineStr">
        <is>
          <t>2004 / CVN-81</t>
        </is>
      </c>
      <c r="G821" s="7" t="inlineStr">
        <is>
          <t>P-35</t>
        </is>
      </c>
      <c r="I821" s="14" t="n">
        <v>1</v>
      </c>
      <c r="J821" s="7" t="inlineStr">
        <is>
          <t>Full ship DD&amp;C</t>
        </is>
      </c>
      <c r="K821" s="13" t="inlineStr">
        <is>
          <t>USN</t>
        </is>
      </c>
      <c r="L821" s="7" t="inlineStr">
        <is>
          <t>Combatant Ships</t>
        </is>
      </c>
      <c r="M821" s="7" t="inlineStr">
        <is>
          <t>Aircraft Carriers</t>
        </is>
      </c>
      <c r="N821" s="7" t="inlineStr">
        <is>
          <t>CVN</t>
        </is>
      </c>
      <c r="O821" s="15" t="n"/>
      <c r="S821" s="16" t="n">
        <v>13600</v>
      </c>
      <c r="U821" s="16" t="n">
        <v>13600</v>
      </c>
      <c r="AC821" s="23">
        <f>IF(OR(E821="",E821="[PARENT]"),"ADD",IF(E821="[ALT_VIEW]","ALT",""))</f>
        <v/>
      </c>
      <c r="AD821" s="21">
        <f>IF(Y821&lt;&gt;"",Y821,IF(U821&lt;&gt;"",U821,S821))</f>
        <v/>
      </c>
      <c r="AE821" s="21">
        <f>IF(AB821&lt;&gt;"",AB821,Z821)</f>
        <v/>
      </c>
      <c r="AF821" s="13" t="inlineStr">
        <is>
          <t>P-35 &gt; CVN-81 &gt; UNMANNED AVIATION WARFARE CENTER (UAWC) &gt; Technical Engineering Services</t>
        </is>
      </c>
      <c r="AG821" s="7" t="inlineStr">
        <is>
          <t>153</t>
        </is>
      </c>
      <c r="AH821" s="7" t="inlineStr">
        <is>
          <t>2004</t>
        </is>
      </c>
    </row>
    <row r="822" ht="10" customHeight="1">
      <c r="A822" s="7" t="inlineStr">
        <is>
          <t>SCN</t>
        </is>
      </c>
      <c r="B822" s="7" t="inlineStr">
        <is>
          <t>Procurement</t>
        </is>
      </c>
      <c r="D822" s="7" t="inlineStr">
        <is>
          <t>Virginia Class Submarine - P-5c - Plan Costs</t>
        </is>
      </c>
      <c r="E822" s="13" t="inlineStr">
        <is>
          <t>[ALT_VIEW]</t>
        </is>
      </c>
      <c r="F822" s="7" t="inlineStr">
        <is>
          <t>2013 / Virginia Class Submarine</t>
        </is>
      </c>
      <c r="G822" s="7" t="inlineStr">
        <is>
          <t>P-5c</t>
        </is>
      </c>
      <c r="H822" s="7" t="inlineStr">
        <is>
          <t>Plan Costs</t>
        </is>
      </c>
      <c r="I822" s="14" t="n">
        <v>1</v>
      </c>
      <c r="J822" s="7" t="inlineStr">
        <is>
          <t>Full ship DD&amp;C</t>
        </is>
      </c>
      <c r="K822" s="13" t="inlineStr">
        <is>
          <t>USN</t>
        </is>
      </c>
      <c r="L822" s="7" t="inlineStr">
        <is>
          <t>Combatant Ships</t>
        </is>
      </c>
      <c r="M822" s="7" t="inlineStr">
        <is>
          <t>Submarines</t>
        </is>
      </c>
      <c r="N822" s="7" t="inlineStr">
        <is>
          <t>SSN</t>
        </is>
      </c>
      <c r="O822" s="15" t="n"/>
      <c r="P822" s="16" t="n">
        <v>252399</v>
      </c>
      <c r="S822" s="16" t="n">
        <v>192169</v>
      </c>
      <c r="U822" s="16" t="n">
        <v>192169</v>
      </c>
      <c r="AC822" s="23">
        <f>IF(OR(E822="",E822="[PARENT]"),"ADD",IF(E822="[ALT_VIEW]","ALT",""))</f>
        <v/>
      </c>
      <c r="AD822" s="21">
        <f>IF(Y822&lt;&gt;"",Y822,IF(U822&lt;&gt;"",U822,S822))</f>
        <v/>
      </c>
      <c r="AE822" s="21">
        <f>IF(AB822&lt;&gt;"",AB822,Z822)</f>
        <v/>
      </c>
      <c r="AF822" s="13" t="inlineStr">
        <is>
          <t>P-5c &gt; Virginia Class Submarine &gt; Plan Costs</t>
        </is>
      </c>
      <c r="AG822" s="7" t="inlineStr">
        <is>
          <t>158</t>
        </is>
      </c>
      <c r="AH822" s="7" t="inlineStr">
        <is>
          <t>2013</t>
        </is>
      </c>
    </row>
    <row r="823" ht="10" customHeight="1">
      <c r="A823" s="7" t="inlineStr">
        <is>
          <t>SCN</t>
        </is>
      </c>
      <c r="B823" s="7" t="inlineStr">
        <is>
          <t>Procurement</t>
        </is>
      </c>
      <c r="D823" s="7" t="inlineStr">
        <is>
          <t>Virginia Class Submarine - P-5c - Basic Construction</t>
        </is>
      </c>
      <c r="E823" s="13" t="inlineStr">
        <is>
          <t>[ALT_VIEW]</t>
        </is>
      </c>
      <c r="F823" s="7" t="inlineStr">
        <is>
          <t>2013 / Virginia Class Submarine</t>
        </is>
      </c>
      <c r="G823" s="7" t="inlineStr">
        <is>
          <t>P-5c</t>
        </is>
      </c>
      <c r="H823" s="7" t="inlineStr">
        <is>
          <t>Basic Construction</t>
        </is>
      </c>
      <c r="I823" s="14" t="n">
        <v>1</v>
      </c>
      <c r="J823" s="7" t="inlineStr">
        <is>
          <t>Full ship DD&amp;C</t>
        </is>
      </c>
      <c r="K823" s="13" t="inlineStr">
        <is>
          <t>USN</t>
        </is>
      </c>
      <c r="L823" s="7" t="inlineStr">
        <is>
          <t>Combatant Ships</t>
        </is>
      </c>
      <c r="M823" s="7" t="inlineStr">
        <is>
          <t>Submarines</t>
        </is>
      </c>
      <c r="N823" s="7" t="inlineStr">
        <is>
          <t>SSN</t>
        </is>
      </c>
      <c r="O823" s="15" t="n"/>
      <c r="P823" s="16" t="n">
        <v>5001446</v>
      </c>
      <c r="S823" s="16" t="n">
        <v>5095448</v>
      </c>
      <c r="U823" s="16" t="n">
        <v>5095448</v>
      </c>
      <c r="AC823" s="23">
        <f>IF(OR(E823="",E823="[PARENT]"),"ADD",IF(E823="[ALT_VIEW]","ALT",""))</f>
        <v/>
      </c>
      <c r="AD823" s="21">
        <f>IF(Y823&lt;&gt;"",Y823,IF(U823&lt;&gt;"",U823,S823))</f>
        <v/>
      </c>
      <c r="AE823" s="21">
        <f>IF(AB823&lt;&gt;"",AB823,Z823)</f>
        <v/>
      </c>
      <c r="AF823" s="13" t="inlineStr">
        <is>
          <t>P-5c &gt; Virginia Class Submarine &gt; Basic Construction</t>
        </is>
      </c>
      <c r="AG823" s="7" t="inlineStr">
        <is>
          <t>158</t>
        </is>
      </c>
      <c r="AH823" s="7" t="inlineStr">
        <is>
          <t>2013</t>
        </is>
      </c>
    </row>
    <row r="824" ht="10" customHeight="1">
      <c r="A824" s="7" t="inlineStr">
        <is>
          <t>SCN</t>
        </is>
      </c>
      <c r="B824" s="7" t="inlineStr">
        <is>
          <t>Procurement</t>
        </is>
      </c>
      <c r="D824" s="7" t="inlineStr">
        <is>
          <t>Virginia Class Submarine - P-5c - Change Orders</t>
        </is>
      </c>
      <c r="E824" s="13" t="inlineStr">
        <is>
          <t>[ALT_VIEW]</t>
        </is>
      </c>
      <c r="F824" s="7" t="inlineStr">
        <is>
          <t>2013 / Virginia Class Submarine</t>
        </is>
      </c>
      <c r="G824" s="7" t="inlineStr">
        <is>
          <t>P-5c</t>
        </is>
      </c>
      <c r="H824" s="7" t="inlineStr">
        <is>
          <t>Change Orders</t>
        </is>
      </c>
      <c r="I824" s="14" t="n">
        <v>1</v>
      </c>
      <c r="J824" s="7" t="inlineStr">
        <is>
          <t>Full ship DD&amp;C</t>
        </is>
      </c>
      <c r="K824" s="13" t="inlineStr">
        <is>
          <t>USN</t>
        </is>
      </c>
      <c r="L824" s="7" t="inlineStr">
        <is>
          <t>Combatant Ships</t>
        </is>
      </c>
      <c r="M824" s="7" t="inlineStr">
        <is>
          <t>Submarines</t>
        </is>
      </c>
      <c r="N824" s="7" t="inlineStr">
        <is>
          <t>SSN</t>
        </is>
      </c>
      <c r="O824" s="15" t="n"/>
      <c r="P824" s="16" t="n">
        <v>94912</v>
      </c>
      <c r="S824" s="16" t="n">
        <v>102067</v>
      </c>
      <c r="U824" s="16" t="n">
        <v>102067</v>
      </c>
      <c r="AC824" s="23">
        <f>IF(OR(E824="",E824="[PARENT]"),"ADD",IF(E824="[ALT_VIEW]","ALT",""))</f>
        <v/>
      </c>
      <c r="AD824" s="21">
        <f>IF(Y824&lt;&gt;"",Y824,IF(U824&lt;&gt;"",U824,S824))</f>
        <v/>
      </c>
      <c r="AE824" s="21">
        <f>IF(AB824&lt;&gt;"",AB824,Z824)</f>
        <v/>
      </c>
      <c r="AF824" s="13" t="inlineStr">
        <is>
          <t>P-5c &gt; Virginia Class Submarine &gt; Change Orders</t>
        </is>
      </c>
      <c r="AG824" s="7" t="inlineStr">
        <is>
          <t>158</t>
        </is>
      </c>
      <c r="AH824" s="7" t="inlineStr">
        <is>
          <t>2013</t>
        </is>
      </c>
    </row>
    <row r="825" ht="10" customHeight="1">
      <c r="A825" s="7" t="inlineStr">
        <is>
          <t>SCN</t>
        </is>
      </c>
      <c r="B825" s="7" t="inlineStr">
        <is>
          <t>Procurement</t>
        </is>
      </c>
      <c r="D825" s="7" t="inlineStr">
        <is>
          <t>Virginia Class Submarine - P-5c - Electronics</t>
        </is>
      </c>
      <c r="E825" s="13" t="inlineStr">
        <is>
          <t>[ALT_VIEW]</t>
        </is>
      </c>
      <c r="F825" s="7" t="inlineStr">
        <is>
          <t>2013 / Virginia Class Submarine</t>
        </is>
      </c>
      <c r="G825" s="7" t="inlineStr">
        <is>
          <t>P-5c</t>
        </is>
      </c>
      <c r="H825" s="7" t="inlineStr">
        <is>
          <t>Electronics</t>
        </is>
      </c>
      <c r="I825" s="14" t="n">
        <v>1</v>
      </c>
      <c r="J825" s="7" t="inlineStr">
        <is>
          <t>Full ship DD&amp;C</t>
        </is>
      </c>
      <c r="K825" s="13" t="inlineStr">
        <is>
          <t>USN</t>
        </is>
      </c>
      <c r="L825" s="7" t="inlineStr">
        <is>
          <t>Combatant Ships</t>
        </is>
      </c>
      <c r="M825" s="7" t="inlineStr">
        <is>
          <t>Submarines</t>
        </is>
      </c>
      <c r="N825" s="7" t="inlineStr">
        <is>
          <t>SSN</t>
        </is>
      </c>
      <c r="O825" s="15" t="n"/>
      <c r="P825" s="16" t="n">
        <v>540536</v>
      </c>
      <c r="S825" s="16" t="n">
        <v>551346</v>
      </c>
      <c r="U825" s="16" t="n">
        <v>551346</v>
      </c>
      <c r="AC825" s="23">
        <f>IF(OR(E825="",E825="[PARENT]"),"ADD",IF(E825="[ALT_VIEW]","ALT",""))</f>
        <v/>
      </c>
      <c r="AD825" s="21">
        <f>IF(Y825&lt;&gt;"",Y825,IF(U825&lt;&gt;"",U825,S825))</f>
        <v/>
      </c>
      <c r="AE825" s="21">
        <f>IF(AB825&lt;&gt;"",AB825,Z825)</f>
        <v/>
      </c>
      <c r="AF825" s="13" t="inlineStr">
        <is>
          <t>P-5c &gt; Virginia Class Submarine &gt; Electronics</t>
        </is>
      </c>
      <c r="AG825" s="7" t="inlineStr">
        <is>
          <t>158</t>
        </is>
      </c>
      <c r="AH825" s="7" t="inlineStr">
        <is>
          <t>2013</t>
        </is>
      </c>
    </row>
    <row r="826" ht="10" customHeight="1">
      <c r="A826" s="7" t="inlineStr">
        <is>
          <t>SCN</t>
        </is>
      </c>
      <c r="B826" s="7" t="inlineStr">
        <is>
          <t>Procurement</t>
        </is>
      </c>
      <c r="D826" s="7" t="inlineStr">
        <is>
          <t>Virginia Class Submarine - P-5c - Technology Insertion</t>
        </is>
      </c>
      <c r="E826" s="13" t="inlineStr">
        <is>
          <t>[ALT_VIEW]</t>
        </is>
      </c>
      <c r="F826" s="7" t="inlineStr">
        <is>
          <t>2013 / Virginia Class Submarine</t>
        </is>
      </c>
      <c r="G826" s="7" t="inlineStr">
        <is>
          <t>P-5c</t>
        </is>
      </c>
      <c r="H826" s="7" t="inlineStr">
        <is>
          <t>Technology Insertion</t>
        </is>
      </c>
      <c r="I826" s="14" t="n">
        <v>1</v>
      </c>
      <c r="J826" s="7" t="inlineStr">
        <is>
          <t>Full ship DD&amp;C</t>
        </is>
      </c>
      <c r="K826" s="13" t="inlineStr">
        <is>
          <t>USN</t>
        </is>
      </c>
      <c r="L826" s="7" t="inlineStr">
        <is>
          <t>Combatant Ships</t>
        </is>
      </c>
      <c r="M826" s="7" t="inlineStr">
        <is>
          <t>Submarines</t>
        </is>
      </c>
      <c r="N826" s="7" t="inlineStr">
        <is>
          <t>SSN</t>
        </is>
      </c>
      <c r="O826" s="15" t="n"/>
      <c r="P826" s="16" t="n">
        <v>15398</v>
      </c>
      <c r="S826" s="16" t="n">
        <v>15706</v>
      </c>
      <c r="U826" s="16" t="n">
        <v>15706</v>
      </c>
      <c r="AC826" s="23">
        <f>IF(OR(E826="",E826="[PARENT]"),"ADD",IF(E826="[ALT_VIEW]","ALT",""))</f>
        <v/>
      </c>
      <c r="AD826" s="21">
        <f>IF(Y826&lt;&gt;"",Y826,IF(U826&lt;&gt;"",U826,S826))</f>
        <v/>
      </c>
      <c r="AE826" s="21">
        <f>IF(AB826&lt;&gt;"",AB826,Z826)</f>
        <v/>
      </c>
      <c r="AF826" s="13" t="inlineStr">
        <is>
          <t>P-5c &gt; Virginia Class Submarine &gt; Technology Insertion</t>
        </is>
      </c>
      <c r="AG826" s="7" t="inlineStr">
        <is>
          <t>158</t>
        </is>
      </c>
      <c r="AH826" s="7" t="inlineStr">
        <is>
          <t>2013</t>
        </is>
      </c>
    </row>
    <row r="827" ht="10" customHeight="1">
      <c r="A827" s="7" t="inlineStr">
        <is>
          <t>SCN</t>
        </is>
      </c>
      <c r="B827" s="7" t="inlineStr">
        <is>
          <t>Procurement</t>
        </is>
      </c>
      <c r="D827" s="7" t="inlineStr">
        <is>
          <t>Virginia Class Submarine - P-5c - Propulsion Equipment</t>
        </is>
      </c>
      <c r="E827" s="13" t="inlineStr">
        <is>
          <t>[ALT_VIEW]</t>
        </is>
      </c>
      <c r="F827" s="7" t="inlineStr">
        <is>
          <t>2013 / Virginia Class Submarine</t>
        </is>
      </c>
      <c r="G827" s="7" t="inlineStr">
        <is>
          <t>P-5c</t>
        </is>
      </c>
      <c r="H827" s="7" t="inlineStr">
        <is>
          <t>Propulsion Equipment</t>
        </is>
      </c>
      <c r="I827" s="14" t="n">
        <v>1</v>
      </c>
      <c r="J827" s="7" t="inlineStr">
        <is>
          <t>Full ship DD&amp;C</t>
        </is>
      </c>
      <c r="K827" s="13" t="inlineStr">
        <is>
          <t>USN</t>
        </is>
      </c>
      <c r="L827" s="7" t="inlineStr">
        <is>
          <t>Combatant Ships</t>
        </is>
      </c>
      <c r="M827" s="7" t="inlineStr">
        <is>
          <t>Submarines</t>
        </is>
      </c>
      <c r="N827" s="7" t="inlineStr">
        <is>
          <t>SSN</t>
        </is>
      </c>
      <c r="O827" s="15" t="n"/>
      <c r="P827" s="16" t="n">
        <v>1046830</v>
      </c>
      <c r="S827" s="16" t="n">
        <v>1083115</v>
      </c>
      <c r="U827" s="16" t="n">
        <v>1083115</v>
      </c>
      <c r="AC827" s="23">
        <f>IF(OR(E827="",E827="[PARENT]"),"ADD",IF(E827="[ALT_VIEW]","ALT",""))</f>
        <v/>
      </c>
      <c r="AD827" s="21">
        <f>IF(Y827&lt;&gt;"",Y827,IF(U827&lt;&gt;"",U827,S827))</f>
        <v/>
      </c>
      <c r="AE827" s="21">
        <f>IF(AB827&lt;&gt;"",AB827,Z827)</f>
        <v/>
      </c>
      <c r="AF827" s="13" t="inlineStr">
        <is>
          <t>P-5c &gt; Virginia Class Submarine &gt; Propulsion Equipment</t>
        </is>
      </c>
      <c r="AG827" s="7" t="inlineStr">
        <is>
          <t>158</t>
        </is>
      </c>
      <c r="AH827" s="7" t="inlineStr">
        <is>
          <t>2013</t>
        </is>
      </c>
    </row>
    <row r="828" ht="10" customHeight="1">
      <c r="A828" s="7" t="inlineStr">
        <is>
          <t>SCN</t>
        </is>
      </c>
      <c r="B828" s="7" t="inlineStr">
        <is>
          <t>Procurement</t>
        </is>
      </c>
      <c r="D828" s="7" t="inlineStr">
        <is>
          <t>Virginia Class Submarine - P-5c - Other Cost</t>
        </is>
      </c>
      <c r="E828" s="13" t="inlineStr">
        <is>
          <t>[ALT_VIEW]</t>
        </is>
      </c>
      <c r="F828" s="7" t="inlineStr">
        <is>
          <t>2013 / Virginia Class Submarine</t>
        </is>
      </c>
      <c r="G828" s="7" t="inlineStr">
        <is>
          <t>P-5c</t>
        </is>
      </c>
      <c r="H828" s="7" t="inlineStr">
        <is>
          <t>Other Cost</t>
        </is>
      </c>
      <c r="I828" s="14" t="n">
        <v>1</v>
      </c>
      <c r="J828" s="7" t="inlineStr">
        <is>
          <t>Full ship DD&amp;C</t>
        </is>
      </c>
      <c r="K828" s="13" t="inlineStr">
        <is>
          <t>USN</t>
        </is>
      </c>
      <c r="L828" s="7" t="inlineStr">
        <is>
          <t>Combatant Ships</t>
        </is>
      </c>
      <c r="M828" s="7" t="inlineStr">
        <is>
          <t>Submarines</t>
        </is>
      </c>
      <c r="N828" s="7" t="inlineStr">
        <is>
          <t>SSN</t>
        </is>
      </c>
      <c r="O828" s="15" t="n"/>
      <c r="P828" s="16" t="n">
        <v>67806</v>
      </c>
      <c r="S828" s="16" t="n">
        <v>69162</v>
      </c>
      <c r="U828" s="16" t="n">
        <v>69162</v>
      </c>
      <c r="AC828" s="23">
        <f>IF(OR(E828="",E828="[PARENT]"),"ADD",IF(E828="[ALT_VIEW]","ALT",""))</f>
        <v/>
      </c>
      <c r="AD828" s="21">
        <f>IF(Y828&lt;&gt;"",Y828,IF(U828&lt;&gt;"",U828,S828))</f>
        <v/>
      </c>
      <c r="AE828" s="21">
        <f>IF(AB828&lt;&gt;"",AB828,Z828)</f>
        <v/>
      </c>
      <c r="AF828" s="13" t="inlineStr">
        <is>
          <t>P-5c &gt; Virginia Class Submarine &gt; Other Cost</t>
        </is>
      </c>
      <c r="AG828" s="7" t="inlineStr">
        <is>
          <t>158</t>
        </is>
      </c>
      <c r="AH828" s="7" t="inlineStr">
        <is>
          <t>2013</t>
        </is>
      </c>
    </row>
    <row r="829" ht="10" customHeight="1">
      <c r="A829" s="7" t="inlineStr">
        <is>
          <t>SCN</t>
        </is>
      </c>
      <c r="B829" s="7" t="inlineStr">
        <is>
          <t>Procurement</t>
        </is>
      </c>
      <c r="D829" s="7" t="inlineStr">
        <is>
          <t>Virginia Class Submarine - P-5c - 2014</t>
        </is>
      </c>
      <c r="E829" s="13" t="inlineStr">
        <is>
          <t>[ALT_VIEW]</t>
        </is>
      </c>
      <c r="F829" s="7" t="inlineStr">
        <is>
          <t>2013 / Virginia Class Submarine</t>
        </is>
      </c>
      <c r="G829" s="7" t="inlineStr">
        <is>
          <t>P-5c</t>
        </is>
      </c>
      <c r="I829" s="14" t="n">
        <v>1</v>
      </c>
      <c r="J829" s="7" t="inlineStr">
        <is>
          <t>Full ship DD&amp;C</t>
        </is>
      </c>
      <c r="K829" s="13" t="inlineStr">
        <is>
          <t>USN</t>
        </is>
      </c>
      <c r="L829" s="7" t="inlineStr">
        <is>
          <t>Combatant Ships</t>
        </is>
      </c>
      <c r="M829" s="7" t="inlineStr">
        <is>
          <t>Submarines</t>
        </is>
      </c>
      <c r="N829" s="7" t="inlineStr">
        <is>
          <t>SSN</t>
        </is>
      </c>
      <c r="O829" s="15" t="n"/>
      <c r="S829" s="16" t="n">
        <v>1145000</v>
      </c>
      <c r="U829" s="16" t="n">
        <v>1145000</v>
      </c>
      <c r="AC829" s="23">
        <f>IF(OR(E829="",E829="[PARENT]"),"ADD",IF(E829="[ALT_VIEW]","ALT",""))</f>
        <v/>
      </c>
      <c r="AD829" s="21">
        <f>IF(Y829&lt;&gt;"",Y829,IF(U829&lt;&gt;"",U829,S829))</f>
        <v/>
      </c>
      <c r="AE829" s="21">
        <f>IF(AB829&lt;&gt;"",AB829,Z829)</f>
        <v/>
      </c>
      <c r="AF829" s="13" t="inlineStr">
        <is>
          <t>P-5c &gt; Virginia Class Submarine &gt; 2014</t>
        </is>
      </c>
      <c r="AG829" s="7" t="inlineStr">
        <is>
          <t>158</t>
        </is>
      </c>
      <c r="AH829" s="7" t="inlineStr">
        <is>
          <t>2013</t>
        </is>
      </c>
    </row>
    <row r="830" ht="10" customHeight="1">
      <c r="A830" s="7" t="inlineStr">
        <is>
          <t>SCN</t>
        </is>
      </c>
      <c r="B830" s="7" t="inlineStr">
        <is>
          <t>Procurement</t>
        </is>
      </c>
      <c r="D830" s="7" t="inlineStr">
        <is>
          <t>Virginia Class Submarine - P-5c - 2015</t>
        </is>
      </c>
      <c r="E830" s="13" t="inlineStr">
        <is>
          <t>[ALT_VIEW]</t>
        </is>
      </c>
      <c r="F830" s="7" t="inlineStr">
        <is>
          <t>2013 / Virginia Class Submarine</t>
        </is>
      </c>
      <c r="G830" s="7" t="inlineStr">
        <is>
          <t>P-5c</t>
        </is>
      </c>
      <c r="I830" s="14" t="n">
        <v>1</v>
      </c>
      <c r="J830" s="7" t="inlineStr">
        <is>
          <t>Full ship DD&amp;C</t>
        </is>
      </c>
      <c r="K830" s="13" t="inlineStr">
        <is>
          <t>USN</t>
        </is>
      </c>
      <c r="L830" s="7" t="inlineStr">
        <is>
          <t>Combatant Ships</t>
        </is>
      </c>
      <c r="M830" s="7" t="inlineStr">
        <is>
          <t>Submarines</t>
        </is>
      </c>
      <c r="N830" s="7" t="inlineStr">
        <is>
          <t>SSN</t>
        </is>
      </c>
      <c r="O830" s="15" t="n"/>
      <c r="P830" s="16" t="n">
        <v>468536</v>
      </c>
      <c r="S830" s="16" t="n">
        <v>1152500</v>
      </c>
      <c r="U830" s="16" t="n">
        <v>1152500</v>
      </c>
      <c r="AC830" s="23">
        <f>IF(OR(E830="",E830="[PARENT]"),"ADD",IF(E830="[ALT_VIEW]","ALT",""))</f>
        <v/>
      </c>
      <c r="AD830" s="21">
        <f>IF(Y830&lt;&gt;"",Y830,IF(U830&lt;&gt;"",U830,S830))</f>
        <v/>
      </c>
      <c r="AE830" s="21">
        <f>IF(AB830&lt;&gt;"",AB830,Z830)</f>
        <v/>
      </c>
      <c r="AF830" s="13" t="inlineStr">
        <is>
          <t>P-5c &gt; Virginia Class Submarine &gt; 2015</t>
        </is>
      </c>
      <c r="AG830" s="7" t="inlineStr">
        <is>
          <t>158</t>
        </is>
      </c>
      <c r="AH830" s="7" t="inlineStr">
        <is>
          <t>2013</t>
        </is>
      </c>
    </row>
    <row r="831" ht="10" customHeight="1">
      <c r="A831" s="7" t="inlineStr">
        <is>
          <t>SCN</t>
        </is>
      </c>
      <c r="B831" s="7" t="inlineStr">
        <is>
          <t>Procurement</t>
        </is>
      </c>
      <c r="D831" s="7" t="inlineStr">
        <is>
          <t>Virginia Class Submarine - P-5c - 2016                                                      -</t>
        </is>
      </c>
      <c r="E831" s="13" t="inlineStr">
        <is>
          <t>[ALT_VIEW]</t>
        </is>
      </c>
      <c r="F831" s="7" t="inlineStr">
        <is>
          <t>2013 / Virginia Class Submarine</t>
        </is>
      </c>
      <c r="G831" s="7" t="inlineStr">
        <is>
          <t>P-5c</t>
        </is>
      </c>
      <c r="I831" s="14" t="n">
        <v>1</v>
      </c>
      <c r="J831" s="7" t="inlineStr">
        <is>
          <t>Full ship DD&amp;C</t>
        </is>
      </c>
      <c r="K831" s="13" t="inlineStr">
        <is>
          <t>USN</t>
        </is>
      </c>
      <c r="L831" s="7" t="inlineStr">
        <is>
          <t>Combatant Ships</t>
        </is>
      </c>
      <c r="M831" s="7" t="inlineStr">
        <is>
          <t>Submarines</t>
        </is>
      </c>
      <c r="N831" s="7" t="inlineStr">
        <is>
          <t>SSN</t>
        </is>
      </c>
      <c r="O831" s="15" t="n"/>
      <c r="P831" s="16" t="n">
        <v>470788</v>
      </c>
      <c r="S831" s="16" t="n">
        <v>1171100</v>
      </c>
      <c r="U831" s="16" t="n">
        <v>1171100</v>
      </c>
      <c r="AC831" s="23">
        <f>IF(OR(E831="",E831="[PARENT]"),"ADD",IF(E831="[ALT_VIEW]","ALT",""))</f>
        <v/>
      </c>
      <c r="AD831" s="21">
        <f>IF(Y831&lt;&gt;"",Y831,IF(U831&lt;&gt;"",U831,S831))</f>
        <v/>
      </c>
      <c r="AE831" s="21">
        <f>IF(AB831&lt;&gt;"",AB831,Z831)</f>
        <v/>
      </c>
      <c r="AF831" s="13" t="inlineStr">
        <is>
          <t>P-5c &gt; Virginia Class Submarine &gt; 2016                                                      -</t>
        </is>
      </c>
      <c r="AG831" s="7" t="inlineStr">
        <is>
          <t>158</t>
        </is>
      </c>
      <c r="AH831" s="7" t="inlineStr">
        <is>
          <t>2013</t>
        </is>
      </c>
    </row>
    <row r="832" ht="10" customHeight="1">
      <c r="A832" s="7" t="inlineStr">
        <is>
          <t>SCN</t>
        </is>
      </c>
      <c r="B832" s="7" t="inlineStr">
        <is>
          <t>Procurement</t>
        </is>
      </c>
      <c r="D832" s="7" t="inlineStr">
        <is>
          <t>Virginia Class Submarine - P-5c - 2017                                                      -                          -</t>
        </is>
      </c>
      <c r="E832" s="13" t="inlineStr">
        <is>
          <t>[ALT_VIEW]</t>
        </is>
      </c>
      <c r="F832" s="7" t="inlineStr">
        <is>
          <t>2013 / Virginia Class Submarine</t>
        </is>
      </c>
      <c r="G832" s="7" t="inlineStr">
        <is>
          <t>P-5c</t>
        </is>
      </c>
      <c r="I832" s="14" t="n">
        <v>1</v>
      </c>
      <c r="J832" s="7" t="inlineStr">
        <is>
          <t>Full ship DD&amp;C</t>
        </is>
      </c>
      <c r="K832" s="13" t="inlineStr">
        <is>
          <t>USN</t>
        </is>
      </c>
      <c r="L832" s="7" t="inlineStr">
        <is>
          <t>Combatant Ships</t>
        </is>
      </c>
      <c r="M832" s="7" t="inlineStr">
        <is>
          <t>Submarines</t>
        </is>
      </c>
      <c r="N832" s="7" t="inlineStr">
        <is>
          <t>SSN</t>
        </is>
      </c>
      <c r="O832" s="15" t="n"/>
      <c r="P832" s="16" t="n">
        <v>475940</v>
      </c>
      <c r="S832" s="16" t="n">
        <v>1376294</v>
      </c>
      <c r="U832" s="16" t="n">
        <v>1376294</v>
      </c>
      <c r="AC832" s="23">
        <f>IF(OR(E832="",E832="[PARENT]"),"ADD",IF(E832="[ALT_VIEW]","ALT",""))</f>
        <v/>
      </c>
      <c r="AD832" s="21">
        <f>IF(Y832&lt;&gt;"",Y832,IF(U832&lt;&gt;"",U832,S832))</f>
        <v/>
      </c>
      <c r="AE832" s="21">
        <f>IF(AB832&lt;&gt;"",AB832,Z832)</f>
        <v/>
      </c>
      <c r="AF832" s="13" t="inlineStr">
        <is>
          <t>P-5c &gt; Virginia Class Submarine &gt; 2017                                                      -                          -</t>
        </is>
      </c>
      <c r="AG832" s="7" t="inlineStr">
        <is>
          <t>158</t>
        </is>
      </c>
      <c r="AH832" s="7" t="inlineStr">
        <is>
          <t>2013</t>
        </is>
      </c>
    </row>
    <row r="833" ht="10" customHeight="1">
      <c r="A833" s="7" t="inlineStr">
        <is>
          <t>SCN</t>
        </is>
      </c>
      <c r="B833" s="7" t="inlineStr">
        <is>
          <t>Procurement</t>
        </is>
      </c>
      <c r="D833" s="7" t="inlineStr">
        <is>
          <t>Virginia Class Submarine - P-5c - 2018                                                      -                          -                          -</t>
        </is>
      </c>
      <c r="E833" s="13" t="inlineStr">
        <is>
          <t>[ALT_VIEW]</t>
        </is>
      </c>
      <c r="F833" s="7" t="inlineStr">
        <is>
          <t>2013 / Virginia Class Submarine</t>
        </is>
      </c>
      <c r="G833" s="7" t="inlineStr">
        <is>
          <t>P-5c</t>
        </is>
      </c>
      <c r="I833" s="14" t="n">
        <v>1</v>
      </c>
      <c r="J833" s="7" t="inlineStr">
        <is>
          <t>Full ship DD&amp;C</t>
        </is>
      </c>
      <c r="K833" s="13" t="inlineStr">
        <is>
          <t>USN</t>
        </is>
      </c>
      <c r="L833" s="7" t="inlineStr">
        <is>
          <t>Combatant Ships</t>
        </is>
      </c>
      <c r="M833" s="7" t="inlineStr">
        <is>
          <t>Submarines</t>
        </is>
      </c>
      <c r="N833" s="7" t="inlineStr">
        <is>
          <t>SSN</t>
        </is>
      </c>
      <c r="O833" s="15" t="n"/>
      <c r="P833" s="16" t="n">
        <v>752597</v>
      </c>
      <c r="S833" s="16" t="n">
        <v>1167999</v>
      </c>
      <c r="U833" s="16" t="n">
        <v>1167999</v>
      </c>
      <c r="AC833" s="23">
        <f>IF(OR(E833="",E833="[PARENT]"),"ADD",IF(E833="[ALT_VIEW]","ALT",""))</f>
        <v/>
      </c>
      <c r="AD833" s="21">
        <f>IF(Y833&lt;&gt;"",Y833,IF(U833&lt;&gt;"",U833,S833))</f>
        <v/>
      </c>
      <c r="AE833" s="21">
        <f>IF(AB833&lt;&gt;"",AB833,Z833)</f>
        <v/>
      </c>
      <c r="AF833" s="13" t="inlineStr">
        <is>
          <t>P-5c &gt; Virginia Class Submarine &gt; 2018                                                      -                          -                          -</t>
        </is>
      </c>
      <c r="AG833" s="7" t="inlineStr">
        <is>
          <t>158</t>
        </is>
      </c>
      <c r="AH833" s="7" t="inlineStr">
        <is>
          <t>2013</t>
        </is>
      </c>
    </row>
    <row r="834" ht="10" customHeight="1">
      <c r="A834" s="7" t="inlineStr">
        <is>
          <t>SCN</t>
        </is>
      </c>
      <c r="B834" s="7" t="inlineStr">
        <is>
          <t>Procurement</t>
        </is>
      </c>
      <c r="D834" s="7" t="inlineStr">
        <is>
          <t>Virginia Class Submarine - P-5c - 2019                                                      -                          -                          -                           -</t>
        </is>
      </c>
      <c r="E834" s="13" t="inlineStr">
        <is>
          <t>[ALT_VIEW]</t>
        </is>
      </c>
      <c r="F834" s="7" t="inlineStr">
        <is>
          <t>2013 / Virginia Class Submarine</t>
        </is>
      </c>
      <c r="G834" s="7" t="inlineStr">
        <is>
          <t>P-5c</t>
        </is>
      </c>
      <c r="I834" s="14" t="n">
        <v>1</v>
      </c>
      <c r="J834" s="7" t="inlineStr">
        <is>
          <t>Full ship DD&amp;C</t>
        </is>
      </c>
      <c r="K834" s="13" t="inlineStr">
        <is>
          <t>USN</t>
        </is>
      </c>
      <c r="L834" s="7" t="inlineStr">
        <is>
          <t>Combatant Ships</t>
        </is>
      </c>
      <c r="M834" s="7" t="inlineStr">
        <is>
          <t>Submarines</t>
        </is>
      </c>
      <c r="N834" s="7" t="inlineStr">
        <is>
          <t>SSN</t>
        </is>
      </c>
      <c r="O834" s="15" t="n"/>
      <c r="P834" s="16" t="n">
        <v>588903</v>
      </c>
      <c r="S834" s="16" t="n">
        <v>1222038</v>
      </c>
      <c r="U834" s="16" t="n">
        <v>1222038</v>
      </c>
      <c r="AC834" s="23">
        <f>IF(OR(E834="",E834="[PARENT]"),"ADD",IF(E834="[ALT_VIEW]","ALT",""))</f>
        <v/>
      </c>
      <c r="AD834" s="21">
        <f>IF(Y834&lt;&gt;"",Y834,IF(U834&lt;&gt;"",U834,S834))</f>
        <v/>
      </c>
      <c r="AE834" s="21">
        <f>IF(AB834&lt;&gt;"",AB834,Z834)</f>
        <v/>
      </c>
      <c r="AF834" s="13" t="inlineStr">
        <is>
          <t>P-5c &gt; Virginia Class Submarine &gt; 2019                                                      -                          -                          -                           -</t>
        </is>
      </c>
      <c r="AG834" s="7" t="inlineStr">
        <is>
          <t>158</t>
        </is>
      </c>
      <c r="AH834" s="7" t="inlineStr">
        <is>
          <t>2013</t>
        </is>
      </c>
    </row>
    <row r="835" ht="10" customHeight="1">
      <c r="A835" s="7" t="inlineStr">
        <is>
          <t>SCN</t>
        </is>
      </c>
      <c r="B835" s="7" t="inlineStr">
        <is>
          <t>Procurement</t>
        </is>
      </c>
      <c r="D835" s="7" t="inlineStr">
        <is>
          <t>Virginia Class Submarine - P-5c - 2020                                                      -                          -                          -                           -                          -</t>
        </is>
      </c>
      <c r="E835" s="13" t="inlineStr">
        <is>
          <t>[ALT_VIEW]</t>
        </is>
      </c>
      <c r="F835" s="7" t="inlineStr">
        <is>
          <t>2013 / Virginia Class Submarine</t>
        </is>
      </c>
      <c r="G835" s="7" t="inlineStr">
        <is>
          <t>P-5c</t>
        </is>
      </c>
      <c r="I835" s="14" t="n">
        <v>1</v>
      </c>
      <c r="J835" s="7" t="inlineStr">
        <is>
          <t>Full ship DD&amp;C</t>
        </is>
      </c>
      <c r="K835" s="13" t="inlineStr">
        <is>
          <t>USN</t>
        </is>
      </c>
      <c r="L835" s="7" t="inlineStr">
        <is>
          <t>Combatant Ships</t>
        </is>
      </c>
      <c r="M835" s="7" t="inlineStr">
        <is>
          <t>Submarines</t>
        </is>
      </c>
      <c r="N835" s="7" t="inlineStr">
        <is>
          <t>SSN</t>
        </is>
      </c>
      <c r="O835" s="15" t="n"/>
      <c r="P835" s="16" t="n">
        <v>1268947</v>
      </c>
      <c r="S835" s="16" t="n">
        <v>200000</v>
      </c>
      <c r="U835" s="16" t="n">
        <v>200000</v>
      </c>
      <c r="AC835" s="23">
        <f>IF(OR(E835="",E835="[PARENT]"),"ADD",IF(E835="[ALT_VIEW]","ALT",""))</f>
        <v/>
      </c>
      <c r="AD835" s="21">
        <f>IF(Y835&lt;&gt;"",Y835,IF(U835&lt;&gt;"",U835,S835))</f>
        <v/>
      </c>
      <c r="AE835" s="21">
        <f>IF(AB835&lt;&gt;"",AB835,Z835)</f>
        <v/>
      </c>
      <c r="AF835" s="13" t="inlineStr">
        <is>
          <t>P-5c &gt; Virginia Class Submarine &gt; 2020                                                      -                          -                          -                           -                          -</t>
        </is>
      </c>
      <c r="AG835" s="7" t="inlineStr">
        <is>
          <t>158</t>
        </is>
      </c>
      <c r="AH835" s="7" t="inlineStr">
        <is>
          <t>2013</t>
        </is>
      </c>
    </row>
    <row r="836" ht="10" customHeight="1">
      <c r="A836" s="7" t="inlineStr">
        <is>
          <t>SCN</t>
        </is>
      </c>
      <c r="B836" s="7" t="inlineStr">
        <is>
          <t>Procurement</t>
        </is>
      </c>
      <c r="D836" s="7" t="inlineStr">
        <is>
          <t>Virginia Class Submarine - P-5c - 2021                                                      -                          -                          -                           -                          -                             -</t>
        </is>
      </c>
      <c r="E836" s="13" t="inlineStr">
        <is>
          <t>[ALT_VIEW]</t>
        </is>
      </c>
      <c r="F836" s="7" t="inlineStr">
        <is>
          <t>2013 / Virginia Class Submarine</t>
        </is>
      </c>
      <c r="G836" s="7" t="inlineStr">
        <is>
          <t>P-5c</t>
        </is>
      </c>
      <c r="I836" s="14" t="n">
        <v>1</v>
      </c>
      <c r="J836" s="7" t="inlineStr">
        <is>
          <t>Full ship DD&amp;C</t>
        </is>
      </c>
      <c r="K836" s="13" t="inlineStr">
        <is>
          <t>USN</t>
        </is>
      </c>
      <c r="L836" s="7" t="inlineStr">
        <is>
          <t>Combatant Ships</t>
        </is>
      </c>
      <c r="M836" s="7" t="inlineStr">
        <is>
          <t>Submarines</t>
        </is>
      </c>
      <c r="N836" s="7" t="inlineStr">
        <is>
          <t>SSN</t>
        </is>
      </c>
      <c r="O836" s="15" t="n"/>
      <c r="P836" s="16" t="n">
        <v>619381</v>
      </c>
      <c r="S836" s="16" t="n">
        <v>1126386</v>
      </c>
      <c r="U836" s="16" t="n">
        <v>1126386</v>
      </c>
      <c r="AC836" s="23">
        <f>IF(OR(E836="",E836="[PARENT]"),"ADD",IF(E836="[ALT_VIEW]","ALT",""))</f>
        <v/>
      </c>
      <c r="AD836" s="21">
        <f>IF(Y836&lt;&gt;"",Y836,IF(U836&lt;&gt;"",U836,S836))</f>
        <v/>
      </c>
      <c r="AE836" s="21">
        <f>IF(AB836&lt;&gt;"",AB836,Z836)</f>
        <v/>
      </c>
      <c r="AF836" s="13" t="inlineStr">
        <is>
          <t>P-5c &gt; Virginia Class Submarine &gt; 2021                                                      -                          -                          -                           -                          -                             -</t>
        </is>
      </c>
      <c r="AG836" s="7" t="inlineStr">
        <is>
          <t>158</t>
        </is>
      </c>
      <c r="AH836" s="7" t="inlineStr">
        <is>
          <t>2013</t>
        </is>
      </c>
    </row>
    <row r="837" ht="10" customHeight="1">
      <c r="A837" s="7" t="inlineStr">
        <is>
          <t>SCN</t>
        </is>
      </c>
      <c r="B837" s="7" t="inlineStr">
        <is>
          <t>Procurement</t>
        </is>
      </c>
      <c r="D837" s="7" t="inlineStr">
        <is>
          <t>Virginia Class Submarine - P-5c - 2022                                                      -                          -                          -                           -                          -                             -                          -</t>
        </is>
      </c>
      <c r="E837" s="13" t="inlineStr">
        <is>
          <t>[ALT_VIEW]</t>
        </is>
      </c>
      <c r="F837" s="7" t="inlineStr">
        <is>
          <t>2013 / Virginia Class Submarine</t>
        </is>
      </c>
      <c r="G837" s="7" t="inlineStr">
        <is>
          <t>P-5c</t>
        </is>
      </c>
      <c r="I837" s="14" t="n">
        <v>1</v>
      </c>
      <c r="J837" s="7" t="inlineStr">
        <is>
          <t>Full ship DD&amp;C</t>
        </is>
      </c>
      <c r="K837" s="13" t="inlineStr">
        <is>
          <t>USN</t>
        </is>
      </c>
      <c r="L837" s="7" t="inlineStr">
        <is>
          <t>Combatant Ships</t>
        </is>
      </c>
      <c r="M837" s="7" t="inlineStr">
        <is>
          <t>Submarines</t>
        </is>
      </c>
      <c r="N837" s="7" t="inlineStr">
        <is>
          <t>SSN</t>
        </is>
      </c>
      <c r="O837" s="15" t="n"/>
      <c r="S837" s="16" t="n">
        <v>611920</v>
      </c>
      <c r="U837" s="16" t="n">
        <v>611920</v>
      </c>
      <c r="AC837" s="23">
        <f>IF(OR(E837="",E837="[PARENT]"),"ADD",IF(E837="[ALT_VIEW]","ALT",""))</f>
        <v/>
      </c>
      <c r="AD837" s="21">
        <f>IF(Y837&lt;&gt;"",Y837,IF(U837&lt;&gt;"",U837,S837))</f>
        <v/>
      </c>
      <c r="AE837" s="21">
        <f>IF(AB837&lt;&gt;"",AB837,Z837)</f>
        <v/>
      </c>
      <c r="AF837" s="13" t="inlineStr">
        <is>
          <t>P-5c &gt; Virginia Class Submarine &gt; 2022                                                      -                          -                          -                           -                          -                             -                          -</t>
        </is>
      </c>
      <c r="AG837" s="7" t="inlineStr">
        <is>
          <t>158</t>
        </is>
      </c>
      <c r="AH837" s="7" t="inlineStr">
        <is>
          <t>2013</t>
        </is>
      </c>
    </row>
    <row r="838" ht="10" customHeight="1">
      <c r="A838" s="7" t="inlineStr">
        <is>
          <t>SCN</t>
        </is>
      </c>
      <c r="B838" s="7" t="inlineStr">
        <is>
          <t>Procurement</t>
        </is>
      </c>
      <c r="D838" s="7" t="inlineStr">
        <is>
          <t>Virginia Class Submarine - P-5c - 2023</t>
        </is>
      </c>
      <c r="E838" s="13" t="inlineStr">
        <is>
          <t>[ALT_VIEW]</t>
        </is>
      </c>
      <c r="F838" s="7" t="inlineStr">
        <is>
          <t>2013 / Virginia Class Submarine</t>
        </is>
      </c>
      <c r="G838" s="7" t="inlineStr">
        <is>
          <t>P-5c</t>
        </is>
      </c>
      <c r="I838" s="14" t="n">
        <v>1</v>
      </c>
      <c r="J838" s="7" t="inlineStr">
        <is>
          <t>Full ship DD&amp;C</t>
        </is>
      </c>
      <c r="K838" s="13" t="inlineStr">
        <is>
          <t>USN</t>
        </is>
      </c>
      <c r="L838" s="7" t="inlineStr">
        <is>
          <t>Combatant Ships</t>
        </is>
      </c>
      <c r="M838" s="7" t="inlineStr">
        <is>
          <t>Submarines</t>
        </is>
      </c>
      <c r="N838" s="7" t="inlineStr">
        <is>
          <t>SSN</t>
        </is>
      </c>
      <c r="O838" s="15" t="n"/>
      <c r="P838" s="16" t="n">
        <v>58642</v>
      </c>
      <c r="S838" s="16" t="n">
        <v>200000</v>
      </c>
      <c r="U838" s="16" t="n">
        <v>200000</v>
      </c>
      <c r="AC838" s="23">
        <f>IF(OR(E838="",E838="[PARENT]"),"ADD",IF(E838="[ALT_VIEW]","ALT",""))</f>
        <v/>
      </c>
      <c r="AD838" s="21">
        <f>IF(Y838&lt;&gt;"",Y838,IF(U838&lt;&gt;"",U838,S838))</f>
        <v/>
      </c>
      <c r="AE838" s="21">
        <f>IF(AB838&lt;&gt;"",AB838,Z838)</f>
        <v/>
      </c>
      <c r="AF838" s="13" t="inlineStr">
        <is>
          <t>P-5c &gt; Virginia Class Submarine &gt; 2023</t>
        </is>
      </c>
      <c r="AG838" s="7" t="inlineStr">
        <is>
          <t>158</t>
        </is>
      </c>
      <c r="AH838" s="7" t="inlineStr">
        <is>
          <t>2013</t>
        </is>
      </c>
    </row>
    <row r="839" ht="10" customHeight="1">
      <c r="A839" s="7" t="inlineStr">
        <is>
          <t>SCN</t>
        </is>
      </c>
      <c r="B839" s="7" t="inlineStr">
        <is>
          <t>Procurement</t>
        </is>
      </c>
      <c r="D839" s="7" t="inlineStr">
        <is>
          <t>Virginia Class Submarine - P-5c - 2024</t>
        </is>
      </c>
      <c r="E839" s="13" t="inlineStr">
        <is>
          <t>[ALT_VIEW]</t>
        </is>
      </c>
      <c r="F839" s="7" t="inlineStr">
        <is>
          <t>2013 / Virginia Class Submarine</t>
        </is>
      </c>
      <c r="G839" s="7" t="inlineStr">
        <is>
          <t>P-5c</t>
        </is>
      </c>
      <c r="I839" s="14" t="n">
        <v>1</v>
      </c>
      <c r="J839" s="7" t="inlineStr">
        <is>
          <t>Full ship DD&amp;C</t>
        </is>
      </c>
      <c r="K839" s="13" t="inlineStr">
        <is>
          <t>USN</t>
        </is>
      </c>
      <c r="L839" s="7" t="inlineStr">
        <is>
          <t>Combatant Ships</t>
        </is>
      </c>
      <c r="M839" s="7" t="inlineStr">
        <is>
          <t>Submarines</t>
        </is>
      </c>
      <c r="N839" s="7" t="inlineStr">
        <is>
          <t>SSN</t>
        </is>
      </c>
      <c r="O839" s="15" t="n"/>
      <c r="P839" s="16" t="n">
        <v>100115</v>
      </c>
      <c r="S839" s="16" t="n">
        <v>24646</v>
      </c>
      <c r="U839" s="16" t="n">
        <v>24646</v>
      </c>
      <c r="AC839" s="23">
        <f>IF(OR(E839="",E839="[PARENT]"),"ADD",IF(E839="[ALT_VIEW]","ALT",""))</f>
        <v/>
      </c>
      <c r="AD839" s="21">
        <f>IF(Y839&lt;&gt;"",Y839,IF(U839&lt;&gt;"",U839,S839))</f>
        <v/>
      </c>
      <c r="AE839" s="21">
        <f>IF(AB839&lt;&gt;"",AB839,Z839)</f>
        <v/>
      </c>
      <c r="AF839" s="13" t="inlineStr">
        <is>
          <t>P-5c &gt; Virginia Class Submarine &gt; 2024</t>
        </is>
      </c>
      <c r="AG839" s="7" t="inlineStr">
        <is>
          <t>159</t>
        </is>
      </c>
      <c r="AH839" s="7" t="inlineStr">
        <is>
          <t>2013</t>
        </is>
      </c>
    </row>
    <row r="840" ht="10" customHeight="1">
      <c r="A840" s="7" t="inlineStr">
        <is>
          <t>SCN</t>
        </is>
      </c>
      <c r="B840" s="7" t="inlineStr">
        <is>
          <t>Procurement</t>
        </is>
      </c>
      <c r="D840" s="7" t="inlineStr">
        <is>
          <t>Virginia Class Submarine - P-5c - 2025                                           -</t>
        </is>
      </c>
      <c r="E840" s="13" t="inlineStr">
        <is>
          <t>[ALT_VIEW]</t>
        </is>
      </c>
      <c r="F840" s="7" t="inlineStr">
        <is>
          <t>2013 / Virginia Class Submarine</t>
        </is>
      </c>
      <c r="G840" s="7" t="inlineStr">
        <is>
          <t>P-5c</t>
        </is>
      </c>
      <c r="I840" s="14" t="n">
        <v>1</v>
      </c>
      <c r="J840" s="7" t="inlineStr">
        <is>
          <t>Full ship DD&amp;C</t>
        </is>
      </c>
      <c r="K840" s="13" t="inlineStr">
        <is>
          <t>USN</t>
        </is>
      </c>
      <c r="L840" s="7" t="inlineStr">
        <is>
          <t>Combatant Ships</t>
        </is>
      </c>
      <c r="M840" s="7" t="inlineStr">
        <is>
          <t>Submarines</t>
        </is>
      </c>
      <c r="N840" s="7" t="inlineStr">
        <is>
          <t>SSN</t>
        </is>
      </c>
      <c r="O840" s="15" t="n"/>
      <c r="P840" s="16" t="n">
        <v>219370</v>
      </c>
      <c r="S840" s="16" t="n">
        <v>73634</v>
      </c>
      <c r="U840" s="16" t="n">
        <v>73634</v>
      </c>
      <c r="AC840" s="23">
        <f>IF(OR(E840="",E840="[PARENT]"),"ADD",IF(E840="[ALT_VIEW]","ALT",""))</f>
        <v/>
      </c>
      <c r="AD840" s="21">
        <f>IF(Y840&lt;&gt;"",Y840,IF(U840&lt;&gt;"",U840,S840))</f>
        <v/>
      </c>
      <c r="AE840" s="21">
        <f>IF(AB840&lt;&gt;"",AB840,Z840)</f>
        <v/>
      </c>
      <c r="AF840" s="13" t="inlineStr">
        <is>
          <t>P-5c &gt; Virginia Class Submarine &gt; 2025                                           -</t>
        </is>
      </c>
      <c r="AG840" s="7" t="inlineStr">
        <is>
          <t>159</t>
        </is>
      </c>
      <c r="AH840" s="7" t="inlineStr">
        <is>
          <t>2013</t>
        </is>
      </c>
    </row>
    <row r="841" ht="10" customHeight="1">
      <c r="A841" s="7" t="inlineStr">
        <is>
          <t>SCN</t>
        </is>
      </c>
      <c r="B841" s="7" t="inlineStr">
        <is>
          <t>Procurement</t>
        </is>
      </c>
      <c r="D841" s="7" t="inlineStr">
        <is>
          <t>Virginia Class Submarine - P-5c - 2026</t>
        </is>
      </c>
      <c r="E841" s="13" t="inlineStr">
        <is>
          <t>[ALT_VIEW]</t>
        </is>
      </c>
      <c r="F841" s="7" t="inlineStr">
        <is>
          <t>2013 / Virginia Class Submarine</t>
        </is>
      </c>
      <c r="G841" s="7" t="inlineStr">
        <is>
          <t>P-5c</t>
        </is>
      </c>
      <c r="I841" s="14" t="n">
        <v>1</v>
      </c>
      <c r="J841" s="7" t="inlineStr">
        <is>
          <t>Full ship DD&amp;C</t>
        </is>
      </c>
      <c r="K841" s="13" t="inlineStr">
        <is>
          <t>USN</t>
        </is>
      </c>
      <c r="L841" s="7" t="inlineStr">
        <is>
          <t>Combatant Ships</t>
        </is>
      </c>
      <c r="M841" s="7" t="inlineStr">
        <is>
          <t>Submarines</t>
        </is>
      </c>
      <c r="N841" s="7" t="inlineStr">
        <is>
          <t>SSN</t>
        </is>
      </c>
      <c r="O841" s="15" t="n"/>
      <c r="P841" s="16" t="n">
        <v>99116</v>
      </c>
      <c r="S841" s="16" t="n">
        <v>289761</v>
      </c>
      <c r="U841" s="16" t="n">
        <v>289761</v>
      </c>
      <c r="AC841" s="23">
        <f>IF(OR(E841="",E841="[PARENT]"),"ADD",IF(E841="[ALT_VIEW]","ALT",""))</f>
        <v/>
      </c>
      <c r="AD841" s="21">
        <f>IF(Y841&lt;&gt;"",Y841,IF(U841&lt;&gt;"",U841,S841))</f>
        <v/>
      </c>
      <c r="AE841" s="21">
        <f>IF(AB841&lt;&gt;"",AB841,Z841)</f>
        <v/>
      </c>
      <c r="AF841" s="13" t="inlineStr">
        <is>
          <t>P-5c &gt; Virginia Class Submarine &gt; 2026</t>
        </is>
      </c>
      <c r="AG841" s="7" t="inlineStr">
        <is>
          <t>159</t>
        </is>
      </c>
      <c r="AH841" s="7" t="inlineStr">
        <is>
          <t>2013</t>
        </is>
      </c>
    </row>
    <row r="842" ht="10" customHeight="1">
      <c r="A842" s="7" t="inlineStr">
        <is>
          <t>SCN</t>
        </is>
      </c>
      <c r="B842" s="7" t="inlineStr">
        <is>
          <t>Procurement</t>
        </is>
      </c>
      <c r="D842" s="7" t="inlineStr">
        <is>
          <t>Virginia Class Submarine - P-5c - 2027                                           -                      -                      -</t>
        </is>
      </c>
      <c r="E842" s="13" t="inlineStr">
        <is>
          <t>[ALT_VIEW]</t>
        </is>
      </c>
      <c r="F842" s="7" t="inlineStr">
        <is>
          <t>2013 / Virginia Class Submarine</t>
        </is>
      </c>
      <c r="G842" s="7" t="inlineStr">
        <is>
          <t>P-5c</t>
        </is>
      </c>
      <c r="I842" s="14" t="n">
        <v>1</v>
      </c>
      <c r="J842" s="7" t="inlineStr">
        <is>
          <t>Full ship DD&amp;C</t>
        </is>
      </c>
      <c r="K842" s="13" t="inlineStr">
        <is>
          <t>USN</t>
        </is>
      </c>
      <c r="L842" s="7" t="inlineStr">
        <is>
          <t>Combatant Ships</t>
        </is>
      </c>
      <c r="M842" s="7" t="inlineStr">
        <is>
          <t>Submarines</t>
        </is>
      </c>
      <c r="N842" s="7" t="inlineStr">
        <is>
          <t>SSN</t>
        </is>
      </c>
      <c r="O842" s="15" t="n"/>
      <c r="S842" s="16" t="n">
        <v>520236</v>
      </c>
      <c r="U842" s="16" t="n">
        <v>520236</v>
      </c>
      <c r="AC842" s="23">
        <f>IF(OR(E842="",E842="[PARENT]"),"ADD",IF(E842="[ALT_VIEW]","ALT",""))</f>
        <v/>
      </c>
      <c r="AD842" s="21">
        <f>IF(Y842&lt;&gt;"",Y842,IF(U842&lt;&gt;"",U842,S842))</f>
        <v/>
      </c>
      <c r="AE842" s="21">
        <f>IF(AB842&lt;&gt;"",AB842,Z842)</f>
        <v/>
      </c>
      <c r="AF842" s="13" t="inlineStr">
        <is>
          <t>P-5c &gt; Virginia Class Submarine &gt; 2027                                           -                      -                      -</t>
        </is>
      </c>
      <c r="AG842" s="7" t="inlineStr">
        <is>
          <t>159</t>
        </is>
      </c>
      <c r="AH842" s="7" t="inlineStr">
        <is>
          <t>2013</t>
        </is>
      </c>
    </row>
    <row r="843" ht="10" customHeight="1">
      <c r="A843" s="7" t="inlineStr">
        <is>
          <t>SCN</t>
        </is>
      </c>
      <c r="B843" s="7" t="inlineStr">
        <is>
          <t>Procurement</t>
        </is>
      </c>
      <c r="D843" s="7" t="inlineStr">
        <is>
          <t>Virginia Class Submarine - P-5c - 2028                                           -                      -                      -</t>
        </is>
      </c>
      <c r="E843" s="13" t="inlineStr">
        <is>
          <t>[ALT_VIEW]</t>
        </is>
      </c>
      <c r="F843" s="7" t="inlineStr">
        <is>
          <t>2013 / Virginia Class Submarine</t>
        </is>
      </c>
      <c r="G843" s="7" t="inlineStr">
        <is>
          <t>P-5c</t>
        </is>
      </c>
      <c r="I843" s="14" t="n">
        <v>1</v>
      </c>
      <c r="J843" s="7" t="inlineStr">
        <is>
          <t>Full ship DD&amp;C</t>
        </is>
      </c>
      <c r="K843" s="13" t="inlineStr">
        <is>
          <t>USN</t>
        </is>
      </c>
      <c r="L843" s="7" t="inlineStr">
        <is>
          <t>Combatant Ships</t>
        </is>
      </c>
      <c r="M843" s="7" t="inlineStr">
        <is>
          <t>Submarines</t>
        </is>
      </c>
      <c r="N843" s="7" t="inlineStr">
        <is>
          <t>SSN</t>
        </is>
      </c>
      <c r="O843" s="15" t="n"/>
      <c r="S843" s="16" t="n">
        <v>167350</v>
      </c>
      <c r="U843" s="16" t="n">
        <v>167350</v>
      </c>
      <c r="AC843" s="23">
        <f>IF(OR(E843="",E843="[PARENT]"),"ADD",IF(E843="[ALT_VIEW]","ALT",""))</f>
        <v/>
      </c>
      <c r="AD843" s="21">
        <f>IF(Y843&lt;&gt;"",Y843,IF(U843&lt;&gt;"",U843,S843))</f>
        <v/>
      </c>
      <c r="AE843" s="21">
        <f>IF(AB843&lt;&gt;"",AB843,Z843)</f>
        <v/>
      </c>
      <c r="AF843" s="13" t="inlineStr">
        <is>
          <t>P-5c &gt; Virginia Class Submarine &gt; 2028                                           -                      -                      -</t>
        </is>
      </c>
      <c r="AG843" s="7" t="inlineStr">
        <is>
          <t>159</t>
        </is>
      </c>
      <c r="AH843" s="7" t="inlineStr">
        <is>
          <t>2013</t>
        </is>
      </c>
    </row>
    <row r="844" ht="10" customHeight="1">
      <c r="A844" s="7" t="inlineStr">
        <is>
          <t>SCN</t>
        </is>
      </c>
      <c r="B844" s="7" t="inlineStr">
        <is>
          <t>Procurement</t>
        </is>
      </c>
      <c r="D844" s="7" t="inlineStr">
        <is>
          <t>Virginia Class Submarine - P-5c - 2029                                           -                      -                      -                         -</t>
        </is>
      </c>
      <c r="E844" s="13" t="inlineStr">
        <is>
          <t>[ALT_VIEW]</t>
        </is>
      </c>
      <c r="F844" s="7" t="inlineStr">
        <is>
          <t>2013 / Virginia Class Submarine</t>
        </is>
      </c>
      <c r="G844" s="7" t="inlineStr">
        <is>
          <t>P-5c</t>
        </is>
      </c>
      <c r="I844" s="14" t="n">
        <v>1</v>
      </c>
      <c r="J844" s="7" t="inlineStr">
        <is>
          <t>Full ship DD&amp;C</t>
        </is>
      </c>
      <c r="K844" s="13" t="inlineStr">
        <is>
          <t>USN</t>
        </is>
      </c>
      <c r="L844" s="7" t="inlineStr">
        <is>
          <t>Combatant Ships</t>
        </is>
      </c>
      <c r="M844" s="7" t="inlineStr">
        <is>
          <t>Submarines</t>
        </is>
      </c>
      <c r="N844" s="7" t="inlineStr">
        <is>
          <t>SSN</t>
        </is>
      </c>
      <c r="O844" s="15" t="n"/>
      <c r="P844" s="16" t="n">
        <v>853942</v>
      </c>
      <c r="S844" s="16" t="n">
        <v>239089</v>
      </c>
      <c r="U844" s="16" t="n">
        <v>239089</v>
      </c>
      <c r="AC844" s="23">
        <f>IF(OR(E844="",E844="[PARENT]"),"ADD",IF(E844="[ALT_VIEW]","ALT",""))</f>
        <v/>
      </c>
      <c r="AD844" s="21">
        <f>IF(Y844&lt;&gt;"",Y844,IF(U844&lt;&gt;"",U844,S844))</f>
        <v/>
      </c>
      <c r="AE844" s="21">
        <f>IF(AB844&lt;&gt;"",AB844,Z844)</f>
        <v/>
      </c>
      <c r="AF844" s="13" t="inlineStr">
        <is>
          <t>P-5c &gt; Virginia Class Submarine &gt; 2029                                           -                      -                      -                         -</t>
        </is>
      </c>
      <c r="AG844" s="7" t="inlineStr">
        <is>
          <t>159</t>
        </is>
      </c>
      <c r="AH844" s="7" t="inlineStr">
        <is>
          <t>2013</t>
        </is>
      </c>
    </row>
    <row r="845" ht="10" customHeight="1">
      <c r="A845" s="7" t="inlineStr">
        <is>
          <t>SCN</t>
        </is>
      </c>
      <c r="B845" s="7" t="inlineStr">
        <is>
          <t>Procurement</t>
        </is>
      </c>
      <c r="D845" s="7" t="inlineStr">
        <is>
          <t>Virginia Class Submarine - P-5c - 2030                                           -                      -                      -                         -                      -</t>
        </is>
      </c>
      <c r="E845" s="13" t="inlineStr">
        <is>
          <t>[ALT_VIEW]</t>
        </is>
      </c>
      <c r="F845" s="7" t="inlineStr">
        <is>
          <t>2013 / Virginia Class Submarine</t>
        </is>
      </c>
      <c r="G845" s="7" t="inlineStr">
        <is>
          <t>P-5c</t>
        </is>
      </c>
      <c r="I845" s="14" t="n">
        <v>1</v>
      </c>
      <c r="J845" s="7" t="inlineStr">
        <is>
          <t>Full ship DD&amp;C</t>
        </is>
      </c>
      <c r="K845" s="13" t="inlineStr">
        <is>
          <t>USN</t>
        </is>
      </c>
      <c r="L845" s="7" t="inlineStr">
        <is>
          <t>Combatant Ships</t>
        </is>
      </c>
      <c r="M845" s="7" t="inlineStr">
        <is>
          <t>Submarines</t>
        </is>
      </c>
      <c r="N845" s="7" t="inlineStr">
        <is>
          <t>SSN</t>
        </is>
      </c>
      <c r="O845" s="15" t="n"/>
      <c r="P845" s="16" t="n">
        <v>402664</v>
      </c>
      <c r="S845" s="16" t="n">
        <v>257863</v>
      </c>
      <c r="U845" s="16" t="n">
        <v>257863</v>
      </c>
      <c r="AC845" s="23">
        <f>IF(OR(E845="",E845="[PARENT]"),"ADD",IF(E845="[ALT_VIEW]","ALT",""))</f>
        <v/>
      </c>
      <c r="AD845" s="21">
        <f>IF(Y845&lt;&gt;"",Y845,IF(U845&lt;&gt;"",U845,S845))</f>
        <v/>
      </c>
      <c r="AE845" s="21">
        <f>IF(AB845&lt;&gt;"",AB845,Z845)</f>
        <v/>
      </c>
      <c r="AF845" s="13" t="inlineStr">
        <is>
          <t>P-5c &gt; Virginia Class Submarine &gt; 2030                                           -                      -                      -                         -                      -</t>
        </is>
      </c>
      <c r="AG845" s="7" t="inlineStr">
        <is>
          <t>159</t>
        </is>
      </c>
      <c r="AH845" s="7" t="inlineStr">
        <is>
          <t>2013</t>
        </is>
      </c>
    </row>
    <row r="846" ht="10" customHeight="1">
      <c r="A846" s="7" t="inlineStr">
        <is>
          <t>SCN</t>
        </is>
      </c>
      <c r="B846" s="7" t="inlineStr">
        <is>
          <t>Procurement</t>
        </is>
      </c>
      <c r="D846" s="7" t="inlineStr">
        <is>
          <t>Virginia Class Submarine - P-5c - Plan Costs</t>
        </is>
      </c>
      <c r="E846" s="13" t="inlineStr">
        <is>
          <t>[ALT_VIEW]</t>
        </is>
      </c>
      <c r="F846" s="7" t="inlineStr">
        <is>
          <t>2013 / Virginia Class Submarine</t>
        </is>
      </c>
      <c r="G846" s="7" t="inlineStr">
        <is>
          <t>P-5c</t>
        </is>
      </c>
      <c r="H846" s="7" t="inlineStr">
        <is>
          <t>Plan Costs</t>
        </is>
      </c>
      <c r="I846" s="14" t="n">
        <v>1</v>
      </c>
      <c r="J846" s="7" t="inlineStr">
        <is>
          <t>Full ship DD&amp;C</t>
        </is>
      </c>
      <c r="K846" s="13" t="inlineStr">
        <is>
          <t>USN</t>
        </is>
      </c>
      <c r="L846" s="7" t="inlineStr">
        <is>
          <t>Combatant Ships</t>
        </is>
      </c>
      <c r="M846" s="7" t="inlineStr">
        <is>
          <t>Submarines</t>
        </is>
      </c>
      <c r="N846" s="7" t="inlineStr">
        <is>
          <t>SSN</t>
        </is>
      </c>
      <c r="O846" s="15" t="n"/>
      <c r="P846" s="16" t="n">
        <v>207166</v>
      </c>
      <c r="S846" s="16" t="n">
        <v>2595816</v>
      </c>
      <c r="U846" s="16" t="n">
        <v>2595816</v>
      </c>
      <c r="AC846" s="23">
        <f>IF(OR(E846="",E846="[PARENT]"),"ADD",IF(E846="[ALT_VIEW]","ALT",""))</f>
        <v/>
      </c>
      <c r="AD846" s="21">
        <f>IF(Y846&lt;&gt;"",Y846,IF(U846&lt;&gt;"",U846,S846))</f>
        <v/>
      </c>
      <c r="AE846" s="21">
        <f>IF(AB846&lt;&gt;"",AB846,Z846)</f>
        <v/>
      </c>
      <c r="AF846" s="13" t="inlineStr">
        <is>
          <t>P-5c &gt; Virginia Class Submarine &gt; Plan Costs</t>
        </is>
      </c>
      <c r="AG846" s="7" t="inlineStr">
        <is>
          <t>160</t>
        </is>
      </c>
      <c r="AH846" s="7" t="inlineStr">
        <is>
          <t>2013</t>
        </is>
      </c>
      <c r="AJ846" s="7" t="inlineStr">
        <is>
          <t>Plan</t>
        </is>
      </c>
    </row>
    <row r="847" ht="10" customHeight="1">
      <c r="A847" s="7" t="inlineStr">
        <is>
          <t>SCN</t>
        </is>
      </c>
      <c r="B847" s="7" t="inlineStr">
        <is>
          <t>Procurement</t>
        </is>
      </c>
      <c r="D847" s="7" t="inlineStr">
        <is>
          <t>Virginia Class Submarine - P-5c - Basic Construction</t>
        </is>
      </c>
      <c r="E847" s="13" t="inlineStr">
        <is>
          <t>[ALT_VIEW]</t>
        </is>
      </c>
      <c r="F847" s="7" t="inlineStr">
        <is>
          <t>2013 / Virginia Class Submarine</t>
        </is>
      </c>
      <c r="G847" s="7" t="inlineStr">
        <is>
          <t>P-5c</t>
        </is>
      </c>
      <c r="H847" s="7" t="inlineStr">
        <is>
          <t>Basic Construction</t>
        </is>
      </c>
      <c r="I847" s="14" t="n">
        <v>1</v>
      </c>
      <c r="J847" s="7" t="inlineStr">
        <is>
          <t>Full ship DD&amp;C</t>
        </is>
      </c>
      <c r="K847" s="13" t="inlineStr">
        <is>
          <t>USN</t>
        </is>
      </c>
      <c r="L847" s="7" t="inlineStr">
        <is>
          <t>Combatant Ships</t>
        </is>
      </c>
      <c r="M847" s="7" t="inlineStr">
        <is>
          <t>Submarines</t>
        </is>
      </c>
      <c r="N847" s="7" t="inlineStr">
        <is>
          <t>SSN</t>
        </is>
      </c>
      <c r="O847" s="15" t="n"/>
      <c r="P847" s="16" t="n">
        <v>5326544</v>
      </c>
      <c r="S847" s="16" t="n">
        <v>1681909</v>
      </c>
      <c r="U847" s="16" t="n">
        <v>1681909</v>
      </c>
      <c r="AC847" s="23">
        <f>IF(OR(E847="",E847="[PARENT]"),"ADD",IF(E847="[ALT_VIEW]","ALT",""))</f>
        <v/>
      </c>
      <c r="AD847" s="21">
        <f>IF(Y847&lt;&gt;"",Y847,IF(U847&lt;&gt;"",U847,S847))</f>
        <v/>
      </c>
      <c r="AE847" s="21">
        <f>IF(AB847&lt;&gt;"",AB847,Z847)</f>
        <v/>
      </c>
      <c r="AF847" s="13" t="inlineStr">
        <is>
          <t>P-5c &gt; Virginia Class Submarine &gt; Basic Construction</t>
        </is>
      </c>
      <c r="AG847" s="7" t="inlineStr">
        <is>
          <t>160</t>
        </is>
      </c>
      <c r="AH847" s="7" t="inlineStr">
        <is>
          <t>2013</t>
        </is>
      </c>
      <c r="AJ847" s="7" t="inlineStr">
        <is>
          <t>Basic Construction</t>
        </is>
      </c>
    </row>
    <row r="848" ht="10" customHeight="1">
      <c r="A848" s="7" t="inlineStr">
        <is>
          <t>SCN</t>
        </is>
      </c>
      <c r="B848" s="7" t="inlineStr">
        <is>
          <t>Procurement</t>
        </is>
      </c>
      <c r="D848" s="7" t="inlineStr">
        <is>
          <t>Virginia Class Submarine - P-5c - Change Orders</t>
        </is>
      </c>
      <c r="E848" s="13" t="inlineStr">
        <is>
          <t>[ALT_VIEW]</t>
        </is>
      </c>
      <c r="F848" s="7" t="inlineStr">
        <is>
          <t>2013 / Virginia Class Submarine</t>
        </is>
      </c>
      <c r="G848" s="7" t="inlineStr">
        <is>
          <t>P-5c</t>
        </is>
      </c>
      <c r="H848" s="7" t="inlineStr">
        <is>
          <t>Change Orders</t>
        </is>
      </c>
      <c r="I848" s="14" t="n">
        <v>1</v>
      </c>
      <c r="J848" s="7" t="inlineStr">
        <is>
          <t>Full ship DD&amp;C</t>
        </is>
      </c>
      <c r="K848" s="13" t="inlineStr">
        <is>
          <t>USN</t>
        </is>
      </c>
      <c r="L848" s="7" t="inlineStr">
        <is>
          <t>Combatant Ships</t>
        </is>
      </c>
      <c r="M848" s="7" t="inlineStr">
        <is>
          <t>Submarines</t>
        </is>
      </c>
      <c r="N848" s="7" t="inlineStr">
        <is>
          <t>SSN</t>
        </is>
      </c>
      <c r="O848" s="15" t="n"/>
      <c r="P848" s="16" t="n">
        <v>185118</v>
      </c>
      <c r="S848" s="16" t="n">
        <v>108705</v>
      </c>
      <c r="U848" s="16" t="n">
        <v>108705</v>
      </c>
      <c r="AC848" s="23">
        <f>IF(OR(E848="",E848="[PARENT]"),"ADD",IF(E848="[ALT_VIEW]","ALT",""))</f>
        <v/>
      </c>
      <c r="AD848" s="21">
        <f>IF(Y848&lt;&gt;"",Y848,IF(U848&lt;&gt;"",U848,S848))</f>
        <v/>
      </c>
      <c r="AE848" s="21">
        <f>IF(AB848&lt;&gt;"",AB848,Z848)</f>
        <v/>
      </c>
      <c r="AF848" s="13" t="inlineStr">
        <is>
          <t>P-5c &gt; Virginia Class Submarine &gt; Change Orders</t>
        </is>
      </c>
      <c r="AG848" s="7" t="inlineStr">
        <is>
          <t>160</t>
        </is>
      </c>
      <c r="AH848" s="7" t="inlineStr">
        <is>
          <t>2013</t>
        </is>
      </c>
      <c r="AJ848" s="7" t="inlineStr">
        <is>
          <t>Change Orders</t>
        </is>
      </c>
    </row>
    <row r="849" ht="10" customHeight="1">
      <c r="A849" s="7" t="inlineStr">
        <is>
          <t>SCN</t>
        </is>
      </c>
      <c r="B849" s="7" t="inlineStr">
        <is>
          <t>Procurement</t>
        </is>
      </c>
      <c r="D849" s="7" t="inlineStr">
        <is>
          <t>Virginia Class Submarine - P-5c - Electronics</t>
        </is>
      </c>
      <c r="E849" s="13" t="inlineStr">
        <is>
          <t>[ALT_VIEW]</t>
        </is>
      </c>
      <c r="F849" s="7" t="inlineStr">
        <is>
          <t>2013 / Virginia Class Submarine</t>
        </is>
      </c>
      <c r="G849" s="7" t="inlineStr">
        <is>
          <t>P-5c</t>
        </is>
      </c>
      <c r="H849" s="7" t="inlineStr">
        <is>
          <t>Electronics</t>
        </is>
      </c>
      <c r="I849" s="14" t="n">
        <v>1</v>
      </c>
      <c r="J849" s="7" t="inlineStr">
        <is>
          <t>Full ship DD&amp;C</t>
        </is>
      </c>
      <c r="K849" s="13" t="inlineStr">
        <is>
          <t>USN</t>
        </is>
      </c>
      <c r="L849" s="7" t="inlineStr">
        <is>
          <t>Combatant Ships</t>
        </is>
      </c>
      <c r="M849" s="7" t="inlineStr">
        <is>
          <t>Submarines</t>
        </is>
      </c>
      <c r="N849" s="7" t="inlineStr">
        <is>
          <t>SSN</t>
        </is>
      </c>
      <c r="O849" s="15" t="n"/>
      <c r="P849" s="16" t="n">
        <v>313264</v>
      </c>
      <c r="S849" s="16" t="n">
        <v>598515</v>
      </c>
      <c r="U849" s="16" t="n">
        <v>598515</v>
      </c>
      <c r="AC849" s="23">
        <f>IF(OR(E849="",E849="[PARENT]"),"ADD",IF(E849="[ALT_VIEW]","ALT",""))</f>
        <v/>
      </c>
      <c r="AD849" s="21">
        <f>IF(Y849&lt;&gt;"",Y849,IF(U849&lt;&gt;"",U849,S849))</f>
        <v/>
      </c>
      <c r="AE849" s="21">
        <f>IF(AB849&lt;&gt;"",AB849,Z849)</f>
        <v/>
      </c>
      <c r="AF849" s="13" t="inlineStr">
        <is>
          <t>P-5c &gt; Virginia Class Submarine &gt; Electronics</t>
        </is>
      </c>
      <c r="AG849" s="7" t="inlineStr">
        <is>
          <t>160</t>
        </is>
      </c>
      <c r="AH849" s="7" t="inlineStr">
        <is>
          <t>2013</t>
        </is>
      </c>
    </row>
    <row r="850" ht="10" customHeight="1">
      <c r="A850" s="7" t="inlineStr">
        <is>
          <t>SCN</t>
        </is>
      </c>
      <c r="B850" s="7" t="inlineStr">
        <is>
          <t>Procurement</t>
        </is>
      </c>
      <c r="D850" s="7" t="inlineStr">
        <is>
          <t>Virginia Class Submarine - P-5c - Technology Insertion</t>
        </is>
      </c>
      <c r="E850" s="13" t="inlineStr">
        <is>
          <t>[ALT_VIEW]</t>
        </is>
      </c>
      <c r="F850" s="7" t="inlineStr">
        <is>
          <t>2013 / Virginia Class Submarine</t>
        </is>
      </c>
      <c r="G850" s="7" t="inlineStr">
        <is>
          <t>P-5c</t>
        </is>
      </c>
      <c r="H850" s="7" t="inlineStr">
        <is>
          <t>Technology Insertion</t>
        </is>
      </c>
      <c r="I850" s="14" t="n">
        <v>1</v>
      </c>
      <c r="J850" s="7" t="inlineStr">
        <is>
          <t>Full ship DD&amp;C</t>
        </is>
      </c>
      <c r="K850" s="13" t="inlineStr">
        <is>
          <t>USN</t>
        </is>
      </c>
      <c r="L850" s="7" t="inlineStr">
        <is>
          <t>Combatant Ships</t>
        </is>
      </c>
      <c r="M850" s="7" t="inlineStr">
        <is>
          <t>Submarines</t>
        </is>
      </c>
      <c r="N850" s="7" t="inlineStr">
        <is>
          <t>SSN</t>
        </is>
      </c>
      <c r="O850" s="15" t="n"/>
      <c r="P850" s="16" t="n">
        <v>16020</v>
      </c>
      <c r="S850" s="16" t="n">
        <v>16340</v>
      </c>
      <c r="U850" s="16" t="n">
        <v>16340</v>
      </c>
      <c r="AC850" s="23">
        <f>IF(OR(E850="",E850="[PARENT]"),"ADD",IF(E850="[ALT_VIEW]","ALT",""))</f>
        <v/>
      </c>
      <c r="AD850" s="21">
        <f>IF(Y850&lt;&gt;"",Y850,IF(U850&lt;&gt;"",U850,S850))</f>
        <v/>
      </c>
      <c r="AE850" s="21">
        <f>IF(AB850&lt;&gt;"",AB850,Z850)</f>
        <v/>
      </c>
      <c r="AF850" s="13" t="inlineStr">
        <is>
          <t>P-5c &gt; Virginia Class Submarine &gt; Technology Insertion</t>
        </is>
      </c>
      <c r="AG850" s="7" t="inlineStr">
        <is>
          <t>160</t>
        </is>
      </c>
      <c r="AH850" s="7" t="inlineStr">
        <is>
          <t>2013</t>
        </is>
      </c>
      <c r="AJ850" s="7" t="inlineStr">
        <is>
          <t>Technology Insertion</t>
        </is>
      </c>
    </row>
    <row r="851" ht="10" customHeight="1">
      <c r="A851" s="7" t="inlineStr">
        <is>
          <t>SCN</t>
        </is>
      </c>
      <c r="B851" s="7" t="inlineStr">
        <is>
          <t>Procurement</t>
        </is>
      </c>
      <c r="D851" s="7" t="inlineStr">
        <is>
          <t>Virginia Class Submarine - P-5c - Propulsion Equipment</t>
        </is>
      </c>
      <c r="E851" s="13" t="inlineStr">
        <is>
          <t>[ALT_VIEW]</t>
        </is>
      </c>
      <c r="F851" s="7" t="inlineStr">
        <is>
          <t>2013 / Virginia Class Submarine</t>
        </is>
      </c>
      <c r="G851" s="7" t="inlineStr">
        <is>
          <t>P-5c</t>
        </is>
      </c>
      <c r="H851" s="7" t="inlineStr">
        <is>
          <t>Propulsion Equipment</t>
        </is>
      </c>
      <c r="I851" s="14" t="n">
        <v>1</v>
      </c>
      <c r="J851" s="7" t="inlineStr">
        <is>
          <t>Full ship DD&amp;C</t>
        </is>
      </c>
      <c r="K851" s="13" t="inlineStr">
        <is>
          <t>USN</t>
        </is>
      </c>
      <c r="L851" s="7" t="inlineStr">
        <is>
          <t>Combatant Ships</t>
        </is>
      </c>
      <c r="M851" s="7" t="inlineStr">
        <is>
          <t>Submarines</t>
        </is>
      </c>
      <c r="N851" s="7" t="inlineStr">
        <is>
          <t>SSN</t>
        </is>
      </c>
      <c r="O851" s="15" t="n"/>
      <c r="P851" s="16" t="n">
        <v>1004950</v>
      </c>
      <c r="S851" s="16" t="n">
        <v>1035070</v>
      </c>
      <c r="U851" s="16" t="n">
        <v>1035070</v>
      </c>
      <c r="AC851" s="23">
        <f>IF(OR(E851="",E851="[PARENT]"),"ADD",IF(E851="[ALT_VIEW]","ALT",""))</f>
        <v/>
      </c>
      <c r="AD851" s="21">
        <f>IF(Y851&lt;&gt;"",Y851,IF(U851&lt;&gt;"",U851,S851))</f>
        <v/>
      </c>
      <c r="AE851" s="21">
        <f>IF(AB851&lt;&gt;"",AB851,Z851)</f>
        <v/>
      </c>
      <c r="AF851" s="13" t="inlineStr">
        <is>
          <t>P-5c &gt; Virginia Class Submarine &gt; Propulsion Equipment</t>
        </is>
      </c>
      <c r="AG851" s="7" t="inlineStr">
        <is>
          <t>160</t>
        </is>
      </c>
      <c r="AH851" s="7" t="inlineStr">
        <is>
          <t>2013</t>
        </is>
      </c>
      <c r="AJ851" s="7" t="inlineStr">
        <is>
          <t>Propulsion Equipment</t>
        </is>
      </c>
    </row>
    <row r="852" ht="10" customHeight="1">
      <c r="A852" s="7" t="inlineStr">
        <is>
          <t>SCN</t>
        </is>
      </c>
      <c r="B852" s="7" t="inlineStr">
        <is>
          <t>Procurement</t>
        </is>
      </c>
      <c r="D852" s="7" t="inlineStr">
        <is>
          <t>Virginia Class Submarine - P-5c - Hull, Mechanical, and Electrical</t>
        </is>
      </c>
      <c r="E852" s="13" t="inlineStr">
        <is>
          <t>[ALT_VIEW]</t>
        </is>
      </c>
      <c r="F852" s="7" t="inlineStr">
        <is>
          <t>2013 / Virginia Class Submarine</t>
        </is>
      </c>
      <c r="G852" s="7" t="inlineStr">
        <is>
          <t>P-5c</t>
        </is>
      </c>
      <c r="H852" s="7" t="inlineStr">
        <is>
          <t>Hull, Mechanical, and Electrical</t>
        </is>
      </c>
      <c r="I852" s="14" t="n">
        <v>1</v>
      </c>
      <c r="J852" s="7" t="inlineStr">
        <is>
          <t>Full ship DD&amp;C</t>
        </is>
      </c>
      <c r="K852" s="13" t="inlineStr">
        <is>
          <t>USN</t>
        </is>
      </c>
      <c r="L852" s="7" t="inlineStr">
        <is>
          <t>Combatant Ships</t>
        </is>
      </c>
      <c r="M852" s="7" t="inlineStr">
        <is>
          <t>Submarines</t>
        </is>
      </c>
      <c r="N852" s="7" t="inlineStr">
        <is>
          <t>SSN</t>
        </is>
      </c>
      <c r="O852" s="15" t="n"/>
      <c r="P852" s="16" t="n">
        <v>98937</v>
      </c>
      <c r="S852" s="16" t="n">
        <v>150015</v>
      </c>
      <c r="U852" s="16" t="n">
        <v>150015</v>
      </c>
      <c r="AC852" s="23">
        <f>IF(OR(E852="",E852="[PARENT]"),"ADD",IF(E852="[ALT_VIEW]","ALT",""))</f>
        <v/>
      </c>
      <c r="AD852" s="21">
        <f>IF(Y852&lt;&gt;"",Y852,IF(U852&lt;&gt;"",U852,S852))</f>
        <v/>
      </c>
      <c r="AE852" s="21">
        <f>IF(AB852&lt;&gt;"",AB852,Z852)</f>
        <v/>
      </c>
      <c r="AF852" s="13" t="inlineStr">
        <is>
          <t>P-5c &gt; Virginia Class Submarine &gt; Hull, Mechanical, and Electrical</t>
        </is>
      </c>
      <c r="AG852" s="7" t="inlineStr">
        <is>
          <t>160</t>
        </is>
      </c>
      <c r="AH852" s="7" t="inlineStr">
        <is>
          <t>2013</t>
        </is>
      </c>
    </row>
    <row r="853" ht="10" customHeight="1">
      <c r="A853" s="7" t="inlineStr">
        <is>
          <t>SCN</t>
        </is>
      </c>
      <c r="B853" s="7" t="inlineStr">
        <is>
          <t>Procurement</t>
        </is>
      </c>
      <c r="D853" s="7" t="inlineStr">
        <is>
          <t>Virginia Class Submarine - P-5c - Other Cost</t>
        </is>
      </c>
      <c r="E853" s="13" t="inlineStr">
        <is>
          <t>[ALT_VIEW]</t>
        </is>
      </c>
      <c r="F853" s="7" t="inlineStr">
        <is>
          <t>2013 / Virginia Class Submarine</t>
        </is>
      </c>
      <c r="G853" s="7" t="inlineStr">
        <is>
          <t>P-5c</t>
        </is>
      </c>
      <c r="H853" s="7" t="inlineStr">
        <is>
          <t>Other Cost</t>
        </is>
      </c>
      <c r="I853" s="14" t="n">
        <v>1</v>
      </c>
      <c r="J853" s="7" t="inlineStr">
        <is>
          <t>Full ship DD&amp;C</t>
        </is>
      </c>
      <c r="K853" s="13" t="inlineStr">
        <is>
          <t>USN</t>
        </is>
      </c>
      <c r="L853" s="7" t="inlineStr">
        <is>
          <t>Combatant Ships</t>
        </is>
      </c>
      <c r="M853" s="7" t="inlineStr">
        <is>
          <t>Submarines</t>
        </is>
      </c>
      <c r="N853" s="7" t="inlineStr">
        <is>
          <t>SSN</t>
        </is>
      </c>
      <c r="O853" s="15" t="n"/>
      <c r="P853" s="16" t="n">
        <v>70546</v>
      </c>
      <c r="S853" s="16" t="n">
        <v>35978</v>
      </c>
      <c r="U853" s="16" t="n">
        <v>35978</v>
      </c>
      <c r="AC853" s="23">
        <f>IF(OR(E853="",E853="[PARENT]"),"ADD",IF(E853="[ALT_VIEW]","ALT",""))</f>
        <v/>
      </c>
      <c r="AD853" s="21">
        <f>IF(Y853&lt;&gt;"",Y853,IF(U853&lt;&gt;"",U853,S853))</f>
        <v/>
      </c>
      <c r="AE853" s="21">
        <f>IF(AB853&lt;&gt;"",AB853,Z853)</f>
        <v/>
      </c>
      <c r="AF853" s="13" t="inlineStr">
        <is>
          <t>P-5c &gt; Virginia Class Submarine &gt; Other Cost</t>
        </is>
      </c>
      <c r="AG853" s="7" t="inlineStr">
        <is>
          <t>160</t>
        </is>
      </c>
      <c r="AH853" s="7" t="inlineStr">
        <is>
          <t>2013</t>
        </is>
      </c>
      <c r="AJ853" s="7" t="inlineStr">
        <is>
          <t>Other Costs</t>
        </is>
      </c>
    </row>
    <row r="854" ht="10" customHeight="1">
      <c r="A854" s="7" t="inlineStr">
        <is>
          <t>SCN</t>
        </is>
      </c>
      <c r="B854" s="7" t="inlineStr">
        <is>
          <t>Procurement</t>
        </is>
      </c>
      <c r="D854" s="7" t="inlineStr">
        <is>
          <t>Virginia Class Submarine - P-8a Electronics - Sonar, Combat Control &amp; Architecture 2</t>
        </is>
      </c>
      <c r="E854" s="13" t="inlineStr">
        <is>
          <t>[ALT_VIEW]</t>
        </is>
      </c>
      <c r="F854" s="7" t="inlineStr">
        <is>
          <t>2013 / Virginia Class Submarine</t>
        </is>
      </c>
      <c r="G854" s="7" t="inlineStr">
        <is>
          <t>P-8a</t>
        </is>
      </c>
      <c r="H854" s="7" t="inlineStr">
        <is>
          <t>Electronics</t>
        </is>
      </c>
      <c r="I854" s="14" t="n">
        <v>1</v>
      </c>
      <c r="J854" s="7" t="inlineStr">
        <is>
          <t>Full ship DD&amp;C</t>
        </is>
      </c>
      <c r="K854" s="13" t="inlineStr">
        <is>
          <t>USN</t>
        </is>
      </c>
      <c r="L854" s="7" t="inlineStr">
        <is>
          <t>Combatant Ships</t>
        </is>
      </c>
      <c r="M854" s="7" t="inlineStr">
        <is>
          <t>Submarines</t>
        </is>
      </c>
      <c r="N854" s="7" t="inlineStr">
        <is>
          <t>SSN</t>
        </is>
      </c>
      <c r="O854" s="15" t="n"/>
      <c r="P854" s="16" t="n">
        <v>136908</v>
      </c>
      <c r="S854" s="16" t="n">
        <v>253640</v>
      </c>
      <c r="U854" s="16" t="n">
        <v>253640</v>
      </c>
      <c r="AC854" s="23">
        <f>IF(OR(E854="",E854="[PARENT]"),"ADD",IF(E854="[ALT_VIEW]","ALT",""))</f>
        <v/>
      </c>
      <c r="AD854" s="21">
        <f>IF(Y854&lt;&gt;"",Y854,IF(U854&lt;&gt;"",U854,S854))</f>
        <v/>
      </c>
      <c r="AE854" s="21">
        <f>IF(AB854&lt;&gt;"",AB854,Z854)</f>
        <v/>
      </c>
      <c r="AF854" s="13" t="inlineStr">
        <is>
          <t>P-8a &gt; Virginia Class Submarine &gt; Electronics &gt; Sonar, Combat Control &amp; Architecture 2</t>
        </is>
      </c>
      <c r="AG854" s="7" t="inlineStr">
        <is>
          <t>163</t>
        </is>
      </c>
      <c r="AH854" s="7" t="inlineStr">
        <is>
          <t>2013</t>
        </is>
      </c>
      <c r="AJ854" s="7" t="inlineStr">
        <is>
          <t>Sonar, Combat Control &amp; Architecture</t>
        </is>
      </c>
    </row>
    <row r="855" ht="10" customHeight="1">
      <c r="A855" s="7" t="inlineStr">
        <is>
          <t>SCN</t>
        </is>
      </c>
      <c r="B855" s="7" t="inlineStr">
        <is>
          <t>Procurement</t>
        </is>
      </c>
      <c r="D855" s="7" t="inlineStr">
        <is>
          <t>Virginia Class Submarine - P-8a Electronics - Electronic Support Measures (ESM) 2</t>
        </is>
      </c>
      <c r="E855" s="13" t="inlineStr">
        <is>
          <t>[ALT_VIEW]</t>
        </is>
      </c>
      <c r="F855" s="7" t="inlineStr">
        <is>
          <t>2013 / Virginia Class Submarine</t>
        </is>
      </c>
      <c r="G855" s="7" t="inlineStr">
        <is>
          <t>P-8a</t>
        </is>
      </c>
      <c r="H855" s="7" t="inlineStr">
        <is>
          <t>Electronics</t>
        </is>
      </c>
      <c r="I855" s="14" t="n">
        <v>1</v>
      </c>
      <c r="J855" s="7" t="inlineStr">
        <is>
          <t>Full ship DD&amp;C</t>
        </is>
      </c>
      <c r="K855" s="13" t="inlineStr">
        <is>
          <t>USN</t>
        </is>
      </c>
      <c r="L855" s="7" t="inlineStr">
        <is>
          <t>Combatant Ships</t>
        </is>
      </c>
      <c r="M855" s="7" t="inlineStr">
        <is>
          <t>Submarines</t>
        </is>
      </c>
      <c r="N855" s="7" t="inlineStr">
        <is>
          <t>SSN</t>
        </is>
      </c>
      <c r="O855" s="15" t="n"/>
      <c r="P855" s="16" t="n">
        <v>33185</v>
      </c>
      <c r="S855" s="16" t="n">
        <v>65621</v>
      </c>
      <c r="U855" s="16" t="n">
        <v>65621</v>
      </c>
      <c r="AC855" s="23">
        <f>IF(OR(E855="",E855="[PARENT]"),"ADD",IF(E855="[ALT_VIEW]","ALT",""))</f>
        <v/>
      </c>
      <c r="AD855" s="21">
        <f>IF(Y855&lt;&gt;"",Y855,IF(U855&lt;&gt;"",U855,S855))</f>
        <v/>
      </c>
      <c r="AE855" s="21">
        <f>IF(AB855&lt;&gt;"",AB855,Z855)</f>
        <v/>
      </c>
      <c r="AF855" s="13" t="inlineStr">
        <is>
          <t>P-8a &gt; Virginia Class Submarine &gt; Electronics &gt; Electronic Support Measures (ESM) 2</t>
        </is>
      </c>
      <c r="AG855" s="7" t="inlineStr">
        <is>
          <t>163</t>
        </is>
      </c>
      <c r="AH855" s="7" t="inlineStr">
        <is>
          <t>2013</t>
        </is>
      </c>
      <c r="AJ855" s="7" t="inlineStr">
        <is>
          <t>Electronic Support Measures (ESM)</t>
        </is>
      </c>
    </row>
    <row r="856" ht="10" customHeight="1">
      <c r="A856" s="7" t="inlineStr">
        <is>
          <t>SCN</t>
        </is>
      </c>
      <c r="B856" s="7" t="inlineStr">
        <is>
          <t>Procurement</t>
        </is>
      </c>
      <c r="D856" s="7" t="inlineStr">
        <is>
          <t>Virginia Class Submarine - P-8a Electronics - Photonics Masts 2</t>
        </is>
      </c>
      <c r="E856" s="13" t="inlineStr">
        <is>
          <t>[ALT_VIEW]</t>
        </is>
      </c>
      <c r="F856" s="7" t="inlineStr">
        <is>
          <t>2013 / Virginia Class Submarine</t>
        </is>
      </c>
      <c r="G856" s="7" t="inlineStr">
        <is>
          <t>P-8a</t>
        </is>
      </c>
      <c r="H856" s="7" t="inlineStr">
        <is>
          <t>Electronics</t>
        </is>
      </c>
      <c r="I856" s="14" t="n">
        <v>1</v>
      </c>
      <c r="J856" s="7" t="inlineStr">
        <is>
          <t>Full ship DD&amp;C</t>
        </is>
      </c>
      <c r="K856" s="13" t="inlineStr">
        <is>
          <t>USN</t>
        </is>
      </c>
      <c r="L856" s="7" t="inlineStr">
        <is>
          <t>Combatant Ships</t>
        </is>
      </c>
      <c r="M856" s="7" t="inlineStr">
        <is>
          <t>Submarines</t>
        </is>
      </c>
      <c r="N856" s="7" t="inlineStr">
        <is>
          <t>SSN</t>
        </is>
      </c>
      <c r="O856" s="15" t="n"/>
      <c r="P856" s="16" t="n">
        <v>21633</v>
      </c>
      <c r="S856" s="16" t="n">
        <v>44133</v>
      </c>
      <c r="U856" s="16" t="n">
        <v>44133</v>
      </c>
      <c r="AC856" s="23">
        <f>IF(OR(E856="",E856="[PARENT]"),"ADD",IF(E856="[ALT_VIEW]","ALT",""))</f>
        <v/>
      </c>
      <c r="AD856" s="21">
        <f>IF(Y856&lt;&gt;"",Y856,IF(U856&lt;&gt;"",U856,S856))</f>
        <v/>
      </c>
      <c r="AE856" s="21">
        <f>IF(AB856&lt;&gt;"",AB856,Z856)</f>
        <v/>
      </c>
      <c r="AF856" s="13" t="inlineStr">
        <is>
          <t>P-8a &gt; Virginia Class Submarine &gt; Electronics &gt; Photonics Masts 2</t>
        </is>
      </c>
      <c r="AG856" s="7" t="inlineStr">
        <is>
          <t>163</t>
        </is>
      </c>
      <c r="AH856" s="7" t="inlineStr">
        <is>
          <t>2013</t>
        </is>
      </c>
      <c r="AJ856" s="7" t="inlineStr">
        <is>
          <t>Photonics Masts</t>
        </is>
      </c>
    </row>
    <row r="857" ht="10" customHeight="1">
      <c r="A857" s="7" t="inlineStr">
        <is>
          <t>SCN</t>
        </is>
      </c>
      <c r="B857" s="7" t="inlineStr">
        <is>
          <t>Procurement</t>
        </is>
      </c>
      <c r="D857" s="7" t="inlineStr">
        <is>
          <t>Virginia Class Submarine - P-8a Electronics - Universal Modular Mast (UMM) 2</t>
        </is>
      </c>
      <c r="E857" s="13" t="inlineStr">
        <is>
          <t>[ALT_VIEW]</t>
        </is>
      </c>
      <c r="F857" s="7" t="inlineStr">
        <is>
          <t>2013 / Virginia Class Submarine</t>
        </is>
      </c>
      <c r="G857" s="7" t="inlineStr">
        <is>
          <t>P-8a</t>
        </is>
      </c>
      <c r="H857" s="7" t="inlineStr">
        <is>
          <t>Electronics</t>
        </is>
      </c>
      <c r="I857" s="14" t="n">
        <v>1</v>
      </c>
      <c r="J857" s="7" t="inlineStr">
        <is>
          <t>Full ship DD&amp;C</t>
        </is>
      </c>
      <c r="K857" s="13" t="inlineStr">
        <is>
          <t>USN</t>
        </is>
      </c>
      <c r="L857" s="7" t="inlineStr">
        <is>
          <t>Combatant Ships</t>
        </is>
      </c>
      <c r="M857" s="7" t="inlineStr">
        <is>
          <t>Submarines</t>
        </is>
      </c>
      <c r="N857" s="7" t="inlineStr">
        <is>
          <t>SSN</t>
        </is>
      </c>
      <c r="O857" s="15" t="n"/>
      <c r="P857" s="16" t="n">
        <v>18619</v>
      </c>
      <c r="S857" s="16" t="n">
        <v>25170</v>
      </c>
      <c r="U857" s="16" t="n">
        <v>25170</v>
      </c>
      <c r="AC857" s="23">
        <f>IF(OR(E857="",E857="[PARENT]"),"ADD",IF(E857="[ALT_VIEW]","ALT",""))</f>
        <v/>
      </c>
      <c r="AD857" s="21">
        <f>IF(Y857&lt;&gt;"",Y857,IF(U857&lt;&gt;"",U857,S857))</f>
        <v/>
      </c>
      <c r="AE857" s="21">
        <f>IF(AB857&lt;&gt;"",AB857,Z857)</f>
        <v/>
      </c>
      <c r="AF857" s="13" t="inlineStr">
        <is>
          <t>P-8a &gt; Virginia Class Submarine &gt; Electronics &gt; Universal Modular Mast (UMM) 2</t>
        </is>
      </c>
      <c r="AG857" s="7" t="inlineStr">
        <is>
          <t>163</t>
        </is>
      </c>
      <c r="AH857" s="7" t="inlineStr">
        <is>
          <t>2013</t>
        </is>
      </c>
      <c r="AJ857" s="7" t="inlineStr">
        <is>
          <t>Universal Modular Mast (UMM)</t>
        </is>
      </c>
    </row>
    <row r="858" ht="10" customHeight="1">
      <c r="A858" s="7" t="inlineStr">
        <is>
          <t>SCN</t>
        </is>
      </c>
      <c r="B858" s="7" t="inlineStr">
        <is>
          <t>Procurement</t>
        </is>
      </c>
      <c r="D858" s="7" t="inlineStr">
        <is>
          <t>Virginia Class Submarine - P-8a Electronics - Exterior Communications System (ECS) Recurring 2</t>
        </is>
      </c>
      <c r="E858" s="13" t="inlineStr">
        <is>
          <t>[ALT_VIEW]</t>
        </is>
      </c>
      <c r="F858" s="7" t="inlineStr">
        <is>
          <t>2013 / Virginia Class Submarine</t>
        </is>
      </c>
      <c r="G858" s="7" t="inlineStr">
        <is>
          <t>P-8a</t>
        </is>
      </c>
      <c r="H858" s="7" t="inlineStr">
        <is>
          <t>Electronics</t>
        </is>
      </c>
      <c r="I858" s="14" t="n">
        <v>1</v>
      </c>
      <c r="J858" s="7" t="inlineStr">
        <is>
          <t>Full ship DD&amp;C</t>
        </is>
      </c>
      <c r="K858" s="13" t="inlineStr">
        <is>
          <t>USN</t>
        </is>
      </c>
      <c r="L858" s="7" t="inlineStr">
        <is>
          <t>Combatant Ships</t>
        </is>
      </c>
      <c r="M858" s="7" t="inlineStr">
        <is>
          <t>Submarines</t>
        </is>
      </c>
      <c r="N858" s="7" t="inlineStr">
        <is>
          <t>SSN</t>
        </is>
      </c>
      <c r="O858" s="15" t="n"/>
      <c r="P858" s="16" t="n">
        <v>29184</v>
      </c>
      <c r="S858" s="16" t="n">
        <v>59535</v>
      </c>
      <c r="U858" s="16" t="n">
        <v>59535</v>
      </c>
      <c r="AC858" s="23">
        <f>IF(OR(E858="",E858="[PARENT]"),"ADD",IF(E858="[ALT_VIEW]","ALT",""))</f>
        <v/>
      </c>
      <c r="AD858" s="21">
        <f>IF(Y858&lt;&gt;"",Y858,IF(U858&lt;&gt;"",U858,S858))</f>
        <v/>
      </c>
      <c r="AE858" s="21">
        <f>IF(AB858&lt;&gt;"",AB858,Z858)</f>
        <v/>
      </c>
      <c r="AF858" s="13" t="inlineStr">
        <is>
          <t>P-8a &gt; Virginia Class Submarine &gt; Electronics &gt; Exterior Communications System (ECS) Recurring 2</t>
        </is>
      </c>
      <c r="AG858" s="7" t="inlineStr">
        <is>
          <t>163</t>
        </is>
      </c>
      <c r="AH858" s="7" t="inlineStr">
        <is>
          <t>2013</t>
        </is>
      </c>
      <c r="AJ858" s="7" t="inlineStr">
        <is>
          <t>Exterior Communications System (ECS) Recurring</t>
        </is>
      </c>
    </row>
    <row r="859" ht="10" customHeight="1">
      <c r="A859" s="7" t="inlineStr">
        <is>
          <t>SCN</t>
        </is>
      </c>
      <c r="B859" s="7" t="inlineStr">
        <is>
          <t>Procurement</t>
        </is>
      </c>
      <c r="D859" s="7" t="inlineStr">
        <is>
          <t>Virginia Class Submarine - P-8a Electronics - System Level Activities 2</t>
        </is>
      </c>
      <c r="E859" s="13" t="inlineStr">
        <is>
          <t>[ALT_VIEW]</t>
        </is>
      </c>
      <c r="F859" s="7" t="inlineStr">
        <is>
          <t>2013 / Virginia Class Submarine</t>
        </is>
      </c>
      <c r="G859" s="7" t="inlineStr">
        <is>
          <t>P-8a</t>
        </is>
      </c>
      <c r="H859" s="7" t="inlineStr">
        <is>
          <t>Electronics</t>
        </is>
      </c>
      <c r="I859" s="14" t="n">
        <v>1</v>
      </c>
      <c r="J859" s="7" t="inlineStr">
        <is>
          <t>Full ship DD&amp;C</t>
        </is>
      </c>
      <c r="K859" s="13" t="inlineStr">
        <is>
          <t>USN</t>
        </is>
      </c>
      <c r="L859" s="7" t="inlineStr">
        <is>
          <t>Combatant Ships</t>
        </is>
      </c>
      <c r="M859" s="7" t="inlineStr">
        <is>
          <t>Submarines</t>
        </is>
      </c>
      <c r="N859" s="7" t="inlineStr">
        <is>
          <t>SSN</t>
        </is>
      </c>
      <c r="O859" s="15" t="n"/>
      <c r="P859" s="16" t="n">
        <v>21658</v>
      </c>
      <c r="S859" s="16" t="n">
        <v>44182</v>
      </c>
      <c r="U859" s="16" t="n">
        <v>44182</v>
      </c>
      <c r="AC859" s="23">
        <f>IF(OR(E859="",E859="[PARENT]"),"ADD",IF(E859="[ALT_VIEW]","ALT",""))</f>
        <v/>
      </c>
      <c r="AD859" s="21">
        <f>IF(Y859&lt;&gt;"",Y859,IF(U859&lt;&gt;"",U859,S859))</f>
        <v/>
      </c>
      <c r="AE859" s="21">
        <f>IF(AB859&lt;&gt;"",AB859,Z859)</f>
        <v/>
      </c>
      <c r="AF859" s="13" t="inlineStr">
        <is>
          <t>P-8a &gt; Virginia Class Submarine &gt; Electronics &gt; System Level Activities 2</t>
        </is>
      </c>
      <c r="AG859" s="7" t="inlineStr">
        <is>
          <t>163</t>
        </is>
      </c>
      <c r="AH859" s="7" t="inlineStr">
        <is>
          <t>2013</t>
        </is>
      </c>
      <c r="AJ859" s="7" t="inlineStr">
        <is>
          <t>System Level Activities</t>
        </is>
      </c>
    </row>
    <row r="860" ht="10" customHeight="1">
      <c r="A860" s="7" t="inlineStr">
        <is>
          <t>SCN</t>
        </is>
      </c>
      <c r="B860" s="7" t="inlineStr">
        <is>
          <t>Procurement</t>
        </is>
      </c>
      <c r="D860" s="7" t="inlineStr">
        <is>
          <t>Virginia Class Submarine - P-8a Electronics - AN/BPS-16 2</t>
        </is>
      </c>
      <c r="E860" s="13" t="inlineStr">
        <is>
          <t>[ALT_VIEW]</t>
        </is>
      </c>
      <c r="F860" s="7" t="inlineStr">
        <is>
          <t>2013 / Virginia Class Submarine</t>
        </is>
      </c>
      <c r="G860" s="7" t="inlineStr">
        <is>
          <t>P-8a</t>
        </is>
      </c>
      <c r="H860" s="7" t="inlineStr">
        <is>
          <t>Electronics</t>
        </is>
      </c>
      <c r="I860" s="14" t="n">
        <v>1</v>
      </c>
      <c r="J860" s="7" t="inlineStr">
        <is>
          <t>Full ship DD&amp;C</t>
        </is>
      </c>
      <c r="K860" s="13" t="inlineStr">
        <is>
          <t>USN</t>
        </is>
      </c>
      <c r="L860" s="7" t="inlineStr">
        <is>
          <t>Combatant Ships</t>
        </is>
      </c>
      <c r="M860" s="7" t="inlineStr">
        <is>
          <t>Submarines</t>
        </is>
      </c>
      <c r="N860" s="7" t="inlineStr">
        <is>
          <t>SSN</t>
        </is>
      </c>
      <c r="O860" s="15" t="n"/>
      <c r="P860" s="16" t="n">
        <v>3322</v>
      </c>
      <c r="S860" s="16" t="n">
        <v>6777</v>
      </c>
      <c r="U860" s="16" t="n">
        <v>6777</v>
      </c>
      <c r="AC860" s="23">
        <f>IF(OR(E860="",E860="[PARENT]"),"ADD",IF(E860="[ALT_VIEW]","ALT",""))</f>
        <v/>
      </c>
      <c r="AD860" s="21">
        <f>IF(Y860&lt;&gt;"",Y860,IF(U860&lt;&gt;"",U860,S860))</f>
        <v/>
      </c>
      <c r="AE860" s="21">
        <f>IF(AB860&lt;&gt;"",AB860,Z860)</f>
        <v/>
      </c>
      <c r="AF860" s="13" t="inlineStr">
        <is>
          <t>P-8a &gt; Virginia Class Submarine &gt; Electronics &gt; AN/BPS-16 2</t>
        </is>
      </c>
      <c r="AG860" s="7" t="inlineStr">
        <is>
          <t>163</t>
        </is>
      </c>
      <c r="AH860" s="7" t="inlineStr">
        <is>
          <t>2013</t>
        </is>
      </c>
      <c r="AJ860" s="7" t="inlineStr">
        <is>
          <t>AN/BPS-16</t>
        </is>
      </c>
    </row>
    <row r="861" ht="10" customHeight="1">
      <c r="A861" s="7" t="inlineStr">
        <is>
          <t>SCN</t>
        </is>
      </c>
      <c r="B861" s="7" t="inlineStr">
        <is>
          <t>Procurement</t>
        </is>
      </c>
      <c r="D861" s="7" t="inlineStr">
        <is>
          <t>Virginia Class Submarine - P-8a Electronics - Navigation 2</t>
        </is>
      </c>
      <c r="E861" s="13" t="inlineStr">
        <is>
          <t>[ALT_VIEW]</t>
        </is>
      </c>
      <c r="F861" s="7" t="inlineStr">
        <is>
          <t>2013 / Virginia Class Submarine</t>
        </is>
      </c>
      <c r="G861" s="7" t="inlineStr">
        <is>
          <t>P-8a</t>
        </is>
      </c>
      <c r="H861" s="7" t="inlineStr">
        <is>
          <t>Electronics</t>
        </is>
      </c>
      <c r="I861" s="14" t="n">
        <v>1</v>
      </c>
      <c r="J861" s="7" t="inlineStr">
        <is>
          <t>Full ship DD&amp;C</t>
        </is>
      </c>
      <c r="K861" s="13" t="inlineStr">
        <is>
          <t>USN</t>
        </is>
      </c>
      <c r="L861" s="7" t="inlineStr">
        <is>
          <t>Combatant Ships</t>
        </is>
      </c>
      <c r="M861" s="7" t="inlineStr">
        <is>
          <t>Submarines</t>
        </is>
      </c>
      <c r="N861" s="7" t="inlineStr">
        <is>
          <t>SSN</t>
        </is>
      </c>
      <c r="O861" s="15" t="n"/>
      <c r="P861" s="16" t="n">
        <v>3766</v>
      </c>
      <c r="S861" s="16" t="n">
        <v>7682</v>
      </c>
      <c r="U861" s="16" t="n">
        <v>7682</v>
      </c>
      <c r="AC861" s="23">
        <f>IF(OR(E861="",E861="[PARENT]"),"ADD",IF(E861="[ALT_VIEW]","ALT",""))</f>
        <v/>
      </c>
      <c r="AD861" s="21">
        <f>IF(Y861&lt;&gt;"",Y861,IF(U861&lt;&gt;"",U861,S861))</f>
        <v/>
      </c>
      <c r="AE861" s="21">
        <f>IF(AB861&lt;&gt;"",AB861,Z861)</f>
        <v/>
      </c>
      <c r="AF861" s="13" t="inlineStr">
        <is>
          <t>P-8a &gt; Virginia Class Submarine &gt; Electronics &gt; Navigation 2</t>
        </is>
      </c>
      <c r="AG861" s="7" t="inlineStr">
        <is>
          <t>163</t>
        </is>
      </c>
      <c r="AH861" s="7" t="inlineStr">
        <is>
          <t>2013</t>
        </is>
      </c>
      <c r="AJ861" s="7" t="inlineStr">
        <is>
          <t>Navigation</t>
        </is>
      </c>
    </row>
    <row r="862" ht="10" customHeight="1">
      <c r="A862" s="7" t="inlineStr">
        <is>
          <t>SCN</t>
        </is>
      </c>
      <c r="B862" s="7" t="inlineStr">
        <is>
          <t>Procurement</t>
        </is>
      </c>
      <c r="D862" s="7" t="inlineStr">
        <is>
          <t>Virginia Class Submarine - P-8a Electronics - CWITT 2</t>
        </is>
      </c>
      <c r="E862" s="13" t="inlineStr">
        <is>
          <t>[ALT_VIEW]</t>
        </is>
      </c>
      <c r="F862" s="7" t="inlineStr">
        <is>
          <t>2013 / Virginia Class Submarine</t>
        </is>
      </c>
      <c r="G862" s="7" t="inlineStr">
        <is>
          <t>P-8a</t>
        </is>
      </c>
      <c r="H862" s="7" t="inlineStr">
        <is>
          <t>Electronics</t>
        </is>
      </c>
      <c r="I862" s="14" t="n">
        <v>1</v>
      </c>
      <c r="J862" s="7" t="inlineStr">
        <is>
          <t>Full ship DD&amp;C</t>
        </is>
      </c>
      <c r="K862" s="13" t="inlineStr">
        <is>
          <t>USN</t>
        </is>
      </c>
      <c r="L862" s="7" t="inlineStr">
        <is>
          <t>Combatant Ships</t>
        </is>
      </c>
      <c r="M862" s="7" t="inlineStr">
        <is>
          <t>Submarines</t>
        </is>
      </c>
      <c r="N862" s="7" t="inlineStr">
        <is>
          <t>SSN</t>
        </is>
      </c>
      <c r="O862" s="15" t="n"/>
      <c r="P862" s="16" t="n">
        <v>24492</v>
      </c>
      <c r="S862" s="16" t="n">
        <v>49963</v>
      </c>
      <c r="U862" s="16" t="n">
        <v>49963</v>
      </c>
      <c r="AC862" s="23">
        <f>IF(OR(E862="",E862="[PARENT]"),"ADD",IF(E862="[ALT_VIEW]","ALT",""))</f>
        <v/>
      </c>
      <c r="AD862" s="21">
        <f>IF(Y862&lt;&gt;"",Y862,IF(U862&lt;&gt;"",U862,S862))</f>
        <v/>
      </c>
      <c r="AE862" s="21">
        <f>IF(AB862&lt;&gt;"",AB862,Z862)</f>
        <v/>
      </c>
      <c r="AF862" s="13" t="inlineStr">
        <is>
          <t>P-8a &gt; Virginia Class Submarine &gt; Electronics &gt; CWITT 2</t>
        </is>
      </c>
      <c r="AG862" s="7" t="inlineStr">
        <is>
          <t>163</t>
        </is>
      </c>
      <c r="AH862" s="7" t="inlineStr">
        <is>
          <t>2013</t>
        </is>
      </c>
      <c r="AJ862" s="7" t="inlineStr">
        <is>
          <t>CWITT</t>
        </is>
      </c>
    </row>
    <row r="863" ht="10" customHeight="1">
      <c r="A863" s="7" t="inlineStr">
        <is>
          <t>SCN</t>
        </is>
      </c>
      <c r="B863" s="7" t="inlineStr">
        <is>
          <t>Procurement</t>
        </is>
      </c>
      <c r="D863" s="7" t="inlineStr">
        <is>
          <t>Virginia Class Submarine - P-8a Electronics - Integration (NPES SE&amp;I) 2</t>
        </is>
      </c>
      <c r="E863" s="13" t="inlineStr">
        <is>
          <t>[ALT_VIEW]</t>
        </is>
      </c>
      <c r="F863" s="7" t="inlineStr">
        <is>
          <t>2013 / Virginia Class Submarine</t>
        </is>
      </c>
      <c r="G863" s="7" t="inlineStr">
        <is>
          <t>P-8a</t>
        </is>
      </c>
      <c r="H863" s="7" t="inlineStr">
        <is>
          <t>Electronics</t>
        </is>
      </c>
      <c r="I863" s="14" t="n">
        <v>1</v>
      </c>
      <c r="J863" s="7" t="inlineStr">
        <is>
          <t>Full ship DD&amp;C</t>
        </is>
      </c>
      <c r="K863" s="13" t="inlineStr">
        <is>
          <t>USN</t>
        </is>
      </c>
      <c r="L863" s="7" t="inlineStr">
        <is>
          <t>Combatant Ships</t>
        </is>
      </c>
      <c r="M863" s="7" t="inlineStr">
        <is>
          <t>Submarines</t>
        </is>
      </c>
      <c r="N863" s="7" t="inlineStr">
        <is>
          <t>SSN</t>
        </is>
      </c>
      <c r="O863" s="15" t="n"/>
      <c r="P863" s="16" t="n">
        <v>19168</v>
      </c>
      <c r="S863" s="16" t="n">
        <v>39101</v>
      </c>
      <c r="U863" s="16" t="n">
        <v>39101</v>
      </c>
      <c r="AC863" s="23">
        <f>IF(OR(E863="",E863="[PARENT]"),"ADD",IF(E863="[ALT_VIEW]","ALT",""))</f>
        <v/>
      </c>
      <c r="AD863" s="21">
        <f>IF(Y863&lt;&gt;"",Y863,IF(U863&lt;&gt;"",U863,S863))</f>
        <v/>
      </c>
      <c r="AE863" s="21">
        <f>IF(AB863&lt;&gt;"",AB863,Z863)</f>
        <v/>
      </c>
      <c r="AF863" s="13" t="inlineStr">
        <is>
          <t>P-8a &gt; Virginia Class Submarine &gt; Electronics &gt; Integration (NPES SE&amp;I) 2</t>
        </is>
      </c>
      <c r="AG863" s="7" t="inlineStr">
        <is>
          <t>163</t>
        </is>
      </c>
      <c r="AH863" s="7" t="inlineStr">
        <is>
          <t>2013</t>
        </is>
      </c>
      <c r="AJ863" s="7" t="inlineStr">
        <is>
          <t>Non-Propulsion Electronics System, Systems Engineering and Integration (NPES SE&amp;I)</t>
        </is>
      </c>
    </row>
    <row r="864" ht="10" customHeight="1">
      <c r="A864" s="7" t="inlineStr">
        <is>
          <t>SCN</t>
        </is>
      </c>
      <c r="B864" s="7" t="inlineStr">
        <is>
          <t>Procurement</t>
        </is>
      </c>
      <c r="D864" s="7" t="inlineStr">
        <is>
          <t>Virginia Class Submarine - P-8a Electronics - Misc Electronics</t>
        </is>
      </c>
      <c r="E864" s="13" t="inlineStr">
        <is>
          <t>[ALT_VIEW]</t>
        </is>
      </c>
      <c r="F864" s="7" t="inlineStr">
        <is>
          <t>2013 / Virginia Class Submarine</t>
        </is>
      </c>
      <c r="G864" s="7" t="inlineStr">
        <is>
          <t>P-8a</t>
        </is>
      </c>
      <c r="H864" s="7" t="inlineStr">
        <is>
          <t>Electronics</t>
        </is>
      </c>
      <c r="I864" s="14" t="n">
        <v>1</v>
      </c>
      <c r="J864" s="7" t="inlineStr">
        <is>
          <t>Full ship DD&amp;C</t>
        </is>
      </c>
      <c r="K864" s="13" t="inlineStr">
        <is>
          <t>USN</t>
        </is>
      </c>
      <c r="L864" s="7" t="inlineStr">
        <is>
          <t>Combatant Ships</t>
        </is>
      </c>
      <c r="M864" s="7" t="inlineStr">
        <is>
          <t>Submarines</t>
        </is>
      </c>
      <c r="N864" s="7" t="inlineStr">
        <is>
          <t>SSN</t>
        </is>
      </c>
      <c r="O864" s="15" t="n"/>
      <c r="P864" s="16" t="n">
        <v>1329</v>
      </c>
      <c r="S864" s="16" t="n">
        <v>2711</v>
      </c>
      <c r="U864" s="16" t="n">
        <v>2711</v>
      </c>
      <c r="AC864" s="23">
        <f>IF(OR(E864="",E864="[PARENT]"),"ADD",IF(E864="[ALT_VIEW]","ALT",""))</f>
        <v/>
      </c>
      <c r="AD864" s="21">
        <f>IF(Y864&lt;&gt;"",Y864,IF(U864&lt;&gt;"",U864,S864))</f>
        <v/>
      </c>
      <c r="AE864" s="21">
        <f>IF(AB864&lt;&gt;"",AB864,Z864)</f>
        <v/>
      </c>
      <c r="AF864" s="13" t="inlineStr">
        <is>
          <t>P-8a &gt; Virginia Class Submarine &gt; Electronics &gt; Misc Electronics</t>
        </is>
      </c>
      <c r="AG864" s="7" t="inlineStr">
        <is>
          <t>163</t>
        </is>
      </c>
      <c r="AH864" s="7" t="inlineStr">
        <is>
          <t>2013</t>
        </is>
      </c>
      <c r="AJ864" s="7" t="inlineStr">
        <is>
          <t>Misc Electronics</t>
        </is>
      </c>
    </row>
    <row r="865" ht="10" customHeight="1">
      <c r="A865" s="7" t="inlineStr">
        <is>
          <t>SCN</t>
        </is>
      </c>
      <c r="B865" s="7" t="inlineStr">
        <is>
          <t>Procurement</t>
        </is>
      </c>
      <c r="D865" s="7" t="inlineStr">
        <is>
          <t>Virginia Class Submarine - P-8a Hull, Mechanical, and Electrical - Propulsor 2</t>
        </is>
      </c>
      <c r="E865" s="13" t="inlineStr">
        <is>
          <t>[ALT_VIEW]</t>
        </is>
      </c>
      <c r="F865" s="7" t="inlineStr">
        <is>
          <t>2013 / Virginia Class Submarine</t>
        </is>
      </c>
      <c r="G865" s="7" t="inlineStr">
        <is>
          <t>P-8a</t>
        </is>
      </c>
      <c r="H865" s="7" t="inlineStr">
        <is>
          <t>Hull, Mechanical, and Electrical</t>
        </is>
      </c>
      <c r="I865" s="14" t="n">
        <v>1</v>
      </c>
      <c r="J865" s="7" t="inlineStr">
        <is>
          <t>Full ship DD&amp;C</t>
        </is>
      </c>
      <c r="K865" s="13" t="inlineStr">
        <is>
          <t>USN</t>
        </is>
      </c>
      <c r="L865" s="7" t="inlineStr">
        <is>
          <t>Combatant Ships</t>
        </is>
      </c>
      <c r="M865" s="7" t="inlineStr">
        <is>
          <t>Submarines</t>
        </is>
      </c>
      <c r="N865" s="7" t="inlineStr">
        <is>
          <t>SSN</t>
        </is>
      </c>
      <c r="O865" s="15" t="n"/>
      <c r="P865" s="16" t="n">
        <v>74172</v>
      </c>
      <c r="S865" s="16" t="n">
        <v>99494</v>
      </c>
      <c r="U865" s="16" t="n">
        <v>99494</v>
      </c>
      <c r="AC865" s="23">
        <f>IF(OR(E865="",E865="[PARENT]"),"ADD",IF(E865="[ALT_VIEW]","ALT",""))</f>
        <v/>
      </c>
      <c r="AD865" s="21">
        <f>IF(Y865&lt;&gt;"",Y865,IF(U865&lt;&gt;"",U865,S865))</f>
        <v/>
      </c>
      <c r="AE865" s="21">
        <f>IF(AB865&lt;&gt;"",AB865,Z865)</f>
        <v/>
      </c>
      <c r="AF865" s="13" t="inlineStr">
        <is>
          <t>P-8a &gt; Virginia Class Submarine &gt; Hull, Mechanical, and Electrical &gt; Propulsor 2</t>
        </is>
      </c>
      <c r="AG865" s="7" t="inlineStr">
        <is>
          <t>164</t>
        </is>
      </c>
      <c r="AH865" s="7" t="inlineStr">
        <is>
          <t>2013</t>
        </is>
      </c>
      <c r="AJ865" s="7" t="inlineStr">
        <is>
          <t>Propulsor</t>
        </is>
      </c>
    </row>
    <row r="866" ht="10" customHeight="1">
      <c r="A866" s="7" t="inlineStr">
        <is>
          <t>SCN</t>
        </is>
      </c>
      <c r="B866" s="7" t="inlineStr">
        <is>
          <t>Procurement</t>
        </is>
      </c>
      <c r="D866" s="7" t="inlineStr">
        <is>
          <t>Virginia Class Submarine - P-8a Hull, Mechanical, and Electrical - CSA</t>
        </is>
      </c>
      <c r="E866" s="13" t="inlineStr">
        <is>
          <t>[ALT_VIEW]</t>
        </is>
      </c>
      <c r="F866" s="7" t="inlineStr">
        <is>
          <t>2013 / Virginia Class Submarine</t>
        </is>
      </c>
      <c r="G866" s="7" t="inlineStr">
        <is>
          <t>P-8a</t>
        </is>
      </c>
      <c r="H866" s="7" t="inlineStr">
        <is>
          <t>Hull, Mechanical, and Electrical</t>
        </is>
      </c>
      <c r="I866" s="14" t="n">
        <v>1</v>
      </c>
      <c r="J866" s="7" t="inlineStr">
        <is>
          <t>Full ship DD&amp;C</t>
        </is>
      </c>
      <c r="K866" s="13" t="inlineStr">
        <is>
          <t>USN</t>
        </is>
      </c>
      <c r="L866" s="7" t="inlineStr">
        <is>
          <t>Combatant Ships</t>
        </is>
      </c>
      <c r="M866" s="7" t="inlineStr">
        <is>
          <t>Submarines</t>
        </is>
      </c>
      <c r="N866" s="7" t="inlineStr">
        <is>
          <t>SSN</t>
        </is>
      </c>
      <c r="O866" s="15" t="n"/>
      <c r="P866" s="16" t="n">
        <v>1893</v>
      </c>
      <c r="S866" s="16" t="n">
        <v>3862</v>
      </c>
      <c r="U866" s="16" t="n">
        <v>3862</v>
      </c>
      <c r="AC866" s="23">
        <f>IF(OR(E866="",E866="[PARENT]"),"ADD",IF(E866="[ALT_VIEW]","ALT",""))</f>
        <v/>
      </c>
      <c r="AD866" s="21">
        <f>IF(Y866&lt;&gt;"",Y866,IF(U866&lt;&gt;"",U866,S866))</f>
        <v/>
      </c>
      <c r="AE866" s="21">
        <f>IF(AB866&lt;&gt;"",AB866,Z866)</f>
        <v/>
      </c>
      <c r="AF866" s="13" t="inlineStr">
        <is>
          <t>P-8a &gt; Virginia Class Submarine &gt; Hull, Mechanical, and Electrical &gt; CSA</t>
        </is>
      </c>
      <c r="AG866" s="7" t="inlineStr">
        <is>
          <t>164</t>
        </is>
      </c>
      <c r="AH866" s="7" t="inlineStr">
        <is>
          <t>2013</t>
        </is>
      </c>
      <c r="AJ866" s="7" t="inlineStr">
        <is>
          <t>CSA</t>
        </is>
      </c>
    </row>
    <row r="867" ht="10" customHeight="1">
      <c r="A867" s="7" t="inlineStr">
        <is>
          <t>SCN</t>
        </is>
      </c>
      <c r="B867" s="7" t="inlineStr">
        <is>
          <t>Procurement</t>
        </is>
      </c>
      <c r="D867" s="7" t="inlineStr">
        <is>
          <t>Virginia Class Submarine - P-8a Hull, Mechanical, and Electrical - HM&amp;E Installation and testing</t>
        </is>
      </c>
      <c r="E867" s="13" t="inlineStr">
        <is>
          <t>[ALT_VIEW]</t>
        </is>
      </c>
      <c r="F867" s="7" t="inlineStr">
        <is>
          <t>2013 / Virginia Class Submarine</t>
        </is>
      </c>
      <c r="G867" s="7" t="inlineStr">
        <is>
          <t>P-8a</t>
        </is>
      </c>
      <c r="H867" s="7" t="inlineStr">
        <is>
          <t>Hull, Mechanical, and Electrical</t>
        </is>
      </c>
      <c r="I867" s="14" t="n">
        <v>1</v>
      </c>
      <c r="J867" s="7" t="inlineStr">
        <is>
          <t>Full ship DD&amp;C</t>
        </is>
      </c>
      <c r="K867" s="13" t="inlineStr">
        <is>
          <t>USN</t>
        </is>
      </c>
      <c r="L867" s="7" t="inlineStr">
        <is>
          <t>Combatant Ships</t>
        </is>
      </c>
      <c r="M867" s="7" t="inlineStr">
        <is>
          <t>Submarines</t>
        </is>
      </c>
      <c r="N867" s="7" t="inlineStr">
        <is>
          <t>SSN</t>
        </is>
      </c>
      <c r="O867" s="15" t="n"/>
      <c r="P867" s="16" t="n">
        <v>11168</v>
      </c>
      <c r="S867" s="16" t="n">
        <v>22783</v>
      </c>
      <c r="U867" s="16" t="n">
        <v>22783</v>
      </c>
      <c r="AC867" s="23">
        <f>IF(OR(E867="",E867="[PARENT]"),"ADD",IF(E867="[ALT_VIEW]","ALT",""))</f>
        <v/>
      </c>
      <c r="AD867" s="21">
        <f>IF(Y867&lt;&gt;"",Y867,IF(U867&lt;&gt;"",U867,S867))</f>
        <v/>
      </c>
      <c r="AE867" s="21">
        <f>IF(AB867&lt;&gt;"",AB867,Z867)</f>
        <v/>
      </c>
      <c r="AF867" s="13" t="inlineStr">
        <is>
          <t>P-8a &gt; Virginia Class Submarine &gt; Hull, Mechanical, and Electrical &gt; HM&amp;E Installation and testing</t>
        </is>
      </c>
      <c r="AG867" s="7" t="inlineStr">
        <is>
          <t>164</t>
        </is>
      </c>
      <c r="AH867" s="7" t="inlineStr">
        <is>
          <t>2013</t>
        </is>
      </c>
      <c r="AJ867" s="7" t="inlineStr">
        <is>
          <t>HM&amp;E Installation and testing</t>
        </is>
      </c>
    </row>
    <row r="868" ht="10" customHeight="1">
      <c r="A868" s="7" t="inlineStr">
        <is>
          <t>SCN</t>
        </is>
      </c>
      <c r="B868" s="7" t="inlineStr">
        <is>
          <t>Procurement</t>
        </is>
      </c>
      <c r="D868" s="7" t="inlineStr">
        <is>
          <t>Virginia Class Submarine - P-8a Hull, Mechanical, and Electrical - T&amp;E</t>
        </is>
      </c>
      <c r="E868" s="13" t="inlineStr">
        <is>
          <t>[ALT_VIEW]</t>
        </is>
      </c>
      <c r="F868" s="7" t="inlineStr">
        <is>
          <t>2013 / Virginia Class Submarine</t>
        </is>
      </c>
      <c r="G868" s="7" t="inlineStr">
        <is>
          <t>P-8a</t>
        </is>
      </c>
      <c r="H868" s="7" t="inlineStr">
        <is>
          <t>Hull, Mechanical, and Electrical</t>
        </is>
      </c>
      <c r="I868" s="14" t="n">
        <v>1</v>
      </c>
      <c r="J868" s="7" t="inlineStr">
        <is>
          <t>Full ship DD&amp;C</t>
        </is>
      </c>
      <c r="K868" s="13" t="inlineStr">
        <is>
          <t>USN</t>
        </is>
      </c>
      <c r="L868" s="7" t="inlineStr">
        <is>
          <t>Combatant Ships</t>
        </is>
      </c>
      <c r="M868" s="7" t="inlineStr">
        <is>
          <t>Submarines</t>
        </is>
      </c>
      <c r="N868" s="7" t="inlineStr">
        <is>
          <t>SSN</t>
        </is>
      </c>
      <c r="O868" s="15" t="n"/>
      <c r="P868" s="16" t="n">
        <v>10435</v>
      </c>
      <c r="S868" s="16" t="n">
        <v>21287</v>
      </c>
      <c r="U868" s="16" t="n">
        <v>21287</v>
      </c>
      <c r="AC868" s="23">
        <f>IF(OR(E868="",E868="[PARENT]"),"ADD",IF(E868="[ALT_VIEW]","ALT",""))</f>
        <v/>
      </c>
      <c r="AD868" s="21">
        <f>IF(Y868&lt;&gt;"",Y868,IF(U868&lt;&gt;"",U868,S868))</f>
        <v/>
      </c>
      <c r="AE868" s="21">
        <f>IF(AB868&lt;&gt;"",AB868,Z868)</f>
        <v/>
      </c>
      <c r="AF868" s="13" t="inlineStr">
        <is>
          <t>P-8a &gt; Virginia Class Submarine &gt; Hull, Mechanical, and Electrical &gt; T&amp;E</t>
        </is>
      </c>
      <c r="AG868" s="7" t="inlineStr">
        <is>
          <t>164</t>
        </is>
      </c>
      <c r="AH868" s="7" t="inlineStr">
        <is>
          <t>2013</t>
        </is>
      </c>
      <c r="AJ868" s="7" t="inlineStr">
        <is>
          <t>T&amp;E</t>
        </is>
      </c>
    </row>
    <row r="869" ht="10" customHeight="1">
      <c r="A869" s="7" t="inlineStr">
        <is>
          <t>SCN</t>
        </is>
      </c>
      <c r="B869" s="7" t="inlineStr">
        <is>
          <t>Procurement</t>
        </is>
      </c>
      <c r="D869" s="7" t="inlineStr">
        <is>
          <t>Virginia Class Submarine - P-8a Hull, Mechanical, and Electrical - SUPSHIP responsible material</t>
        </is>
      </c>
      <c r="E869" s="13" t="inlineStr">
        <is>
          <t>[ALT_VIEW]</t>
        </is>
      </c>
      <c r="F869" s="7" t="inlineStr">
        <is>
          <t>2013 / Virginia Class Submarine</t>
        </is>
      </c>
      <c r="G869" s="7" t="inlineStr">
        <is>
          <t>P-8a</t>
        </is>
      </c>
      <c r="H869" s="7" t="inlineStr">
        <is>
          <t>Hull, Mechanical, and Electrical</t>
        </is>
      </c>
      <c r="I869" s="14" t="n">
        <v>1</v>
      </c>
      <c r="J869" s="7" t="inlineStr">
        <is>
          <t>Full ship DD&amp;C</t>
        </is>
      </c>
      <c r="K869" s="13" t="inlineStr">
        <is>
          <t>USN</t>
        </is>
      </c>
      <c r="L869" s="7" t="inlineStr">
        <is>
          <t>Combatant Ships</t>
        </is>
      </c>
      <c r="M869" s="7" t="inlineStr">
        <is>
          <t>Submarines</t>
        </is>
      </c>
      <c r="N869" s="7" t="inlineStr">
        <is>
          <t>SSN</t>
        </is>
      </c>
      <c r="O869" s="15" t="n"/>
      <c r="P869" s="16" t="n">
        <v>1269</v>
      </c>
      <c r="S869" s="16" t="n">
        <v>2589</v>
      </c>
      <c r="U869" s="16" t="n">
        <v>2589</v>
      </c>
      <c r="AC869" s="23">
        <f>IF(OR(E869="",E869="[PARENT]"),"ADD",IF(E869="[ALT_VIEW]","ALT",""))</f>
        <v/>
      </c>
      <c r="AD869" s="21">
        <f>IF(Y869&lt;&gt;"",Y869,IF(U869&lt;&gt;"",U869,S869))</f>
        <v/>
      </c>
      <c r="AE869" s="21">
        <f>IF(AB869&lt;&gt;"",AB869,Z869)</f>
        <v/>
      </c>
      <c r="AF869" s="13" t="inlineStr">
        <is>
          <t>P-8a &gt; Virginia Class Submarine &gt; Hull, Mechanical, and Electrical &gt; SUPSHIP responsible material</t>
        </is>
      </c>
      <c r="AG869" s="7" t="inlineStr">
        <is>
          <t>164</t>
        </is>
      </c>
      <c r="AH869" s="7" t="inlineStr">
        <is>
          <t>2013</t>
        </is>
      </c>
      <c r="AJ869" s="7" t="inlineStr">
        <is>
          <t>SUPSHIP responsible material</t>
        </is>
      </c>
    </row>
    <row r="870" ht="10" customHeight="1">
      <c r="A870" s="7" t="inlineStr">
        <is>
          <t>SCN</t>
        </is>
      </c>
      <c r="B870" s="7" t="inlineStr">
        <is>
          <t>Procurement</t>
        </is>
      </c>
      <c r="D870" s="7" t="inlineStr">
        <is>
          <t>Virginia Class Submarine - P-35 Sonar, Combat Control &amp; Architecture - Major Hardware                                                                         2</t>
        </is>
      </c>
      <c r="E870" s="13" t="inlineStr">
        <is>
          <t>[ALT_VIEW]</t>
        </is>
      </c>
      <c r="F870" s="7" t="inlineStr">
        <is>
          <t>2013 / Virginia Class Submarine</t>
        </is>
      </c>
      <c r="G870" s="7" t="inlineStr">
        <is>
          <t>P-35</t>
        </is>
      </c>
      <c r="I870" s="14" t="n">
        <v>1</v>
      </c>
      <c r="J870" s="7" t="inlineStr">
        <is>
          <t>Full ship DD&amp;C</t>
        </is>
      </c>
      <c r="K870" s="13" t="inlineStr">
        <is>
          <t>USN</t>
        </is>
      </c>
      <c r="L870" s="7" t="inlineStr">
        <is>
          <t>Combatant Ships</t>
        </is>
      </c>
      <c r="M870" s="7" t="inlineStr">
        <is>
          <t>Submarines</t>
        </is>
      </c>
      <c r="N870" s="7" t="inlineStr">
        <is>
          <t>SSN</t>
        </is>
      </c>
      <c r="O870" s="15" t="n"/>
      <c r="P870" s="16" t="n">
        <v>119403</v>
      </c>
      <c r="S870" s="16" t="n">
        <v>217931</v>
      </c>
      <c r="U870" s="16" t="n">
        <v>217931</v>
      </c>
      <c r="AC870" s="23">
        <f>IF(OR(E870="",E870="[PARENT]"),"ADD",IF(E870="[ALT_VIEW]","ALT",""))</f>
        <v/>
      </c>
      <c r="AD870" s="21">
        <f>IF(Y870&lt;&gt;"",Y870,IF(U870&lt;&gt;"",U870,S870))</f>
        <v/>
      </c>
      <c r="AE870" s="21">
        <f>IF(AB870&lt;&gt;"",AB870,Z870)</f>
        <v/>
      </c>
      <c r="AF870" s="13" t="inlineStr">
        <is>
          <t>P-35 &gt; Virginia Class Submarine &gt; Sonar, Combat Control &amp; Architecture &gt; Major Hardware                                                                         2</t>
        </is>
      </c>
      <c r="AG870" s="7" t="inlineStr">
        <is>
          <t>165</t>
        </is>
      </c>
      <c r="AH870" s="7" t="inlineStr">
        <is>
          <t>2013</t>
        </is>
      </c>
      <c r="AJ870" s="7" t="inlineStr">
        <is>
          <t>Sonar, Combat Control &amp; Architecture [SSN 815]</t>
        </is>
      </c>
    </row>
    <row r="871" ht="10" customHeight="1">
      <c r="A871" s="7" t="inlineStr">
        <is>
          <t>SCN</t>
        </is>
      </c>
      <c r="B871" s="7" t="inlineStr">
        <is>
          <t>Procurement</t>
        </is>
      </c>
      <c r="D871" s="7" t="inlineStr">
        <is>
          <t>Virginia Class Submarine - P-35 Sonar, Combat Control &amp; Architecture - Technical Engineering Services</t>
        </is>
      </c>
      <c r="E871" s="13" t="inlineStr">
        <is>
          <t>[ALT_VIEW]</t>
        </is>
      </c>
      <c r="F871" s="7" t="inlineStr">
        <is>
          <t>2013 / Virginia Class Submarine</t>
        </is>
      </c>
      <c r="G871" s="7" t="inlineStr">
        <is>
          <t>P-35</t>
        </is>
      </c>
      <c r="I871" s="14" t="n">
        <v>1</v>
      </c>
      <c r="J871" s="7" t="inlineStr">
        <is>
          <t>Full ship DD&amp;C</t>
        </is>
      </c>
      <c r="K871" s="13" t="inlineStr">
        <is>
          <t>USN</t>
        </is>
      </c>
      <c r="L871" s="7" t="inlineStr">
        <is>
          <t>Combatant Ships</t>
        </is>
      </c>
      <c r="M871" s="7" t="inlineStr">
        <is>
          <t>Submarines</t>
        </is>
      </c>
      <c r="N871" s="7" t="inlineStr">
        <is>
          <t>SSN</t>
        </is>
      </c>
      <c r="O871" s="15" t="n"/>
      <c r="P871" s="16" t="n">
        <v>1912</v>
      </c>
      <c r="S871" s="16" t="n">
        <v>3900</v>
      </c>
      <c r="U871" s="16" t="n">
        <v>3900</v>
      </c>
      <c r="AC871" s="23">
        <f>IF(OR(E871="",E871="[PARENT]"),"ADD",IF(E871="[ALT_VIEW]","ALT",""))</f>
        <v/>
      </c>
      <c r="AD871" s="21">
        <f>IF(Y871&lt;&gt;"",Y871,IF(U871&lt;&gt;"",U871,S871))</f>
        <v/>
      </c>
      <c r="AE871" s="21">
        <f>IF(AB871&lt;&gt;"",AB871,Z871)</f>
        <v/>
      </c>
      <c r="AF871" s="13" t="inlineStr">
        <is>
          <t>P-35 &gt; Virginia Class Submarine &gt; Sonar, Combat Control &amp; Architecture &gt; Technical Engineering Services</t>
        </is>
      </c>
      <c r="AG871" s="7" t="inlineStr">
        <is>
          <t>165</t>
        </is>
      </c>
      <c r="AH871" s="7" t="inlineStr">
        <is>
          <t>2013</t>
        </is>
      </c>
      <c r="AJ871" s="7" t="inlineStr">
        <is>
          <t>Sonar, Combat Control &amp; Architecture</t>
        </is>
      </c>
    </row>
    <row r="872" ht="10" customHeight="1">
      <c r="A872" s="7" t="inlineStr">
        <is>
          <t>SCN</t>
        </is>
      </c>
      <c r="B872" s="7" t="inlineStr">
        <is>
          <t>Procurement</t>
        </is>
      </c>
      <c r="D872" s="7" t="inlineStr">
        <is>
          <t>Virginia Class Submarine - P-35 Sonar, Combat Control &amp; Architecture - Other Costs</t>
        </is>
      </c>
      <c r="E872" s="13" t="inlineStr">
        <is>
          <t>[ALT_VIEW]</t>
        </is>
      </c>
      <c r="F872" s="7" t="inlineStr">
        <is>
          <t>2013 / Virginia Class Submarine</t>
        </is>
      </c>
      <c r="G872" s="7" t="inlineStr">
        <is>
          <t>P-35</t>
        </is>
      </c>
      <c r="I872" s="14" t="n">
        <v>1</v>
      </c>
      <c r="J872" s="7" t="inlineStr">
        <is>
          <t>Full ship DD&amp;C</t>
        </is>
      </c>
      <c r="K872" s="13" t="inlineStr">
        <is>
          <t>USN</t>
        </is>
      </c>
      <c r="L872" s="7" t="inlineStr">
        <is>
          <t>Combatant Ships</t>
        </is>
      </c>
      <c r="M872" s="7" t="inlineStr">
        <is>
          <t>Submarines</t>
        </is>
      </c>
      <c r="N872" s="7" t="inlineStr">
        <is>
          <t>SSN</t>
        </is>
      </c>
      <c r="O872" s="15" t="n"/>
      <c r="P872" s="16" t="n">
        <v>15593</v>
      </c>
      <c r="S872" s="16" t="n">
        <v>31809</v>
      </c>
      <c r="U872" s="16" t="n">
        <v>31809</v>
      </c>
      <c r="AC872" s="23">
        <f>IF(OR(E872="",E872="[PARENT]"),"ADD",IF(E872="[ALT_VIEW]","ALT",""))</f>
        <v/>
      </c>
      <c r="AD872" s="21">
        <f>IF(Y872&lt;&gt;"",Y872,IF(U872&lt;&gt;"",U872,S872))</f>
        <v/>
      </c>
      <c r="AE872" s="21">
        <f>IF(AB872&lt;&gt;"",AB872,Z872)</f>
        <v/>
      </c>
      <c r="AF872" s="13" t="inlineStr">
        <is>
          <t>P-35 &gt; Virginia Class Submarine &gt; Sonar, Combat Control &amp; Architecture &gt; Other Costs</t>
        </is>
      </c>
      <c r="AG872" s="7" t="inlineStr">
        <is>
          <t>165</t>
        </is>
      </c>
      <c r="AH872" s="7" t="inlineStr">
        <is>
          <t>2013</t>
        </is>
      </c>
      <c r="AJ872" s="7" t="inlineStr">
        <is>
          <t>Sonar, Combat Control &amp; Architecture</t>
        </is>
      </c>
    </row>
    <row r="873" ht="10" customHeight="1">
      <c r="A873" s="7" t="inlineStr">
        <is>
          <t>SCN</t>
        </is>
      </c>
      <c r="B873" s="7" t="inlineStr">
        <is>
          <t>Procurement</t>
        </is>
      </c>
      <c r="D873" s="7" t="inlineStr">
        <is>
          <t>Virginia Class Submarine - P-35 Electronic Support Measures (ESM) - Major Hardware                                                                         2</t>
        </is>
      </c>
      <c r="E873" s="13" t="inlineStr">
        <is>
          <t>[ALT_VIEW]</t>
        </is>
      </c>
      <c r="F873" s="7" t="inlineStr">
        <is>
          <t>2013 / Virginia Class Submarine</t>
        </is>
      </c>
      <c r="G873" s="7" t="inlineStr">
        <is>
          <t>P-35</t>
        </is>
      </c>
      <c r="I873" s="14" t="n">
        <v>1</v>
      </c>
      <c r="J873" s="7" t="inlineStr">
        <is>
          <t>Full ship DD&amp;C</t>
        </is>
      </c>
      <c r="K873" s="13" t="inlineStr">
        <is>
          <t>USN</t>
        </is>
      </c>
      <c r="L873" s="7" t="inlineStr">
        <is>
          <t>Combatant Ships</t>
        </is>
      </c>
      <c r="M873" s="7" t="inlineStr">
        <is>
          <t>Submarines</t>
        </is>
      </c>
      <c r="N873" s="7" t="inlineStr">
        <is>
          <t>SSN</t>
        </is>
      </c>
      <c r="O873" s="15" t="n"/>
      <c r="P873" s="16" t="n">
        <v>26723</v>
      </c>
      <c r="S873" s="16" t="n">
        <v>52437</v>
      </c>
      <c r="U873" s="16" t="n">
        <v>52437</v>
      </c>
      <c r="AC873" s="23">
        <f>IF(OR(E873="",E873="[PARENT]"),"ADD",IF(E873="[ALT_VIEW]","ALT",""))</f>
        <v/>
      </c>
      <c r="AD873" s="21">
        <f>IF(Y873&lt;&gt;"",Y873,IF(U873&lt;&gt;"",U873,S873))</f>
        <v/>
      </c>
      <c r="AE873" s="21">
        <f>IF(AB873&lt;&gt;"",AB873,Z873)</f>
        <v/>
      </c>
      <c r="AF873" s="13" t="inlineStr">
        <is>
          <t>P-35 &gt; Virginia Class Submarine &gt; Electronic Support Measures (ESM) &gt; Major Hardware                                                                         2</t>
        </is>
      </c>
      <c r="AG873" s="7" t="inlineStr">
        <is>
          <t>166</t>
        </is>
      </c>
      <c r="AH873" s="7" t="inlineStr">
        <is>
          <t>2013</t>
        </is>
      </c>
      <c r="AJ873" s="7" t="inlineStr">
        <is>
          <t>Electronic Support Measures (ESM) [SSN 815]</t>
        </is>
      </c>
    </row>
    <row r="874" ht="10" customHeight="1">
      <c r="A874" s="7" t="inlineStr">
        <is>
          <t>SCN</t>
        </is>
      </c>
      <c r="B874" s="7" t="inlineStr">
        <is>
          <t>Procurement</t>
        </is>
      </c>
      <c r="D874" s="7" t="inlineStr">
        <is>
          <t>Virginia Class Submarine - P-35 Electronic Support Measures (ESM) - Technical Engineering Services</t>
        </is>
      </c>
      <c r="E874" s="13" t="inlineStr">
        <is>
          <t>[ALT_VIEW]</t>
        </is>
      </c>
      <c r="F874" s="7" t="inlineStr">
        <is>
          <t>2013 / Virginia Class Submarine</t>
        </is>
      </c>
      <c r="G874" s="7" t="inlineStr">
        <is>
          <t>P-35</t>
        </is>
      </c>
      <c r="I874" s="14" t="n">
        <v>1</v>
      </c>
      <c r="J874" s="7" t="inlineStr">
        <is>
          <t>Full ship DD&amp;C</t>
        </is>
      </c>
      <c r="K874" s="13" t="inlineStr">
        <is>
          <t>USN</t>
        </is>
      </c>
      <c r="L874" s="7" t="inlineStr">
        <is>
          <t>Combatant Ships</t>
        </is>
      </c>
      <c r="M874" s="7" t="inlineStr">
        <is>
          <t>Submarines</t>
        </is>
      </c>
      <c r="N874" s="7" t="inlineStr">
        <is>
          <t>SSN</t>
        </is>
      </c>
      <c r="O874" s="15" t="n"/>
      <c r="P874" s="16" t="n">
        <v>1439</v>
      </c>
      <c r="S874" s="16" t="n">
        <v>2937</v>
      </c>
      <c r="U874" s="16" t="n">
        <v>2937</v>
      </c>
      <c r="AC874" s="23">
        <f>IF(OR(E874="",E874="[PARENT]"),"ADD",IF(E874="[ALT_VIEW]","ALT",""))</f>
        <v/>
      </c>
      <c r="AD874" s="21">
        <f>IF(Y874&lt;&gt;"",Y874,IF(U874&lt;&gt;"",U874,S874))</f>
        <v/>
      </c>
      <c r="AE874" s="21">
        <f>IF(AB874&lt;&gt;"",AB874,Z874)</f>
        <v/>
      </c>
      <c r="AF874" s="13" t="inlineStr">
        <is>
          <t>P-35 &gt; Virginia Class Submarine &gt; Electronic Support Measures (ESM) &gt; Technical Engineering Services</t>
        </is>
      </c>
      <c r="AG874" s="7" t="inlineStr">
        <is>
          <t>166</t>
        </is>
      </c>
      <c r="AH874" s="7" t="inlineStr">
        <is>
          <t>2013</t>
        </is>
      </c>
      <c r="AJ874" s="7" t="inlineStr">
        <is>
          <t>Electronic Support Measures (ESM)</t>
        </is>
      </c>
    </row>
    <row r="875" ht="10" customHeight="1">
      <c r="A875" s="7" t="inlineStr">
        <is>
          <t>SCN</t>
        </is>
      </c>
      <c r="B875" s="7" t="inlineStr">
        <is>
          <t>Procurement</t>
        </is>
      </c>
      <c r="D875" s="7" t="inlineStr">
        <is>
          <t>Virginia Class Submarine - P-35 Electronic Support Measures (ESM) - Other Costs</t>
        </is>
      </c>
      <c r="E875" s="13" t="inlineStr">
        <is>
          <t>[ALT_VIEW]</t>
        </is>
      </c>
      <c r="F875" s="7" t="inlineStr">
        <is>
          <t>2013 / Virginia Class Submarine</t>
        </is>
      </c>
      <c r="G875" s="7" t="inlineStr">
        <is>
          <t>P-35</t>
        </is>
      </c>
      <c r="I875" s="14" t="n">
        <v>1</v>
      </c>
      <c r="J875" s="7" t="inlineStr">
        <is>
          <t>Full ship DD&amp;C</t>
        </is>
      </c>
      <c r="K875" s="13" t="inlineStr">
        <is>
          <t>USN</t>
        </is>
      </c>
      <c r="L875" s="7" t="inlineStr">
        <is>
          <t>Combatant Ships</t>
        </is>
      </c>
      <c r="M875" s="7" t="inlineStr">
        <is>
          <t>Submarines</t>
        </is>
      </c>
      <c r="N875" s="7" t="inlineStr">
        <is>
          <t>SSN</t>
        </is>
      </c>
      <c r="O875" s="15" t="n"/>
      <c r="P875" s="16" t="n">
        <v>5023</v>
      </c>
      <c r="S875" s="16" t="n">
        <v>10247</v>
      </c>
      <c r="U875" s="16" t="n">
        <v>10247</v>
      </c>
      <c r="AC875" s="23">
        <f>IF(OR(E875="",E875="[PARENT]"),"ADD",IF(E875="[ALT_VIEW]","ALT",""))</f>
        <v/>
      </c>
      <c r="AD875" s="21">
        <f>IF(Y875&lt;&gt;"",Y875,IF(U875&lt;&gt;"",U875,S875))</f>
        <v/>
      </c>
      <c r="AE875" s="21">
        <f>IF(AB875&lt;&gt;"",AB875,Z875)</f>
        <v/>
      </c>
      <c r="AF875" s="13" t="inlineStr">
        <is>
          <t>P-35 &gt; Virginia Class Submarine &gt; Electronic Support Measures (ESM) &gt; Other Costs</t>
        </is>
      </c>
      <c r="AG875" s="7" t="inlineStr">
        <is>
          <t>166</t>
        </is>
      </c>
      <c r="AH875" s="7" t="inlineStr">
        <is>
          <t>2013</t>
        </is>
      </c>
      <c r="AJ875" s="7" t="inlineStr">
        <is>
          <t>Electronic Support Measures (ESM)</t>
        </is>
      </c>
    </row>
    <row r="876" ht="10" customHeight="1">
      <c r="A876" s="7" t="inlineStr">
        <is>
          <t>SCN</t>
        </is>
      </c>
      <c r="B876" s="7" t="inlineStr">
        <is>
          <t>Procurement</t>
        </is>
      </c>
      <c r="D876" s="7" t="inlineStr">
        <is>
          <t>Virginia Class Submarine - P-35 Photonics Masts - Major Hardware                                                                       2</t>
        </is>
      </c>
      <c r="E876" s="13" t="inlineStr">
        <is>
          <t>[ALT_VIEW]</t>
        </is>
      </c>
      <c r="F876" s="7" t="inlineStr">
        <is>
          <t>2013 / Virginia Class Submarine</t>
        </is>
      </c>
      <c r="G876" s="7" t="inlineStr">
        <is>
          <t>P-35</t>
        </is>
      </c>
      <c r="I876" s="14" t="n">
        <v>1</v>
      </c>
      <c r="J876" s="7" t="inlineStr">
        <is>
          <t>Full ship DD&amp;C</t>
        </is>
      </c>
      <c r="K876" s="13" t="inlineStr">
        <is>
          <t>USN</t>
        </is>
      </c>
      <c r="L876" s="7" t="inlineStr">
        <is>
          <t>Combatant Ships</t>
        </is>
      </c>
      <c r="M876" s="7" t="inlineStr">
        <is>
          <t>Submarines</t>
        </is>
      </c>
      <c r="N876" s="7" t="inlineStr">
        <is>
          <t>SSN</t>
        </is>
      </c>
      <c r="O876" s="15" t="n"/>
      <c r="P876" s="16" t="n">
        <v>15758</v>
      </c>
      <c r="S876" s="16" t="n">
        <v>32146</v>
      </c>
      <c r="U876" s="16" t="n">
        <v>32146</v>
      </c>
      <c r="AC876" s="23">
        <f>IF(OR(E876="",E876="[PARENT]"),"ADD",IF(E876="[ALT_VIEW]","ALT",""))</f>
        <v/>
      </c>
      <c r="AD876" s="21">
        <f>IF(Y876&lt;&gt;"",Y876,IF(U876&lt;&gt;"",U876,S876))</f>
        <v/>
      </c>
      <c r="AE876" s="21">
        <f>IF(AB876&lt;&gt;"",AB876,Z876)</f>
        <v/>
      </c>
      <c r="AF876" s="13" t="inlineStr">
        <is>
          <t>P-35 &gt; Virginia Class Submarine &gt; Photonics Masts &gt; Major Hardware                                                                       2</t>
        </is>
      </c>
      <c r="AG876" s="7" t="inlineStr">
        <is>
          <t>167</t>
        </is>
      </c>
      <c r="AH876" s="7" t="inlineStr">
        <is>
          <t>2013</t>
        </is>
      </c>
      <c r="AJ876" s="7" t="inlineStr">
        <is>
          <t>Photonics Masts [SSN 815]</t>
        </is>
      </c>
    </row>
    <row r="877" ht="10" customHeight="1">
      <c r="A877" s="7" t="inlineStr">
        <is>
          <t>SCN</t>
        </is>
      </c>
      <c r="B877" s="7" t="inlineStr">
        <is>
          <t>Procurement</t>
        </is>
      </c>
      <c r="D877" s="7" t="inlineStr">
        <is>
          <t>Virginia Class Submarine - P-35 Photonics Masts - Technical Engineering Services</t>
        </is>
      </c>
      <c r="E877" s="13" t="inlineStr">
        <is>
          <t>[ALT_VIEW]</t>
        </is>
      </c>
      <c r="F877" s="7" t="inlineStr">
        <is>
          <t>2013 / Virginia Class Submarine</t>
        </is>
      </c>
      <c r="G877" s="7" t="inlineStr">
        <is>
          <t>P-35</t>
        </is>
      </c>
      <c r="I877" s="14" t="n">
        <v>1</v>
      </c>
      <c r="J877" s="7" t="inlineStr">
        <is>
          <t>Full ship DD&amp;C</t>
        </is>
      </c>
      <c r="K877" s="13" t="inlineStr">
        <is>
          <t>USN</t>
        </is>
      </c>
      <c r="L877" s="7" t="inlineStr">
        <is>
          <t>Combatant Ships</t>
        </is>
      </c>
      <c r="M877" s="7" t="inlineStr">
        <is>
          <t>Submarines</t>
        </is>
      </c>
      <c r="N877" s="7" t="inlineStr">
        <is>
          <t>SSN</t>
        </is>
      </c>
      <c r="O877" s="15" t="n"/>
      <c r="P877" s="16" t="n">
        <v>708</v>
      </c>
      <c r="S877" s="16" t="n">
        <v>1444</v>
      </c>
      <c r="U877" s="16" t="n">
        <v>1444</v>
      </c>
      <c r="AC877" s="23">
        <f>IF(OR(E877="",E877="[PARENT]"),"ADD",IF(E877="[ALT_VIEW]","ALT",""))</f>
        <v/>
      </c>
      <c r="AD877" s="21">
        <f>IF(Y877&lt;&gt;"",Y877,IF(U877&lt;&gt;"",U877,S877))</f>
        <v/>
      </c>
      <c r="AE877" s="21">
        <f>IF(AB877&lt;&gt;"",AB877,Z877)</f>
        <v/>
      </c>
      <c r="AF877" s="13" t="inlineStr">
        <is>
          <t>P-35 &gt; Virginia Class Submarine &gt; Photonics Masts &gt; Technical Engineering Services</t>
        </is>
      </c>
      <c r="AG877" s="7" t="inlineStr">
        <is>
          <t>167</t>
        </is>
      </c>
      <c r="AH877" s="7" t="inlineStr">
        <is>
          <t>2013</t>
        </is>
      </c>
      <c r="AJ877" s="7" t="inlineStr">
        <is>
          <t>Photonics Masts</t>
        </is>
      </c>
    </row>
    <row r="878" ht="10" customHeight="1">
      <c r="A878" s="7" t="inlineStr">
        <is>
          <t>SCN</t>
        </is>
      </c>
      <c r="B878" s="7" t="inlineStr">
        <is>
          <t>Procurement</t>
        </is>
      </c>
      <c r="D878" s="7" t="inlineStr">
        <is>
          <t>Virginia Class Submarine - P-35 Photonics Masts - Other Costs</t>
        </is>
      </c>
      <c r="E878" s="13" t="inlineStr">
        <is>
          <t>[ALT_VIEW]</t>
        </is>
      </c>
      <c r="F878" s="7" t="inlineStr">
        <is>
          <t>2013 / Virginia Class Submarine</t>
        </is>
      </c>
      <c r="G878" s="7" t="inlineStr">
        <is>
          <t>P-35</t>
        </is>
      </c>
      <c r="I878" s="14" t="n">
        <v>1</v>
      </c>
      <c r="J878" s="7" t="inlineStr">
        <is>
          <t>Full ship DD&amp;C</t>
        </is>
      </c>
      <c r="K878" s="13" t="inlineStr">
        <is>
          <t>USN</t>
        </is>
      </c>
      <c r="L878" s="7" t="inlineStr">
        <is>
          <t>Combatant Ships</t>
        </is>
      </c>
      <c r="M878" s="7" t="inlineStr">
        <is>
          <t>Submarines</t>
        </is>
      </c>
      <c r="N878" s="7" t="inlineStr">
        <is>
          <t>SSN</t>
        </is>
      </c>
      <c r="O878" s="15" t="n"/>
      <c r="P878" s="16" t="n">
        <v>5167</v>
      </c>
      <c r="S878" s="16" t="n">
        <v>10543</v>
      </c>
      <c r="U878" s="16" t="n">
        <v>10543</v>
      </c>
      <c r="AC878" s="23">
        <f>IF(OR(E878="",E878="[PARENT]"),"ADD",IF(E878="[ALT_VIEW]","ALT",""))</f>
        <v/>
      </c>
      <c r="AD878" s="21">
        <f>IF(Y878&lt;&gt;"",Y878,IF(U878&lt;&gt;"",U878,S878))</f>
        <v/>
      </c>
      <c r="AE878" s="21">
        <f>IF(AB878&lt;&gt;"",AB878,Z878)</f>
        <v/>
      </c>
      <c r="AF878" s="13" t="inlineStr">
        <is>
          <t>P-35 &gt; Virginia Class Submarine &gt; Photonics Masts &gt; Other Costs</t>
        </is>
      </c>
      <c r="AG878" s="7" t="inlineStr">
        <is>
          <t>167</t>
        </is>
      </c>
      <c r="AH878" s="7" t="inlineStr">
        <is>
          <t>2013</t>
        </is>
      </c>
      <c r="AJ878" s="7" t="inlineStr">
        <is>
          <t>Photonics Masts</t>
        </is>
      </c>
    </row>
    <row r="879" ht="10" customHeight="1">
      <c r="A879" s="7" t="inlineStr">
        <is>
          <t>SCN</t>
        </is>
      </c>
      <c r="B879" s="7" t="inlineStr">
        <is>
          <t>Procurement</t>
        </is>
      </c>
      <c r="D879" s="7" t="inlineStr">
        <is>
          <t>Virginia Class Submarine - P-35 Universal Modular Mast (UMM) - Major Hardware                                                                            2</t>
        </is>
      </c>
      <c r="E879" s="13" t="inlineStr">
        <is>
          <t>[ALT_VIEW]</t>
        </is>
      </c>
      <c r="F879" s="7" t="inlineStr">
        <is>
          <t>2013 / Virginia Class Submarine</t>
        </is>
      </c>
      <c r="G879" s="7" t="inlineStr">
        <is>
          <t>P-35</t>
        </is>
      </c>
      <c r="I879" s="14" t="n">
        <v>1</v>
      </c>
      <c r="J879" s="7" t="inlineStr">
        <is>
          <t>Full ship DD&amp;C</t>
        </is>
      </c>
      <c r="K879" s="13" t="inlineStr">
        <is>
          <t>USN</t>
        </is>
      </c>
      <c r="L879" s="7" t="inlineStr">
        <is>
          <t>Combatant Ships</t>
        </is>
      </c>
      <c r="M879" s="7" t="inlineStr">
        <is>
          <t>Submarines</t>
        </is>
      </c>
      <c r="N879" s="7" t="inlineStr">
        <is>
          <t>SSN</t>
        </is>
      </c>
      <c r="O879" s="15" t="n"/>
      <c r="P879" s="16" t="n">
        <v>15969</v>
      </c>
      <c r="S879" s="16" t="n">
        <v>19767</v>
      </c>
      <c r="U879" s="16" t="n">
        <v>19767</v>
      </c>
      <c r="AC879" s="23">
        <f>IF(OR(E879="",E879="[PARENT]"),"ADD",IF(E879="[ALT_VIEW]","ALT",""))</f>
        <v/>
      </c>
      <c r="AD879" s="21">
        <f>IF(Y879&lt;&gt;"",Y879,IF(U879&lt;&gt;"",U879,S879))</f>
        <v/>
      </c>
      <c r="AE879" s="21">
        <f>IF(AB879&lt;&gt;"",AB879,Z879)</f>
        <v/>
      </c>
      <c r="AF879" s="13" t="inlineStr">
        <is>
          <t>P-35 &gt; Virginia Class Submarine &gt; Universal Modular Mast (UMM) &gt; Major Hardware                                                                            2</t>
        </is>
      </c>
      <c r="AG879" s="7" t="inlineStr">
        <is>
          <t>168</t>
        </is>
      </c>
      <c r="AH879" s="7" t="inlineStr">
        <is>
          <t>2013</t>
        </is>
      </c>
      <c r="AJ879" s="7" t="inlineStr">
        <is>
          <t>Universal Modular Mast (UMM) [SSN 815]</t>
        </is>
      </c>
    </row>
    <row r="880" ht="10" customHeight="1">
      <c r="A880" s="7" t="inlineStr">
        <is>
          <t>SCN</t>
        </is>
      </c>
      <c r="B880" s="7" t="inlineStr">
        <is>
          <t>Procurement</t>
        </is>
      </c>
      <c r="D880" s="7" t="inlineStr">
        <is>
          <t>Virginia Class Submarine - P-35 Universal Modular Mast (UMM) - Technical Engineering Services</t>
        </is>
      </c>
      <c r="E880" s="13" t="inlineStr">
        <is>
          <t>[ALT_VIEW]</t>
        </is>
      </c>
      <c r="F880" s="7" t="inlineStr">
        <is>
          <t>2013 / Virginia Class Submarine</t>
        </is>
      </c>
      <c r="G880" s="7" t="inlineStr">
        <is>
          <t>P-35</t>
        </is>
      </c>
      <c r="I880" s="14" t="n">
        <v>1</v>
      </c>
      <c r="J880" s="7" t="inlineStr">
        <is>
          <t>Full ship DD&amp;C</t>
        </is>
      </c>
      <c r="K880" s="13" t="inlineStr">
        <is>
          <t>USN</t>
        </is>
      </c>
      <c r="L880" s="7" t="inlineStr">
        <is>
          <t>Combatant Ships</t>
        </is>
      </c>
      <c r="M880" s="7" t="inlineStr">
        <is>
          <t>Submarines</t>
        </is>
      </c>
      <c r="N880" s="7" t="inlineStr">
        <is>
          <t>SSN</t>
        </is>
      </c>
      <c r="O880" s="15" t="n"/>
      <c r="P880" s="16" t="n">
        <v>1608</v>
      </c>
      <c r="S880" s="16" t="n">
        <v>3279</v>
      </c>
      <c r="U880" s="16" t="n">
        <v>3279</v>
      </c>
      <c r="AC880" s="23">
        <f>IF(OR(E880="",E880="[PARENT]"),"ADD",IF(E880="[ALT_VIEW]","ALT",""))</f>
        <v/>
      </c>
      <c r="AD880" s="21">
        <f>IF(Y880&lt;&gt;"",Y880,IF(U880&lt;&gt;"",U880,S880))</f>
        <v/>
      </c>
      <c r="AE880" s="21">
        <f>IF(AB880&lt;&gt;"",AB880,Z880)</f>
        <v/>
      </c>
      <c r="AF880" s="13" t="inlineStr">
        <is>
          <t>P-35 &gt; Virginia Class Submarine &gt; Universal Modular Mast (UMM) &gt; Technical Engineering Services</t>
        </is>
      </c>
      <c r="AG880" s="7" t="inlineStr">
        <is>
          <t>168</t>
        </is>
      </c>
      <c r="AH880" s="7" t="inlineStr">
        <is>
          <t>2013</t>
        </is>
      </c>
      <c r="AJ880" s="7" t="inlineStr">
        <is>
          <t>Universal Modular Mast (UMM)</t>
        </is>
      </c>
    </row>
    <row r="881" ht="10" customHeight="1">
      <c r="A881" s="7" t="inlineStr">
        <is>
          <t>SCN</t>
        </is>
      </c>
      <c r="B881" s="7" t="inlineStr">
        <is>
          <t>Procurement</t>
        </is>
      </c>
      <c r="D881" s="7" t="inlineStr">
        <is>
          <t>Virginia Class Submarine - P-35 Universal Modular Mast (UMM) - Other Costs</t>
        </is>
      </c>
      <c r="E881" s="13" t="inlineStr">
        <is>
          <t>[ALT_VIEW]</t>
        </is>
      </c>
      <c r="F881" s="7" t="inlineStr">
        <is>
          <t>2013 / Virginia Class Submarine</t>
        </is>
      </c>
      <c r="G881" s="7" t="inlineStr">
        <is>
          <t>P-35</t>
        </is>
      </c>
      <c r="I881" s="14" t="n">
        <v>1</v>
      </c>
      <c r="J881" s="7" t="inlineStr">
        <is>
          <t>Full ship DD&amp;C</t>
        </is>
      </c>
      <c r="K881" s="13" t="inlineStr">
        <is>
          <t>USN</t>
        </is>
      </c>
      <c r="L881" s="7" t="inlineStr">
        <is>
          <t>Combatant Ships</t>
        </is>
      </c>
      <c r="M881" s="7" t="inlineStr">
        <is>
          <t>Submarines</t>
        </is>
      </c>
      <c r="N881" s="7" t="inlineStr">
        <is>
          <t>SSN</t>
        </is>
      </c>
      <c r="O881" s="15" t="n"/>
      <c r="P881" s="16" t="n">
        <v>1042</v>
      </c>
      <c r="S881" s="16" t="n">
        <v>2124</v>
      </c>
      <c r="U881" s="16" t="n">
        <v>2124</v>
      </c>
      <c r="AC881" s="23">
        <f>IF(OR(E881="",E881="[PARENT]"),"ADD",IF(E881="[ALT_VIEW]","ALT",""))</f>
        <v/>
      </c>
      <c r="AD881" s="21">
        <f>IF(Y881&lt;&gt;"",Y881,IF(U881&lt;&gt;"",U881,S881))</f>
        <v/>
      </c>
      <c r="AE881" s="21">
        <f>IF(AB881&lt;&gt;"",AB881,Z881)</f>
        <v/>
      </c>
      <c r="AF881" s="13" t="inlineStr">
        <is>
          <t>P-35 &gt; Virginia Class Submarine &gt; Universal Modular Mast (UMM) &gt; Other Costs</t>
        </is>
      </c>
      <c r="AG881" s="7" t="inlineStr">
        <is>
          <t>168</t>
        </is>
      </c>
      <c r="AH881" s="7" t="inlineStr">
        <is>
          <t>2013</t>
        </is>
      </c>
      <c r="AJ881" s="7" t="inlineStr">
        <is>
          <t>Universal Modular Mast (UMM)</t>
        </is>
      </c>
    </row>
    <row r="882" ht="10" customHeight="1">
      <c r="A882" s="7" t="inlineStr">
        <is>
          <t>SCN</t>
        </is>
      </c>
      <c r="B882" s="7" t="inlineStr">
        <is>
          <t>Procurement</t>
        </is>
      </c>
      <c r="D882" s="7" t="inlineStr">
        <is>
          <t>Virginia Class Submarine - P-35 Exterior Communications System (ECS) Recurring - Major Hardware                                                                          2</t>
        </is>
      </c>
      <c r="E882" s="13" t="inlineStr">
        <is>
          <t>[ALT_VIEW]</t>
        </is>
      </c>
      <c r="F882" s="7" t="inlineStr">
        <is>
          <t>2013 / Virginia Class Submarine</t>
        </is>
      </c>
      <c r="G882" s="7" t="inlineStr">
        <is>
          <t>P-35</t>
        </is>
      </c>
      <c r="I882" s="14" t="n">
        <v>1</v>
      </c>
      <c r="J882" s="7" t="inlineStr">
        <is>
          <t>Full ship DD&amp;C</t>
        </is>
      </c>
      <c r="K882" s="13" t="inlineStr">
        <is>
          <t>USN</t>
        </is>
      </c>
      <c r="L882" s="7" t="inlineStr">
        <is>
          <t>Combatant Ships</t>
        </is>
      </c>
      <c r="M882" s="7" t="inlineStr">
        <is>
          <t>Submarines</t>
        </is>
      </c>
      <c r="N882" s="7" t="inlineStr">
        <is>
          <t>SSN</t>
        </is>
      </c>
      <c r="O882" s="15" t="n"/>
      <c r="P882" s="16" t="n">
        <v>20628</v>
      </c>
      <c r="S882" s="16" t="n">
        <v>42081</v>
      </c>
      <c r="U882" s="16" t="n">
        <v>42081</v>
      </c>
      <c r="AC882" s="23">
        <f>IF(OR(E882="",E882="[PARENT]"),"ADD",IF(E882="[ALT_VIEW]","ALT",""))</f>
        <v/>
      </c>
      <c r="AD882" s="21">
        <f>IF(Y882&lt;&gt;"",Y882,IF(U882&lt;&gt;"",U882,S882))</f>
        <v/>
      </c>
      <c r="AE882" s="21">
        <f>IF(AB882&lt;&gt;"",AB882,Z882)</f>
        <v/>
      </c>
      <c r="AF882" s="13" t="inlineStr">
        <is>
          <t>P-35 &gt; Virginia Class Submarine &gt; Exterior Communications System (ECS) Recurring &gt; Major Hardware                                                                          2</t>
        </is>
      </c>
      <c r="AG882" s="7" t="inlineStr">
        <is>
          <t>169</t>
        </is>
      </c>
      <c r="AH882" s="7" t="inlineStr">
        <is>
          <t>2013</t>
        </is>
      </c>
      <c r="AJ882" s="7" t="inlineStr">
        <is>
          <t>Exterior Communications System (ECS) Recurring [SSN 815]</t>
        </is>
      </c>
    </row>
    <row r="883" ht="10" customHeight="1">
      <c r="A883" s="7" t="inlineStr">
        <is>
          <t>SCN</t>
        </is>
      </c>
      <c r="B883" s="7" t="inlineStr">
        <is>
          <t>Procurement</t>
        </is>
      </c>
      <c r="D883" s="7" t="inlineStr">
        <is>
          <t>Virginia Class Submarine - P-35 Exterior Communications System (ECS) Recurring - Technical Engineering Services</t>
        </is>
      </c>
      <c r="E883" s="13" t="inlineStr">
        <is>
          <t>[ALT_VIEW]</t>
        </is>
      </c>
      <c r="F883" s="7" t="inlineStr">
        <is>
          <t>2013 / Virginia Class Submarine</t>
        </is>
      </c>
      <c r="G883" s="7" t="inlineStr">
        <is>
          <t>P-35</t>
        </is>
      </c>
      <c r="I883" s="14" t="n">
        <v>1</v>
      </c>
      <c r="J883" s="7" t="inlineStr">
        <is>
          <t>Full ship DD&amp;C</t>
        </is>
      </c>
      <c r="K883" s="13" t="inlineStr">
        <is>
          <t>USN</t>
        </is>
      </c>
      <c r="L883" s="7" t="inlineStr">
        <is>
          <t>Combatant Ships</t>
        </is>
      </c>
      <c r="M883" s="7" t="inlineStr">
        <is>
          <t>Submarines</t>
        </is>
      </c>
      <c r="N883" s="7" t="inlineStr">
        <is>
          <t>SSN</t>
        </is>
      </c>
      <c r="O883" s="15" t="n"/>
      <c r="P883" s="16" t="n">
        <v>3496</v>
      </c>
      <c r="S883" s="16" t="n">
        <v>7132</v>
      </c>
      <c r="U883" s="16" t="n">
        <v>7132</v>
      </c>
      <c r="AC883" s="23">
        <f>IF(OR(E883="",E883="[PARENT]"),"ADD",IF(E883="[ALT_VIEW]","ALT",""))</f>
        <v/>
      </c>
      <c r="AD883" s="21">
        <f>IF(Y883&lt;&gt;"",Y883,IF(U883&lt;&gt;"",U883,S883))</f>
        <v/>
      </c>
      <c r="AE883" s="21">
        <f>IF(AB883&lt;&gt;"",AB883,Z883)</f>
        <v/>
      </c>
      <c r="AF883" s="13" t="inlineStr">
        <is>
          <t>P-35 &gt; Virginia Class Submarine &gt; Exterior Communications System (ECS) Recurring &gt; Technical Engineering Services</t>
        </is>
      </c>
      <c r="AG883" s="7" t="inlineStr">
        <is>
          <t>169</t>
        </is>
      </c>
      <c r="AH883" s="7" t="inlineStr">
        <is>
          <t>2013</t>
        </is>
      </c>
      <c r="AJ883" s="7" t="inlineStr">
        <is>
          <t>Exterior Communications System (ECS) Recurring</t>
        </is>
      </c>
    </row>
    <row r="884" ht="10" customHeight="1">
      <c r="A884" s="7" t="inlineStr">
        <is>
          <t>SCN</t>
        </is>
      </c>
      <c r="B884" s="7" t="inlineStr">
        <is>
          <t>Procurement</t>
        </is>
      </c>
      <c r="D884" s="7" t="inlineStr">
        <is>
          <t>Virginia Class Submarine - P-35 Exterior Communications System (ECS) Recurring - Other Costs</t>
        </is>
      </c>
      <c r="E884" s="13" t="inlineStr">
        <is>
          <t>[ALT_VIEW]</t>
        </is>
      </c>
      <c r="F884" s="7" t="inlineStr">
        <is>
          <t>2013 / Virginia Class Submarine</t>
        </is>
      </c>
      <c r="G884" s="7" t="inlineStr">
        <is>
          <t>P-35</t>
        </is>
      </c>
      <c r="I884" s="14" t="n">
        <v>1</v>
      </c>
      <c r="J884" s="7" t="inlineStr">
        <is>
          <t>Full ship DD&amp;C</t>
        </is>
      </c>
      <c r="K884" s="13" t="inlineStr">
        <is>
          <t>USN</t>
        </is>
      </c>
      <c r="L884" s="7" t="inlineStr">
        <is>
          <t>Combatant Ships</t>
        </is>
      </c>
      <c r="M884" s="7" t="inlineStr">
        <is>
          <t>Submarines</t>
        </is>
      </c>
      <c r="N884" s="7" t="inlineStr">
        <is>
          <t>SSN</t>
        </is>
      </c>
      <c r="O884" s="15" t="n"/>
      <c r="P884" s="16" t="n">
        <v>5060</v>
      </c>
      <c r="S884" s="16" t="n">
        <v>10322</v>
      </c>
      <c r="U884" s="16" t="n">
        <v>10322</v>
      </c>
      <c r="AC884" s="23">
        <f>IF(OR(E884="",E884="[PARENT]"),"ADD",IF(E884="[ALT_VIEW]","ALT",""))</f>
        <v/>
      </c>
      <c r="AD884" s="21">
        <f>IF(Y884&lt;&gt;"",Y884,IF(U884&lt;&gt;"",U884,S884))</f>
        <v/>
      </c>
      <c r="AE884" s="21">
        <f>IF(AB884&lt;&gt;"",AB884,Z884)</f>
        <v/>
      </c>
      <c r="AF884" s="13" t="inlineStr">
        <is>
          <t>P-35 &gt; Virginia Class Submarine &gt; Exterior Communications System (ECS) Recurring &gt; Other Costs</t>
        </is>
      </c>
      <c r="AG884" s="7" t="inlineStr">
        <is>
          <t>169</t>
        </is>
      </c>
      <c r="AH884" s="7" t="inlineStr">
        <is>
          <t>2013</t>
        </is>
      </c>
      <c r="AJ884" s="7" t="inlineStr">
        <is>
          <t>Exterior Communications System (ECS) Recurring</t>
        </is>
      </c>
    </row>
    <row r="885" ht="10" customHeight="1">
      <c r="A885" s="7" t="inlineStr">
        <is>
          <t>SCN</t>
        </is>
      </c>
      <c r="B885" s="7" t="inlineStr">
        <is>
          <t>Procurement</t>
        </is>
      </c>
      <c r="D885" s="7" t="inlineStr">
        <is>
          <t>Virginia Class Submarine - P-35 Propulsor - Major Hardware                                                                         2</t>
        </is>
      </c>
      <c r="E885" s="13" t="inlineStr">
        <is>
          <t>[ALT_VIEW]</t>
        </is>
      </c>
      <c r="F885" s="7" t="inlineStr">
        <is>
          <t>2013 / Virginia Class Submarine</t>
        </is>
      </c>
      <c r="G885" s="7" t="inlineStr">
        <is>
          <t>P-35</t>
        </is>
      </c>
      <c r="I885" s="14" t="n">
        <v>1</v>
      </c>
      <c r="J885" s="7" t="inlineStr">
        <is>
          <t>Full ship DD&amp;C</t>
        </is>
      </c>
      <c r="K885" s="13" t="inlineStr">
        <is>
          <t>USN</t>
        </is>
      </c>
      <c r="L885" s="7" t="inlineStr">
        <is>
          <t>Combatant Ships</t>
        </is>
      </c>
      <c r="M885" s="7" t="inlineStr">
        <is>
          <t>Submarines</t>
        </is>
      </c>
      <c r="N885" s="7" t="inlineStr">
        <is>
          <t>SSN</t>
        </is>
      </c>
      <c r="O885" s="15" t="n"/>
      <c r="P885" s="16" t="n">
        <v>68130</v>
      </c>
      <c r="S885" s="16" t="n">
        <v>87169</v>
      </c>
      <c r="U885" s="16" t="n">
        <v>87169</v>
      </c>
      <c r="AC885" s="23">
        <f>IF(OR(E885="",E885="[PARENT]"),"ADD",IF(E885="[ALT_VIEW]","ALT",""))</f>
        <v/>
      </c>
      <c r="AD885" s="21">
        <f>IF(Y885&lt;&gt;"",Y885,IF(U885&lt;&gt;"",U885,S885))</f>
        <v/>
      </c>
      <c r="AE885" s="21">
        <f>IF(AB885&lt;&gt;"",AB885,Z885)</f>
        <v/>
      </c>
      <c r="AF885" s="13" t="inlineStr">
        <is>
          <t>P-35 &gt; Virginia Class Submarine &gt; Propulsor &gt; Major Hardware                                                                         2</t>
        </is>
      </c>
      <c r="AG885" s="7" t="inlineStr">
        <is>
          <t>170</t>
        </is>
      </c>
      <c r="AH885" s="7" t="inlineStr">
        <is>
          <t>2013</t>
        </is>
      </c>
      <c r="AJ885" s="7" t="inlineStr">
        <is>
          <t>Propulsor [SSN 815]</t>
        </is>
      </c>
    </row>
    <row r="886" ht="10" customHeight="1">
      <c r="A886" s="7" t="inlineStr">
        <is>
          <t>SCN</t>
        </is>
      </c>
      <c r="B886" s="7" t="inlineStr">
        <is>
          <t>Procurement</t>
        </is>
      </c>
      <c r="D886" s="7" t="inlineStr">
        <is>
          <t>Virginia Class Submarine - P-35 Propulsor - TECH ENGINEERING SERVICES</t>
        </is>
      </c>
      <c r="E886" s="13" t="inlineStr">
        <is>
          <t>[ALT_VIEW]</t>
        </is>
      </c>
      <c r="F886" s="7" t="inlineStr">
        <is>
          <t>2013 / Virginia Class Submarine</t>
        </is>
      </c>
      <c r="G886" s="7" t="inlineStr">
        <is>
          <t>P-35</t>
        </is>
      </c>
      <c r="I886" s="14" t="n">
        <v>1</v>
      </c>
      <c r="J886" s="7" t="inlineStr">
        <is>
          <t>Full ship DD&amp;C</t>
        </is>
      </c>
      <c r="K886" s="13" t="inlineStr">
        <is>
          <t>USN</t>
        </is>
      </c>
      <c r="L886" s="7" t="inlineStr">
        <is>
          <t>Combatant Ships</t>
        </is>
      </c>
      <c r="M886" s="7" t="inlineStr">
        <is>
          <t>Submarines</t>
        </is>
      </c>
      <c r="N886" s="7" t="inlineStr">
        <is>
          <t>SSN</t>
        </is>
      </c>
      <c r="O886" s="15" t="n"/>
      <c r="P886" s="16" t="n">
        <v>6042</v>
      </c>
      <c r="S886" s="16" t="n">
        <v>12325</v>
      </c>
      <c r="U886" s="16" t="n">
        <v>12325</v>
      </c>
      <c r="AC886" s="23">
        <f>IF(OR(E886="",E886="[PARENT]"),"ADD",IF(E886="[ALT_VIEW]","ALT",""))</f>
        <v/>
      </c>
      <c r="AD886" s="21">
        <f>IF(Y886&lt;&gt;"",Y886,IF(U886&lt;&gt;"",U886,S886))</f>
        <v/>
      </c>
      <c r="AE886" s="21">
        <f>IF(AB886&lt;&gt;"",AB886,Z886)</f>
        <v/>
      </c>
      <c r="AF886" s="13" t="inlineStr">
        <is>
          <t>P-35 &gt; Virginia Class Submarine &gt; Propulsor &gt; TECH ENGINEERING SERVICES</t>
        </is>
      </c>
      <c r="AG886" s="7" t="inlineStr">
        <is>
          <t>170</t>
        </is>
      </c>
      <c r="AH886" s="7" t="inlineStr">
        <is>
          <t>2013</t>
        </is>
      </c>
      <c r="AJ886" s="7" t="inlineStr">
        <is>
          <t>Propulsor</t>
        </is>
      </c>
    </row>
    <row r="887" ht="10" customHeight="1">
      <c r="A887" s="7" t="inlineStr">
        <is>
          <t>SCN</t>
        </is>
      </c>
      <c r="B887" s="7" t="inlineStr">
        <is>
          <t>Procurement</t>
        </is>
      </c>
      <c r="D887" s="7" t="inlineStr">
        <is>
          <t>Virginia Class Submarine - P-10 - (1)</t>
        </is>
      </c>
      <c r="E887" s="13" t="inlineStr">
        <is>
          <t>[SUB]</t>
        </is>
      </c>
      <c r="F887" s="7" t="inlineStr">
        <is>
          <t>2013 / Virginia Class Submarine AP</t>
        </is>
      </c>
      <c r="I887" s="14" t="n">
        <v>1</v>
      </c>
      <c r="J887" s="7" t="inlineStr">
        <is>
          <t>Advance procurement / LLTM</t>
        </is>
      </c>
      <c r="K887" s="13" t="inlineStr">
        <is>
          <t>USN</t>
        </is>
      </c>
      <c r="L887" s="7" t="inlineStr">
        <is>
          <t>Combatant Ships</t>
        </is>
      </c>
      <c r="M887" s="7" t="inlineStr">
        <is>
          <t>Submarines</t>
        </is>
      </c>
      <c r="N887" s="7" t="inlineStr">
        <is>
          <t>SSN</t>
        </is>
      </c>
      <c r="O887" s="15" t="n"/>
      <c r="P887" s="16" t="n">
        <v>1035070</v>
      </c>
      <c r="Q887" s="16" t="n">
        <v>1273090</v>
      </c>
      <c r="S887" s="16" t="n">
        <v>1336590</v>
      </c>
      <c r="U887" s="16" t="n">
        <v>1336590</v>
      </c>
      <c r="AC887" s="23">
        <f>IF(OR(E887="",E887="[PARENT]"),"ADD",IF(E887="[ALT_VIEW]","ALT",""))</f>
        <v/>
      </c>
      <c r="AD887" s="21">
        <f>IF(Y887&lt;&gt;"",Y887,IF(U887&lt;&gt;"",U887,S887))</f>
        <v/>
      </c>
      <c r="AE887" s="21">
        <f>IF(AB887&lt;&gt;"",AB887,Z887)</f>
        <v/>
      </c>
      <c r="AF887" s="13" t="inlineStr">
        <is>
          <t>P-10 &gt; Virginia Class Submarine &gt; (1)</t>
        </is>
      </c>
      <c r="AG887" s="7" t="inlineStr">
        <is>
          <t>171</t>
        </is>
      </c>
      <c r="AH887" s="7" t="inlineStr">
        <is>
          <t>2013</t>
        </is>
      </c>
      <c r="AJ887" s="7" t="inlineStr">
        <is>
          <t>Nuclear Propulsion Plant Equipment</t>
        </is>
      </c>
    </row>
    <row r="888" ht="10" customHeight="1">
      <c r="A888" s="7" t="inlineStr">
        <is>
          <t>SCN</t>
        </is>
      </c>
      <c r="B888" s="7" t="inlineStr">
        <is>
          <t>Procurement</t>
        </is>
      </c>
      <c r="D888" s="7" t="inlineStr">
        <is>
          <t>Virginia Class Submarine - P-10 - (2)</t>
        </is>
      </c>
      <c r="E888" s="13" t="inlineStr">
        <is>
          <t>[SUB]</t>
        </is>
      </c>
      <c r="F888" s="7" t="inlineStr">
        <is>
          <t>2013 / Virginia Class Submarine AP</t>
        </is>
      </c>
      <c r="I888" s="14" t="n">
        <v>1</v>
      </c>
      <c r="J888" s="7" t="inlineStr">
        <is>
          <t>Advance procurement / LLTM</t>
        </is>
      </c>
      <c r="K888" s="13" t="inlineStr">
        <is>
          <t>USN</t>
        </is>
      </c>
      <c r="L888" s="7" t="inlineStr">
        <is>
          <t>Combatant Ships</t>
        </is>
      </c>
      <c r="M888" s="7" t="inlineStr">
        <is>
          <t>Submarines</t>
        </is>
      </c>
      <c r="N888" s="7" t="inlineStr">
        <is>
          <t>SSN</t>
        </is>
      </c>
      <c r="O888" s="15" t="n"/>
      <c r="P888" s="16" t="n">
        <v>32408</v>
      </c>
      <c r="Q888" s="16" t="n">
        <v>33056</v>
      </c>
      <c r="S888" s="16" t="n">
        <v>33718</v>
      </c>
      <c r="U888" s="16" t="n">
        <v>33718</v>
      </c>
      <c r="AC888" s="23">
        <f>IF(OR(E888="",E888="[PARENT]"),"ADD",IF(E888="[ALT_VIEW]","ALT",""))</f>
        <v/>
      </c>
      <c r="AD888" s="21">
        <f>IF(Y888&lt;&gt;"",Y888,IF(U888&lt;&gt;"",U888,S888))</f>
        <v/>
      </c>
      <c r="AE888" s="21">
        <f>IF(AB888&lt;&gt;"",AB888,Z888)</f>
        <v/>
      </c>
      <c r="AF888" s="13" t="inlineStr">
        <is>
          <t>P-10 &gt; Virginia Class Submarine &gt; (2)</t>
        </is>
      </c>
      <c r="AG888" s="7" t="inlineStr">
        <is>
          <t>171</t>
        </is>
      </c>
      <c r="AH888" s="7" t="inlineStr">
        <is>
          <t>2013</t>
        </is>
      </c>
      <c r="AJ888" s="7" t="inlineStr">
        <is>
          <t>Electronics Equipment</t>
        </is>
      </c>
    </row>
    <row r="889" ht="10" customHeight="1">
      <c r="A889" s="7" t="inlineStr">
        <is>
          <t>SCN</t>
        </is>
      </c>
      <c r="B889" s="7" t="inlineStr">
        <is>
          <t>Procurement</t>
        </is>
      </c>
      <c r="D889" s="7" t="inlineStr">
        <is>
          <t>Virginia Class Submarine - P-10 - (3)</t>
        </is>
      </c>
      <c r="E889" s="13" t="inlineStr">
        <is>
          <t>[SUB]</t>
        </is>
      </c>
      <c r="F889" s="7" t="inlineStr">
        <is>
          <t>2013 / Virginia Class Submarine AP</t>
        </is>
      </c>
      <c r="I889" s="14" t="n">
        <v>1</v>
      </c>
      <c r="J889" s="7" t="inlineStr">
        <is>
          <t>Advance procurement / LLTM</t>
        </is>
      </c>
      <c r="K889" s="13" t="inlineStr">
        <is>
          <t>USN</t>
        </is>
      </c>
      <c r="L889" s="7" t="inlineStr">
        <is>
          <t>Combatant Ships</t>
        </is>
      </c>
      <c r="M889" s="7" t="inlineStr">
        <is>
          <t>Submarines</t>
        </is>
      </c>
      <c r="N889" s="7" t="inlineStr">
        <is>
          <t>SSN</t>
        </is>
      </c>
      <c r="O889" s="15" t="n"/>
      <c r="P889" s="16" t="n">
        <v>49508</v>
      </c>
      <c r="Q889" s="16" t="n">
        <v>50498</v>
      </c>
      <c r="S889" s="16" t="n">
        <v>51508</v>
      </c>
      <c r="U889" s="16" t="n">
        <v>51508</v>
      </c>
      <c r="AC889" s="23">
        <f>IF(OR(E889="",E889="[PARENT]"),"ADD",IF(E889="[ALT_VIEW]","ALT",""))</f>
        <v/>
      </c>
      <c r="AD889" s="21">
        <f>IF(Y889&lt;&gt;"",Y889,IF(U889&lt;&gt;"",U889,S889))</f>
        <v/>
      </c>
      <c r="AE889" s="21">
        <f>IF(AB889&lt;&gt;"",AB889,Z889)</f>
        <v/>
      </c>
      <c r="AF889" s="13" t="inlineStr">
        <is>
          <t>P-10 &gt; Virginia Class Submarine &gt; (3)</t>
        </is>
      </c>
      <c r="AG889" s="7" t="inlineStr">
        <is>
          <t>171</t>
        </is>
      </c>
      <c r="AH889" s="7" t="inlineStr">
        <is>
          <t>2013</t>
        </is>
      </c>
      <c r="AJ889" s="7" t="inlineStr">
        <is>
          <t>NON-Nuclear Propulsion Plant Equipment - Propulsor</t>
        </is>
      </c>
    </row>
    <row r="890" ht="10" customHeight="1">
      <c r="A890" s="7" t="inlineStr">
        <is>
          <t>SCN</t>
        </is>
      </c>
      <c r="B890" s="7" t="inlineStr">
        <is>
          <t>Procurement</t>
        </is>
      </c>
      <c r="D890" s="7" t="inlineStr">
        <is>
          <t>Virginia Class Submarine - P-10 - (4)</t>
        </is>
      </c>
      <c r="E890" s="13" t="inlineStr">
        <is>
          <t>[SUB]</t>
        </is>
      </c>
      <c r="F890" s="7" t="inlineStr">
        <is>
          <t>2013 / Virginia Class Submarine AP</t>
        </is>
      </c>
      <c r="I890" s="14" t="n">
        <v>1</v>
      </c>
      <c r="J890" s="7" t="inlineStr">
        <is>
          <t>Advance procurement / LLTM</t>
        </is>
      </c>
      <c r="K890" s="13" t="inlineStr">
        <is>
          <t>USN</t>
        </is>
      </c>
      <c r="L890" s="7" t="inlineStr">
        <is>
          <t>Combatant Ships</t>
        </is>
      </c>
      <c r="M890" s="7" t="inlineStr">
        <is>
          <t>Submarines</t>
        </is>
      </c>
      <c r="N890" s="7" t="inlineStr">
        <is>
          <t>SSN</t>
        </is>
      </c>
      <c r="O890" s="15" t="n"/>
      <c r="P890" s="16" t="n">
        <v>568247</v>
      </c>
      <c r="Q890" s="16" t="n">
        <v>820076</v>
      </c>
      <c r="S890" s="16" t="n">
        <v>598620</v>
      </c>
      <c r="U890" s="16" t="n">
        <v>598620</v>
      </c>
      <c r="AC890" s="23">
        <f>IF(OR(E890="",E890="[PARENT]"),"ADD",IF(E890="[ALT_VIEW]","ALT",""))</f>
        <v/>
      </c>
      <c r="AD890" s="21">
        <f>IF(Y890&lt;&gt;"",Y890,IF(U890&lt;&gt;"",U890,S890))</f>
        <v/>
      </c>
      <c r="AE890" s="21">
        <f>IF(AB890&lt;&gt;"",AB890,Z890)</f>
        <v/>
      </c>
      <c r="AF890" s="13" t="inlineStr">
        <is>
          <t>P-10 &gt; Virginia Class Submarine &gt; (4)</t>
        </is>
      </c>
      <c r="AG890" s="7" t="inlineStr">
        <is>
          <t>171</t>
        </is>
      </c>
      <c r="AH890" s="7" t="inlineStr">
        <is>
          <t>2013</t>
        </is>
      </c>
      <c r="AJ890" s="7" t="inlineStr">
        <is>
          <t>Long Lead-Time CFE One Year AP</t>
        </is>
      </c>
    </row>
    <row r="891" ht="10" customHeight="1">
      <c r="A891" s="7" t="inlineStr">
        <is>
          <t>SCN</t>
        </is>
      </c>
      <c r="B891" s="7" t="inlineStr">
        <is>
          <t>Procurement</t>
        </is>
      </c>
      <c r="D891" s="7" t="inlineStr">
        <is>
          <t>Virginia Class Submarine - P-10 - (5)</t>
        </is>
      </c>
      <c r="E891" s="13" t="inlineStr">
        <is>
          <t>[SUB]</t>
        </is>
      </c>
      <c r="F891" s="7" t="inlineStr">
        <is>
          <t>2013 / Virginia Class Submarine AP</t>
        </is>
      </c>
      <c r="I891" s="14" t="n">
        <v>1</v>
      </c>
      <c r="J891" s="7" t="inlineStr">
        <is>
          <t>Advance procurement / LLTM</t>
        </is>
      </c>
      <c r="K891" s="13" t="inlineStr">
        <is>
          <t>USN</t>
        </is>
      </c>
      <c r="L891" s="7" t="inlineStr">
        <is>
          <t>Combatant Ships</t>
        </is>
      </c>
      <c r="M891" s="7" t="inlineStr">
        <is>
          <t>Submarines</t>
        </is>
      </c>
      <c r="N891" s="7" t="inlineStr">
        <is>
          <t>SSN</t>
        </is>
      </c>
      <c r="O891" s="15" t="n"/>
      <c r="P891" s="16" t="n">
        <v>113512</v>
      </c>
      <c r="Q891" s="16" t="n">
        <v>245234</v>
      </c>
      <c r="S891" s="16" t="n">
        <v>268518</v>
      </c>
      <c r="U891" s="16" t="n">
        <v>268518</v>
      </c>
      <c r="AC891" s="23">
        <f>IF(OR(E891="",E891="[PARENT]"),"ADD",IF(E891="[ALT_VIEW]","ALT",""))</f>
        <v/>
      </c>
      <c r="AD891" s="21">
        <f>IF(Y891&lt;&gt;"",Y891,IF(U891&lt;&gt;"",U891,S891))</f>
        <v/>
      </c>
      <c r="AE891" s="21">
        <f>IF(AB891&lt;&gt;"",AB891,Z891)</f>
        <v/>
      </c>
      <c r="AF891" s="13" t="inlineStr">
        <is>
          <t>P-10 &gt; Virginia Class Submarine &gt; (5)</t>
        </is>
      </c>
      <c r="AG891" s="7" t="inlineStr">
        <is>
          <t>171</t>
        </is>
      </c>
      <c r="AH891" s="7" t="inlineStr">
        <is>
          <t>2013</t>
        </is>
      </c>
      <c r="AJ891" s="7" t="inlineStr">
        <is>
          <t>Long Lead-Time CFE Two Year AP</t>
        </is>
      </c>
    </row>
    <row r="892" ht="10" customHeight="1">
      <c r="A892" s="7" t="inlineStr">
        <is>
          <t>SCN</t>
        </is>
      </c>
      <c r="B892" s="7" t="inlineStr">
        <is>
          <t>Procurement</t>
        </is>
      </c>
      <c r="D892" s="7" t="inlineStr">
        <is>
          <t>Virginia Class Submarine - P-10 - EOQ for FY25 SSNs                                                                           -               -</t>
        </is>
      </c>
      <c r="E892" s="13" t="inlineStr">
        <is>
          <t>[SUB]</t>
        </is>
      </c>
      <c r="F892" s="7" t="inlineStr">
        <is>
          <t>2013 / Virginia Class Submarine AP</t>
        </is>
      </c>
      <c r="I892" s="14" t="n">
        <v>1</v>
      </c>
      <c r="J892" s="7" t="inlineStr">
        <is>
          <t>Advance procurement / LLTM</t>
        </is>
      </c>
      <c r="K892" s="13" t="inlineStr">
        <is>
          <t>USN</t>
        </is>
      </c>
      <c r="L892" s="7" t="inlineStr">
        <is>
          <t>Combatant Ships</t>
        </is>
      </c>
      <c r="M892" s="7" t="inlineStr">
        <is>
          <t>Submarines</t>
        </is>
      </c>
      <c r="N892" s="7" t="inlineStr">
        <is>
          <t>SSN</t>
        </is>
      </c>
      <c r="O892" s="15" t="n"/>
      <c r="P892" s="16" t="n">
        <v>272007</v>
      </c>
      <c r="S892" s="16" t="n">
        <v>0</v>
      </c>
      <c r="U892" s="16" t="n">
        <v>0</v>
      </c>
      <c r="AC892" s="23">
        <f>IF(OR(E892="",E892="[PARENT]"),"ADD",IF(E892="[ALT_VIEW]","ALT",""))</f>
        <v/>
      </c>
      <c r="AD892" s="21">
        <f>IF(Y892&lt;&gt;"",Y892,IF(U892&lt;&gt;"",U892,S892))</f>
        <v/>
      </c>
      <c r="AE892" s="21">
        <f>IF(AB892&lt;&gt;"",AB892,Z892)</f>
        <v/>
      </c>
      <c r="AF892" s="13" t="inlineStr">
        <is>
          <t>P-10 &gt; Virginia Class Submarine &gt; EOQ for FY25 SSNs                                                                           -               -</t>
        </is>
      </c>
      <c r="AG892" s="7" t="inlineStr">
        <is>
          <t>171</t>
        </is>
      </c>
      <c r="AH892" s="7" t="inlineStr">
        <is>
          <t>2013</t>
        </is>
      </c>
      <c r="AJ892" s="7" t="inlineStr">
        <is>
          <t>EOQ for FY25 SSNs</t>
        </is>
      </c>
    </row>
    <row r="893" ht="10" customHeight="1">
      <c r="A893" s="7" t="inlineStr">
        <is>
          <t>SCN</t>
        </is>
      </c>
      <c r="B893" s="7" t="inlineStr">
        <is>
          <t>Procurement</t>
        </is>
      </c>
      <c r="D893" s="7" t="inlineStr">
        <is>
          <t>Virginia Class Submarine - P-10 - EOQ for FY26 SSNs                                                                           -               -</t>
        </is>
      </c>
      <c r="E893" s="13" t="inlineStr">
        <is>
          <t>[SUB]</t>
        </is>
      </c>
      <c r="F893" s="7" t="inlineStr">
        <is>
          <t>2013 / Virginia Class Submarine AP</t>
        </is>
      </c>
      <c r="I893" s="14" t="n">
        <v>1</v>
      </c>
      <c r="J893" s="7" t="inlineStr">
        <is>
          <t>Advance procurement / LLTM</t>
        </is>
      </c>
      <c r="K893" s="13" t="inlineStr">
        <is>
          <t>USN</t>
        </is>
      </c>
      <c r="L893" s="7" t="inlineStr">
        <is>
          <t>Combatant Ships</t>
        </is>
      </c>
      <c r="M893" s="7" t="inlineStr">
        <is>
          <t>Submarines</t>
        </is>
      </c>
      <c r="N893" s="7" t="inlineStr">
        <is>
          <t>SSN</t>
        </is>
      </c>
      <c r="O893" s="15" t="n"/>
      <c r="P893" s="16" t="n">
        <v>272006</v>
      </c>
      <c r="Q893" s="16" t="n">
        <v>324586</v>
      </c>
      <c r="S893" s="16" t="n">
        <v>0</v>
      </c>
      <c r="U893" s="16" t="n">
        <v>0</v>
      </c>
      <c r="AC893" s="23">
        <f>IF(OR(E893="",E893="[PARENT]"),"ADD",IF(E893="[ALT_VIEW]","ALT",""))</f>
        <v/>
      </c>
      <c r="AD893" s="21">
        <f>IF(Y893&lt;&gt;"",Y893,IF(U893&lt;&gt;"",U893,S893))</f>
        <v/>
      </c>
      <c r="AE893" s="21">
        <f>IF(AB893&lt;&gt;"",AB893,Z893)</f>
        <v/>
      </c>
      <c r="AF893" s="13" t="inlineStr">
        <is>
          <t>P-10 &gt; Virginia Class Submarine &gt; EOQ for FY26 SSNs                                                                           -               -</t>
        </is>
      </c>
      <c r="AG893" s="7" t="inlineStr">
        <is>
          <t>171</t>
        </is>
      </c>
      <c r="AH893" s="7" t="inlineStr">
        <is>
          <t>2013</t>
        </is>
      </c>
      <c r="AJ893" s="7" t="inlineStr">
        <is>
          <t>EOQ for FY26 SSNs</t>
        </is>
      </c>
    </row>
    <row r="894" ht="10" customHeight="1">
      <c r="A894" s="7" t="inlineStr">
        <is>
          <t>SCN</t>
        </is>
      </c>
      <c r="B894" s="7" t="inlineStr">
        <is>
          <t>Procurement</t>
        </is>
      </c>
      <c r="D894" s="7" t="inlineStr">
        <is>
          <t>Virginia Class Submarine - P-10 - EOQ for FY27 SSNs                                                                           -       Various</t>
        </is>
      </c>
      <c r="E894" s="13" t="inlineStr">
        <is>
          <t>[SUB]</t>
        </is>
      </c>
      <c r="F894" s="7" t="inlineStr">
        <is>
          <t>2013 / Virginia Class Submarine AP</t>
        </is>
      </c>
      <c r="I894" s="14" t="n">
        <v>1</v>
      </c>
      <c r="J894" s="7" t="inlineStr">
        <is>
          <t>Advance procurement / LLTM</t>
        </is>
      </c>
      <c r="K894" s="13" t="inlineStr">
        <is>
          <t>USN</t>
        </is>
      </c>
      <c r="L894" s="7" t="inlineStr">
        <is>
          <t>Combatant Ships</t>
        </is>
      </c>
      <c r="M894" s="7" t="inlineStr">
        <is>
          <t>Submarines</t>
        </is>
      </c>
      <c r="N894" s="7" t="inlineStr">
        <is>
          <t>SSN</t>
        </is>
      </c>
      <c r="O894" s="15" t="n"/>
      <c r="P894" s="16" t="n">
        <v>272008</v>
      </c>
      <c r="Q894" s="16" t="n">
        <v>324588</v>
      </c>
      <c r="S894" s="16" t="n">
        <v>235954</v>
      </c>
      <c r="U894" s="16" t="n">
        <v>235954</v>
      </c>
      <c r="AC894" s="23">
        <f>IF(OR(E894="",E894="[PARENT]"),"ADD",IF(E894="[ALT_VIEW]","ALT",""))</f>
        <v/>
      </c>
      <c r="AD894" s="21">
        <f>IF(Y894&lt;&gt;"",Y894,IF(U894&lt;&gt;"",U894,S894))</f>
        <v/>
      </c>
      <c r="AE894" s="21">
        <f>IF(AB894&lt;&gt;"",AB894,Z894)</f>
        <v/>
      </c>
      <c r="AF894" s="13" t="inlineStr">
        <is>
          <t>P-10 &gt; Virginia Class Submarine &gt; EOQ for FY27 SSNs                                                                           -       Various</t>
        </is>
      </c>
      <c r="AG894" s="7" t="inlineStr">
        <is>
          <t>171</t>
        </is>
      </c>
      <c r="AH894" s="7" t="inlineStr">
        <is>
          <t>2013</t>
        </is>
      </c>
      <c r="AJ894" s="7" t="inlineStr">
        <is>
          <t>EOQ for FY27 SSNs</t>
        </is>
      </c>
    </row>
    <row r="895" ht="10" customHeight="1">
      <c r="A895" s="7" t="inlineStr">
        <is>
          <t>SCN</t>
        </is>
      </c>
      <c r="B895" s="7" t="inlineStr">
        <is>
          <t>Procurement</t>
        </is>
      </c>
      <c r="D895" s="7" t="inlineStr">
        <is>
          <t>Virginia Class Submarine - P-10 - EOQ for FY28 SSNs                                                                           -       Various</t>
        </is>
      </c>
      <c r="E895" s="13" t="inlineStr">
        <is>
          <t>[SUB]</t>
        </is>
      </c>
      <c r="F895" s="7" t="inlineStr">
        <is>
          <t>2013 / Virginia Class Submarine AP</t>
        </is>
      </c>
      <c r="I895" s="14" t="n">
        <v>1</v>
      </c>
      <c r="J895" s="7" t="inlineStr">
        <is>
          <t>Advance procurement / LLTM</t>
        </is>
      </c>
      <c r="K895" s="13" t="inlineStr">
        <is>
          <t>USN</t>
        </is>
      </c>
      <c r="L895" s="7" t="inlineStr">
        <is>
          <t>Combatant Ships</t>
        </is>
      </c>
      <c r="M895" s="7" t="inlineStr">
        <is>
          <t>Submarines</t>
        </is>
      </c>
      <c r="N895" s="7" t="inlineStr">
        <is>
          <t>SSN</t>
        </is>
      </c>
      <c r="O895" s="15" t="n"/>
      <c r="P895" s="16" t="n">
        <v>272008</v>
      </c>
      <c r="Q895" s="16" t="n">
        <v>324587</v>
      </c>
      <c r="S895" s="16" t="n">
        <v>235954</v>
      </c>
      <c r="U895" s="16" t="n">
        <v>235954</v>
      </c>
      <c r="AC895" s="23">
        <f>IF(OR(E895="",E895="[PARENT]"),"ADD",IF(E895="[ALT_VIEW]","ALT",""))</f>
        <v/>
      </c>
      <c r="AD895" s="21">
        <f>IF(Y895&lt;&gt;"",Y895,IF(U895&lt;&gt;"",U895,S895))</f>
        <v/>
      </c>
      <c r="AE895" s="21">
        <f>IF(AB895&lt;&gt;"",AB895,Z895)</f>
        <v/>
      </c>
      <c r="AF895" s="13" t="inlineStr">
        <is>
          <t>P-10 &gt; Virginia Class Submarine &gt; EOQ for FY28 SSNs                                                                           -       Various</t>
        </is>
      </c>
      <c r="AG895" s="7" t="inlineStr">
        <is>
          <t>171</t>
        </is>
      </c>
      <c r="AH895" s="7" t="inlineStr">
        <is>
          <t>2013</t>
        </is>
      </c>
      <c r="AJ895" s="7" t="inlineStr">
        <is>
          <t>EOQ for FY28 SSNs</t>
        </is>
      </c>
    </row>
    <row r="896" ht="10" customHeight="1">
      <c r="A896" s="7" t="inlineStr">
        <is>
          <t>SCN</t>
        </is>
      </c>
      <c r="B896" s="7" t="inlineStr">
        <is>
          <t>Procurement</t>
        </is>
      </c>
      <c r="D896" s="7" t="inlineStr">
        <is>
          <t>Virginia Class Submarine - P-10 - EOQ For FY 29 SSNs                                                                          -       Various</t>
        </is>
      </c>
      <c r="E896" s="13" t="inlineStr">
        <is>
          <t>[SUB]</t>
        </is>
      </c>
      <c r="F896" s="7" t="inlineStr">
        <is>
          <t>2013 / Virginia Class Submarine AP</t>
        </is>
      </c>
      <c r="I896" s="14" t="n">
        <v>1</v>
      </c>
      <c r="J896" s="7" t="inlineStr">
        <is>
          <t>Advance procurement / LLTM</t>
        </is>
      </c>
      <c r="K896" s="13" t="inlineStr">
        <is>
          <t>USN</t>
        </is>
      </c>
      <c r="L896" s="7" t="inlineStr">
        <is>
          <t>Combatant Ships</t>
        </is>
      </c>
      <c r="M896" s="7" t="inlineStr">
        <is>
          <t>Submarines</t>
        </is>
      </c>
      <c r="N896" s="7" t="inlineStr">
        <is>
          <t>SSN</t>
        </is>
      </c>
      <c r="O896" s="15" t="n"/>
      <c r="P896" s="16" t="n">
        <v>272008</v>
      </c>
      <c r="Q896" s="16" t="n">
        <v>324588</v>
      </c>
      <c r="S896" s="16" t="n">
        <v>235954</v>
      </c>
      <c r="U896" s="16" t="n">
        <v>235954</v>
      </c>
      <c r="AC896" s="23">
        <f>IF(OR(E896="",E896="[PARENT]"),"ADD",IF(E896="[ALT_VIEW]","ALT",""))</f>
        <v/>
      </c>
      <c r="AD896" s="21">
        <f>IF(Y896&lt;&gt;"",Y896,IF(U896&lt;&gt;"",U896,S896))</f>
        <v/>
      </c>
      <c r="AE896" s="21">
        <f>IF(AB896&lt;&gt;"",AB896,Z896)</f>
        <v/>
      </c>
      <c r="AF896" s="13" t="inlineStr">
        <is>
          <t>P-10 &gt; Virginia Class Submarine &gt; EOQ For FY 29 SSNs                                                                          -       Various</t>
        </is>
      </c>
      <c r="AG896" s="7" t="inlineStr">
        <is>
          <t>171</t>
        </is>
      </c>
      <c r="AH896" s="7" t="inlineStr">
        <is>
          <t>2013</t>
        </is>
      </c>
      <c r="AJ896" s="7" t="inlineStr">
        <is>
          <t>EOQ For FY 29 SSNs</t>
        </is>
      </c>
    </row>
    <row r="897" ht="10" customHeight="1">
      <c r="A897" s="7" t="inlineStr">
        <is>
          <t>SCN</t>
        </is>
      </c>
      <c r="B897" s="7" t="inlineStr">
        <is>
          <t>Procurement</t>
        </is>
      </c>
      <c r="D897" s="7" t="inlineStr">
        <is>
          <t>Virginia Class Submarine - P-10 - (6)</t>
        </is>
      </c>
      <c r="E897" s="13" t="inlineStr">
        <is>
          <t>[SUB]</t>
        </is>
      </c>
      <c r="F897" s="7" t="inlineStr">
        <is>
          <t>2013 / Virginia Class Submarine AP</t>
        </is>
      </c>
      <c r="I897" s="14" t="n">
        <v>1</v>
      </c>
      <c r="J897" s="7" t="inlineStr">
        <is>
          <t>Advance procurement / LLTM</t>
        </is>
      </c>
      <c r="K897" s="13" t="inlineStr">
        <is>
          <t>USN</t>
        </is>
      </c>
      <c r="L897" s="7" t="inlineStr">
        <is>
          <t>Combatant Ships</t>
        </is>
      </c>
      <c r="M897" s="7" t="inlineStr">
        <is>
          <t>Submarines</t>
        </is>
      </c>
      <c r="N897" s="7" t="inlineStr">
        <is>
          <t>SSN</t>
        </is>
      </c>
      <c r="O897" s="15" t="n"/>
      <c r="P897" s="16" t="n">
        <v>200000</v>
      </c>
      <c r="S897" s="16" t="n">
        <v>130000</v>
      </c>
      <c r="U897" s="16" t="n">
        <v>130000</v>
      </c>
      <c r="AC897" s="23">
        <f>IF(OR(E897="",E897="[PARENT]"),"ADD",IF(E897="[ALT_VIEW]","ALT",""))</f>
        <v/>
      </c>
      <c r="AD897" s="21">
        <f>IF(Y897&lt;&gt;"",Y897,IF(U897&lt;&gt;"",U897,S897))</f>
        <v/>
      </c>
      <c r="AE897" s="21">
        <f>IF(AB897&lt;&gt;"",AB897,Z897)</f>
        <v/>
      </c>
      <c r="AF897" s="13" t="inlineStr">
        <is>
          <t>P-10 &gt; Virginia Class Submarine &gt; (6)</t>
        </is>
      </c>
      <c r="AG897" s="7" t="inlineStr">
        <is>
          <t>171</t>
        </is>
      </c>
      <c r="AH897" s="7" t="inlineStr">
        <is>
          <t>2013</t>
        </is>
      </c>
      <c r="AJ897" s="7" t="inlineStr">
        <is>
          <t>Supplier Development - Submarine Industrial Base (2034 SSNs)</t>
        </is>
      </c>
    </row>
    <row r="898" ht="10" customHeight="1">
      <c r="A898" s="7" t="inlineStr">
        <is>
          <t>SCN</t>
        </is>
      </c>
      <c r="B898" s="7" t="inlineStr">
        <is>
          <t>Procurement</t>
        </is>
      </c>
      <c r="D898" s="7" t="inlineStr">
        <is>
          <t>Virginia Class Submarine - P-10 - (1)</t>
        </is>
      </c>
      <c r="E898" s="13" t="inlineStr">
        <is>
          <t>[SUB]</t>
        </is>
      </c>
      <c r="F898" s="7" t="inlineStr">
        <is>
          <t>2013 / Virginia Class Submarine AP</t>
        </is>
      </c>
      <c r="I898" s="14" t="n">
        <v>1</v>
      </c>
      <c r="J898" s="7" t="inlineStr">
        <is>
          <t>Advance procurement / LLTM</t>
        </is>
      </c>
      <c r="K898" s="13" t="inlineStr">
        <is>
          <t>USN</t>
        </is>
      </c>
      <c r="L898" s="7" t="inlineStr">
        <is>
          <t>Combatant Ships</t>
        </is>
      </c>
      <c r="M898" s="7" t="inlineStr">
        <is>
          <t>Submarines</t>
        </is>
      </c>
      <c r="N898" s="7" t="inlineStr">
        <is>
          <t>SSN</t>
        </is>
      </c>
      <c r="O898" s="15" t="n"/>
      <c r="P898" s="16" t="n">
        <v>1336590</v>
      </c>
      <c r="AC898" s="23">
        <f>IF(OR(E898="",E898="[PARENT]"),"ADD",IF(E898="[ALT_VIEW]","ALT",""))</f>
        <v/>
      </c>
      <c r="AD898" s="21">
        <f>IF(Y898&lt;&gt;"",Y898,IF(U898&lt;&gt;"",U898,S898))</f>
        <v/>
      </c>
      <c r="AE898" s="21">
        <f>IF(AB898&lt;&gt;"",AB898,Z898)</f>
        <v/>
      </c>
      <c r="AF898" s="13" t="inlineStr">
        <is>
          <t>P-10 &gt; Virginia Class Submarine &gt; (1)</t>
        </is>
      </c>
      <c r="AG898" s="7" t="inlineStr">
        <is>
          <t>172</t>
        </is>
      </c>
      <c r="AH898" s="7" t="inlineStr">
        <is>
          <t>2013</t>
        </is>
      </c>
    </row>
    <row r="899" ht="10" customHeight="1">
      <c r="A899" s="7" t="inlineStr">
        <is>
          <t>SCN</t>
        </is>
      </c>
      <c r="B899" s="7" t="inlineStr">
        <is>
          <t>Procurement</t>
        </is>
      </c>
      <c r="D899" s="7" t="inlineStr">
        <is>
          <t>Virginia Class Submarine - P-10 - (2)</t>
        </is>
      </c>
      <c r="E899" s="13" t="inlineStr">
        <is>
          <t>[SUB]</t>
        </is>
      </c>
      <c r="F899" s="7" t="inlineStr">
        <is>
          <t>2013 / Virginia Class Submarine AP</t>
        </is>
      </c>
      <c r="I899" s="14" t="n">
        <v>1</v>
      </c>
      <c r="J899" s="7" t="inlineStr">
        <is>
          <t>Advance procurement / LLTM</t>
        </is>
      </c>
      <c r="K899" s="13" t="inlineStr">
        <is>
          <t>USN</t>
        </is>
      </c>
      <c r="L899" s="7" t="inlineStr">
        <is>
          <t>Combatant Ships</t>
        </is>
      </c>
      <c r="M899" s="7" t="inlineStr">
        <is>
          <t>Submarines</t>
        </is>
      </c>
      <c r="N899" s="7" t="inlineStr">
        <is>
          <t>SSN</t>
        </is>
      </c>
      <c r="O899" s="15" t="n"/>
      <c r="P899" s="16" t="n">
        <v>33718</v>
      </c>
      <c r="AC899" s="23">
        <f>IF(OR(E899="",E899="[PARENT]"),"ADD",IF(E899="[ALT_VIEW]","ALT",""))</f>
        <v/>
      </c>
      <c r="AD899" s="21">
        <f>IF(Y899&lt;&gt;"",Y899,IF(U899&lt;&gt;"",U899,S899))</f>
        <v/>
      </c>
      <c r="AE899" s="21">
        <f>IF(AB899&lt;&gt;"",AB899,Z899)</f>
        <v/>
      </c>
      <c r="AF899" s="13" t="inlineStr">
        <is>
          <t>P-10 &gt; Virginia Class Submarine &gt; (2)</t>
        </is>
      </c>
      <c r="AG899" s="7" t="inlineStr">
        <is>
          <t>172</t>
        </is>
      </c>
      <c r="AH899" s="7" t="inlineStr">
        <is>
          <t>2013</t>
        </is>
      </c>
    </row>
    <row r="900" ht="10" customHeight="1">
      <c r="A900" s="7" t="inlineStr">
        <is>
          <t>SCN</t>
        </is>
      </c>
      <c r="B900" s="7" t="inlineStr">
        <is>
          <t>Procurement</t>
        </is>
      </c>
      <c r="D900" s="7" t="inlineStr">
        <is>
          <t>Virginia Class Submarine - P-10 - (3)</t>
        </is>
      </c>
      <c r="E900" s="13" t="inlineStr">
        <is>
          <t>[SUB]</t>
        </is>
      </c>
      <c r="F900" s="7" t="inlineStr">
        <is>
          <t>2013 / Virginia Class Submarine AP</t>
        </is>
      </c>
      <c r="I900" s="14" t="n">
        <v>1</v>
      </c>
      <c r="J900" s="7" t="inlineStr">
        <is>
          <t>Advance procurement / LLTM</t>
        </is>
      </c>
      <c r="K900" s="13" t="inlineStr">
        <is>
          <t>USN</t>
        </is>
      </c>
      <c r="L900" s="7" t="inlineStr">
        <is>
          <t>Combatant Ships</t>
        </is>
      </c>
      <c r="M900" s="7" t="inlineStr">
        <is>
          <t>Submarines</t>
        </is>
      </c>
      <c r="N900" s="7" t="inlineStr">
        <is>
          <t>SSN</t>
        </is>
      </c>
      <c r="O900" s="15" t="n"/>
      <c r="P900" s="16" t="n">
        <v>51508</v>
      </c>
      <c r="AC900" s="23">
        <f>IF(OR(E900="",E900="[PARENT]"),"ADD",IF(E900="[ALT_VIEW]","ALT",""))</f>
        <v/>
      </c>
      <c r="AD900" s="21">
        <f>IF(Y900&lt;&gt;"",Y900,IF(U900&lt;&gt;"",U900,S900))</f>
        <v/>
      </c>
      <c r="AE900" s="21">
        <f>IF(AB900&lt;&gt;"",AB900,Z900)</f>
        <v/>
      </c>
      <c r="AF900" s="13" t="inlineStr">
        <is>
          <t>P-10 &gt; Virginia Class Submarine &gt; (3)</t>
        </is>
      </c>
      <c r="AG900" s="7" t="inlineStr">
        <is>
          <t>172</t>
        </is>
      </c>
      <c r="AH900" s="7" t="inlineStr">
        <is>
          <t>2013</t>
        </is>
      </c>
    </row>
    <row r="901" ht="10" customHeight="1">
      <c r="A901" s="7" t="inlineStr">
        <is>
          <t>SCN</t>
        </is>
      </c>
      <c r="B901" s="7" t="inlineStr">
        <is>
          <t>Procurement</t>
        </is>
      </c>
      <c r="D901" s="7" t="inlineStr">
        <is>
          <t>Virginia Class Submarine - P-10 - (4)</t>
        </is>
      </c>
      <c r="E901" s="13" t="inlineStr">
        <is>
          <t>[SUB]</t>
        </is>
      </c>
      <c r="F901" s="7" t="inlineStr">
        <is>
          <t>2013 / Virginia Class Submarine AP</t>
        </is>
      </c>
      <c r="I901" s="14" t="n">
        <v>1</v>
      </c>
      <c r="J901" s="7" t="inlineStr">
        <is>
          <t>Advance procurement / LLTM</t>
        </is>
      </c>
      <c r="K901" s="13" t="inlineStr">
        <is>
          <t>USN</t>
        </is>
      </c>
      <c r="L901" s="7" t="inlineStr">
        <is>
          <t>Combatant Ships</t>
        </is>
      </c>
      <c r="M901" s="7" t="inlineStr">
        <is>
          <t>Submarines</t>
        </is>
      </c>
      <c r="N901" s="7" t="inlineStr">
        <is>
          <t>SSN</t>
        </is>
      </c>
      <c r="O901" s="15" t="n"/>
      <c r="P901" s="16" t="n">
        <v>598620</v>
      </c>
      <c r="AC901" s="23">
        <f>IF(OR(E901="",E901="[PARENT]"),"ADD",IF(E901="[ALT_VIEW]","ALT",""))</f>
        <v/>
      </c>
      <c r="AD901" s="21">
        <f>IF(Y901&lt;&gt;"",Y901,IF(U901&lt;&gt;"",U901,S901))</f>
        <v/>
      </c>
      <c r="AE901" s="21">
        <f>IF(AB901&lt;&gt;"",AB901,Z901)</f>
        <v/>
      </c>
      <c r="AF901" s="13" t="inlineStr">
        <is>
          <t>P-10 &gt; Virginia Class Submarine &gt; (4)</t>
        </is>
      </c>
      <c r="AG901" s="7" t="inlineStr">
        <is>
          <t>172</t>
        </is>
      </c>
      <c r="AH901" s="7" t="inlineStr">
        <is>
          <t>2013</t>
        </is>
      </c>
    </row>
    <row r="902" ht="10" customHeight="1">
      <c r="A902" s="7" t="inlineStr">
        <is>
          <t>SCN</t>
        </is>
      </c>
      <c r="B902" s="7" t="inlineStr">
        <is>
          <t>Procurement</t>
        </is>
      </c>
      <c r="D902" s="7" t="inlineStr">
        <is>
          <t>Virginia Class Submarine - P-10 - (5)</t>
        </is>
      </c>
      <c r="E902" s="13" t="inlineStr">
        <is>
          <t>[SUB]</t>
        </is>
      </c>
      <c r="F902" s="7" t="inlineStr">
        <is>
          <t>2013 / Virginia Class Submarine AP</t>
        </is>
      </c>
      <c r="I902" s="14" t="n">
        <v>1</v>
      </c>
      <c r="J902" s="7" t="inlineStr">
        <is>
          <t>Advance procurement / LLTM</t>
        </is>
      </c>
      <c r="K902" s="13" t="inlineStr">
        <is>
          <t>USN</t>
        </is>
      </c>
      <c r="L902" s="7" t="inlineStr">
        <is>
          <t>Combatant Ships</t>
        </is>
      </c>
      <c r="M902" s="7" t="inlineStr">
        <is>
          <t>Submarines</t>
        </is>
      </c>
      <c r="N902" s="7" t="inlineStr">
        <is>
          <t>SSN</t>
        </is>
      </c>
      <c r="O902" s="15" t="n"/>
      <c r="P902" s="16" t="n">
        <v>268518</v>
      </c>
      <c r="AC902" s="23">
        <f>IF(OR(E902="",E902="[PARENT]"),"ADD",IF(E902="[ALT_VIEW]","ALT",""))</f>
        <v/>
      </c>
      <c r="AD902" s="21">
        <f>IF(Y902&lt;&gt;"",Y902,IF(U902&lt;&gt;"",U902,S902))</f>
        <v/>
      </c>
      <c r="AE902" s="21">
        <f>IF(AB902&lt;&gt;"",AB902,Z902)</f>
        <v/>
      </c>
      <c r="AF902" s="13" t="inlineStr">
        <is>
          <t>P-10 &gt; Virginia Class Submarine &gt; (5)</t>
        </is>
      </c>
      <c r="AG902" s="7" t="inlineStr">
        <is>
          <t>172</t>
        </is>
      </c>
      <c r="AH902" s="7" t="inlineStr">
        <is>
          <t>2013</t>
        </is>
      </c>
    </row>
    <row r="903" ht="10" customHeight="1">
      <c r="A903" s="7" t="inlineStr">
        <is>
          <t>SCN</t>
        </is>
      </c>
      <c r="B903" s="7" t="inlineStr">
        <is>
          <t>Procurement</t>
        </is>
      </c>
      <c r="D903" s="7" t="inlineStr">
        <is>
          <t>Virginia Class Submarine - P-10 - EOQ for FY25 SSNs                                                                               -                   -                  -                                       -</t>
        </is>
      </c>
      <c r="E903" s="13" t="inlineStr">
        <is>
          <t>[SUB]</t>
        </is>
      </c>
      <c r="F903" s="7" t="inlineStr">
        <is>
          <t>2013 / Virginia Class Submarine AP</t>
        </is>
      </c>
      <c r="I903" s="14" t="n">
        <v>1</v>
      </c>
      <c r="J903" s="7" t="inlineStr">
        <is>
          <t>Advance procurement / LLTM</t>
        </is>
      </c>
      <c r="K903" s="13" t="inlineStr">
        <is>
          <t>USN</t>
        </is>
      </c>
      <c r="L903" s="7" t="inlineStr">
        <is>
          <t>Combatant Ships</t>
        </is>
      </c>
      <c r="M903" s="7" t="inlineStr">
        <is>
          <t>Submarines</t>
        </is>
      </c>
      <c r="N903" s="7" t="inlineStr">
        <is>
          <t>SSN</t>
        </is>
      </c>
      <c r="O903" s="15" t="n"/>
      <c r="P903" s="16" t="n">
        <v>0</v>
      </c>
      <c r="AC903" s="23">
        <f>IF(OR(E903="",E903="[PARENT]"),"ADD",IF(E903="[ALT_VIEW]","ALT",""))</f>
        <v/>
      </c>
      <c r="AD903" s="21">
        <f>IF(Y903&lt;&gt;"",Y903,IF(U903&lt;&gt;"",U903,S903))</f>
        <v/>
      </c>
      <c r="AE903" s="21">
        <f>IF(AB903&lt;&gt;"",AB903,Z903)</f>
        <v/>
      </c>
      <c r="AF903" s="13" t="inlineStr">
        <is>
          <t>P-10 &gt; Virginia Class Submarine &gt; EOQ for FY25 SSNs                                                                               -                   -                  -                                       -</t>
        </is>
      </c>
      <c r="AG903" s="7" t="inlineStr">
        <is>
          <t>172</t>
        </is>
      </c>
      <c r="AH903" s="7" t="inlineStr">
        <is>
          <t>2013</t>
        </is>
      </c>
    </row>
    <row r="904" ht="10" customHeight="1">
      <c r="A904" s="7" t="inlineStr">
        <is>
          <t>SCN</t>
        </is>
      </c>
      <c r="B904" s="7" t="inlineStr">
        <is>
          <t>Procurement</t>
        </is>
      </c>
      <c r="D904" s="7" t="inlineStr">
        <is>
          <t>Virginia Class Submarine - P-10 - EOQ for FY26 SSNs                                                                               -                   -                  -                                       -</t>
        </is>
      </c>
      <c r="E904" s="13" t="inlineStr">
        <is>
          <t>[SUB]</t>
        </is>
      </c>
      <c r="F904" s="7" t="inlineStr">
        <is>
          <t>2013 / Virginia Class Submarine AP</t>
        </is>
      </c>
      <c r="I904" s="14" t="n">
        <v>1</v>
      </c>
      <c r="J904" s="7" t="inlineStr">
        <is>
          <t>Advance procurement / LLTM</t>
        </is>
      </c>
      <c r="K904" s="13" t="inlineStr">
        <is>
          <t>USN</t>
        </is>
      </c>
      <c r="L904" s="7" t="inlineStr">
        <is>
          <t>Combatant Ships</t>
        </is>
      </c>
      <c r="M904" s="7" t="inlineStr">
        <is>
          <t>Submarines</t>
        </is>
      </c>
      <c r="N904" s="7" t="inlineStr">
        <is>
          <t>SSN</t>
        </is>
      </c>
      <c r="O904" s="15" t="n"/>
      <c r="P904" s="16" t="n">
        <v>0</v>
      </c>
      <c r="AC904" s="23">
        <f>IF(OR(E904="",E904="[PARENT]"),"ADD",IF(E904="[ALT_VIEW]","ALT",""))</f>
        <v/>
      </c>
      <c r="AD904" s="21">
        <f>IF(Y904&lt;&gt;"",Y904,IF(U904&lt;&gt;"",U904,S904))</f>
        <v/>
      </c>
      <c r="AE904" s="21">
        <f>IF(AB904&lt;&gt;"",AB904,Z904)</f>
        <v/>
      </c>
      <c r="AF904" s="13" t="inlineStr">
        <is>
          <t>P-10 &gt; Virginia Class Submarine &gt; EOQ for FY26 SSNs                                                                               -                   -                  -                                       -</t>
        </is>
      </c>
      <c r="AG904" s="7" t="inlineStr">
        <is>
          <t>172</t>
        </is>
      </c>
      <c r="AH904" s="7" t="inlineStr">
        <is>
          <t>2013</t>
        </is>
      </c>
    </row>
    <row r="905" ht="10" customHeight="1">
      <c r="A905" s="7" t="inlineStr">
        <is>
          <t>SCN</t>
        </is>
      </c>
      <c r="B905" s="7" t="inlineStr">
        <is>
          <t>Procurement</t>
        </is>
      </c>
      <c r="D905" s="7" t="inlineStr">
        <is>
          <t>Virginia Class Submarine - P-10 - EOQ for FY27 SSNs                                                                               -             Various                  -        Jan 2026                       -          2027</t>
        </is>
      </c>
      <c r="E905" s="13" t="inlineStr">
        <is>
          <t>[SUB]</t>
        </is>
      </c>
      <c r="F905" s="7" t="inlineStr">
        <is>
          <t>2013 / Virginia Class Submarine AP</t>
        </is>
      </c>
      <c r="I905" s="14" t="n">
        <v>1</v>
      </c>
      <c r="J905" s="7" t="inlineStr">
        <is>
          <t>Advance procurement / LLTM</t>
        </is>
      </c>
      <c r="K905" s="13" t="inlineStr">
        <is>
          <t>USN</t>
        </is>
      </c>
      <c r="L905" s="7" t="inlineStr">
        <is>
          <t>Combatant Ships</t>
        </is>
      </c>
      <c r="M905" s="7" t="inlineStr">
        <is>
          <t>Submarines</t>
        </is>
      </c>
      <c r="N905" s="7" t="inlineStr">
        <is>
          <t>SSN</t>
        </is>
      </c>
      <c r="O905" s="15" t="n"/>
      <c r="P905" s="16" t="n">
        <v>235954</v>
      </c>
      <c r="AC905" s="23">
        <f>IF(OR(E905="",E905="[PARENT]"),"ADD",IF(E905="[ALT_VIEW]","ALT",""))</f>
        <v/>
      </c>
      <c r="AD905" s="21">
        <f>IF(Y905&lt;&gt;"",Y905,IF(U905&lt;&gt;"",U905,S905))</f>
        <v/>
      </c>
      <c r="AE905" s="21">
        <f>IF(AB905&lt;&gt;"",AB905,Z905)</f>
        <v/>
      </c>
      <c r="AF905" s="13" t="inlineStr">
        <is>
          <t>P-10 &gt; Virginia Class Submarine &gt; EOQ for FY27 SSNs                                                                               -             Various                  -        Jan 2026                       -          2027</t>
        </is>
      </c>
      <c r="AG905" s="7" t="inlineStr">
        <is>
          <t>172</t>
        </is>
      </c>
      <c r="AH905" s="7" t="inlineStr">
        <is>
          <t>2013</t>
        </is>
      </c>
    </row>
    <row r="906" ht="10" customHeight="1">
      <c r="A906" s="7" t="inlineStr">
        <is>
          <t>SCN</t>
        </is>
      </c>
      <c r="B906" s="7" t="inlineStr">
        <is>
          <t>Procurement</t>
        </is>
      </c>
      <c r="D906" s="7" t="inlineStr">
        <is>
          <t>Virginia Class Submarine - P-10 - EOQ for FY28 SSNs                                                                               -             Various                  -        Jan 2026                       -          2028</t>
        </is>
      </c>
      <c r="E906" s="13" t="inlineStr">
        <is>
          <t>[SUB]</t>
        </is>
      </c>
      <c r="F906" s="7" t="inlineStr">
        <is>
          <t>2013 / Virginia Class Submarine AP</t>
        </is>
      </c>
      <c r="I906" s="14" t="n">
        <v>1</v>
      </c>
      <c r="J906" s="7" t="inlineStr">
        <is>
          <t>Advance procurement / LLTM</t>
        </is>
      </c>
      <c r="K906" s="13" t="inlineStr">
        <is>
          <t>USN</t>
        </is>
      </c>
      <c r="L906" s="7" t="inlineStr">
        <is>
          <t>Combatant Ships</t>
        </is>
      </c>
      <c r="M906" s="7" t="inlineStr">
        <is>
          <t>Submarines</t>
        </is>
      </c>
      <c r="N906" s="7" t="inlineStr">
        <is>
          <t>SSN</t>
        </is>
      </c>
      <c r="O906" s="15" t="n"/>
      <c r="P906" s="16" t="n">
        <v>235954</v>
      </c>
      <c r="AC906" s="23">
        <f>IF(OR(E906="",E906="[PARENT]"),"ADD",IF(E906="[ALT_VIEW]","ALT",""))</f>
        <v/>
      </c>
      <c r="AD906" s="21">
        <f>IF(Y906&lt;&gt;"",Y906,IF(U906&lt;&gt;"",U906,S906))</f>
        <v/>
      </c>
      <c r="AE906" s="21">
        <f>IF(AB906&lt;&gt;"",AB906,Z906)</f>
        <v/>
      </c>
      <c r="AF906" s="13" t="inlineStr">
        <is>
          <t>P-10 &gt; Virginia Class Submarine &gt; EOQ for FY28 SSNs                                                                               -             Various                  -        Jan 2026                       -          2028</t>
        </is>
      </c>
      <c r="AG906" s="7" t="inlineStr">
        <is>
          <t>172</t>
        </is>
      </c>
      <c r="AH906" s="7" t="inlineStr">
        <is>
          <t>2013</t>
        </is>
      </c>
    </row>
    <row r="907" ht="10" customHeight="1">
      <c r="A907" s="7" t="inlineStr">
        <is>
          <t>SCN</t>
        </is>
      </c>
      <c r="B907" s="7" t="inlineStr">
        <is>
          <t>Procurement</t>
        </is>
      </c>
      <c r="D907" s="7" t="inlineStr">
        <is>
          <t>Virginia Class Submarine - P-10 - EOQ For FY 29 SSNs                                                                              -             Various                  -        Jan 2026                       -          2029</t>
        </is>
      </c>
      <c r="E907" s="13" t="inlineStr">
        <is>
          <t>[SUB]</t>
        </is>
      </c>
      <c r="F907" s="7" t="inlineStr">
        <is>
          <t>2013 / Virginia Class Submarine AP</t>
        </is>
      </c>
      <c r="I907" s="14" t="n">
        <v>1</v>
      </c>
      <c r="J907" s="7" t="inlineStr">
        <is>
          <t>Advance procurement / LLTM</t>
        </is>
      </c>
      <c r="K907" s="13" t="inlineStr">
        <is>
          <t>USN</t>
        </is>
      </c>
      <c r="L907" s="7" t="inlineStr">
        <is>
          <t>Combatant Ships</t>
        </is>
      </c>
      <c r="M907" s="7" t="inlineStr">
        <is>
          <t>Submarines</t>
        </is>
      </c>
      <c r="N907" s="7" t="inlineStr">
        <is>
          <t>SSN</t>
        </is>
      </c>
      <c r="O907" s="15" t="n"/>
      <c r="P907" s="16" t="n">
        <v>235954</v>
      </c>
      <c r="AC907" s="23">
        <f>IF(OR(E907="",E907="[PARENT]"),"ADD",IF(E907="[ALT_VIEW]","ALT",""))</f>
        <v/>
      </c>
      <c r="AD907" s="21">
        <f>IF(Y907&lt;&gt;"",Y907,IF(U907&lt;&gt;"",U907,S907))</f>
        <v/>
      </c>
      <c r="AE907" s="21">
        <f>IF(AB907&lt;&gt;"",AB907,Z907)</f>
        <v/>
      </c>
      <c r="AF907" s="13" t="inlineStr">
        <is>
          <t>P-10 &gt; Virginia Class Submarine &gt; EOQ For FY 29 SSNs                                                                              -             Various                  -        Jan 2026                       -          2029</t>
        </is>
      </c>
      <c r="AG907" s="7" t="inlineStr">
        <is>
          <t>172</t>
        </is>
      </c>
      <c r="AH907" s="7" t="inlineStr">
        <is>
          <t>2013</t>
        </is>
      </c>
    </row>
    <row r="908" ht="10" customHeight="1">
      <c r="A908" s="7" t="inlineStr">
        <is>
          <t>SCN</t>
        </is>
      </c>
      <c r="B908" s="7" t="inlineStr">
        <is>
          <t>Procurement</t>
        </is>
      </c>
      <c r="D908" s="7" t="inlineStr">
        <is>
          <t>Virginia Class Submarine - P-10 - (6)</t>
        </is>
      </c>
      <c r="E908" s="13" t="inlineStr">
        <is>
          <t>[SUB]</t>
        </is>
      </c>
      <c r="F908" s="7" t="inlineStr">
        <is>
          <t>2013 / Virginia Class Submarine AP</t>
        </is>
      </c>
      <c r="I908" s="14" t="n">
        <v>1</v>
      </c>
      <c r="J908" s="7" t="inlineStr">
        <is>
          <t>Advance procurement / LLTM</t>
        </is>
      </c>
      <c r="K908" s="13" t="inlineStr">
        <is>
          <t>USN</t>
        </is>
      </c>
      <c r="L908" s="7" t="inlineStr">
        <is>
          <t>Combatant Ships</t>
        </is>
      </c>
      <c r="M908" s="7" t="inlineStr">
        <is>
          <t>Submarines</t>
        </is>
      </c>
      <c r="N908" s="7" t="inlineStr">
        <is>
          <t>SSN</t>
        </is>
      </c>
      <c r="O908" s="15" t="n"/>
      <c r="P908" s="16" t="n">
        <v>130000</v>
      </c>
      <c r="AC908" s="23">
        <f>IF(OR(E908="",E908="[PARENT]"),"ADD",IF(E908="[ALT_VIEW]","ALT",""))</f>
        <v/>
      </c>
      <c r="AD908" s="21">
        <f>IF(Y908&lt;&gt;"",Y908,IF(U908&lt;&gt;"",U908,S908))</f>
        <v/>
      </c>
      <c r="AE908" s="21">
        <f>IF(AB908&lt;&gt;"",AB908,Z908)</f>
        <v/>
      </c>
      <c r="AF908" s="13" t="inlineStr">
        <is>
          <t>P-10 &gt; Virginia Class Submarine &gt; (6)</t>
        </is>
      </c>
      <c r="AG908" s="7" t="inlineStr">
        <is>
          <t>172</t>
        </is>
      </c>
      <c r="AH908" s="7" t="inlineStr">
        <is>
          <t>2013</t>
        </is>
      </c>
    </row>
    <row r="909" ht="10" customHeight="1">
      <c r="A909" s="7" t="inlineStr">
        <is>
          <t>SCN</t>
        </is>
      </c>
      <c r="B909" s="7" t="inlineStr">
        <is>
          <t>Procurement</t>
        </is>
      </c>
      <c r="D909" s="7" t="inlineStr">
        <is>
          <t>CVN Refueling Overhauls - P-5c - Plan Costs</t>
        </is>
      </c>
      <c r="E909" s="13" t="inlineStr">
        <is>
          <t>[ALT_VIEW]</t>
        </is>
      </c>
      <c r="F909" s="7" t="inlineStr">
        <is>
          <t>2086 / CVN Refueling Overhauls</t>
        </is>
      </c>
      <c r="G909" s="7" t="inlineStr">
        <is>
          <t>P-5c</t>
        </is>
      </c>
      <c r="H909" s="7" t="inlineStr">
        <is>
          <t>Plan Costs</t>
        </is>
      </c>
      <c r="I909" s="14" t="n">
        <v>5</v>
      </c>
      <c r="J909" s="7" t="inlineStr">
        <is>
          <t>RCOH</t>
        </is>
      </c>
      <c r="K909" s="13" t="inlineStr">
        <is>
          <t>USN</t>
        </is>
      </c>
      <c r="L909" s="7" t="inlineStr">
        <is>
          <t>Combatant Ships</t>
        </is>
      </c>
      <c r="M909" s="7" t="inlineStr">
        <is>
          <t>Aircraft Carriers</t>
        </is>
      </c>
      <c r="N909" s="7" t="inlineStr">
        <is>
          <t>CVN</t>
        </is>
      </c>
      <c r="O909" s="15" t="n"/>
      <c r="P909" s="16" t="n">
        <v>66101</v>
      </c>
      <c r="S909" s="16" t="n">
        <v>76961</v>
      </c>
      <c r="U909" s="16" t="n">
        <v>76961</v>
      </c>
      <c r="AC909" s="23">
        <f>IF(OR(E909="",E909="[PARENT]"),"ADD",IF(E909="[ALT_VIEW]","ALT",""))</f>
        <v/>
      </c>
      <c r="AD909" s="21">
        <f>IF(Y909&lt;&gt;"",Y909,IF(U909&lt;&gt;"",U909,S909))</f>
        <v/>
      </c>
      <c r="AE909" s="21">
        <f>IF(AB909&lt;&gt;"",AB909,Z909)</f>
        <v/>
      </c>
      <c r="AF909" s="13" t="inlineStr">
        <is>
          <t>P-5c &gt; CVN Refueling Overhauls &gt; Plan Costs</t>
        </is>
      </c>
      <c r="AG909" s="7" t="inlineStr">
        <is>
          <t>178</t>
        </is>
      </c>
      <c r="AH909" s="7" t="inlineStr">
        <is>
          <t>2086</t>
        </is>
      </c>
      <c r="AJ909" s="7" t="inlineStr">
        <is>
          <t>Plan</t>
        </is>
      </c>
    </row>
    <row r="910" ht="10" customHeight="1">
      <c r="A910" s="7" t="inlineStr">
        <is>
          <t>SCN</t>
        </is>
      </c>
      <c r="B910" s="7" t="inlineStr">
        <is>
          <t>Procurement</t>
        </is>
      </c>
      <c r="D910" s="7" t="inlineStr">
        <is>
          <t>CVN Refueling Overhauls - P-5c - Basic Construction</t>
        </is>
      </c>
      <c r="E910" s="13" t="inlineStr">
        <is>
          <t>[ALT_VIEW]</t>
        </is>
      </c>
      <c r="F910" s="7" t="inlineStr">
        <is>
          <t>2086 / CVN Refueling Overhauls</t>
        </is>
      </c>
      <c r="G910" s="7" t="inlineStr">
        <is>
          <t>P-5c</t>
        </is>
      </c>
      <c r="H910" s="7" t="inlineStr">
        <is>
          <t>Basic Construction</t>
        </is>
      </c>
      <c r="I910" s="14" t="n">
        <v>5</v>
      </c>
      <c r="J910" s="7" t="inlineStr">
        <is>
          <t>RCOH</t>
        </is>
      </c>
      <c r="K910" s="13" t="inlineStr">
        <is>
          <t>USN</t>
        </is>
      </c>
      <c r="L910" s="7" t="inlineStr">
        <is>
          <t>Combatant Ships</t>
        </is>
      </c>
      <c r="M910" s="7" t="inlineStr">
        <is>
          <t>Aircraft Carriers</t>
        </is>
      </c>
      <c r="N910" s="7" t="inlineStr">
        <is>
          <t>CVN</t>
        </is>
      </c>
      <c r="O910" s="15" t="n"/>
      <c r="P910" s="16" t="n">
        <v>5479857</v>
      </c>
      <c r="S910" s="16" t="n">
        <v>4736107</v>
      </c>
      <c r="U910" s="16" t="n">
        <v>4736107</v>
      </c>
      <c r="AC910" s="23">
        <f>IF(OR(E910="",E910="[PARENT]"),"ADD",IF(E910="[ALT_VIEW]","ALT",""))</f>
        <v/>
      </c>
      <c r="AD910" s="21">
        <f>IF(Y910&lt;&gt;"",Y910,IF(U910&lt;&gt;"",U910,S910))</f>
        <v/>
      </c>
      <c r="AE910" s="21">
        <f>IF(AB910&lt;&gt;"",AB910,Z910)</f>
        <v/>
      </c>
      <c r="AF910" s="13" t="inlineStr">
        <is>
          <t>P-5c &gt; CVN Refueling Overhauls &gt; Basic Construction</t>
        </is>
      </c>
      <c r="AG910" s="7" t="inlineStr">
        <is>
          <t>178</t>
        </is>
      </c>
      <c r="AH910" s="7" t="inlineStr">
        <is>
          <t>2086</t>
        </is>
      </c>
      <c r="AJ910" s="7" t="inlineStr">
        <is>
          <t>Basic Construction</t>
        </is>
      </c>
    </row>
    <row r="911" ht="10" customHeight="1">
      <c r="A911" s="7" t="inlineStr">
        <is>
          <t>SCN</t>
        </is>
      </c>
      <c r="B911" s="7" t="inlineStr">
        <is>
          <t>Procurement</t>
        </is>
      </c>
      <c r="D911" s="7" t="inlineStr">
        <is>
          <t>CVN Refueling Overhauls - P-5c - Electronics</t>
        </is>
      </c>
      <c r="E911" s="13" t="inlineStr">
        <is>
          <t>[ALT_VIEW]</t>
        </is>
      </c>
      <c r="F911" s="7" t="inlineStr">
        <is>
          <t>2086 / CVN Refueling Overhauls</t>
        </is>
      </c>
      <c r="G911" s="7" t="inlineStr">
        <is>
          <t>P-5c</t>
        </is>
      </c>
      <c r="H911" s="7" t="inlineStr">
        <is>
          <t>Electronics</t>
        </is>
      </c>
      <c r="I911" s="14" t="n">
        <v>5</v>
      </c>
      <c r="J911" s="7" t="inlineStr">
        <is>
          <t>RCOH</t>
        </is>
      </c>
      <c r="K911" s="13" t="inlineStr">
        <is>
          <t>USN</t>
        </is>
      </c>
      <c r="L911" s="7" t="inlineStr">
        <is>
          <t>Combatant Ships</t>
        </is>
      </c>
      <c r="M911" s="7" t="inlineStr">
        <is>
          <t>Aircraft Carriers</t>
        </is>
      </c>
      <c r="N911" s="7" t="inlineStr">
        <is>
          <t>CVN</t>
        </is>
      </c>
      <c r="O911" s="15" t="n"/>
      <c r="P911" s="16" t="n">
        <v>402826</v>
      </c>
      <c r="S911" s="16" t="n">
        <v>476912</v>
      </c>
      <c r="U911" s="16" t="n">
        <v>476912</v>
      </c>
      <c r="AC911" s="23">
        <f>IF(OR(E911="",E911="[PARENT]"),"ADD",IF(E911="[ALT_VIEW]","ALT",""))</f>
        <v/>
      </c>
      <c r="AD911" s="21">
        <f>IF(Y911&lt;&gt;"",Y911,IF(U911&lt;&gt;"",U911,S911))</f>
        <v/>
      </c>
      <c r="AE911" s="21">
        <f>IF(AB911&lt;&gt;"",AB911,Z911)</f>
        <v/>
      </c>
      <c r="AF911" s="13" t="inlineStr">
        <is>
          <t>P-5c &gt; CVN Refueling Overhauls &gt; Electronics</t>
        </is>
      </c>
      <c r="AG911" s="7" t="inlineStr">
        <is>
          <t>178</t>
        </is>
      </c>
      <c r="AH911" s="7" t="inlineStr">
        <is>
          <t>2086</t>
        </is>
      </c>
    </row>
    <row r="912" ht="10" customHeight="1">
      <c r="A912" s="7" t="inlineStr">
        <is>
          <t>SCN</t>
        </is>
      </c>
      <c r="B912" s="7" t="inlineStr">
        <is>
          <t>Procurement</t>
        </is>
      </c>
      <c r="D912" s="7" t="inlineStr">
        <is>
          <t>CVN Refueling Overhauls - P-5c - Propulsion Equipment</t>
        </is>
      </c>
      <c r="E912" s="13" t="inlineStr">
        <is>
          <t>[ALT_VIEW]</t>
        </is>
      </c>
      <c r="F912" s="7" t="inlineStr">
        <is>
          <t>2086 / CVN Refueling Overhauls</t>
        </is>
      </c>
      <c r="G912" s="7" t="inlineStr">
        <is>
          <t>P-5c</t>
        </is>
      </c>
      <c r="H912" s="7" t="inlineStr">
        <is>
          <t>Propulsion Equipment</t>
        </is>
      </c>
      <c r="I912" s="14" t="n">
        <v>5</v>
      </c>
      <c r="J912" s="7" t="inlineStr">
        <is>
          <t>RCOH</t>
        </is>
      </c>
      <c r="K912" s="13" t="inlineStr">
        <is>
          <t>USN</t>
        </is>
      </c>
      <c r="L912" s="7" t="inlineStr">
        <is>
          <t>Combatant Ships</t>
        </is>
      </c>
      <c r="M912" s="7" t="inlineStr">
        <is>
          <t>Aircraft Carriers</t>
        </is>
      </c>
      <c r="N912" s="7" t="inlineStr">
        <is>
          <t>CVN</t>
        </is>
      </c>
      <c r="O912" s="15" t="n"/>
      <c r="P912" s="16" t="n">
        <v>615177</v>
      </c>
      <c r="S912" s="16" t="n">
        <v>691864</v>
      </c>
      <c r="U912" s="16" t="n">
        <v>691864</v>
      </c>
      <c r="AC912" s="23">
        <f>IF(OR(E912="",E912="[PARENT]"),"ADD",IF(E912="[ALT_VIEW]","ALT",""))</f>
        <v/>
      </c>
      <c r="AD912" s="21">
        <f>IF(Y912&lt;&gt;"",Y912,IF(U912&lt;&gt;"",U912,S912))</f>
        <v/>
      </c>
      <c r="AE912" s="21">
        <f>IF(AB912&lt;&gt;"",AB912,Z912)</f>
        <v/>
      </c>
      <c r="AF912" s="13" t="inlineStr">
        <is>
          <t>P-5c &gt; CVN Refueling Overhauls &gt; Propulsion Equipment</t>
        </is>
      </c>
      <c r="AG912" s="7" t="inlineStr">
        <is>
          <t>178</t>
        </is>
      </c>
      <c r="AH912" s="7" t="inlineStr">
        <is>
          <t>2086</t>
        </is>
      </c>
      <c r="AJ912" s="7" t="inlineStr">
        <is>
          <t>Propulsion Equipment</t>
        </is>
      </c>
    </row>
    <row r="913" ht="10" customHeight="1">
      <c r="A913" s="7" t="inlineStr">
        <is>
          <t>SCN</t>
        </is>
      </c>
      <c r="B913" s="7" t="inlineStr">
        <is>
          <t>Procurement</t>
        </is>
      </c>
      <c r="D913" s="7" t="inlineStr">
        <is>
          <t>CVN Refueling Overhauls - P-5c - Hull, Mechanical, and Electrical</t>
        </is>
      </c>
      <c r="E913" s="13" t="inlineStr">
        <is>
          <t>[ALT_VIEW]</t>
        </is>
      </c>
      <c r="F913" s="7" t="inlineStr">
        <is>
          <t>2086 / CVN Refueling Overhauls</t>
        </is>
      </c>
      <c r="G913" s="7" t="inlineStr">
        <is>
          <t>P-5c</t>
        </is>
      </c>
      <c r="H913" s="7" t="inlineStr">
        <is>
          <t>Hull, Mechanical, and Electrical</t>
        </is>
      </c>
      <c r="I913" s="14" t="n">
        <v>5</v>
      </c>
      <c r="J913" s="7" t="inlineStr">
        <is>
          <t>RCOH</t>
        </is>
      </c>
      <c r="K913" s="13" t="inlineStr">
        <is>
          <t>USN</t>
        </is>
      </c>
      <c r="L913" s="7" t="inlineStr">
        <is>
          <t>Combatant Ships</t>
        </is>
      </c>
      <c r="M913" s="7" t="inlineStr">
        <is>
          <t>Aircraft Carriers</t>
        </is>
      </c>
      <c r="N913" s="7" t="inlineStr">
        <is>
          <t>CVN</t>
        </is>
      </c>
      <c r="O913" s="15" t="n"/>
      <c r="P913" s="16" t="n">
        <v>218115</v>
      </c>
      <c r="S913" s="16" t="n">
        <v>198576</v>
      </c>
      <c r="U913" s="16" t="n">
        <v>198576</v>
      </c>
      <c r="AC913" s="23">
        <f>IF(OR(E913="",E913="[PARENT]"),"ADD",IF(E913="[ALT_VIEW]","ALT",""))</f>
        <v/>
      </c>
      <c r="AD913" s="21">
        <f>IF(Y913&lt;&gt;"",Y913,IF(U913&lt;&gt;"",U913,S913))</f>
        <v/>
      </c>
      <c r="AE913" s="21">
        <f>IF(AB913&lt;&gt;"",AB913,Z913)</f>
        <v/>
      </c>
      <c r="AF913" s="13" t="inlineStr">
        <is>
          <t>P-5c &gt; CVN Refueling Overhauls &gt; Hull, Mechanical, and Electrical</t>
        </is>
      </c>
      <c r="AG913" s="7" t="inlineStr">
        <is>
          <t>178</t>
        </is>
      </c>
      <c r="AH913" s="7" t="inlineStr">
        <is>
          <t>2086</t>
        </is>
      </c>
    </row>
    <row r="914" ht="10" customHeight="1">
      <c r="A914" s="7" t="inlineStr">
        <is>
          <t>SCN</t>
        </is>
      </c>
      <c r="B914" s="7" t="inlineStr">
        <is>
          <t>Procurement</t>
        </is>
      </c>
      <c r="D914" s="7" t="inlineStr">
        <is>
          <t>CVN Refueling Overhauls - P-5c - Ordnance</t>
        </is>
      </c>
      <c r="E914" s="13" t="inlineStr">
        <is>
          <t>[ALT_VIEW]</t>
        </is>
      </c>
      <c r="F914" s="7" t="inlineStr">
        <is>
          <t>2086 / CVN Refueling Overhauls</t>
        </is>
      </c>
      <c r="G914" s="7" t="inlineStr">
        <is>
          <t>P-5c</t>
        </is>
      </c>
      <c r="H914" s="7" t="inlineStr">
        <is>
          <t>Ordnance</t>
        </is>
      </c>
      <c r="I914" s="14" t="n">
        <v>5</v>
      </c>
      <c r="J914" s="7" t="inlineStr">
        <is>
          <t>RCOH</t>
        </is>
      </c>
      <c r="K914" s="13" t="inlineStr">
        <is>
          <t>USN</t>
        </is>
      </c>
      <c r="L914" s="7" t="inlineStr">
        <is>
          <t>Combatant Ships</t>
        </is>
      </c>
      <c r="M914" s="7" t="inlineStr">
        <is>
          <t>Aircraft Carriers</t>
        </is>
      </c>
      <c r="N914" s="7" t="inlineStr">
        <is>
          <t>CVN</t>
        </is>
      </c>
      <c r="O914" s="15" t="n"/>
      <c r="P914" s="16" t="n">
        <v>264599</v>
      </c>
      <c r="S914" s="16" t="n">
        <v>456751</v>
      </c>
      <c r="U914" s="16" t="n">
        <v>456751</v>
      </c>
      <c r="AC914" s="23">
        <f>IF(OR(E914="",E914="[PARENT]"),"ADD",IF(E914="[ALT_VIEW]","ALT",""))</f>
        <v/>
      </c>
      <c r="AD914" s="21">
        <f>IF(Y914&lt;&gt;"",Y914,IF(U914&lt;&gt;"",U914,S914))</f>
        <v/>
      </c>
      <c r="AE914" s="21">
        <f>IF(AB914&lt;&gt;"",AB914,Z914)</f>
        <v/>
      </c>
      <c r="AF914" s="13" t="inlineStr">
        <is>
          <t>P-5c &gt; CVN Refueling Overhauls &gt; Ordnance</t>
        </is>
      </c>
      <c r="AG914" s="7" t="inlineStr">
        <is>
          <t>178</t>
        </is>
      </c>
      <c r="AH914" s="7" t="inlineStr">
        <is>
          <t>2086</t>
        </is>
      </c>
    </row>
    <row r="915" ht="10" customHeight="1">
      <c r="A915" s="7" t="inlineStr">
        <is>
          <t>SCN</t>
        </is>
      </c>
      <c r="B915" s="7" t="inlineStr">
        <is>
          <t>Procurement</t>
        </is>
      </c>
      <c r="D915" s="7" t="inlineStr">
        <is>
          <t>CVN Refueling Overhauls - P-5c - Other Cost</t>
        </is>
      </c>
      <c r="E915" s="13" t="inlineStr">
        <is>
          <t>[ALT_VIEW]</t>
        </is>
      </c>
      <c r="F915" s="7" t="inlineStr">
        <is>
          <t>2086 / CVN Refueling Overhauls</t>
        </is>
      </c>
      <c r="G915" s="7" t="inlineStr">
        <is>
          <t>P-5c</t>
        </is>
      </c>
      <c r="H915" s="7" t="inlineStr">
        <is>
          <t>Other Cost</t>
        </is>
      </c>
      <c r="I915" s="14" t="n">
        <v>5</v>
      </c>
      <c r="J915" s="7" t="inlineStr">
        <is>
          <t>RCOH</t>
        </is>
      </c>
      <c r="K915" s="13" t="inlineStr">
        <is>
          <t>USN</t>
        </is>
      </c>
      <c r="L915" s="7" t="inlineStr">
        <is>
          <t>Combatant Ships</t>
        </is>
      </c>
      <c r="M915" s="7" t="inlineStr">
        <is>
          <t>Aircraft Carriers</t>
        </is>
      </c>
      <c r="N915" s="7" t="inlineStr">
        <is>
          <t>CVN</t>
        </is>
      </c>
      <c r="O915" s="15" t="n"/>
      <c r="P915" s="16" t="n">
        <v>144774</v>
      </c>
      <c r="S915" s="16" t="n">
        <v>172461</v>
      </c>
      <c r="U915" s="16" t="n">
        <v>172461</v>
      </c>
      <c r="AC915" s="23">
        <f>IF(OR(E915="",E915="[PARENT]"),"ADD",IF(E915="[ALT_VIEW]","ALT",""))</f>
        <v/>
      </c>
      <c r="AD915" s="21">
        <f>IF(Y915&lt;&gt;"",Y915,IF(U915&lt;&gt;"",U915,S915))</f>
        <v/>
      </c>
      <c r="AE915" s="21">
        <f>IF(AB915&lt;&gt;"",AB915,Z915)</f>
        <v/>
      </c>
      <c r="AF915" s="13" t="inlineStr">
        <is>
          <t>P-5c &gt; CVN Refueling Overhauls &gt; Other Cost</t>
        </is>
      </c>
      <c r="AG915" s="7" t="inlineStr">
        <is>
          <t>178</t>
        </is>
      </c>
      <c r="AH915" s="7" t="inlineStr">
        <is>
          <t>2086</t>
        </is>
      </c>
    </row>
    <row r="916" ht="10" customHeight="1">
      <c r="A916" s="7" t="inlineStr">
        <is>
          <t>SCN</t>
        </is>
      </c>
      <c r="B916" s="7" t="inlineStr">
        <is>
          <t>Procurement</t>
        </is>
      </c>
      <c r="D916" s="7" t="inlineStr">
        <is>
          <t>CVN Refueling Overhauls - P-8a Electronics - C4ISR 1</t>
        </is>
      </c>
      <c r="E916" s="13" t="inlineStr">
        <is>
          <t>[ALT_VIEW]</t>
        </is>
      </c>
      <c r="F916" s="7" t="inlineStr">
        <is>
          <t>2086 / CVN Refueling Overhauls</t>
        </is>
      </c>
      <c r="G916" s="7" t="inlineStr">
        <is>
          <t>P-8a</t>
        </is>
      </c>
      <c r="H916" s="7" t="inlineStr">
        <is>
          <t>Electronics</t>
        </is>
      </c>
      <c r="I916" s="14" t="n">
        <v>5</v>
      </c>
      <c r="J916" s="7" t="inlineStr">
        <is>
          <t>RCOH</t>
        </is>
      </c>
      <c r="K916" s="13" t="inlineStr">
        <is>
          <t>USN</t>
        </is>
      </c>
      <c r="L916" s="7" t="inlineStr">
        <is>
          <t>Combatant Ships</t>
        </is>
      </c>
      <c r="M916" s="7" t="inlineStr">
        <is>
          <t>Aircraft Carriers</t>
        </is>
      </c>
      <c r="N916" s="7" t="inlineStr">
        <is>
          <t>CVN</t>
        </is>
      </c>
      <c r="O916" s="15" t="n"/>
      <c r="P916" s="16" t="n">
        <v>169315</v>
      </c>
      <c r="S916" s="16" t="n">
        <v>205598</v>
      </c>
      <c r="U916" s="16" t="n">
        <v>205598</v>
      </c>
      <c r="AC916" s="23">
        <f>IF(OR(E916="",E916="[PARENT]"),"ADD",IF(E916="[ALT_VIEW]","ALT",""))</f>
        <v/>
      </c>
      <c r="AD916" s="21">
        <f>IF(Y916&lt;&gt;"",Y916,IF(U916&lt;&gt;"",U916,S916))</f>
        <v/>
      </c>
      <c r="AE916" s="21">
        <f>IF(AB916&lt;&gt;"",AB916,Z916)</f>
        <v/>
      </c>
      <c r="AF916" s="13" t="inlineStr">
        <is>
          <t>P-8a &gt; CVN Refueling Overhauls &gt; Electronics &gt; C4ISR 1</t>
        </is>
      </c>
      <c r="AG916" s="7" t="inlineStr">
        <is>
          <t>181</t>
        </is>
      </c>
      <c r="AH916" s="7" t="inlineStr">
        <is>
          <t>2086</t>
        </is>
      </c>
      <c r="AJ916" s="7" t="inlineStr">
        <is>
          <t>C4ISR</t>
        </is>
      </c>
    </row>
    <row r="917" ht="10" customHeight="1">
      <c r="A917" s="7" t="inlineStr">
        <is>
          <t>SCN</t>
        </is>
      </c>
      <c r="B917" s="7" t="inlineStr">
        <is>
          <t>Procurement</t>
        </is>
      </c>
      <c r="D917" s="7" t="inlineStr">
        <is>
          <t>CVN Refueling Overhauls - P-8a Electronics - INTEGRATED COMMUNICATION NETWORK (ICAN / DDCN &amp; IVCN) 1</t>
        </is>
      </c>
      <c r="E917" s="13" t="inlineStr">
        <is>
          <t>[ALT_VIEW]</t>
        </is>
      </c>
      <c r="F917" s="7" t="inlineStr">
        <is>
          <t>2086 / CVN Refueling Overhauls</t>
        </is>
      </c>
      <c r="G917" s="7" t="inlineStr">
        <is>
          <t>P-8a</t>
        </is>
      </c>
      <c r="H917" s="7" t="inlineStr">
        <is>
          <t>Electronics</t>
        </is>
      </c>
      <c r="I917" s="14" t="n">
        <v>5</v>
      </c>
      <c r="J917" s="7" t="inlineStr">
        <is>
          <t>RCOH</t>
        </is>
      </c>
      <c r="K917" s="13" t="inlineStr">
        <is>
          <t>USN</t>
        </is>
      </c>
      <c r="L917" s="7" t="inlineStr">
        <is>
          <t>Combatant Ships</t>
        </is>
      </c>
      <c r="M917" s="7" t="inlineStr">
        <is>
          <t>Aircraft Carriers</t>
        </is>
      </c>
      <c r="N917" s="7" t="inlineStr">
        <is>
          <t>CVN</t>
        </is>
      </c>
      <c r="O917" s="15" t="n"/>
      <c r="P917" s="16" t="n">
        <v>84926</v>
      </c>
      <c r="S917" s="16" t="n">
        <v>85260</v>
      </c>
      <c r="U917" s="16" t="n">
        <v>85260</v>
      </c>
      <c r="AC917" s="23">
        <f>IF(OR(E917="",E917="[PARENT]"),"ADD",IF(E917="[ALT_VIEW]","ALT",""))</f>
        <v/>
      </c>
      <c r="AD917" s="21">
        <f>IF(Y917&lt;&gt;"",Y917,IF(U917&lt;&gt;"",U917,S917))</f>
        <v/>
      </c>
      <c r="AE917" s="21">
        <f>IF(AB917&lt;&gt;"",AB917,Z917)</f>
        <v/>
      </c>
      <c r="AF917" s="13" t="inlineStr">
        <is>
          <t>P-8a &gt; CVN Refueling Overhauls &gt; Electronics &gt; INTEGRATED COMMUNICATION NETWORK (ICAN / DDCN &amp; IVCN) 1</t>
        </is>
      </c>
      <c r="AG917" s="7" t="inlineStr">
        <is>
          <t>181</t>
        </is>
      </c>
      <c r="AH917" s="7" t="inlineStr">
        <is>
          <t>2086</t>
        </is>
      </c>
      <c r="AJ917" s="7" t="inlineStr">
        <is>
          <t>INTEGRATED COMMUNICATION NETWORK (ICAN / DDCN &amp; IVCN)</t>
        </is>
      </c>
    </row>
    <row r="918" ht="10" customHeight="1">
      <c r="A918" s="7" t="inlineStr">
        <is>
          <t>SCN</t>
        </is>
      </c>
      <c r="B918" s="7" t="inlineStr">
        <is>
          <t>Procurement</t>
        </is>
      </c>
      <c r="D918" s="7" t="inlineStr">
        <is>
          <t>CVN Refueling Overhauls - P-8a Electronics - ELECTRONIC CONSOLIDATED AUTOMATED SUPPORT SYSTEM (ECASS) 1</t>
        </is>
      </c>
      <c r="E918" s="13" t="inlineStr">
        <is>
          <t>[ALT_VIEW]</t>
        </is>
      </c>
      <c r="F918" s="7" t="inlineStr">
        <is>
          <t>2086 / CVN Refueling Overhauls</t>
        </is>
      </c>
      <c r="G918" s="7" t="inlineStr">
        <is>
          <t>P-8a</t>
        </is>
      </c>
      <c r="H918" s="7" t="inlineStr">
        <is>
          <t>Electronics</t>
        </is>
      </c>
      <c r="I918" s="14" t="n">
        <v>5</v>
      </c>
      <c r="J918" s="7" t="inlineStr">
        <is>
          <t>RCOH</t>
        </is>
      </c>
      <c r="K918" s="13" t="inlineStr">
        <is>
          <t>USN</t>
        </is>
      </c>
      <c r="L918" s="7" t="inlineStr">
        <is>
          <t>Combatant Ships</t>
        </is>
      </c>
      <c r="M918" s="7" t="inlineStr">
        <is>
          <t>Aircraft Carriers</t>
        </is>
      </c>
      <c r="N918" s="7" t="inlineStr">
        <is>
          <t>CVN</t>
        </is>
      </c>
      <c r="O918" s="15" t="n"/>
      <c r="S918" s="16" t="n">
        <v>38900</v>
      </c>
      <c r="U918" s="16" t="n">
        <v>38900</v>
      </c>
      <c r="AC918" s="23">
        <f>IF(OR(E918="",E918="[PARENT]"),"ADD",IF(E918="[ALT_VIEW]","ALT",""))</f>
        <v/>
      </c>
      <c r="AD918" s="21">
        <f>IF(Y918&lt;&gt;"",Y918,IF(U918&lt;&gt;"",U918,S918))</f>
        <v/>
      </c>
      <c r="AE918" s="21">
        <f>IF(AB918&lt;&gt;"",AB918,Z918)</f>
        <v/>
      </c>
      <c r="AF918" s="13" t="inlineStr">
        <is>
          <t>P-8a &gt; CVN Refueling Overhauls &gt; Electronics &gt; ELECTRONIC CONSOLIDATED AUTOMATED SUPPORT SYSTEM (ECASS) 1</t>
        </is>
      </c>
      <c r="AG918" s="7" t="inlineStr">
        <is>
          <t>181</t>
        </is>
      </c>
      <c r="AH918" s="7" t="inlineStr">
        <is>
          <t>2086</t>
        </is>
      </c>
      <c r="AJ918" s="7" t="inlineStr">
        <is>
          <t>ELECTRONIC CONSOLIDATED AUTOMATED SUPPORT SYSTEM (ECASS)</t>
        </is>
      </c>
    </row>
    <row r="919" ht="10" customHeight="1">
      <c r="A919" s="7" t="inlineStr">
        <is>
          <t>SCN</t>
        </is>
      </c>
      <c r="B919" s="7" t="inlineStr">
        <is>
          <t>Procurement</t>
        </is>
      </c>
      <c r="D919" s="7" t="inlineStr">
        <is>
          <t>CVN Refueling Overhauls - P-8a Electronics - SHIP SELF DEFENSE SYSTEM (SSDS) MK2 MOD 1E 1</t>
        </is>
      </c>
      <c r="E919" s="13" t="inlineStr">
        <is>
          <t>[ALT_VIEW]</t>
        </is>
      </c>
      <c r="F919" s="7" t="inlineStr">
        <is>
          <t>2086 / CVN Refueling Overhauls</t>
        </is>
      </c>
      <c r="G919" s="7" t="inlineStr">
        <is>
          <t>P-8a</t>
        </is>
      </c>
      <c r="H919" s="7" t="inlineStr">
        <is>
          <t>Electronics</t>
        </is>
      </c>
      <c r="I919" s="14" t="n">
        <v>5</v>
      </c>
      <c r="J919" s="7" t="inlineStr">
        <is>
          <t>RCOH</t>
        </is>
      </c>
      <c r="K919" s="13" t="inlineStr">
        <is>
          <t>USN</t>
        </is>
      </c>
      <c r="L919" s="7" t="inlineStr">
        <is>
          <t>Combatant Ships</t>
        </is>
      </c>
      <c r="M919" s="7" t="inlineStr">
        <is>
          <t>Aircraft Carriers</t>
        </is>
      </c>
      <c r="N919" s="7" t="inlineStr">
        <is>
          <t>CVN</t>
        </is>
      </c>
      <c r="O919" s="15" t="n"/>
      <c r="P919" s="16" t="n">
        <v>27273</v>
      </c>
      <c r="S919" s="16" t="n">
        <v>46755</v>
      </c>
      <c r="U919" s="16" t="n">
        <v>46755</v>
      </c>
      <c r="AC919" s="23">
        <f>IF(OR(E919="",E919="[PARENT]"),"ADD",IF(E919="[ALT_VIEW]","ALT",""))</f>
        <v/>
      </c>
      <c r="AD919" s="21">
        <f>IF(Y919&lt;&gt;"",Y919,IF(U919&lt;&gt;"",U919,S919))</f>
        <v/>
      </c>
      <c r="AE919" s="21">
        <f>IF(AB919&lt;&gt;"",AB919,Z919)</f>
        <v/>
      </c>
      <c r="AF919" s="13" t="inlineStr">
        <is>
          <t>P-8a &gt; CVN Refueling Overhauls &gt; Electronics &gt; SHIP SELF DEFENSE SYSTEM (SSDS) MK2 MOD 1E 1</t>
        </is>
      </c>
      <c r="AG919" s="7" t="inlineStr">
        <is>
          <t>181</t>
        </is>
      </c>
      <c r="AH919" s="7" t="inlineStr">
        <is>
          <t>2086</t>
        </is>
      </c>
      <c r="AJ919" s="7" t="inlineStr">
        <is>
          <t>SHIP SELF DEFENSE SYSTEM (SSDS) MK2 MOD 1E</t>
        </is>
      </c>
    </row>
    <row r="920" ht="10" customHeight="1">
      <c r="A920" s="7" t="inlineStr">
        <is>
          <t>SCN</t>
        </is>
      </c>
      <c r="B920" s="7" t="inlineStr">
        <is>
          <t>Procurement</t>
        </is>
      </c>
      <c r="D920" s="7" t="inlineStr">
        <is>
          <t>CVN Refueling Overhauls - P-8a Electronics - AN/SPN-50(V)1 - AIR TRAFFIC CONTROL RADAR 1</t>
        </is>
      </c>
      <c r="E920" s="13" t="inlineStr">
        <is>
          <t>[ALT_VIEW]</t>
        </is>
      </c>
      <c r="F920" s="7" t="inlineStr">
        <is>
          <t>2086 / CVN Refueling Overhauls</t>
        </is>
      </c>
      <c r="G920" s="7" t="inlineStr">
        <is>
          <t>P-8a</t>
        </is>
      </c>
      <c r="H920" s="7" t="inlineStr">
        <is>
          <t>Electronics</t>
        </is>
      </c>
      <c r="I920" s="14" t="n">
        <v>5</v>
      </c>
      <c r="J920" s="7" t="inlineStr">
        <is>
          <t>RCOH</t>
        </is>
      </c>
      <c r="K920" s="13" t="inlineStr">
        <is>
          <t>USN</t>
        </is>
      </c>
      <c r="L920" s="7" t="inlineStr">
        <is>
          <t>Combatant Ships</t>
        </is>
      </c>
      <c r="M920" s="7" t="inlineStr">
        <is>
          <t>Aircraft Carriers</t>
        </is>
      </c>
      <c r="N920" s="7" t="inlineStr">
        <is>
          <t>CVN</t>
        </is>
      </c>
      <c r="O920" s="15" t="n"/>
      <c r="P920" s="16" t="n">
        <v>14654</v>
      </c>
      <c r="S920" s="16" t="n">
        <v>16459</v>
      </c>
      <c r="U920" s="16" t="n">
        <v>16459</v>
      </c>
      <c r="AC920" s="23">
        <f>IF(OR(E920="",E920="[PARENT]"),"ADD",IF(E920="[ALT_VIEW]","ALT",""))</f>
        <v/>
      </c>
      <c r="AD920" s="21">
        <f>IF(Y920&lt;&gt;"",Y920,IF(U920&lt;&gt;"",U920,S920))</f>
        <v/>
      </c>
      <c r="AE920" s="21">
        <f>IF(AB920&lt;&gt;"",AB920,Z920)</f>
        <v/>
      </c>
      <c r="AF920" s="13" t="inlineStr">
        <is>
          <t>P-8a &gt; CVN Refueling Overhauls &gt; Electronics &gt; AN/SPN-50(V)1 - AIR TRAFFIC CONTROL RADAR 1</t>
        </is>
      </c>
      <c r="AG920" s="7" t="inlineStr">
        <is>
          <t>181</t>
        </is>
      </c>
      <c r="AH920" s="7" t="inlineStr">
        <is>
          <t>2086</t>
        </is>
      </c>
      <c r="AJ920" s="7" t="inlineStr">
        <is>
          <t>AN/SPN-50(V)1 - AIR TRAFFIC CONTROL RADAR</t>
        </is>
      </c>
    </row>
    <row r="921" ht="10" customHeight="1">
      <c r="A921" s="7" t="inlineStr">
        <is>
          <t>SCN</t>
        </is>
      </c>
      <c r="B921" s="7" t="inlineStr">
        <is>
          <t>Procurement</t>
        </is>
      </c>
      <c r="D921" s="7" t="inlineStr">
        <is>
          <t>CVN Refueling Overhauls - P-8a Electronics - AN/SPN-46 OVERHAUL/UPGRADE 1</t>
        </is>
      </c>
      <c r="E921" s="13" t="inlineStr">
        <is>
          <t>[ALT_VIEW]</t>
        </is>
      </c>
      <c r="F921" s="7" t="inlineStr">
        <is>
          <t>2086 / CVN Refueling Overhauls</t>
        </is>
      </c>
      <c r="G921" s="7" t="inlineStr">
        <is>
          <t>P-8a</t>
        </is>
      </c>
      <c r="H921" s="7" t="inlineStr">
        <is>
          <t>Electronics</t>
        </is>
      </c>
      <c r="I921" s="14" t="n">
        <v>5</v>
      </c>
      <c r="J921" s="7" t="inlineStr">
        <is>
          <t>RCOH</t>
        </is>
      </c>
      <c r="K921" s="13" t="inlineStr">
        <is>
          <t>USN</t>
        </is>
      </c>
      <c r="L921" s="7" t="inlineStr">
        <is>
          <t>Combatant Ships</t>
        </is>
      </c>
      <c r="M921" s="7" t="inlineStr">
        <is>
          <t>Aircraft Carriers</t>
        </is>
      </c>
      <c r="N921" s="7" t="inlineStr">
        <is>
          <t>CVN</t>
        </is>
      </c>
      <c r="O921" s="15" t="n"/>
      <c r="P921" s="16" t="n">
        <v>9077</v>
      </c>
      <c r="S921" s="16" t="n">
        <v>11551</v>
      </c>
      <c r="U921" s="16" t="n">
        <v>11551</v>
      </c>
      <c r="AC921" s="23">
        <f>IF(OR(E921="",E921="[PARENT]"),"ADD",IF(E921="[ALT_VIEW]","ALT",""))</f>
        <v/>
      </c>
      <c r="AD921" s="21">
        <f>IF(Y921&lt;&gt;"",Y921,IF(U921&lt;&gt;"",U921,S921))</f>
        <v/>
      </c>
      <c r="AE921" s="21">
        <f>IF(AB921&lt;&gt;"",AB921,Z921)</f>
        <v/>
      </c>
      <c r="AF921" s="13" t="inlineStr">
        <is>
          <t>P-8a &gt; CVN Refueling Overhauls &gt; Electronics &gt; AN/SPN-46 OVERHAUL/UPGRADE 1</t>
        </is>
      </c>
      <c r="AG921" s="7" t="inlineStr">
        <is>
          <t>181</t>
        </is>
      </c>
      <c r="AH921" s="7" t="inlineStr">
        <is>
          <t>2086</t>
        </is>
      </c>
      <c r="AJ921" s="7" t="inlineStr">
        <is>
          <t>AN/SPN-46 OVERHAUL/UPGRADE</t>
        </is>
      </c>
    </row>
    <row r="922" ht="10" customHeight="1">
      <c r="A922" s="7" t="inlineStr">
        <is>
          <t>SCN</t>
        </is>
      </c>
      <c r="B922" s="7" t="inlineStr">
        <is>
          <t>Procurement</t>
        </is>
      </c>
      <c r="D922" s="7" t="inlineStr">
        <is>
          <t>CVN Refueling Overhauls - P-8a Electronics - SATELLITE SIGNAL LANDING SYSTEM (SSLS) 1</t>
        </is>
      </c>
      <c r="E922" s="13" t="inlineStr">
        <is>
          <t>[ALT_VIEW]</t>
        </is>
      </c>
      <c r="F922" s="7" t="inlineStr">
        <is>
          <t>2086 / CVN Refueling Overhauls</t>
        </is>
      </c>
      <c r="G922" s="7" t="inlineStr">
        <is>
          <t>P-8a</t>
        </is>
      </c>
      <c r="H922" s="7" t="inlineStr">
        <is>
          <t>Electronics</t>
        </is>
      </c>
      <c r="I922" s="14" t="n">
        <v>5</v>
      </c>
      <c r="J922" s="7" t="inlineStr">
        <is>
          <t>RCOH</t>
        </is>
      </c>
      <c r="K922" s="13" t="inlineStr">
        <is>
          <t>USN</t>
        </is>
      </c>
      <c r="L922" s="7" t="inlineStr">
        <is>
          <t>Combatant Ships</t>
        </is>
      </c>
      <c r="M922" s="7" t="inlineStr">
        <is>
          <t>Aircraft Carriers</t>
        </is>
      </c>
      <c r="N922" s="7" t="inlineStr">
        <is>
          <t>CVN</t>
        </is>
      </c>
      <c r="O922" s="15" t="n"/>
      <c r="P922" s="16" t="n">
        <v>11880</v>
      </c>
      <c r="S922" s="16" t="n">
        <v>4558</v>
      </c>
      <c r="U922" s="16" t="n">
        <v>4558</v>
      </c>
      <c r="AC922" s="23">
        <f>IF(OR(E922="",E922="[PARENT]"),"ADD",IF(E922="[ALT_VIEW]","ALT",""))</f>
        <v/>
      </c>
      <c r="AD922" s="21">
        <f>IF(Y922&lt;&gt;"",Y922,IF(U922&lt;&gt;"",U922,S922))</f>
        <v/>
      </c>
      <c r="AE922" s="21">
        <f>IF(AB922&lt;&gt;"",AB922,Z922)</f>
        <v/>
      </c>
      <c r="AF922" s="13" t="inlineStr">
        <is>
          <t>P-8a &gt; CVN Refueling Overhauls &gt; Electronics &gt; SATELLITE SIGNAL LANDING SYSTEM (SSLS) 1</t>
        </is>
      </c>
      <c r="AG922" s="7" t="inlineStr">
        <is>
          <t>181</t>
        </is>
      </c>
      <c r="AH922" s="7" t="inlineStr">
        <is>
          <t>2086</t>
        </is>
      </c>
      <c r="AJ922" s="7" t="inlineStr">
        <is>
          <t>SATELLITE SIGNAL LANDING SYSTEM (SSLS)</t>
        </is>
      </c>
    </row>
    <row r="923" ht="10" customHeight="1">
      <c r="A923" s="7" t="inlineStr">
        <is>
          <t>SCN</t>
        </is>
      </c>
      <c r="B923" s="7" t="inlineStr">
        <is>
          <t>Procurement</t>
        </is>
      </c>
      <c r="D923" s="7" t="inlineStr">
        <is>
          <t>CVN Refueling Overhauls - P-8a Electronics - AN/USG-2B - COOPERATIVE ENGAGEMENT CAPABILITY (CEC) 1</t>
        </is>
      </c>
      <c r="E923" s="13" t="inlineStr">
        <is>
          <t>[ALT_VIEW]</t>
        </is>
      </c>
      <c r="F923" s="7" t="inlineStr">
        <is>
          <t>2086 / CVN Refueling Overhauls</t>
        </is>
      </c>
      <c r="G923" s="7" t="inlineStr">
        <is>
          <t>P-8a</t>
        </is>
      </c>
      <c r="H923" s="7" t="inlineStr">
        <is>
          <t>Electronics</t>
        </is>
      </c>
      <c r="I923" s="14" t="n">
        <v>5</v>
      </c>
      <c r="J923" s="7" t="inlineStr">
        <is>
          <t>RCOH</t>
        </is>
      </c>
      <c r="K923" s="13" t="inlineStr">
        <is>
          <t>USN</t>
        </is>
      </c>
      <c r="L923" s="7" t="inlineStr">
        <is>
          <t>Combatant Ships</t>
        </is>
      </c>
      <c r="M923" s="7" t="inlineStr">
        <is>
          <t>Aircraft Carriers</t>
        </is>
      </c>
      <c r="N923" s="7" t="inlineStr">
        <is>
          <t>CVN</t>
        </is>
      </c>
      <c r="O923" s="15" t="n"/>
      <c r="P923" s="16" t="n">
        <v>9693</v>
      </c>
      <c r="S923" s="16" t="n">
        <v>12507</v>
      </c>
      <c r="U923" s="16" t="n">
        <v>12507</v>
      </c>
      <c r="AC923" s="23">
        <f>IF(OR(E923="",E923="[PARENT]"),"ADD",IF(E923="[ALT_VIEW]","ALT",""))</f>
        <v/>
      </c>
      <c r="AD923" s="21">
        <f>IF(Y923&lt;&gt;"",Y923,IF(U923&lt;&gt;"",U923,S923))</f>
        <v/>
      </c>
      <c r="AE923" s="21">
        <f>IF(AB923&lt;&gt;"",AB923,Z923)</f>
        <v/>
      </c>
      <c r="AF923" s="13" t="inlineStr">
        <is>
          <t>P-8a &gt; CVN Refueling Overhauls &gt; Electronics &gt; AN/USG-2B - COOPERATIVE ENGAGEMENT CAPABILITY (CEC) 1</t>
        </is>
      </c>
      <c r="AG923" s="7" t="inlineStr">
        <is>
          <t>181</t>
        </is>
      </c>
      <c r="AH923" s="7" t="inlineStr">
        <is>
          <t>2086</t>
        </is>
      </c>
      <c r="AJ923" s="7" t="inlineStr">
        <is>
          <t>AN/USG-2B - COOPERATIVE ENGAGEMENT CAPABILITY (CEC)</t>
        </is>
      </c>
    </row>
    <row r="924" ht="10" customHeight="1">
      <c r="A924" s="7" t="inlineStr">
        <is>
          <t>SCN</t>
        </is>
      </c>
      <c r="B924" s="7" t="inlineStr">
        <is>
          <t>Procurement</t>
        </is>
      </c>
      <c r="D924" s="7" t="inlineStr">
        <is>
          <t>CVN Refueling Overhauls - P-8a Electronics - AN/SPN-41 REFURBISHMENT 1</t>
        </is>
      </c>
      <c r="E924" s="13" t="inlineStr">
        <is>
          <t>[ALT_VIEW]</t>
        </is>
      </c>
      <c r="F924" s="7" t="inlineStr">
        <is>
          <t>2086 / CVN Refueling Overhauls</t>
        </is>
      </c>
      <c r="G924" s="7" t="inlineStr">
        <is>
          <t>P-8a</t>
        </is>
      </c>
      <c r="H924" s="7" t="inlineStr">
        <is>
          <t>Electronics</t>
        </is>
      </c>
      <c r="I924" s="14" t="n">
        <v>5</v>
      </c>
      <c r="J924" s="7" t="inlineStr">
        <is>
          <t>RCOH</t>
        </is>
      </c>
      <c r="K924" s="13" t="inlineStr">
        <is>
          <t>USN</t>
        </is>
      </c>
      <c r="L924" s="7" t="inlineStr">
        <is>
          <t>Combatant Ships</t>
        </is>
      </c>
      <c r="M924" s="7" t="inlineStr">
        <is>
          <t>Aircraft Carriers</t>
        </is>
      </c>
      <c r="N924" s="7" t="inlineStr">
        <is>
          <t>CVN</t>
        </is>
      </c>
      <c r="O924" s="15" t="n"/>
      <c r="P924" s="16" t="n">
        <v>5553</v>
      </c>
      <c r="S924" s="16" t="n">
        <v>4092</v>
      </c>
      <c r="U924" s="16" t="n">
        <v>4092</v>
      </c>
      <c r="AC924" s="23">
        <f>IF(OR(E924="",E924="[PARENT]"),"ADD",IF(E924="[ALT_VIEW]","ALT",""))</f>
        <v/>
      </c>
      <c r="AD924" s="21">
        <f>IF(Y924&lt;&gt;"",Y924,IF(U924&lt;&gt;"",U924,S924))</f>
        <v/>
      </c>
      <c r="AE924" s="21">
        <f>IF(AB924&lt;&gt;"",AB924,Z924)</f>
        <v/>
      </c>
      <c r="AF924" s="13" t="inlineStr">
        <is>
          <t>P-8a &gt; CVN Refueling Overhauls &gt; Electronics &gt; AN/SPN-41 REFURBISHMENT 1</t>
        </is>
      </c>
      <c r="AG924" s="7" t="inlineStr">
        <is>
          <t>181</t>
        </is>
      </c>
      <c r="AH924" s="7" t="inlineStr">
        <is>
          <t>2086</t>
        </is>
      </c>
      <c r="AJ924" s="7" t="inlineStr">
        <is>
          <t>AN/SPN-41 REFURBISHMENT</t>
        </is>
      </c>
    </row>
    <row r="925" ht="10" customHeight="1">
      <c r="A925" s="7" t="inlineStr">
        <is>
          <t>SCN</t>
        </is>
      </c>
      <c r="B925" s="7" t="inlineStr">
        <is>
          <t>Procurement</t>
        </is>
      </c>
      <c r="D925" s="7" t="inlineStr">
        <is>
          <t>CVN Refueling Overhauls - P-8a Electronics - UNMANNED AVIATION WARFARE CENTER (UAWC) 0 - 1</t>
        </is>
      </c>
      <c r="E925" s="13" t="inlineStr">
        <is>
          <t>[ALT_VIEW]</t>
        </is>
      </c>
      <c r="F925" s="7" t="inlineStr">
        <is>
          <t>2086 / CVN Refueling Overhauls</t>
        </is>
      </c>
      <c r="G925" s="7" t="inlineStr">
        <is>
          <t>P-8a</t>
        </is>
      </c>
      <c r="H925" s="7" t="inlineStr">
        <is>
          <t>Electronics</t>
        </is>
      </c>
      <c r="I925" s="14" t="n">
        <v>5</v>
      </c>
      <c r="J925" s="7" t="inlineStr">
        <is>
          <t>RCOH</t>
        </is>
      </c>
      <c r="K925" s="13" t="inlineStr">
        <is>
          <t>USN</t>
        </is>
      </c>
      <c r="L925" s="7" t="inlineStr">
        <is>
          <t>Combatant Ships</t>
        </is>
      </c>
      <c r="M925" s="7" t="inlineStr">
        <is>
          <t>Aircraft Carriers</t>
        </is>
      </c>
      <c r="N925" s="7" t="inlineStr">
        <is>
          <t>CVN</t>
        </is>
      </c>
      <c r="O925" s="15" t="n"/>
      <c r="S925" s="16" t="n">
        <v>58830</v>
      </c>
      <c r="U925" s="16" t="n">
        <v>58830</v>
      </c>
      <c r="AC925" s="23">
        <f>IF(OR(E925="",E925="[PARENT]"),"ADD",IF(E925="[ALT_VIEW]","ALT",""))</f>
        <v/>
      </c>
      <c r="AD925" s="21">
        <f>IF(Y925&lt;&gt;"",Y925,IF(U925&lt;&gt;"",U925,S925))</f>
        <v/>
      </c>
      <c r="AE925" s="21">
        <f>IF(AB925&lt;&gt;"",AB925,Z925)</f>
        <v/>
      </c>
      <c r="AF925" s="13" t="inlineStr">
        <is>
          <t>P-8a &gt; CVN Refueling Overhauls &gt; Electronics &gt; UNMANNED AVIATION WARFARE CENTER (UAWC) 0 - 1</t>
        </is>
      </c>
      <c r="AG925" s="7" t="inlineStr">
        <is>
          <t>181</t>
        </is>
      </c>
      <c r="AH925" s="7" t="inlineStr">
        <is>
          <t>2086</t>
        </is>
      </c>
      <c r="AJ925" s="7" t="inlineStr">
        <is>
          <t>UNMANNED AVIATION WARFARE CENTER (UAWC)</t>
        </is>
      </c>
    </row>
    <row r="926" ht="10" customHeight="1">
      <c r="A926" s="7" t="inlineStr">
        <is>
          <t>SCN</t>
        </is>
      </c>
      <c r="B926" s="7" t="inlineStr">
        <is>
          <t>Procurement</t>
        </is>
      </c>
      <c r="D926" s="7" t="inlineStr">
        <is>
          <t>CVN Refueling Overhauls - P-8a Electronics - AN/UPX-29 - IDENTIFICATION FRIEND OR FOE (IFF) INTERROGATOR SET 1</t>
        </is>
      </c>
      <c r="E926" s="13" t="inlineStr">
        <is>
          <t>[ALT_VIEW]</t>
        </is>
      </c>
      <c r="F926" s="7" t="inlineStr">
        <is>
          <t>2086 / CVN Refueling Overhauls</t>
        </is>
      </c>
      <c r="G926" s="7" t="inlineStr">
        <is>
          <t>P-8a</t>
        </is>
      </c>
      <c r="H926" s="7" t="inlineStr">
        <is>
          <t>Electronics</t>
        </is>
      </c>
      <c r="I926" s="14" t="n">
        <v>5</v>
      </c>
      <c r="J926" s="7" t="inlineStr">
        <is>
          <t>RCOH</t>
        </is>
      </c>
      <c r="K926" s="13" t="inlineStr">
        <is>
          <t>USN</t>
        </is>
      </c>
      <c r="L926" s="7" t="inlineStr">
        <is>
          <t>Combatant Ships</t>
        </is>
      </c>
      <c r="M926" s="7" t="inlineStr">
        <is>
          <t>Aircraft Carriers</t>
        </is>
      </c>
      <c r="N926" s="7" t="inlineStr">
        <is>
          <t>CVN</t>
        </is>
      </c>
      <c r="O926" s="15" t="n"/>
      <c r="P926" s="16" t="n">
        <v>5645</v>
      </c>
      <c r="S926" s="16" t="n">
        <v>5270</v>
      </c>
      <c r="U926" s="16" t="n">
        <v>5270</v>
      </c>
      <c r="AC926" s="23">
        <f>IF(OR(E926="",E926="[PARENT]"),"ADD",IF(E926="[ALT_VIEW]","ALT",""))</f>
        <v/>
      </c>
      <c r="AD926" s="21">
        <f>IF(Y926&lt;&gt;"",Y926,IF(U926&lt;&gt;"",U926,S926))</f>
        <v/>
      </c>
      <c r="AE926" s="21">
        <f>IF(AB926&lt;&gt;"",AB926,Z926)</f>
        <v/>
      </c>
      <c r="AF926" s="13" t="inlineStr">
        <is>
          <t>P-8a &gt; CVN Refueling Overhauls &gt; Electronics &gt; AN/UPX-29 - IDENTIFICATION FRIEND OR FOE (IFF) INTERROGATOR SET 1</t>
        </is>
      </c>
      <c r="AG926" s="7" t="inlineStr">
        <is>
          <t>181</t>
        </is>
      </c>
      <c r="AH926" s="7" t="inlineStr">
        <is>
          <t>2086</t>
        </is>
      </c>
      <c r="AJ926" s="7" t="inlineStr">
        <is>
          <t>AN/UPX-29 - IDENTIFICATION FRIEND OR FOE (IFF) INTERROGATOR SET</t>
        </is>
      </c>
    </row>
    <row r="927" ht="10" customHeight="1">
      <c r="A927" s="7" t="inlineStr">
        <is>
          <t>SCN</t>
        </is>
      </c>
      <c r="B927" s="7" t="inlineStr">
        <is>
          <t>Procurement</t>
        </is>
      </c>
      <c r="D927" s="7" t="inlineStr">
        <is>
          <t>CVN Refueling Overhauls - P-8a Electronics - NAVAL STRIKE WARFARE PLANNING CENTER (NSWPC) 1</t>
        </is>
      </c>
      <c r="E927" s="13" t="inlineStr">
        <is>
          <t>[ALT_VIEW]</t>
        </is>
      </c>
      <c r="F927" s="7" t="inlineStr">
        <is>
          <t>2086 / CVN Refueling Overhauls</t>
        </is>
      </c>
      <c r="G927" s="7" t="inlineStr">
        <is>
          <t>P-8a</t>
        </is>
      </c>
      <c r="H927" s="7" t="inlineStr">
        <is>
          <t>Electronics</t>
        </is>
      </c>
      <c r="I927" s="14" t="n">
        <v>5</v>
      </c>
      <c r="J927" s="7" t="inlineStr">
        <is>
          <t>RCOH</t>
        </is>
      </c>
      <c r="K927" s="13" t="inlineStr">
        <is>
          <t>USN</t>
        </is>
      </c>
      <c r="L927" s="7" t="inlineStr">
        <is>
          <t>Combatant Ships</t>
        </is>
      </c>
      <c r="M927" s="7" t="inlineStr">
        <is>
          <t>Aircraft Carriers</t>
        </is>
      </c>
      <c r="N927" s="7" t="inlineStr">
        <is>
          <t>CVN</t>
        </is>
      </c>
      <c r="O927" s="15" t="n"/>
      <c r="P927" s="16" t="n">
        <v>5194</v>
      </c>
      <c r="S927" s="16" t="n">
        <v>8691</v>
      </c>
      <c r="U927" s="16" t="n">
        <v>8691</v>
      </c>
      <c r="AC927" s="23">
        <f>IF(OR(E927="",E927="[PARENT]"),"ADD",IF(E927="[ALT_VIEW]","ALT",""))</f>
        <v/>
      </c>
      <c r="AD927" s="21">
        <f>IF(Y927&lt;&gt;"",Y927,IF(U927&lt;&gt;"",U927,S927))</f>
        <v/>
      </c>
      <c r="AE927" s="21">
        <f>IF(AB927&lt;&gt;"",AB927,Z927)</f>
        <v/>
      </c>
      <c r="AF927" s="13" t="inlineStr">
        <is>
          <t>P-8a &gt; CVN Refueling Overhauls &gt; Electronics &gt; NAVAL STRIKE WARFARE PLANNING CENTER (NSWPC) 1</t>
        </is>
      </c>
      <c r="AG927" s="7" t="inlineStr">
        <is>
          <t>181</t>
        </is>
      </c>
      <c r="AH927" s="7" t="inlineStr">
        <is>
          <t>2086</t>
        </is>
      </c>
      <c r="AJ927" s="7" t="inlineStr">
        <is>
          <t>NAVAL STRIKE WARFARE PLANNING CENTER (NSWPC)</t>
        </is>
      </c>
    </row>
    <row r="928" ht="10" customHeight="1">
      <c r="A928" s="7" t="inlineStr">
        <is>
          <t>SCN</t>
        </is>
      </c>
      <c r="B928" s="7" t="inlineStr">
        <is>
          <t>Procurement</t>
        </is>
      </c>
      <c r="D928" s="7" t="inlineStr">
        <is>
          <t>CVN Refueling Overhauls - P-8a Electronics - OPERATIONS (MAGOPS) 1</t>
        </is>
      </c>
      <c r="E928" s="13" t="inlineStr">
        <is>
          <t>[ALT_VIEW]</t>
        </is>
      </c>
      <c r="F928" s="7" t="inlineStr">
        <is>
          <t>2086 / CVN Refueling Overhauls</t>
        </is>
      </c>
      <c r="G928" s="7" t="inlineStr">
        <is>
          <t>P-8a</t>
        </is>
      </c>
      <c r="H928" s="7" t="inlineStr">
        <is>
          <t>Electronics</t>
        </is>
      </c>
      <c r="I928" s="14" t="n">
        <v>5</v>
      </c>
      <c r="J928" s="7" t="inlineStr">
        <is>
          <t>RCOH</t>
        </is>
      </c>
      <c r="K928" s="13" t="inlineStr">
        <is>
          <t>USN</t>
        </is>
      </c>
      <c r="L928" s="7" t="inlineStr">
        <is>
          <t>Combatant Ships</t>
        </is>
      </c>
      <c r="M928" s="7" t="inlineStr">
        <is>
          <t>Aircraft Carriers</t>
        </is>
      </c>
      <c r="N928" s="7" t="inlineStr">
        <is>
          <t>CVN</t>
        </is>
      </c>
      <c r="O928" s="15" t="n"/>
      <c r="P928" s="16" t="n">
        <v>5743</v>
      </c>
      <c r="S928" s="16" t="n">
        <v>4688</v>
      </c>
      <c r="U928" s="16" t="n">
        <v>4688</v>
      </c>
      <c r="AC928" s="23">
        <f>IF(OR(E928="",E928="[PARENT]"),"ADD",IF(E928="[ALT_VIEW]","ALT",""))</f>
        <v/>
      </c>
      <c r="AD928" s="21">
        <f>IF(Y928&lt;&gt;"",Y928,IF(U928&lt;&gt;"",U928,S928))</f>
        <v/>
      </c>
      <c r="AE928" s="21">
        <f>IF(AB928&lt;&gt;"",AB928,Z928)</f>
        <v/>
      </c>
      <c r="AF928" s="13" t="inlineStr">
        <is>
          <t>P-8a &gt; CVN Refueling Overhauls &gt; Electronics &gt; OPERATIONS (MAGOPS) 1</t>
        </is>
      </c>
      <c r="AG928" s="7" t="inlineStr">
        <is>
          <t>181</t>
        </is>
      </c>
      <c r="AH928" s="7" t="inlineStr">
        <is>
          <t>2086</t>
        </is>
      </c>
    </row>
    <row r="929" ht="10" customHeight="1">
      <c r="A929" s="7" t="inlineStr">
        <is>
          <t>SCN</t>
        </is>
      </c>
      <c r="B929" s="7" t="inlineStr">
        <is>
          <t>Procurement</t>
        </is>
      </c>
      <c r="D929" s="7" t="inlineStr">
        <is>
          <t>CVN Refueling Overhauls - P-8a Electronics - AN/SYY-1 - AIR TRAFFIC CONTROL SYSTEM 1</t>
        </is>
      </c>
      <c r="E929" s="13" t="inlineStr">
        <is>
          <t>[ALT_VIEW]</t>
        </is>
      </c>
      <c r="F929" s="7" t="inlineStr">
        <is>
          <t>2086 / CVN Refueling Overhauls</t>
        </is>
      </c>
      <c r="G929" s="7" t="inlineStr">
        <is>
          <t>P-8a</t>
        </is>
      </c>
      <c r="H929" s="7" t="inlineStr">
        <is>
          <t>Electronics</t>
        </is>
      </c>
      <c r="I929" s="14" t="n">
        <v>5</v>
      </c>
      <c r="J929" s="7" t="inlineStr">
        <is>
          <t>RCOH</t>
        </is>
      </c>
      <c r="K929" s="13" t="inlineStr">
        <is>
          <t>USN</t>
        </is>
      </c>
      <c r="L929" s="7" t="inlineStr">
        <is>
          <t>Combatant Ships</t>
        </is>
      </c>
      <c r="M929" s="7" t="inlineStr">
        <is>
          <t>Aircraft Carriers</t>
        </is>
      </c>
      <c r="N929" s="7" t="inlineStr">
        <is>
          <t>CVN</t>
        </is>
      </c>
      <c r="O929" s="15" t="n"/>
      <c r="P929" s="16" t="n">
        <v>3805</v>
      </c>
      <c r="S929" s="16" t="n">
        <v>1943</v>
      </c>
      <c r="U929" s="16" t="n">
        <v>1943</v>
      </c>
      <c r="AC929" s="23">
        <f>IF(OR(E929="",E929="[PARENT]"),"ADD",IF(E929="[ALT_VIEW]","ALT",""))</f>
        <v/>
      </c>
      <c r="AD929" s="21">
        <f>IF(Y929&lt;&gt;"",Y929,IF(U929&lt;&gt;"",U929,S929))</f>
        <v/>
      </c>
      <c r="AE929" s="21">
        <f>IF(AB929&lt;&gt;"",AB929,Z929)</f>
        <v/>
      </c>
      <c r="AF929" s="13" t="inlineStr">
        <is>
          <t>P-8a &gt; CVN Refueling Overhauls &gt; Electronics &gt; AN/SYY-1 - AIR TRAFFIC CONTROL SYSTEM 1</t>
        </is>
      </c>
      <c r="AG929" s="7" t="inlineStr">
        <is>
          <t>181</t>
        </is>
      </c>
      <c r="AH929" s="7" t="inlineStr">
        <is>
          <t>2086</t>
        </is>
      </c>
      <c r="AJ929" s="7" t="inlineStr">
        <is>
          <t>AN/SYY-1 - AIR TRAFFIC CONTROL SYSTEM</t>
        </is>
      </c>
    </row>
    <row r="930" ht="10" customHeight="1">
      <c r="A930" s="7" t="inlineStr">
        <is>
          <t>SCN</t>
        </is>
      </c>
      <c r="B930" s="7" t="inlineStr">
        <is>
          <t>Procurement</t>
        </is>
      </c>
      <c r="D930" s="7" t="inlineStr">
        <is>
          <t>CVN Refueling Overhauls - P-8a Electronics - TEST &amp; CERTIFICATIONS, MISCELLANEOUS GFE</t>
        </is>
      </c>
      <c r="E930" s="13" t="inlineStr">
        <is>
          <t>[ALT_VIEW]</t>
        </is>
      </c>
      <c r="F930" s="7" t="inlineStr">
        <is>
          <t>2086 / CVN Refueling Overhauls</t>
        </is>
      </c>
      <c r="G930" s="7" t="inlineStr">
        <is>
          <t>P-8a</t>
        </is>
      </c>
      <c r="H930" s="7" t="inlineStr">
        <is>
          <t>Electronics</t>
        </is>
      </c>
      <c r="I930" s="14" t="n">
        <v>5</v>
      </c>
      <c r="J930" s="7" t="inlineStr">
        <is>
          <t>RCOH</t>
        </is>
      </c>
      <c r="K930" s="13" t="inlineStr">
        <is>
          <t>USN</t>
        </is>
      </c>
      <c r="L930" s="7" t="inlineStr">
        <is>
          <t>Combatant Ships</t>
        </is>
      </c>
      <c r="M930" s="7" t="inlineStr">
        <is>
          <t>Aircraft Carriers</t>
        </is>
      </c>
      <c r="N930" s="7" t="inlineStr">
        <is>
          <t>CVN</t>
        </is>
      </c>
      <c r="O930" s="15" t="n"/>
      <c r="P930" s="16" t="n">
        <v>11168</v>
      </c>
      <c r="S930" s="16" t="n">
        <v>10710</v>
      </c>
      <c r="U930" s="16" t="n">
        <v>10710</v>
      </c>
      <c r="AC930" s="23">
        <f>IF(OR(E930="",E930="[PARENT]"),"ADD",IF(E930="[ALT_VIEW]","ALT",""))</f>
        <v/>
      </c>
      <c r="AD930" s="21">
        <f>IF(Y930&lt;&gt;"",Y930,IF(U930&lt;&gt;"",U930,S930))</f>
        <v/>
      </c>
      <c r="AE930" s="21">
        <f>IF(AB930&lt;&gt;"",AB930,Z930)</f>
        <v/>
      </c>
      <c r="AF930" s="13" t="inlineStr">
        <is>
          <t>P-8a &gt; CVN Refueling Overhauls &gt; Electronics &gt; TEST &amp; CERTIFICATIONS, MISCELLANEOUS GFE</t>
        </is>
      </c>
      <c r="AG930" s="7" t="inlineStr">
        <is>
          <t>181</t>
        </is>
      </c>
      <c r="AH930" s="7" t="inlineStr">
        <is>
          <t>2086</t>
        </is>
      </c>
      <c r="AJ930" s="7" t="inlineStr">
        <is>
          <t>TEST &amp; CERTIFICATIONS, MISCELLANEOUS GFE</t>
        </is>
      </c>
    </row>
    <row r="931" ht="10" customHeight="1">
      <c r="A931" s="7" t="inlineStr">
        <is>
          <t>SCN</t>
        </is>
      </c>
      <c r="B931" s="7" t="inlineStr">
        <is>
          <t>Procurement</t>
        </is>
      </c>
      <c r="D931" s="7" t="inlineStr">
        <is>
          <t>CVN Refueling Overhauls - P-8a Hull, Mechanical, and Electrical - LOW PRESSURE AIR PLANT (LPAP) 1</t>
        </is>
      </c>
      <c r="E931" s="13" t="inlineStr">
        <is>
          <t>[ALT_VIEW]</t>
        </is>
      </c>
      <c r="F931" s="7" t="inlineStr">
        <is>
          <t>2086 / CVN Refueling Overhauls</t>
        </is>
      </c>
      <c r="G931" s="7" t="inlineStr">
        <is>
          <t>P-8a</t>
        </is>
      </c>
      <c r="H931" s="7" t="inlineStr">
        <is>
          <t>Hull, Mechanical, and Electrical</t>
        </is>
      </c>
      <c r="I931" s="14" t="n">
        <v>5</v>
      </c>
      <c r="J931" s="7" t="inlineStr">
        <is>
          <t>RCOH</t>
        </is>
      </c>
      <c r="K931" s="13" t="inlineStr">
        <is>
          <t>USN</t>
        </is>
      </c>
      <c r="L931" s="7" t="inlineStr">
        <is>
          <t>Combatant Ships</t>
        </is>
      </c>
      <c r="M931" s="7" t="inlineStr">
        <is>
          <t>Aircraft Carriers</t>
        </is>
      </c>
      <c r="N931" s="7" t="inlineStr">
        <is>
          <t>CVN</t>
        </is>
      </c>
      <c r="O931" s="15" t="n"/>
      <c r="P931" s="16" t="n">
        <v>6323</v>
      </c>
      <c r="S931" s="16" t="n">
        <v>100</v>
      </c>
      <c r="U931" s="16" t="n">
        <v>100</v>
      </c>
      <c r="AC931" s="23">
        <f>IF(OR(E931="",E931="[PARENT]"),"ADD",IF(E931="[ALT_VIEW]","ALT",""))</f>
        <v/>
      </c>
      <c r="AD931" s="21">
        <f>IF(Y931&lt;&gt;"",Y931,IF(U931&lt;&gt;"",U931,S931))</f>
        <v/>
      </c>
      <c r="AE931" s="21">
        <f>IF(AB931&lt;&gt;"",AB931,Z931)</f>
        <v/>
      </c>
      <c r="AF931" s="13" t="inlineStr">
        <is>
          <t>P-8a &gt; CVN Refueling Overhauls &gt; Hull, Mechanical, and Electrical &gt; LOW PRESSURE AIR PLANT (LPAP) 1</t>
        </is>
      </c>
      <c r="AG931" s="7" t="inlineStr">
        <is>
          <t>183</t>
        </is>
      </c>
      <c r="AH931" s="7" t="inlineStr">
        <is>
          <t>2086</t>
        </is>
      </c>
      <c r="AJ931" s="7" t="inlineStr">
        <is>
          <t>LOW PRESSURE AIR PLANT (LPAP)</t>
        </is>
      </c>
    </row>
    <row r="932" ht="10" customHeight="1">
      <c r="A932" s="7" t="inlineStr">
        <is>
          <t>SCN</t>
        </is>
      </c>
      <c r="B932" s="7" t="inlineStr">
        <is>
          <t>Procurement</t>
        </is>
      </c>
      <c r="D932" s="7" t="inlineStr">
        <is>
          <t>CVN Refueling Overhauls - P-8a Hull, Mechanical, and Electrical - VSA O2 GENERATOR 1</t>
        </is>
      </c>
      <c r="E932" s="13" t="inlineStr">
        <is>
          <t>[ALT_VIEW]</t>
        </is>
      </c>
      <c r="F932" s="7" t="inlineStr">
        <is>
          <t>2086 / CVN Refueling Overhauls</t>
        </is>
      </c>
      <c r="G932" s="7" t="inlineStr">
        <is>
          <t>P-8a</t>
        </is>
      </c>
      <c r="H932" s="7" t="inlineStr">
        <is>
          <t>Hull, Mechanical, and Electrical</t>
        </is>
      </c>
      <c r="I932" s="14" t="n">
        <v>5</v>
      </c>
      <c r="J932" s="7" t="inlineStr">
        <is>
          <t>RCOH</t>
        </is>
      </c>
      <c r="K932" s="13" t="inlineStr">
        <is>
          <t>USN</t>
        </is>
      </c>
      <c r="L932" s="7" t="inlineStr">
        <is>
          <t>Combatant Ships</t>
        </is>
      </c>
      <c r="M932" s="7" t="inlineStr">
        <is>
          <t>Aircraft Carriers</t>
        </is>
      </c>
      <c r="N932" s="7" t="inlineStr">
        <is>
          <t>CVN</t>
        </is>
      </c>
      <c r="O932" s="15" t="n"/>
      <c r="P932" s="16" t="n">
        <v>4776</v>
      </c>
      <c r="S932" s="16" t="n">
        <v>560</v>
      </c>
      <c r="U932" s="16" t="n">
        <v>560</v>
      </c>
      <c r="AC932" s="23">
        <f>IF(OR(E932="",E932="[PARENT]"),"ADD",IF(E932="[ALT_VIEW]","ALT",""))</f>
        <v/>
      </c>
      <c r="AD932" s="21">
        <f>IF(Y932&lt;&gt;"",Y932,IF(U932&lt;&gt;"",U932,S932))</f>
        <v/>
      </c>
      <c r="AE932" s="21">
        <f>IF(AB932&lt;&gt;"",AB932,Z932)</f>
        <v/>
      </c>
      <c r="AF932" s="13" t="inlineStr">
        <is>
          <t>P-8a &gt; CVN Refueling Overhauls &gt; Hull, Mechanical, and Electrical &gt; VSA O2 GENERATOR 1</t>
        </is>
      </c>
      <c r="AG932" s="7" t="inlineStr">
        <is>
          <t>183</t>
        </is>
      </c>
      <c r="AH932" s="7" t="inlineStr">
        <is>
          <t>2086</t>
        </is>
      </c>
      <c r="AJ932" s="7" t="inlineStr">
        <is>
          <t>VSA O2 GENERATOR</t>
        </is>
      </c>
    </row>
    <row r="933" ht="10" customHeight="1">
      <c r="A933" s="7" t="inlineStr">
        <is>
          <t>SCN</t>
        </is>
      </c>
      <c r="B933" s="7" t="inlineStr">
        <is>
          <t>Procurement</t>
        </is>
      </c>
      <c r="D933" s="7" t="inlineStr">
        <is>
          <t>CVN Refueling Overhauls - P-8a Hull, Mechanical, and Electrical - FOOD SERVICE EQUIPMENT (FSE)</t>
        </is>
      </c>
      <c r="E933" s="13" t="inlineStr">
        <is>
          <t>[ALT_VIEW]</t>
        </is>
      </c>
      <c r="F933" s="7" t="inlineStr">
        <is>
          <t>2086 / CVN Refueling Overhauls</t>
        </is>
      </c>
      <c r="G933" s="7" t="inlineStr">
        <is>
          <t>P-8a</t>
        </is>
      </c>
      <c r="H933" s="7" t="inlineStr">
        <is>
          <t>Hull, Mechanical, and Electrical</t>
        </is>
      </c>
      <c r="I933" s="14" t="n">
        <v>5</v>
      </c>
      <c r="J933" s="7" t="inlineStr">
        <is>
          <t>RCOH</t>
        </is>
      </c>
      <c r="K933" s="13" t="inlineStr">
        <is>
          <t>USN</t>
        </is>
      </c>
      <c r="L933" s="7" t="inlineStr">
        <is>
          <t>Combatant Ships</t>
        </is>
      </c>
      <c r="M933" s="7" t="inlineStr">
        <is>
          <t>Aircraft Carriers</t>
        </is>
      </c>
      <c r="N933" s="7" t="inlineStr">
        <is>
          <t>CVN</t>
        </is>
      </c>
      <c r="O933" s="15" t="n"/>
      <c r="P933" s="16" t="n">
        <v>25077</v>
      </c>
      <c r="S933" s="16" t="n">
        <v>31433</v>
      </c>
      <c r="U933" s="16" t="n">
        <v>31433</v>
      </c>
      <c r="AC933" s="23">
        <f>IF(OR(E933="",E933="[PARENT]"),"ADD",IF(E933="[ALT_VIEW]","ALT",""))</f>
        <v/>
      </c>
      <c r="AD933" s="21">
        <f>IF(Y933&lt;&gt;"",Y933,IF(U933&lt;&gt;"",U933,S933))</f>
        <v/>
      </c>
      <c r="AE933" s="21">
        <f>IF(AB933&lt;&gt;"",AB933,Z933)</f>
        <v/>
      </c>
      <c r="AF933" s="13" t="inlineStr">
        <is>
          <t>P-8a &gt; CVN Refueling Overhauls &gt; Hull, Mechanical, and Electrical &gt; FOOD SERVICE EQUIPMENT (FSE)</t>
        </is>
      </c>
      <c r="AG933" s="7" t="inlineStr">
        <is>
          <t>183</t>
        </is>
      </c>
      <c r="AH933" s="7" t="inlineStr">
        <is>
          <t>2086</t>
        </is>
      </c>
      <c r="AJ933" s="7" t="inlineStr">
        <is>
          <t>FOOD SERVICE EQUIPMENT (FSE)</t>
        </is>
      </c>
    </row>
    <row r="934" ht="10" customHeight="1">
      <c r="A934" s="7" t="inlineStr">
        <is>
          <t>SCN</t>
        </is>
      </c>
      <c r="B934" s="7" t="inlineStr">
        <is>
          <t>Procurement</t>
        </is>
      </c>
      <c r="D934" s="7" t="inlineStr">
        <is>
          <t>CVN Refueling Overhauls - P-8a Hull, Mechanical, and Electrical - NODE ROOM INSTALL 1</t>
        </is>
      </c>
      <c r="E934" s="13" t="inlineStr">
        <is>
          <t>[ALT_VIEW]</t>
        </is>
      </c>
      <c r="F934" s="7" t="inlineStr">
        <is>
          <t>2086 / CVN Refueling Overhauls</t>
        </is>
      </c>
      <c r="G934" s="7" t="inlineStr">
        <is>
          <t>P-8a</t>
        </is>
      </c>
      <c r="H934" s="7" t="inlineStr">
        <is>
          <t>Hull, Mechanical, and Electrical</t>
        </is>
      </c>
      <c r="I934" s="14" t="n">
        <v>5</v>
      </c>
      <c r="J934" s="7" t="inlineStr">
        <is>
          <t>RCOH</t>
        </is>
      </c>
      <c r="K934" s="13" t="inlineStr">
        <is>
          <t>USN</t>
        </is>
      </c>
      <c r="L934" s="7" t="inlineStr">
        <is>
          <t>Combatant Ships</t>
        </is>
      </c>
      <c r="M934" s="7" t="inlineStr">
        <is>
          <t>Aircraft Carriers</t>
        </is>
      </c>
      <c r="N934" s="7" t="inlineStr">
        <is>
          <t>CVN</t>
        </is>
      </c>
      <c r="O934" s="15" t="n"/>
      <c r="P934" s="16" t="n">
        <v>9891</v>
      </c>
      <c r="S934" s="16" t="n">
        <v>13000</v>
      </c>
      <c r="U934" s="16" t="n">
        <v>13000</v>
      </c>
      <c r="AC934" s="23">
        <f>IF(OR(E934="",E934="[PARENT]"),"ADD",IF(E934="[ALT_VIEW]","ALT",""))</f>
        <v/>
      </c>
      <c r="AD934" s="21">
        <f>IF(Y934&lt;&gt;"",Y934,IF(U934&lt;&gt;"",U934,S934))</f>
        <v/>
      </c>
      <c r="AE934" s="21">
        <f>IF(AB934&lt;&gt;"",AB934,Z934)</f>
        <v/>
      </c>
      <c r="AF934" s="13" t="inlineStr">
        <is>
          <t>P-8a &gt; CVN Refueling Overhauls &gt; Hull, Mechanical, and Electrical &gt; NODE ROOM INSTALL 1</t>
        </is>
      </c>
      <c r="AG934" s="7" t="inlineStr">
        <is>
          <t>183</t>
        </is>
      </c>
      <c r="AH934" s="7" t="inlineStr">
        <is>
          <t>2086</t>
        </is>
      </c>
      <c r="AJ934" s="7" t="inlineStr">
        <is>
          <t>NODE ROOM INSTALL</t>
        </is>
      </c>
    </row>
    <row r="935" ht="10" customHeight="1">
      <c r="A935" s="7" t="inlineStr">
        <is>
          <t>SCN</t>
        </is>
      </c>
      <c r="B935" s="7" t="inlineStr">
        <is>
          <t>Procurement</t>
        </is>
      </c>
      <c r="D935" s="7" t="inlineStr">
        <is>
          <t>CVN Refueling Overhauls - P-8a Hull, Mechanical, and Electrical - OPERATOR BALLISTIC PROTECTION FOR CREW SERVED WEAPONS STATIONS 1</t>
        </is>
      </c>
      <c r="E935" s="13" t="inlineStr">
        <is>
          <t>[ALT_VIEW]</t>
        </is>
      </c>
      <c r="F935" s="7" t="inlineStr">
        <is>
          <t>2086 / CVN Refueling Overhauls</t>
        </is>
      </c>
      <c r="G935" s="7" t="inlineStr">
        <is>
          <t>P-8a</t>
        </is>
      </c>
      <c r="H935" s="7" t="inlineStr">
        <is>
          <t>Hull, Mechanical, and Electrical</t>
        </is>
      </c>
      <c r="I935" s="14" t="n">
        <v>5</v>
      </c>
      <c r="J935" s="7" t="inlineStr">
        <is>
          <t>RCOH</t>
        </is>
      </c>
      <c r="K935" s="13" t="inlineStr">
        <is>
          <t>USN</t>
        </is>
      </c>
      <c r="L935" s="7" t="inlineStr">
        <is>
          <t>Combatant Ships</t>
        </is>
      </c>
      <c r="M935" s="7" t="inlineStr">
        <is>
          <t>Aircraft Carriers</t>
        </is>
      </c>
      <c r="N935" s="7" t="inlineStr">
        <is>
          <t>CVN</t>
        </is>
      </c>
      <c r="O935" s="15" t="n"/>
      <c r="P935" s="16" t="n">
        <v>9061</v>
      </c>
      <c r="S935" s="16" t="n">
        <v>8488</v>
      </c>
      <c r="U935" s="16" t="n">
        <v>8488</v>
      </c>
      <c r="AC935" s="23">
        <f>IF(OR(E935="",E935="[PARENT]"),"ADD",IF(E935="[ALT_VIEW]","ALT",""))</f>
        <v/>
      </c>
      <c r="AD935" s="21">
        <f>IF(Y935&lt;&gt;"",Y935,IF(U935&lt;&gt;"",U935,S935))</f>
        <v/>
      </c>
      <c r="AE935" s="21">
        <f>IF(AB935&lt;&gt;"",AB935,Z935)</f>
        <v/>
      </c>
      <c r="AF935" s="13" t="inlineStr">
        <is>
          <t>P-8a &gt; CVN Refueling Overhauls &gt; Hull, Mechanical, and Electrical &gt; OPERATOR BALLISTIC PROTECTION FOR CREW SERVED WEAPONS STATIONS 1</t>
        </is>
      </c>
      <c r="AG935" s="7" t="inlineStr">
        <is>
          <t>183</t>
        </is>
      </c>
      <c r="AH935" s="7" t="inlineStr">
        <is>
          <t>2086</t>
        </is>
      </c>
      <c r="AJ935" s="7" t="inlineStr">
        <is>
          <t>OPERATOR BALLISTIC PROTECTION FOR CREW SERVED WEAPONS STATIONS</t>
        </is>
      </c>
    </row>
    <row r="936" ht="10" customHeight="1">
      <c r="A936" s="7" t="inlineStr">
        <is>
          <t>SCN</t>
        </is>
      </c>
      <c r="B936" s="7" t="inlineStr">
        <is>
          <t>Procurement</t>
        </is>
      </c>
      <c r="D936" s="7" t="inlineStr">
        <is>
          <t>CVN Refueling Overhauls - P-8a Hull, Mechanical, and Electrical - PASSIVE COUNTER MEASURE SYSTEM (PCMS)</t>
        </is>
      </c>
      <c r="E936" s="13" t="inlineStr">
        <is>
          <t>[ALT_VIEW]</t>
        </is>
      </c>
      <c r="F936" s="7" t="inlineStr">
        <is>
          <t>2086 / CVN Refueling Overhauls</t>
        </is>
      </c>
      <c r="G936" s="7" t="inlineStr">
        <is>
          <t>P-8a</t>
        </is>
      </c>
      <c r="H936" s="7" t="inlineStr">
        <is>
          <t>Hull, Mechanical, and Electrical</t>
        </is>
      </c>
      <c r="I936" s="14" t="n">
        <v>5</v>
      </c>
      <c r="J936" s="7" t="inlineStr">
        <is>
          <t>RCOH</t>
        </is>
      </c>
      <c r="K936" s="13" t="inlineStr">
        <is>
          <t>USN</t>
        </is>
      </c>
      <c r="L936" s="7" t="inlineStr">
        <is>
          <t>Combatant Ships</t>
        </is>
      </c>
      <c r="M936" s="7" t="inlineStr">
        <is>
          <t>Aircraft Carriers</t>
        </is>
      </c>
      <c r="N936" s="7" t="inlineStr">
        <is>
          <t>CVN</t>
        </is>
      </c>
      <c r="O936" s="15" t="n"/>
      <c r="S936" s="16" t="n">
        <v>7660</v>
      </c>
      <c r="U936" s="16" t="n">
        <v>7660</v>
      </c>
      <c r="AC936" s="23">
        <f>IF(OR(E936="",E936="[PARENT]"),"ADD",IF(E936="[ALT_VIEW]","ALT",""))</f>
        <v/>
      </c>
      <c r="AD936" s="21">
        <f>IF(Y936&lt;&gt;"",Y936,IF(U936&lt;&gt;"",U936,S936))</f>
        <v/>
      </c>
      <c r="AE936" s="21">
        <f>IF(AB936&lt;&gt;"",AB936,Z936)</f>
        <v/>
      </c>
      <c r="AF936" s="13" t="inlineStr">
        <is>
          <t>P-8a &gt; CVN Refueling Overhauls &gt; Hull, Mechanical, and Electrical &gt; PASSIVE COUNTER MEASURE SYSTEM (PCMS)</t>
        </is>
      </c>
      <c r="AG936" s="7" t="inlineStr">
        <is>
          <t>183</t>
        </is>
      </c>
      <c r="AH936" s="7" t="inlineStr">
        <is>
          <t>2086</t>
        </is>
      </c>
      <c r="AJ936" s="7" t="inlineStr">
        <is>
          <t>PASSIVE COUNTER MEASURE SYSTEM (PCMS)</t>
        </is>
      </c>
    </row>
    <row r="937" ht="10" customHeight="1">
      <c r="A937" s="7" t="inlineStr">
        <is>
          <t>SCN</t>
        </is>
      </c>
      <c r="B937" s="7" t="inlineStr">
        <is>
          <t>Procurement</t>
        </is>
      </c>
      <c r="D937" s="7" t="inlineStr">
        <is>
          <t>CVN Refueling Overhauls - P-8a Hull, Mechanical, and Electrical - COMBAT SYSTEMS SUPPORT CENTER (CSSC) RIPOUT/INSTALL 1</t>
        </is>
      </c>
      <c r="E937" s="13" t="inlineStr">
        <is>
          <t>[ALT_VIEW]</t>
        </is>
      </c>
      <c r="F937" s="7" t="inlineStr">
        <is>
          <t>2086 / CVN Refueling Overhauls</t>
        </is>
      </c>
      <c r="G937" s="7" t="inlineStr">
        <is>
          <t>P-8a</t>
        </is>
      </c>
      <c r="H937" s="7" t="inlineStr">
        <is>
          <t>Hull, Mechanical, and Electrical</t>
        </is>
      </c>
      <c r="I937" s="14" t="n">
        <v>5</v>
      </c>
      <c r="J937" s="7" t="inlineStr">
        <is>
          <t>RCOH</t>
        </is>
      </c>
      <c r="K937" s="13" t="inlineStr">
        <is>
          <t>USN</t>
        </is>
      </c>
      <c r="L937" s="7" t="inlineStr">
        <is>
          <t>Combatant Ships</t>
        </is>
      </c>
      <c r="M937" s="7" t="inlineStr">
        <is>
          <t>Aircraft Carriers</t>
        </is>
      </c>
      <c r="N937" s="7" t="inlineStr">
        <is>
          <t>CVN</t>
        </is>
      </c>
      <c r="O937" s="15" t="n"/>
      <c r="P937" s="16" t="n">
        <v>14776</v>
      </c>
      <c r="S937" s="16" t="n">
        <v>13888</v>
      </c>
      <c r="U937" s="16" t="n">
        <v>13888</v>
      </c>
      <c r="AC937" s="23">
        <f>IF(OR(E937="",E937="[PARENT]"),"ADD",IF(E937="[ALT_VIEW]","ALT",""))</f>
        <v/>
      </c>
      <c r="AD937" s="21">
        <f>IF(Y937&lt;&gt;"",Y937,IF(U937&lt;&gt;"",U937,S937))</f>
        <v/>
      </c>
      <c r="AE937" s="21">
        <f>IF(AB937&lt;&gt;"",AB937,Z937)</f>
        <v/>
      </c>
      <c r="AF937" s="13" t="inlineStr">
        <is>
          <t>P-8a &gt; CVN Refueling Overhauls &gt; Hull, Mechanical, and Electrical &gt; COMBAT SYSTEMS SUPPORT CENTER (CSSC) RIPOUT/INSTALL 1</t>
        </is>
      </c>
      <c r="AG937" s="7" t="inlineStr">
        <is>
          <t>183</t>
        </is>
      </c>
      <c r="AH937" s="7" t="inlineStr">
        <is>
          <t>2086</t>
        </is>
      </c>
      <c r="AJ937" s="7" t="inlineStr">
        <is>
          <t>COMBAT SYSTEMS SUPPORT CENTER (CSSC) RIPOUT/INSTALL</t>
        </is>
      </c>
    </row>
    <row r="938" ht="10" customHeight="1">
      <c r="A938" s="7" t="inlineStr">
        <is>
          <t>SCN</t>
        </is>
      </c>
      <c r="B938" s="7" t="inlineStr">
        <is>
          <t>Procurement</t>
        </is>
      </c>
      <c r="D938" s="7" t="inlineStr">
        <is>
          <t>CVN Refueling Overhauls - P-8a Hull, Mechanical, and Electrical - CARRIER INTELLIGENCE CENTER (CVIC) RIPOUT/INSTALL</t>
        </is>
      </c>
      <c r="E938" s="13" t="inlineStr">
        <is>
          <t>[ALT_VIEW]</t>
        </is>
      </c>
      <c r="F938" s="7" t="inlineStr">
        <is>
          <t>2086 / CVN Refueling Overhauls</t>
        </is>
      </c>
      <c r="G938" s="7" t="inlineStr">
        <is>
          <t>P-8a</t>
        </is>
      </c>
      <c r="H938" s="7" t="inlineStr">
        <is>
          <t>Hull, Mechanical, and Electrical</t>
        </is>
      </c>
      <c r="I938" s="14" t="n">
        <v>5</v>
      </c>
      <c r="J938" s="7" t="inlineStr">
        <is>
          <t>RCOH</t>
        </is>
      </c>
      <c r="K938" s="13" t="inlineStr">
        <is>
          <t>USN</t>
        </is>
      </c>
      <c r="L938" s="7" t="inlineStr">
        <is>
          <t>Combatant Ships</t>
        </is>
      </c>
      <c r="M938" s="7" t="inlineStr">
        <is>
          <t>Aircraft Carriers</t>
        </is>
      </c>
      <c r="N938" s="7" t="inlineStr">
        <is>
          <t>CVN</t>
        </is>
      </c>
      <c r="O938" s="15" t="n"/>
      <c r="P938" s="16" t="n">
        <v>5990</v>
      </c>
      <c r="S938" s="16" t="n">
        <v>5668</v>
      </c>
      <c r="U938" s="16" t="n">
        <v>5668</v>
      </c>
      <c r="AC938" s="23">
        <f>IF(OR(E938="",E938="[PARENT]"),"ADD",IF(E938="[ALT_VIEW]","ALT",""))</f>
        <v/>
      </c>
      <c r="AD938" s="21">
        <f>IF(Y938&lt;&gt;"",Y938,IF(U938&lt;&gt;"",U938,S938))</f>
        <v/>
      </c>
      <c r="AE938" s="21">
        <f>IF(AB938&lt;&gt;"",AB938,Z938)</f>
        <v/>
      </c>
      <c r="AF938" s="13" t="inlineStr">
        <is>
          <t>P-8a &gt; CVN Refueling Overhauls &gt; Hull, Mechanical, and Electrical &gt; CARRIER INTELLIGENCE CENTER (CVIC) RIPOUT/INSTALL</t>
        </is>
      </c>
      <c r="AG938" s="7" t="inlineStr">
        <is>
          <t>183</t>
        </is>
      </c>
      <c r="AH938" s="7" t="inlineStr">
        <is>
          <t>2086</t>
        </is>
      </c>
      <c r="AJ938" s="7" t="inlineStr">
        <is>
          <t>CARRIER INTELLIGENCE CENTER (CVIC) RIPOUT/INSTALL</t>
        </is>
      </c>
    </row>
    <row r="939" ht="10" customHeight="1">
      <c r="A939" s="7" t="inlineStr">
        <is>
          <t>SCN</t>
        </is>
      </c>
      <c r="B939" s="7" t="inlineStr">
        <is>
          <t>Procurement</t>
        </is>
      </c>
      <c r="D939" s="7" t="inlineStr">
        <is>
          <t>CVN Refueling Overhauls - P-8a Hull, Mechanical, and Electrical - MODULAR REFRIGERATION UNIT (MRU) 1</t>
        </is>
      </c>
      <c r="E939" s="13" t="inlineStr">
        <is>
          <t>[ALT_VIEW]</t>
        </is>
      </c>
      <c r="F939" s="7" t="inlineStr">
        <is>
          <t>2086 / CVN Refueling Overhauls</t>
        </is>
      </c>
      <c r="G939" s="7" t="inlineStr">
        <is>
          <t>P-8a</t>
        </is>
      </c>
      <c r="H939" s="7" t="inlineStr">
        <is>
          <t>Hull, Mechanical, and Electrical</t>
        </is>
      </c>
      <c r="I939" s="14" t="n">
        <v>5</v>
      </c>
      <c r="J939" s="7" t="inlineStr">
        <is>
          <t>RCOH</t>
        </is>
      </c>
      <c r="K939" s="13" t="inlineStr">
        <is>
          <t>USN</t>
        </is>
      </c>
      <c r="L939" s="7" t="inlineStr">
        <is>
          <t>Combatant Ships</t>
        </is>
      </c>
      <c r="M939" s="7" t="inlineStr">
        <is>
          <t>Aircraft Carriers</t>
        </is>
      </c>
      <c r="N939" s="7" t="inlineStr">
        <is>
          <t>CVN</t>
        </is>
      </c>
      <c r="O939" s="15" t="n"/>
      <c r="P939" s="16" t="n">
        <v>2607</v>
      </c>
      <c r="S939" s="16" t="n">
        <v>1904</v>
      </c>
      <c r="U939" s="16" t="n">
        <v>1904</v>
      </c>
      <c r="AC939" s="23">
        <f>IF(OR(E939="",E939="[PARENT]"),"ADD",IF(E939="[ALT_VIEW]","ALT",""))</f>
        <v/>
      </c>
      <c r="AD939" s="21">
        <f>IF(Y939&lt;&gt;"",Y939,IF(U939&lt;&gt;"",U939,S939))</f>
        <v/>
      </c>
      <c r="AE939" s="21">
        <f>IF(AB939&lt;&gt;"",AB939,Z939)</f>
        <v/>
      </c>
      <c r="AF939" s="13" t="inlineStr">
        <is>
          <t>P-8a &gt; CVN Refueling Overhauls &gt; Hull, Mechanical, and Electrical &gt; MODULAR REFRIGERATION UNIT (MRU) 1</t>
        </is>
      </c>
      <c r="AG939" s="7" t="inlineStr">
        <is>
          <t>183</t>
        </is>
      </c>
      <c r="AH939" s="7" t="inlineStr">
        <is>
          <t>2086</t>
        </is>
      </c>
      <c r="AJ939" s="7" t="inlineStr">
        <is>
          <t>MODULAR REFRIGERATION UNIT (MRU)</t>
        </is>
      </c>
    </row>
    <row r="940" ht="10" customHeight="1">
      <c r="A940" s="7" t="inlineStr">
        <is>
          <t>SCN</t>
        </is>
      </c>
      <c r="B940" s="7" t="inlineStr">
        <is>
          <t>Procurement</t>
        </is>
      </c>
      <c r="D940" s="7" t="inlineStr">
        <is>
          <t>CVN Refueling Overhauls - P-8a Hull, Mechanical, and Electrical - MEDICAL AND DENTAL SUITE 1</t>
        </is>
      </c>
      <c r="E940" s="13" t="inlineStr">
        <is>
          <t>[ALT_VIEW]</t>
        </is>
      </c>
      <c r="F940" s="7" t="inlineStr">
        <is>
          <t>2086 / CVN Refueling Overhauls</t>
        </is>
      </c>
      <c r="G940" s="7" t="inlineStr">
        <is>
          <t>P-8a</t>
        </is>
      </c>
      <c r="H940" s="7" t="inlineStr">
        <is>
          <t>Hull, Mechanical, and Electrical</t>
        </is>
      </c>
      <c r="I940" s="14" t="n">
        <v>5</v>
      </c>
      <c r="J940" s="7" t="inlineStr">
        <is>
          <t>RCOH</t>
        </is>
      </c>
      <c r="K940" s="13" t="inlineStr">
        <is>
          <t>USN</t>
        </is>
      </c>
      <c r="L940" s="7" t="inlineStr">
        <is>
          <t>Combatant Ships</t>
        </is>
      </c>
      <c r="M940" s="7" t="inlineStr">
        <is>
          <t>Aircraft Carriers</t>
        </is>
      </c>
      <c r="N940" s="7" t="inlineStr">
        <is>
          <t>CVN</t>
        </is>
      </c>
      <c r="O940" s="15" t="n"/>
      <c r="P940" s="16" t="n">
        <v>2351</v>
      </c>
      <c r="S940" s="16" t="n">
        <v>2485</v>
      </c>
      <c r="U940" s="16" t="n">
        <v>2485</v>
      </c>
      <c r="AC940" s="23">
        <f>IF(OR(E940="",E940="[PARENT]"),"ADD",IF(E940="[ALT_VIEW]","ALT",""))</f>
        <v/>
      </c>
      <c r="AD940" s="21">
        <f>IF(Y940&lt;&gt;"",Y940,IF(U940&lt;&gt;"",U940,S940))</f>
        <v/>
      </c>
      <c r="AE940" s="21">
        <f>IF(AB940&lt;&gt;"",AB940,Z940)</f>
        <v/>
      </c>
      <c r="AF940" s="13" t="inlineStr">
        <is>
          <t>P-8a &gt; CVN Refueling Overhauls &gt; Hull, Mechanical, and Electrical &gt; MEDICAL AND DENTAL SUITE 1</t>
        </is>
      </c>
      <c r="AG940" s="7" t="inlineStr">
        <is>
          <t>183</t>
        </is>
      </c>
      <c r="AH940" s="7" t="inlineStr">
        <is>
          <t>2086</t>
        </is>
      </c>
      <c r="AJ940" s="7" t="inlineStr">
        <is>
          <t>MEDICAL AND DENTAL SUITE</t>
        </is>
      </c>
    </row>
    <row r="941" ht="10" customHeight="1">
      <c r="A941" s="7" t="inlineStr">
        <is>
          <t>SCN</t>
        </is>
      </c>
      <c r="B941" s="7" t="inlineStr">
        <is>
          <t>Procurement</t>
        </is>
      </c>
      <c r="D941" s="7" t="inlineStr">
        <is>
          <t>CVN Refueling Overhauls - P-8a Hull, Mechanical, and Electrical - DECK EDGE DOOR 1</t>
        </is>
      </c>
      <c r="E941" s="13" t="inlineStr">
        <is>
          <t>[ALT_VIEW]</t>
        </is>
      </c>
      <c r="F941" s="7" t="inlineStr">
        <is>
          <t>2086 / CVN Refueling Overhauls</t>
        </is>
      </c>
      <c r="G941" s="7" t="inlineStr">
        <is>
          <t>P-8a</t>
        </is>
      </c>
      <c r="H941" s="7" t="inlineStr">
        <is>
          <t>Hull, Mechanical, and Electrical</t>
        </is>
      </c>
      <c r="I941" s="14" t="n">
        <v>5</v>
      </c>
      <c r="J941" s="7" t="inlineStr">
        <is>
          <t>RCOH</t>
        </is>
      </c>
      <c r="K941" s="13" t="inlineStr">
        <is>
          <t>USN</t>
        </is>
      </c>
      <c r="L941" s="7" t="inlineStr">
        <is>
          <t>Combatant Ships</t>
        </is>
      </c>
      <c r="M941" s="7" t="inlineStr">
        <is>
          <t>Aircraft Carriers</t>
        </is>
      </c>
      <c r="N941" s="7" t="inlineStr">
        <is>
          <t>CVN</t>
        </is>
      </c>
      <c r="O941" s="15" t="n"/>
      <c r="P941" s="16" t="n">
        <v>1779</v>
      </c>
      <c r="S941" s="16" t="n">
        <v>2413</v>
      </c>
      <c r="U941" s="16" t="n">
        <v>2413</v>
      </c>
      <c r="AC941" s="23">
        <f>IF(OR(E941="",E941="[PARENT]"),"ADD",IF(E941="[ALT_VIEW]","ALT",""))</f>
        <v/>
      </c>
      <c r="AD941" s="21">
        <f>IF(Y941&lt;&gt;"",Y941,IF(U941&lt;&gt;"",U941,S941))</f>
        <v/>
      </c>
      <c r="AE941" s="21">
        <f>IF(AB941&lt;&gt;"",AB941,Z941)</f>
        <v/>
      </c>
      <c r="AF941" s="13" t="inlineStr">
        <is>
          <t>P-8a &gt; CVN Refueling Overhauls &gt; Hull, Mechanical, and Electrical &gt; DECK EDGE DOOR 1</t>
        </is>
      </c>
      <c r="AG941" s="7" t="inlineStr">
        <is>
          <t>183</t>
        </is>
      </c>
      <c r="AH941" s="7" t="inlineStr">
        <is>
          <t>2086</t>
        </is>
      </c>
      <c r="AJ941" s="7" t="inlineStr">
        <is>
          <t>DECK EDGE DOOR</t>
        </is>
      </c>
    </row>
    <row r="942" ht="10" customHeight="1">
      <c r="A942" s="7" t="inlineStr">
        <is>
          <t>SCN</t>
        </is>
      </c>
      <c r="B942" s="7" t="inlineStr">
        <is>
          <t>Procurement</t>
        </is>
      </c>
      <c r="D942" s="7" t="inlineStr">
        <is>
          <t>CVN Refueling Overhauls - P-8a Hull, Mechanical, and Electrical - HANGAR DIVISION DOORS (HDD) 1</t>
        </is>
      </c>
      <c r="E942" s="13" t="inlineStr">
        <is>
          <t>[ALT_VIEW]</t>
        </is>
      </c>
      <c r="F942" s="7" t="inlineStr">
        <is>
          <t>2086 / CVN Refueling Overhauls</t>
        </is>
      </c>
      <c r="G942" s="7" t="inlineStr">
        <is>
          <t>P-8a</t>
        </is>
      </c>
      <c r="H942" s="7" t="inlineStr">
        <is>
          <t>Hull, Mechanical, and Electrical</t>
        </is>
      </c>
      <c r="I942" s="14" t="n">
        <v>5</v>
      </c>
      <c r="J942" s="7" t="inlineStr">
        <is>
          <t>RCOH</t>
        </is>
      </c>
      <c r="K942" s="13" t="inlineStr">
        <is>
          <t>USN</t>
        </is>
      </c>
      <c r="L942" s="7" t="inlineStr">
        <is>
          <t>Combatant Ships</t>
        </is>
      </c>
      <c r="M942" s="7" t="inlineStr">
        <is>
          <t>Aircraft Carriers</t>
        </is>
      </c>
      <c r="N942" s="7" t="inlineStr">
        <is>
          <t>CVN</t>
        </is>
      </c>
      <c r="O942" s="15" t="n"/>
      <c r="P942" s="16" t="n">
        <v>1246</v>
      </c>
      <c r="S942" s="16" t="n">
        <v>1385</v>
      </c>
      <c r="U942" s="16" t="n">
        <v>1385</v>
      </c>
      <c r="AC942" s="23">
        <f>IF(OR(E942="",E942="[PARENT]"),"ADD",IF(E942="[ALT_VIEW]","ALT",""))</f>
        <v/>
      </c>
      <c r="AD942" s="21">
        <f>IF(Y942&lt;&gt;"",Y942,IF(U942&lt;&gt;"",U942,S942))</f>
        <v/>
      </c>
      <c r="AE942" s="21">
        <f>IF(AB942&lt;&gt;"",AB942,Z942)</f>
        <v/>
      </c>
      <c r="AF942" s="13" t="inlineStr">
        <is>
          <t>P-8a &gt; CVN Refueling Overhauls &gt; Hull, Mechanical, and Electrical &gt; HANGAR DIVISION DOORS (HDD) 1</t>
        </is>
      </c>
      <c r="AG942" s="7" t="inlineStr">
        <is>
          <t>183</t>
        </is>
      </c>
      <c r="AH942" s="7" t="inlineStr">
        <is>
          <t>2086</t>
        </is>
      </c>
      <c r="AJ942" s="7" t="inlineStr">
        <is>
          <t>HANGAR DIVISION DOORS (HDD)</t>
        </is>
      </c>
    </row>
    <row r="943" ht="10" customHeight="1">
      <c r="A943" s="7" t="inlineStr">
        <is>
          <t>SCN</t>
        </is>
      </c>
      <c r="B943" s="7" t="inlineStr">
        <is>
          <t>Procurement</t>
        </is>
      </c>
      <c r="D943" s="7" t="inlineStr">
        <is>
          <t>CVN Refueling Overhauls - P-8a Hull, Mechanical, and Electrical - AIRCRAFT ELEVATOR (ACE) 1</t>
        </is>
      </c>
      <c r="E943" s="13" t="inlineStr">
        <is>
          <t>[ALT_VIEW]</t>
        </is>
      </c>
      <c r="F943" s="7" t="inlineStr">
        <is>
          <t>2086 / CVN Refueling Overhauls</t>
        </is>
      </c>
      <c r="G943" s="7" t="inlineStr">
        <is>
          <t>P-8a</t>
        </is>
      </c>
      <c r="H943" s="7" t="inlineStr">
        <is>
          <t>Hull, Mechanical, and Electrical</t>
        </is>
      </c>
      <c r="I943" s="14" t="n">
        <v>5</v>
      </c>
      <c r="J943" s="7" t="inlineStr">
        <is>
          <t>RCOH</t>
        </is>
      </c>
      <c r="K943" s="13" t="inlineStr">
        <is>
          <t>USN</t>
        </is>
      </c>
      <c r="L943" s="7" t="inlineStr">
        <is>
          <t>Combatant Ships</t>
        </is>
      </c>
      <c r="M943" s="7" t="inlineStr">
        <is>
          <t>Aircraft Carriers</t>
        </is>
      </c>
      <c r="N943" s="7" t="inlineStr">
        <is>
          <t>CVN</t>
        </is>
      </c>
      <c r="O943" s="15" t="n"/>
      <c r="P943" s="16" t="n">
        <v>1006</v>
      </c>
      <c r="S943" s="16" t="n">
        <v>2018</v>
      </c>
      <c r="U943" s="16" t="n">
        <v>2018</v>
      </c>
      <c r="AC943" s="23">
        <f>IF(OR(E943="",E943="[PARENT]"),"ADD",IF(E943="[ALT_VIEW]","ALT",""))</f>
        <v/>
      </c>
      <c r="AD943" s="21">
        <f>IF(Y943&lt;&gt;"",Y943,IF(U943&lt;&gt;"",U943,S943))</f>
        <v/>
      </c>
      <c r="AE943" s="21">
        <f>IF(AB943&lt;&gt;"",AB943,Z943)</f>
        <v/>
      </c>
      <c r="AF943" s="13" t="inlineStr">
        <is>
          <t>P-8a &gt; CVN Refueling Overhauls &gt; Hull, Mechanical, and Electrical &gt; AIRCRAFT ELEVATOR (ACE) 1</t>
        </is>
      </c>
      <c r="AG943" s="7" t="inlineStr">
        <is>
          <t>183</t>
        </is>
      </c>
      <c r="AH943" s="7" t="inlineStr">
        <is>
          <t>2086</t>
        </is>
      </c>
      <c r="AJ943" s="7" t="inlineStr">
        <is>
          <t>AIRCRAFT ELEVATOR (ACE)</t>
        </is>
      </c>
    </row>
    <row r="944" ht="10" customHeight="1">
      <c r="A944" s="7" t="inlineStr">
        <is>
          <t>SCN</t>
        </is>
      </c>
      <c r="B944" s="7" t="inlineStr">
        <is>
          <t>Procurement</t>
        </is>
      </c>
      <c r="D944" s="7" t="inlineStr">
        <is>
          <t>CVN Refueling Overhauls - P-8a Hull, Mechanical, and Electrical - ENGINEERING, TEST &amp; CERTIFICATION</t>
        </is>
      </c>
      <c r="E944" s="13" t="inlineStr">
        <is>
          <t>[ALT_VIEW]</t>
        </is>
      </c>
      <c r="F944" s="7" t="inlineStr">
        <is>
          <t>2086 / CVN Refueling Overhauls</t>
        </is>
      </c>
      <c r="G944" s="7" t="inlineStr">
        <is>
          <t>P-8a</t>
        </is>
      </c>
      <c r="H944" s="7" t="inlineStr">
        <is>
          <t>Hull, Mechanical, and Electrical</t>
        </is>
      </c>
      <c r="I944" s="14" t="n">
        <v>5</v>
      </c>
      <c r="J944" s="7" t="inlineStr">
        <is>
          <t>RCOH</t>
        </is>
      </c>
      <c r="K944" s="13" t="inlineStr">
        <is>
          <t>USN</t>
        </is>
      </c>
      <c r="L944" s="7" t="inlineStr">
        <is>
          <t>Combatant Ships</t>
        </is>
      </c>
      <c r="M944" s="7" t="inlineStr">
        <is>
          <t>Aircraft Carriers</t>
        </is>
      </c>
      <c r="N944" s="7" t="inlineStr">
        <is>
          <t>CVN</t>
        </is>
      </c>
      <c r="O944" s="15" t="n"/>
      <c r="P944" s="16" t="n">
        <v>98276</v>
      </c>
      <c r="S944" s="16" t="n">
        <v>76392</v>
      </c>
      <c r="U944" s="16" t="n">
        <v>76392</v>
      </c>
      <c r="AC944" s="23">
        <f>IF(OR(E944="",E944="[PARENT]"),"ADD",IF(E944="[ALT_VIEW]","ALT",""))</f>
        <v/>
      </c>
      <c r="AD944" s="21">
        <f>IF(Y944&lt;&gt;"",Y944,IF(U944&lt;&gt;"",U944,S944))</f>
        <v/>
      </c>
      <c r="AE944" s="21">
        <f>IF(AB944&lt;&gt;"",AB944,Z944)</f>
        <v/>
      </c>
      <c r="AF944" s="13" t="inlineStr">
        <is>
          <t>P-8a &gt; CVN Refueling Overhauls &gt; Hull, Mechanical, and Electrical &gt; ENGINEERING, TEST &amp; CERTIFICATION</t>
        </is>
      </c>
      <c r="AG944" s="7" t="inlineStr">
        <is>
          <t>183</t>
        </is>
      </c>
      <c r="AH944" s="7" t="inlineStr">
        <is>
          <t>2086</t>
        </is>
      </c>
      <c r="AJ944" s="7" t="inlineStr">
        <is>
          <t>ENGINEERING, TEST &amp; CERTIFICATION</t>
        </is>
      </c>
    </row>
    <row r="945" ht="10" customHeight="1">
      <c r="A945" s="7" t="inlineStr">
        <is>
          <t>SCN</t>
        </is>
      </c>
      <c r="B945" s="7" t="inlineStr">
        <is>
          <t>Procurement</t>
        </is>
      </c>
      <c r="D945" s="7" t="inlineStr">
        <is>
          <t>CVN Refueling Overhauls - P-8a Hull, Mechanical, and Electrical - MISCELLANEOUS GOVERNMENT FURNISHED EQUIPMENT (GFE)</t>
        </is>
      </c>
      <c r="E945" s="13" t="inlineStr">
        <is>
          <t>[ALT_VIEW]</t>
        </is>
      </c>
      <c r="F945" s="7" t="inlineStr">
        <is>
          <t>2086 / CVN Refueling Overhauls</t>
        </is>
      </c>
      <c r="G945" s="7" t="inlineStr">
        <is>
          <t>P-8a</t>
        </is>
      </c>
      <c r="H945" s="7" t="inlineStr">
        <is>
          <t>Hull, Mechanical, and Electrical</t>
        </is>
      </c>
      <c r="I945" s="14" t="n">
        <v>5</v>
      </c>
      <c r="J945" s="7" t="inlineStr">
        <is>
          <t>RCOH</t>
        </is>
      </c>
      <c r="K945" s="13" t="inlineStr">
        <is>
          <t>USN</t>
        </is>
      </c>
      <c r="L945" s="7" t="inlineStr">
        <is>
          <t>Combatant Ships</t>
        </is>
      </c>
      <c r="M945" s="7" t="inlineStr">
        <is>
          <t>Aircraft Carriers</t>
        </is>
      </c>
      <c r="N945" s="7" t="inlineStr">
        <is>
          <t>CVN</t>
        </is>
      </c>
      <c r="O945" s="15" t="n"/>
      <c r="P945" s="16" t="n">
        <v>27296</v>
      </c>
      <c r="S945" s="16" t="n">
        <v>38842</v>
      </c>
      <c r="U945" s="16" t="n">
        <v>38842</v>
      </c>
      <c r="AC945" s="23">
        <f>IF(OR(E945="",E945="[PARENT]"),"ADD",IF(E945="[ALT_VIEW]","ALT",""))</f>
        <v/>
      </c>
      <c r="AD945" s="21">
        <f>IF(Y945&lt;&gt;"",Y945,IF(U945&lt;&gt;"",U945,S945))</f>
        <v/>
      </c>
      <c r="AE945" s="21">
        <f>IF(AB945&lt;&gt;"",AB945,Z945)</f>
        <v/>
      </c>
      <c r="AF945" s="13" t="inlineStr">
        <is>
          <t>P-8a &gt; CVN Refueling Overhauls &gt; Hull, Mechanical, and Electrical &gt; MISCELLANEOUS GOVERNMENT FURNISHED EQUIPMENT (GFE)</t>
        </is>
      </c>
      <c r="AG945" s="7" t="inlineStr">
        <is>
          <t>183</t>
        </is>
      </c>
      <c r="AH945" s="7" t="inlineStr">
        <is>
          <t>2086</t>
        </is>
      </c>
      <c r="AJ945" s="7" t="inlineStr">
        <is>
          <t>MISCELLANEOUS GOVERNMENT FURNISHED EQUIPMENT (GFE)</t>
        </is>
      </c>
    </row>
    <row r="946" ht="10" customHeight="1">
      <c r="A946" s="7" t="inlineStr">
        <is>
          <t>SCN</t>
        </is>
      </c>
      <c r="B946" s="7" t="inlineStr">
        <is>
          <t>Procurement</t>
        </is>
      </c>
      <c r="D946" s="7" t="inlineStr">
        <is>
          <t>CVN Refueling Overhauls - P-8a  - ENGINEERING, TEST &amp; CERTIFICATION: CVN 74 overall increase of $</t>
        </is>
      </c>
      <c r="E946" s="13" t="inlineStr">
        <is>
          <t>[ALT_VIEW]</t>
        </is>
      </c>
      <c r="F946" s="7" t="inlineStr">
        <is>
          <t>2086 / CVN Refueling Overhauls</t>
        </is>
      </c>
      <c r="I946" s="14" t="n">
        <v>5</v>
      </c>
      <c r="J946" s="7" t="inlineStr">
        <is>
          <t>RCOH</t>
        </is>
      </c>
      <c r="K946" s="13" t="inlineStr">
        <is>
          <t>USN</t>
        </is>
      </c>
      <c r="L946" s="7" t="inlineStr">
        <is>
          <t>Combatant Ships</t>
        </is>
      </c>
      <c r="M946" s="7" t="inlineStr">
        <is>
          <t>Aircraft Carriers</t>
        </is>
      </c>
      <c r="N946" s="7" t="inlineStr">
        <is>
          <t>CVN</t>
        </is>
      </c>
      <c r="O946" s="15" t="n"/>
      <c r="S946" s="16" t="n">
        <v>11939</v>
      </c>
      <c r="U946" s="16" t="n">
        <v>11939</v>
      </c>
      <c r="AC946" s="23">
        <f>IF(OR(E946="",E946="[PARENT]"),"ADD",IF(E946="[ALT_VIEW]","ALT",""))</f>
        <v/>
      </c>
      <c r="AD946" s="21">
        <f>IF(Y946&lt;&gt;"",Y946,IF(U946&lt;&gt;"",U946,S946))</f>
        <v/>
      </c>
      <c r="AE946" s="21">
        <f>IF(AB946&lt;&gt;"",AB946,Z946)</f>
        <v/>
      </c>
      <c r="AF946" s="13" t="inlineStr">
        <is>
          <t>P-8a &gt; CVN Refueling Overhauls &gt;  &gt; ENGINEERING, TEST &amp; CERTIFICATION: CVN 74 overall increase of $</t>
        </is>
      </c>
      <c r="AG946" s="7" t="inlineStr">
        <is>
          <t>184</t>
        </is>
      </c>
      <c r="AH946" s="7" t="inlineStr">
        <is>
          <t>2086</t>
        </is>
      </c>
    </row>
    <row r="947" ht="10" customHeight="1">
      <c r="A947" s="7" t="inlineStr">
        <is>
          <t>SCN</t>
        </is>
      </c>
      <c r="B947" s="7" t="inlineStr">
        <is>
          <t>Procurement</t>
        </is>
      </c>
      <c r="D947" s="7" t="inlineStr">
        <is>
          <t>CVN Refueling Overhauls - P-8a  - the FY 2025 budget request. CVN 75 re-categorization of $</t>
        </is>
      </c>
      <c r="E947" s="13" t="inlineStr">
        <is>
          <t>[ALT_VIEW]</t>
        </is>
      </c>
      <c r="F947" s="7" t="inlineStr">
        <is>
          <t>2086 / CVN Refueling Overhauls</t>
        </is>
      </c>
      <c r="I947" s="14" t="n">
        <v>5</v>
      </c>
      <c r="J947" s="7" t="inlineStr">
        <is>
          <t>RCOH</t>
        </is>
      </c>
      <c r="K947" s="13" t="inlineStr">
        <is>
          <t>USN</t>
        </is>
      </c>
      <c r="L947" s="7" t="inlineStr">
        <is>
          <t>Combatant Ships</t>
        </is>
      </c>
      <c r="M947" s="7" t="inlineStr">
        <is>
          <t>Aircraft Carriers</t>
        </is>
      </c>
      <c r="N947" s="7" t="inlineStr">
        <is>
          <t>CVN</t>
        </is>
      </c>
      <c r="O947" s="15" t="n"/>
      <c r="S947" s="16" t="n">
        <v>14056</v>
      </c>
      <c r="U947" s="16" t="n">
        <v>14056</v>
      </c>
      <c r="AC947" s="23">
        <f>IF(OR(E947="",E947="[PARENT]"),"ADD",IF(E947="[ALT_VIEW]","ALT",""))</f>
        <v/>
      </c>
      <c r="AD947" s="21">
        <f>IF(Y947&lt;&gt;"",Y947,IF(U947&lt;&gt;"",U947,S947))</f>
        <v/>
      </c>
      <c r="AE947" s="21">
        <f>IF(AB947&lt;&gt;"",AB947,Z947)</f>
        <v/>
      </c>
      <c r="AF947" s="13" t="inlineStr">
        <is>
          <t>P-8a &gt; CVN Refueling Overhauls &gt;  &gt; the FY 2025 budget request. CVN 75 re-categorization of $</t>
        </is>
      </c>
      <c r="AG947" s="7" t="inlineStr">
        <is>
          <t>184</t>
        </is>
      </c>
      <c r="AH947" s="7" t="inlineStr">
        <is>
          <t>2086</t>
        </is>
      </c>
    </row>
    <row r="948" ht="10" customHeight="1">
      <c r="A948" s="7" t="inlineStr">
        <is>
          <t>SCN</t>
        </is>
      </c>
      <c r="B948" s="7" t="inlineStr">
        <is>
          <t>Procurement</t>
        </is>
      </c>
      <c r="D948" s="7" t="inlineStr">
        <is>
          <t>CVN Refueling Overhauls - P-8a  - of $</t>
        </is>
      </c>
      <c r="E948" s="13" t="inlineStr">
        <is>
          <t>[ALT_VIEW]</t>
        </is>
      </c>
      <c r="F948" s="7" t="inlineStr">
        <is>
          <t>2086 / CVN Refueling Overhauls</t>
        </is>
      </c>
      <c r="I948" s="14" t="n">
        <v>5</v>
      </c>
      <c r="J948" s="7" t="inlineStr">
        <is>
          <t>RCOH</t>
        </is>
      </c>
      <c r="K948" s="13" t="inlineStr">
        <is>
          <t>USN</t>
        </is>
      </c>
      <c r="L948" s="7" t="inlineStr">
        <is>
          <t>Combatant Ships</t>
        </is>
      </c>
      <c r="M948" s="7" t="inlineStr">
        <is>
          <t>Aircraft Carriers</t>
        </is>
      </c>
      <c r="N948" s="7" t="inlineStr">
        <is>
          <t>CVN</t>
        </is>
      </c>
      <c r="O948" s="15" t="n"/>
      <c r="S948" s="16" t="n">
        <v>12998</v>
      </c>
      <c r="U948" s="16" t="n">
        <v>12998</v>
      </c>
      <c r="AC948" s="23">
        <f>IF(OR(E948="",E948="[PARENT]"),"ADD",IF(E948="[ALT_VIEW]","ALT",""))</f>
        <v/>
      </c>
      <c r="AD948" s="21">
        <f>IF(Y948&lt;&gt;"",Y948,IF(U948&lt;&gt;"",U948,S948))</f>
        <v/>
      </c>
      <c r="AE948" s="21">
        <f>IF(AB948&lt;&gt;"",AB948,Z948)</f>
        <v/>
      </c>
      <c r="AF948" s="13" t="inlineStr">
        <is>
          <t>P-8a &gt; CVN Refueling Overhauls &gt;  &gt; of $</t>
        </is>
      </c>
      <c r="AG948" s="7" t="inlineStr">
        <is>
          <t>184</t>
        </is>
      </c>
      <c r="AH948" s="7" t="inlineStr">
        <is>
          <t>2086</t>
        </is>
      </c>
    </row>
    <row r="949" ht="10" customHeight="1">
      <c r="A949" s="7" t="inlineStr">
        <is>
          <t>SCN</t>
        </is>
      </c>
      <c r="B949" s="7" t="inlineStr">
        <is>
          <t>Procurement</t>
        </is>
      </c>
      <c r="D949" s="7" t="inlineStr">
        <is>
          <t>CVN Refueling Overhauls - P-8a Ordnance - ENTERPRISE AIR SURVEILLANCE RADAR (EASR) 1</t>
        </is>
      </c>
      <c r="E949" s="13" t="inlineStr">
        <is>
          <t>[ALT_VIEW]</t>
        </is>
      </c>
      <c r="F949" s="7" t="inlineStr">
        <is>
          <t>2086 / CVN Refueling Overhauls</t>
        </is>
      </c>
      <c r="G949" s="7" t="inlineStr">
        <is>
          <t>P-8a</t>
        </is>
      </c>
      <c r="H949" s="7" t="inlineStr">
        <is>
          <t>Ordnance</t>
        </is>
      </c>
      <c r="I949" s="14" t="n">
        <v>5</v>
      </c>
      <c r="J949" s="7" t="inlineStr">
        <is>
          <t>RCOH</t>
        </is>
      </c>
      <c r="K949" s="13" t="inlineStr">
        <is>
          <t>USN</t>
        </is>
      </c>
      <c r="L949" s="7" t="inlineStr">
        <is>
          <t>Combatant Ships</t>
        </is>
      </c>
      <c r="M949" s="7" t="inlineStr">
        <is>
          <t>Aircraft Carriers</t>
        </is>
      </c>
      <c r="N949" s="7" t="inlineStr">
        <is>
          <t>CVN</t>
        </is>
      </c>
      <c r="O949" s="15" t="n"/>
      <c r="P949" s="16" t="n">
        <v>56957</v>
      </c>
      <c r="S949" s="16" t="n">
        <v>48582</v>
      </c>
      <c r="U949" s="16" t="n">
        <v>48582</v>
      </c>
      <c r="AC949" s="23">
        <f>IF(OR(E949="",E949="[PARENT]"),"ADD",IF(E949="[ALT_VIEW]","ALT",""))</f>
        <v/>
      </c>
      <c r="AD949" s="21">
        <f>IF(Y949&lt;&gt;"",Y949,IF(U949&lt;&gt;"",U949,S949))</f>
        <v/>
      </c>
      <c r="AE949" s="21">
        <f>IF(AB949&lt;&gt;"",AB949,Z949)</f>
        <v/>
      </c>
      <c r="AF949" s="13" t="inlineStr">
        <is>
          <t>P-8a &gt; CVN Refueling Overhauls &gt; Ordnance &gt; ENTERPRISE AIR SURVEILLANCE RADAR (EASR) 1</t>
        </is>
      </c>
      <c r="AG949" s="7" t="inlineStr">
        <is>
          <t>185</t>
        </is>
      </c>
      <c r="AH949" s="7" t="inlineStr">
        <is>
          <t>2086</t>
        </is>
      </c>
      <c r="AJ949" s="7" t="inlineStr">
        <is>
          <t>ENTERPRISE AIR SURVEILLANCE RADAR (EASR)</t>
        </is>
      </c>
    </row>
    <row r="950" ht="10" customHeight="1">
      <c r="A950" s="7" t="inlineStr">
        <is>
          <t>SCN</t>
        </is>
      </c>
      <c r="B950" s="7" t="inlineStr">
        <is>
          <t>Procurement</t>
        </is>
      </c>
      <c r="D950" s="7" t="inlineStr">
        <is>
          <t>CVN Refueling Overhauls - P-8a Ordnance - AVIATION EQUIPMENT &amp; SUPPORT 1</t>
        </is>
      </c>
      <c r="E950" s="13" t="inlineStr">
        <is>
          <t>[ALT_VIEW]</t>
        </is>
      </c>
      <c r="F950" s="7" t="inlineStr">
        <is>
          <t>2086 / CVN Refueling Overhauls</t>
        </is>
      </c>
      <c r="G950" s="7" t="inlineStr">
        <is>
          <t>P-8a</t>
        </is>
      </c>
      <c r="H950" s="7" t="inlineStr">
        <is>
          <t>Ordnance</t>
        </is>
      </c>
      <c r="I950" s="14" t="n">
        <v>5</v>
      </c>
      <c r="J950" s="7" t="inlineStr">
        <is>
          <t>RCOH</t>
        </is>
      </c>
      <c r="K950" s="13" t="inlineStr">
        <is>
          <t>USN</t>
        </is>
      </c>
      <c r="L950" s="7" t="inlineStr">
        <is>
          <t>Combatant Ships</t>
        </is>
      </c>
      <c r="M950" s="7" t="inlineStr">
        <is>
          <t>Aircraft Carriers</t>
        </is>
      </c>
      <c r="N950" s="7" t="inlineStr">
        <is>
          <t>CVN</t>
        </is>
      </c>
      <c r="O950" s="15" t="n"/>
      <c r="P950" s="16" t="n">
        <v>57670</v>
      </c>
      <c r="S950" s="16" t="n">
        <v>90971</v>
      </c>
      <c r="U950" s="16" t="n">
        <v>90971</v>
      </c>
      <c r="AC950" s="23">
        <f>IF(OR(E950="",E950="[PARENT]"),"ADD",IF(E950="[ALT_VIEW]","ALT",""))</f>
        <v/>
      </c>
      <c r="AD950" s="21">
        <f>IF(Y950&lt;&gt;"",Y950,IF(U950&lt;&gt;"",U950,S950))</f>
        <v/>
      </c>
      <c r="AE950" s="21">
        <f>IF(AB950&lt;&gt;"",AB950,Z950)</f>
        <v/>
      </c>
      <c r="AF950" s="13" t="inlineStr">
        <is>
          <t>P-8a &gt; CVN Refueling Overhauls &gt; Ordnance &gt; AVIATION EQUIPMENT &amp; SUPPORT 1</t>
        </is>
      </c>
      <c r="AG950" s="7" t="inlineStr">
        <is>
          <t>185</t>
        </is>
      </c>
      <c r="AH950" s="7" t="inlineStr">
        <is>
          <t>2086</t>
        </is>
      </c>
      <c r="AJ950" s="7" t="inlineStr">
        <is>
          <t>AVIATION EQUIPMENT &amp; SUPPORT</t>
        </is>
      </c>
    </row>
    <row r="951" ht="10" customHeight="1">
      <c r="A951" s="7" t="inlineStr">
        <is>
          <t>SCN</t>
        </is>
      </c>
      <c r="B951" s="7" t="inlineStr">
        <is>
          <t>Procurement</t>
        </is>
      </c>
      <c r="D951" s="7" t="inlineStr">
        <is>
          <t>CVN Refueling Overhauls - P-8a Ordnance - CIWS/RAM DEFENSE CAPABILITY (CRDC) BLOCK 1 1</t>
        </is>
      </c>
      <c r="E951" s="13" t="inlineStr">
        <is>
          <t>[ALT_VIEW]</t>
        </is>
      </c>
      <c r="F951" s="7" t="inlineStr">
        <is>
          <t>2086 / CVN Refueling Overhauls</t>
        </is>
      </c>
      <c r="G951" s="7" t="inlineStr">
        <is>
          <t>P-8a</t>
        </is>
      </c>
      <c r="H951" s="7" t="inlineStr">
        <is>
          <t>Ordnance</t>
        </is>
      </c>
      <c r="I951" s="14" t="n">
        <v>5</v>
      </c>
      <c r="J951" s="7" t="inlineStr">
        <is>
          <t>RCOH</t>
        </is>
      </c>
      <c r="K951" s="13" t="inlineStr">
        <is>
          <t>USN</t>
        </is>
      </c>
      <c r="L951" s="7" t="inlineStr">
        <is>
          <t>Combatant Ships</t>
        </is>
      </c>
      <c r="M951" s="7" t="inlineStr">
        <is>
          <t>Aircraft Carriers</t>
        </is>
      </c>
      <c r="N951" s="7" t="inlineStr">
        <is>
          <t>CVN</t>
        </is>
      </c>
      <c r="O951" s="15" t="n"/>
      <c r="P951" s="16" t="n">
        <v>27651</v>
      </c>
      <c r="S951" s="16" t="n">
        <v>35124</v>
      </c>
      <c r="U951" s="16" t="n">
        <v>35124</v>
      </c>
      <c r="AC951" s="23">
        <f>IF(OR(E951="",E951="[PARENT]"),"ADD",IF(E951="[ALT_VIEW]","ALT",""))</f>
        <v/>
      </c>
      <c r="AD951" s="21">
        <f>IF(Y951&lt;&gt;"",Y951,IF(U951&lt;&gt;"",U951,S951))</f>
        <v/>
      </c>
      <c r="AE951" s="21">
        <f>IF(AB951&lt;&gt;"",AB951,Z951)</f>
        <v/>
      </c>
      <c r="AF951" s="13" t="inlineStr">
        <is>
          <t>P-8a &gt; CVN Refueling Overhauls &gt; Ordnance &gt; CIWS/RAM DEFENSE CAPABILITY (CRDC) BLOCK 1 1</t>
        </is>
      </c>
      <c r="AG951" s="7" t="inlineStr">
        <is>
          <t>185</t>
        </is>
      </c>
      <c r="AH951" s="7" t="inlineStr">
        <is>
          <t>2086</t>
        </is>
      </c>
      <c r="AJ951" s="7" t="inlineStr">
        <is>
          <t>CIWS/RAM DEFENSE CAPABILITY (CRDC) BLOCK 1</t>
        </is>
      </c>
    </row>
    <row r="952" ht="10" customHeight="1">
      <c r="A952" s="7" t="inlineStr">
        <is>
          <t>SCN</t>
        </is>
      </c>
      <c r="B952" s="7" t="inlineStr">
        <is>
          <t>Procurement</t>
        </is>
      </c>
      <c r="D952" s="7" t="inlineStr">
        <is>
          <t>CVN Refueling Overhauls - P-8a Ordnance - NATO SEASPARROW SURFACE MISSILE SYSTEM (NSSMS) 1</t>
        </is>
      </c>
      <c r="E952" s="13" t="inlineStr">
        <is>
          <t>[ALT_VIEW]</t>
        </is>
      </c>
      <c r="F952" s="7" t="inlineStr">
        <is>
          <t>2086 / CVN Refueling Overhauls</t>
        </is>
      </c>
      <c r="G952" s="7" t="inlineStr">
        <is>
          <t>P-8a</t>
        </is>
      </c>
      <c r="H952" s="7" t="inlineStr">
        <is>
          <t>Ordnance</t>
        </is>
      </c>
      <c r="I952" s="14" t="n">
        <v>5</v>
      </c>
      <c r="J952" s="7" t="inlineStr">
        <is>
          <t>RCOH</t>
        </is>
      </c>
      <c r="K952" s="13" t="inlineStr">
        <is>
          <t>USN</t>
        </is>
      </c>
      <c r="L952" s="7" t="inlineStr">
        <is>
          <t>Combatant Ships</t>
        </is>
      </c>
      <c r="M952" s="7" t="inlineStr">
        <is>
          <t>Aircraft Carriers</t>
        </is>
      </c>
      <c r="N952" s="7" t="inlineStr">
        <is>
          <t>CVN</t>
        </is>
      </c>
      <c r="O952" s="15" t="n"/>
      <c r="P952" s="16" t="n">
        <v>25950</v>
      </c>
      <c r="S952" s="16" t="n">
        <v>36655</v>
      </c>
      <c r="U952" s="16" t="n">
        <v>36655</v>
      </c>
      <c r="AC952" s="23">
        <f>IF(OR(E952="",E952="[PARENT]"),"ADD",IF(E952="[ALT_VIEW]","ALT",""))</f>
        <v/>
      </c>
      <c r="AD952" s="21">
        <f>IF(Y952&lt;&gt;"",Y952,IF(U952&lt;&gt;"",U952,S952))</f>
        <v/>
      </c>
      <c r="AE952" s="21">
        <f>IF(AB952&lt;&gt;"",AB952,Z952)</f>
        <v/>
      </c>
      <c r="AF952" s="13" t="inlineStr">
        <is>
          <t>P-8a &gt; CVN Refueling Overhauls &gt; Ordnance &gt; NATO SEASPARROW SURFACE MISSILE SYSTEM (NSSMS) 1</t>
        </is>
      </c>
      <c r="AG952" s="7" t="inlineStr">
        <is>
          <t>185</t>
        </is>
      </c>
      <c r="AH952" s="7" t="inlineStr">
        <is>
          <t>2086</t>
        </is>
      </c>
      <c r="AJ952" s="7" t="inlineStr">
        <is>
          <t>NATO SEASPARROW SURFACE MISSILE SYSTEM (NSSMS)</t>
        </is>
      </c>
    </row>
    <row r="953" ht="10" customHeight="1">
      <c r="A953" s="7" t="inlineStr">
        <is>
          <t>SCN</t>
        </is>
      </c>
      <c r="B953" s="7" t="inlineStr">
        <is>
          <t>Procurement</t>
        </is>
      </c>
      <c r="D953" s="7" t="inlineStr">
        <is>
          <t>CVN Refueling Overhauls - P-8a Ordnance - SURFACE ELECTRONIC WARFARE IMPROVEMENT PROGRAM (SEWIP) BLOCK 2 1</t>
        </is>
      </c>
      <c r="E953" s="13" t="inlineStr">
        <is>
          <t>[ALT_VIEW]</t>
        </is>
      </c>
      <c r="F953" s="7" t="inlineStr">
        <is>
          <t>2086 / CVN Refueling Overhauls</t>
        </is>
      </c>
      <c r="G953" s="7" t="inlineStr">
        <is>
          <t>P-8a</t>
        </is>
      </c>
      <c r="H953" s="7" t="inlineStr">
        <is>
          <t>Ordnance</t>
        </is>
      </c>
      <c r="I953" s="14" t="n">
        <v>5</v>
      </c>
      <c r="J953" s="7" t="inlineStr">
        <is>
          <t>RCOH</t>
        </is>
      </c>
      <c r="K953" s="13" t="inlineStr">
        <is>
          <t>USN</t>
        </is>
      </c>
      <c r="L953" s="7" t="inlineStr">
        <is>
          <t>Combatant Ships</t>
        </is>
      </c>
      <c r="M953" s="7" t="inlineStr">
        <is>
          <t>Aircraft Carriers</t>
        </is>
      </c>
      <c r="N953" s="7" t="inlineStr">
        <is>
          <t>CVN</t>
        </is>
      </c>
      <c r="O953" s="15" t="n"/>
      <c r="S953" s="16" t="n">
        <v>17379</v>
      </c>
      <c r="U953" s="16" t="n">
        <v>17379</v>
      </c>
      <c r="AC953" s="23">
        <f>IF(OR(E953="",E953="[PARENT]"),"ADD",IF(E953="[ALT_VIEW]","ALT",""))</f>
        <v/>
      </c>
      <c r="AD953" s="21">
        <f>IF(Y953&lt;&gt;"",Y953,IF(U953&lt;&gt;"",U953,S953))</f>
        <v/>
      </c>
      <c r="AE953" s="21">
        <f>IF(AB953&lt;&gt;"",AB953,Z953)</f>
        <v/>
      </c>
      <c r="AF953" s="13" t="inlineStr">
        <is>
          <t>P-8a &gt; CVN Refueling Overhauls &gt; Ordnance &gt; SURFACE ELECTRONIC WARFARE IMPROVEMENT PROGRAM (SEWIP) BLOCK 2 1</t>
        </is>
      </c>
      <c r="AG953" s="7" t="inlineStr">
        <is>
          <t>185</t>
        </is>
      </c>
      <c r="AH953" s="7" t="inlineStr">
        <is>
          <t>2086</t>
        </is>
      </c>
      <c r="AJ953" s="7" t="inlineStr">
        <is>
          <t>SURFACE ELECTRONIC WARFARE IMPROVEMENT PROGRAM (SEWIP) BLOCK 2</t>
        </is>
      </c>
    </row>
    <row r="954" ht="10" customHeight="1">
      <c r="A954" s="7" t="inlineStr">
        <is>
          <t>SCN</t>
        </is>
      </c>
      <c r="B954" s="7" t="inlineStr">
        <is>
          <t>Procurement</t>
        </is>
      </c>
      <c r="D954" s="7" t="inlineStr">
        <is>
          <t>CVN Refueling Overhauls - P-8a Ordnance - MK 38 MOD 3 GUN SYSTEM 1</t>
        </is>
      </c>
      <c r="E954" s="13" t="inlineStr">
        <is>
          <t>[ALT_VIEW]</t>
        </is>
      </c>
      <c r="F954" s="7" t="inlineStr">
        <is>
          <t>2086 / CVN Refueling Overhauls</t>
        </is>
      </c>
      <c r="G954" s="7" t="inlineStr">
        <is>
          <t>P-8a</t>
        </is>
      </c>
      <c r="H954" s="7" t="inlineStr">
        <is>
          <t>Ordnance</t>
        </is>
      </c>
      <c r="I954" s="14" t="n">
        <v>5</v>
      </c>
      <c r="J954" s="7" t="inlineStr">
        <is>
          <t>RCOH</t>
        </is>
      </c>
      <c r="K954" s="13" t="inlineStr">
        <is>
          <t>USN</t>
        </is>
      </c>
      <c r="L954" s="7" t="inlineStr">
        <is>
          <t>Combatant Ships</t>
        </is>
      </c>
      <c r="M954" s="7" t="inlineStr">
        <is>
          <t>Aircraft Carriers</t>
        </is>
      </c>
      <c r="N954" s="7" t="inlineStr">
        <is>
          <t>CVN</t>
        </is>
      </c>
      <c r="O954" s="15" t="n"/>
      <c r="P954" s="16" t="n">
        <v>9998</v>
      </c>
      <c r="S954" s="16" t="n">
        <v>6185</v>
      </c>
      <c r="U954" s="16" t="n">
        <v>6185</v>
      </c>
      <c r="AC954" s="23">
        <f>IF(OR(E954="",E954="[PARENT]"),"ADD",IF(E954="[ALT_VIEW]","ALT",""))</f>
        <v/>
      </c>
      <c r="AD954" s="21">
        <f>IF(Y954&lt;&gt;"",Y954,IF(U954&lt;&gt;"",U954,S954))</f>
        <v/>
      </c>
      <c r="AE954" s="21">
        <f>IF(AB954&lt;&gt;"",AB954,Z954)</f>
        <v/>
      </c>
      <c r="AF954" s="13" t="inlineStr">
        <is>
          <t>P-8a &gt; CVN Refueling Overhauls &gt; Ordnance &gt; MK 38 MOD 3 GUN SYSTEM 1</t>
        </is>
      </c>
      <c r="AG954" s="7" t="inlineStr">
        <is>
          <t>185</t>
        </is>
      </c>
      <c r="AH954" s="7" t="inlineStr">
        <is>
          <t>2086</t>
        </is>
      </c>
      <c r="AJ954" s="7" t="inlineStr">
        <is>
          <t>MK 38 MOD 3 GUN SYSTEM</t>
        </is>
      </c>
    </row>
    <row r="955" ht="10" customHeight="1">
      <c r="A955" s="7" t="inlineStr">
        <is>
          <t>SCN</t>
        </is>
      </c>
      <c r="B955" s="7" t="inlineStr">
        <is>
          <t>Procurement</t>
        </is>
      </c>
      <c r="D955" s="7" t="inlineStr">
        <is>
          <t>CVN Refueling Overhauls - P-8a Ordnance - SURFACE ELECTRONIC WARFARE IMPROVEMENT PROGRAM (SEWIP) BLOCK 3 -</t>
        </is>
      </c>
      <c r="E955" s="13" t="inlineStr">
        <is>
          <t>[ALT_VIEW]</t>
        </is>
      </c>
      <c r="F955" s="7" t="inlineStr">
        <is>
          <t>2086 / CVN Refueling Overhauls</t>
        </is>
      </c>
      <c r="G955" s="7" t="inlineStr">
        <is>
          <t>P-8a</t>
        </is>
      </c>
      <c r="H955" s="7" t="inlineStr">
        <is>
          <t>Ordnance</t>
        </is>
      </c>
      <c r="I955" s="14" t="n">
        <v>5</v>
      </c>
      <c r="J955" s="7" t="inlineStr">
        <is>
          <t>RCOH</t>
        </is>
      </c>
      <c r="K955" s="13" t="inlineStr">
        <is>
          <t>USN</t>
        </is>
      </c>
      <c r="L955" s="7" t="inlineStr">
        <is>
          <t>Combatant Ships</t>
        </is>
      </c>
      <c r="M955" s="7" t="inlineStr">
        <is>
          <t>Aircraft Carriers</t>
        </is>
      </c>
      <c r="N955" s="7" t="inlineStr">
        <is>
          <t>CVN</t>
        </is>
      </c>
      <c r="O955" s="15" t="n"/>
      <c r="S955" s="16" t="n">
        <v>133892</v>
      </c>
      <c r="U955" s="16" t="n">
        <v>133892</v>
      </c>
      <c r="AC955" s="23">
        <f>IF(OR(E955="",E955="[PARENT]"),"ADD",IF(E955="[ALT_VIEW]","ALT",""))</f>
        <v/>
      </c>
      <c r="AD955" s="21">
        <f>IF(Y955&lt;&gt;"",Y955,IF(U955&lt;&gt;"",U955,S955))</f>
        <v/>
      </c>
      <c r="AE955" s="21">
        <f>IF(AB955&lt;&gt;"",AB955,Z955)</f>
        <v/>
      </c>
      <c r="AF955" s="13" t="inlineStr">
        <is>
          <t>P-8a &gt; CVN Refueling Overhauls &gt; Ordnance &gt; SURFACE ELECTRONIC WARFARE IMPROVEMENT PROGRAM (SEWIP) BLOCK 3 -</t>
        </is>
      </c>
      <c r="AG955" s="7" t="inlineStr">
        <is>
          <t>185</t>
        </is>
      </c>
      <c r="AH955" s="7" t="inlineStr">
        <is>
          <t>2086</t>
        </is>
      </c>
      <c r="AJ955" s="7" t="inlineStr">
        <is>
          <t>SURFACE ELECTRONIC WARFARE IMPROVEMENT PROGRAM (SEWIP) BLOCK 3</t>
        </is>
      </c>
    </row>
    <row r="956" ht="10" customHeight="1">
      <c r="A956" s="7" t="inlineStr">
        <is>
          <t>SCN</t>
        </is>
      </c>
      <c r="B956" s="7" t="inlineStr">
        <is>
          <t>Procurement</t>
        </is>
      </c>
      <c r="D956" s="7" t="inlineStr">
        <is>
          <t>CVN Refueling Overhauls - P-8a Ordnance - CLOSE IN WEAPON SYSTEM (CIWS) BLOCK 1B</t>
        </is>
      </c>
      <c r="E956" s="13" t="inlineStr">
        <is>
          <t>[ALT_VIEW]</t>
        </is>
      </c>
      <c r="F956" s="7" t="inlineStr">
        <is>
          <t>2086 / CVN Refueling Overhauls</t>
        </is>
      </c>
      <c r="G956" s="7" t="inlineStr">
        <is>
          <t>P-8a</t>
        </is>
      </c>
      <c r="H956" s="7" t="inlineStr">
        <is>
          <t>Ordnance</t>
        </is>
      </c>
      <c r="I956" s="14" t="n">
        <v>5</v>
      </c>
      <c r="J956" s="7" t="inlineStr">
        <is>
          <t>RCOH</t>
        </is>
      </c>
      <c r="K956" s="13" t="inlineStr">
        <is>
          <t>USN</t>
        </is>
      </c>
      <c r="L956" s="7" t="inlineStr">
        <is>
          <t>Combatant Ships</t>
        </is>
      </c>
      <c r="M956" s="7" t="inlineStr">
        <is>
          <t>Aircraft Carriers</t>
        </is>
      </c>
      <c r="N956" s="7" t="inlineStr">
        <is>
          <t>CVN</t>
        </is>
      </c>
      <c r="O956" s="15" t="n"/>
      <c r="P956" s="16" t="n">
        <v>1404</v>
      </c>
      <c r="S956" s="16" t="n">
        <v>18824</v>
      </c>
      <c r="U956" s="16" t="n">
        <v>18824</v>
      </c>
      <c r="AC956" s="23">
        <f>IF(OR(E956="",E956="[PARENT]"),"ADD",IF(E956="[ALT_VIEW]","ALT",""))</f>
        <v/>
      </c>
      <c r="AD956" s="21">
        <f>IF(Y956&lt;&gt;"",Y956,IF(U956&lt;&gt;"",U956,S956))</f>
        <v/>
      </c>
      <c r="AE956" s="21">
        <f>IF(AB956&lt;&gt;"",AB956,Z956)</f>
        <v/>
      </c>
      <c r="AF956" s="13" t="inlineStr">
        <is>
          <t>P-8a &gt; CVN Refueling Overhauls &gt; Ordnance &gt; CLOSE IN WEAPON SYSTEM (CIWS) BLOCK 1B</t>
        </is>
      </c>
      <c r="AG956" s="7" t="inlineStr">
        <is>
          <t>185</t>
        </is>
      </c>
      <c r="AH956" s="7" t="inlineStr">
        <is>
          <t>2086</t>
        </is>
      </c>
      <c r="AJ956" s="7" t="inlineStr">
        <is>
          <t>CLOSE IN WEAPON SYSTEM (CIWS) BLOCK 1B</t>
        </is>
      </c>
    </row>
    <row r="957" ht="10" customHeight="1">
      <c r="A957" s="7" t="inlineStr">
        <is>
          <t>SCN</t>
        </is>
      </c>
      <c r="B957" s="7" t="inlineStr">
        <is>
          <t>Procurement</t>
        </is>
      </c>
      <c r="D957" s="7" t="inlineStr">
        <is>
          <t>CVN Refueling Overhauls - P-8a Ordnance - COMBAT DIRECTION CENTER (CDC)/FLAG RIPOUT/INSTALL 1</t>
        </is>
      </c>
      <c r="E957" s="13" t="inlineStr">
        <is>
          <t>[ALT_VIEW]</t>
        </is>
      </c>
      <c r="F957" s="7" t="inlineStr">
        <is>
          <t>2086 / CVN Refueling Overhauls</t>
        </is>
      </c>
      <c r="G957" s="7" t="inlineStr">
        <is>
          <t>P-8a</t>
        </is>
      </c>
      <c r="H957" s="7" t="inlineStr">
        <is>
          <t>Ordnance</t>
        </is>
      </c>
      <c r="I957" s="14" t="n">
        <v>5</v>
      </c>
      <c r="J957" s="7" t="inlineStr">
        <is>
          <t>RCOH</t>
        </is>
      </c>
      <c r="K957" s="13" t="inlineStr">
        <is>
          <t>USN</t>
        </is>
      </c>
      <c r="L957" s="7" t="inlineStr">
        <is>
          <t>Combatant Ships</t>
        </is>
      </c>
      <c r="M957" s="7" t="inlineStr">
        <is>
          <t>Aircraft Carriers</t>
        </is>
      </c>
      <c r="N957" s="7" t="inlineStr">
        <is>
          <t>CVN</t>
        </is>
      </c>
      <c r="O957" s="15" t="n"/>
      <c r="P957" s="16" t="n">
        <v>31134</v>
      </c>
      <c r="S957" s="16" t="n">
        <v>37975</v>
      </c>
      <c r="U957" s="16" t="n">
        <v>37975</v>
      </c>
      <c r="AC957" s="23">
        <f>IF(OR(E957="",E957="[PARENT]"),"ADD",IF(E957="[ALT_VIEW]","ALT",""))</f>
        <v/>
      </c>
      <c r="AD957" s="21">
        <f>IF(Y957&lt;&gt;"",Y957,IF(U957&lt;&gt;"",U957,S957))</f>
        <v/>
      </c>
      <c r="AE957" s="21">
        <f>IF(AB957&lt;&gt;"",AB957,Z957)</f>
        <v/>
      </c>
      <c r="AF957" s="13" t="inlineStr">
        <is>
          <t>P-8a &gt; CVN Refueling Overhauls &gt; Ordnance &gt; COMBAT DIRECTION CENTER (CDC)/FLAG RIPOUT/INSTALL 1</t>
        </is>
      </c>
      <c r="AG957" s="7" t="inlineStr">
        <is>
          <t>185</t>
        </is>
      </c>
      <c r="AH957" s="7" t="inlineStr">
        <is>
          <t>2086</t>
        </is>
      </c>
      <c r="AJ957" s="7" t="inlineStr">
        <is>
          <t>COMBAT DIRECTION CENTER (CDC)/FLAG RIPOUT/INSTALL</t>
        </is>
      </c>
    </row>
    <row r="958" ht="10" customHeight="1">
      <c r="A958" s="7" t="inlineStr">
        <is>
          <t>SCN</t>
        </is>
      </c>
      <c r="B958" s="7" t="inlineStr">
        <is>
          <t>Procurement</t>
        </is>
      </c>
      <c r="D958" s="7" t="inlineStr">
        <is>
          <t>CVN Refueling Overhauls - P-8a Ordnance - AN/SPS-73 NEXT GENERATION SURFACE SEARCH RADAR (NGSSR) 1</t>
        </is>
      </c>
      <c r="E958" s="13" t="inlineStr">
        <is>
          <t>[ALT_VIEW]</t>
        </is>
      </c>
      <c r="F958" s="7" t="inlineStr">
        <is>
          <t>2086 / CVN Refueling Overhauls</t>
        </is>
      </c>
      <c r="G958" s="7" t="inlineStr">
        <is>
          <t>P-8a</t>
        </is>
      </c>
      <c r="H958" s="7" t="inlineStr">
        <is>
          <t>Ordnance</t>
        </is>
      </c>
      <c r="I958" s="14" t="n">
        <v>5</v>
      </c>
      <c r="J958" s="7" t="inlineStr">
        <is>
          <t>RCOH</t>
        </is>
      </c>
      <c r="K958" s="13" t="inlineStr">
        <is>
          <t>USN</t>
        </is>
      </c>
      <c r="L958" s="7" t="inlineStr">
        <is>
          <t>Combatant Ships</t>
        </is>
      </c>
      <c r="M958" s="7" t="inlineStr">
        <is>
          <t>Aircraft Carriers</t>
        </is>
      </c>
      <c r="N958" s="7" t="inlineStr">
        <is>
          <t>CVN</t>
        </is>
      </c>
      <c r="O958" s="15" t="n"/>
      <c r="P958" s="16" t="n">
        <v>4176</v>
      </c>
      <c r="S958" s="16" t="n">
        <v>6643</v>
      </c>
      <c r="U958" s="16" t="n">
        <v>6643</v>
      </c>
      <c r="AC958" s="23">
        <f>IF(OR(E958="",E958="[PARENT]"),"ADD",IF(E958="[ALT_VIEW]","ALT",""))</f>
        <v/>
      </c>
      <c r="AD958" s="21">
        <f>IF(Y958&lt;&gt;"",Y958,IF(U958&lt;&gt;"",U958,S958))</f>
        <v/>
      </c>
      <c r="AE958" s="21">
        <f>IF(AB958&lt;&gt;"",AB958,Z958)</f>
        <v/>
      </c>
      <c r="AF958" s="13" t="inlineStr">
        <is>
          <t>P-8a &gt; CVN Refueling Overhauls &gt; Ordnance &gt; AN/SPS-73 NEXT GENERATION SURFACE SEARCH RADAR (NGSSR) 1</t>
        </is>
      </c>
      <c r="AG958" s="7" t="inlineStr">
        <is>
          <t>185</t>
        </is>
      </c>
      <c r="AH958" s="7" t="inlineStr">
        <is>
          <t>2086</t>
        </is>
      </c>
      <c r="AJ958" s="7" t="inlineStr">
        <is>
          <t>AN/SPS-73 NEXT GENERATION SURFACE SEARCH RADAR (NGSSR)</t>
        </is>
      </c>
    </row>
    <row r="959" ht="10" customHeight="1">
      <c r="A959" s="7" t="inlineStr">
        <is>
          <t>SCN</t>
        </is>
      </c>
      <c r="B959" s="7" t="inlineStr">
        <is>
          <t>Procurement</t>
        </is>
      </c>
      <c r="D959" s="7" t="inlineStr">
        <is>
          <t>CVN Refueling Overhauls - P-8a Ordnance - RAM GUIDED MISSILE LAUNCHING SYSTEM 1</t>
        </is>
      </c>
      <c r="E959" s="13" t="inlineStr">
        <is>
          <t>[ALT_VIEW]</t>
        </is>
      </c>
      <c r="F959" s="7" t="inlineStr">
        <is>
          <t>2086 / CVN Refueling Overhauls</t>
        </is>
      </c>
      <c r="G959" s="7" t="inlineStr">
        <is>
          <t>P-8a</t>
        </is>
      </c>
      <c r="H959" s="7" t="inlineStr">
        <is>
          <t>Ordnance</t>
        </is>
      </c>
      <c r="I959" s="14" t="n">
        <v>5</v>
      </c>
      <c r="J959" s="7" t="inlineStr">
        <is>
          <t>RCOH</t>
        </is>
      </c>
      <c r="K959" s="13" t="inlineStr">
        <is>
          <t>USN</t>
        </is>
      </c>
      <c r="L959" s="7" t="inlineStr">
        <is>
          <t>Combatant Ships</t>
        </is>
      </c>
      <c r="M959" s="7" t="inlineStr">
        <is>
          <t>Aircraft Carriers</t>
        </is>
      </c>
      <c r="N959" s="7" t="inlineStr">
        <is>
          <t>CVN</t>
        </is>
      </c>
      <c r="O959" s="15" t="n"/>
      <c r="P959" s="16" t="n">
        <v>3329</v>
      </c>
      <c r="S959" s="16" t="n">
        <v>3619</v>
      </c>
      <c r="U959" s="16" t="n">
        <v>3619</v>
      </c>
      <c r="AC959" s="23">
        <f>IF(OR(E959="",E959="[PARENT]"),"ADD",IF(E959="[ALT_VIEW]","ALT",""))</f>
        <v/>
      </c>
      <c r="AD959" s="21">
        <f>IF(Y959&lt;&gt;"",Y959,IF(U959&lt;&gt;"",U959,S959))</f>
        <v/>
      </c>
      <c r="AE959" s="21">
        <f>IF(AB959&lt;&gt;"",AB959,Z959)</f>
        <v/>
      </c>
      <c r="AF959" s="13" t="inlineStr">
        <is>
          <t>P-8a &gt; CVN Refueling Overhauls &gt; Ordnance &gt; RAM GUIDED MISSILE LAUNCHING SYSTEM 1</t>
        </is>
      </c>
      <c r="AG959" s="7" t="inlineStr">
        <is>
          <t>185</t>
        </is>
      </c>
      <c r="AH959" s="7" t="inlineStr">
        <is>
          <t>2086</t>
        </is>
      </c>
      <c r="AJ959" s="7" t="inlineStr">
        <is>
          <t>RAM GUIDED MISSILE LAUNCHING SYSTEM</t>
        </is>
      </c>
    </row>
    <row r="960" ht="10" customHeight="1">
      <c r="A960" s="7" t="inlineStr">
        <is>
          <t>SCN</t>
        </is>
      </c>
      <c r="B960" s="7" t="inlineStr">
        <is>
          <t>Procurement</t>
        </is>
      </c>
      <c r="D960" s="7" t="inlineStr">
        <is>
          <t>CVN Refueling Overhauls - P-8a Ordnance - AN/SQQ-34C - CARRIER TACTICAL SUPPORT CENTER 1</t>
        </is>
      </c>
      <c r="E960" s="13" t="inlineStr">
        <is>
          <t>[ALT_VIEW]</t>
        </is>
      </c>
      <c r="F960" s="7" t="inlineStr">
        <is>
          <t>2086 / CVN Refueling Overhauls</t>
        </is>
      </c>
      <c r="G960" s="7" t="inlineStr">
        <is>
          <t>P-8a</t>
        </is>
      </c>
      <c r="H960" s="7" t="inlineStr">
        <is>
          <t>Ordnance</t>
        </is>
      </c>
      <c r="I960" s="14" t="n">
        <v>5</v>
      </c>
      <c r="J960" s="7" t="inlineStr">
        <is>
          <t>RCOH</t>
        </is>
      </c>
      <c r="K960" s="13" t="inlineStr">
        <is>
          <t>USN</t>
        </is>
      </c>
      <c r="L960" s="7" t="inlineStr">
        <is>
          <t>Combatant Ships</t>
        </is>
      </c>
      <c r="M960" s="7" t="inlineStr">
        <is>
          <t>Aircraft Carriers</t>
        </is>
      </c>
      <c r="N960" s="7" t="inlineStr">
        <is>
          <t>CVN</t>
        </is>
      </c>
      <c r="O960" s="15" t="n"/>
      <c r="P960" s="16" t="n">
        <v>2679</v>
      </c>
      <c r="S960" s="16" t="n">
        <v>3847</v>
      </c>
      <c r="U960" s="16" t="n">
        <v>3847</v>
      </c>
      <c r="AC960" s="23">
        <f>IF(OR(E960="",E960="[PARENT]"),"ADD",IF(E960="[ALT_VIEW]","ALT",""))</f>
        <v/>
      </c>
      <c r="AD960" s="21">
        <f>IF(Y960&lt;&gt;"",Y960,IF(U960&lt;&gt;"",U960,S960))</f>
        <v/>
      </c>
      <c r="AE960" s="21">
        <f>IF(AB960&lt;&gt;"",AB960,Z960)</f>
        <v/>
      </c>
      <c r="AF960" s="13" t="inlineStr">
        <is>
          <t>P-8a &gt; CVN Refueling Overhauls &gt; Ordnance &gt; AN/SQQ-34C - CARRIER TACTICAL SUPPORT CENTER 1</t>
        </is>
      </c>
      <c r="AG960" s="7" t="inlineStr">
        <is>
          <t>185</t>
        </is>
      </c>
      <c r="AH960" s="7" t="inlineStr">
        <is>
          <t>2086</t>
        </is>
      </c>
      <c r="AJ960" s="7" t="inlineStr">
        <is>
          <t>AN/SQQ-34C - CARRIER TACTICAL SUPPORT CENTER</t>
        </is>
      </c>
    </row>
    <row r="961" ht="10" customHeight="1">
      <c r="A961" s="7" t="inlineStr">
        <is>
          <t>SCN</t>
        </is>
      </c>
      <c r="B961" s="7" t="inlineStr">
        <is>
          <t>Procurement</t>
        </is>
      </c>
      <c r="D961" s="7" t="inlineStr">
        <is>
          <t>CVN Refueling Overhauls - P-8a Ordnance - RADAR DATA DISTRIBUTION SYSTEM (RDDS) 0 - 1</t>
        </is>
      </c>
      <c r="E961" s="13" t="inlineStr">
        <is>
          <t>[ALT_VIEW]</t>
        </is>
      </c>
      <c r="F961" s="7" t="inlineStr">
        <is>
          <t>2086 / CVN Refueling Overhauls</t>
        </is>
      </c>
      <c r="G961" s="7" t="inlineStr">
        <is>
          <t>P-8a</t>
        </is>
      </c>
      <c r="H961" s="7" t="inlineStr">
        <is>
          <t>Ordnance</t>
        </is>
      </c>
      <c r="I961" s="14" t="n">
        <v>5</v>
      </c>
      <c r="J961" s="7" t="inlineStr">
        <is>
          <t>RCOH</t>
        </is>
      </c>
      <c r="K961" s="13" t="inlineStr">
        <is>
          <t>USN</t>
        </is>
      </c>
      <c r="L961" s="7" t="inlineStr">
        <is>
          <t>Combatant Ships</t>
        </is>
      </c>
      <c r="M961" s="7" t="inlineStr">
        <is>
          <t>Aircraft Carriers</t>
        </is>
      </c>
      <c r="N961" s="7" t="inlineStr">
        <is>
          <t>CVN</t>
        </is>
      </c>
      <c r="O961" s="15" t="n"/>
      <c r="S961" s="16" t="n">
        <v>4486</v>
      </c>
      <c r="U961" s="16" t="n">
        <v>4486</v>
      </c>
      <c r="AC961" s="23">
        <f>IF(OR(E961="",E961="[PARENT]"),"ADD",IF(E961="[ALT_VIEW]","ALT",""))</f>
        <v/>
      </c>
      <c r="AD961" s="21">
        <f>IF(Y961&lt;&gt;"",Y961,IF(U961&lt;&gt;"",U961,S961))</f>
        <v/>
      </c>
      <c r="AE961" s="21">
        <f>IF(AB961&lt;&gt;"",AB961,Z961)</f>
        <v/>
      </c>
      <c r="AF961" s="13" t="inlineStr">
        <is>
          <t>P-8a &gt; CVN Refueling Overhauls &gt; Ordnance &gt; RADAR DATA DISTRIBUTION SYSTEM (RDDS) 0 - 1</t>
        </is>
      </c>
      <c r="AG961" s="7" t="inlineStr">
        <is>
          <t>185</t>
        </is>
      </c>
      <c r="AH961" s="7" t="inlineStr">
        <is>
          <t>2086</t>
        </is>
      </c>
      <c r="AJ961" s="7" t="inlineStr">
        <is>
          <t>RADAR DATA DISTRIBUTION SYSTEM (RDDS)</t>
        </is>
      </c>
    </row>
    <row r="962" ht="10" customHeight="1">
      <c r="A962" s="7" t="inlineStr">
        <is>
          <t>SCN</t>
        </is>
      </c>
      <c r="B962" s="7" t="inlineStr">
        <is>
          <t>Procurement</t>
        </is>
      </c>
      <c r="D962" s="7" t="inlineStr">
        <is>
          <t>CVN Refueling Overhauls - P-8a Ordnance - TEST &amp; CERTIFICATIONS, MISCELLANEOUS GFE</t>
        </is>
      </c>
      <c r="E962" s="13" t="inlineStr">
        <is>
          <t>[ALT_VIEW]</t>
        </is>
      </c>
      <c r="F962" s="7" t="inlineStr">
        <is>
          <t>2086 / CVN Refueling Overhauls</t>
        </is>
      </c>
      <c r="G962" s="7" t="inlineStr">
        <is>
          <t>P-8a</t>
        </is>
      </c>
      <c r="H962" s="7" t="inlineStr">
        <is>
          <t>Ordnance</t>
        </is>
      </c>
      <c r="I962" s="14" t="n">
        <v>5</v>
      </c>
      <c r="J962" s="7" t="inlineStr">
        <is>
          <t>RCOH</t>
        </is>
      </c>
      <c r="K962" s="13" t="inlineStr">
        <is>
          <t>USN</t>
        </is>
      </c>
      <c r="L962" s="7" t="inlineStr">
        <is>
          <t>Combatant Ships</t>
        </is>
      </c>
      <c r="M962" s="7" t="inlineStr">
        <is>
          <t>Aircraft Carriers</t>
        </is>
      </c>
      <c r="N962" s="7" t="inlineStr">
        <is>
          <t>CVN</t>
        </is>
      </c>
      <c r="O962" s="15" t="n"/>
      <c r="P962" s="16" t="n">
        <v>26272</v>
      </c>
      <c r="S962" s="16" t="n">
        <v>29948</v>
      </c>
      <c r="U962" s="16" t="n">
        <v>29948</v>
      </c>
      <c r="AC962" s="23">
        <f>IF(OR(E962="",E962="[PARENT]"),"ADD",IF(E962="[ALT_VIEW]","ALT",""))</f>
        <v/>
      </c>
      <c r="AD962" s="21">
        <f>IF(Y962&lt;&gt;"",Y962,IF(U962&lt;&gt;"",U962,S962))</f>
        <v/>
      </c>
      <c r="AE962" s="21">
        <f>IF(AB962&lt;&gt;"",AB962,Z962)</f>
        <v/>
      </c>
      <c r="AF962" s="13" t="inlineStr">
        <is>
          <t>P-8a &gt; CVN Refueling Overhauls &gt; Ordnance &gt; TEST &amp; CERTIFICATIONS, MISCELLANEOUS GFE</t>
        </is>
      </c>
      <c r="AG962" s="7" t="inlineStr">
        <is>
          <t>185</t>
        </is>
      </c>
      <c r="AH962" s="7" t="inlineStr">
        <is>
          <t>2086</t>
        </is>
      </c>
    </row>
    <row r="963" ht="10" customHeight="1">
      <c r="A963" s="7" t="inlineStr">
        <is>
          <t>SCN</t>
        </is>
      </c>
      <c r="B963" s="7" t="inlineStr">
        <is>
          <t>Procurement</t>
        </is>
      </c>
      <c r="D963" s="7" t="inlineStr">
        <is>
          <t>CVN Refueling Overhauls - P-35 C4ISR - Major Hardware                                                                                                  1</t>
        </is>
      </c>
      <c r="E963" s="13" t="inlineStr">
        <is>
          <t>[ALT_VIEW]</t>
        </is>
      </c>
      <c r="F963" s="7" t="inlineStr">
        <is>
          <t>2086 / CVN Refueling Overhauls</t>
        </is>
      </c>
      <c r="G963" s="7" t="inlineStr">
        <is>
          <t>P-35</t>
        </is>
      </c>
      <c r="I963" s="14" t="n">
        <v>5</v>
      </c>
      <c r="J963" s="7" t="inlineStr">
        <is>
          <t>RCOH</t>
        </is>
      </c>
      <c r="K963" s="13" t="inlineStr">
        <is>
          <t>USN</t>
        </is>
      </c>
      <c r="L963" s="7" t="inlineStr">
        <is>
          <t>Combatant Ships</t>
        </is>
      </c>
      <c r="M963" s="7" t="inlineStr">
        <is>
          <t>Aircraft Carriers</t>
        </is>
      </c>
      <c r="N963" s="7" t="inlineStr">
        <is>
          <t>CVN</t>
        </is>
      </c>
      <c r="O963" s="15" t="n"/>
      <c r="P963" s="16" t="n">
        <v>64271</v>
      </c>
      <c r="S963" s="16" t="n">
        <v>81298</v>
      </c>
      <c r="U963" s="16" t="n">
        <v>81298</v>
      </c>
      <c r="AC963" s="23">
        <f>IF(OR(E963="",E963="[PARENT]"),"ADD",IF(E963="[ALT_VIEW]","ALT",""))</f>
        <v/>
      </c>
      <c r="AD963" s="21">
        <f>IF(Y963&lt;&gt;"",Y963,IF(U963&lt;&gt;"",U963,S963))</f>
        <v/>
      </c>
      <c r="AE963" s="21">
        <f>IF(AB963&lt;&gt;"",AB963,Z963)</f>
        <v/>
      </c>
      <c r="AF963" s="13" t="inlineStr">
        <is>
          <t>P-35 &gt; CVN Refueling Overhauls &gt; C4ISR &gt; Major Hardware                                                                                                  1</t>
        </is>
      </c>
      <c r="AG963" s="7" t="inlineStr">
        <is>
          <t>187</t>
        </is>
      </c>
      <c r="AH963" s="7" t="inlineStr">
        <is>
          <t>2086</t>
        </is>
      </c>
    </row>
    <row r="964" ht="10" customHeight="1">
      <c r="A964" s="7" t="inlineStr">
        <is>
          <t>SCN</t>
        </is>
      </c>
      <c r="B964" s="7" t="inlineStr">
        <is>
          <t>Procurement</t>
        </is>
      </c>
      <c r="D964" s="7" t="inlineStr">
        <is>
          <t>CVN Refueling Overhauls - P-35 C4ISR - Ancillary Equipment</t>
        </is>
      </c>
      <c r="E964" s="13" t="inlineStr">
        <is>
          <t>[ALT_VIEW]</t>
        </is>
      </c>
      <c r="F964" s="7" t="inlineStr">
        <is>
          <t>2086 / CVN Refueling Overhauls</t>
        </is>
      </c>
      <c r="G964" s="7" t="inlineStr">
        <is>
          <t>P-35</t>
        </is>
      </c>
      <c r="I964" s="14" t="n">
        <v>5</v>
      </c>
      <c r="J964" s="7" t="inlineStr">
        <is>
          <t>RCOH</t>
        </is>
      </c>
      <c r="K964" s="13" t="inlineStr">
        <is>
          <t>USN</t>
        </is>
      </c>
      <c r="L964" s="7" t="inlineStr">
        <is>
          <t>Combatant Ships</t>
        </is>
      </c>
      <c r="M964" s="7" t="inlineStr">
        <is>
          <t>Aircraft Carriers</t>
        </is>
      </c>
      <c r="N964" s="7" t="inlineStr">
        <is>
          <t>CVN</t>
        </is>
      </c>
      <c r="O964" s="15" t="n"/>
      <c r="P964" s="16" t="n">
        <v>2</v>
      </c>
      <c r="S964" s="16" t="n">
        <v>1797</v>
      </c>
      <c r="U964" s="16" t="n">
        <v>1797</v>
      </c>
      <c r="AC964" s="23">
        <f>IF(OR(E964="",E964="[PARENT]"),"ADD",IF(E964="[ALT_VIEW]","ALT",""))</f>
        <v/>
      </c>
      <c r="AD964" s="21">
        <f>IF(Y964&lt;&gt;"",Y964,IF(U964&lt;&gt;"",U964,S964))</f>
        <v/>
      </c>
      <c r="AE964" s="21">
        <f>IF(AB964&lt;&gt;"",AB964,Z964)</f>
        <v/>
      </c>
      <c r="AF964" s="13" t="inlineStr">
        <is>
          <t>P-35 &gt; CVN Refueling Overhauls &gt; C4ISR &gt; Ancillary Equipment</t>
        </is>
      </c>
      <c r="AG964" s="7" t="inlineStr">
        <is>
          <t>187</t>
        </is>
      </c>
      <c r="AH964" s="7" t="inlineStr">
        <is>
          <t>2086</t>
        </is>
      </c>
    </row>
    <row r="965" ht="10" customHeight="1">
      <c r="A965" s="7" t="inlineStr">
        <is>
          <t>SCN</t>
        </is>
      </c>
      <c r="B965" s="7" t="inlineStr">
        <is>
          <t>Procurement</t>
        </is>
      </c>
      <c r="D965" s="7" t="inlineStr">
        <is>
          <t>CVN Refueling Overhauls - P-35 C4ISR - Technical Data and Documentation</t>
        </is>
      </c>
      <c r="E965" s="13" t="inlineStr">
        <is>
          <t>[ALT_VIEW]</t>
        </is>
      </c>
      <c r="F965" s="7" t="inlineStr">
        <is>
          <t>2086 / CVN Refueling Overhauls</t>
        </is>
      </c>
      <c r="G965" s="7" t="inlineStr">
        <is>
          <t>P-35</t>
        </is>
      </c>
      <c r="I965" s="14" t="n">
        <v>5</v>
      </c>
      <c r="J965" s="7" t="inlineStr">
        <is>
          <t>RCOH</t>
        </is>
      </c>
      <c r="K965" s="13" t="inlineStr">
        <is>
          <t>USN</t>
        </is>
      </c>
      <c r="L965" s="7" t="inlineStr">
        <is>
          <t>Combatant Ships</t>
        </is>
      </c>
      <c r="M965" s="7" t="inlineStr">
        <is>
          <t>Aircraft Carriers</t>
        </is>
      </c>
      <c r="N965" s="7" t="inlineStr">
        <is>
          <t>CVN</t>
        </is>
      </c>
      <c r="O965" s="15" t="n"/>
      <c r="P965" s="16" t="n">
        <v>536</v>
      </c>
      <c r="S965" s="16" t="n">
        <v>766</v>
      </c>
      <c r="U965" s="16" t="n">
        <v>766</v>
      </c>
      <c r="AC965" s="23">
        <f>IF(OR(E965="",E965="[PARENT]"),"ADD",IF(E965="[ALT_VIEW]","ALT",""))</f>
        <v/>
      </c>
      <c r="AD965" s="21">
        <f>IF(Y965&lt;&gt;"",Y965,IF(U965&lt;&gt;"",U965,S965))</f>
        <v/>
      </c>
      <c r="AE965" s="21">
        <f>IF(AB965&lt;&gt;"",AB965,Z965)</f>
        <v/>
      </c>
      <c r="AF965" s="13" t="inlineStr">
        <is>
          <t>P-35 &gt; CVN Refueling Overhauls &gt; C4ISR &gt; Technical Data and Documentation</t>
        </is>
      </c>
      <c r="AG965" s="7" t="inlineStr">
        <is>
          <t>187</t>
        </is>
      </c>
      <c r="AH965" s="7" t="inlineStr">
        <is>
          <t>2086</t>
        </is>
      </c>
    </row>
    <row r="966" ht="10" customHeight="1">
      <c r="A966" s="7" t="inlineStr">
        <is>
          <t>SCN</t>
        </is>
      </c>
      <c r="B966" s="7" t="inlineStr">
        <is>
          <t>Procurement</t>
        </is>
      </c>
      <c r="D966" s="7" t="inlineStr">
        <is>
          <t>CVN Refueling Overhauls - P-35 C4ISR - Spares</t>
        </is>
      </c>
      <c r="E966" s="13" t="inlineStr">
        <is>
          <t>[ALT_VIEW]</t>
        </is>
      </c>
      <c r="F966" s="7" t="inlineStr">
        <is>
          <t>2086 / CVN Refueling Overhauls</t>
        </is>
      </c>
      <c r="G966" s="7" t="inlineStr">
        <is>
          <t>P-35</t>
        </is>
      </c>
      <c r="I966" s="14" t="n">
        <v>5</v>
      </c>
      <c r="J966" s="7" t="inlineStr">
        <is>
          <t>RCOH</t>
        </is>
      </c>
      <c r="K966" s="13" t="inlineStr">
        <is>
          <t>USN</t>
        </is>
      </c>
      <c r="L966" s="7" t="inlineStr">
        <is>
          <t>Combatant Ships</t>
        </is>
      </c>
      <c r="M966" s="7" t="inlineStr">
        <is>
          <t>Aircraft Carriers</t>
        </is>
      </c>
      <c r="N966" s="7" t="inlineStr">
        <is>
          <t>CVN</t>
        </is>
      </c>
      <c r="O966" s="15" t="n"/>
      <c r="P966" s="16" t="n">
        <v>2666</v>
      </c>
      <c r="S966" s="16" t="n">
        <v>3363</v>
      </c>
      <c r="U966" s="16" t="n">
        <v>3363</v>
      </c>
      <c r="AC966" s="23">
        <f>IF(OR(E966="",E966="[PARENT]"),"ADD",IF(E966="[ALT_VIEW]","ALT",""))</f>
        <v/>
      </c>
      <c r="AD966" s="21">
        <f>IF(Y966&lt;&gt;"",Y966,IF(U966&lt;&gt;"",U966,S966))</f>
        <v/>
      </c>
      <c r="AE966" s="21">
        <f>IF(AB966&lt;&gt;"",AB966,Z966)</f>
        <v/>
      </c>
      <c r="AF966" s="13" t="inlineStr">
        <is>
          <t>P-35 &gt; CVN Refueling Overhauls &gt; C4ISR &gt; Spares</t>
        </is>
      </c>
      <c r="AG966" s="7" t="inlineStr">
        <is>
          <t>187</t>
        </is>
      </c>
      <c r="AH966" s="7" t="inlineStr">
        <is>
          <t>2086</t>
        </is>
      </c>
    </row>
    <row r="967" ht="10" customHeight="1">
      <c r="A967" s="7" t="inlineStr">
        <is>
          <t>SCN</t>
        </is>
      </c>
      <c r="B967" s="7" t="inlineStr">
        <is>
          <t>Procurement</t>
        </is>
      </c>
      <c r="D967" s="7" t="inlineStr">
        <is>
          <t>CVN Refueling Overhauls - P-35 C4ISR - System Engineering</t>
        </is>
      </c>
      <c r="E967" s="13" t="inlineStr">
        <is>
          <t>[ALT_VIEW]</t>
        </is>
      </c>
      <c r="F967" s="7" t="inlineStr">
        <is>
          <t>2086 / CVN Refueling Overhauls</t>
        </is>
      </c>
      <c r="G967" s="7" t="inlineStr">
        <is>
          <t>P-35</t>
        </is>
      </c>
      <c r="I967" s="14" t="n">
        <v>5</v>
      </c>
      <c r="J967" s="7" t="inlineStr">
        <is>
          <t>RCOH</t>
        </is>
      </c>
      <c r="K967" s="13" t="inlineStr">
        <is>
          <t>USN</t>
        </is>
      </c>
      <c r="L967" s="7" t="inlineStr">
        <is>
          <t>Combatant Ships</t>
        </is>
      </c>
      <c r="M967" s="7" t="inlineStr">
        <is>
          <t>Aircraft Carriers</t>
        </is>
      </c>
      <c r="N967" s="7" t="inlineStr">
        <is>
          <t>CVN</t>
        </is>
      </c>
      <c r="O967" s="15" t="n"/>
      <c r="P967" s="16" t="n">
        <v>4465</v>
      </c>
      <c r="S967" s="16" t="n">
        <v>4023</v>
      </c>
      <c r="U967" s="16" t="n">
        <v>4023</v>
      </c>
      <c r="AC967" s="23">
        <f>IF(OR(E967="",E967="[PARENT]"),"ADD",IF(E967="[ALT_VIEW]","ALT",""))</f>
        <v/>
      </c>
      <c r="AD967" s="21">
        <f>IF(Y967&lt;&gt;"",Y967,IF(U967&lt;&gt;"",U967,S967))</f>
        <v/>
      </c>
      <c r="AE967" s="21">
        <f>IF(AB967&lt;&gt;"",AB967,Z967)</f>
        <v/>
      </c>
      <c r="AF967" s="13" t="inlineStr">
        <is>
          <t>P-35 &gt; CVN Refueling Overhauls &gt; C4ISR &gt; System Engineering</t>
        </is>
      </c>
      <c r="AG967" s="7" t="inlineStr">
        <is>
          <t>187</t>
        </is>
      </c>
      <c r="AH967" s="7" t="inlineStr">
        <is>
          <t>2086</t>
        </is>
      </c>
    </row>
    <row r="968" ht="10" customHeight="1">
      <c r="A968" s="7" t="inlineStr">
        <is>
          <t>SCN</t>
        </is>
      </c>
      <c r="B968" s="7" t="inlineStr">
        <is>
          <t>Procurement</t>
        </is>
      </c>
      <c r="D968" s="7" t="inlineStr">
        <is>
          <t>CVN Refueling Overhauls - P-35 C4ISR - Technical Engineering Services</t>
        </is>
      </c>
      <c r="E968" s="13" t="inlineStr">
        <is>
          <t>[ALT_VIEW]</t>
        </is>
      </c>
      <c r="F968" s="7" t="inlineStr">
        <is>
          <t>2086 / CVN Refueling Overhauls</t>
        </is>
      </c>
      <c r="G968" s="7" t="inlineStr">
        <is>
          <t>P-35</t>
        </is>
      </c>
      <c r="I968" s="14" t="n">
        <v>5</v>
      </c>
      <c r="J968" s="7" t="inlineStr">
        <is>
          <t>RCOH</t>
        </is>
      </c>
      <c r="K968" s="13" t="inlineStr">
        <is>
          <t>USN</t>
        </is>
      </c>
      <c r="L968" s="7" t="inlineStr">
        <is>
          <t>Combatant Ships</t>
        </is>
      </c>
      <c r="M968" s="7" t="inlineStr">
        <is>
          <t>Aircraft Carriers</t>
        </is>
      </c>
      <c r="N968" s="7" t="inlineStr">
        <is>
          <t>CVN</t>
        </is>
      </c>
      <c r="O968" s="15" t="n"/>
      <c r="P968" s="16" t="n">
        <v>83040</v>
      </c>
      <c r="S968" s="16" t="n">
        <v>94326</v>
      </c>
      <c r="U968" s="16" t="n">
        <v>94326</v>
      </c>
      <c r="AC968" s="23">
        <f>IF(OR(E968="",E968="[PARENT]"),"ADD",IF(E968="[ALT_VIEW]","ALT",""))</f>
        <v/>
      </c>
      <c r="AD968" s="21">
        <f>IF(Y968&lt;&gt;"",Y968,IF(U968&lt;&gt;"",U968,S968))</f>
        <v/>
      </c>
      <c r="AE968" s="21">
        <f>IF(AB968&lt;&gt;"",AB968,Z968)</f>
        <v/>
      </c>
      <c r="AF968" s="13" t="inlineStr">
        <is>
          <t>P-35 &gt; CVN Refueling Overhauls &gt; C4ISR &gt; Technical Engineering Services</t>
        </is>
      </c>
      <c r="AG968" s="7" t="inlineStr">
        <is>
          <t>187</t>
        </is>
      </c>
      <c r="AH968" s="7" t="inlineStr">
        <is>
          <t>2086</t>
        </is>
      </c>
    </row>
    <row r="969" ht="10" customHeight="1">
      <c r="A969" s="7" t="inlineStr">
        <is>
          <t>SCN</t>
        </is>
      </c>
      <c r="B969" s="7" t="inlineStr">
        <is>
          <t>Procurement</t>
        </is>
      </c>
      <c r="D969" s="7" t="inlineStr">
        <is>
          <t>CVN Refueling Overhauls - P-35 C4ISR - Other Costs</t>
        </is>
      </c>
      <c r="E969" s="13" t="inlineStr">
        <is>
          <t>[ALT_VIEW]</t>
        </is>
      </c>
      <c r="F969" s="7" t="inlineStr">
        <is>
          <t>2086 / CVN Refueling Overhauls</t>
        </is>
      </c>
      <c r="G969" s="7" t="inlineStr">
        <is>
          <t>P-35</t>
        </is>
      </c>
      <c r="I969" s="14" t="n">
        <v>5</v>
      </c>
      <c r="J969" s="7" t="inlineStr">
        <is>
          <t>RCOH</t>
        </is>
      </c>
      <c r="K969" s="13" t="inlineStr">
        <is>
          <t>USN</t>
        </is>
      </c>
      <c r="L969" s="7" t="inlineStr">
        <is>
          <t>Combatant Ships</t>
        </is>
      </c>
      <c r="M969" s="7" t="inlineStr">
        <is>
          <t>Aircraft Carriers</t>
        </is>
      </c>
      <c r="N969" s="7" t="inlineStr">
        <is>
          <t>CVN</t>
        </is>
      </c>
      <c r="O969" s="15" t="n"/>
      <c r="P969" s="16" t="n">
        <v>14335</v>
      </c>
      <c r="S969" s="16" t="n">
        <v>20025</v>
      </c>
      <c r="U969" s="16" t="n">
        <v>20025</v>
      </c>
      <c r="AC969" s="23">
        <f>IF(OR(E969="",E969="[PARENT]"),"ADD",IF(E969="[ALT_VIEW]","ALT",""))</f>
        <v/>
      </c>
      <c r="AD969" s="21">
        <f>IF(Y969&lt;&gt;"",Y969,IF(U969&lt;&gt;"",U969,S969))</f>
        <v/>
      </c>
      <c r="AE969" s="21">
        <f>IF(AB969&lt;&gt;"",AB969,Z969)</f>
        <v/>
      </c>
      <c r="AF969" s="13" t="inlineStr">
        <is>
          <t>P-35 &gt; CVN Refueling Overhauls &gt; C4ISR &gt; Other Costs</t>
        </is>
      </c>
      <c r="AG969" s="7" t="inlineStr">
        <is>
          <t>187</t>
        </is>
      </c>
      <c r="AH969" s="7" t="inlineStr">
        <is>
          <t>2086</t>
        </is>
      </c>
      <c r="AJ969" s="7" t="inlineStr">
        <is>
          <t>Other Costs</t>
        </is>
      </c>
    </row>
    <row r="970" ht="10" customHeight="1">
      <c r="A970" s="7" t="inlineStr">
        <is>
          <t>SCN</t>
        </is>
      </c>
      <c r="B970" s="7" t="inlineStr">
        <is>
          <t>Procurement</t>
        </is>
      </c>
      <c r="D970" s="7" t="inlineStr">
        <is>
          <t>CVN Refueling Overhauls - P-35 INTEGRATED COMMUNICATION NETWORK (ICAN / DDCN &amp; IVCN) - Major Hardware                                                                                                  1</t>
        </is>
      </c>
      <c r="E970" s="13" t="inlineStr">
        <is>
          <t>[ALT_VIEW]</t>
        </is>
      </c>
      <c r="F970" s="7" t="inlineStr">
        <is>
          <t>2086 / CVN Refueling Overhauls</t>
        </is>
      </c>
      <c r="G970" s="7" t="inlineStr">
        <is>
          <t>P-35</t>
        </is>
      </c>
      <c r="I970" s="14" t="n">
        <v>5</v>
      </c>
      <c r="J970" s="7" t="inlineStr">
        <is>
          <t>RCOH</t>
        </is>
      </c>
      <c r="K970" s="13" t="inlineStr">
        <is>
          <t>USN</t>
        </is>
      </c>
      <c r="L970" s="7" t="inlineStr">
        <is>
          <t>Combatant Ships</t>
        </is>
      </c>
      <c r="M970" s="7" t="inlineStr">
        <is>
          <t>Aircraft Carriers</t>
        </is>
      </c>
      <c r="N970" s="7" t="inlineStr">
        <is>
          <t>CVN</t>
        </is>
      </c>
      <c r="O970" s="15" t="n"/>
      <c r="P970" s="16" t="n">
        <v>25725</v>
      </c>
      <c r="S970" s="16" t="n">
        <v>30682</v>
      </c>
      <c r="U970" s="16" t="n">
        <v>30682</v>
      </c>
      <c r="AC970" s="23">
        <f>IF(OR(E970="",E970="[PARENT]"),"ADD",IF(E970="[ALT_VIEW]","ALT",""))</f>
        <v/>
      </c>
      <c r="AD970" s="21">
        <f>IF(Y970&lt;&gt;"",Y970,IF(U970&lt;&gt;"",U970,S970))</f>
        <v/>
      </c>
      <c r="AE970" s="21">
        <f>IF(AB970&lt;&gt;"",AB970,Z970)</f>
        <v/>
      </c>
      <c r="AF970" s="13" t="inlineStr">
        <is>
          <t>P-35 &gt; CVN Refueling Overhauls &gt; INTEGRATED COMMUNICATION NETWORK (ICAN / DDCN &amp; IVCN) &gt; Major Hardware                                                                                                  1</t>
        </is>
      </c>
      <c r="AG970" s="7" t="inlineStr">
        <is>
          <t>188</t>
        </is>
      </c>
      <c r="AH970" s="7" t="inlineStr">
        <is>
          <t>2086</t>
        </is>
      </c>
    </row>
    <row r="971" ht="10" customHeight="1">
      <c r="A971" s="7" t="inlineStr">
        <is>
          <t>SCN</t>
        </is>
      </c>
      <c r="B971" s="7" t="inlineStr">
        <is>
          <t>Procurement</t>
        </is>
      </c>
      <c r="D971" s="7" t="inlineStr">
        <is>
          <t>CVN Refueling Overhauls - P-35 INTEGRATED COMMUNICATION NETWORK (ICAN / DDCN &amp; IVCN) - Ancillary Equipment</t>
        </is>
      </c>
      <c r="E971" s="13" t="inlineStr">
        <is>
          <t>[ALT_VIEW]</t>
        </is>
      </c>
      <c r="F971" s="7" t="inlineStr">
        <is>
          <t>2086 / CVN Refueling Overhauls</t>
        </is>
      </c>
      <c r="G971" s="7" t="inlineStr">
        <is>
          <t>P-35</t>
        </is>
      </c>
      <c r="I971" s="14" t="n">
        <v>5</v>
      </c>
      <c r="J971" s="7" t="inlineStr">
        <is>
          <t>RCOH</t>
        </is>
      </c>
      <c r="K971" s="13" t="inlineStr">
        <is>
          <t>USN</t>
        </is>
      </c>
      <c r="L971" s="7" t="inlineStr">
        <is>
          <t>Combatant Ships</t>
        </is>
      </c>
      <c r="M971" s="7" t="inlineStr">
        <is>
          <t>Aircraft Carriers</t>
        </is>
      </c>
      <c r="N971" s="7" t="inlineStr">
        <is>
          <t>CVN</t>
        </is>
      </c>
      <c r="O971" s="15" t="n"/>
      <c r="P971" s="16" t="n">
        <v>788</v>
      </c>
      <c r="S971" s="16" t="n">
        <v>580</v>
      </c>
      <c r="U971" s="16" t="n">
        <v>580</v>
      </c>
      <c r="AC971" s="23">
        <f>IF(OR(E971="",E971="[PARENT]"),"ADD",IF(E971="[ALT_VIEW]","ALT",""))</f>
        <v/>
      </c>
      <c r="AD971" s="21">
        <f>IF(Y971&lt;&gt;"",Y971,IF(U971&lt;&gt;"",U971,S971))</f>
        <v/>
      </c>
      <c r="AE971" s="21">
        <f>IF(AB971&lt;&gt;"",AB971,Z971)</f>
        <v/>
      </c>
      <c r="AF971" s="13" t="inlineStr">
        <is>
          <t>P-35 &gt; CVN Refueling Overhauls &gt; INTEGRATED COMMUNICATION NETWORK (ICAN / DDCN &amp; IVCN) &gt; Ancillary Equipment</t>
        </is>
      </c>
      <c r="AG971" s="7" t="inlineStr">
        <is>
          <t>188</t>
        </is>
      </c>
      <c r="AH971" s="7" t="inlineStr">
        <is>
          <t>2086</t>
        </is>
      </c>
    </row>
    <row r="972" ht="10" customHeight="1">
      <c r="A972" s="7" t="inlineStr">
        <is>
          <t>SCN</t>
        </is>
      </c>
      <c r="B972" s="7" t="inlineStr">
        <is>
          <t>Procurement</t>
        </is>
      </c>
      <c r="D972" s="7" t="inlineStr">
        <is>
          <t>CVN Refueling Overhauls - P-35 INTEGRATED COMMUNICATION NETWORK (ICAN / DDCN &amp; IVCN) - Technical Data and Documentation</t>
        </is>
      </c>
      <c r="E972" s="13" t="inlineStr">
        <is>
          <t>[ALT_VIEW]</t>
        </is>
      </c>
      <c r="F972" s="7" t="inlineStr">
        <is>
          <t>2086 / CVN Refueling Overhauls</t>
        </is>
      </c>
      <c r="G972" s="7" t="inlineStr">
        <is>
          <t>P-35</t>
        </is>
      </c>
      <c r="I972" s="14" t="n">
        <v>5</v>
      </c>
      <c r="J972" s="7" t="inlineStr">
        <is>
          <t>RCOH</t>
        </is>
      </c>
      <c r="K972" s="13" t="inlineStr">
        <is>
          <t>USN</t>
        </is>
      </c>
      <c r="L972" s="7" t="inlineStr">
        <is>
          <t>Combatant Ships</t>
        </is>
      </c>
      <c r="M972" s="7" t="inlineStr">
        <is>
          <t>Aircraft Carriers</t>
        </is>
      </c>
      <c r="N972" s="7" t="inlineStr">
        <is>
          <t>CVN</t>
        </is>
      </c>
      <c r="O972" s="15" t="n"/>
      <c r="P972" s="16" t="n">
        <v>560</v>
      </c>
      <c r="S972" s="16" t="n">
        <v>774</v>
      </c>
      <c r="U972" s="16" t="n">
        <v>774</v>
      </c>
      <c r="AC972" s="23">
        <f>IF(OR(E972="",E972="[PARENT]"),"ADD",IF(E972="[ALT_VIEW]","ALT",""))</f>
        <v/>
      </c>
      <c r="AD972" s="21">
        <f>IF(Y972&lt;&gt;"",Y972,IF(U972&lt;&gt;"",U972,S972))</f>
        <v/>
      </c>
      <c r="AE972" s="21">
        <f>IF(AB972&lt;&gt;"",AB972,Z972)</f>
        <v/>
      </c>
      <c r="AF972" s="13" t="inlineStr">
        <is>
          <t>P-35 &gt; CVN Refueling Overhauls &gt; INTEGRATED COMMUNICATION NETWORK (ICAN / DDCN &amp; IVCN) &gt; Technical Data and Documentation</t>
        </is>
      </c>
      <c r="AG972" s="7" t="inlineStr">
        <is>
          <t>188</t>
        </is>
      </c>
      <c r="AH972" s="7" t="inlineStr">
        <is>
          <t>2086</t>
        </is>
      </c>
    </row>
    <row r="973" ht="10" customHeight="1">
      <c r="A973" s="7" t="inlineStr">
        <is>
          <t>SCN</t>
        </is>
      </c>
      <c r="B973" s="7" t="inlineStr">
        <is>
          <t>Procurement</t>
        </is>
      </c>
      <c r="D973" s="7" t="inlineStr">
        <is>
          <t>CVN Refueling Overhauls - P-35 INTEGRATED COMMUNICATION NETWORK (ICAN / DDCN &amp; IVCN) - Spares</t>
        </is>
      </c>
      <c r="E973" s="13" t="inlineStr">
        <is>
          <t>[ALT_VIEW]</t>
        </is>
      </c>
      <c r="F973" s="7" t="inlineStr">
        <is>
          <t>2086 / CVN Refueling Overhauls</t>
        </is>
      </c>
      <c r="G973" s="7" t="inlineStr">
        <is>
          <t>P-35</t>
        </is>
      </c>
      <c r="I973" s="14" t="n">
        <v>5</v>
      </c>
      <c r="J973" s="7" t="inlineStr">
        <is>
          <t>RCOH</t>
        </is>
      </c>
      <c r="K973" s="13" t="inlineStr">
        <is>
          <t>USN</t>
        </is>
      </c>
      <c r="L973" s="7" t="inlineStr">
        <is>
          <t>Combatant Ships</t>
        </is>
      </c>
      <c r="M973" s="7" t="inlineStr">
        <is>
          <t>Aircraft Carriers</t>
        </is>
      </c>
      <c r="N973" s="7" t="inlineStr">
        <is>
          <t>CVN</t>
        </is>
      </c>
      <c r="O973" s="15" t="n"/>
      <c r="P973" s="16" t="n">
        <v>122</v>
      </c>
      <c r="S973" s="16" t="n">
        <v>345</v>
      </c>
      <c r="U973" s="16" t="n">
        <v>345</v>
      </c>
      <c r="AC973" s="23">
        <f>IF(OR(E973="",E973="[PARENT]"),"ADD",IF(E973="[ALT_VIEW]","ALT",""))</f>
        <v/>
      </c>
      <c r="AD973" s="21">
        <f>IF(Y973&lt;&gt;"",Y973,IF(U973&lt;&gt;"",U973,S973))</f>
        <v/>
      </c>
      <c r="AE973" s="21">
        <f>IF(AB973&lt;&gt;"",AB973,Z973)</f>
        <v/>
      </c>
      <c r="AF973" s="13" t="inlineStr">
        <is>
          <t>P-35 &gt; CVN Refueling Overhauls &gt; INTEGRATED COMMUNICATION NETWORK (ICAN / DDCN &amp; IVCN) &gt; Spares</t>
        </is>
      </c>
      <c r="AG973" s="7" t="inlineStr">
        <is>
          <t>188</t>
        </is>
      </c>
      <c r="AH973" s="7" t="inlineStr">
        <is>
          <t>2086</t>
        </is>
      </c>
    </row>
    <row r="974" ht="10" customHeight="1">
      <c r="A974" s="7" t="inlineStr">
        <is>
          <t>SCN</t>
        </is>
      </c>
      <c r="B974" s="7" t="inlineStr">
        <is>
          <t>Procurement</t>
        </is>
      </c>
      <c r="D974" s="7" t="inlineStr">
        <is>
          <t>CVN Refueling Overhauls - P-35 INTEGRATED COMMUNICATION NETWORK (ICAN / DDCN &amp; IVCN) - System Engineering</t>
        </is>
      </c>
      <c r="E974" s="13" t="inlineStr">
        <is>
          <t>[ALT_VIEW]</t>
        </is>
      </c>
      <c r="F974" s="7" t="inlineStr">
        <is>
          <t>2086 / CVN Refueling Overhauls</t>
        </is>
      </c>
      <c r="G974" s="7" t="inlineStr">
        <is>
          <t>P-35</t>
        </is>
      </c>
      <c r="I974" s="14" t="n">
        <v>5</v>
      </c>
      <c r="J974" s="7" t="inlineStr">
        <is>
          <t>RCOH</t>
        </is>
      </c>
      <c r="K974" s="13" t="inlineStr">
        <is>
          <t>USN</t>
        </is>
      </c>
      <c r="L974" s="7" t="inlineStr">
        <is>
          <t>Combatant Ships</t>
        </is>
      </c>
      <c r="M974" s="7" t="inlineStr">
        <is>
          <t>Aircraft Carriers</t>
        </is>
      </c>
      <c r="N974" s="7" t="inlineStr">
        <is>
          <t>CVN</t>
        </is>
      </c>
      <c r="O974" s="15" t="n"/>
      <c r="P974" s="16" t="n">
        <v>8792</v>
      </c>
      <c r="S974" s="16" t="n">
        <v>9405</v>
      </c>
      <c r="U974" s="16" t="n">
        <v>9405</v>
      </c>
      <c r="AC974" s="23">
        <f>IF(OR(E974="",E974="[PARENT]"),"ADD",IF(E974="[ALT_VIEW]","ALT",""))</f>
        <v/>
      </c>
      <c r="AD974" s="21">
        <f>IF(Y974&lt;&gt;"",Y974,IF(U974&lt;&gt;"",U974,S974))</f>
        <v/>
      </c>
      <c r="AE974" s="21">
        <f>IF(AB974&lt;&gt;"",AB974,Z974)</f>
        <v/>
      </c>
      <c r="AF974" s="13" t="inlineStr">
        <is>
          <t>P-35 &gt; CVN Refueling Overhauls &gt; INTEGRATED COMMUNICATION NETWORK (ICAN / DDCN &amp; IVCN) &gt; System Engineering</t>
        </is>
      </c>
      <c r="AG974" s="7" t="inlineStr">
        <is>
          <t>188</t>
        </is>
      </c>
      <c r="AH974" s="7" t="inlineStr">
        <is>
          <t>2086</t>
        </is>
      </c>
    </row>
    <row r="975" ht="10" customHeight="1">
      <c r="A975" s="7" t="inlineStr">
        <is>
          <t>SCN</t>
        </is>
      </c>
      <c r="B975" s="7" t="inlineStr">
        <is>
          <t>Procurement</t>
        </is>
      </c>
      <c r="D975" s="7" t="inlineStr">
        <is>
          <t>CVN Refueling Overhauls - P-35 INTEGRATED COMMUNICATION NETWORK (ICAN / DDCN &amp; IVCN) - Technical Engineering Services</t>
        </is>
      </c>
      <c r="E975" s="13" t="inlineStr">
        <is>
          <t>[ALT_VIEW]</t>
        </is>
      </c>
      <c r="F975" s="7" t="inlineStr">
        <is>
          <t>2086 / CVN Refueling Overhauls</t>
        </is>
      </c>
      <c r="G975" s="7" t="inlineStr">
        <is>
          <t>P-35</t>
        </is>
      </c>
      <c r="I975" s="14" t="n">
        <v>5</v>
      </c>
      <c r="J975" s="7" t="inlineStr">
        <is>
          <t>RCOH</t>
        </is>
      </c>
      <c r="K975" s="13" t="inlineStr">
        <is>
          <t>USN</t>
        </is>
      </c>
      <c r="L975" s="7" t="inlineStr">
        <is>
          <t>Combatant Ships</t>
        </is>
      </c>
      <c r="M975" s="7" t="inlineStr">
        <is>
          <t>Aircraft Carriers</t>
        </is>
      </c>
      <c r="N975" s="7" t="inlineStr">
        <is>
          <t>CVN</t>
        </is>
      </c>
      <c r="O975" s="15" t="n"/>
      <c r="P975" s="16" t="n">
        <v>43379</v>
      </c>
      <c r="S975" s="16" t="n">
        <v>33043</v>
      </c>
      <c r="U975" s="16" t="n">
        <v>33043</v>
      </c>
      <c r="AC975" s="23">
        <f>IF(OR(E975="",E975="[PARENT]"),"ADD",IF(E975="[ALT_VIEW]","ALT",""))</f>
        <v/>
      </c>
      <c r="AD975" s="21">
        <f>IF(Y975&lt;&gt;"",Y975,IF(U975&lt;&gt;"",U975,S975))</f>
        <v/>
      </c>
      <c r="AE975" s="21">
        <f>IF(AB975&lt;&gt;"",AB975,Z975)</f>
        <v/>
      </c>
      <c r="AF975" s="13" t="inlineStr">
        <is>
          <t>P-35 &gt; CVN Refueling Overhauls &gt; INTEGRATED COMMUNICATION NETWORK (ICAN / DDCN &amp; IVCN) &gt; Technical Engineering Services</t>
        </is>
      </c>
      <c r="AG975" s="7" t="inlineStr">
        <is>
          <t>188</t>
        </is>
      </c>
      <c r="AH975" s="7" t="inlineStr">
        <is>
          <t>2086</t>
        </is>
      </c>
    </row>
    <row r="976" ht="10" customHeight="1">
      <c r="A976" s="7" t="inlineStr">
        <is>
          <t>SCN</t>
        </is>
      </c>
      <c r="B976" s="7" t="inlineStr">
        <is>
          <t>Procurement</t>
        </is>
      </c>
      <c r="D976" s="7" t="inlineStr">
        <is>
          <t>CVN Refueling Overhauls - P-35 INTEGRATED COMMUNICATION NETWORK (ICAN / DDCN &amp; IVCN) - Other Costs</t>
        </is>
      </c>
      <c r="E976" s="13" t="inlineStr">
        <is>
          <t>[ALT_VIEW]</t>
        </is>
      </c>
      <c r="F976" s="7" t="inlineStr">
        <is>
          <t>2086 / CVN Refueling Overhauls</t>
        </is>
      </c>
      <c r="G976" s="7" t="inlineStr">
        <is>
          <t>P-35</t>
        </is>
      </c>
      <c r="I976" s="14" t="n">
        <v>5</v>
      </c>
      <c r="J976" s="7" t="inlineStr">
        <is>
          <t>RCOH</t>
        </is>
      </c>
      <c r="K976" s="13" t="inlineStr">
        <is>
          <t>USN</t>
        </is>
      </c>
      <c r="L976" s="7" t="inlineStr">
        <is>
          <t>Combatant Ships</t>
        </is>
      </c>
      <c r="M976" s="7" t="inlineStr">
        <is>
          <t>Aircraft Carriers</t>
        </is>
      </c>
      <c r="N976" s="7" t="inlineStr">
        <is>
          <t>CVN</t>
        </is>
      </c>
      <c r="O976" s="15" t="n"/>
      <c r="P976" s="16" t="n">
        <v>5560</v>
      </c>
      <c r="S976" s="16" t="n">
        <v>10431</v>
      </c>
      <c r="U976" s="16" t="n">
        <v>10431</v>
      </c>
      <c r="AC976" s="23">
        <f>IF(OR(E976="",E976="[PARENT]"),"ADD",IF(E976="[ALT_VIEW]","ALT",""))</f>
        <v/>
      </c>
      <c r="AD976" s="21">
        <f>IF(Y976&lt;&gt;"",Y976,IF(U976&lt;&gt;"",U976,S976))</f>
        <v/>
      </c>
      <c r="AE976" s="21">
        <f>IF(AB976&lt;&gt;"",AB976,Z976)</f>
        <v/>
      </c>
      <c r="AF976" s="13" t="inlineStr">
        <is>
          <t>P-35 &gt; CVN Refueling Overhauls &gt; INTEGRATED COMMUNICATION NETWORK (ICAN / DDCN &amp; IVCN) &gt; Other Costs</t>
        </is>
      </c>
      <c r="AG976" s="7" t="inlineStr">
        <is>
          <t>188</t>
        </is>
      </c>
      <c r="AH976" s="7" t="inlineStr">
        <is>
          <t>2086</t>
        </is>
      </c>
    </row>
    <row r="977" ht="10" customHeight="1">
      <c r="A977" s="7" t="inlineStr">
        <is>
          <t>SCN</t>
        </is>
      </c>
      <c r="B977" s="7" t="inlineStr">
        <is>
          <t>Procurement</t>
        </is>
      </c>
      <c r="D977" s="7" t="inlineStr">
        <is>
          <t>CVN Refueling Overhauls - P-35 INTEGRATED COMMUNICATION NETWORK (ICAN / DDCN &amp; IVCN) - CVN 74 RCOH - Comprised of 33 discretely funded line items. Net cost increase of $</t>
        </is>
      </c>
      <c r="E977" s="13" t="inlineStr">
        <is>
          <t>[ALT_VIEW]</t>
        </is>
      </c>
      <c r="F977" s="7" t="inlineStr">
        <is>
          <t>2086 / CVN Refueling Overhauls</t>
        </is>
      </c>
      <c r="G977" s="7" t="inlineStr">
        <is>
          <t>P-35</t>
        </is>
      </c>
      <c r="I977" s="14" t="n">
        <v>5</v>
      </c>
      <c r="J977" s="7" t="inlineStr">
        <is>
          <t>RCOH</t>
        </is>
      </c>
      <c r="K977" s="13" t="inlineStr">
        <is>
          <t>USN</t>
        </is>
      </c>
      <c r="L977" s="7" t="inlineStr">
        <is>
          <t>Combatant Ships</t>
        </is>
      </c>
      <c r="M977" s="7" t="inlineStr">
        <is>
          <t>Aircraft Carriers</t>
        </is>
      </c>
      <c r="N977" s="7" t="inlineStr">
        <is>
          <t>CVN</t>
        </is>
      </c>
      <c r="O977" s="15" t="n"/>
      <c r="S977" s="16" t="n">
        <v>2823</v>
      </c>
      <c r="U977" s="16" t="n">
        <v>2823</v>
      </c>
      <c r="AC977" s="23">
        <f>IF(OR(E977="",E977="[PARENT]"),"ADD",IF(E977="[ALT_VIEW]","ALT",""))</f>
        <v/>
      </c>
      <c r="AD977" s="21">
        <f>IF(Y977&lt;&gt;"",Y977,IF(U977&lt;&gt;"",U977,S977))</f>
        <v/>
      </c>
      <c r="AE977" s="21">
        <f>IF(AB977&lt;&gt;"",AB977,Z977)</f>
        <v/>
      </c>
      <c r="AF977" s="13" t="inlineStr">
        <is>
          <t>P-35 &gt; CVN Refueling Overhauls &gt; INTEGRATED COMMUNICATION NETWORK (ICAN / DDCN &amp; IVCN) &gt; CVN 74 RCOH - Comprised of 33 discretely funded line items. Net cost increase of $</t>
        </is>
      </c>
      <c r="AG977" s="7" t="inlineStr">
        <is>
          <t>189</t>
        </is>
      </c>
      <c r="AH977" s="7" t="inlineStr">
        <is>
          <t>2086</t>
        </is>
      </c>
    </row>
    <row r="978" ht="10" customHeight="1">
      <c r="A978" s="7" t="inlineStr">
        <is>
          <t>SCN</t>
        </is>
      </c>
      <c r="B978" s="7" t="inlineStr">
        <is>
          <t>Procurement</t>
        </is>
      </c>
      <c r="D978" s="7" t="inlineStr">
        <is>
          <t>CVN Refueling Overhauls - P-35 INTEGRATED COMMUNICATION NETWORK (ICAN / DDCN &amp; IVCN) - significant decrease exists for Integrated Voice Communications Network (IVCN/IVN), which is reflected in Electronics to be $</t>
        </is>
      </c>
      <c r="E978" s="13" t="inlineStr">
        <is>
          <t>[ALT_VIEW]</t>
        </is>
      </c>
      <c r="F978" s="7" t="inlineStr">
        <is>
          <t>2086 / CVN Refueling Overhauls</t>
        </is>
      </c>
      <c r="G978" s="7" t="inlineStr">
        <is>
          <t>P-35</t>
        </is>
      </c>
      <c r="I978" s="14" t="n">
        <v>5</v>
      </c>
      <c r="J978" s="7" t="inlineStr">
        <is>
          <t>RCOH</t>
        </is>
      </c>
      <c r="K978" s="13" t="inlineStr">
        <is>
          <t>USN</t>
        </is>
      </c>
      <c r="L978" s="7" t="inlineStr">
        <is>
          <t>Combatant Ships</t>
        </is>
      </c>
      <c r="M978" s="7" t="inlineStr">
        <is>
          <t>Aircraft Carriers</t>
        </is>
      </c>
      <c r="N978" s="7" t="inlineStr">
        <is>
          <t>CVN</t>
        </is>
      </c>
      <c r="O978" s="15" t="n"/>
      <c r="S978" s="16" t="n">
        <v>14517</v>
      </c>
      <c r="U978" s="16" t="n">
        <v>14517</v>
      </c>
      <c r="AC978" s="23">
        <f>IF(OR(E978="",E978="[PARENT]"),"ADD",IF(E978="[ALT_VIEW]","ALT",""))</f>
        <v/>
      </c>
      <c r="AD978" s="21">
        <f>IF(Y978&lt;&gt;"",Y978,IF(U978&lt;&gt;"",U978,S978))</f>
        <v/>
      </c>
      <c r="AE978" s="21">
        <f>IF(AB978&lt;&gt;"",AB978,Z978)</f>
        <v/>
      </c>
      <c r="AF978" s="13" t="inlineStr">
        <is>
          <t>P-35 &gt; CVN Refueling Overhauls &gt; INTEGRATED COMMUNICATION NETWORK (ICAN / DDCN &amp; IVCN) &gt; significant decrease exists for Integrated Voice Communications Network (IVCN/IVN), which is reflected in Electronics to be $</t>
        </is>
      </c>
      <c r="AG978" s="7" t="inlineStr">
        <is>
          <t>189</t>
        </is>
      </c>
      <c r="AH978" s="7" t="inlineStr">
        <is>
          <t>2086</t>
        </is>
      </c>
    </row>
    <row r="979" ht="10" customHeight="1">
      <c r="A979" s="7" t="inlineStr">
        <is>
          <t>SCN</t>
        </is>
      </c>
      <c r="B979" s="7" t="inlineStr">
        <is>
          <t>Procurement</t>
        </is>
      </c>
      <c r="D979" s="7" t="inlineStr">
        <is>
          <t>CVN Refueling Overhauls - P-35 INTEGRATED COMMUNICATION NETWORK (ICAN / DDCN &amp; IVCN) - government alteration installation teams (AIT). CVN 74 adjusted for inflation is valued $</t>
        </is>
      </c>
      <c r="E979" s="13" t="inlineStr">
        <is>
          <t>[ALT_VIEW]</t>
        </is>
      </c>
      <c r="F979" s="7" t="inlineStr">
        <is>
          <t>2086 / CVN Refueling Overhauls</t>
        </is>
      </c>
      <c r="G979" s="7" t="inlineStr">
        <is>
          <t>P-35</t>
        </is>
      </c>
      <c r="I979" s="14" t="n">
        <v>5</v>
      </c>
      <c r="J979" s="7" t="inlineStr">
        <is>
          <t>RCOH</t>
        </is>
      </c>
      <c r="K979" s="13" t="inlineStr">
        <is>
          <t>USN</t>
        </is>
      </c>
      <c r="L979" s="7" t="inlineStr">
        <is>
          <t>Combatant Ships</t>
        </is>
      </c>
      <c r="M979" s="7" t="inlineStr">
        <is>
          <t>Aircraft Carriers</t>
        </is>
      </c>
      <c r="N979" s="7" t="inlineStr">
        <is>
          <t>CVN</t>
        </is>
      </c>
      <c r="O979" s="15" t="n"/>
      <c r="S979" s="16" t="n">
        <v>99777</v>
      </c>
      <c r="U979" s="16" t="n">
        <v>99777</v>
      </c>
      <c r="AC979" s="23">
        <f>IF(OR(E979="",E979="[PARENT]"),"ADD",IF(E979="[ALT_VIEW]","ALT",""))</f>
        <v/>
      </c>
      <c r="AD979" s="21">
        <f>IF(Y979&lt;&gt;"",Y979,IF(U979&lt;&gt;"",U979,S979))</f>
        <v/>
      </c>
      <c r="AE979" s="21">
        <f>IF(AB979&lt;&gt;"",AB979,Z979)</f>
        <v/>
      </c>
      <c r="AF979" s="13" t="inlineStr">
        <is>
          <t>P-35 &gt; CVN Refueling Overhauls &gt; INTEGRATED COMMUNICATION NETWORK (ICAN / DDCN &amp; IVCN) &gt; government alteration installation teams (AIT). CVN 74 adjusted for inflation is valued $</t>
        </is>
      </c>
      <c r="AG979" s="7" t="inlineStr">
        <is>
          <t>189</t>
        </is>
      </c>
      <c r="AH979" s="7" t="inlineStr">
        <is>
          <t>2086</t>
        </is>
      </c>
    </row>
    <row r="980" ht="10" customHeight="1">
      <c r="A980" s="7" t="inlineStr">
        <is>
          <t>SCN</t>
        </is>
      </c>
      <c r="B980" s="7" t="inlineStr">
        <is>
          <t>Procurement</t>
        </is>
      </c>
      <c r="D980" s="7" t="inlineStr">
        <is>
          <t>CVN Refueling Overhauls - P-35 ELECTRONIC CONSOLIDATED AUTOMATED SUPPORT SYSTEM (ECASS) - Major Hardware                                                                                                 1</t>
        </is>
      </c>
      <c r="E980" s="13" t="inlineStr">
        <is>
          <t>[ALT_VIEW]</t>
        </is>
      </c>
      <c r="F980" s="7" t="inlineStr">
        <is>
          <t>2086 / CVN Refueling Overhauls</t>
        </is>
      </c>
      <c r="G980" s="7" t="inlineStr">
        <is>
          <t>P-35</t>
        </is>
      </c>
      <c r="I980" s="14" t="n">
        <v>5</v>
      </c>
      <c r="J980" s="7" t="inlineStr">
        <is>
          <t>RCOH</t>
        </is>
      </c>
      <c r="K980" s="13" t="inlineStr">
        <is>
          <t>USN</t>
        </is>
      </c>
      <c r="L980" s="7" t="inlineStr">
        <is>
          <t>Combatant Ships</t>
        </is>
      </c>
      <c r="M980" s="7" t="inlineStr">
        <is>
          <t>Aircraft Carriers</t>
        </is>
      </c>
      <c r="N980" s="7" t="inlineStr">
        <is>
          <t>CVN</t>
        </is>
      </c>
      <c r="O980" s="15" t="n"/>
      <c r="S980" s="16" t="n">
        <v>36024</v>
      </c>
      <c r="U980" s="16" t="n">
        <v>36024</v>
      </c>
      <c r="AC980" s="23">
        <f>IF(OR(E980="",E980="[PARENT]"),"ADD",IF(E980="[ALT_VIEW]","ALT",""))</f>
        <v/>
      </c>
      <c r="AD980" s="21">
        <f>IF(Y980&lt;&gt;"",Y980,IF(U980&lt;&gt;"",U980,S980))</f>
        <v/>
      </c>
      <c r="AE980" s="21">
        <f>IF(AB980&lt;&gt;"",AB980,Z980)</f>
        <v/>
      </c>
      <c r="AF980" s="13" t="inlineStr">
        <is>
          <t>P-35 &gt; CVN Refueling Overhauls &gt; ELECTRONIC CONSOLIDATED AUTOMATED SUPPORT SYSTEM (ECASS) &gt; Major Hardware                                                                                                 1</t>
        </is>
      </c>
      <c r="AG980" s="7" t="inlineStr">
        <is>
          <t>190</t>
        </is>
      </c>
      <c r="AH980" s="7" t="inlineStr">
        <is>
          <t>2086</t>
        </is>
      </c>
    </row>
    <row r="981" ht="10" customHeight="1">
      <c r="A981" s="7" t="inlineStr">
        <is>
          <t>SCN</t>
        </is>
      </c>
      <c r="B981" s="7" t="inlineStr">
        <is>
          <t>Procurement</t>
        </is>
      </c>
      <c r="D981" s="7" t="inlineStr">
        <is>
          <t>CVN Refueling Overhauls - P-35 ELECTRONIC CONSOLIDATED AUTOMATED SUPPORT SYSTEM (ECASS) - Technical Engineering Services</t>
        </is>
      </c>
      <c r="E981" s="13" t="inlineStr">
        <is>
          <t>[ALT_VIEW]</t>
        </is>
      </c>
      <c r="F981" s="7" t="inlineStr">
        <is>
          <t>2086 / CVN Refueling Overhauls</t>
        </is>
      </c>
      <c r="G981" s="7" t="inlineStr">
        <is>
          <t>P-35</t>
        </is>
      </c>
      <c r="I981" s="14" t="n">
        <v>5</v>
      </c>
      <c r="J981" s="7" t="inlineStr">
        <is>
          <t>RCOH</t>
        </is>
      </c>
      <c r="K981" s="13" t="inlineStr">
        <is>
          <t>USN</t>
        </is>
      </c>
      <c r="L981" s="7" t="inlineStr">
        <is>
          <t>Combatant Ships</t>
        </is>
      </c>
      <c r="M981" s="7" t="inlineStr">
        <is>
          <t>Aircraft Carriers</t>
        </is>
      </c>
      <c r="N981" s="7" t="inlineStr">
        <is>
          <t>CVN</t>
        </is>
      </c>
      <c r="O981" s="15" t="n"/>
      <c r="S981" s="16" t="n">
        <v>2587</v>
      </c>
      <c r="U981" s="16" t="n">
        <v>2587</v>
      </c>
      <c r="AC981" s="23">
        <f>IF(OR(E981="",E981="[PARENT]"),"ADD",IF(E981="[ALT_VIEW]","ALT",""))</f>
        <v/>
      </c>
      <c r="AD981" s="21">
        <f>IF(Y981&lt;&gt;"",Y981,IF(U981&lt;&gt;"",U981,S981))</f>
        <v/>
      </c>
      <c r="AE981" s="21">
        <f>IF(AB981&lt;&gt;"",AB981,Z981)</f>
        <v/>
      </c>
      <c r="AF981" s="13" t="inlineStr">
        <is>
          <t>P-35 &gt; CVN Refueling Overhauls &gt; ELECTRONIC CONSOLIDATED AUTOMATED SUPPORT SYSTEM (ECASS) &gt; Technical Engineering Services</t>
        </is>
      </c>
      <c r="AG981" s="7" t="inlineStr">
        <is>
          <t>190</t>
        </is>
      </c>
      <c r="AH981" s="7" t="inlineStr">
        <is>
          <t>2086</t>
        </is>
      </c>
    </row>
    <row r="982" ht="10" customHeight="1">
      <c r="A982" s="7" t="inlineStr">
        <is>
          <t>SCN</t>
        </is>
      </c>
      <c r="B982" s="7" t="inlineStr">
        <is>
          <t>Procurement</t>
        </is>
      </c>
      <c r="D982" s="7" t="inlineStr">
        <is>
          <t>CVN Refueling Overhauls - P-35 ELECTRONIC CONSOLIDATED AUTOMATED SUPPORT SYSTEM (ECASS) - Other Costs</t>
        </is>
      </c>
      <c r="E982" s="13" t="inlineStr">
        <is>
          <t>[ALT_VIEW]</t>
        </is>
      </c>
      <c r="F982" s="7" t="inlineStr">
        <is>
          <t>2086 / CVN Refueling Overhauls</t>
        </is>
      </c>
      <c r="G982" s="7" t="inlineStr">
        <is>
          <t>P-35</t>
        </is>
      </c>
      <c r="I982" s="14" t="n">
        <v>5</v>
      </c>
      <c r="J982" s="7" t="inlineStr">
        <is>
          <t>RCOH</t>
        </is>
      </c>
      <c r="K982" s="13" t="inlineStr">
        <is>
          <t>USN</t>
        </is>
      </c>
      <c r="L982" s="7" t="inlineStr">
        <is>
          <t>Combatant Ships</t>
        </is>
      </c>
      <c r="M982" s="7" t="inlineStr">
        <is>
          <t>Aircraft Carriers</t>
        </is>
      </c>
      <c r="N982" s="7" t="inlineStr">
        <is>
          <t>CVN</t>
        </is>
      </c>
      <c r="O982" s="15" t="n"/>
      <c r="S982" s="16" t="n">
        <v>289</v>
      </c>
      <c r="U982" s="16" t="n">
        <v>289</v>
      </c>
      <c r="AC982" s="23">
        <f>IF(OR(E982="",E982="[PARENT]"),"ADD",IF(E982="[ALT_VIEW]","ALT",""))</f>
        <v/>
      </c>
      <c r="AD982" s="21">
        <f>IF(Y982&lt;&gt;"",Y982,IF(U982&lt;&gt;"",U982,S982))</f>
        <v/>
      </c>
      <c r="AE982" s="21">
        <f>IF(AB982&lt;&gt;"",AB982,Z982)</f>
        <v/>
      </c>
      <c r="AF982" s="13" t="inlineStr">
        <is>
          <t>P-35 &gt; CVN Refueling Overhauls &gt; ELECTRONIC CONSOLIDATED AUTOMATED SUPPORT SYSTEM (ECASS) &gt; Other Costs</t>
        </is>
      </c>
      <c r="AG982" s="7" t="inlineStr">
        <is>
          <t>190</t>
        </is>
      </c>
      <c r="AH982" s="7" t="inlineStr">
        <is>
          <t>2086</t>
        </is>
      </c>
    </row>
    <row r="983" ht="10" customHeight="1">
      <c r="A983" s="7" t="inlineStr">
        <is>
          <t>SCN</t>
        </is>
      </c>
      <c r="B983" s="7" t="inlineStr">
        <is>
          <t>Procurement</t>
        </is>
      </c>
      <c r="D983" s="7" t="inlineStr">
        <is>
          <t>CVN Refueling Overhauls - P-35 SHIP SELF DEFENSE SYSTEM (SSDS) MK2 MOD 1E - Major Hardware                                                                                              1</t>
        </is>
      </c>
      <c r="E983" s="13" t="inlineStr">
        <is>
          <t>[ALT_VIEW]</t>
        </is>
      </c>
      <c r="F983" s="7" t="inlineStr">
        <is>
          <t>2086 / CVN Refueling Overhauls</t>
        </is>
      </c>
      <c r="G983" s="7" t="inlineStr">
        <is>
          <t>P-35</t>
        </is>
      </c>
      <c r="I983" s="14" t="n">
        <v>5</v>
      </c>
      <c r="J983" s="7" t="inlineStr">
        <is>
          <t>RCOH</t>
        </is>
      </c>
      <c r="K983" s="13" t="inlineStr">
        <is>
          <t>USN</t>
        </is>
      </c>
      <c r="L983" s="7" t="inlineStr">
        <is>
          <t>Combatant Ships</t>
        </is>
      </c>
      <c r="M983" s="7" t="inlineStr">
        <is>
          <t>Aircraft Carriers</t>
        </is>
      </c>
      <c r="N983" s="7" t="inlineStr">
        <is>
          <t>CVN</t>
        </is>
      </c>
      <c r="O983" s="15" t="n"/>
      <c r="P983" s="16" t="n">
        <v>10475</v>
      </c>
      <c r="S983" s="16" t="n">
        <v>12606</v>
      </c>
      <c r="U983" s="16" t="n">
        <v>12606</v>
      </c>
      <c r="AC983" s="23">
        <f>IF(OR(E983="",E983="[PARENT]"),"ADD",IF(E983="[ALT_VIEW]","ALT",""))</f>
        <v/>
      </c>
      <c r="AD983" s="21">
        <f>IF(Y983&lt;&gt;"",Y983,IF(U983&lt;&gt;"",U983,S983))</f>
        <v/>
      </c>
      <c r="AE983" s="21">
        <f>IF(AB983&lt;&gt;"",AB983,Z983)</f>
        <v/>
      </c>
      <c r="AF983" s="13" t="inlineStr">
        <is>
          <t>P-35 &gt; CVN Refueling Overhauls &gt; SHIP SELF DEFENSE SYSTEM (SSDS) MK2 MOD 1E &gt; Major Hardware                                                                                              1</t>
        </is>
      </c>
      <c r="AG983" s="7" t="inlineStr">
        <is>
          <t>191</t>
        </is>
      </c>
      <c r="AH983" s="7" t="inlineStr">
        <is>
          <t>2086</t>
        </is>
      </c>
    </row>
    <row r="984" ht="10" customHeight="1">
      <c r="A984" s="7" t="inlineStr">
        <is>
          <t>SCN</t>
        </is>
      </c>
      <c r="B984" s="7" t="inlineStr">
        <is>
          <t>Procurement</t>
        </is>
      </c>
      <c r="D984" s="7" t="inlineStr">
        <is>
          <t>CVN Refueling Overhauls - P-35 SHIP SELF DEFENSE SYSTEM (SSDS) MK2 MOD 1E - Technical Data and Documentation</t>
        </is>
      </c>
      <c r="E984" s="13" t="inlineStr">
        <is>
          <t>[ALT_VIEW]</t>
        </is>
      </c>
      <c r="F984" s="7" t="inlineStr">
        <is>
          <t>2086 / CVN Refueling Overhauls</t>
        </is>
      </c>
      <c r="G984" s="7" t="inlineStr">
        <is>
          <t>P-35</t>
        </is>
      </c>
      <c r="I984" s="14" t="n">
        <v>5</v>
      </c>
      <c r="J984" s="7" t="inlineStr">
        <is>
          <t>RCOH</t>
        </is>
      </c>
      <c r="K984" s="13" t="inlineStr">
        <is>
          <t>USN</t>
        </is>
      </c>
      <c r="L984" s="7" t="inlineStr">
        <is>
          <t>Combatant Ships</t>
        </is>
      </c>
      <c r="M984" s="7" t="inlineStr">
        <is>
          <t>Aircraft Carriers</t>
        </is>
      </c>
      <c r="N984" s="7" t="inlineStr">
        <is>
          <t>CVN</t>
        </is>
      </c>
      <c r="O984" s="15" t="n"/>
      <c r="P984" s="16" t="n">
        <v>466</v>
      </c>
      <c r="S984" s="16" t="n">
        <v>548</v>
      </c>
      <c r="U984" s="16" t="n">
        <v>548</v>
      </c>
      <c r="AC984" s="23">
        <f>IF(OR(E984="",E984="[PARENT]"),"ADD",IF(E984="[ALT_VIEW]","ALT",""))</f>
        <v/>
      </c>
      <c r="AD984" s="21">
        <f>IF(Y984&lt;&gt;"",Y984,IF(U984&lt;&gt;"",U984,S984))</f>
        <v/>
      </c>
      <c r="AE984" s="21">
        <f>IF(AB984&lt;&gt;"",AB984,Z984)</f>
        <v/>
      </c>
      <c r="AF984" s="13" t="inlineStr">
        <is>
          <t>P-35 &gt; CVN Refueling Overhauls &gt; SHIP SELF DEFENSE SYSTEM (SSDS) MK2 MOD 1E &gt; Technical Data and Documentation</t>
        </is>
      </c>
      <c r="AG984" s="7" t="inlineStr">
        <is>
          <t>191</t>
        </is>
      </c>
      <c r="AH984" s="7" t="inlineStr">
        <is>
          <t>2086</t>
        </is>
      </c>
    </row>
    <row r="985" ht="10" customHeight="1">
      <c r="A985" s="7" t="inlineStr">
        <is>
          <t>SCN</t>
        </is>
      </c>
      <c r="B985" s="7" t="inlineStr">
        <is>
          <t>Procurement</t>
        </is>
      </c>
      <c r="D985" s="7" t="inlineStr">
        <is>
          <t>CVN Refueling Overhauls - P-35 SHIP SELF DEFENSE SYSTEM (SSDS) MK2 MOD 1E - Spares</t>
        </is>
      </c>
      <c r="E985" s="13" t="inlineStr">
        <is>
          <t>[ALT_VIEW]</t>
        </is>
      </c>
      <c r="F985" s="7" t="inlineStr">
        <is>
          <t>2086 / CVN Refueling Overhauls</t>
        </is>
      </c>
      <c r="G985" s="7" t="inlineStr">
        <is>
          <t>P-35</t>
        </is>
      </c>
      <c r="I985" s="14" t="n">
        <v>5</v>
      </c>
      <c r="J985" s="7" t="inlineStr">
        <is>
          <t>RCOH</t>
        </is>
      </c>
      <c r="K985" s="13" t="inlineStr">
        <is>
          <t>USN</t>
        </is>
      </c>
      <c r="L985" s="7" t="inlineStr">
        <is>
          <t>Combatant Ships</t>
        </is>
      </c>
      <c r="M985" s="7" t="inlineStr">
        <is>
          <t>Aircraft Carriers</t>
        </is>
      </c>
      <c r="N985" s="7" t="inlineStr">
        <is>
          <t>CVN</t>
        </is>
      </c>
      <c r="O985" s="15" t="n"/>
      <c r="P985" s="16" t="n">
        <v>518</v>
      </c>
      <c r="S985" s="16" t="n">
        <v>405</v>
      </c>
      <c r="U985" s="16" t="n">
        <v>405</v>
      </c>
      <c r="AC985" s="23">
        <f>IF(OR(E985="",E985="[PARENT]"),"ADD",IF(E985="[ALT_VIEW]","ALT",""))</f>
        <v/>
      </c>
      <c r="AD985" s="21">
        <f>IF(Y985&lt;&gt;"",Y985,IF(U985&lt;&gt;"",U985,S985))</f>
        <v/>
      </c>
      <c r="AE985" s="21">
        <f>IF(AB985&lt;&gt;"",AB985,Z985)</f>
        <v/>
      </c>
      <c r="AF985" s="13" t="inlineStr">
        <is>
          <t>P-35 &gt; CVN Refueling Overhauls &gt; SHIP SELF DEFENSE SYSTEM (SSDS) MK2 MOD 1E &gt; Spares</t>
        </is>
      </c>
      <c r="AG985" s="7" t="inlineStr">
        <is>
          <t>191</t>
        </is>
      </c>
      <c r="AH985" s="7" t="inlineStr">
        <is>
          <t>2086</t>
        </is>
      </c>
    </row>
    <row r="986" ht="10" customHeight="1">
      <c r="A986" s="7" t="inlineStr">
        <is>
          <t>SCN</t>
        </is>
      </c>
      <c r="B986" s="7" t="inlineStr">
        <is>
          <t>Procurement</t>
        </is>
      </c>
      <c r="D986" s="7" t="inlineStr">
        <is>
          <t>CVN Refueling Overhauls - P-35 SHIP SELF DEFENSE SYSTEM (SSDS) MK2 MOD 1E - System Engineering</t>
        </is>
      </c>
      <c r="E986" s="13" t="inlineStr">
        <is>
          <t>[ALT_VIEW]</t>
        </is>
      </c>
      <c r="F986" s="7" t="inlineStr">
        <is>
          <t>2086 / CVN Refueling Overhauls</t>
        </is>
      </c>
      <c r="G986" s="7" t="inlineStr">
        <is>
          <t>P-35</t>
        </is>
      </c>
      <c r="I986" s="14" t="n">
        <v>5</v>
      </c>
      <c r="J986" s="7" t="inlineStr">
        <is>
          <t>RCOH</t>
        </is>
      </c>
      <c r="K986" s="13" t="inlineStr">
        <is>
          <t>USN</t>
        </is>
      </c>
      <c r="L986" s="7" t="inlineStr">
        <is>
          <t>Combatant Ships</t>
        </is>
      </c>
      <c r="M986" s="7" t="inlineStr">
        <is>
          <t>Aircraft Carriers</t>
        </is>
      </c>
      <c r="N986" s="7" t="inlineStr">
        <is>
          <t>CVN</t>
        </is>
      </c>
      <c r="O986" s="15" t="n"/>
      <c r="P986" s="16" t="n">
        <v>4320</v>
      </c>
      <c r="S986" s="16" t="n">
        <v>5870</v>
      </c>
      <c r="U986" s="16" t="n">
        <v>5870</v>
      </c>
      <c r="AC986" s="23">
        <f>IF(OR(E986="",E986="[PARENT]"),"ADD",IF(E986="[ALT_VIEW]","ALT",""))</f>
        <v/>
      </c>
      <c r="AD986" s="21">
        <f>IF(Y986&lt;&gt;"",Y986,IF(U986&lt;&gt;"",U986,S986))</f>
        <v/>
      </c>
      <c r="AE986" s="21">
        <f>IF(AB986&lt;&gt;"",AB986,Z986)</f>
        <v/>
      </c>
      <c r="AF986" s="13" t="inlineStr">
        <is>
          <t>P-35 &gt; CVN Refueling Overhauls &gt; SHIP SELF DEFENSE SYSTEM (SSDS) MK2 MOD 1E &gt; System Engineering</t>
        </is>
      </c>
      <c r="AG986" s="7" t="inlineStr">
        <is>
          <t>191</t>
        </is>
      </c>
      <c r="AH986" s="7" t="inlineStr">
        <is>
          <t>2086</t>
        </is>
      </c>
    </row>
    <row r="987" ht="10" customHeight="1">
      <c r="A987" s="7" t="inlineStr">
        <is>
          <t>SCN</t>
        </is>
      </c>
      <c r="B987" s="7" t="inlineStr">
        <is>
          <t>Procurement</t>
        </is>
      </c>
      <c r="D987" s="7" t="inlineStr">
        <is>
          <t>CVN Refueling Overhauls - P-35 SHIP SELF DEFENSE SYSTEM (SSDS) MK2 MOD 1E - Technical Engineering Services</t>
        </is>
      </c>
      <c r="E987" s="13" t="inlineStr">
        <is>
          <t>[ALT_VIEW]</t>
        </is>
      </c>
      <c r="F987" s="7" t="inlineStr">
        <is>
          <t>2086 / CVN Refueling Overhauls</t>
        </is>
      </c>
      <c r="G987" s="7" t="inlineStr">
        <is>
          <t>P-35</t>
        </is>
      </c>
      <c r="I987" s="14" t="n">
        <v>5</v>
      </c>
      <c r="J987" s="7" t="inlineStr">
        <is>
          <t>RCOH</t>
        </is>
      </c>
      <c r="K987" s="13" t="inlineStr">
        <is>
          <t>USN</t>
        </is>
      </c>
      <c r="L987" s="7" t="inlineStr">
        <is>
          <t>Combatant Ships</t>
        </is>
      </c>
      <c r="M987" s="7" t="inlineStr">
        <is>
          <t>Aircraft Carriers</t>
        </is>
      </c>
      <c r="N987" s="7" t="inlineStr">
        <is>
          <t>CVN</t>
        </is>
      </c>
      <c r="O987" s="15" t="n"/>
      <c r="P987" s="16" t="n">
        <v>7391</v>
      </c>
      <c r="S987" s="16" t="n">
        <v>10503</v>
      </c>
      <c r="U987" s="16" t="n">
        <v>10503</v>
      </c>
      <c r="AC987" s="23">
        <f>IF(OR(E987="",E987="[PARENT]"),"ADD",IF(E987="[ALT_VIEW]","ALT",""))</f>
        <v/>
      </c>
      <c r="AD987" s="21">
        <f>IF(Y987&lt;&gt;"",Y987,IF(U987&lt;&gt;"",U987,S987))</f>
        <v/>
      </c>
      <c r="AE987" s="21">
        <f>IF(AB987&lt;&gt;"",AB987,Z987)</f>
        <v/>
      </c>
      <c r="AF987" s="13" t="inlineStr">
        <is>
          <t>P-35 &gt; CVN Refueling Overhauls &gt; SHIP SELF DEFENSE SYSTEM (SSDS) MK2 MOD 1E &gt; Technical Engineering Services</t>
        </is>
      </c>
      <c r="AG987" s="7" t="inlineStr">
        <is>
          <t>191</t>
        </is>
      </c>
      <c r="AH987" s="7" t="inlineStr">
        <is>
          <t>2086</t>
        </is>
      </c>
    </row>
    <row r="988" ht="10" customHeight="1">
      <c r="A988" s="7" t="inlineStr">
        <is>
          <t>SCN</t>
        </is>
      </c>
      <c r="B988" s="7" t="inlineStr">
        <is>
          <t>Procurement</t>
        </is>
      </c>
      <c r="D988" s="7" t="inlineStr">
        <is>
          <t>CVN Refueling Overhauls - P-35 SHIP SELF DEFENSE SYSTEM (SSDS) MK2 MOD 1E - Other Costs</t>
        </is>
      </c>
      <c r="E988" s="13" t="inlineStr">
        <is>
          <t>[ALT_VIEW]</t>
        </is>
      </c>
      <c r="F988" s="7" t="inlineStr">
        <is>
          <t>2086 / CVN Refueling Overhauls</t>
        </is>
      </c>
      <c r="G988" s="7" t="inlineStr">
        <is>
          <t>P-35</t>
        </is>
      </c>
      <c r="I988" s="14" t="n">
        <v>5</v>
      </c>
      <c r="J988" s="7" t="inlineStr">
        <is>
          <t>RCOH</t>
        </is>
      </c>
      <c r="K988" s="13" t="inlineStr">
        <is>
          <t>USN</t>
        </is>
      </c>
      <c r="L988" s="7" t="inlineStr">
        <is>
          <t>Combatant Ships</t>
        </is>
      </c>
      <c r="M988" s="7" t="inlineStr">
        <is>
          <t>Aircraft Carriers</t>
        </is>
      </c>
      <c r="N988" s="7" t="inlineStr">
        <is>
          <t>CVN</t>
        </is>
      </c>
      <c r="O988" s="15" t="n"/>
      <c r="P988" s="16" t="n">
        <v>4103</v>
      </c>
      <c r="S988" s="16" t="n">
        <v>16823</v>
      </c>
      <c r="U988" s="16" t="n">
        <v>16823</v>
      </c>
      <c r="AC988" s="23">
        <f>IF(OR(E988="",E988="[PARENT]"),"ADD",IF(E988="[ALT_VIEW]","ALT",""))</f>
        <v/>
      </c>
      <c r="AD988" s="21">
        <f>IF(Y988&lt;&gt;"",Y988,IF(U988&lt;&gt;"",U988,S988))</f>
        <v/>
      </c>
      <c r="AE988" s="21">
        <f>IF(AB988&lt;&gt;"",AB988,Z988)</f>
        <v/>
      </c>
      <c r="AF988" s="13" t="inlineStr">
        <is>
          <t>P-35 &gt; CVN Refueling Overhauls &gt; SHIP SELF DEFENSE SYSTEM (SSDS) MK2 MOD 1E &gt; Other Costs</t>
        </is>
      </c>
      <c r="AG988" s="7" t="inlineStr">
        <is>
          <t>191</t>
        </is>
      </c>
      <c r="AH988" s="7" t="inlineStr">
        <is>
          <t>2086</t>
        </is>
      </c>
    </row>
    <row r="989" ht="10" customHeight="1">
      <c r="A989" s="7" t="inlineStr">
        <is>
          <t>SCN</t>
        </is>
      </c>
      <c r="B989" s="7" t="inlineStr">
        <is>
          <t>Procurement</t>
        </is>
      </c>
      <c r="D989" s="7" t="inlineStr">
        <is>
          <t>CVN Refueling Overhauls - P-35 AN/SPN-50(V)1 - AIR TRAFFIC CONTROL RADAR - Major Hardware                                                                                                 1</t>
        </is>
      </c>
      <c r="E989" s="13" t="inlineStr">
        <is>
          <t>[ALT_VIEW]</t>
        </is>
      </c>
      <c r="F989" s="7" t="inlineStr">
        <is>
          <t>2086 / CVN Refueling Overhauls</t>
        </is>
      </c>
      <c r="G989" s="7" t="inlineStr">
        <is>
          <t>P-35</t>
        </is>
      </c>
      <c r="I989" s="14" t="n">
        <v>5</v>
      </c>
      <c r="J989" s="7" t="inlineStr">
        <is>
          <t>RCOH</t>
        </is>
      </c>
      <c r="K989" s="13" t="inlineStr">
        <is>
          <t>USN</t>
        </is>
      </c>
      <c r="L989" s="7" t="inlineStr">
        <is>
          <t>Combatant Ships</t>
        </is>
      </c>
      <c r="M989" s="7" t="inlineStr">
        <is>
          <t>Aircraft Carriers</t>
        </is>
      </c>
      <c r="N989" s="7" t="inlineStr">
        <is>
          <t>CVN</t>
        </is>
      </c>
      <c r="O989" s="15" t="n"/>
      <c r="P989" s="16" t="n">
        <v>10706</v>
      </c>
      <c r="S989" s="16" t="n">
        <v>12216</v>
      </c>
      <c r="U989" s="16" t="n">
        <v>12216</v>
      </c>
      <c r="AC989" s="23">
        <f>IF(OR(E989="",E989="[PARENT]"),"ADD",IF(E989="[ALT_VIEW]","ALT",""))</f>
        <v/>
      </c>
      <c r="AD989" s="21">
        <f>IF(Y989&lt;&gt;"",Y989,IF(U989&lt;&gt;"",U989,S989))</f>
        <v/>
      </c>
      <c r="AE989" s="21">
        <f>IF(AB989&lt;&gt;"",AB989,Z989)</f>
        <v/>
      </c>
      <c r="AF989" s="13" t="inlineStr">
        <is>
          <t>P-35 &gt; CVN Refueling Overhauls &gt; AN/SPN-50(V)1 - AIR TRAFFIC CONTROL RADAR &gt; Major Hardware                                                                                                 1</t>
        </is>
      </c>
      <c r="AG989" s="7" t="inlineStr">
        <is>
          <t>192</t>
        </is>
      </c>
      <c r="AH989" s="7" t="inlineStr">
        <is>
          <t>2086</t>
        </is>
      </c>
    </row>
    <row r="990" ht="10" customHeight="1">
      <c r="A990" s="7" t="inlineStr">
        <is>
          <t>SCN</t>
        </is>
      </c>
      <c r="B990" s="7" t="inlineStr">
        <is>
          <t>Procurement</t>
        </is>
      </c>
      <c r="D990" s="7" t="inlineStr">
        <is>
          <t>CVN Refueling Overhauls - P-35 AN/SPN-50(V)1 - AIR TRAFFIC CONTROL RADAR - Technical Data and Documentation</t>
        </is>
      </c>
      <c r="E990" s="13" t="inlineStr">
        <is>
          <t>[ALT_VIEW]</t>
        </is>
      </c>
      <c r="F990" s="7" t="inlineStr">
        <is>
          <t>2086 / CVN Refueling Overhauls</t>
        </is>
      </c>
      <c r="G990" s="7" t="inlineStr">
        <is>
          <t>P-35</t>
        </is>
      </c>
      <c r="I990" s="14" t="n">
        <v>5</v>
      </c>
      <c r="J990" s="7" t="inlineStr">
        <is>
          <t>RCOH</t>
        </is>
      </c>
      <c r="K990" s="13" t="inlineStr">
        <is>
          <t>USN</t>
        </is>
      </c>
      <c r="L990" s="7" t="inlineStr">
        <is>
          <t>Combatant Ships</t>
        </is>
      </c>
      <c r="M990" s="7" t="inlineStr">
        <is>
          <t>Aircraft Carriers</t>
        </is>
      </c>
      <c r="N990" s="7" t="inlineStr">
        <is>
          <t>CVN</t>
        </is>
      </c>
      <c r="O990" s="15" t="n"/>
      <c r="P990" s="16" t="n">
        <v>113</v>
      </c>
      <c r="S990" s="16" t="n">
        <v>142</v>
      </c>
      <c r="U990" s="16" t="n">
        <v>142</v>
      </c>
      <c r="AC990" s="23">
        <f>IF(OR(E990="",E990="[PARENT]"),"ADD",IF(E990="[ALT_VIEW]","ALT",""))</f>
        <v/>
      </c>
      <c r="AD990" s="21">
        <f>IF(Y990&lt;&gt;"",Y990,IF(U990&lt;&gt;"",U990,S990))</f>
        <v/>
      </c>
      <c r="AE990" s="21">
        <f>IF(AB990&lt;&gt;"",AB990,Z990)</f>
        <v/>
      </c>
      <c r="AF990" s="13" t="inlineStr">
        <is>
          <t>P-35 &gt; CVN Refueling Overhauls &gt; AN/SPN-50(V)1 - AIR TRAFFIC CONTROL RADAR &gt; Technical Data and Documentation</t>
        </is>
      </c>
      <c r="AG990" s="7" t="inlineStr">
        <is>
          <t>192</t>
        </is>
      </c>
      <c r="AH990" s="7" t="inlineStr">
        <is>
          <t>2086</t>
        </is>
      </c>
    </row>
    <row r="991" ht="10" customHeight="1">
      <c r="A991" s="7" t="inlineStr">
        <is>
          <t>SCN</t>
        </is>
      </c>
      <c r="B991" s="7" t="inlineStr">
        <is>
          <t>Procurement</t>
        </is>
      </c>
      <c r="D991" s="7" t="inlineStr">
        <is>
          <t>CVN Refueling Overhauls - P-35 AN/SPN-50(V)1 - AIR TRAFFIC CONTROL RADAR - Spares</t>
        </is>
      </c>
      <c r="E991" s="13" t="inlineStr">
        <is>
          <t>[ALT_VIEW]</t>
        </is>
      </c>
      <c r="F991" s="7" t="inlineStr">
        <is>
          <t>2086 / CVN Refueling Overhauls</t>
        </is>
      </c>
      <c r="G991" s="7" t="inlineStr">
        <is>
          <t>P-35</t>
        </is>
      </c>
      <c r="I991" s="14" t="n">
        <v>5</v>
      </c>
      <c r="J991" s="7" t="inlineStr">
        <is>
          <t>RCOH</t>
        </is>
      </c>
      <c r="K991" s="13" t="inlineStr">
        <is>
          <t>USN</t>
        </is>
      </c>
      <c r="L991" s="7" t="inlineStr">
        <is>
          <t>Combatant Ships</t>
        </is>
      </c>
      <c r="M991" s="7" t="inlineStr">
        <is>
          <t>Aircraft Carriers</t>
        </is>
      </c>
      <c r="N991" s="7" t="inlineStr">
        <is>
          <t>CVN</t>
        </is>
      </c>
      <c r="O991" s="15" t="n"/>
      <c r="P991" s="16" t="n">
        <v>843</v>
      </c>
      <c r="S991" s="16" t="n">
        <v>138</v>
      </c>
      <c r="U991" s="16" t="n">
        <v>138</v>
      </c>
      <c r="AC991" s="23">
        <f>IF(OR(E991="",E991="[PARENT]"),"ADD",IF(E991="[ALT_VIEW]","ALT",""))</f>
        <v/>
      </c>
      <c r="AD991" s="21">
        <f>IF(Y991&lt;&gt;"",Y991,IF(U991&lt;&gt;"",U991,S991))</f>
        <v/>
      </c>
      <c r="AE991" s="21">
        <f>IF(AB991&lt;&gt;"",AB991,Z991)</f>
        <v/>
      </c>
      <c r="AF991" s="13" t="inlineStr">
        <is>
          <t>P-35 &gt; CVN Refueling Overhauls &gt; AN/SPN-50(V)1 - AIR TRAFFIC CONTROL RADAR &gt; Spares</t>
        </is>
      </c>
      <c r="AG991" s="7" t="inlineStr">
        <is>
          <t>192</t>
        </is>
      </c>
      <c r="AH991" s="7" t="inlineStr">
        <is>
          <t>2086</t>
        </is>
      </c>
    </row>
    <row r="992" ht="10" customHeight="1">
      <c r="A992" s="7" t="inlineStr">
        <is>
          <t>SCN</t>
        </is>
      </c>
      <c r="B992" s="7" t="inlineStr">
        <is>
          <t>Procurement</t>
        </is>
      </c>
      <c r="D992" s="7" t="inlineStr">
        <is>
          <t>CVN Refueling Overhauls - P-35 AN/SPN-50(V)1 - AIR TRAFFIC CONTROL RADAR - System Engineering</t>
        </is>
      </c>
      <c r="E992" s="13" t="inlineStr">
        <is>
          <t>[ALT_VIEW]</t>
        </is>
      </c>
      <c r="F992" s="7" t="inlineStr">
        <is>
          <t>2086 / CVN Refueling Overhauls</t>
        </is>
      </c>
      <c r="G992" s="7" t="inlineStr">
        <is>
          <t>P-35</t>
        </is>
      </c>
      <c r="I992" s="14" t="n">
        <v>5</v>
      </c>
      <c r="J992" s="7" t="inlineStr">
        <is>
          <t>RCOH</t>
        </is>
      </c>
      <c r="K992" s="13" t="inlineStr">
        <is>
          <t>USN</t>
        </is>
      </c>
      <c r="L992" s="7" t="inlineStr">
        <is>
          <t>Combatant Ships</t>
        </is>
      </c>
      <c r="M992" s="7" t="inlineStr">
        <is>
          <t>Aircraft Carriers</t>
        </is>
      </c>
      <c r="N992" s="7" t="inlineStr">
        <is>
          <t>CVN</t>
        </is>
      </c>
      <c r="O992" s="15" t="n"/>
      <c r="P992" s="16" t="n">
        <v>490</v>
      </c>
      <c r="S992" s="16" t="n">
        <v>675</v>
      </c>
      <c r="U992" s="16" t="n">
        <v>675</v>
      </c>
      <c r="AC992" s="23">
        <f>IF(OR(E992="",E992="[PARENT]"),"ADD",IF(E992="[ALT_VIEW]","ALT",""))</f>
        <v/>
      </c>
      <c r="AD992" s="21">
        <f>IF(Y992&lt;&gt;"",Y992,IF(U992&lt;&gt;"",U992,S992))</f>
        <v/>
      </c>
      <c r="AE992" s="21">
        <f>IF(AB992&lt;&gt;"",AB992,Z992)</f>
        <v/>
      </c>
      <c r="AF992" s="13" t="inlineStr">
        <is>
          <t>P-35 &gt; CVN Refueling Overhauls &gt; AN/SPN-50(V)1 - AIR TRAFFIC CONTROL RADAR &gt; System Engineering</t>
        </is>
      </c>
      <c r="AG992" s="7" t="inlineStr">
        <is>
          <t>192</t>
        </is>
      </c>
      <c r="AH992" s="7" t="inlineStr">
        <is>
          <t>2086</t>
        </is>
      </c>
    </row>
    <row r="993" ht="10" customHeight="1">
      <c r="A993" s="7" t="inlineStr">
        <is>
          <t>SCN</t>
        </is>
      </c>
      <c r="B993" s="7" t="inlineStr">
        <is>
          <t>Procurement</t>
        </is>
      </c>
      <c r="D993" s="7" t="inlineStr">
        <is>
          <t>CVN Refueling Overhauls - P-35 AN/SPN-50(V)1 - AIR TRAFFIC CONTROL RADAR - Technical Engineering Services</t>
        </is>
      </c>
      <c r="E993" s="13" t="inlineStr">
        <is>
          <t>[ALT_VIEW]</t>
        </is>
      </c>
      <c r="F993" s="7" t="inlineStr">
        <is>
          <t>2086 / CVN Refueling Overhauls</t>
        </is>
      </c>
      <c r="G993" s="7" t="inlineStr">
        <is>
          <t>P-35</t>
        </is>
      </c>
      <c r="I993" s="14" t="n">
        <v>5</v>
      </c>
      <c r="J993" s="7" t="inlineStr">
        <is>
          <t>RCOH</t>
        </is>
      </c>
      <c r="K993" s="13" t="inlineStr">
        <is>
          <t>USN</t>
        </is>
      </c>
      <c r="L993" s="7" t="inlineStr">
        <is>
          <t>Combatant Ships</t>
        </is>
      </c>
      <c r="M993" s="7" t="inlineStr">
        <is>
          <t>Aircraft Carriers</t>
        </is>
      </c>
      <c r="N993" s="7" t="inlineStr">
        <is>
          <t>CVN</t>
        </is>
      </c>
      <c r="O993" s="15" t="n"/>
      <c r="P993" s="16" t="n">
        <v>2327</v>
      </c>
      <c r="S993" s="16" t="n">
        <v>2723</v>
      </c>
      <c r="U993" s="16" t="n">
        <v>2723</v>
      </c>
      <c r="AC993" s="23">
        <f>IF(OR(E993="",E993="[PARENT]"),"ADD",IF(E993="[ALT_VIEW]","ALT",""))</f>
        <v/>
      </c>
      <c r="AD993" s="21">
        <f>IF(Y993&lt;&gt;"",Y993,IF(U993&lt;&gt;"",U993,S993))</f>
        <v/>
      </c>
      <c r="AE993" s="21">
        <f>IF(AB993&lt;&gt;"",AB993,Z993)</f>
        <v/>
      </c>
      <c r="AF993" s="13" t="inlineStr">
        <is>
          <t>P-35 &gt; CVN Refueling Overhauls &gt; AN/SPN-50(V)1 - AIR TRAFFIC CONTROL RADAR &gt; Technical Engineering Services</t>
        </is>
      </c>
      <c r="AG993" s="7" t="inlineStr">
        <is>
          <t>192</t>
        </is>
      </c>
      <c r="AH993" s="7" t="inlineStr">
        <is>
          <t>2086</t>
        </is>
      </c>
    </row>
    <row r="994" ht="10" customHeight="1">
      <c r="A994" s="7" t="inlineStr">
        <is>
          <t>SCN</t>
        </is>
      </c>
      <c r="B994" s="7" t="inlineStr">
        <is>
          <t>Procurement</t>
        </is>
      </c>
      <c r="D994" s="7" t="inlineStr">
        <is>
          <t>CVN Refueling Overhauls - P-35 AN/SPN-50(V)1 - AIR TRAFFIC CONTROL RADAR - Other Costs</t>
        </is>
      </c>
      <c r="E994" s="13" t="inlineStr">
        <is>
          <t>[ALT_VIEW]</t>
        </is>
      </c>
      <c r="F994" s="7" t="inlineStr">
        <is>
          <t>2086 / CVN Refueling Overhauls</t>
        </is>
      </c>
      <c r="G994" s="7" t="inlineStr">
        <is>
          <t>P-35</t>
        </is>
      </c>
      <c r="I994" s="14" t="n">
        <v>5</v>
      </c>
      <c r="J994" s="7" t="inlineStr">
        <is>
          <t>RCOH</t>
        </is>
      </c>
      <c r="K994" s="13" t="inlineStr">
        <is>
          <t>USN</t>
        </is>
      </c>
      <c r="L994" s="7" t="inlineStr">
        <is>
          <t>Combatant Ships</t>
        </is>
      </c>
      <c r="M994" s="7" t="inlineStr">
        <is>
          <t>Aircraft Carriers</t>
        </is>
      </c>
      <c r="N994" s="7" t="inlineStr">
        <is>
          <t>CVN</t>
        </is>
      </c>
      <c r="O994" s="15" t="n"/>
      <c r="P994" s="16" t="n">
        <v>175</v>
      </c>
      <c r="S994" s="16" t="n">
        <v>565</v>
      </c>
      <c r="U994" s="16" t="n">
        <v>565</v>
      </c>
      <c r="AC994" s="23">
        <f>IF(OR(E994="",E994="[PARENT]"),"ADD",IF(E994="[ALT_VIEW]","ALT",""))</f>
        <v/>
      </c>
      <c r="AD994" s="21">
        <f>IF(Y994&lt;&gt;"",Y994,IF(U994&lt;&gt;"",U994,S994))</f>
        <v/>
      </c>
      <c r="AE994" s="21">
        <f>IF(AB994&lt;&gt;"",AB994,Z994)</f>
        <v/>
      </c>
      <c r="AF994" s="13" t="inlineStr">
        <is>
          <t>P-35 &gt; CVN Refueling Overhauls &gt; AN/SPN-50(V)1 - AIR TRAFFIC CONTROL RADAR &gt; Other Costs</t>
        </is>
      </c>
      <c r="AG994" s="7" t="inlineStr">
        <is>
          <t>192</t>
        </is>
      </c>
      <c r="AH994" s="7" t="inlineStr">
        <is>
          <t>2086</t>
        </is>
      </c>
    </row>
    <row r="995" ht="10" customHeight="1">
      <c r="A995" s="7" t="inlineStr">
        <is>
          <t>SCN</t>
        </is>
      </c>
      <c r="B995" s="7" t="inlineStr">
        <is>
          <t>Procurement</t>
        </is>
      </c>
      <c r="D995" s="7" t="inlineStr">
        <is>
          <t>CVN Refueling Overhauls - P-35 AN/SPN-46 OVERHAUL/UPGRADE - Major Hardware                                                                                                        1</t>
        </is>
      </c>
      <c r="E995" s="13" t="inlineStr">
        <is>
          <t>[ALT_VIEW]</t>
        </is>
      </c>
      <c r="F995" s="7" t="inlineStr">
        <is>
          <t>2086 / CVN Refueling Overhauls</t>
        </is>
      </c>
      <c r="G995" s="7" t="inlineStr">
        <is>
          <t>P-35</t>
        </is>
      </c>
      <c r="I995" s="14" t="n">
        <v>5</v>
      </c>
      <c r="J995" s="7" t="inlineStr">
        <is>
          <t>RCOH</t>
        </is>
      </c>
      <c r="K995" s="13" t="inlineStr">
        <is>
          <t>USN</t>
        </is>
      </c>
      <c r="L995" s="7" t="inlineStr">
        <is>
          <t>Combatant Ships</t>
        </is>
      </c>
      <c r="M995" s="7" t="inlineStr">
        <is>
          <t>Aircraft Carriers</t>
        </is>
      </c>
      <c r="N995" s="7" t="inlineStr">
        <is>
          <t>CVN</t>
        </is>
      </c>
      <c r="O995" s="15" t="n"/>
      <c r="P995" s="16" t="n">
        <v>4863</v>
      </c>
      <c r="S995" s="16" t="n">
        <v>10323</v>
      </c>
      <c r="U995" s="16" t="n">
        <v>10323</v>
      </c>
      <c r="AC995" s="23">
        <f>IF(OR(E995="",E995="[PARENT]"),"ADD",IF(E995="[ALT_VIEW]","ALT",""))</f>
        <v/>
      </c>
      <c r="AD995" s="21">
        <f>IF(Y995&lt;&gt;"",Y995,IF(U995&lt;&gt;"",U995,S995))</f>
        <v/>
      </c>
      <c r="AE995" s="21">
        <f>IF(AB995&lt;&gt;"",AB995,Z995)</f>
        <v/>
      </c>
      <c r="AF995" s="13" t="inlineStr">
        <is>
          <t>P-35 &gt; CVN Refueling Overhauls &gt; AN/SPN-46 OVERHAUL/UPGRADE &gt; Major Hardware                                                                                                        1</t>
        </is>
      </c>
      <c r="AG995" s="7" t="inlineStr">
        <is>
          <t>193</t>
        </is>
      </c>
      <c r="AH995" s="7" t="inlineStr">
        <is>
          <t>2086</t>
        </is>
      </c>
    </row>
    <row r="996" ht="10" customHeight="1">
      <c r="A996" s="7" t="inlineStr">
        <is>
          <t>SCN</t>
        </is>
      </c>
      <c r="B996" s="7" t="inlineStr">
        <is>
          <t>Procurement</t>
        </is>
      </c>
      <c r="D996" s="7" t="inlineStr">
        <is>
          <t>CVN Refueling Overhauls - P-35 AN/SPN-46 OVERHAUL/UPGRADE - System Engineering</t>
        </is>
      </c>
      <c r="E996" s="13" t="inlineStr">
        <is>
          <t>[ALT_VIEW]</t>
        </is>
      </c>
      <c r="F996" s="7" t="inlineStr">
        <is>
          <t>2086 / CVN Refueling Overhauls</t>
        </is>
      </c>
      <c r="G996" s="7" t="inlineStr">
        <is>
          <t>P-35</t>
        </is>
      </c>
      <c r="I996" s="14" t="n">
        <v>5</v>
      </c>
      <c r="J996" s="7" t="inlineStr">
        <is>
          <t>RCOH</t>
        </is>
      </c>
      <c r="K996" s="13" t="inlineStr">
        <is>
          <t>USN</t>
        </is>
      </c>
      <c r="L996" s="7" t="inlineStr">
        <is>
          <t>Combatant Ships</t>
        </is>
      </c>
      <c r="M996" s="7" t="inlineStr">
        <is>
          <t>Aircraft Carriers</t>
        </is>
      </c>
      <c r="N996" s="7" t="inlineStr">
        <is>
          <t>CVN</t>
        </is>
      </c>
      <c r="O996" s="15" t="n"/>
      <c r="P996" s="16" t="n">
        <v>617</v>
      </c>
      <c r="S996" s="16" t="n">
        <v>330</v>
      </c>
      <c r="U996" s="16" t="n">
        <v>330</v>
      </c>
      <c r="AC996" s="23">
        <f>IF(OR(E996="",E996="[PARENT]"),"ADD",IF(E996="[ALT_VIEW]","ALT",""))</f>
        <v/>
      </c>
      <c r="AD996" s="21">
        <f>IF(Y996&lt;&gt;"",Y996,IF(U996&lt;&gt;"",U996,S996))</f>
        <v/>
      </c>
      <c r="AE996" s="21">
        <f>IF(AB996&lt;&gt;"",AB996,Z996)</f>
        <v/>
      </c>
      <c r="AF996" s="13" t="inlineStr">
        <is>
          <t>P-35 &gt; CVN Refueling Overhauls &gt; AN/SPN-46 OVERHAUL/UPGRADE &gt; System Engineering</t>
        </is>
      </c>
      <c r="AG996" s="7" t="inlineStr">
        <is>
          <t>193</t>
        </is>
      </c>
      <c r="AH996" s="7" t="inlineStr">
        <is>
          <t>2086</t>
        </is>
      </c>
    </row>
    <row r="997" ht="10" customHeight="1">
      <c r="A997" s="7" t="inlineStr">
        <is>
          <t>SCN</t>
        </is>
      </c>
      <c r="B997" s="7" t="inlineStr">
        <is>
          <t>Procurement</t>
        </is>
      </c>
      <c r="D997" s="7" t="inlineStr">
        <is>
          <t>CVN Refueling Overhauls - P-35 AN/SPN-46 OVERHAUL/UPGRADE - Technical Engineering Services</t>
        </is>
      </c>
      <c r="E997" s="13" t="inlineStr">
        <is>
          <t>[ALT_VIEW]</t>
        </is>
      </c>
      <c r="F997" s="7" t="inlineStr">
        <is>
          <t>2086 / CVN Refueling Overhauls</t>
        </is>
      </c>
      <c r="G997" s="7" t="inlineStr">
        <is>
          <t>P-35</t>
        </is>
      </c>
      <c r="I997" s="14" t="n">
        <v>5</v>
      </c>
      <c r="J997" s="7" t="inlineStr">
        <is>
          <t>RCOH</t>
        </is>
      </c>
      <c r="K997" s="13" t="inlineStr">
        <is>
          <t>USN</t>
        </is>
      </c>
      <c r="L997" s="7" t="inlineStr">
        <is>
          <t>Combatant Ships</t>
        </is>
      </c>
      <c r="M997" s="7" t="inlineStr">
        <is>
          <t>Aircraft Carriers</t>
        </is>
      </c>
      <c r="N997" s="7" t="inlineStr">
        <is>
          <t>CVN</t>
        </is>
      </c>
      <c r="O997" s="15" t="n"/>
      <c r="P997" s="16" t="n">
        <v>3335</v>
      </c>
      <c r="S997" s="16" t="n">
        <v>710</v>
      </c>
      <c r="U997" s="16" t="n">
        <v>710</v>
      </c>
      <c r="AC997" s="23">
        <f>IF(OR(E997="",E997="[PARENT]"),"ADD",IF(E997="[ALT_VIEW]","ALT",""))</f>
        <v/>
      </c>
      <c r="AD997" s="21">
        <f>IF(Y997&lt;&gt;"",Y997,IF(U997&lt;&gt;"",U997,S997))</f>
        <v/>
      </c>
      <c r="AE997" s="21">
        <f>IF(AB997&lt;&gt;"",AB997,Z997)</f>
        <v/>
      </c>
      <c r="AF997" s="13" t="inlineStr">
        <is>
          <t>P-35 &gt; CVN Refueling Overhauls &gt; AN/SPN-46 OVERHAUL/UPGRADE &gt; Technical Engineering Services</t>
        </is>
      </c>
      <c r="AG997" s="7" t="inlineStr">
        <is>
          <t>193</t>
        </is>
      </c>
      <c r="AH997" s="7" t="inlineStr">
        <is>
          <t>2086</t>
        </is>
      </c>
    </row>
    <row r="998" ht="10" customHeight="1">
      <c r="A998" s="7" t="inlineStr">
        <is>
          <t>SCN</t>
        </is>
      </c>
      <c r="B998" s="7" t="inlineStr">
        <is>
          <t>Procurement</t>
        </is>
      </c>
      <c r="D998" s="7" t="inlineStr">
        <is>
          <t>CVN Refueling Overhauls - P-35 AN/SPN-46 OVERHAUL/UPGRADE - Other Costs</t>
        </is>
      </c>
      <c r="E998" s="13" t="inlineStr">
        <is>
          <t>[ALT_VIEW]</t>
        </is>
      </c>
      <c r="F998" s="7" t="inlineStr">
        <is>
          <t>2086 / CVN Refueling Overhauls</t>
        </is>
      </c>
      <c r="G998" s="7" t="inlineStr">
        <is>
          <t>P-35</t>
        </is>
      </c>
      <c r="I998" s="14" t="n">
        <v>5</v>
      </c>
      <c r="J998" s="7" t="inlineStr">
        <is>
          <t>RCOH</t>
        </is>
      </c>
      <c r="K998" s="13" t="inlineStr">
        <is>
          <t>USN</t>
        </is>
      </c>
      <c r="L998" s="7" t="inlineStr">
        <is>
          <t>Combatant Ships</t>
        </is>
      </c>
      <c r="M998" s="7" t="inlineStr">
        <is>
          <t>Aircraft Carriers</t>
        </is>
      </c>
      <c r="N998" s="7" t="inlineStr">
        <is>
          <t>CVN</t>
        </is>
      </c>
      <c r="O998" s="15" t="n"/>
      <c r="P998" s="16" t="n">
        <v>262</v>
      </c>
      <c r="S998" s="16" t="n">
        <v>188</v>
      </c>
      <c r="U998" s="16" t="n">
        <v>188</v>
      </c>
      <c r="AC998" s="23">
        <f>IF(OR(E998="",E998="[PARENT]"),"ADD",IF(E998="[ALT_VIEW]","ALT",""))</f>
        <v/>
      </c>
      <c r="AD998" s="21">
        <f>IF(Y998&lt;&gt;"",Y998,IF(U998&lt;&gt;"",U998,S998))</f>
        <v/>
      </c>
      <c r="AE998" s="21">
        <f>IF(AB998&lt;&gt;"",AB998,Z998)</f>
        <v/>
      </c>
      <c r="AF998" s="13" t="inlineStr">
        <is>
          <t>P-35 &gt; CVN Refueling Overhauls &gt; AN/SPN-46 OVERHAUL/UPGRADE &gt; Other Costs</t>
        </is>
      </c>
      <c r="AG998" s="7" t="inlineStr">
        <is>
          <t>193</t>
        </is>
      </c>
      <c r="AH998" s="7" t="inlineStr">
        <is>
          <t>2086</t>
        </is>
      </c>
    </row>
    <row r="999" ht="10" customHeight="1">
      <c r="A999" s="7" t="inlineStr">
        <is>
          <t>SCN</t>
        </is>
      </c>
      <c r="B999" s="7" t="inlineStr">
        <is>
          <t>Procurement</t>
        </is>
      </c>
      <c r="D999" s="7" t="inlineStr">
        <is>
          <t>CVN Refueling Overhauls - P-35 SATELLITE SIGNAL LANDING SYSTEM (SSLS) - Major Hardware                                                                                                   1</t>
        </is>
      </c>
      <c r="E999" s="13" t="inlineStr">
        <is>
          <t>[ALT_VIEW]</t>
        </is>
      </c>
      <c r="F999" s="7" t="inlineStr">
        <is>
          <t>2086 / CVN Refueling Overhauls</t>
        </is>
      </c>
      <c r="G999" s="7" t="inlineStr">
        <is>
          <t>P-35</t>
        </is>
      </c>
      <c r="I999" s="14" t="n">
        <v>5</v>
      </c>
      <c r="J999" s="7" t="inlineStr">
        <is>
          <t>RCOH</t>
        </is>
      </c>
      <c r="K999" s="13" t="inlineStr">
        <is>
          <t>USN</t>
        </is>
      </c>
      <c r="L999" s="7" t="inlineStr">
        <is>
          <t>Combatant Ships</t>
        </is>
      </c>
      <c r="M999" s="7" t="inlineStr">
        <is>
          <t>Aircraft Carriers</t>
        </is>
      </c>
      <c r="N999" s="7" t="inlineStr">
        <is>
          <t>CVN</t>
        </is>
      </c>
      <c r="O999" s="15" t="n"/>
      <c r="S999" s="16" t="n">
        <v>7797</v>
      </c>
      <c r="U999" s="16" t="n">
        <v>7797</v>
      </c>
      <c r="AC999" s="23">
        <f>IF(OR(E999="",E999="[PARENT]"),"ADD",IF(E999="[ALT_VIEW]","ALT",""))</f>
        <v/>
      </c>
      <c r="AD999" s="21">
        <f>IF(Y999&lt;&gt;"",Y999,IF(U999&lt;&gt;"",U999,S999))</f>
        <v/>
      </c>
      <c r="AE999" s="21">
        <f>IF(AB999&lt;&gt;"",AB999,Z999)</f>
        <v/>
      </c>
      <c r="AF999" s="13" t="inlineStr">
        <is>
          <t>P-35 &gt; CVN Refueling Overhauls &gt; SATELLITE SIGNAL LANDING SYSTEM (SSLS) &gt; Major Hardware                                                                                                   1</t>
        </is>
      </c>
      <c r="AG999" s="7" t="inlineStr">
        <is>
          <t>194</t>
        </is>
      </c>
      <c r="AH999" s="7" t="inlineStr">
        <is>
          <t>2086</t>
        </is>
      </c>
    </row>
    <row r="1000" ht="10" customHeight="1">
      <c r="A1000" s="7" t="inlineStr">
        <is>
          <t>SCN</t>
        </is>
      </c>
      <c r="B1000" s="7" t="inlineStr">
        <is>
          <t>Procurement</t>
        </is>
      </c>
      <c r="D1000" s="7" t="inlineStr">
        <is>
          <t>CVN Refueling Overhauls - P-35 SATELLITE SIGNAL LANDING SYSTEM (SSLS) - Spares</t>
        </is>
      </c>
      <c r="E1000" s="13" t="inlineStr">
        <is>
          <t>[ALT_VIEW]</t>
        </is>
      </c>
      <c r="F1000" s="7" t="inlineStr">
        <is>
          <t>2086 / CVN Refueling Overhauls</t>
        </is>
      </c>
      <c r="G1000" s="7" t="inlineStr">
        <is>
          <t>P-35</t>
        </is>
      </c>
      <c r="I1000" s="14" t="n">
        <v>5</v>
      </c>
      <c r="J1000" s="7" t="inlineStr">
        <is>
          <t>RCOH</t>
        </is>
      </c>
      <c r="K1000" s="13" t="inlineStr">
        <is>
          <t>USN</t>
        </is>
      </c>
      <c r="L1000" s="7" t="inlineStr">
        <is>
          <t>Combatant Ships</t>
        </is>
      </c>
      <c r="M1000" s="7" t="inlineStr">
        <is>
          <t>Aircraft Carriers</t>
        </is>
      </c>
      <c r="N1000" s="7" t="inlineStr">
        <is>
          <t>CVN</t>
        </is>
      </c>
      <c r="O1000" s="15" t="n"/>
      <c r="S1000" s="16" t="n">
        <v>1288</v>
      </c>
      <c r="U1000" s="16" t="n">
        <v>1288</v>
      </c>
      <c r="AC1000" s="23">
        <f>IF(OR(E1000="",E1000="[PARENT]"),"ADD",IF(E1000="[ALT_VIEW]","ALT",""))</f>
        <v/>
      </c>
      <c r="AD1000" s="21">
        <f>IF(Y1000&lt;&gt;"",Y1000,IF(U1000&lt;&gt;"",U1000,S1000))</f>
        <v/>
      </c>
      <c r="AE1000" s="21">
        <f>IF(AB1000&lt;&gt;"",AB1000,Z1000)</f>
        <v/>
      </c>
      <c r="AF1000" s="13" t="inlineStr">
        <is>
          <t>P-35 &gt; CVN Refueling Overhauls &gt; SATELLITE SIGNAL LANDING SYSTEM (SSLS) &gt; Spares</t>
        </is>
      </c>
      <c r="AG1000" s="7" t="inlineStr">
        <is>
          <t>194</t>
        </is>
      </c>
      <c r="AH1000" s="7" t="inlineStr">
        <is>
          <t>2086</t>
        </is>
      </c>
    </row>
    <row r="1001" ht="10" customHeight="1">
      <c r="A1001" s="7" t="inlineStr">
        <is>
          <t>SCN</t>
        </is>
      </c>
      <c r="B1001" s="7" t="inlineStr">
        <is>
          <t>Procurement</t>
        </is>
      </c>
      <c r="D1001" s="7" t="inlineStr">
        <is>
          <t>CVN Refueling Overhauls - P-35 SATELLITE SIGNAL LANDING SYSTEM (SSLS) - System Engineering</t>
        </is>
      </c>
      <c r="E1001" s="13" t="inlineStr">
        <is>
          <t>[ALT_VIEW]</t>
        </is>
      </c>
      <c r="F1001" s="7" t="inlineStr">
        <is>
          <t>2086 / CVN Refueling Overhauls</t>
        </is>
      </c>
      <c r="G1001" s="7" t="inlineStr">
        <is>
          <t>P-35</t>
        </is>
      </c>
      <c r="I1001" s="14" t="n">
        <v>5</v>
      </c>
      <c r="J1001" s="7" t="inlineStr">
        <is>
          <t>RCOH</t>
        </is>
      </c>
      <c r="K1001" s="13" t="inlineStr">
        <is>
          <t>USN</t>
        </is>
      </c>
      <c r="L1001" s="7" t="inlineStr">
        <is>
          <t>Combatant Ships</t>
        </is>
      </c>
      <c r="M1001" s="7" t="inlineStr">
        <is>
          <t>Aircraft Carriers</t>
        </is>
      </c>
      <c r="N1001" s="7" t="inlineStr">
        <is>
          <t>CVN</t>
        </is>
      </c>
      <c r="O1001" s="15" t="n"/>
      <c r="P1001" s="16" t="n">
        <v>569</v>
      </c>
      <c r="S1001" s="16" t="n">
        <v>636</v>
      </c>
      <c r="U1001" s="16" t="n">
        <v>636</v>
      </c>
      <c r="AC1001" s="23">
        <f>IF(OR(E1001="",E1001="[PARENT]"),"ADD",IF(E1001="[ALT_VIEW]","ALT",""))</f>
        <v/>
      </c>
      <c r="AD1001" s="21">
        <f>IF(Y1001&lt;&gt;"",Y1001,IF(U1001&lt;&gt;"",U1001,S1001))</f>
        <v/>
      </c>
      <c r="AE1001" s="21">
        <f>IF(AB1001&lt;&gt;"",AB1001,Z1001)</f>
        <v/>
      </c>
      <c r="AF1001" s="13" t="inlineStr">
        <is>
          <t>P-35 &gt; CVN Refueling Overhauls &gt; SATELLITE SIGNAL LANDING SYSTEM (SSLS) &gt; System Engineering</t>
        </is>
      </c>
      <c r="AG1001" s="7" t="inlineStr">
        <is>
          <t>194</t>
        </is>
      </c>
      <c r="AH1001" s="7" t="inlineStr">
        <is>
          <t>2086</t>
        </is>
      </c>
    </row>
    <row r="1002" ht="10" customHeight="1">
      <c r="A1002" s="7" t="inlineStr">
        <is>
          <t>SCN</t>
        </is>
      </c>
      <c r="B1002" s="7" t="inlineStr">
        <is>
          <t>Procurement</t>
        </is>
      </c>
      <c r="D1002" s="7" t="inlineStr">
        <is>
          <t>CVN Refueling Overhauls - P-35 SATELLITE SIGNAL LANDING SYSTEM (SSLS) - Technical Engineering Services</t>
        </is>
      </c>
      <c r="E1002" s="13" t="inlineStr">
        <is>
          <t>[ALT_VIEW]</t>
        </is>
      </c>
      <c r="F1002" s="7" t="inlineStr">
        <is>
          <t>2086 / CVN Refueling Overhauls</t>
        </is>
      </c>
      <c r="G1002" s="7" t="inlineStr">
        <is>
          <t>P-35</t>
        </is>
      </c>
      <c r="I1002" s="14" t="n">
        <v>5</v>
      </c>
      <c r="J1002" s="7" t="inlineStr">
        <is>
          <t>RCOH</t>
        </is>
      </c>
      <c r="K1002" s="13" t="inlineStr">
        <is>
          <t>USN</t>
        </is>
      </c>
      <c r="L1002" s="7" t="inlineStr">
        <is>
          <t>Combatant Ships</t>
        </is>
      </c>
      <c r="M1002" s="7" t="inlineStr">
        <is>
          <t>Aircraft Carriers</t>
        </is>
      </c>
      <c r="N1002" s="7" t="inlineStr">
        <is>
          <t>CVN</t>
        </is>
      </c>
      <c r="O1002" s="15" t="n"/>
      <c r="P1002" s="16" t="n">
        <v>1034</v>
      </c>
      <c r="S1002" s="16" t="n">
        <v>1405</v>
      </c>
      <c r="U1002" s="16" t="n">
        <v>1405</v>
      </c>
      <c r="AC1002" s="23">
        <f>IF(OR(E1002="",E1002="[PARENT]"),"ADD",IF(E1002="[ALT_VIEW]","ALT",""))</f>
        <v/>
      </c>
      <c r="AD1002" s="21">
        <f>IF(Y1002&lt;&gt;"",Y1002,IF(U1002&lt;&gt;"",U1002,S1002))</f>
        <v/>
      </c>
      <c r="AE1002" s="21">
        <f>IF(AB1002&lt;&gt;"",AB1002,Z1002)</f>
        <v/>
      </c>
      <c r="AF1002" s="13" t="inlineStr">
        <is>
          <t>P-35 &gt; CVN Refueling Overhauls &gt; SATELLITE SIGNAL LANDING SYSTEM (SSLS) &gt; Technical Engineering Services</t>
        </is>
      </c>
      <c r="AG1002" s="7" t="inlineStr">
        <is>
          <t>194</t>
        </is>
      </c>
      <c r="AH1002" s="7" t="inlineStr">
        <is>
          <t>2086</t>
        </is>
      </c>
    </row>
    <row r="1003" ht="10" customHeight="1">
      <c r="A1003" s="7" t="inlineStr">
        <is>
          <t>SCN</t>
        </is>
      </c>
      <c r="B1003" s="7" t="inlineStr">
        <is>
          <t>Procurement</t>
        </is>
      </c>
      <c r="D1003" s="7" t="inlineStr">
        <is>
          <t>CVN Refueling Overhauls - P-35 SATELLITE SIGNAL LANDING SYSTEM (SSLS) - Other Costs</t>
        </is>
      </c>
      <c r="E1003" s="13" t="inlineStr">
        <is>
          <t>[ALT_VIEW]</t>
        </is>
      </c>
      <c r="F1003" s="7" t="inlineStr">
        <is>
          <t>2086 / CVN Refueling Overhauls</t>
        </is>
      </c>
      <c r="G1003" s="7" t="inlineStr">
        <is>
          <t>P-35</t>
        </is>
      </c>
      <c r="I1003" s="14" t="n">
        <v>5</v>
      </c>
      <c r="J1003" s="7" t="inlineStr">
        <is>
          <t>RCOH</t>
        </is>
      </c>
      <c r="K1003" s="13" t="inlineStr">
        <is>
          <t>USN</t>
        </is>
      </c>
      <c r="L1003" s="7" t="inlineStr">
        <is>
          <t>Combatant Ships</t>
        </is>
      </c>
      <c r="M1003" s="7" t="inlineStr">
        <is>
          <t>Aircraft Carriers</t>
        </is>
      </c>
      <c r="N1003" s="7" t="inlineStr">
        <is>
          <t>CVN</t>
        </is>
      </c>
      <c r="O1003" s="15" t="n"/>
      <c r="P1003" s="16" t="n">
        <v>1192</v>
      </c>
      <c r="S1003" s="16" t="n">
        <v>2517</v>
      </c>
      <c r="U1003" s="16" t="n">
        <v>2517</v>
      </c>
      <c r="AC1003" s="23">
        <f>IF(OR(E1003="",E1003="[PARENT]"),"ADD",IF(E1003="[ALT_VIEW]","ALT",""))</f>
        <v/>
      </c>
      <c r="AD1003" s="21">
        <f>IF(Y1003&lt;&gt;"",Y1003,IF(U1003&lt;&gt;"",U1003,S1003))</f>
        <v/>
      </c>
      <c r="AE1003" s="21">
        <f>IF(AB1003&lt;&gt;"",AB1003,Z1003)</f>
        <v/>
      </c>
      <c r="AF1003" s="13" t="inlineStr">
        <is>
          <t>P-35 &gt; CVN Refueling Overhauls &gt; SATELLITE SIGNAL LANDING SYSTEM (SSLS) &gt; Other Costs</t>
        </is>
      </c>
      <c r="AG1003" s="7" t="inlineStr">
        <is>
          <t>194</t>
        </is>
      </c>
      <c r="AH1003" s="7" t="inlineStr">
        <is>
          <t>2086</t>
        </is>
      </c>
    </row>
    <row r="1004" ht="10" customHeight="1">
      <c r="A1004" s="7" t="inlineStr">
        <is>
          <t>SCN</t>
        </is>
      </c>
      <c r="B1004" s="7" t="inlineStr">
        <is>
          <t>Procurement</t>
        </is>
      </c>
      <c r="D1004" s="7" t="inlineStr">
        <is>
          <t>CVN Refueling Overhauls - P-35 AN/USG-2B - COOPERATIVE ENGAGEMENT CAPABILITY (CEC) - Major Hardware                                                                                                1</t>
        </is>
      </c>
      <c r="E1004" s="13" t="inlineStr">
        <is>
          <t>[ALT_VIEW]</t>
        </is>
      </c>
      <c r="F1004" s="7" t="inlineStr">
        <is>
          <t>2086 / CVN Refueling Overhauls</t>
        </is>
      </c>
      <c r="G1004" s="7" t="inlineStr">
        <is>
          <t>P-35</t>
        </is>
      </c>
      <c r="I1004" s="14" t="n">
        <v>5</v>
      </c>
      <c r="J1004" s="7" t="inlineStr">
        <is>
          <t>RCOH</t>
        </is>
      </c>
      <c r="K1004" s="13" t="inlineStr">
        <is>
          <t>USN</t>
        </is>
      </c>
      <c r="L1004" s="7" t="inlineStr">
        <is>
          <t>Combatant Ships</t>
        </is>
      </c>
      <c r="M1004" s="7" t="inlineStr">
        <is>
          <t>Aircraft Carriers</t>
        </is>
      </c>
      <c r="N1004" s="7" t="inlineStr">
        <is>
          <t>CVN</t>
        </is>
      </c>
      <c r="O1004" s="15" t="n"/>
      <c r="P1004" s="16" t="n">
        <v>3463</v>
      </c>
      <c r="S1004" s="16" t="n">
        <v>5420</v>
      </c>
      <c r="U1004" s="16" t="n">
        <v>5420</v>
      </c>
      <c r="AC1004" s="23">
        <f>IF(OR(E1004="",E1004="[PARENT]"),"ADD",IF(E1004="[ALT_VIEW]","ALT",""))</f>
        <v/>
      </c>
      <c r="AD1004" s="21">
        <f>IF(Y1004&lt;&gt;"",Y1004,IF(U1004&lt;&gt;"",U1004,S1004))</f>
        <v/>
      </c>
      <c r="AE1004" s="21">
        <f>IF(AB1004&lt;&gt;"",AB1004,Z1004)</f>
        <v/>
      </c>
      <c r="AF1004" s="13" t="inlineStr">
        <is>
          <t>P-35 &gt; CVN Refueling Overhauls &gt; AN/USG-2B - COOPERATIVE ENGAGEMENT CAPABILITY (CEC) &gt; Major Hardware                                                                                                1</t>
        </is>
      </c>
      <c r="AG1004" s="7" t="inlineStr">
        <is>
          <t>195</t>
        </is>
      </c>
      <c r="AH1004" s="7" t="inlineStr">
        <is>
          <t>2086</t>
        </is>
      </c>
    </row>
    <row r="1005" ht="10" customHeight="1">
      <c r="A1005" s="7" t="inlineStr">
        <is>
          <t>SCN</t>
        </is>
      </c>
      <c r="B1005" s="7" t="inlineStr">
        <is>
          <t>Procurement</t>
        </is>
      </c>
      <c r="D1005" s="7" t="inlineStr">
        <is>
          <t>CVN Refueling Overhauls - P-35 AN/USG-2B - COOPERATIVE ENGAGEMENT CAPABILITY (CEC) - Technical Data and Documentation</t>
        </is>
      </c>
      <c r="E1005" s="13" t="inlineStr">
        <is>
          <t>[ALT_VIEW]</t>
        </is>
      </c>
      <c r="F1005" s="7" t="inlineStr">
        <is>
          <t>2086 / CVN Refueling Overhauls</t>
        </is>
      </c>
      <c r="G1005" s="7" t="inlineStr">
        <is>
          <t>P-35</t>
        </is>
      </c>
      <c r="I1005" s="14" t="n">
        <v>5</v>
      </c>
      <c r="J1005" s="7" t="inlineStr">
        <is>
          <t>RCOH</t>
        </is>
      </c>
      <c r="K1005" s="13" t="inlineStr">
        <is>
          <t>USN</t>
        </is>
      </c>
      <c r="L1005" s="7" t="inlineStr">
        <is>
          <t>Combatant Ships</t>
        </is>
      </c>
      <c r="M1005" s="7" t="inlineStr">
        <is>
          <t>Aircraft Carriers</t>
        </is>
      </c>
      <c r="N1005" s="7" t="inlineStr">
        <is>
          <t>CVN</t>
        </is>
      </c>
      <c r="O1005" s="15" t="n"/>
      <c r="S1005" s="16" t="n">
        <v>139</v>
      </c>
      <c r="U1005" s="16" t="n">
        <v>139</v>
      </c>
      <c r="AC1005" s="23">
        <f>IF(OR(E1005="",E1005="[PARENT]"),"ADD",IF(E1005="[ALT_VIEW]","ALT",""))</f>
        <v/>
      </c>
      <c r="AD1005" s="21">
        <f>IF(Y1005&lt;&gt;"",Y1005,IF(U1005&lt;&gt;"",U1005,S1005))</f>
        <v/>
      </c>
      <c r="AE1005" s="21">
        <f>IF(AB1005&lt;&gt;"",AB1005,Z1005)</f>
        <v/>
      </c>
      <c r="AF1005" s="13" t="inlineStr">
        <is>
          <t>P-35 &gt; CVN Refueling Overhauls &gt; AN/USG-2B - COOPERATIVE ENGAGEMENT CAPABILITY (CEC) &gt; Technical Data and Documentation</t>
        </is>
      </c>
      <c r="AG1005" s="7" t="inlineStr">
        <is>
          <t>195</t>
        </is>
      </c>
      <c r="AH1005" s="7" t="inlineStr">
        <is>
          <t>2086</t>
        </is>
      </c>
    </row>
    <row r="1006" ht="10" customHeight="1">
      <c r="A1006" s="7" t="inlineStr">
        <is>
          <t>SCN</t>
        </is>
      </c>
      <c r="B1006" s="7" t="inlineStr">
        <is>
          <t>Procurement</t>
        </is>
      </c>
      <c r="D1006" s="7" t="inlineStr">
        <is>
          <t>CVN Refueling Overhauls - P-35 AN/USG-2B - COOPERATIVE ENGAGEMENT CAPABILITY (CEC) - Spares</t>
        </is>
      </c>
      <c r="E1006" s="13" t="inlineStr">
        <is>
          <t>[ALT_VIEW]</t>
        </is>
      </c>
      <c r="F1006" s="7" t="inlineStr">
        <is>
          <t>2086 / CVN Refueling Overhauls</t>
        </is>
      </c>
      <c r="G1006" s="7" t="inlineStr">
        <is>
          <t>P-35</t>
        </is>
      </c>
      <c r="I1006" s="14" t="n">
        <v>5</v>
      </c>
      <c r="J1006" s="7" t="inlineStr">
        <is>
          <t>RCOH</t>
        </is>
      </c>
      <c r="K1006" s="13" t="inlineStr">
        <is>
          <t>USN</t>
        </is>
      </c>
      <c r="L1006" s="7" t="inlineStr">
        <is>
          <t>Combatant Ships</t>
        </is>
      </c>
      <c r="M1006" s="7" t="inlineStr">
        <is>
          <t>Aircraft Carriers</t>
        </is>
      </c>
      <c r="N1006" s="7" t="inlineStr">
        <is>
          <t>CVN</t>
        </is>
      </c>
      <c r="O1006" s="15" t="n"/>
      <c r="P1006" s="16" t="n">
        <v>453</v>
      </c>
      <c r="S1006" s="16" t="n">
        <v>821</v>
      </c>
      <c r="U1006" s="16" t="n">
        <v>821</v>
      </c>
      <c r="AC1006" s="23">
        <f>IF(OR(E1006="",E1006="[PARENT]"),"ADD",IF(E1006="[ALT_VIEW]","ALT",""))</f>
        <v/>
      </c>
      <c r="AD1006" s="21">
        <f>IF(Y1006&lt;&gt;"",Y1006,IF(U1006&lt;&gt;"",U1006,S1006))</f>
        <v/>
      </c>
      <c r="AE1006" s="21">
        <f>IF(AB1006&lt;&gt;"",AB1006,Z1006)</f>
        <v/>
      </c>
      <c r="AF1006" s="13" t="inlineStr">
        <is>
          <t>P-35 &gt; CVN Refueling Overhauls &gt; AN/USG-2B - COOPERATIVE ENGAGEMENT CAPABILITY (CEC) &gt; Spares</t>
        </is>
      </c>
      <c r="AG1006" s="7" t="inlineStr">
        <is>
          <t>195</t>
        </is>
      </c>
      <c r="AH1006" s="7" t="inlineStr">
        <is>
          <t>2086</t>
        </is>
      </c>
    </row>
    <row r="1007" ht="10" customHeight="1">
      <c r="A1007" s="7" t="inlineStr">
        <is>
          <t>SCN</t>
        </is>
      </c>
      <c r="B1007" s="7" t="inlineStr">
        <is>
          <t>Procurement</t>
        </is>
      </c>
      <c r="D1007" s="7" t="inlineStr">
        <is>
          <t>CVN Refueling Overhauls - P-35 AN/USG-2B - COOPERATIVE ENGAGEMENT CAPABILITY (CEC) - System Engineering</t>
        </is>
      </c>
      <c r="E1007" s="13" t="inlineStr">
        <is>
          <t>[ALT_VIEW]</t>
        </is>
      </c>
      <c r="F1007" s="7" t="inlineStr">
        <is>
          <t>2086 / CVN Refueling Overhauls</t>
        </is>
      </c>
      <c r="G1007" s="7" t="inlineStr">
        <is>
          <t>P-35</t>
        </is>
      </c>
      <c r="I1007" s="14" t="n">
        <v>5</v>
      </c>
      <c r="J1007" s="7" t="inlineStr">
        <is>
          <t>RCOH</t>
        </is>
      </c>
      <c r="K1007" s="13" t="inlineStr">
        <is>
          <t>USN</t>
        </is>
      </c>
      <c r="L1007" s="7" t="inlineStr">
        <is>
          <t>Combatant Ships</t>
        </is>
      </c>
      <c r="M1007" s="7" t="inlineStr">
        <is>
          <t>Aircraft Carriers</t>
        </is>
      </c>
      <c r="N1007" s="7" t="inlineStr">
        <is>
          <t>CVN</t>
        </is>
      </c>
      <c r="O1007" s="15" t="n"/>
      <c r="P1007" s="16" t="n">
        <v>546</v>
      </c>
      <c r="S1007" s="16" t="n">
        <v>592</v>
      </c>
      <c r="U1007" s="16" t="n">
        <v>592</v>
      </c>
      <c r="AC1007" s="23">
        <f>IF(OR(E1007="",E1007="[PARENT]"),"ADD",IF(E1007="[ALT_VIEW]","ALT",""))</f>
        <v/>
      </c>
      <c r="AD1007" s="21">
        <f>IF(Y1007&lt;&gt;"",Y1007,IF(U1007&lt;&gt;"",U1007,S1007))</f>
        <v/>
      </c>
      <c r="AE1007" s="21">
        <f>IF(AB1007&lt;&gt;"",AB1007,Z1007)</f>
        <v/>
      </c>
      <c r="AF1007" s="13" t="inlineStr">
        <is>
          <t>P-35 &gt; CVN Refueling Overhauls &gt; AN/USG-2B - COOPERATIVE ENGAGEMENT CAPABILITY (CEC) &gt; System Engineering</t>
        </is>
      </c>
      <c r="AG1007" s="7" t="inlineStr">
        <is>
          <t>195</t>
        </is>
      </c>
      <c r="AH1007" s="7" t="inlineStr">
        <is>
          <t>2086</t>
        </is>
      </c>
    </row>
    <row r="1008" ht="10" customHeight="1">
      <c r="A1008" s="7" t="inlineStr">
        <is>
          <t>SCN</t>
        </is>
      </c>
      <c r="B1008" s="7" t="inlineStr">
        <is>
          <t>Procurement</t>
        </is>
      </c>
      <c r="D1008" s="7" t="inlineStr">
        <is>
          <t>CVN Refueling Overhauls - P-35 AN/USG-2B - COOPERATIVE ENGAGEMENT CAPABILITY (CEC) - Technical Engineering Services</t>
        </is>
      </c>
      <c r="E1008" s="13" t="inlineStr">
        <is>
          <t>[ALT_VIEW]</t>
        </is>
      </c>
      <c r="F1008" s="7" t="inlineStr">
        <is>
          <t>2086 / CVN Refueling Overhauls</t>
        </is>
      </c>
      <c r="G1008" s="7" t="inlineStr">
        <is>
          <t>P-35</t>
        </is>
      </c>
      <c r="I1008" s="14" t="n">
        <v>5</v>
      </c>
      <c r="J1008" s="7" t="inlineStr">
        <is>
          <t>RCOH</t>
        </is>
      </c>
      <c r="K1008" s="13" t="inlineStr">
        <is>
          <t>USN</t>
        </is>
      </c>
      <c r="L1008" s="7" t="inlineStr">
        <is>
          <t>Combatant Ships</t>
        </is>
      </c>
      <c r="M1008" s="7" t="inlineStr">
        <is>
          <t>Aircraft Carriers</t>
        </is>
      </c>
      <c r="N1008" s="7" t="inlineStr">
        <is>
          <t>CVN</t>
        </is>
      </c>
      <c r="O1008" s="15" t="n"/>
      <c r="P1008" s="16" t="n">
        <v>3670</v>
      </c>
      <c r="S1008" s="16" t="n">
        <v>4015</v>
      </c>
      <c r="U1008" s="16" t="n">
        <v>4015</v>
      </c>
      <c r="AC1008" s="23">
        <f>IF(OR(E1008="",E1008="[PARENT]"),"ADD",IF(E1008="[ALT_VIEW]","ALT",""))</f>
        <v/>
      </c>
      <c r="AD1008" s="21">
        <f>IF(Y1008&lt;&gt;"",Y1008,IF(U1008&lt;&gt;"",U1008,S1008))</f>
        <v/>
      </c>
      <c r="AE1008" s="21">
        <f>IF(AB1008&lt;&gt;"",AB1008,Z1008)</f>
        <v/>
      </c>
      <c r="AF1008" s="13" t="inlineStr">
        <is>
          <t>P-35 &gt; CVN Refueling Overhauls &gt; AN/USG-2B - COOPERATIVE ENGAGEMENT CAPABILITY (CEC) &gt; Technical Engineering Services</t>
        </is>
      </c>
      <c r="AG1008" s="7" t="inlineStr">
        <is>
          <t>195</t>
        </is>
      </c>
      <c r="AH1008" s="7" t="inlineStr">
        <is>
          <t>2086</t>
        </is>
      </c>
    </row>
    <row r="1009" ht="10" customHeight="1">
      <c r="A1009" s="7" t="inlineStr">
        <is>
          <t>SCN</t>
        </is>
      </c>
      <c r="B1009" s="7" t="inlineStr">
        <is>
          <t>Procurement</t>
        </is>
      </c>
      <c r="D1009" s="7" t="inlineStr">
        <is>
          <t>CVN Refueling Overhauls - P-35 AN/USG-2B - COOPERATIVE ENGAGEMENT CAPABILITY (CEC) - Other Costs</t>
        </is>
      </c>
      <c r="E1009" s="13" t="inlineStr">
        <is>
          <t>[ALT_VIEW]</t>
        </is>
      </c>
      <c r="F1009" s="7" t="inlineStr">
        <is>
          <t>2086 / CVN Refueling Overhauls</t>
        </is>
      </c>
      <c r="G1009" s="7" t="inlineStr">
        <is>
          <t>P-35</t>
        </is>
      </c>
      <c r="I1009" s="14" t="n">
        <v>5</v>
      </c>
      <c r="J1009" s="7" t="inlineStr">
        <is>
          <t>RCOH</t>
        </is>
      </c>
      <c r="K1009" s="13" t="inlineStr">
        <is>
          <t>USN</t>
        </is>
      </c>
      <c r="L1009" s="7" t="inlineStr">
        <is>
          <t>Combatant Ships</t>
        </is>
      </c>
      <c r="M1009" s="7" t="inlineStr">
        <is>
          <t>Aircraft Carriers</t>
        </is>
      </c>
      <c r="N1009" s="7" t="inlineStr">
        <is>
          <t>CVN</t>
        </is>
      </c>
      <c r="O1009" s="15" t="n"/>
      <c r="P1009" s="16" t="n">
        <v>1422</v>
      </c>
      <c r="S1009" s="16" t="n">
        <v>1659</v>
      </c>
      <c r="U1009" s="16" t="n">
        <v>1659</v>
      </c>
      <c r="AC1009" s="23">
        <f>IF(OR(E1009="",E1009="[PARENT]"),"ADD",IF(E1009="[ALT_VIEW]","ALT",""))</f>
        <v/>
      </c>
      <c r="AD1009" s="21">
        <f>IF(Y1009&lt;&gt;"",Y1009,IF(U1009&lt;&gt;"",U1009,S1009))</f>
        <v/>
      </c>
      <c r="AE1009" s="21">
        <f>IF(AB1009&lt;&gt;"",AB1009,Z1009)</f>
        <v/>
      </c>
      <c r="AF1009" s="13" t="inlineStr">
        <is>
          <t>P-35 &gt; CVN Refueling Overhauls &gt; AN/USG-2B - COOPERATIVE ENGAGEMENT CAPABILITY (CEC) &gt; Other Costs</t>
        </is>
      </c>
      <c r="AG1009" s="7" t="inlineStr">
        <is>
          <t>195</t>
        </is>
      </c>
      <c r="AH1009" s="7" t="inlineStr">
        <is>
          <t>2086</t>
        </is>
      </c>
    </row>
    <row r="1010" ht="10" customHeight="1">
      <c r="A1010" s="7" t="inlineStr">
        <is>
          <t>SCN</t>
        </is>
      </c>
      <c r="B1010" s="7" t="inlineStr">
        <is>
          <t>Procurement</t>
        </is>
      </c>
      <c r="D1010" s="7" t="inlineStr">
        <is>
          <t>CVN Refueling Overhauls - P-35 AN/SPN-41 REFURBISHMENT - Major Hardware                                                                                                    1</t>
        </is>
      </c>
      <c r="E1010" s="13" t="inlineStr">
        <is>
          <t>[ALT_VIEW]</t>
        </is>
      </c>
      <c r="F1010" s="7" t="inlineStr">
        <is>
          <t>2086 / CVN Refueling Overhauls</t>
        </is>
      </c>
      <c r="G1010" s="7" t="inlineStr">
        <is>
          <t>P-35</t>
        </is>
      </c>
      <c r="I1010" s="14" t="n">
        <v>5</v>
      </c>
      <c r="J1010" s="7" t="inlineStr">
        <is>
          <t>RCOH</t>
        </is>
      </c>
      <c r="K1010" s="13" t="inlineStr">
        <is>
          <t>USN</t>
        </is>
      </c>
      <c r="L1010" s="7" t="inlineStr">
        <is>
          <t>Combatant Ships</t>
        </is>
      </c>
      <c r="M1010" s="7" t="inlineStr">
        <is>
          <t>Aircraft Carriers</t>
        </is>
      </c>
      <c r="N1010" s="7" t="inlineStr">
        <is>
          <t>CVN</t>
        </is>
      </c>
      <c r="O1010" s="15" t="n"/>
      <c r="P1010" s="16" t="n">
        <v>3427</v>
      </c>
      <c r="S1010" s="16" t="n">
        <v>1801</v>
      </c>
      <c r="U1010" s="16" t="n">
        <v>1801</v>
      </c>
      <c r="AC1010" s="23">
        <f>IF(OR(E1010="",E1010="[PARENT]"),"ADD",IF(E1010="[ALT_VIEW]","ALT",""))</f>
        <v/>
      </c>
      <c r="AD1010" s="21">
        <f>IF(Y1010&lt;&gt;"",Y1010,IF(U1010&lt;&gt;"",U1010,S1010))</f>
        <v/>
      </c>
      <c r="AE1010" s="21">
        <f>IF(AB1010&lt;&gt;"",AB1010,Z1010)</f>
        <v/>
      </c>
      <c r="AF1010" s="13" t="inlineStr">
        <is>
          <t>P-35 &gt; CVN Refueling Overhauls &gt; AN/SPN-41 REFURBISHMENT &gt; Major Hardware                                                                                                    1</t>
        </is>
      </c>
      <c r="AG1010" s="7" t="inlineStr">
        <is>
          <t>196</t>
        </is>
      </c>
      <c r="AH1010" s="7" t="inlineStr">
        <is>
          <t>2086</t>
        </is>
      </c>
    </row>
    <row r="1011" ht="10" customHeight="1">
      <c r="A1011" s="7" t="inlineStr">
        <is>
          <t>SCN</t>
        </is>
      </c>
      <c r="B1011" s="7" t="inlineStr">
        <is>
          <t>Procurement</t>
        </is>
      </c>
      <c r="D1011" s="7" t="inlineStr">
        <is>
          <t>CVN Refueling Overhauls - P-35 AN/SPN-41 REFURBISHMENT - System Engineering</t>
        </is>
      </c>
      <c r="E1011" s="13" t="inlineStr">
        <is>
          <t>[ALT_VIEW]</t>
        </is>
      </c>
      <c r="F1011" s="7" t="inlineStr">
        <is>
          <t>2086 / CVN Refueling Overhauls</t>
        </is>
      </c>
      <c r="G1011" s="7" t="inlineStr">
        <is>
          <t>P-35</t>
        </is>
      </c>
      <c r="I1011" s="14" t="n">
        <v>5</v>
      </c>
      <c r="J1011" s="7" t="inlineStr">
        <is>
          <t>RCOH</t>
        </is>
      </c>
      <c r="K1011" s="13" t="inlineStr">
        <is>
          <t>USN</t>
        </is>
      </c>
      <c r="L1011" s="7" t="inlineStr">
        <is>
          <t>Combatant Ships</t>
        </is>
      </c>
      <c r="M1011" s="7" t="inlineStr">
        <is>
          <t>Aircraft Carriers</t>
        </is>
      </c>
      <c r="N1011" s="7" t="inlineStr">
        <is>
          <t>CVN</t>
        </is>
      </c>
      <c r="O1011" s="15" t="n"/>
      <c r="P1011" s="16" t="n">
        <v>356</v>
      </c>
      <c r="S1011" s="16" t="n">
        <v>348</v>
      </c>
      <c r="U1011" s="16" t="n">
        <v>348</v>
      </c>
      <c r="AC1011" s="23">
        <f>IF(OR(E1011="",E1011="[PARENT]"),"ADD",IF(E1011="[ALT_VIEW]","ALT",""))</f>
        <v/>
      </c>
      <c r="AD1011" s="21">
        <f>IF(Y1011&lt;&gt;"",Y1011,IF(U1011&lt;&gt;"",U1011,S1011))</f>
        <v/>
      </c>
      <c r="AE1011" s="21">
        <f>IF(AB1011&lt;&gt;"",AB1011,Z1011)</f>
        <v/>
      </c>
      <c r="AF1011" s="13" t="inlineStr">
        <is>
          <t>P-35 &gt; CVN Refueling Overhauls &gt; AN/SPN-41 REFURBISHMENT &gt; System Engineering</t>
        </is>
      </c>
      <c r="AG1011" s="7" t="inlineStr">
        <is>
          <t>196</t>
        </is>
      </c>
      <c r="AH1011" s="7" t="inlineStr">
        <is>
          <t>2086</t>
        </is>
      </c>
    </row>
    <row r="1012" ht="10" customHeight="1">
      <c r="A1012" s="7" t="inlineStr">
        <is>
          <t>SCN</t>
        </is>
      </c>
      <c r="B1012" s="7" t="inlineStr">
        <is>
          <t>Procurement</t>
        </is>
      </c>
      <c r="D1012" s="7" t="inlineStr">
        <is>
          <t>CVN Refueling Overhauls - P-35 AN/SPN-41 REFURBISHMENT - Technical Engineering Services</t>
        </is>
      </c>
      <c r="E1012" s="13" t="inlineStr">
        <is>
          <t>[ALT_VIEW]</t>
        </is>
      </c>
      <c r="F1012" s="7" t="inlineStr">
        <is>
          <t>2086 / CVN Refueling Overhauls</t>
        </is>
      </c>
      <c r="G1012" s="7" t="inlineStr">
        <is>
          <t>P-35</t>
        </is>
      </c>
      <c r="I1012" s="14" t="n">
        <v>5</v>
      </c>
      <c r="J1012" s="7" t="inlineStr">
        <is>
          <t>RCOH</t>
        </is>
      </c>
      <c r="K1012" s="13" t="inlineStr">
        <is>
          <t>USN</t>
        </is>
      </c>
      <c r="L1012" s="7" t="inlineStr">
        <is>
          <t>Combatant Ships</t>
        </is>
      </c>
      <c r="M1012" s="7" t="inlineStr">
        <is>
          <t>Aircraft Carriers</t>
        </is>
      </c>
      <c r="N1012" s="7" t="inlineStr">
        <is>
          <t>CVN</t>
        </is>
      </c>
      <c r="O1012" s="15" t="n"/>
      <c r="P1012" s="16" t="n">
        <v>1514</v>
      </c>
      <c r="S1012" s="16" t="n">
        <v>1711</v>
      </c>
      <c r="U1012" s="16" t="n">
        <v>1711</v>
      </c>
      <c r="AC1012" s="23">
        <f>IF(OR(E1012="",E1012="[PARENT]"),"ADD",IF(E1012="[ALT_VIEW]","ALT",""))</f>
        <v/>
      </c>
      <c r="AD1012" s="21">
        <f>IF(Y1012&lt;&gt;"",Y1012,IF(U1012&lt;&gt;"",U1012,S1012))</f>
        <v/>
      </c>
      <c r="AE1012" s="21">
        <f>IF(AB1012&lt;&gt;"",AB1012,Z1012)</f>
        <v/>
      </c>
      <c r="AF1012" s="13" t="inlineStr">
        <is>
          <t>P-35 &gt; CVN Refueling Overhauls &gt; AN/SPN-41 REFURBISHMENT &gt; Technical Engineering Services</t>
        </is>
      </c>
      <c r="AG1012" s="7" t="inlineStr">
        <is>
          <t>196</t>
        </is>
      </c>
      <c r="AH1012" s="7" t="inlineStr">
        <is>
          <t>2086</t>
        </is>
      </c>
    </row>
    <row r="1013" ht="10" customHeight="1">
      <c r="A1013" s="7" t="inlineStr">
        <is>
          <t>SCN</t>
        </is>
      </c>
      <c r="B1013" s="7" t="inlineStr">
        <is>
          <t>Procurement</t>
        </is>
      </c>
      <c r="D1013" s="7" t="inlineStr">
        <is>
          <t>CVN Refueling Overhauls - P-35 AN/SPN-41 REFURBISHMENT - Other Costs</t>
        </is>
      </c>
      <c r="E1013" s="13" t="inlineStr">
        <is>
          <t>[ALT_VIEW]</t>
        </is>
      </c>
      <c r="F1013" s="7" t="inlineStr">
        <is>
          <t>2086 / CVN Refueling Overhauls</t>
        </is>
      </c>
      <c r="G1013" s="7" t="inlineStr">
        <is>
          <t>P-35</t>
        </is>
      </c>
      <c r="I1013" s="14" t="n">
        <v>5</v>
      </c>
      <c r="J1013" s="7" t="inlineStr">
        <is>
          <t>RCOH</t>
        </is>
      </c>
      <c r="K1013" s="13" t="inlineStr">
        <is>
          <t>USN</t>
        </is>
      </c>
      <c r="L1013" s="7" t="inlineStr">
        <is>
          <t>Combatant Ships</t>
        </is>
      </c>
      <c r="M1013" s="7" t="inlineStr">
        <is>
          <t>Aircraft Carriers</t>
        </is>
      </c>
      <c r="N1013" s="7" t="inlineStr">
        <is>
          <t>CVN</t>
        </is>
      </c>
      <c r="O1013" s="15" t="n"/>
      <c r="P1013" s="16" t="n">
        <v>256</v>
      </c>
      <c r="S1013" s="16" t="n">
        <v>232</v>
      </c>
      <c r="U1013" s="16" t="n">
        <v>232</v>
      </c>
      <c r="AC1013" s="23">
        <f>IF(OR(E1013="",E1013="[PARENT]"),"ADD",IF(E1013="[ALT_VIEW]","ALT",""))</f>
        <v/>
      </c>
      <c r="AD1013" s="21">
        <f>IF(Y1013&lt;&gt;"",Y1013,IF(U1013&lt;&gt;"",U1013,S1013))</f>
        <v/>
      </c>
      <c r="AE1013" s="21">
        <f>IF(AB1013&lt;&gt;"",AB1013,Z1013)</f>
        <v/>
      </c>
      <c r="AF1013" s="13" t="inlineStr">
        <is>
          <t>P-35 &gt; CVN Refueling Overhauls &gt; AN/SPN-41 REFURBISHMENT &gt; Other Costs</t>
        </is>
      </c>
      <c r="AG1013" s="7" t="inlineStr">
        <is>
          <t>196</t>
        </is>
      </c>
      <c r="AH1013" s="7" t="inlineStr">
        <is>
          <t>2086</t>
        </is>
      </c>
    </row>
    <row r="1014" ht="10" customHeight="1">
      <c r="A1014" s="7" t="inlineStr">
        <is>
          <t>SCN</t>
        </is>
      </c>
      <c r="B1014" s="7" t="inlineStr">
        <is>
          <t>Procurement</t>
        </is>
      </c>
      <c r="D1014" s="7" t="inlineStr">
        <is>
          <t>CVN Refueling Overhauls - P-35 UNMANNED AVIATION WARFARE CENTER (UAWC) - Major Hardware                                                                                                  0                               -                                 1</t>
        </is>
      </c>
      <c r="E1014" s="13" t="inlineStr">
        <is>
          <t>[ALT_VIEW]</t>
        </is>
      </c>
      <c r="F1014" s="7" t="inlineStr">
        <is>
          <t>2086 / CVN Refueling Overhauls</t>
        </is>
      </c>
      <c r="G1014" s="7" t="inlineStr">
        <is>
          <t>P-35</t>
        </is>
      </c>
      <c r="I1014" s="14" t="n">
        <v>5</v>
      </c>
      <c r="J1014" s="7" t="inlineStr">
        <is>
          <t>RCOH</t>
        </is>
      </c>
      <c r="K1014" s="13" t="inlineStr">
        <is>
          <t>USN</t>
        </is>
      </c>
      <c r="L1014" s="7" t="inlineStr">
        <is>
          <t>Combatant Ships</t>
        </is>
      </c>
      <c r="M1014" s="7" t="inlineStr">
        <is>
          <t>Aircraft Carriers</t>
        </is>
      </c>
      <c r="N1014" s="7" t="inlineStr">
        <is>
          <t>CVN</t>
        </is>
      </c>
      <c r="O1014" s="15" t="n"/>
      <c r="S1014" s="16" t="n">
        <v>31424</v>
      </c>
      <c r="U1014" s="16" t="n">
        <v>31424</v>
      </c>
      <c r="AC1014" s="23">
        <f>IF(OR(E1014="",E1014="[PARENT]"),"ADD",IF(E1014="[ALT_VIEW]","ALT",""))</f>
        <v/>
      </c>
      <c r="AD1014" s="21">
        <f>IF(Y1014&lt;&gt;"",Y1014,IF(U1014&lt;&gt;"",U1014,S1014))</f>
        <v/>
      </c>
      <c r="AE1014" s="21">
        <f>IF(AB1014&lt;&gt;"",AB1014,Z1014)</f>
        <v/>
      </c>
      <c r="AF1014" s="13" t="inlineStr">
        <is>
          <t>P-35 &gt; CVN Refueling Overhauls &gt; UNMANNED AVIATION WARFARE CENTER (UAWC) &gt; Major Hardware                                                                                                  0                               -                                 1</t>
        </is>
      </c>
      <c r="AG1014" s="7" t="inlineStr">
        <is>
          <t>197</t>
        </is>
      </c>
      <c r="AH1014" s="7" t="inlineStr">
        <is>
          <t>2086</t>
        </is>
      </c>
    </row>
    <row r="1015" ht="10" customHeight="1">
      <c r="A1015" s="7" t="inlineStr">
        <is>
          <t>SCN</t>
        </is>
      </c>
      <c r="B1015" s="7" t="inlineStr">
        <is>
          <t>Procurement</t>
        </is>
      </c>
      <c r="D1015" s="7" t="inlineStr">
        <is>
          <t>CVN Refueling Overhauls - P-35 UNMANNED AVIATION WARFARE CENTER (UAWC) - Technical Data and Documentation                                                                                                                -</t>
        </is>
      </c>
      <c r="E1015" s="13" t="inlineStr">
        <is>
          <t>[ALT_VIEW]</t>
        </is>
      </c>
      <c r="F1015" s="7" t="inlineStr">
        <is>
          <t>2086 / CVN Refueling Overhauls</t>
        </is>
      </c>
      <c r="G1015" s="7" t="inlineStr">
        <is>
          <t>P-35</t>
        </is>
      </c>
      <c r="I1015" s="14" t="n">
        <v>5</v>
      </c>
      <c r="J1015" s="7" t="inlineStr">
        <is>
          <t>RCOH</t>
        </is>
      </c>
      <c r="K1015" s="13" t="inlineStr">
        <is>
          <t>USN</t>
        </is>
      </c>
      <c r="L1015" s="7" t="inlineStr">
        <is>
          <t>Combatant Ships</t>
        </is>
      </c>
      <c r="M1015" s="7" t="inlineStr">
        <is>
          <t>Aircraft Carriers</t>
        </is>
      </c>
      <c r="N1015" s="7" t="inlineStr">
        <is>
          <t>CVN</t>
        </is>
      </c>
      <c r="O1015" s="15" t="n"/>
      <c r="S1015" s="16" t="n">
        <v>116</v>
      </c>
      <c r="U1015" s="16" t="n">
        <v>116</v>
      </c>
      <c r="AC1015" s="23">
        <f>IF(OR(E1015="",E1015="[PARENT]"),"ADD",IF(E1015="[ALT_VIEW]","ALT",""))</f>
        <v/>
      </c>
      <c r="AD1015" s="21">
        <f>IF(Y1015&lt;&gt;"",Y1015,IF(U1015&lt;&gt;"",U1015,S1015))</f>
        <v/>
      </c>
      <c r="AE1015" s="21">
        <f>IF(AB1015&lt;&gt;"",AB1015,Z1015)</f>
        <v/>
      </c>
      <c r="AF1015" s="13" t="inlineStr">
        <is>
          <t>P-35 &gt; CVN Refueling Overhauls &gt; UNMANNED AVIATION WARFARE CENTER (UAWC) &gt; Technical Data and Documentation                                                                                                                -</t>
        </is>
      </c>
      <c r="AG1015" s="7" t="inlineStr">
        <is>
          <t>197</t>
        </is>
      </c>
      <c r="AH1015" s="7" t="inlineStr">
        <is>
          <t>2086</t>
        </is>
      </c>
    </row>
    <row r="1016" ht="10" customHeight="1">
      <c r="A1016" s="7" t="inlineStr">
        <is>
          <t>SCN</t>
        </is>
      </c>
      <c r="B1016" s="7" t="inlineStr">
        <is>
          <t>Procurement</t>
        </is>
      </c>
      <c r="D1016" s="7" t="inlineStr">
        <is>
          <t>CVN Refueling Overhauls - P-35 UNMANNED AVIATION WARFARE CENTER (UAWC) - Technical Engineering Services                                                                                                                  -</t>
        </is>
      </c>
      <c r="E1016" s="13" t="inlineStr">
        <is>
          <t>[ALT_VIEW]</t>
        </is>
      </c>
      <c r="F1016" s="7" t="inlineStr">
        <is>
          <t>2086 / CVN Refueling Overhauls</t>
        </is>
      </c>
      <c r="G1016" s="7" t="inlineStr">
        <is>
          <t>P-35</t>
        </is>
      </c>
      <c r="I1016" s="14" t="n">
        <v>5</v>
      </c>
      <c r="J1016" s="7" t="inlineStr">
        <is>
          <t>RCOH</t>
        </is>
      </c>
      <c r="K1016" s="13" t="inlineStr">
        <is>
          <t>USN</t>
        </is>
      </c>
      <c r="L1016" s="7" t="inlineStr">
        <is>
          <t>Combatant Ships</t>
        </is>
      </c>
      <c r="M1016" s="7" t="inlineStr">
        <is>
          <t>Aircraft Carriers</t>
        </is>
      </c>
      <c r="N1016" s="7" t="inlineStr">
        <is>
          <t>CVN</t>
        </is>
      </c>
      <c r="O1016" s="15" t="n"/>
      <c r="S1016" s="16" t="n">
        <v>26407</v>
      </c>
      <c r="U1016" s="16" t="n">
        <v>26407</v>
      </c>
      <c r="AC1016" s="23">
        <f>IF(OR(E1016="",E1016="[PARENT]"),"ADD",IF(E1016="[ALT_VIEW]","ALT",""))</f>
        <v/>
      </c>
      <c r="AD1016" s="21">
        <f>IF(Y1016&lt;&gt;"",Y1016,IF(U1016&lt;&gt;"",U1016,S1016))</f>
        <v/>
      </c>
      <c r="AE1016" s="21">
        <f>IF(AB1016&lt;&gt;"",AB1016,Z1016)</f>
        <v/>
      </c>
      <c r="AF1016" s="13" t="inlineStr">
        <is>
          <t>P-35 &gt; CVN Refueling Overhauls &gt; UNMANNED AVIATION WARFARE CENTER (UAWC) &gt; Technical Engineering Services                                                                                                                  -</t>
        </is>
      </c>
      <c r="AG1016" s="7" t="inlineStr">
        <is>
          <t>197</t>
        </is>
      </c>
      <c r="AH1016" s="7" t="inlineStr">
        <is>
          <t>2086</t>
        </is>
      </c>
    </row>
    <row r="1017" ht="10" customHeight="1">
      <c r="A1017" s="7" t="inlineStr">
        <is>
          <t>SCN</t>
        </is>
      </c>
      <c r="B1017" s="7" t="inlineStr">
        <is>
          <t>Procurement</t>
        </is>
      </c>
      <c r="D1017" s="7" t="inlineStr">
        <is>
          <t>CVN Refueling Overhauls - P-35 UNMANNED AVIATION WARFARE CENTER (UAWC) - Other Costs                                                                                                                                     -</t>
        </is>
      </c>
      <c r="E1017" s="13" t="inlineStr">
        <is>
          <t>[ALT_VIEW]</t>
        </is>
      </c>
      <c r="F1017" s="7" t="inlineStr">
        <is>
          <t>2086 / CVN Refueling Overhauls</t>
        </is>
      </c>
      <c r="G1017" s="7" t="inlineStr">
        <is>
          <t>P-35</t>
        </is>
      </c>
      <c r="I1017" s="14" t="n">
        <v>5</v>
      </c>
      <c r="J1017" s="7" t="inlineStr">
        <is>
          <t>RCOH</t>
        </is>
      </c>
      <c r="K1017" s="13" t="inlineStr">
        <is>
          <t>USN</t>
        </is>
      </c>
      <c r="L1017" s="7" t="inlineStr">
        <is>
          <t>Combatant Ships</t>
        </is>
      </c>
      <c r="M1017" s="7" t="inlineStr">
        <is>
          <t>Aircraft Carriers</t>
        </is>
      </c>
      <c r="N1017" s="7" t="inlineStr">
        <is>
          <t>CVN</t>
        </is>
      </c>
      <c r="O1017" s="15" t="n"/>
      <c r="S1017" s="16" t="n">
        <v>883</v>
      </c>
      <c r="U1017" s="16" t="n">
        <v>883</v>
      </c>
      <c r="AC1017" s="23">
        <f>IF(OR(E1017="",E1017="[PARENT]"),"ADD",IF(E1017="[ALT_VIEW]","ALT",""))</f>
        <v/>
      </c>
      <c r="AD1017" s="21">
        <f>IF(Y1017&lt;&gt;"",Y1017,IF(U1017&lt;&gt;"",U1017,S1017))</f>
        <v/>
      </c>
      <c r="AE1017" s="21">
        <f>IF(AB1017&lt;&gt;"",AB1017,Z1017)</f>
        <v/>
      </c>
      <c r="AF1017" s="13" t="inlineStr">
        <is>
          <t>P-35 &gt; CVN Refueling Overhauls &gt; UNMANNED AVIATION WARFARE CENTER (UAWC) &gt; Other Costs                                                                                                                                     -</t>
        </is>
      </c>
      <c r="AG1017" s="7" t="inlineStr">
        <is>
          <t>197</t>
        </is>
      </c>
      <c r="AH1017" s="7" t="inlineStr">
        <is>
          <t>2086</t>
        </is>
      </c>
    </row>
    <row r="1018" ht="10" customHeight="1">
      <c r="A1018" s="7" t="inlineStr">
        <is>
          <t>SCN</t>
        </is>
      </c>
      <c r="B1018" s="7" t="inlineStr">
        <is>
          <t>Procurement</t>
        </is>
      </c>
      <c r="D1018" s="7" t="inlineStr">
        <is>
          <t>CVN Refueling Overhauls - P-35 LOW PRESSURE AIR PLANT (LPAP) - Major Hardware                                                                                                 1</t>
        </is>
      </c>
      <c r="E1018" s="13" t="inlineStr">
        <is>
          <t>[ALT_VIEW]</t>
        </is>
      </c>
      <c r="F1018" s="7" t="inlineStr">
        <is>
          <t>2086 / CVN Refueling Overhauls</t>
        </is>
      </c>
      <c r="G1018" s="7" t="inlineStr">
        <is>
          <t>P-35</t>
        </is>
      </c>
      <c r="I1018" s="14" t="n">
        <v>5</v>
      </c>
      <c r="J1018" s="7" t="inlineStr">
        <is>
          <t>RCOH</t>
        </is>
      </c>
      <c r="K1018" s="13" t="inlineStr">
        <is>
          <t>USN</t>
        </is>
      </c>
      <c r="L1018" s="7" t="inlineStr">
        <is>
          <t>Combatant Ships</t>
        </is>
      </c>
      <c r="M1018" s="7" t="inlineStr">
        <is>
          <t>Aircraft Carriers</t>
        </is>
      </c>
      <c r="N1018" s="7" t="inlineStr">
        <is>
          <t>CVN</t>
        </is>
      </c>
      <c r="O1018" s="15" t="n"/>
      <c r="S1018" s="16" t="n">
        <v>5726</v>
      </c>
      <c r="U1018" s="16" t="n">
        <v>5726</v>
      </c>
      <c r="AC1018" s="23">
        <f>IF(OR(E1018="",E1018="[PARENT]"),"ADD",IF(E1018="[ALT_VIEW]","ALT",""))</f>
        <v/>
      </c>
      <c r="AD1018" s="21">
        <f>IF(Y1018&lt;&gt;"",Y1018,IF(U1018&lt;&gt;"",U1018,S1018))</f>
        <v/>
      </c>
      <c r="AE1018" s="21">
        <f>IF(AB1018&lt;&gt;"",AB1018,Z1018)</f>
        <v/>
      </c>
      <c r="AF1018" s="13" t="inlineStr">
        <is>
          <t>P-35 &gt; CVN Refueling Overhauls &gt; LOW PRESSURE AIR PLANT (LPAP) &gt; Major Hardware                                                                                                 1</t>
        </is>
      </c>
      <c r="AG1018" s="7" t="inlineStr">
        <is>
          <t>198</t>
        </is>
      </c>
      <c r="AH1018" s="7" t="inlineStr">
        <is>
          <t>2086</t>
        </is>
      </c>
    </row>
    <row r="1019" ht="10" customHeight="1">
      <c r="A1019" s="7" t="inlineStr">
        <is>
          <t>SCN</t>
        </is>
      </c>
      <c r="B1019" s="7" t="inlineStr">
        <is>
          <t>Procurement</t>
        </is>
      </c>
      <c r="D1019" s="7" t="inlineStr">
        <is>
          <t>CVN Refueling Overhauls - P-35 LOW PRESSURE AIR PLANT (LPAP) - Ancillary Equipment</t>
        </is>
      </c>
      <c r="E1019" s="13" t="inlineStr">
        <is>
          <t>[ALT_VIEW]</t>
        </is>
      </c>
      <c r="F1019" s="7" t="inlineStr">
        <is>
          <t>2086 / CVN Refueling Overhauls</t>
        </is>
      </c>
      <c r="G1019" s="7" t="inlineStr">
        <is>
          <t>P-35</t>
        </is>
      </c>
      <c r="I1019" s="14" t="n">
        <v>5</v>
      </c>
      <c r="J1019" s="7" t="inlineStr">
        <is>
          <t>RCOH</t>
        </is>
      </c>
      <c r="K1019" s="13" t="inlineStr">
        <is>
          <t>USN</t>
        </is>
      </c>
      <c r="L1019" s="7" t="inlineStr">
        <is>
          <t>Combatant Ships</t>
        </is>
      </c>
      <c r="M1019" s="7" t="inlineStr">
        <is>
          <t>Aircraft Carriers</t>
        </is>
      </c>
      <c r="N1019" s="7" t="inlineStr">
        <is>
          <t>CVN</t>
        </is>
      </c>
      <c r="O1019" s="15" t="n"/>
      <c r="S1019" s="16" t="n">
        <v>194</v>
      </c>
      <c r="U1019" s="16" t="n">
        <v>194</v>
      </c>
      <c r="AC1019" s="23">
        <f>IF(OR(E1019="",E1019="[PARENT]"),"ADD",IF(E1019="[ALT_VIEW]","ALT",""))</f>
        <v/>
      </c>
      <c r="AD1019" s="21">
        <f>IF(Y1019&lt;&gt;"",Y1019,IF(U1019&lt;&gt;"",U1019,S1019))</f>
        <v/>
      </c>
      <c r="AE1019" s="21">
        <f>IF(AB1019&lt;&gt;"",AB1019,Z1019)</f>
        <v/>
      </c>
      <c r="AF1019" s="13" t="inlineStr">
        <is>
          <t>P-35 &gt; CVN Refueling Overhauls &gt; LOW PRESSURE AIR PLANT (LPAP) &gt; Ancillary Equipment</t>
        </is>
      </c>
      <c r="AG1019" s="7" t="inlineStr">
        <is>
          <t>198</t>
        </is>
      </c>
      <c r="AH1019" s="7" t="inlineStr">
        <is>
          <t>2086</t>
        </is>
      </c>
    </row>
    <row r="1020" ht="10" customHeight="1">
      <c r="A1020" s="7" t="inlineStr">
        <is>
          <t>SCN</t>
        </is>
      </c>
      <c r="B1020" s="7" t="inlineStr">
        <is>
          <t>Procurement</t>
        </is>
      </c>
      <c r="D1020" s="7" t="inlineStr">
        <is>
          <t>CVN Refueling Overhauls - P-35 LOW PRESSURE AIR PLANT (LPAP) - Spares</t>
        </is>
      </c>
      <c r="E1020" s="13" t="inlineStr">
        <is>
          <t>[ALT_VIEW]</t>
        </is>
      </c>
      <c r="F1020" s="7" t="inlineStr">
        <is>
          <t>2086 / CVN Refueling Overhauls</t>
        </is>
      </c>
      <c r="G1020" s="7" t="inlineStr">
        <is>
          <t>P-35</t>
        </is>
      </c>
      <c r="I1020" s="14" t="n">
        <v>5</v>
      </c>
      <c r="J1020" s="7" t="inlineStr">
        <is>
          <t>RCOH</t>
        </is>
      </c>
      <c r="K1020" s="13" t="inlineStr">
        <is>
          <t>USN</t>
        </is>
      </c>
      <c r="L1020" s="7" t="inlineStr">
        <is>
          <t>Combatant Ships</t>
        </is>
      </c>
      <c r="M1020" s="7" t="inlineStr">
        <is>
          <t>Aircraft Carriers</t>
        </is>
      </c>
      <c r="N1020" s="7" t="inlineStr">
        <is>
          <t>CVN</t>
        </is>
      </c>
      <c r="O1020" s="15" t="n"/>
      <c r="S1020" s="16" t="n">
        <v>18</v>
      </c>
      <c r="U1020" s="16" t="n">
        <v>18</v>
      </c>
      <c r="AC1020" s="23">
        <f>IF(OR(E1020="",E1020="[PARENT]"),"ADD",IF(E1020="[ALT_VIEW]","ALT",""))</f>
        <v/>
      </c>
      <c r="AD1020" s="21">
        <f>IF(Y1020&lt;&gt;"",Y1020,IF(U1020&lt;&gt;"",U1020,S1020))</f>
        <v/>
      </c>
      <c r="AE1020" s="21">
        <f>IF(AB1020&lt;&gt;"",AB1020,Z1020)</f>
        <v/>
      </c>
      <c r="AF1020" s="13" t="inlineStr">
        <is>
          <t>P-35 &gt; CVN Refueling Overhauls &gt; LOW PRESSURE AIR PLANT (LPAP) &gt; Spares</t>
        </is>
      </c>
      <c r="AG1020" s="7" t="inlineStr">
        <is>
          <t>198</t>
        </is>
      </c>
      <c r="AH1020" s="7" t="inlineStr">
        <is>
          <t>2086</t>
        </is>
      </c>
    </row>
    <row r="1021" ht="10" customHeight="1">
      <c r="A1021" s="7" t="inlineStr">
        <is>
          <t>SCN</t>
        </is>
      </c>
      <c r="B1021" s="7" t="inlineStr">
        <is>
          <t>Procurement</t>
        </is>
      </c>
      <c r="D1021" s="7" t="inlineStr">
        <is>
          <t>CVN Refueling Overhauls - P-35 LOW PRESSURE AIR PLANT (LPAP) - System Engineering</t>
        </is>
      </c>
      <c r="E1021" s="13" t="inlineStr">
        <is>
          <t>[ALT_VIEW]</t>
        </is>
      </c>
      <c r="F1021" s="7" t="inlineStr">
        <is>
          <t>2086 / CVN Refueling Overhauls</t>
        </is>
      </c>
      <c r="G1021" s="7" t="inlineStr">
        <is>
          <t>P-35</t>
        </is>
      </c>
      <c r="I1021" s="14" t="n">
        <v>5</v>
      </c>
      <c r="J1021" s="7" t="inlineStr">
        <is>
          <t>RCOH</t>
        </is>
      </c>
      <c r="K1021" s="13" t="inlineStr">
        <is>
          <t>USN</t>
        </is>
      </c>
      <c r="L1021" s="7" t="inlineStr">
        <is>
          <t>Combatant Ships</t>
        </is>
      </c>
      <c r="M1021" s="7" t="inlineStr">
        <is>
          <t>Aircraft Carriers</t>
        </is>
      </c>
      <c r="N1021" s="7" t="inlineStr">
        <is>
          <t>CVN</t>
        </is>
      </c>
      <c r="O1021" s="15" t="n"/>
      <c r="P1021" s="16" t="n">
        <v>101</v>
      </c>
      <c r="S1021" s="16" t="n">
        <v>60</v>
      </c>
      <c r="U1021" s="16" t="n">
        <v>60</v>
      </c>
      <c r="AC1021" s="23">
        <f>IF(OR(E1021="",E1021="[PARENT]"),"ADD",IF(E1021="[ALT_VIEW]","ALT",""))</f>
        <v/>
      </c>
      <c r="AD1021" s="21">
        <f>IF(Y1021&lt;&gt;"",Y1021,IF(U1021&lt;&gt;"",U1021,S1021))</f>
        <v/>
      </c>
      <c r="AE1021" s="21">
        <f>IF(AB1021&lt;&gt;"",AB1021,Z1021)</f>
        <v/>
      </c>
      <c r="AF1021" s="13" t="inlineStr">
        <is>
          <t>P-35 &gt; CVN Refueling Overhauls &gt; LOW PRESSURE AIR PLANT (LPAP) &gt; System Engineering</t>
        </is>
      </c>
      <c r="AG1021" s="7" t="inlineStr">
        <is>
          <t>198</t>
        </is>
      </c>
      <c r="AH1021" s="7" t="inlineStr">
        <is>
          <t>2086</t>
        </is>
      </c>
    </row>
    <row r="1022" ht="10" customHeight="1">
      <c r="A1022" s="7" t="inlineStr">
        <is>
          <t>SCN</t>
        </is>
      </c>
      <c r="B1022" s="7" t="inlineStr">
        <is>
          <t>Procurement</t>
        </is>
      </c>
      <c r="D1022" s="7" t="inlineStr">
        <is>
          <t>CVN Refueling Overhauls - P-35 LOW PRESSURE AIR PLANT (LPAP) - Technical Engineering Services</t>
        </is>
      </c>
      <c r="E1022" s="13" t="inlineStr">
        <is>
          <t>[ALT_VIEW]</t>
        </is>
      </c>
      <c r="F1022" s="7" t="inlineStr">
        <is>
          <t>2086 / CVN Refueling Overhauls</t>
        </is>
      </c>
      <c r="G1022" s="7" t="inlineStr">
        <is>
          <t>P-35</t>
        </is>
      </c>
      <c r="I1022" s="14" t="n">
        <v>5</v>
      </c>
      <c r="J1022" s="7" t="inlineStr">
        <is>
          <t>RCOH</t>
        </is>
      </c>
      <c r="K1022" s="13" t="inlineStr">
        <is>
          <t>USN</t>
        </is>
      </c>
      <c r="L1022" s="7" t="inlineStr">
        <is>
          <t>Combatant Ships</t>
        </is>
      </c>
      <c r="M1022" s="7" t="inlineStr">
        <is>
          <t>Aircraft Carriers</t>
        </is>
      </c>
      <c r="N1022" s="7" t="inlineStr">
        <is>
          <t>CVN</t>
        </is>
      </c>
      <c r="O1022" s="15" t="n"/>
      <c r="S1022" s="16" t="n">
        <v>175</v>
      </c>
      <c r="U1022" s="16" t="n">
        <v>175</v>
      </c>
      <c r="AC1022" s="23">
        <f>IF(OR(E1022="",E1022="[PARENT]"),"ADD",IF(E1022="[ALT_VIEW]","ALT",""))</f>
        <v/>
      </c>
      <c r="AD1022" s="21">
        <f>IF(Y1022&lt;&gt;"",Y1022,IF(U1022&lt;&gt;"",U1022,S1022))</f>
        <v/>
      </c>
      <c r="AE1022" s="21">
        <f>IF(AB1022&lt;&gt;"",AB1022,Z1022)</f>
        <v/>
      </c>
      <c r="AF1022" s="13" t="inlineStr">
        <is>
          <t>P-35 &gt; CVN Refueling Overhauls &gt; LOW PRESSURE AIR PLANT (LPAP) &gt; Technical Engineering Services</t>
        </is>
      </c>
      <c r="AG1022" s="7" t="inlineStr">
        <is>
          <t>198</t>
        </is>
      </c>
      <c r="AH1022" s="7" t="inlineStr">
        <is>
          <t>2086</t>
        </is>
      </c>
    </row>
    <row r="1023" ht="10" customHeight="1">
      <c r="A1023" s="7" t="inlineStr">
        <is>
          <t>SCN</t>
        </is>
      </c>
      <c r="B1023" s="7" t="inlineStr">
        <is>
          <t>Procurement</t>
        </is>
      </c>
      <c r="D1023" s="7" t="inlineStr">
        <is>
          <t>CVN Refueling Overhauls - P-35 LOW PRESSURE AIR PLANT (LPAP) - Other Costs</t>
        </is>
      </c>
      <c r="E1023" s="13" t="inlineStr">
        <is>
          <t>[ALT_VIEW]</t>
        </is>
      </c>
      <c r="F1023" s="7" t="inlineStr">
        <is>
          <t>2086 / CVN Refueling Overhauls</t>
        </is>
      </c>
      <c r="G1023" s="7" t="inlineStr">
        <is>
          <t>P-35</t>
        </is>
      </c>
      <c r="I1023" s="14" t="n">
        <v>5</v>
      </c>
      <c r="J1023" s="7" t="inlineStr">
        <is>
          <t>RCOH</t>
        </is>
      </c>
      <c r="K1023" s="13" t="inlineStr">
        <is>
          <t>USN</t>
        </is>
      </c>
      <c r="L1023" s="7" t="inlineStr">
        <is>
          <t>Combatant Ships</t>
        </is>
      </c>
      <c r="M1023" s="7" t="inlineStr">
        <is>
          <t>Aircraft Carriers</t>
        </is>
      </c>
      <c r="N1023" s="7" t="inlineStr">
        <is>
          <t>CVN</t>
        </is>
      </c>
      <c r="O1023" s="15" t="n"/>
      <c r="P1023" s="16" t="n">
        <v>109</v>
      </c>
      <c r="S1023" s="16" t="n">
        <v>40</v>
      </c>
      <c r="U1023" s="16" t="n">
        <v>40</v>
      </c>
      <c r="AC1023" s="23">
        <f>IF(OR(E1023="",E1023="[PARENT]"),"ADD",IF(E1023="[ALT_VIEW]","ALT",""))</f>
        <v/>
      </c>
      <c r="AD1023" s="21">
        <f>IF(Y1023&lt;&gt;"",Y1023,IF(U1023&lt;&gt;"",U1023,S1023))</f>
        <v/>
      </c>
      <c r="AE1023" s="21">
        <f>IF(AB1023&lt;&gt;"",AB1023,Z1023)</f>
        <v/>
      </c>
      <c r="AF1023" s="13" t="inlineStr">
        <is>
          <t>P-35 &gt; CVN Refueling Overhauls &gt; LOW PRESSURE AIR PLANT (LPAP) &gt; Other Costs</t>
        </is>
      </c>
      <c r="AG1023" s="7" t="inlineStr">
        <is>
          <t>198</t>
        </is>
      </c>
      <c r="AH1023" s="7" t="inlineStr">
        <is>
          <t>2086</t>
        </is>
      </c>
    </row>
    <row r="1024" ht="10" customHeight="1">
      <c r="A1024" s="7" t="inlineStr">
        <is>
          <t>SCN</t>
        </is>
      </c>
      <c r="B1024" s="7" t="inlineStr">
        <is>
          <t>Procurement</t>
        </is>
      </c>
      <c r="D1024" s="7" t="inlineStr">
        <is>
          <t>CVN Refueling Overhauls - P-35 VSA O2 GENERATOR - Major Hardware                                                                                                      1</t>
        </is>
      </c>
      <c r="E1024" s="13" t="inlineStr">
        <is>
          <t>[ALT_VIEW]</t>
        </is>
      </c>
      <c r="F1024" s="7" t="inlineStr">
        <is>
          <t>2086 / CVN Refueling Overhauls</t>
        </is>
      </c>
      <c r="G1024" s="7" t="inlineStr">
        <is>
          <t>P-35</t>
        </is>
      </c>
      <c r="I1024" s="14" t="n">
        <v>5</v>
      </c>
      <c r="J1024" s="7" t="inlineStr">
        <is>
          <t>RCOH</t>
        </is>
      </c>
      <c r="K1024" s="13" t="inlineStr">
        <is>
          <t>USN</t>
        </is>
      </c>
      <c r="L1024" s="7" t="inlineStr">
        <is>
          <t>Combatant Ships</t>
        </is>
      </c>
      <c r="M1024" s="7" t="inlineStr">
        <is>
          <t>Aircraft Carriers</t>
        </is>
      </c>
      <c r="N1024" s="7" t="inlineStr">
        <is>
          <t>CVN</t>
        </is>
      </c>
      <c r="O1024" s="15" t="n"/>
      <c r="S1024" s="16" t="n">
        <v>3549</v>
      </c>
      <c r="U1024" s="16" t="n">
        <v>3549</v>
      </c>
      <c r="AC1024" s="23">
        <f>IF(OR(E1024="",E1024="[PARENT]"),"ADD",IF(E1024="[ALT_VIEW]","ALT",""))</f>
        <v/>
      </c>
      <c r="AD1024" s="21">
        <f>IF(Y1024&lt;&gt;"",Y1024,IF(U1024&lt;&gt;"",U1024,S1024))</f>
        <v/>
      </c>
      <c r="AE1024" s="21">
        <f>IF(AB1024&lt;&gt;"",AB1024,Z1024)</f>
        <v/>
      </c>
      <c r="AF1024" s="13" t="inlineStr">
        <is>
          <t>P-35 &gt; CVN Refueling Overhauls &gt; VSA O2 GENERATOR &gt; Major Hardware                                                                                                      1</t>
        </is>
      </c>
      <c r="AG1024" s="7" t="inlineStr">
        <is>
          <t>199</t>
        </is>
      </c>
      <c r="AH1024" s="7" t="inlineStr">
        <is>
          <t>2086</t>
        </is>
      </c>
    </row>
    <row r="1025" ht="10" customHeight="1">
      <c r="A1025" s="7" t="inlineStr">
        <is>
          <t>SCN</t>
        </is>
      </c>
      <c r="B1025" s="7" t="inlineStr">
        <is>
          <t>Procurement</t>
        </is>
      </c>
      <c r="D1025" s="7" t="inlineStr">
        <is>
          <t>CVN Refueling Overhauls - P-35 VSA O2 GENERATOR - Ancillary Equipment</t>
        </is>
      </c>
      <c r="E1025" s="13" t="inlineStr">
        <is>
          <t>[ALT_VIEW]</t>
        </is>
      </c>
      <c r="F1025" s="7" t="inlineStr">
        <is>
          <t>2086 / CVN Refueling Overhauls</t>
        </is>
      </c>
      <c r="G1025" s="7" t="inlineStr">
        <is>
          <t>P-35</t>
        </is>
      </c>
      <c r="I1025" s="14" t="n">
        <v>5</v>
      </c>
      <c r="J1025" s="7" t="inlineStr">
        <is>
          <t>RCOH</t>
        </is>
      </c>
      <c r="K1025" s="13" t="inlineStr">
        <is>
          <t>USN</t>
        </is>
      </c>
      <c r="L1025" s="7" t="inlineStr">
        <is>
          <t>Combatant Ships</t>
        </is>
      </c>
      <c r="M1025" s="7" t="inlineStr">
        <is>
          <t>Aircraft Carriers</t>
        </is>
      </c>
      <c r="N1025" s="7" t="inlineStr">
        <is>
          <t>CVN</t>
        </is>
      </c>
      <c r="O1025" s="15" t="n"/>
      <c r="S1025" s="16" t="n">
        <v>194</v>
      </c>
      <c r="U1025" s="16" t="n">
        <v>194</v>
      </c>
      <c r="AC1025" s="23">
        <f>IF(OR(E1025="",E1025="[PARENT]"),"ADD",IF(E1025="[ALT_VIEW]","ALT",""))</f>
        <v/>
      </c>
      <c r="AD1025" s="21">
        <f>IF(Y1025&lt;&gt;"",Y1025,IF(U1025&lt;&gt;"",U1025,S1025))</f>
        <v/>
      </c>
      <c r="AE1025" s="21">
        <f>IF(AB1025&lt;&gt;"",AB1025,Z1025)</f>
        <v/>
      </c>
      <c r="AF1025" s="13" t="inlineStr">
        <is>
          <t>P-35 &gt; CVN Refueling Overhauls &gt; VSA O2 GENERATOR &gt; Ancillary Equipment</t>
        </is>
      </c>
      <c r="AG1025" s="7" t="inlineStr">
        <is>
          <t>199</t>
        </is>
      </c>
      <c r="AH1025" s="7" t="inlineStr">
        <is>
          <t>2086</t>
        </is>
      </c>
    </row>
    <row r="1026" ht="10" customHeight="1">
      <c r="A1026" s="7" t="inlineStr">
        <is>
          <t>SCN</t>
        </is>
      </c>
      <c r="B1026" s="7" t="inlineStr">
        <is>
          <t>Procurement</t>
        </is>
      </c>
      <c r="D1026" s="7" t="inlineStr">
        <is>
          <t>CVN Refueling Overhauls - P-35 VSA O2 GENERATOR - Spares</t>
        </is>
      </c>
      <c r="E1026" s="13" t="inlineStr">
        <is>
          <t>[ALT_VIEW]</t>
        </is>
      </c>
      <c r="F1026" s="7" t="inlineStr">
        <is>
          <t>2086 / CVN Refueling Overhauls</t>
        </is>
      </c>
      <c r="G1026" s="7" t="inlineStr">
        <is>
          <t>P-35</t>
        </is>
      </c>
      <c r="I1026" s="14" t="n">
        <v>5</v>
      </c>
      <c r="J1026" s="7" t="inlineStr">
        <is>
          <t>RCOH</t>
        </is>
      </c>
      <c r="K1026" s="13" t="inlineStr">
        <is>
          <t>USN</t>
        </is>
      </c>
      <c r="L1026" s="7" t="inlineStr">
        <is>
          <t>Combatant Ships</t>
        </is>
      </c>
      <c r="M1026" s="7" t="inlineStr">
        <is>
          <t>Aircraft Carriers</t>
        </is>
      </c>
      <c r="N1026" s="7" t="inlineStr">
        <is>
          <t>CVN</t>
        </is>
      </c>
      <c r="O1026" s="15" t="n"/>
      <c r="S1026" s="16" t="n">
        <v>50</v>
      </c>
      <c r="U1026" s="16" t="n">
        <v>50</v>
      </c>
      <c r="AC1026" s="23">
        <f>IF(OR(E1026="",E1026="[PARENT]"),"ADD",IF(E1026="[ALT_VIEW]","ALT",""))</f>
        <v/>
      </c>
      <c r="AD1026" s="21">
        <f>IF(Y1026&lt;&gt;"",Y1026,IF(U1026&lt;&gt;"",U1026,S1026))</f>
        <v/>
      </c>
      <c r="AE1026" s="21">
        <f>IF(AB1026&lt;&gt;"",AB1026,Z1026)</f>
        <v/>
      </c>
      <c r="AF1026" s="13" t="inlineStr">
        <is>
          <t>P-35 &gt; CVN Refueling Overhauls &gt; VSA O2 GENERATOR &gt; Spares</t>
        </is>
      </c>
      <c r="AG1026" s="7" t="inlineStr">
        <is>
          <t>199</t>
        </is>
      </c>
      <c r="AH1026" s="7" t="inlineStr">
        <is>
          <t>2086</t>
        </is>
      </c>
    </row>
    <row r="1027" ht="10" customHeight="1">
      <c r="A1027" s="7" t="inlineStr">
        <is>
          <t>SCN</t>
        </is>
      </c>
      <c r="B1027" s="7" t="inlineStr">
        <is>
          <t>Procurement</t>
        </is>
      </c>
      <c r="D1027" s="7" t="inlineStr">
        <is>
          <t>CVN Refueling Overhauls - P-35 VSA O2 GENERATOR - System Engineering</t>
        </is>
      </c>
      <c r="E1027" s="13" t="inlineStr">
        <is>
          <t>[ALT_VIEW]</t>
        </is>
      </c>
      <c r="F1027" s="7" t="inlineStr">
        <is>
          <t>2086 / CVN Refueling Overhauls</t>
        </is>
      </c>
      <c r="G1027" s="7" t="inlineStr">
        <is>
          <t>P-35</t>
        </is>
      </c>
      <c r="I1027" s="14" t="n">
        <v>5</v>
      </c>
      <c r="J1027" s="7" t="inlineStr">
        <is>
          <t>RCOH</t>
        </is>
      </c>
      <c r="K1027" s="13" t="inlineStr">
        <is>
          <t>USN</t>
        </is>
      </c>
      <c r="L1027" s="7" t="inlineStr">
        <is>
          <t>Combatant Ships</t>
        </is>
      </c>
      <c r="M1027" s="7" t="inlineStr">
        <is>
          <t>Aircraft Carriers</t>
        </is>
      </c>
      <c r="N1027" s="7" t="inlineStr">
        <is>
          <t>CVN</t>
        </is>
      </c>
      <c r="O1027" s="15" t="n"/>
      <c r="P1027" s="16" t="n">
        <v>576</v>
      </c>
      <c r="S1027" s="16" t="n">
        <v>395</v>
      </c>
      <c r="U1027" s="16" t="n">
        <v>395</v>
      </c>
      <c r="AC1027" s="23">
        <f>IF(OR(E1027="",E1027="[PARENT]"),"ADD",IF(E1027="[ALT_VIEW]","ALT",""))</f>
        <v/>
      </c>
      <c r="AD1027" s="21">
        <f>IF(Y1027&lt;&gt;"",Y1027,IF(U1027&lt;&gt;"",U1027,S1027))</f>
        <v/>
      </c>
      <c r="AE1027" s="21">
        <f>IF(AB1027&lt;&gt;"",AB1027,Z1027)</f>
        <v/>
      </c>
      <c r="AF1027" s="13" t="inlineStr">
        <is>
          <t>P-35 &gt; CVN Refueling Overhauls &gt; VSA O2 GENERATOR &gt; System Engineering</t>
        </is>
      </c>
      <c r="AG1027" s="7" t="inlineStr">
        <is>
          <t>199</t>
        </is>
      </c>
      <c r="AH1027" s="7" t="inlineStr">
        <is>
          <t>2086</t>
        </is>
      </c>
    </row>
    <row r="1028" ht="10" customHeight="1">
      <c r="A1028" s="7" t="inlineStr">
        <is>
          <t>SCN</t>
        </is>
      </c>
      <c r="B1028" s="7" t="inlineStr">
        <is>
          <t>Procurement</t>
        </is>
      </c>
      <c r="D1028" s="7" t="inlineStr">
        <is>
          <t>CVN Refueling Overhauls - P-35 VSA O2 GENERATOR - Technical Engineering Services</t>
        </is>
      </c>
      <c r="E1028" s="13" t="inlineStr">
        <is>
          <t>[ALT_VIEW]</t>
        </is>
      </c>
      <c r="F1028" s="7" t="inlineStr">
        <is>
          <t>2086 / CVN Refueling Overhauls</t>
        </is>
      </c>
      <c r="G1028" s="7" t="inlineStr">
        <is>
          <t>P-35</t>
        </is>
      </c>
      <c r="I1028" s="14" t="n">
        <v>5</v>
      </c>
      <c r="J1028" s="7" t="inlineStr">
        <is>
          <t>RCOH</t>
        </is>
      </c>
      <c r="K1028" s="13" t="inlineStr">
        <is>
          <t>USN</t>
        </is>
      </c>
      <c r="L1028" s="7" t="inlineStr">
        <is>
          <t>Combatant Ships</t>
        </is>
      </c>
      <c r="M1028" s="7" t="inlineStr">
        <is>
          <t>Aircraft Carriers</t>
        </is>
      </c>
      <c r="N1028" s="7" t="inlineStr">
        <is>
          <t>CVN</t>
        </is>
      </c>
      <c r="O1028" s="15" t="n"/>
      <c r="P1028" s="16" t="n">
        <v>123</v>
      </c>
      <c r="S1028" s="16" t="n">
        <v>115</v>
      </c>
      <c r="U1028" s="16" t="n">
        <v>115</v>
      </c>
      <c r="AC1028" s="23">
        <f>IF(OR(E1028="",E1028="[PARENT]"),"ADD",IF(E1028="[ALT_VIEW]","ALT",""))</f>
        <v/>
      </c>
      <c r="AD1028" s="21">
        <f>IF(Y1028&lt;&gt;"",Y1028,IF(U1028&lt;&gt;"",U1028,S1028))</f>
        <v/>
      </c>
      <c r="AE1028" s="21">
        <f>IF(AB1028&lt;&gt;"",AB1028,Z1028)</f>
        <v/>
      </c>
      <c r="AF1028" s="13" t="inlineStr">
        <is>
          <t>P-35 &gt; CVN Refueling Overhauls &gt; VSA O2 GENERATOR &gt; Technical Engineering Services</t>
        </is>
      </c>
      <c r="AG1028" s="7" t="inlineStr">
        <is>
          <t>199</t>
        </is>
      </c>
      <c r="AH1028" s="7" t="inlineStr">
        <is>
          <t>2086</t>
        </is>
      </c>
    </row>
    <row r="1029" ht="10" customHeight="1">
      <c r="A1029" s="7" t="inlineStr">
        <is>
          <t>SCN</t>
        </is>
      </c>
      <c r="B1029" s="7" t="inlineStr">
        <is>
          <t>Procurement</t>
        </is>
      </c>
      <c r="D1029" s="7" t="inlineStr">
        <is>
          <t>CVN Refueling Overhauls - P-35 VSA O2 GENERATOR - Other Costs</t>
        </is>
      </c>
      <c r="E1029" s="13" t="inlineStr">
        <is>
          <t>[ALT_VIEW]</t>
        </is>
      </c>
      <c r="F1029" s="7" t="inlineStr">
        <is>
          <t>2086 / CVN Refueling Overhauls</t>
        </is>
      </c>
      <c r="G1029" s="7" t="inlineStr">
        <is>
          <t>P-35</t>
        </is>
      </c>
      <c r="I1029" s="14" t="n">
        <v>5</v>
      </c>
      <c r="J1029" s="7" t="inlineStr">
        <is>
          <t>RCOH</t>
        </is>
      </c>
      <c r="K1029" s="13" t="inlineStr">
        <is>
          <t>USN</t>
        </is>
      </c>
      <c r="L1029" s="7" t="inlineStr">
        <is>
          <t>Combatant Ships</t>
        </is>
      </c>
      <c r="M1029" s="7" t="inlineStr">
        <is>
          <t>Aircraft Carriers</t>
        </is>
      </c>
      <c r="N1029" s="7" t="inlineStr">
        <is>
          <t>CVN</t>
        </is>
      </c>
      <c r="O1029" s="15" t="n"/>
      <c r="P1029" s="16" t="n">
        <v>284</v>
      </c>
      <c r="S1029" s="16" t="n">
        <v>50</v>
      </c>
      <c r="U1029" s="16" t="n">
        <v>50</v>
      </c>
      <c r="AC1029" s="23">
        <f>IF(OR(E1029="",E1029="[PARENT]"),"ADD",IF(E1029="[ALT_VIEW]","ALT",""))</f>
        <v/>
      </c>
      <c r="AD1029" s="21">
        <f>IF(Y1029&lt;&gt;"",Y1029,IF(U1029&lt;&gt;"",U1029,S1029))</f>
        <v/>
      </c>
      <c r="AE1029" s="21">
        <f>IF(AB1029&lt;&gt;"",AB1029,Z1029)</f>
        <v/>
      </c>
      <c r="AF1029" s="13" t="inlineStr">
        <is>
          <t>P-35 &gt; CVN Refueling Overhauls &gt; VSA O2 GENERATOR &gt; Other Costs</t>
        </is>
      </c>
      <c r="AG1029" s="7" t="inlineStr">
        <is>
          <t>199</t>
        </is>
      </c>
      <c r="AH1029" s="7" t="inlineStr">
        <is>
          <t>2086</t>
        </is>
      </c>
    </row>
    <row r="1030" ht="10" customHeight="1">
      <c r="A1030" s="7" t="inlineStr">
        <is>
          <t>SCN</t>
        </is>
      </c>
      <c r="B1030" s="7" t="inlineStr">
        <is>
          <t>Procurement</t>
        </is>
      </c>
      <c r="D1030" s="7" t="inlineStr">
        <is>
          <t>CVN Refueling Overhauls - P-35 ENTERPRISE AIR SURVEILLANCE RADAR (EASR) - Major Hardware                                                                                                    1</t>
        </is>
      </c>
      <c r="E1030" s="13" t="inlineStr">
        <is>
          <t>[ALT_VIEW]</t>
        </is>
      </c>
      <c r="F1030" s="7" t="inlineStr">
        <is>
          <t>2086 / CVN Refueling Overhauls</t>
        </is>
      </c>
      <c r="G1030" s="7" t="inlineStr">
        <is>
          <t>P-35</t>
        </is>
      </c>
      <c r="I1030" s="14" t="n">
        <v>5</v>
      </c>
      <c r="J1030" s="7" t="inlineStr">
        <is>
          <t>RCOH</t>
        </is>
      </c>
      <c r="K1030" s="13" t="inlineStr">
        <is>
          <t>USN</t>
        </is>
      </c>
      <c r="L1030" s="7" t="inlineStr">
        <is>
          <t>Combatant Ships</t>
        </is>
      </c>
      <c r="M1030" s="7" t="inlineStr">
        <is>
          <t>Aircraft Carriers</t>
        </is>
      </c>
      <c r="N1030" s="7" t="inlineStr">
        <is>
          <t>CVN</t>
        </is>
      </c>
      <c r="O1030" s="15" t="n"/>
      <c r="P1030" s="16" t="n">
        <v>27331</v>
      </c>
      <c r="S1030" s="16" t="n">
        <v>19283</v>
      </c>
      <c r="U1030" s="16" t="n">
        <v>19283</v>
      </c>
      <c r="AC1030" s="23">
        <f>IF(OR(E1030="",E1030="[PARENT]"),"ADD",IF(E1030="[ALT_VIEW]","ALT",""))</f>
        <v/>
      </c>
      <c r="AD1030" s="21">
        <f>IF(Y1030&lt;&gt;"",Y1030,IF(U1030&lt;&gt;"",U1030,S1030))</f>
        <v/>
      </c>
      <c r="AE1030" s="21">
        <f>IF(AB1030&lt;&gt;"",AB1030,Z1030)</f>
        <v/>
      </c>
      <c r="AF1030" s="13" t="inlineStr">
        <is>
          <t>P-35 &gt; CVN Refueling Overhauls &gt; ENTERPRISE AIR SURVEILLANCE RADAR (EASR) &gt; Major Hardware                                                                                                    1</t>
        </is>
      </c>
      <c r="AG1030" s="7" t="inlineStr">
        <is>
          <t>200</t>
        </is>
      </c>
      <c r="AH1030" s="7" t="inlineStr">
        <is>
          <t>2086</t>
        </is>
      </c>
    </row>
    <row r="1031" ht="10" customHeight="1">
      <c r="A1031" s="7" t="inlineStr">
        <is>
          <t>SCN</t>
        </is>
      </c>
      <c r="B1031" s="7" t="inlineStr">
        <is>
          <t>Procurement</t>
        </is>
      </c>
      <c r="D1031" s="7" t="inlineStr">
        <is>
          <t>CVN Refueling Overhauls - P-35 ENTERPRISE AIR SURVEILLANCE RADAR (EASR) - Ancillary Equipment</t>
        </is>
      </c>
      <c r="E1031" s="13" t="inlineStr">
        <is>
          <t>[ALT_VIEW]</t>
        </is>
      </c>
      <c r="F1031" s="7" t="inlineStr">
        <is>
          <t>2086 / CVN Refueling Overhauls</t>
        </is>
      </c>
      <c r="G1031" s="7" t="inlineStr">
        <is>
          <t>P-35</t>
        </is>
      </c>
      <c r="I1031" s="14" t="n">
        <v>5</v>
      </c>
      <c r="J1031" s="7" t="inlineStr">
        <is>
          <t>RCOH</t>
        </is>
      </c>
      <c r="K1031" s="13" t="inlineStr">
        <is>
          <t>USN</t>
        </is>
      </c>
      <c r="L1031" s="7" t="inlineStr">
        <is>
          <t>Combatant Ships</t>
        </is>
      </c>
      <c r="M1031" s="7" t="inlineStr">
        <is>
          <t>Aircraft Carriers</t>
        </is>
      </c>
      <c r="N1031" s="7" t="inlineStr">
        <is>
          <t>CVN</t>
        </is>
      </c>
      <c r="O1031" s="15" t="n"/>
      <c r="P1031" s="16" t="n">
        <v>233</v>
      </c>
      <c r="S1031" s="16" t="n">
        <v>80</v>
      </c>
      <c r="U1031" s="16" t="n">
        <v>80</v>
      </c>
      <c r="AC1031" s="23">
        <f>IF(OR(E1031="",E1031="[PARENT]"),"ADD",IF(E1031="[ALT_VIEW]","ALT",""))</f>
        <v/>
      </c>
      <c r="AD1031" s="21">
        <f>IF(Y1031&lt;&gt;"",Y1031,IF(U1031&lt;&gt;"",U1031,S1031))</f>
        <v/>
      </c>
      <c r="AE1031" s="21">
        <f>IF(AB1031&lt;&gt;"",AB1031,Z1031)</f>
        <v/>
      </c>
      <c r="AF1031" s="13" t="inlineStr">
        <is>
          <t>P-35 &gt; CVN Refueling Overhauls &gt; ENTERPRISE AIR SURVEILLANCE RADAR (EASR) &gt; Ancillary Equipment</t>
        </is>
      </c>
      <c r="AG1031" s="7" t="inlineStr">
        <is>
          <t>200</t>
        </is>
      </c>
      <c r="AH1031" s="7" t="inlineStr">
        <is>
          <t>2086</t>
        </is>
      </c>
    </row>
    <row r="1032" ht="10" customHeight="1">
      <c r="A1032" s="7" t="inlineStr">
        <is>
          <t>SCN</t>
        </is>
      </c>
      <c r="B1032" s="7" t="inlineStr">
        <is>
          <t>Procurement</t>
        </is>
      </c>
      <c r="D1032" s="7" t="inlineStr">
        <is>
          <t>CVN Refueling Overhauls - P-35 ENTERPRISE AIR SURVEILLANCE RADAR (EASR) - Spares</t>
        </is>
      </c>
      <c r="E1032" s="13" t="inlineStr">
        <is>
          <t>[ALT_VIEW]</t>
        </is>
      </c>
      <c r="F1032" s="7" t="inlineStr">
        <is>
          <t>2086 / CVN Refueling Overhauls</t>
        </is>
      </c>
      <c r="G1032" s="7" t="inlineStr">
        <is>
          <t>P-35</t>
        </is>
      </c>
      <c r="I1032" s="14" t="n">
        <v>5</v>
      </c>
      <c r="J1032" s="7" t="inlineStr">
        <is>
          <t>RCOH</t>
        </is>
      </c>
      <c r="K1032" s="13" t="inlineStr">
        <is>
          <t>USN</t>
        </is>
      </c>
      <c r="L1032" s="7" t="inlineStr">
        <is>
          <t>Combatant Ships</t>
        </is>
      </c>
      <c r="M1032" s="7" t="inlineStr">
        <is>
          <t>Aircraft Carriers</t>
        </is>
      </c>
      <c r="N1032" s="7" t="inlineStr">
        <is>
          <t>CVN</t>
        </is>
      </c>
      <c r="O1032" s="15" t="n"/>
      <c r="P1032" s="16" t="n">
        <v>2024</v>
      </c>
      <c r="S1032" s="16" t="n">
        <v>2229</v>
      </c>
      <c r="U1032" s="16" t="n">
        <v>2229</v>
      </c>
      <c r="AC1032" s="23">
        <f>IF(OR(E1032="",E1032="[PARENT]"),"ADD",IF(E1032="[ALT_VIEW]","ALT",""))</f>
        <v/>
      </c>
      <c r="AD1032" s="21">
        <f>IF(Y1032&lt;&gt;"",Y1032,IF(U1032&lt;&gt;"",U1032,S1032))</f>
        <v/>
      </c>
      <c r="AE1032" s="21">
        <f>IF(AB1032&lt;&gt;"",AB1032,Z1032)</f>
        <v/>
      </c>
      <c r="AF1032" s="13" t="inlineStr">
        <is>
          <t>P-35 &gt; CVN Refueling Overhauls &gt; ENTERPRISE AIR SURVEILLANCE RADAR (EASR) &gt; Spares</t>
        </is>
      </c>
      <c r="AG1032" s="7" t="inlineStr">
        <is>
          <t>200</t>
        </is>
      </c>
      <c r="AH1032" s="7" t="inlineStr">
        <is>
          <t>2086</t>
        </is>
      </c>
    </row>
    <row r="1033" ht="10" customHeight="1">
      <c r="A1033" s="7" t="inlineStr">
        <is>
          <t>SCN</t>
        </is>
      </c>
      <c r="B1033" s="7" t="inlineStr">
        <is>
          <t>Procurement</t>
        </is>
      </c>
      <c r="D1033" s="7" t="inlineStr">
        <is>
          <t>CVN Refueling Overhauls - P-35 ENTERPRISE AIR SURVEILLANCE RADAR (EASR) - System Engineering</t>
        </is>
      </c>
      <c r="E1033" s="13" t="inlineStr">
        <is>
          <t>[ALT_VIEW]</t>
        </is>
      </c>
      <c r="F1033" s="7" t="inlineStr">
        <is>
          <t>2086 / CVN Refueling Overhauls</t>
        </is>
      </c>
      <c r="G1033" s="7" t="inlineStr">
        <is>
          <t>P-35</t>
        </is>
      </c>
      <c r="I1033" s="14" t="n">
        <v>5</v>
      </c>
      <c r="J1033" s="7" t="inlineStr">
        <is>
          <t>RCOH</t>
        </is>
      </c>
      <c r="K1033" s="13" t="inlineStr">
        <is>
          <t>USN</t>
        </is>
      </c>
      <c r="L1033" s="7" t="inlineStr">
        <is>
          <t>Combatant Ships</t>
        </is>
      </c>
      <c r="M1033" s="7" t="inlineStr">
        <is>
          <t>Aircraft Carriers</t>
        </is>
      </c>
      <c r="N1033" s="7" t="inlineStr">
        <is>
          <t>CVN</t>
        </is>
      </c>
      <c r="O1033" s="15" t="n"/>
      <c r="P1033" s="16" t="n">
        <v>5330</v>
      </c>
      <c r="S1033" s="16" t="n">
        <v>6228</v>
      </c>
      <c r="U1033" s="16" t="n">
        <v>6228</v>
      </c>
      <c r="AC1033" s="23">
        <f>IF(OR(E1033="",E1033="[PARENT]"),"ADD",IF(E1033="[ALT_VIEW]","ALT",""))</f>
        <v/>
      </c>
      <c r="AD1033" s="21">
        <f>IF(Y1033&lt;&gt;"",Y1033,IF(U1033&lt;&gt;"",U1033,S1033))</f>
        <v/>
      </c>
      <c r="AE1033" s="21">
        <f>IF(AB1033&lt;&gt;"",AB1033,Z1033)</f>
        <v/>
      </c>
      <c r="AF1033" s="13" t="inlineStr">
        <is>
          <t>P-35 &gt; CVN Refueling Overhauls &gt; ENTERPRISE AIR SURVEILLANCE RADAR (EASR) &gt; System Engineering</t>
        </is>
      </c>
      <c r="AG1033" s="7" t="inlineStr">
        <is>
          <t>200</t>
        </is>
      </c>
      <c r="AH1033" s="7" t="inlineStr">
        <is>
          <t>2086</t>
        </is>
      </c>
    </row>
    <row r="1034" ht="10" customHeight="1">
      <c r="A1034" s="7" t="inlineStr">
        <is>
          <t>SCN</t>
        </is>
      </c>
      <c r="B1034" s="7" t="inlineStr">
        <is>
          <t>Procurement</t>
        </is>
      </c>
      <c r="D1034" s="7" t="inlineStr">
        <is>
          <t>CVN Refueling Overhauls - P-35 ENTERPRISE AIR SURVEILLANCE RADAR (EASR) - Technical Engineering Services</t>
        </is>
      </c>
      <c r="E1034" s="13" t="inlineStr">
        <is>
          <t>[ALT_VIEW]</t>
        </is>
      </c>
      <c r="F1034" s="7" t="inlineStr">
        <is>
          <t>2086 / CVN Refueling Overhauls</t>
        </is>
      </c>
      <c r="G1034" s="7" t="inlineStr">
        <is>
          <t>P-35</t>
        </is>
      </c>
      <c r="I1034" s="14" t="n">
        <v>5</v>
      </c>
      <c r="J1034" s="7" t="inlineStr">
        <is>
          <t>RCOH</t>
        </is>
      </c>
      <c r="K1034" s="13" t="inlineStr">
        <is>
          <t>USN</t>
        </is>
      </c>
      <c r="L1034" s="7" t="inlineStr">
        <is>
          <t>Combatant Ships</t>
        </is>
      </c>
      <c r="M1034" s="7" t="inlineStr">
        <is>
          <t>Aircraft Carriers</t>
        </is>
      </c>
      <c r="N1034" s="7" t="inlineStr">
        <is>
          <t>CVN</t>
        </is>
      </c>
      <c r="O1034" s="15" t="n"/>
      <c r="P1034" s="16" t="n">
        <v>17557</v>
      </c>
      <c r="S1034" s="16" t="n">
        <v>13907</v>
      </c>
      <c r="U1034" s="16" t="n">
        <v>13907</v>
      </c>
      <c r="AC1034" s="23">
        <f>IF(OR(E1034="",E1034="[PARENT]"),"ADD",IF(E1034="[ALT_VIEW]","ALT",""))</f>
        <v/>
      </c>
      <c r="AD1034" s="21">
        <f>IF(Y1034&lt;&gt;"",Y1034,IF(U1034&lt;&gt;"",U1034,S1034))</f>
        <v/>
      </c>
      <c r="AE1034" s="21">
        <f>IF(AB1034&lt;&gt;"",AB1034,Z1034)</f>
        <v/>
      </c>
      <c r="AF1034" s="13" t="inlineStr">
        <is>
          <t>P-35 &gt; CVN Refueling Overhauls &gt; ENTERPRISE AIR SURVEILLANCE RADAR (EASR) &gt; Technical Engineering Services</t>
        </is>
      </c>
      <c r="AG1034" s="7" t="inlineStr">
        <is>
          <t>200</t>
        </is>
      </c>
      <c r="AH1034" s="7" t="inlineStr">
        <is>
          <t>2086</t>
        </is>
      </c>
    </row>
    <row r="1035" ht="10" customHeight="1">
      <c r="A1035" s="7" t="inlineStr">
        <is>
          <t>SCN</t>
        </is>
      </c>
      <c r="B1035" s="7" t="inlineStr">
        <is>
          <t>Procurement</t>
        </is>
      </c>
      <c r="D1035" s="7" t="inlineStr">
        <is>
          <t>CVN Refueling Overhauls - P-35 ENTERPRISE AIR SURVEILLANCE RADAR (EASR) - Other Costs</t>
        </is>
      </c>
      <c r="E1035" s="13" t="inlineStr">
        <is>
          <t>[ALT_VIEW]</t>
        </is>
      </c>
      <c r="F1035" s="7" t="inlineStr">
        <is>
          <t>2086 / CVN Refueling Overhauls</t>
        </is>
      </c>
      <c r="G1035" s="7" t="inlineStr">
        <is>
          <t>P-35</t>
        </is>
      </c>
      <c r="I1035" s="14" t="n">
        <v>5</v>
      </c>
      <c r="J1035" s="7" t="inlineStr">
        <is>
          <t>RCOH</t>
        </is>
      </c>
      <c r="K1035" s="13" t="inlineStr">
        <is>
          <t>USN</t>
        </is>
      </c>
      <c r="L1035" s="7" t="inlineStr">
        <is>
          <t>Combatant Ships</t>
        </is>
      </c>
      <c r="M1035" s="7" t="inlineStr">
        <is>
          <t>Aircraft Carriers</t>
        </is>
      </c>
      <c r="N1035" s="7" t="inlineStr">
        <is>
          <t>CVN</t>
        </is>
      </c>
      <c r="O1035" s="15" t="n"/>
      <c r="P1035" s="16" t="n">
        <v>4482</v>
      </c>
      <c r="S1035" s="16" t="n">
        <v>6855</v>
      </c>
      <c r="U1035" s="16" t="n">
        <v>6855</v>
      </c>
      <c r="AC1035" s="23">
        <f>IF(OR(E1035="",E1035="[PARENT]"),"ADD",IF(E1035="[ALT_VIEW]","ALT",""))</f>
        <v/>
      </c>
      <c r="AD1035" s="21">
        <f>IF(Y1035&lt;&gt;"",Y1035,IF(U1035&lt;&gt;"",U1035,S1035))</f>
        <v/>
      </c>
      <c r="AE1035" s="21">
        <f>IF(AB1035&lt;&gt;"",AB1035,Z1035)</f>
        <v/>
      </c>
      <c r="AF1035" s="13" t="inlineStr">
        <is>
          <t>P-35 &gt; CVN Refueling Overhauls &gt; ENTERPRISE AIR SURVEILLANCE RADAR (EASR) &gt; Other Costs</t>
        </is>
      </c>
      <c r="AG1035" s="7" t="inlineStr">
        <is>
          <t>200</t>
        </is>
      </c>
      <c r="AH1035" s="7" t="inlineStr">
        <is>
          <t>2086</t>
        </is>
      </c>
    </row>
    <row r="1036" ht="10" customHeight="1">
      <c r="A1036" s="7" t="inlineStr">
        <is>
          <t>SCN</t>
        </is>
      </c>
      <c r="B1036" s="7" t="inlineStr">
        <is>
          <t>Procurement</t>
        </is>
      </c>
      <c r="D1036" s="7" t="inlineStr">
        <is>
          <t>CVN Refueling Overhauls - P-35 AVIATION EQUIPMENT &amp; SUPPORT - Major Hardware                                                                                                   1</t>
        </is>
      </c>
      <c r="E1036" s="13" t="inlineStr">
        <is>
          <t>[ALT_VIEW]</t>
        </is>
      </c>
      <c r="F1036" s="7" t="inlineStr">
        <is>
          <t>2086 / CVN Refueling Overhauls</t>
        </is>
      </c>
      <c r="G1036" s="7" t="inlineStr">
        <is>
          <t>P-35</t>
        </is>
      </c>
      <c r="I1036" s="14" t="n">
        <v>5</v>
      </c>
      <c r="J1036" s="7" t="inlineStr">
        <is>
          <t>RCOH</t>
        </is>
      </c>
      <c r="K1036" s="13" t="inlineStr">
        <is>
          <t>USN</t>
        </is>
      </c>
      <c r="L1036" s="7" t="inlineStr">
        <is>
          <t>Combatant Ships</t>
        </is>
      </c>
      <c r="M1036" s="7" t="inlineStr">
        <is>
          <t>Aircraft Carriers</t>
        </is>
      </c>
      <c r="N1036" s="7" t="inlineStr">
        <is>
          <t>CVN</t>
        </is>
      </c>
      <c r="O1036" s="15" t="n"/>
      <c r="P1036" s="16" t="n">
        <v>36023</v>
      </c>
      <c r="S1036" s="16" t="n">
        <v>58114</v>
      </c>
      <c r="U1036" s="16" t="n">
        <v>58114</v>
      </c>
      <c r="AC1036" s="23">
        <f>IF(OR(E1036="",E1036="[PARENT]"),"ADD",IF(E1036="[ALT_VIEW]","ALT",""))</f>
        <v/>
      </c>
      <c r="AD1036" s="21">
        <f>IF(Y1036&lt;&gt;"",Y1036,IF(U1036&lt;&gt;"",U1036,S1036))</f>
        <v/>
      </c>
      <c r="AE1036" s="21">
        <f>IF(AB1036&lt;&gt;"",AB1036,Z1036)</f>
        <v/>
      </c>
      <c r="AF1036" s="13" t="inlineStr">
        <is>
          <t>P-35 &gt; CVN Refueling Overhauls &gt; AVIATION EQUIPMENT &amp; SUPPORT &gt; Major Hardware                                                                                                   1</t>
        </is>
      </c>
      <c r="AG1036" s="7" t="inlineStr">
        <is>
          <t>201</t>
        </is>
      </c>
      <c r="AH1036" s="7" t="inlineStr">
        <is>
          <t>2086</t>
        </is>
      </c>
    </row>
    <row r="1037" ht="10" customHeight="1">
      <c r="A1037" s="7" t="inlineStr">
        <is>
          <t>SCN</t>
        </is>
      </c>
      <c r="B1037" s="7" t="inlineStr">
        <is>
          <t>Procurement</t>
        </is>
      </c>
      <c r="D1037" s="7" t="inlineStr">
        <is>
          <t>CVN Refueling Overhauls - P-35 AVIATION EQUIPMENT &amp; SUPPORT - Ancillary Equipment</t>
        </is>
      </c>
      <c r="E1037" s="13" t="inlineStr">
        <is>
          <t>[ALT_VIEW]</t>
        </is>
      </c>
      <c r="F1037" s="7" t="inlineStr">
        <is>
          <t>2086 / CVN Refueling Overhauls</t>
        </is>
      </c>
      <c r="G1037" s="7" t="inlineStr">
        <is>
          <t>P-35</t>
        </is>
      </c>
      <c r="I1037" s="14" t="n">
        <v>5</v>
      </c>
      <c r="J1037" s="7" t="inlineStr">
        <is>
          <t>RCOH</t>
        </is>
      </c>
      <c r="K1037" s="13" t="inlineStr">
        <is>
          <t>USN</t>
        </is>
      </c>
      <c r="L1037" s="7" t="inlineStr">
        <is>
          <t>Combatant Ships</t>
        </is>
      </c>
      <c r="M1037" s="7" t="inlineStr">
        <is>
          <t>Aircraft Carriers</t>
        </is>
      </c>
      <c r="N1037" s="7" t="inlineStr">
        <is>
          <t>CVN</t>
        </is>
      </c>
      <c r="O1037" s="15" t="n"/>
      <c r="P1037" s="16" t="n">
        <v>61</v>
      </c>
      <c r="S1037" s="16" t="n">
        <v>390</v>
      </c>
      <c r="U1037" s="16" t="n">
        <v>390</v>
      </c>
      <c r="AC1037" s="23">
        <f>IF(OR(E1037="",E1037="[PARENT]"),"ADD",IF(E1037="[ALT_VIEW]","ALT",""))</f>
        <v/>
      </c>
      <c r="AD1037" s="21">
        <f>IF(Y1037&lt;&gt;"",Y1037,IF(U1037&lt;&gt;"",U1037,S1037))</f>
        <v/>
      </c>
      <c r="AE1037" s="21">
        <f>IF(AB1037&lt;&gt;"",AB1037,Z1037)</f>
        <v/>
      </c>
      <c r="AF1037" s="13" t="inlineStr">
        <is>
          <t>P-35 &gt; CVN Refueling Overhauls &gt; AVIATION EQUIPMENT &amp; SUPPORT &gt; Ancillary Equipment</t>
        </is>
      </c>
      <c r="AG1037" s="7" t="inlineStr">
        <is>
          <t>201</t>
        </is>
      </c>
      <c r="AH1037" s="7" t="inlineStr">
        <is>
          <t>2086</t>
        </is>
      </c>
    </row>
    <row r="1038" ht="10" customHeight="1">
      <c r="A1038" s="7" t="inlineStr">
        <is>
          <t>SCN</t>
        </is>
      </c>
      <c r="B1038" s="7" t="inlineStr">
        <is>
          <t>Procurement</t>
        </is>
      </c>
      <c r="D1038" s="7" t="inlineStr">
        <is>
          <t>CVN Refueling Overhauls - P-35 AVIATION EQUIPMENT &amp; SUPPORT - Technical Data and Documentation</t>
        </is>
      </c>
      <c r="E1038" s="13" t="inlineStr">
        <is>
          <t>[ALT_VIEW]</t>
        </is>
      </c>
      <c r="F1038" s="7" t="inlineStr">
        <is>
          <t>2086 / CVN Refueling Overhauls</t>
        </is>
      </c>
      <c r="G1038" s="7" t="inlineStr">
        <is>
          <t>P-35</t>
        </is>
      </c>
      <c r="I1038" s="14" t="n">
        <v>5</v>
      </c>
      <c r="J1038" s="7" t="inlineStr">
        <is>
          <t>RCOH</t>
        </is>
      </c>
      <c r="K1038" s="13" t="inlineStr">
        <is>
          <t>USN</t>
        </is>
      </c>
      <c r="L1038" s="7" t="inlineStr">
        <is>
          <t>Combatant Ships</t>
        </is>
      </c>
      <c r="M1038" s="7" t="inlineStr">
        <is>
          <t>Aircraft Carriers</t>
        </is>
      </c>
      <c r="N1038" s="7" t="inlineStr">
        <is>
          <t>CVN</t>
        </is>
      </c>
      <c r="O1038" s="15" t="n"/>
      <c r="P1038" s="16" t="n">
        <v>95</v>
      </c>
      <c r="S1038" s="16" t="n">
        <v>59</v>
      </c>
      <c r="U1038" s="16" t="n">
        <v>59</v>
      </c>
      <c r="AC1038" s="23">
        <f>IF(OR(E1038="",E1038="[PARENT]"),"ADD",IF(E1038="[ALT_VIEW]","ALT",""))</f>
        <v/>
      </c>
      <c r="AD1038" s="21">
        <f>IF(Y1038&lt;&gt;"",Y1038,IF(U1038&lt;&gt;"",U1038,S1038))</f>
        <v/>
      </c>
      <c r="AE1038" s="21">
        <f>IF(AB1038&lt;&gt;"",AB1038,Z1038)</f>
        <v/>
      </c>
      <c r="AF1038" s="13" t="inlineStr">
        <is>
          <t>P-35 &gt; CVN Refueling Overhauls &gt; AVIATION EQUIPMENT &amp; SUPPORT &gt; Technical Data and Documentation</t>
        </is>
      </c>
      <c r="AG1038" s="7" t="inlineStr">
        <is>
          <t>201</t>
        </is>
      </c>
      <c r="AH1038" s="7" t="inlineStr">
        <is>
          <t>2086</t>
        </is>
      </c>
    </row>
    <row r="1039" ht="10" customHeight="1">
      <c r="A1039" s="7" t="inlineStr">
        <is>
          <t>SCN</t>
        </is>
      </c>
      <c r="B1039" s="7" t="inlineStr">
        <is>
          <t>Procurement</t>
        </is>
      </c>
      <c r="D1039" s="7" t="inlineStr">
        <is>
          <t>CVN Refueling Overhauls - P-35 AVIATION EQUIPMENT &amp; SUPPORT - Spares</t>
        </is>
      </c>
      <c r="E1039" s="13" t="inlineStr">
        <is>
          <t>[ALT_VIEW]</t>
        </is>
      </c>
      <c r="F1039" s="7" t="inlineStr">
        <is>
          <t>2086 / CVN Refueling Overhauls</t>
        </is>
      </c>
      <c r="G1039" s="7" t="inlineStr">
        <is>
          <t>P-35</t>
        </is>
      </c>
      <c r="I1039" s="14" t="n">
        <v>5</v>
      </c>
      <c r="J1039" s="7" t="inlineStr">
        <is>
          <t>RCOH</t>
        </is>
      </c>
      <c r="K1039" s="13" t="inlineStr">
        <is>
          <t>USN</t>
        </is>
      </c>
      <c r="L1039" s="7" t="inlineStr">
        <is>
          <t>Combatant Ships</t>
        </is>
      </c>
      <c r="M1039" s="7" t="inlineStr">
        <is>
          <t>Aircraft Carriers</t>
        </is>
      </c>
      <c r="N1039" s="7" t="inlineStr">
        <is>
          <t>CVN</t>
        </is>
      </c>
      <c r="O1039" s="15" t="n"/>
      <c r="P1039" s="16" t="n">
        <v>198</v>
      </c>
      <c r="S1039" s="16" t="n">
        <v>594</v>
      </c>
      <c r="U1039" s="16" t="n">
        <v>594</v>
      </c>
      <c r="AC1039" s="23">
        <f>IF(OR(E1039="",E1039="[PARENT]"),"ADD",IF(E1039="[ALT_VIEW]","ALT",""))</f>
        <v/>
      </c>
      <c r="AD1039" s="21">
        <f>IF(Y1039&lt;&gt;"",Y1039,IF(U1039&lt;&gt;"",U1039,S1039))</f>
        <v/>
      </c>
      <c r="AE1039" s="21">
        <f>IF(AB1039&lt;&gt;"",AB1039,Z1039)</f>
        <v/>
      </c>
      <c r="AF1039" s="13" t="inlineStr">
        <is>
          <t>P-35 &gt; CVN Refueling Overhauls &gt; AVIATION EQUIPMENT &amp; SUPPORT &gt; Spares</t>
        </is>
      </c>
      <c r="AG1039" s="7" t="inlineStr">
        <is>
          <t>201</t>
        </is>
      </c>
      <c r="AH1039" s="7" t="inlineStr">
        <is>
          <t>2086</t>
        </is>
      </c>
    </row>
    <row r="1040" ht="10" customHeight="1">
      <c r="A1040" s="7" t="inlineStr">
        <is>
          <t>SCN</t>
        </is>
      </c>
      <c r="B1040" s="7" t="inlineStr">
        <is>
          <t>Procurement</t>
        </is>
      </c>
      <c r="D1040" s="7" t="inlineStr">
        <is>
          <t>CVN Refueling Overhauls - P-35 AVIATION EQUIPMENT &amp; SUPPORT - System Engineering</t>
        </is>
      </c>
      <c r="E1040" s="13" t="inlineStr">
        <is>
          <t>[ALT_VIEW]</t>
        </is>
      </c>
      <c r="F1040" s="7" t="inlineStr">
        <is>
          <t>2086 / CVN Refueling Overhauls</t>
        </is>
      </c>
      <c r="G1040" s="7" t="inlineStr">
        <is>
          <t>P-35</t>
        </is>
      </c>
      <c r="I1040" s="14" t="n">
        <v>5</v>
      </c>
      <c r="J1040" s="7" t="inlineStr">
        <is>
          <t>RCOH</t>
        </is>
      </c>
      <c r="K1040" s="13" t="inlineStr">
        <is>
          <t>USN</t>
        </is>
      </c>
      <c r="L1040" s="7" t="inlineStr">
        <is>
          <t>Combatant Ships</t>
        </is>
      </c>
      <c r="M1040" s="7" t="inlineStr">
        <is>
          <t>Aircraft Carriers</t>
        </is>
      </c>
      <c r="N1040" s="7" t="inlineStr">
        <is>
          <t>CVN</t>
        </is>
      </c>
      <c r="O1040" s="15" t="n"/>
      <c r="P1040" s="16" t="n">
        <v>5314</v>
      </c>
      <c r="S1040" s="16" t="n">
        <v>5867</v>
      </c>
      <c r="U1040" s="16" t="n">
        <v>5867</v>
      </c>
      <c r="AC1040" s="23">
        <f>IF(OR(E1040="",E1040="[PARENT]"),"ADD",IF(E1040="[ALT_VIEW]","ALT",""))</f>
        <v/>
      </c>
      <c r="AD1040" s="21">
        <f>IF(Y1040&lt;&gt;"",Y1040,IF(U1040&lt;&gt;"",U1040,S1040))</f>
        <v/>
      </c>
      <c r="AE1040" s="21">
        <f>IF(AB1040&lt;&gt;"",AB1040,Z1040)</f>
        <v/>
      </c>
      <c r="AF1040" s="13" t="inlineStr">
        <is>
          <t>P-35 &gt; CVN Refueling Overhauls &gt; AVIATION EQUIPMENT &amp; SUPPORT &gt; System Engineering</t>
        </is>
      </c>
      <c r="AG1040" s="7" t="inlineStr">
        <is>
          <t>201</t>
        </is>
      </c>
      <c r="AH1040" s="7" t="inlineStr">
        <is>
          <t>2086</t>
        </is>
      </c>
    </row>
    <row r="1041" ht="10" customHeight="1">
      <c r="A1041" s="7" t="inlineStr">
        <is>
          <t>SCN</t>
        </is>
      </c>
      <c r="B1041" s="7" t="inlineStr">
        <is>
          <t>Procurement</t>
        </is>
      </c>
      <c r="D1041" s="7" t="inlineStr">
        <is>
          <t>CVN Refueling Overhauls - P-35 AVIATION EQUIPMENT &amp; SUPPORT - Technical Engineering Services</t>
        </is>
      </c>
      <c r="E1041" s="13" t="inlineStr">
        <is>
          <t>[ALT_VIEW]</t>
        </is>
      </c>
      <c r="F1041" s="7" t="inlineStr">
        <is>
          <t>2086 / CVN Refueling Overhauls</t>
        </is>
      </c>
      <c r="G1041" s="7" t="inlineStr">
        <is>
          <t>P-35</t>
        </is>
      </c>
      <c r="I1041" s="14" t="n">
        <v>5</v>
      </c>
      <c r="J1041" s="7" t="inlineStr">
        <is>
          <t>RCOH</t>
        </is>
      </c>
      <c r="K1041" s="13" t="inlineStr">
        <is>
          <t>USN</t>
        </is>
      </c>
      <c r="L1041" s="7" t="inlineStr">
        <is>
          <t>Combatant Ships</t>
        </is>
      </c>
      <c r="M1041" s="7" t="inlineStr">
        <is>
          <t>Aircraft Carriers</t>
        </is>
      </c>
      <c r="N1041" s="7" t="inlineStr">
        <is>
          <t>CVN</t>
        </is>
      </c>
      <c r="O1041" s="15" t="n"/>
      <c r="P1041" s="16" t="n">
        <v>8777</v>
      </c>
      <c r="S1041" s="16" t="n">
        <v>14431</v>
      </c>
      <c r="U1041" s="16" t="n">
        <v>14431</v>
      </c>
      <c r="AC1041" s="23">
        <f>IF(OR(E1041="",E1041="[PARENT]"),"ADD",IF(E1041="[ALT_VIEW]","ALT",""))</f>
        <v/>
      </c>
      <c r="AD1041" s="21">
        <f>IF(Y1041&lt;&gt;"",Y1041,IF(U1041&lt;&gt;"",U1041,S1041))</f>
        <v/>
      </c>
      <c r="AE1041" s="21">
        <f>IF(AB1041&lt;&gt;"",AB1041,Z1041)</f>
        <v/>
      </c>
      <c r="AF1041" s="13" t="inlineStr">
        <is>
          <t>P-35 &gt; CVN Refueling Overhauls &gt; AVIATION EQUIPMENT &amp; SUPPORT &gt; Technical Engineering Services</t>
        </is>
      </c>
      <c r="AG1041" s="7" t="inlineStr">
        <is>
          <t>201</t>
        </is>
      </c>
      <c r="AH1041" s="7" t="inlineStr">
        <is>
          <t>2086</t>
        </is>
      </c>
    </row>
    <row r="1042" ht="10" customHeight="1">
      <c r="A1042" s="7" t="inlineStr">
        <is>
          <t>SCN</t>
        </is>
      </c>
      <c r="B1042" s="7" t="inlineStr">
        <is>
          <t>Procurement</t>
        </is>
      </c>
      <c r="D1042" s="7" t="inlineStr">
        <is>
          <t>CVN Refueling Overhauls - P-35 AVIATION EQUIPMENT &amp; SUPPORT - Other Costs</t>
        </is>
      </c>
      <c r="E1042" s="13" t="inlineStr">
        <is>
          <t>[ALT_VIEW]</t>
        </is>
      </c>
      <c r="F1042" s="7" t="inlineStr">
        <is>
          <t>2086 / CVN Refueling Overhauls</t>
        </is>
      </c>
      <c r="G1042" s="7" t="inlineStr">
        <is>
          <t>P-35</t>
        </is>
      </c>
      <c r="I1042" s="14" t="n">
        <v>5</v>
      </c>
      <c r="J1042" s="7" t="inlineStr">
        <is>
          <t>RCOH</t>
        </is>
      </c>
      <c r="K1042" s="13" t="inlineStr">
        <is>
          <t>USN</t>
        </is>
      </c>
      <c r="L1042" s="7" t="inlineStr">
        <is>
          <t>Combatant Ships</t>
        </is>
      </c>
      <c r="M1042" s="7" t="inlineStr">
        <is>
          <t>Aircraft Carriers</t>
        </is>
      </c>
      <c r="N1042" s="7" t="inlineStr">
        <is>
          <t>CVN</t>
        </is>
      </c>
      <c r="O1042" s="15" t="n"/>
      <c r="P1042" s="16" t="n">
        <v>7202</v>
      </c>
      <c r="S1042" s="16" t="n">
        <v>11516</v>
      </c>
      <c r="U1042" s="16" t="n">
        <v>11516</v>
      </c>
      <c r="AC1042" s="23">
        <f>IF(OR(E1042="",E1042="[PARENT]"),"ADD",IF(E1042="[ALT_VIEW]","ALT",""))</f>
        <v/>
      </c>
      <c r="AD1042" s="21">
        <f>IF(Y1042&lt;&gt;"",Y1042,IF(U1042&lt;&gt;"",U1042,S1042))</f>
        <v/>
      </c>
      <c r="AE1042" s="21">
        <f>IF(AB1042&lt;&gt;"",AB1042,Z1042)</f>
        <v/>
      </c>
      <c r="AF1042" s="13" t="inlineStr">
        <is>
          <t>P-35 &gt; CVN Refueling Overhauls &gt; AVIATION EQUIPMENT &amp; SUPPORT &gt; Other Costs</t>
        </is>
      </c>
      <c r="AG1042" s="7" t="inlineStr">
        <is>
          <t>201</t>
        </is>
      </c>
      <c r="AH1042" s="7" t="inlineStr">
        <is>
          <t>2086</t>
        </is>
      </c>
    </row>
    <row r="1043" ht="10" customHeight="1">
      <c r="A1043" s="7" t="inlineStr">
        <is>
          <t>SCN</t>
        </is>
      </c>
      <c r="B1043" s="7" t="inlineStr">
        <is>
          <t>Procurement</t>
        </is>
      </c>
      <c r="D1043" s="7" t="inlineStr">
        <is>
          <t>CVN Refueling Overhauls - P-35 CIWS/RAM DEFENSE CAPABILITY (CRDC) BLOCK 1 - Major Hardware                                                                                                1</t>
        </is>
      </c>
      <c r="E1043" s="13" t="inlineStr">
        <is>
          <t>[ALT_VIEW]</t>
        </is>
      </c>
      <c r="F1043" s="7" t="inlineStr">
        <is>
          <t>2086 / CVN Refueling Overhauls</t>
        </is>
      </c>
      <c r="G1043" s="7" t="inlineStr">
        <is>
          <t>P-35</t>
        </is>
      </c>
      <c r="I1043" s="14" t="n">
        <v>5</v>
      </c>
      <c r="J1043" s="7" t="inlineStr">
        <is>
          <t>RCOH</t>
        </is>
      </c>
      <c r="K1043" s="13" t="inlineStr">
        <is>
          <t>USN</t>
        </is>
      </c>
      <c r="L1043" s="7" t="inlineStr">
        <is>
          <t>Combatant Ships</t>
        </is>
      </c>
      <c r="M1043" s="7" t="inlineStr">
        <is>
          <t>Aircraft Carriers</t>
        </is>
      </c>
      <c r="N1043" s="7" t="inlineStr">
        <is>
          <t>CVN</t>
        </is>
      </c>
      <c r="O1043" s="15" t="n"/>
      <c r="P1043" s="16" t="n">
        <v>20147</v>
      </c>
      <c r="S1043" s="16" t="n">
        <v>21585</v>
      </c>
      <c r="U1043" s="16" t="n">
        <v>21585</v>
      </c>
      <c r="AC1043" s="23">
        <f>IF(OR(E1043="",E1043="[PARENT]"),"ADD",IF(E1043="[ALT_VIEW]","ALT",""))</f>
        <v/>
      </c>
      <c r="AD1043" s="21">
        <f>IF(Y1043&lt;&gt;"",Y1043,IF(U1043&lt;&gt;"",U1043,S1043))</f>
        <v/>
      </c>
      <c r="AE1043" s="21">
        <f>IF(AB1043&lt;&gt;"",AB1043,Z1043)</f>
        <v/>
      </c>
      <c r="AF1043" s="13" t="inlineStr">
        <is>
          <t>P-35 &gt; CVN Refueling Overhauls &gt; CIWS/RAM DEFENSE CAPABILITY (CRDC) BLOCK 1 &gt; Major Hardware                                                                                                1</t>
        </is>
      </c>
      <c r="AG1043" s="7" t="inlineStr">
        <is>
          <t>202</t>
        </is>
      </c>
      <c r="AH1043" s="7" t="inlineStr">
        <is>
          <t>2086</t>
        </is>
      </c>
    </row>
    <row r="1044" ht="10" customHeight="1">
      <c r="A1044" s="7" t="inlineStr">
        <is>
          <t>SCN</t>
        </is>
      </c>
      <c r="B1044" s="7" t="inlineStr">
        <is>
          <t>Procurement</t>
        </is>
      </c>
      <c r="D1044" s="7" t="inlineStr">
        <is>
          <t>CVN Refueling Overhauls - P-35 CIWS/RAM DEFENSE CAPABILITY (CRDC) BLOCK 1 - Ancillary Equipment                                                                                                                          -</t>
        </is>
      </c>
      <c r="E1044" s="13" t="inlineStr">
        <is>
          <t>[ALT_VIEW]</t>
        </is>
      </c>
      <c r="F1044" s="7" t="inlineStr">
        <is>
          <t>2086 / CVN Refueling Overhauls</t>
        </is>
      </c>
      <c r="G1044" s="7" t="inlineStr">
        <is>
          <t>P-35</t>
        </is>
      </c>
      <c r="I1044" s="14" t="n">
        <v>5</v>
      </c>
      <c r="J1044" s="7" t="inlineStr">
        <is>
          <t>RCOH</t>
        </is>
      </c>
      <c r="K1044" s="13" t="inlineStr">
        <is>
          <t>USN</t>
        </is>
      </c>
      <c r="L1044" s="7" t="inlineStr">
        <is>
          <t>Combatant Ships</t>
        </is>
      </c>
      <c r="M1044" s="7" t="inlineStr">
        <is>
          <t>Aircraft Carriers</t>
        </is>
      </c>
      <c r="N1044" s="7" t="inlineStr">
        <is>
          <t>CVN</t>
        </is>
      </c>
      <c r="O1044" s="15" t="n"/>
      <c r="S1044" s="16" t="n">
        <v>613</v>
      </c>
      <c r="U1044" s="16" t="n">
        <v>613</v>
      </c>
      <c r="AC1044" s="23">
        <f>IF(OR(E1044="",E1044="[PARENT]"),"ADD",IF(E1044="[ALT_VIEW]","ALT",""))</f>
        <v/>
      </c>
      <c r="AD1044" s="21">
        <f>IF(Y1044&lt;&gt;"",Y1044,IF(U1044&lt;&gt;"",U1044,S1044))</f>
        <v/>
      </c>
      <c r="AE1044" s="21">
        <f>IF(AB1044&lt;&gt;"",AB1044,Z1044)</f>
        <v/>
      </c>
      <c r="AF1044" s="13" t="inlineStr">
        <is>
          <t>P-35 &gt; CVN Refueling Overhauls &gt; CIWS/RAM DEFENSE CAPABILITY (CRDC) BLOCK 1 &gt; Ancillary Equipment                                                                                                                          -</t>
        </is>
      </c>
      <c r="AG1044" s="7" t="inlineStr">
        <is>
          <t>202</t>
        </is>
      </c>
      <c r="AH1044" s="7" t="inlineStr">
        <is>
          <t>2086</t>
        </is>
      </c>
    </row>
    <row r="1045" ht="10" customHeight="1">
      <c r="A1045" s="7" t="inlineStr">
        <is>
          <t>SCN</t>
        </is>
      </c>
      <c r="B1045" s="7" t="inlineStr">
        <is>
          <t>Procurement</t>
        </is>
      </c>
      <c r="D1045" s="7" t="inlineStr">
        <is>
          <t>CVN Refueling Overhauls - P-35 CIWS/RAM DEFENSE CAPABILITY (CRDC) BLOCK 1 - Technical Data and Documentation                                                                                                             -</t>
        </is>
      </c>
      <c r="E1045" s="13" t="inlineStr">
        <is>
          <t>[ALT_VIEW]</t>
        </is>
      </c>
      <c r="F1045" s="7" t="inlineStr">
        <is>
          <t>2086 / CVN Refueling Overhauls</t>
        </is>
      </c>
      <c r="G1045" s="7" t="inlineStr">
        <is>
          <t>P-35</t>
        </is>
      </c>
      <c r="I1045" s="14" t="n">
        <v>5</v>
      </c>
      <c r="J1045" s="7" t="inlineStr">
        <is>
          <t>RCOH</t>
        </is>
      </c>
      <c r="K1045" s="13" t="inlineStr">
        <is>
          <t>USN</t>
        </is>
      </c>
      <c r="L1045" s="7" t="inlineStr">
        <is>
          <t>Combatant Ships</t>
        </is>
      </c>
      <c r="M1045" s="7" t="inlineStr">
        <is>
          <t>Aircraft Carriers</t>
        </is>
      </c>
      <c r="N1045" s="7" t="inlineStr">
        <is>
          <t>CVN</t>
        </is>
      </c>
      <c r="O1045" s="15" t="n"/>
      <c r="S1045" s="16" t="n">
        <v>81</v>
      </c>
      <c r="U1045" s="16" t="n">
        <v>81</v>
      </c>
      <c r="AC1045" s="23">
        <f>IF(OR(E1045="",E1045="[PARENT]"),"ADD",IF(E1045="[ALT_VIEW]","ALT",""))</f>
        <v/>
      </c>
      <c r="AD1045" s="21">
        <f>IF(Y1045&lt;&gt;"",Y1045,IF(U1045&lt;&gt;"",U1045,S1045))</f>
        <v/>
      </c>
      <c r="AE1045" s="21">
        <f>IF(AB1045&lt;&gt;"",AB1045,Z1045)</f>
        <v/>
      </c>
      <c r="AF1045" s="13" t="inlineStr">
        <is>
          <t>P-35 &gt; CVN Refueling Overhauls &gt; CIWS/RAM DEFENSE CAPABILITY (CRDC) BLOCK 1 &gt; Technical Data and Documentation                                                                                                             -</t>
        </is>
      </c>
      <c r="AG1045" s="7" t="inlineStr">
        <is>
          <t>202</t>
        </is>
      </c>
      <c r="AH1045" s="7" t="inlineStr">
        <is>
          <t>2086</t>
        </is>
      </c>
    </row>
    <row r="1046" ht="10" customHeight="1">
      <c r="A1046" s="7" t="inlineStr">
        <is>
          <t>SCN</t>
        </is>
      </c>
      <c r="B1046" s="7" t="inlineStr">
        <is>
          <t>Procurement</t>
        </is>
      </c>
      <c r="D1046" s="7" t="inlineStr">
        <is>
          <t>CVN Refueling Overhauls - P-35 CIWS/RAM DEFENSE CAPABILITY (CRDC) BLOCK 1 - Spares                                                                                                                                       -</t>
        </is>
      </c>
      <c r="E1046" s="13" t="inlineStr">
        <is>
          <t>[ALT_VIEW]</t>
        </is>
      </c>
      <c r="F1046" s="7" t="inlineStr">
        <is>
          <t>2086 / CVN Refueling Overhauls</t>
        </is>
      </c>
      <c r="G1046" s="7" t="inlineStr">
        <is>
          <t>P-35</t>
        </is>
      </c>
      <c r="I1046" s="14" t="n">
        <v>5</v>
      </c>
      <c r="J1046" s="7" t="inlineStr">
        <is>
          <t>RCOH</t>
        </is>
      </c>
      <c r="K1046" s="13" t="inlineStr">
        <is>
          <t>USN</t>
        </is>
      </c>
      <c r="L1046" s="7" t="inlineStr">
        <is>
          <t>Combatant Ships</t>
        </is>
      </c>
      <c r="M1046" s="7" t="inlineStr">
        <is>
          <t>Aircraft Carriers</t>
        </is>
      </c>
      <c r="N1046" s="7" t="inlineStr">
        <is>
          <t>CVN</t>
        </is>
      </c>
      <c r="O1046" s="15" t="n"/>
      <c r="S1046" s="16" t="n">
        <v>1360</v>
      </c>
      <c r="U1046" s="16" t="n">
        <v>1360</v>
      </c>
      <c r="AC1046" s="23">
        <f>IF(OR(E1046="",E1046="[PARENT]"),"ADD",IF(E1046="[ALT_VIEW]","ALT",""))</f>
        <v/>
      </c>
      <c r="AD1046" s="21">
        <f>IF(Y1046&lt;&gt;"",Y1046,IF(U1046&lt;&gt;"",U1046,S1046))</f>
        <v/>
      </c>
      <c r="AE1046" s="21">
        <f>IF(AB1046&lt;&gt;"",AB1046,Z1046)</f>
        <v/>
      </c>
      <c r="AF1046" s="13" t="inlineStr">
        <is>
          <t>P-35 &gt; CVN Refueling Overhauls &gt; CIWS/RAM DEFENSE CAPABILITY (CRDC) BLOCK 1 &gt; Spares                                                                                                                                       -</t>
        </is>
      </c>
      <c r="AG1046" s="7" t="inlineStr">
        <is>
          <t>202</t>
        </is>
      </c>
      <c r="AH1046" s="7" t="inlineStr">
        <is>
          <t>2086</t>
        </is>
      </c>
    </row>
    <row r="1047" ht="10" customHeight="1">
      <c r="A1047" s="7" t="inlineStr">
        <is>
          <t>SCN</t>
        </is>
      </c>
      <c r="B1047" s="7" t="inlineStr">
        <is>
          <t>Procurement</t>
        </is>
      </c>
      <c r="D1047" s="7" t="inlineStr">
        <is>
          <t>CVN Refueling Overhauls - P-35 CIWS/RAM DEFENSE CAPABILITY (CRDC) BLOCK 1 - System Engineering</t>
        </is>
      </c>
      <c r="E1047" s="13" t="inlineStr">
        <is>
          <t>[ALT_VIEW]</t>
        </is>
      </c>
      <c r="F1047" s="7" t="inlineStr">
        <is>
          <t>2086 / CVN Refueling Overhauls</t>
        </is>
      </c>
      <c r="G1047" s="7" t="inlineStr">
        <is>
          <t>P-35</t>
        </is>
      </c>
      <c r="I1047" s="14" t="n">
        <v>5</v>
      </c>
      <c r="J1047" s="7" t="inlineStr">
        <is>
          <t>RCOH</t>
        </is>
      </c>
      <c r="K1047" s="13" t="inlineStr">
        <is>
          <t>USN</t>
        </is>
      </c>
      <c r="L1047" s="7" t="inlineStr">
        <is>
          <t>Combatant Ships</t>
        </is>
      </c>
      <c r="M1047" s="7" t="inlineStr">
        <is>
          <t>Aircraft Carriers</t>
        </is>
      </c>
      <c r="N1047" s="7" t="inlineStr">
        <is>
          <t>CVN</t>
        </is>
      </c>
      <c r="O1047" s="15" t="n"/>
      <c r="P1047" s="16" t="n">
        <v>595</v>
      </c>
      <c r="S1047" s="16" t="n">
        <v>1301</v>
      </c>
      <c r="U1047" s="16" t="n">
        <v>1301</v>
      </c>
      <c r="AC1047" s="23">
        <f>IF(OR(E1047="",E1047="[PARENT]"),"ADD",IF(E1047="[ALT_VIEW]","ALT",""))</f>
        <v/>
      </c>
      <c r="AD1047" s="21">
        <f>IF(Y1047&lt;&gt;"",Y1047,IF(U1047&lt;&gt;"",U1047,S1047))</f>
        <v/>
      </c>
      <c r="AE1047" s="21">
        <f>IF(AB1047&lt;&gt;"",AB1047,Z1047)</f>
        <v/>
      </c>
      <c r="AF1047" s="13" t="inlineStr">
        <is>
          <t>P-35 &gt; CVN Refueling Overhauls &gt; CIWS/RAM DEFENSE CAPABILITY (CRDC) BLOCK 1 &gt; System Engineering</t>
        </is>
      </c>
      <c r="AG1047" s="7" t="inlineStr">
        <is>
          <t>202</t>
        </is>
      </c>
      <c r="AH1047" s="7" t="inlineStr">
        <is>
          <t>2086</t>
        </is>
      </c>
    </row>
    <row r="1048" ht="10" customHeight="1">
      <c r="A1048" s="7" t="inlineStr">
        <is>
          <t>SCN</t>
        </is>
      </c>
      <c r="B1048" s="7" t="inlineStr">
        <is>
          <t>Procurement</t>
        </is>
      </c>
      <c r="D1048" s="7" t="inlineStr">
        <is>
          <t>CVN Refueling Overhauls - P-35 CIWS/RAM DEFENSE CAPABILITY (CRDC) BLOCK 1 - Technical Engineering Services</t>
        </is>
      </c>
      <c r="E1048" s="13" t="inlineStr">
        <is>
          <t>[ALT_VIEW]</t>
        </is>
      </c>
      <c r="F1048" s="7" t="inlineStr">
        <is>
          <t>2086 / CVN Refueling Overhauls</t>
        </is>
      </c>
      <c r="G1048" s="7" t="inlineStr">
        <is>
          <t>P-35</t>
        </is>
      </c>
      <c r="I1048" s="14" t="n">
        <v>5</v>
      </c>
      <c r="J1048" s="7" t="inlineStr">
        <is>
          <t>RCOH</t>
        </is>
      </c>
      <c r="K1048" s="13" t="inlineStr">
        <is>
          <t>USN</t>
        </is>
      </c>
      <c r="L1048" s="7" t="inlineStr">
        <is>
          <t>Combatant Ships</t>
        </is>
      </c>
      <c r="M1048" s="7" t="inlineStr">
        <is>
          <t>Aircraft Carriers</t>
        </is>
      </c>
      <c r="N1048" s="7" t="inlineStr">
        <is>
          <t>CVN</t>
        </is>
      </c>
      <c r="O1048" s="15" t="n"/>
      <c r="P1048" s="16" t="n">
        <v>6722</v>
      </c>
      <c r="S1048" s="16" t="n">
        <v>7986</v>
      </c>
      <c r="U1048" s="16" t="n">
        <v>7986</v>
      </c>
      <c r="AC1048" s="23">
        <f>IF(OR(E1048="",E1048="[PARENT]"),"ADD",IF(E1048="[ALT_VIEW]","ALT",""))</f>
        <v/>
      </c>
      <c r="AD1048" s="21">
        <f>IF(Y1048&lt;&gt;"",Y1048,IF(U1048&lt;&gt;"",U1048,S1048))</f>
        <v/>
      </c>
      <c r="AE1048" s="21">
        <f>IF(AB1048&lt;&gt;"",AB1048,Z1048)</f>
        <v/>
      </c>
      <c r="AF1048" s="13" t="inlineStr">
        <is>
          <t>P-35 &gt; CVN Refueling Overhauls &gt; CIWS/RAM DEFENSE CAPABILITY (CRDC) BLOCK 1 &gt; Technical Engineering Services</t>
        </is>
      </c>
      <c r="AG1048" s="7" t="inlineStr">
        <is>
          <t>202</t>
        </is>
      </c>
      <c r="AH1048" s="7" t="inlineStr">
        <is>
          <t>2086</t>
        </is>
      </c>
    </row>
    <row r="1049" ht="10" customHeight="1">
      <c r="A1049" s="7" t="inlineStr">
        <is>
          <t>SCN</t>
        </is>
      </c>
      <c r="B1049" s="7" t="inlineStr">
        <is>
          <t>Procurement</t>
        </is>
      </c>
      <c r="D1049" s="7" t="inlineStr">
        <is>
          <t>CVN Refueling Overhauls - P-35 CIWS/RAM DEFENSE CAPABILITY (CRDC) BLOCK 1 - Other Costs</t>
        </is>
      </c>
      <c r="E1049" s="13" t="inlineStr">
        <is>
          <t>[ALT_VIEW]</t>
        </is>
      </c>
      <c r="F1049" s="7" t="inlineStr">
        <is>
          <t>2086 / CVN Refueling Overhauls</t>
        </is>
      </c>
      <c r="G1049" s="7" t="inlineStr">
        <is>
          <t>P-35</t>
        </is>
      </c>
      <c r="I1049" s="14" t="n">
        <v>5</v>
      </c>
      <c r="J1049" s="7" t="inlineStr">
        <is>
          <t>RCOH</t>
        </is>
      </c>
      <c r="K1049" s="13" t="inlineStr">
        <is>
          <t>USN</t>
        </is>
      </c>
      <c r="L1049" s="7" t="inlineStr">
        <is>
          <t>Combatant Ships</t>
        </is>
      </c>
      <c r="M1049" s="7" t="inlineStr">
        <is>
          <t>Aircraft Carriers</t>
        </is>
      </c>
      <c r="N1049" s="7" t="inlineStr">
        <is>
          <t>CVN</t>
        </is>
      </c>
      <c r="O1049" s="15" t="n"/>
      <c r="P1049" s="16" t="n">
        <v>187</v>
      </c>
      <c r="S1049" s="16" t="n">
        <v>2198</v>
      </c>
      <c r="U1049" s="16" t="n">
        <v>2198</v>
      </c>
      <c r="AC1049" s="23">
        <f>IF(OR(E1049="",E1049="[PARENT]"),"ADD",IF(E1049="[ALT_VIEW]","ALT",""))</f>
        <v/>
      </c>
      <c r="AD1049" s="21">
        <f>IF(Y1049&lt;&gt;"",Y1049,IF(U1049&lt;&gt;"",U1049,S1049))</f>
        <v/>
      </c>
      <c r="AE1049" s="21">
        <f>IF(AB1049&lt;&gt;"",AB1049,Z1049)</f>
        <v/>
      </c>
      <c r="AF1049" s="13" t="inlineStr">
        <is>
          <t>P-35 &gt; CVN Refueling Overhauls &gt; CIWS/RAM DEFENSE CAPABILITY (CRDC) BLOCK 1 &gt; Other Costs</t>
        </is>
      </c>
      <c r="AG1049" s="7" t="inlineStr">
        <is>
          <t>202</t>
        </is>
      </c>
      <c r="AH1049" s="7" t="inlineStr">
        <is>
          <t>2086</t>
        </is>
      </c>
    </row>
    <row r="1050" ht="10" customHeight="1">
      <c r="A1050" s="7" t="inlineStr">
        <is>
          <t>SCN</t>
        </is>
      </c>
      <c r="B1050" s="7" t="inlineStr">
        <is>
          <t>Procurement</t>
        </is>
      </c>
      <c r="D1050" s="7" t="inlineStr">
        <is>
          <t>CVN Refueling Overhauls - P-35 NATO SEASPARROW SURFACE MISSILE SYSTEM (NSSMS) - Major Hardware                                                                                                1</t>
        </is>
      </c>
      <c r="E1050" s="13" t="inlineStr">
        <is>
          <t>[ALT_VIEW]</t>
        </is>
      </c>
      <c r="F1050" s="7" t="inlineStr">
        <is>
          <t>2086 / CVN Refueling Overhauls</t>
        </is>
      </c>
      <c r="G1050" s="7" t="inlineStr">
        <is>
          <t>P-35</t>
        </is>
      </c>
      <c r="I1050" s="14" t="n">
        <v>5</v>
      </c>
      <c r="J1050" s="7" t="inlineStr">
        <is>
          <t>RCOH</t>
        </is>
      </c>
      <c r="K1050" s="13" t="inlineStr">
        <is>
          <t>USN</t>
        </is>
      </c>
      <c r="L1050" s="7" t="inlineStr">
        <is>
          <t>Combatant Ships</t>
        </is>
      </c>
      <c r="M1050" s="7" t="inlineStr">
        <is>
          <t>Aircraft Carriers</t>
        </is>
      </c>
      <c r="N1050" s="7" t="inlineStr">
        <is>
          <t>CVN</t>
        </is>
      </c>
      <c r="O1050" s="15" t="n"/>
      <c r="P1050" s="16" t="n">
        <v>13225</v>
      </c>
      <c r="S1050" s="16" t="n">
        <v>22330</v>
      </c>
      <c r="U1050" s="16" t="n">
        <v>22330</v>
      </c>
      <c r="AC1050" s="23">
        <f>IF(OR(E1050="",E1050="[PARENT]"),"ADD",IF(E1050="[ALT_VIEW]","ALT",""))</f>
        <v/>
      </c>
      <c r="AD1050" s="21">
        <f>IF(Y1050&lt;&gt;"",Y1050,IF(U1050&lt;&gt;"",U1050,S1050))</f>
        <v/>
      </c>
      <c r="AE1050" s="21">
        <f>IF(AB1050&lt;&gt;"",AB1050,Z1050)</f>
        <v/>
      </c>
      <c r="AF1050" s="13" t="inlineStr">
        <is>
          <t>P-35 &gt; CVN Refueling Overhauls &gt; NATO SEASPARROW SURFACE MISSILE SYSTEM (NSSMS) &gt; Major Hardware                                                                                                1</t>
        </is>
      </c>
      <c r="AG1050" s="7" t="inlineStr">
        <is>
          <t>203</t>
        </is>
      </c>
      <c r="AH1050" s="7" t="inlineStr">
        <is>
          <t>2086</t>
        </is>
      </c>
    </row>
    <row r="1051" ht="10" customHeight="1">
      <c r="A1051" s="7" t="inlineStr">
        <is>
          <t>SCN</t>
        </is>
      </c>
      <c r="B1051" s="7" t="inlineStr">
        <is>
          <t>Procurement</t>
        </is>
      </c>
      <c r="D1051" s="7" t="inlineStr">
        <is>
          <t>CVN Refueling Overhauls - P-35 NATO SEASPARROW SURFACE MISSILE SYSTEM (NSSMS) - Ancillary Equipment</t>
        </is>
      </c>
      <c r="E1051" s="13" t="inlineStr">
        <is>
          <t>[ALT_VIEW]</t>
        </is>
      </c>
      <c r="F1051" s="7" t="inlineStr">
        <is>
          <t>2086 / CVN Refueling Overhauls</t>
        </is>
      </c>
      <c r="G1051" s="7" t="inlineStr">
        <is>
          <t>P-35</t>
        </is>
      </c>
      <c r="I1051" s="14" t="n">
        <v>5</v>
      </c>
      <c r="J1051" s="7" t="inlineStr">
        <is>
          <t>RCOH</t>
        </is>
      </c>
      <c r="K1051" s="13" t="inlineStr">
        <is>
          <t>USN</t>
        </is>
      </c>
      <c r="L1051" s="7" t="inlineStr">
        <is>
          <t>Combatant Ships</t>
        </is>
      </c>
      <c r="M1051" s="7" t="inlineStr">
        <is>
          <t>Aircraft Carriers</t>
        </is>
      </c>
      <c r="N1051" s="7" t="inlineStr">
        <is>
          <t>CVN</t>
        </is>
      </c>
      <c r="O1051" s="15" t="n"/>
      <c r="P1051" s="16" t="n">
        <v>198</v>
      </c>
      <c r="S1051" s="16" t="n">
        <v>217</v>
      </c>
      <c r="U1051" s="16" t="n">
        <v>217</v>
      </c>
      <c r="AC1051" s="23">
        <f>IF(OR(E1051="",E1051="[PARENT]"),"ADD",IF(E1051="[ALT_VIEW]","ALT",""))</f>
        <v/>
      </c>
      <c r="AD1051" s="21">
        <f>IF(Y1051&lt;&gt;"",Y1051,IF(U1051&lt;&gt;"",U1051,S1051))</f>
        <v/>
      </c>
      <c r="AE1051" s="21">
        <f>IF(AB1051&lt;&gt;"",AB1051,Z1051)</f>
        <v/>
      </c>
      <c r="AF1051" s="13" t="inlineStr">
        <is>
          <t>P-35 &gt; CVN Refueling Overhauls &gt; NATO SEASPARROW SURFACE MISSILE SYSTEM (NSSMS) &gt; Ancillary Equipment</t>
        </is>
      </c>
      <c r="AG1051" s="7" t="inlineStr">
        <is>
          <t>203</t>
        </is>
      </c>
      <c r="AH1051" s="7" t="inlineStr">
        <is>
          <t>2086</t>
        </is>
      </c>
    </row>
    <row r="1052" ht="10" customHeight="1">
      <c r="A1052" s="7" t="inlineStr">
        <is>
          <t>SCN</t>
        </is>
      </c>
      <c r="B1052" s="7" t="inlineStr">
        <is>
          <t>Procurement</t>
        </is>
      </c>
      <c r="D1052" s="7" t="inlineStr">
        <is>
          <t>CVN Refueling Overhauls - P-35 NATO SEASPARROW SURFACE MISSILE SYSTEM (NSSMS) - Spares</t>
        </is>
      </c>
      <c r="E1052" s="13" t="inlineStr">
        <is>
          <t>[ALT_VIEW]</t>
        </is>
      </c>
      <c r="F1052" s="7" t="inlineStr">
        <is>
          <t>2086 / CVN Refueling Overhauls</t>
        </is>
      </c>
      <c r="G1052" s="7" t="inlineStr">
        <is>
          <t>P-35</t>
        </is>
      </c>
      <c r="I1052" s="14" t="n">
        <v>5</v>
      </c>
      <c r="J1052" s="7" t="inlineStr">
        <is>
          <t>RCOH</t>
        </is>
      </c>
      <c r="K1052" s="13" t="inlineStr">
        <is>
          <t>USN</t>
        </is>
      </c>
      <c r="L1052" s="7" t="inlineStr">
        <is>
          <t>Combatant Ships</t>
        </is>
      </c>
      <c r="M1052" s="7" t="inlineStr">
        <is>
          <t>Aircraft Carriers</t>
        </is>
      </c>
      <c r="N1052" s="7" t="inlineStr">
        <is>
          <t>CVN</t>
        </is>
      </c>
      <c r="O1052" s="15" t="n"/>
      <c r="P1052" s="16" t="n">
        <v>1260</v>
      </c>
      <c r="S1052" s="16" t="n">
        <v>1819</v>
      </c>
      <c r="U1052" s="16" t="n">
        <v>1819</v>
      </c>
      <c r="AC1052" s="23">
        <f>IF(OR(E1052="",E1052="[PARENT]"),"ADD",IF(E1052="[ALT_VIEW]","ALT",""))</f>
        <v/>
      </c>
      <c r="AD1052" s="21">
        <f>IF(Y1052&lt;&gt;"",Y1052,IF(U1052&lt;&gt;"",U1052,S1052))</f>
        <v/>
      </c>
      <c r="AE1052" s="21">
        <f>IF(AB1052&lt;&gt;"",AB1052,Z1052)</f>
        <v/>
      </c>
      <c r="AF1052" s="13" t="inlineStr">
        <is>
          <t>P-35 &gt; CVN Refueling Overhauls &gt; NATO SEASPARROW SURFACE MISSILE SYSTEM (NSSMS) &gt; Spares</t>
        </is>
      </c>
      <c r="AG1052" s="7" t="inlineStr">
        <is>
          <t>203</t>
        </is>
      </c>
      <c r="AH1052" s="7" t="inlineStr">
        <is>
          <t>2086</t>
        </is>
      </c>
    </row>
    <row r="1053" ht="10" customHeight="1">
      <c r="A1053" s="7" t="inlineStr">
        <is>
          <t>SCN</t>
        </is>
      </c>
      <c r="B1053" s="7" t="inlineStr">
        <is>
          <t>Procurement</t>
        </is>
      </c>
      <c r="D1053" s="7" t="inlineStr">
        <is>
          <t>CVN Refueling Overhauls - P-35 NATO SEASPARROW SURFACE MISSILE SYSTEM (NSSMS) - System Engineering</t>
        </is>
      </c>
      <c r="E1053" s="13" t="inlineStr">
        <is>
          <t>[ALT_VIEW]</t>
        </is>
      </c>
      <c r="F1053" s="7" t="inlineStr">
        <is>
          <t>2086 / CVN Refueling Overhauls</t>
        </is>
      </c>
      <c r="G1053" s="7" t="inlineStr">
        <is>
          <t>P-35</t>
        </is>
      </c>
      <c r="I1053" s="14" t="n">
        <v>5</v>
      </c>
      <c r="J1053" s="7" t="inlineStr">
        <is>
          <t>RCOH</t>
        </is>
      </c>
      <c r="K1053" s="13" t="inlineStr">
        <is>
          <t>USN</t>
        </is>
      </c>
      <c r="L1053" s="7" t="inlineStr">
        <is>
          <t>Combatant Ships</t>
        </is>
      </c>
      <c r="M1053" s="7" t="inlineStr">
        <is>
          <t>Aircraft Carriers</t>
        </is>
      </c>
      <c r="N1053" s="7" t="inlineStr">
        <is>
          <t>CVN</t>
        </is>
      </c>
      <c r="O1053" s="15" t="n"/>
      <c r="P1053" s="16" t="n">
        <v>809</v>
      </c>
      <c r="S1053" s="16" t="n">
        <v>1176</v>
      </c>
      <c r="U1053" s="16" t="n">
        <v>1176</v>
      </c>
      <c r="AC1053" s="23">
        <f>IF(OR(E1053="",E1053="[PARENT]"),"ADD",IF(E1053="[ALT_VIEW]","ALT",""))</f>
        <v/>
      </c>
      <c r="AD1053" s="21">
        <f>IF(Y1053&lt;&gt;"",Y1053,IF(U1053&lt;&gt;"",U1053,S1053))</f>
        <v/>
      </c>
      <c r="AE1053" s="21">
        <f>IF(AB1053&lt;&gt;"",AB1053,Z1053)</f>
        <v/>
      </c>
      <c r="AF1053" s="13" t="inlineStr">
        <is>
          <t>P-35 &gt; CVN Refueling Overhauls &gt; NATO SEASPARROW SURFACE MISSILE SYSTEM (NSSMS) &gt; System Engineering</t>
        </is>
      </c>
      <c r="AG1053" s="7" t="inlineStr">
        <is>
          <t>203</t>
        </is>
      </c>
      <c r="AH1053" s="7" t="inlineStr">
        <is>
          <t>2086</t>
        </is>
      </c>
    </row>
    <row r="1054" ht="10" customHeight="1">
      <c r="A1054" s="7" t="inlineStr">
        <is>
          <t>SCN</t>
        </is>
      </c>
      <c r="B1054" s="7" t="inlineStr">
        <is>
          <t>Procurement</t>
        </is>
      </c>
      <c r="D1054" s="7" t="inlineStr">
        <is>
          <t>CVN Refueling Overhauls - P-35 NATO SEASPARROW SURFACE MISSILE SYSTEM (NSSMS) - Technical Engineering Services</t>
        </is>
      </c>
      <c r="E1054" s="13" t="inlineStr">
        <is>
          <t>[ALT_VIEW]</t>
        </is>
      </c>
      <c r="F1054" s="7" t="inlineStr">
        <is>
          <t>2086 / CVN Refueling Overhauls</t>
        </is>
      </c>
      <c r="G1054" s="7" t="inlineStr">
        <is>
          <t>P-35</t>
        </is>
      </c>
      <c r="I1054" s="14" t="n">
        <v>5</v>
      </c>
      <c r="J1054" s="7" t="inlineStr">
        <is>
          <t>RCOH</t>
        </is>
      </c>
      <c r="K1054" s="13" t="inlineStr">
        <is>
          <t>USN</t>
        </is>
      </c>
      <c r="L1054" s="7" t="inlineStr">
        <is>
          <t>Combatant Ships</t>
        </is>
      </c>
      <c r="M1054" s="7" t="inlineStr">
        <is>
          <t>Aircraft Carriers</t>
        </is>
      </c>
      <c r="N1054" s="7" t="inlineStr">
        <is>
          <t>CVN</t>
        </is>
      </c>
      <c r="O1054" s="15" t="n"/>
      <c r="P1054" s="16" t="n">
        <v>8941</v>
      </c>
      <c r="S1054" s="16" t="n">
        <v>10705</v>
      </c>
      <c r="U1054" s="16" t="n">
        <v>10705</v>
      </c>
      <c r="AC1054" s="23">
        <f>IF(OR(E1054="",E1054="[PARENT]"),"ADD",IF(E1054="[ALT_VIEW]","ALT",""))</f>
        <v/>
      </c>
      <c r="AD1054" s="21">
        <f>IF(Y1054&lt;&gt;"",Y1054,IF(U1054&lt;&gt;"",U1054,S1054))</f>
        <v/>
      </c>
      <c r="AE1054" s="21">
        <f>IF(AB1054&lt;&gt;"",AB1054,Z1054)</f>
        <v/>
      </c>
      <c r="AF1054" s="13" t="inlineStr">
        <is>
          <t>P-35 &gt; CVN Refueling Overhauls &gt; NATO SEASPARROW SURFACE MISSILE SYSTEM (NSSMS) &gt; Technical Engineering Services</t>
        </is>
      </c>
      <c r="AG1054" s="7" t="inlineStr">
        <is>
          <t>203</t>
        </is>
      </c>
      <c r="AH1054" s="7" t="inlineStr">
        <is>
          <t>2086</t>
        </is>
      </c>
    </row>
    <row r="1055" ht="10" customHeight="1">
      <c r="A1055" s="7" t="inlineStr">
        <is>
          <t>SCN</t>
        </is>
      </c>
      <c r="B1055" s="7" t="inlineStr">
        <is>
          <t>Procurement</t>
        </is>
      </c>
      <c r="D1055" s="7" t="inlineStr">
        <is>
          <t>CVN Refueling Overhauls - P-35 NATO SEASPARROW SURFACE MISSILE SYSTEM (NSSMS) - Other Costs</t>
        </is>
      </c>
      <c r="E1055" s="13" t="inlineStr">
        <is>
          <t>[ALT_VIEW]</t>
        </is>
      </c>
      <c r="F1055" s="7" t="inlineStr">
        <is>
          <t>2086 / CVN Refueling Overhauls</t>
        </is>
      </c>
      <c r="G1055" s="7" t="inlineStr">
        <is>
          <t>P-35</t>
        </is>
      </c>
      <c r="I1055" s="14" t="n">
        <v>5</v>
      </c>
      <c r="J1055" s="7" t="inlineStr">
        <is>
          <t>RCOH</t>
        </is>
      </c>
      <c r="K1055" s="13" t="inlineStr">
        <is>
          <t>USN</t>
        </is>
      </c>
      <c r="L1055" s="7" t="inlineStr">
        <is>
          <t>Combatant Ships</t>
        </is>
      </c>
      <c r="M1055" s="7" t="inlineStr">
        <is>
          <t>Aircraft Carriers</t>
        </is>
      </c>
      <c r="N1055" s="7" t="inlineStr">
        <is>
          <t>CVN</t>
        </is>
      </c>
      <c r="O1055" s="15" t="n"/>
      <c r="P1055" s="16" t="n">
        <v>1517</v>
      </c>
      <c r="S1055" s="16" t="n">
        <v>408</v>
      </c>
      <c r="U1055" s="16" t="n">
        <v>408</v>
      </c>
      <c r="AC1055" s="23">
        <f>IF(OR(E1055="",E1055="[PARENT]"),"ADD",IF(E1055="[ALT_VIEW]","ALT",""))</f>
        <v/>
      </c>
      <c r="AD1055" s="21">
        <f>IF(Y1055&lt;&gt;"",Y1055,IF(U1055&lt;&gt;"",U1055,S1055))</f>
        <v/>
      </c>
      <c r="AE1055" s="21">
        <f>IF(AB1055&lt;&gt;"",AB1055,Z1055)</f>
        <v/>
      </c>
      <c r="AF1055" s="13" t="inlineStr">
        <is>
          <t>P-35 &gt; CVN Refueling Overhauls &gt; NATO SEASPARROW SURFACE MISSILE SYSTEM (NSSMS) &gt; Other Costs</t>
        </is>
      </c>
      <c r="AG1055" s="7" t="inlineStr">
        <is>
          <t>203</t>
        </is>
      </c>
      <c r="AH1055" s="7" t="inlineStr">
        <is>
          <t>2086</t>
        </is>
      </c>
    </row>
    <row r="1056" ht="10" customHeight="1">
      <c r="A1056" s="7" t="inlineStr">
        <is>
          <t>SCN</t>
        </is>
      </c>
      <c r="B1056" s="7" t="inlineStr">
        <is>
          <t>Procurement</t>
        </is>
      </c>
      <c r="D1056" s="7" t="inlineStr">
        <is>
          <t>CVN Refueling Overhauls - P-35 SURFACE ELECTRONIC WARFARE IMPROVEMENT PROGRAM (SEWIP) BLOCK 2 - Major Hardware                                                                                             1</t>
        </is>
      </c>
      <c r="E1056" s="13" t="inlineStr">
        <is>
          <t>[ALT_VIEW]</t>
        </is>
      </c>
      <c r="F1056" s="7" t="inlineStr">
        <is>
          <t>2086 / CVN Refueling Overhauls</t>
        </is>
      </c>
      <c r="G1056" s="7" t="inlineStr">
        <is>
          <t>P-35</t>
        </is>
      </c>
      <c r="I1056" s="14" t="n">
        <v>5</v>
      </c>
      <c r="J1056" s="7" t="inlineStr">
        <is>
          <t>RCOH</t>
        </is>
      </c>
      <c r="K1056" s="13" t="inlineStr">
        <is>
          <t>USN</t>
        </is>
      </c>
      <c r="L1056" s="7" t="inlineStr">
        <is>
          <t>Combatant Ships</t>
        </is>
      </c>
      <c r="M1056" s="7" t="inlineStr">
        <is>
          <t>Aircraft Carriers</t>
        </is>
      </c>
      <c r="N1056" s="7" t="inlineStr">
        <is>
          <t>CVN</t>
        </is>
      </c>
      <c r="O1056" s="15" t="n"/>
      <c r="S1056" s="16" t="n">
        <v>10182</v>
      </c>
      <c r="U1056" s="16" t="n">
        <v>10182</v>
      </c>
      <c r="AC1056" s="23">
        <f>IF(OR(E1056="",E1056="[PARENT]"),"ADD",IF(E1056="[ALT_VIEW]","ALT",""))</f>
        <v/>
      </c>
      <c r="AD1056" s="21">
        <f>IF(Y1056&lt;&gt;"",Y1056,IF(U1056&lt;&gt;"",U1056,S1056))</f>
        <v/>
      </c>
      <c r="AE1056" s="21">
        <f>IF(AB1056&lt;&gt;"",AB1056,Z1056)</f>
        <v/>
      </c>
      <c r="AF1056" s="13" t="inlineStr">
        <is>
          <t>P-35 &gt; CVN Refueling Overhauls &gt; SURFACE ELECTRONIC WARFARE IMPROVEMENT PROGRAM (SEWIP) BLOCK 2 &gt; Major Hardware                                                                                             1</t>
        </is>
      </c>
      <c r="AG1056" s="7" t="inlineStr">
        <is>
          <t>204</t>
        </is>
      </c>
      <c r="AH1056" s="7" t="inlineStr">
        <is>
          <t>2086</t>
        </is>
      </c>
    </row>
    <row r="1057" ht="10" customHeight="1">
      <c r="A1057" s="7" t="inlineStr">
        <is>
          <t>SCN</t>
        </is>
      </c>
      <c r="B1057" s="7" t="inlineStr">
        <is>
          <t>Procurement</t>
        </is>
      </c>
      <c r="D1057" s="7" t="inlineStr">
        <is>
          <t>CVN Refueling Overhauls - P-35 SURFACE ELECTRONIC WARFARE IMPROVEMENT PROGRAM (SEWIP) BLOCK 2 - Ancillary Equipment</t>
        </is>
      </c>
      <c r="E1057" s="13" t="inlineStr">
        <is>
          <t>[ALT_VIEW]</t>
        </is>
      </c>
      <c r="F1057" s="7" t="inlineStr">
        <is>
          <t>2086 / CVN Refueling Overhauls</t>
        </is>
      </c>
      <c r="G1057" s="7" t="inlineStr">
        <is>
          <t>P-35</t>
        </is>
      </c>
      <c r="I1057" s="14" t="n">
        <v>5</v>
      </c>
      <c r="J1057" s="7" t="inlineStr">
        <is>
          <t>RCOH</t>
        </is>
      </c>
      <c r="K1057" s="13" t="inlineStr">
        <is>
          <t>USN</t>
        </is>
      </c>
      <c r="L1057" s="7" t="inlineStr">
        <is>
          <t>Combatant Ships</t>
        </is>
      </c>
      <c r="M1057" s="7" t="inlineStr">
        <is>
          <t>Aircraft Carriers</t>
        </is>
      </c>
      <c r="N1057" s="7" t="inlineStr">
        <is>
          <t>CVN</t>
        </is>
      </c>
      <c r="O1057" s="15" t="n"/>
      <c r="S1057" s="16" t="n">
        <v>198</v>
      </c>
      <c r="U1057" s="16" t="n">
        <v>198</v>
      </c>
      <c r="AC1057" s="23">
        <f>IF(OR(E1057="",E1057="[PARENT]"),"ADD",IF(E1057="[ALT_VIEW]","ALT",""))</f>
        <v/>
      </c>
      <c r="AD1057" s="21">
        <f>IF(Y1057&lt;&gt;"",Y1057,IF(U1057&lt;&gt;"",U1057,S1057))</f>
        <v/>
      </c>
      <c r="AE1057" s="21">
        <f>IF(AB1057&lt;&gt;"",AB1057,Z1057)</f>
        <v/>
      </c>
      <c r="AF1057" s="13" t="inlineStr">
        <is>
          <t>P-35 &gt; CVN Refueling Overhauls &gt; SURFACE ELECTRONIC WARFARE IMPROVEMENT PROGRAM (SEWIP) BLOCK 2 &gt; Ancillary Equipment</t>
        </is>
      </c>
      <c r="AG1057" s="7" t="inlineStr">
        <is>
          <t>204</t>
        </is>
      </c>
      <c r="AH1057" s="7" t="inlineStr">
        <is>
          <t>2086</t>
        </is>
      </c>
    </row>
    <row r="1058" ht="10" customHeight="1">
      <c r="A1058" s="7" t="inlineStr">
        <is>
          <t>SCN</t>
        </is>
      </c>
      <c r="B1058" s="7" t="inlineStr">
        <is>
          <t>Procurement</t>
        </is>
      </c>
      <c r="D1058" s="7" t="inlineStr">
        <is>
          <t>CVN Refueling Overhauls - P-35 SURFACE ELECTRONIC WARFARE IMPROVEMENT PROGRAM (SEWIP) BLOCK 2 - Spares</t>
        </is>
      </c>
      <c r="E1058" s="13" t="inlineStr">
        <is>
          <t>[ALT_VIEW]</t>
        </is>
      </c>
      <c r="F1058" s="7" t="inlineStr">
        <is>
          <t>2086 / CVN Refueling Overhauls</t>
        </is>
      </c>
      <c r="G1058" s="7" t="inlineStr">
        <is>
          <t>P-35</t>
        </is>
      </c>
      <c r="I1058" s="14" t="n">
        <v>5</v>
      </c>
      <c r="J1058" s="7" t="inlineStr">
        <is>
          <t>RCOH</t>
        </is>
      </c>
      <c r="K1058" s="13" t="inlineStr">
        <is>
          <t>USN</t>
        </is>
      </c>
      <c r="L1058" s="7" t="inlineStr">
        <is>
          <t>Combatant Ships</t>
        </is>
      </c>
      <c r="M1058" s="7" t="inlineStr">
        <is>
          <t>Aircraft Carriers</t>
        </is>
      </c>
      <c r="N1058" s="7" t="inlineStr">
        <is>
          <t>CVN</t>
        </is>
      </c>
      <c r="O1058" s="15" t="n"/>
      <c r="S1058" s="16" t="n">
        <v>391</v>
      </c>
      <c r="U1058" s="16" t="n">
        <v>391</v>
      </c>
      <c r="AC1058" s="23">
        <f>IF(OR(E1058="",E1058="[PARENT]"),"ADD",IF(E1058="[ALT_VIEW]","ALT",""))</f>
        <v/>
      </c>
      <c r="AD1058" s="21">
        <f>IF(Y1058&lt;&gt;"",Y1058,IF(U1058&lt;&gt;"",U1058,S1058))</f>
        <v/>
      </c>
      <c r="AE1058" s="21">
        <f>IF(AB1058&lt;&gt;"",AB1058,Z1058)</f>
        <v/>
      </c>
      <c r="AF1058" s="13" t="inlineStr">
        <is>
          <t>P-35 &gt; CVN Refueling Overhauls &gt; SURFACE ELECTRONIC WARFARE IMPROVEMENT PROGRAM (SEWIP) BLOCK 2 &gt; Spares</t>
        </is>
      </c>
      <c r="AG1058" s="7" t="inlineStr">
        <is>
          <t>204</t>
        </is>
      </c>
      <c r="AH1058" s="7" t="inlineStr">
        <is>
          <t>2086</t>
        </is>
      </c>
    </row>
    <row r="1059" ht="10" customHeight="1">
      <c r="A1059" s="7" t="inlineStr">
        <is>
          <t>SCN</t>
        </is>
      </c>
      <c r="B1059" s="7" t="inlineStr">
        <is>
          <t>Procurement</t>
        </is>
      </c>
      <c r="D1059" s="7" t="inlineStr">
        <is>
          <t>CVN Refueling Overhauls - P-35 SURFACE ELECTRONIC WARFARE IMPROVEMENT PROGRAM (SEWIP) BLOCK 2 - System Engineering</t>
        </is>
      </c>
      <c r="E1059" s="13" t="inlineStr">
        <is>
          <t>[ALT_VIEW]</t>
        </is>
      </c>
      <c r="F1059" s="7" t="inlineStr">
        <is>
          <t>2086 / CVN Refueling Overhauls</t>
        </is>
      </c>
      <c r="G1059" s="7" t="inlineStr">
        <is>
          <t>P-35</t>
        </is>
      </c>
      <c r="I1059" s="14" t="n">
        <v>5</v>
      </c>
      <c r="J1059" s="7" t="inlineStr">
        <is>
          <t>RCOH</t>
        </is>
      </c>
      <c r="K1059" s="13" t="inlineStr">
        <is>
          <t>USN</t>
        </is>
      </c>
      <c r="L1059" s="7" t="inlineStr">
        <is>
          <t>Combatant Ships</t>
        </is>
      </c>
      <c r="M1059" s="7" t="inlineStr">
        <is>
          <t>Aircraft Carriers</t>
        </is>
      </c>
      <c r="N1059" s="7" t="inlineStr">
        <is>
          <t>CVN</t>
        </is>
      </c>
      <c r="O1059" s="15" t="n"/>
      <c r="S1059" s="16" t="n">
        <v>731</v>
      </c>
      <c r="U1059" s="16" t="n">
        <v>731</v>
      </c>
      <c r="AC1059" s="23">
        <f>IF(OR(E1059="",E1059="[PARENT]"),"ADD",IF(E1059="[ALT_VIEW]","ALT",""))</f>
        <v/>
      </c>
      <c r="AD1059" s="21">
        <f>IF(Y1059&lt;&gt;"",Y1059,IF(U1059&lt;&gt;"",U1059,S1059))</f>
        <v/>
      </c>
      <c r="AE1059" s="21">
        <f>IF(AB1059&lt;&gt;"",AB1059,Z1059)</f>
        <v/>
      </c>
      <c r="AF1059" s="13" t="inlineStr">
        <is>
          <t>P-35 &gt; CVN Refueling Overhauls &gt; SURFACE ELECTRONIC WARFARE IMPROVEMENT PROGRAM (SEWIP) BLOCK 2 &gt; System Engineering</t>
        </is>
      </c>
      <c r="AG1059" s="7" t="inlineStr">
        <is>
          <t>204</t>
        </is>
      </c>
      <c r="AH1059" s="7" t="inlineStr">
        <is>
          <t>2086</t>
        </is>
      </c>
    </row>
    <row r="1060" ht="10" customHeight="1">
      <c r="A1060" s="7" t="inlineStr">
        <is>
          <t>SCN</t>
        </is>
      </c>
      <c r="B1060" s="7" t="inlineStr">
        <is>
          <t>Procurement</t>
        </is>
      </c>
      <c r="D1060" s="7" t="inlineStr">
        <is>
          <t>CVN Refueling Overhauls - P-35 SURFACE ELECTRONIC WARFARE IMPROVEMENT PROGRAM (SEWIP) BLOCK 2 - Technical Engineering Services</t>
        </is>
      </c>
      <c r="E1060" s="13" t="inlineStr">
        <is>
          <t>[ALT_VIEW]</t>
        </is>
      </c>
      <c r="F1060" s="7" t="inlineStr">
        <is>
          <t>2086 / CVN Refueling Overhauls</t>
        </is>
      </c>
      <c r="G1060" s="7" t="inlineStr">
        <is>
          <t>P-35</t>
        </is>
      </c>
      <c r="I1060" s="14" t="n">
        <v>5</v>
      </c>
      <c r="J1060" s="7" t="inlineStr">
        <is>
          <t>RCOH</t>
        </is>
      </c>
      <c r="K1060" s="13" t="inlineStr">
        <is>
          <t>USN</t>
        </is>
      </c>
      <c r="L1060" s="7" t="inlineStr">
        <is>
          <t>Combatant Ships</t>
        </is>
      </c>
      <c r="M1060" s="7" t="inlineStr">
        <is>
          <t>Aircraft Carriers</t>
        </is>
      </c>
      <c r="N1060" s="7" t="inlineStr">
        <is>
          <t>CVN</t>
        </is>
      </c>
      <c r="O1060" s="15" t="n"/>
      <c r="S1060" s="16" t="n">
        <v>4814</v>
      </c>
      <c r="U1060" s="16" t="n">
        <v>4814</v>
      </c>
      <c r="AC1060" s="23">
        <f>IF(OR(E1060="",E1060="[PARENT]"),"ADD",IF(E1060="[ALT_VIEW]","ALT",""))</f>
        <v/>
      </c>
      <c r="AD1060" s="21">
        <f>IF(Y1060&lt;&gt;"",Y1060,IF(U1060&lt;&gt;"",U1060,S1060))</f>
        <v/>
      </c>
      <c r="AE1060" s="21">
        <f>IF(AB1060&lt;&gt;"",AB1060,Z1060)</f>
        <v/>
      </c>
      <c r="AF1060" s="13" t="inlineStr">
        <is>
          <t>P-35 &gt; CVN Refueling Overhauls &gt; SURFACE ELECTRONIC WARFARE IMPROVEMENT PROGRAM (SEWIP) BLOCK 2 &gt; Technical Engineering Services</t>
        </is>
      </c>
      <c r="AG1060" s="7" t="inlineStr">
        <is>
          <t>204</t>
        </is>
      </c>
      <c r="AH1060" s="7" t="inlineStr">
        <is>
          <t>2086</t>
        </is>
      </c>
    </row>
    <row r="1061" ht="10" customHeight="1">
      <c r="A1061" s="7" t="inlineStr">
        <is>
          <t>SCN</t>
        </is>
      </c>
      <c r="B1061" s="7" t="inlineStr">
        <is>
          <t>Procurement</t>
        </is>
      </c>
      <c r="D1061" s="7" t="inlineStr">
        <is>
          <t>CVN Refueling Overhauls - P-35 SURFACE ELECTRONIC WARFARE IMPROVEMENT PROGRAM (SEWIP) BLOCK 2 - Other Costs</t>
        </is>
      </c>
      <c r="E1061" s="13" t="inlineStr">
        <is>
          <t>[ALT_VIEW]</t>
        </is>
      </c>
      <c r="F1061" s="7" t="inlineStr">
        <is>
          <t>2086 / CVN Refueling Overhauls</t>
        </is>
      </c>
      <c r="G1061" s="7" t="inlineStr">
        <is>
          <t>P-35</t>
        </is>
      </c>
      <c r="I1061" s="14" t="n">
        <v>5</v>
      </c>
      <c r="J1061" s="7" t="inlineStr">
        <is>
          <t>RCOH</t>
        </is>
      </c>
      <c r="K1061" s="13" t="inlineStr">
        <is>
          <t>USN</t>
        </is>
      </c>
      <c r="L1061" s="7" t="inlineStr">
        <is>
          <t>Combatant Ships</t>
        </is>
      </c>
      <c r="M1061" s="7" t="inlineStr">
        <is>
          <t>Aircraft Carriers</t>
        </is>
      </c>
      <c r="N1061" s="7" t="inlineStr">
        <is>
          <t>CVN</t>
        </is>
      </c>
      <c r="O1061" s="15" t="n"/>
      <c r="S1061" s="16" t="n">
        <v>1063</v>
      </c>
      <c r="U1061" s="16" t="n">
        <v>1063</v>
      </c>
      <c r="AC1061" s="23">
        <f>IF(OR(E1061="",E1061="[PARENT]"),"ADD",IF(E1061="[ALT_VIEW]","ALT",""))</f>
        <v/>
      </c>
      <c r="AD1061" s="21">
        <f>IF(Y1061&lt;&gt;"",Y1061,IF(U1061&lt;&gt;"",U1061,S1061))</f>
        <v/>
      </c>
      <c r="AE1061" s="21">
        <f>IF(AB1061&lt;&gt;"",AB1061,Z1061)</f>
        <v/>
      </c>
      <c r="AF1061" s="13" t="inlineStr">
        <is>
          <t>P-35 &gt; CVN Refueling Overhauls &gt; SURFACE ELECTRONIC WARFARE IMPROVEMENT PROGRAM (SEWIP) BLOCK 2 &gt; Other Costs</t>
        </is>
      </c>
      <c r="AG1061" s="7" t="inlineStr">
        <is>
          <t>204</t>
        </is>
      </c>
      <c r="AH1061" s="7" t="inlineStr">
        <is>
          <t>2086</t>
        </is>
      </c>
    </row>
    <row r="1062" ht="10" customHeight="1">
      <c r="A1062" s="7" t="inlineStr">
        <is>
          <t>SCN</t>
        </is>
      </c>
      <c r="B1062" s="7" t="inlineStr">
        <is>
          <t>Procurement</t>
        </is>
      </c>
      <c r="D1062" s="7" t="inlineStr">
        <is>
          <t>CVN Refueling Overhauls - P-35 MK 38 MOD 3 GUN SYSTEM - Major Hardware                                                                                               1</t>
        </is>
      </c>
      <c r="E1062" s="13" t="inlineStr">
        <is>
          <t>[ALT_VIEW]</t>
        </is>
      </c>
      <c r="F1062" s="7" t="inlineStr">
        <is>
          <t>2086 / CVN Refueling Overhauls</t>
        </is>
      </c>
      <c r="G1062" s="7" t="inlineStr">
        <is>
          <t>P-35</t>
        </is>
      </c>
      <c r="I1062" s="14" t="n">
        <v>5</v>
      </c>
      <c r="J1062" s="7" t="inlineStr">
        <is>
          <t>RCOH</t>
        </is>
      </c>
      <c r="K1062" s="13" t="inlineStr">
        <is>
          <t>USN</t>
        </is>
      </c>
      <c r="L1062" s="7" t="inlineStr">
        <is>
          <t>Combatant Ships</t>
        </is>
      </c>
      <c r="M1062" s="7" t="inlineStr">
        <is>
          <t>Aircraft Carriers</t>
        </is>
      </c>
      <c r="N1062" s="7" t="inlineStr">
        <is>
          <t>CVN</t>
        </is>
      </c>
      <c r="O1062" s="15" t="n"/>
      <c r="S1062" s="16" t="n">
        <v>5002</v>
      </c>
      <c r="U1062" s="16" t="n">
        <v>5002</v>
      </c>
      <c r="AC1062" s="23">
        <f>IF(OR(E1062="",E1062="[PARENT]"),"ADD",IF(E1062="[ALT_VIEW]","ALT",""))</f>
        <v/>
      </c>
      <c r="AD1062" s="21">
        <f>IF(Y1062&lt;&gt;"",Y1062,IF(U1062&lt;&gt;"",U1062,S1062))</f>
        <v/>
      </c>
      <c r="AE1062" s="21">
        <f>IF(AB1062&lt;&gt;"",AB1062,Z1062)</f>
        <v/>
      </c>
      <c r="AF1062" s="13" t="inlineStr">
        <is>
          <t>P-35 &gt; CVN Refueling Overhauls &gt; MK 38 MOD 3 GUN SYSTEM &gt; Major Hardware                                                                                               1</t>
        </is>
      </c>
      <c r="AG1062" s="7" t="inlineStr">
        <is>
          <t>205</t>
        </is>
      </c>
      <c r="AH1062" s="7" t="inlineStr">
        <is>
          <t>2086</t>
        </is>
      </c>
    </row>
    <row r="1063" ht="10" customHeight="1">
      <c r="A1063" s="7" t="inlineStr">
        <is>
          <t>SCN</t>
        </is>
      </c>
      <c r="B1063" s="7" t="inlineStr">
        <is>
          <t>Procurement</t>
        </is>
      </c>
      <c r="D1063" s="7" t="inlineStr">
        <is>
          <t>CVN Refueling Overhauls - P-35 MK 38 MOD 3 GUN SYSTEM - Technical Data and Documentation</t>
        </is>
      </c>
      <c r="E1063" s="13" t="inlineStr">
        <is>
          <t>[ALT_VIEW]</t>
        </is>
      </c>
      <c r="F1063" s="7" t="inlineStr">
        <is>
          <t>2086 / CVN Refueling Overhauls</t>
        </is>
      </c>
      <c r="G1063" s="7" t="inlineStr">
        <is>
          <t>P-35</t>
        </is>
      </c>
      <c r="I1063" s="14" t="n">
        <v>5</v>
      </c>
      <c r="J1063" s="7" t="inlineStr">
        <is>
          <t>RCOH</t>
        </is>
      </c>
      <c r="K1063" s="13" t="inlineStr">
        <is>
          <t>USN</t>
        </is>
      </c>
      <c r="L1063" s="7" t="inlineStr">
        <is>
          <t>Combatant Ships</t>
        </is>
      </c>
      <c r="M1063" s="7" t="inlineStr">
        <is>
          <t>Aircraft Carriers</t>
        </is>
      </c>
      <c r="N1063" s="7" t="inlineStr">
        <is>
          <t>CVN</t>
        </is>
      </c>
      <c r="O1063" s="15" t="n"/>
      <c r="P1063" s="16" t="n">
        <v>20</v>
      </c>
      <c r="S1063" s="16" t="n">
        <v>25</v>
      </c>
      <c r="U1063" s="16" t="n">
        <v>25</v>
      </c>
      <c r="AC1063" s="23">
        <f>IF(OR(E1063="",E1063="[PARENT]"),"ADD",IF(E1063="[ALT_VIEW]","ALT",""))</f>
        <v/>
      </c>
      <c r="AD1063" s="21">
        <f>IF(Y1063&lt;&gt;"",Y1063,IF(U1063&lt;&gt;"",U1063,S1063))</f>
        <v/>
      </c>
      <c r="AE1063" s="21">
        <f>IF(AB1063&lt;&gt;"",AB1063,Z1063)</f>
        <v/>
      </c>
      <c r="AF1063" s="13" t="inlineStr">
        <is>
          <t>P-35 &gt; CVN Refueling Overhauls &gt; MK 38 MOD 3 GUN SYSTEM &gt; Technical Data and Documentation</t>
        </is>
      </c>
      <c r="AG1063" s="7" t="inlineStr">
        <is>
          <t>205</t>
        </is>
      </c>
      <c r="AH1063" s="7" t="inlineStr">
        <is>
          <t>2086</t>
        </is>
      </c>
    </row>
    <row r="1064" ht="10" customHeight="1">
      <c r="A1064" s="7" t="inlineStr">
        <is>
          <t>SCN</t>
        </is>
      </c>
      <c r="B1064" s="7" t="inlineStr">
        <is>
          <t>Procurement</t>
        </is>
      </c>
      <c r="D1064" s="7" t="inlineStr">
        <is>
          <t>CVN Refueling Overhauls - P-35 MK 38 MOD 3 GUN SYSTEM - Spares</t>
        </is>
      </c>
      <c r="E1064" s="13" t="inlineStr">
        <is>
          <t>[ALT_VIEW]</t>
        </is>
      </c>
      <c r="F1064" s="7" t="inlineStr">
        <is>
          <t>2086 / CVN Refueling Overhauls</t>
        </is>
      </c>
      <c r="G1064" s="7" t="inlineStr">
        <is>
          <t>P-35</t>
        </is>
      </c>
      <c r="I1064" s="14" t="n">
        <v>5</v>
      </c>
      <c r="J1064" s="7" t="inlineStr">
        <is>
          <t>RCOH</t>
        </is>
      </c>
      <c r="K1064" s="13" t="inlineStr">
        <is>
          <t>USN</t>
        </is>
      </c>
      <c r="L1064" s="7" t="inlineStr">
        <is>
          <t>Combatant Ships</t>
        </is>
      </c>
      <c r="M1064" s="7" t="inlineStr">
        <is>
          <t>Aircraft Carriers</t>
        </is>
      </c>
      <c r="N1064" s="7" t="inlineStr">
        <is>
          <t>CVN</t>
        </is>
      </c>
      <c r="O1064" s="15" t="n"/>
      <c r="S1064" s="16" t="n">
        <v>97</v>
      </c>
      <c r="U1064" s="16" t="n">
        <v>97</v>
      </c>
      <c r="AC1064" s="23">
        <f>IF(OR(E1064="",E1064="[PARENT]"),"ADD",IF(E1064="[ALT_VIEW]","ALT",""))</f>
        <v/>
      </c>
      <c r="AD1064" s="21">
        <f>IF(Y1064&lt;&gt;"",Y1064,IF(U1064&lt;&gt;"",U1064,S1064))</f>
        <v/>
      </c>
      <c r="AE1064" s="21">
        <f>IF(AB1064&lt;&gt;"",AB1064,Z1064)</f>
        <v/>
      </c>
      <c r="AF1064" s="13" t="inlineStr">
        <is>
          <t>P-35 &gt; CVN Refueling Overhauls &gt; MK 38 MOD 3 GUN SYSTEM &gt; Spares</t>
        </is>
      </c>
      <c r="AG1064" s="7" t="inlineStr">
        <is>
          <t>205</t>
        </is>
      </c>
      <c r="AH1064" s="7" t="inlineStr">
        <is>
          <t>2086</t>
        </is>
      </c>
    </row>
    <row r="1065" ht="10" customHeight="1">
      <c r="A1065" s="7" t="inlineStr">
        <is>
          <t>SCN</t>
        </is>
      </c>
      <c r="B1065" s="7" t="inlineStr">
        <is>
          <t>Procurement</t>
        </is>
      </c>
      <c r="D1065" s="7" t="inlineStr">
        <is>
          <t>CVN Refueling Overhauls - P-35 MK 38 MOD 3 GUN SYSTEM - System Engineering                                                                                                                          -</t>
        </is>
      </c>
      <c r="E1065" s="13" t="inlineStr">
        <is>
          <t>[ALT_VIEW]</t>
        </is>
      </c>
      <c r="F1065" s="7" t="inlineStr">
        <is>
          <t>2086 / CVN Refueling Overhauls</t>
        </is>
      </c>
      <c r="G1065" s="7" t="inlineStr">
        <is>
          <t>P-35</t>
        </is>
      </c>
      <c r="I1065" s="14" t="n">
        <v>5</v>
      </c>
      <c r="J1065" s="7" t="inlineStr">
        <is>
          <t>RCOH</t>
        </is>
      </c>
      <c r="K1065" s="13" t="inlineStr">
        <is>
          <t>USN</t>
        </is>
      </c>
      <c r="L1065" s="7" t="inlineStr">
        <is>
          <t>Combatant Ships</t>
        </is>
      </c>
      <c r="M1065" s="7" t="inlineStr">
        <is>
          <t>Aircraft Carriers</t>
        </is>
      </c>
      <c r="N1065" s="7" t="inlineStr">
        <is>
          <t>CVN</t>
        </is>
      </c>
      <c r="O1065" s="15" t="n"/>
      <c r="S1065" s="16" t="n">
        <v>60</v>
      </c>
      <c r="U1065" s="16" t="n">
        <v>60</v>
      </c>
      <c r="AC1065" s="23">
        <f>IF(OR(E1065="",E1065="[PARENT]"),"ADD",IF(E1065="[ALT_VIEW]","ALT",""))</f>
        <v/>
      </c>
      <c r="AD1065" s="21">
        <f>IF(Y1065&lt;&gt;"",Y1065,IF(U1065&lt;&gt;"",U1065,S1065))</f>
        <v/>
      </c>
      <c r="AE1065" s="21">
        <f>IF(AB1065&lt;&gt;"",AB1065,Z1065)</f>
        <v/>
      </c>
      <c r="AF1065" s="13" t="inlineStr">
        <is>
          <t>P-35 &gt; CVN Refueling Overhauls &gt; MK 38 MOD 3 GUN SYSTEM &gt; System Engineering                                                                                                                          -</t>
        </is>
      </c>
      <c r="AG1065" s="7" t="inlineStr">
        <is>
          <t>205</t>
        </is>
      </c>
      <c r="AH1065" s="7" t="inlineStr">
        <is>
          <t>2086</t>
        </is>
      </c>
    </row>
    <row r="1066" ht="10" customHeight="1">
      <c r="A1066" s="7" t="inlineStr">
        <is>
          <t>SCN</t>
        </is>
      </c>
      <c r="B1066" s="7" t="inlineStr">
        <is>
          <t>Procurement</t>
        </is>
      </c>
      <c r="D1066" s="7" t="inlineStr">
        <is>
          <t>CVN Refueling Overhauls - P-35 MK 38 MOD 3 GUN SYSTEM - Technical Engineering Services</t>
        </is>
      </c>
      <c r="E1066" s="13" t="inlineStr">
        <is>
          <t>[ALT_VIEW]</t>
        </is>
      </c>
      <c r="F1066" s="7" t="inlineStr">
        <is>
          <t>2086 / CVN Refueling Overhauls</t>
        </is>
      </c>
      <c r="G1066" s="7" t="inlineStr">
        <is>
          <t>P-35</t>
        </is>
      </c>
      <c r="I1066" s="14" t="n">
        <v>5</v>
      </c>
      <c r="J1066" s="7" t="inlineStr">
        <is>
          <t>RCOH</t>
        </is>
      </c>
      <c r="K1066" s="13" t="inlineStr">
        <is>
          <t>USN</t>
        </is>
      </c>
      <c r="L1066" s="7" t="inlineStr">
        <is>
          <t>Combatant Ships</t>
        </is>
      </c>
      <c r="M1066" s="7" t="inlineStr">
        <is>
          <t>Aircraft Carriers</t>
        </is>
      </c>
      <c r="N1066" s="7" t="inlineStr">
        <is>
          <t>CVN</t>
        </is>
      </c>
      <c r="O1066" s="15" t="n"/>
      <c r="P1066" s="16" t="n">
        <v>4829</v>
      </c>
      <c r="S1066" s="16" t="n">
        <v>6060</v>
      </c>
      <c r="U1066" s="16" t="n">
        <v>6060</v>
      </c>
      <c r="AC1066" s="23">
        <f>IF(OR(E1066="",E1066="[PARENT]"),"ADD",IF(E1066="[ALT_VIEW]","ALT",""))</f>
        <v/>
      </c>
      <c r="AD1066" s="21">
        <f>IF(Y1066&lt;&gt;"",Y1066,IF(U1066&lt;&gt;"",U1066,S1066))</f>
        <v/>
      </c>
      <c r="AE1066" s="21">
        <f>IF(AB1066&lt;&gt;"",AB1066,Z1066)</f>
        <v/>
      </c>
      <c r="AF1066" s="13" t="inlineStr">
        <is>
          <t>P-35 &gt; CVN Refueling Overhauls &gt; MK 38 MOD 3 GUN SYSTEM &gt; Technical Engineering Services</t>
        </is>
      </c>
      <c r="AG1066" s="7" t="inlineStr">
        <is>
          <t>205</t>
        </is>
      </c>
      <c r="AH1066" s="7" t="inlineStr">
        <is>
          <t>2086</t>
        </is>
      </c>
    </row>
    <row r="1067" ht="10" customHeight="1">
      <c r="A1067" s="7" t="inlineStr">
        <is>
          <t>SCN</t>
        </is>
      </c>
      <c r="B1067" s="7" t="inlineStr">
        <is>
          <t>Procurement</t>
        </is>
      </c>
      <c r="D1067" s="7" t="inlineStr">
        <is>
          <t>CVN Refueling Overhauls - P-35 MK 38 MOD 3 GUN SYSTEM - Other Costs</t>
        </is>
      </c>
      <c r="E1067" s="13" t="inlineStr">
        <is>
          <t>[ALT_VIEW]</t>
        </is>
      </c>
      <c r="F1067" s="7" t="inlineStr">
        <is>
          <t>2086 / CVN Refueling Overhauls</t>
        </is>
      </c>
      <c r="G1067" s="7" t="inlineStr">
        <is>
          <t>P-35</t>
        </is>
      </c>
      <c r="I1067" s="14" t="n">
        <v>5</v>
      </c>
      <c r="J1067" s="7" t="inlineStr">
        <is>
          <t>RCOH</t>
        </is>
      </c>
      <c r="K1067" s="13" t="inlineStr">
        <is>
          <t>USN</t>
        </is>
      </c>
      <c r="L1067" s="7" t="inlineStr">
        <is>
          <t>Combatant Ships</t>
        </is>
      </c>
      <c r="M1067" s="7" t="inlineStr">
        <is>
          <t>Aircraft Carriers</t>
        </is>
      </c>
      <c r="N1067" s="7" t="inlineStr">
        <is>
          <t>CVN</t>
        </is>
      </c>
      <c r="O1067" s="15" t="n"/>
      <c r="P1067" s="16" t="n">
        <v>50</v>
      </c>
      <c r="S1067" s="16" t="n">
        <v>40</v>
      </c>
      <c r="U1067" s="16" t="n">
        <v>40</v>
      </c>
      <c r="AC1067" s="23">
        <f>IF(OR(E1067="",E1067="[PARENT]"),"ADD",IF(E1067="[ALT_VIEW]","ALT",""))</f>
        <v/>
      </c>
      <c r="AD1067" s="21">
        <f>IF(Y1067&lt;&gt;"",Y1067,IF(U1067&lt;&gt;"",U1067,S1067))</f>
        <v/>
      </c>
      <c r="AE1067" s="21">
        <f>IF(AB1067&lt;&gt;"",AB1067,Z1067)</f>
        <v/>
      </c>
      <c r="AF1067" s="13" t="inlineStr">
        <is>
          <t>P-35 &gt; CVN Refueling Overhauls &gt; MK 38 MOD 3 GUN SYSTEM &gt; Other Costs</t>
        </is>
      </c>
      <c r="AG1067" s="7" t="inlineStr">
        <is>
          <t>205</t>
        </is>
      </c>
      <c r="AH1067" s="7" t="inlineStr">
        <is>
          <t>2086</t>
        </is>
      </c>
    </row>
    <row r="1068" ht="10" customHeight="1">
      <c r="A1068" s="7" t="inlineStr">
        <is>
          <t>SCN</t>
        </is>
      </c>
      <c r="B1068" s="7" t="inlineStr">
        <is>
          <t>Procurement</t>
        </is>
      </c>
      <c r="D1068" s="7" t="inlineStr">
        <is>
          <t>CVN Refueling Overhauls - P-35 SURFACE ELECTRONIC WARFARE IMPROVEMENT PROGRAM (SEWIP) BLOCK 3 - Major Hardware                                                                                                  0                              -                                    1</t>
        </is>
      </c>
      <c r="E1068" s="13" t="inlineStr">
        <is>
          <t>[ALT_VIEW]</t>
        </is>
      </c>
      <c r="F1068" s="7" t="inlineStr">
        <is>
          <t>2086 / CVN Refueling Overhauls</t>
        </is>
      </c>
      <c r="G1068" s="7" t="inlineStr">
        <is>
          <t>P-35</t>
        </is>
      </c>
      <c r="I1068" s="14" t="n">
        <v>5</v>
      </c>
      <c r="J1068" s="7" t="inlineStr">
        <is>
          <t>RCOH</t>
        </is>
      </c>
      <c r="K1068" s="13" t="inlineStr">
        <is>
          <t>USN</t>
        </is>
      </c>
      <c r="L1068" s="7" t="inlineStr">
        <is>
          <t>Combatant Ships</t>
        </is>
      </c>
      <c r="M1068" s="7" t="inlineStr">
        <is>
          <t>Aircraft Carriers</t>
        </is>
      </c>
      <c r="N1068" s="7" t="inlineStr">
        <is>
          <t>CVN</t>
        </is>
      </c>
      <c r="O1068" s="15" t="n"/>
      <c r="S1068" s="16" t="n">
        <v>95060</v>
      </c>
      <c r="U1068" s="16" t="n">
        <v>95060</v>
      </c>
      <c r="AC1068" s="23">
        <f>IF(OR(E1068="",E1068="[PARENT]"),"ADD",IF(E1068="[ALT_VIEW]","ALT",""))</f>
        <v/>
      </c>
      <c r="AD1068" s="21">
        <f>IF(Y1068&lt;&gt;"",Y1068,IF(U1068&lt;&gt;"",U1068,S1068))</f>
        <v/>
      </c>
      <c r="AE1068" s="21">
        <f>IF(AB1068&lt;&gt;"",AB1068,Z1068)</f>
        <v/>
      </c>
      <c r="AF1068" s="13" t="inlineStr">
        <is>
          <t>P-35 &gt; CVN Refueling Overhauls &gt; SURFACE ELECTRONIC WARFARE IMPROVEMENT PROGRAM (SEWIP) BLOCK 3 &gt; Major Hardware                                                                                                  0                              -                                    1</t>
        </is>
      </c>
      <c r="AG1068" s="7" t="inlineStr">
        <is>
          <t>206</t>
        </is>
      </c>
      <c r="AH1068" s="7" t="inlineStr">
        <is>
          <t>2086</t>
        </is>
      </c>
    </row>
    <row r="1069" ht="10" customHeight="1">
      <c r="A1069" s="7" t="inlineStr">
        <is>
          <t>SCN</t>
        </is>
      </c>
      <c r="B1069" s="7" t="inlineStr">
        <is>
          <t>Procurement</t>
        </is>
      </c>
      <c r="D1069" s="7" t="inlineStr">
        <is>
          <t>CVN Refueling Overhauls - P-35 SURFACE ELECTRONIC WARFARE IMPROVEMENT PROGRAM (SEWIP) BLOCK 3 - Ancillary Equipment                                                                                                                            -</t>
        </is>
      </c>
      <c r="E1069" s="13" t="inlineStr">
        <is>
          <t>[ALT_VIEW]</t>
        </is>
      </c>
      <c r="F1069" s="7" t="inlineStr">
        <is>
          <t>2086 / CVN Refueling Overhauls</t>
        </is>
      </c>
      <c r="G1069" s="7" t="inlineStr">
        <is>
          <t>P-35</t>
        </is>
      </c>
      <c r="I1069" s="14" t="n">
        <v>5</v>
      </c>
      <c r="J1069" s="7" t="inlineStr">
        <is>
          <t>RCOH</t>
        </is>
      </c>
      <c r="K1069" s="13" t="inlineStr">
        <is>
          <t>USN</t>
        </is>
      </c>
      <c r="L1069" s="7" t="inlineStr">
        <is>
          <t>Combatant Ships</t>
        </is>
      </c>
      <c r="M1069" s="7" t="inlineStr">
        <is>
          <t>Aircraft Carriers</t>
        </is>
      </c>
      <c r="N1069" s="7" t="inlineStr">
        <is>
          <t>CVN</t>
        </is>
      </c>
      <c r="O1069" s="15" t="n"/>
      <c r="S1069" s="16" t="n">
        <v>667</v>
      </c>
      <c r="U1069" s="16" t="n">
        <v>667</v>
      </c>
      <c r="AC1069" s="23">
        <f>IF(OR(E1069="",E1069="[PARENT]"),"ADD",IF(E1069="[ALT_VIEW]","ALT",""))</f>
        <v/>
      </c>
      <c r="AD1069" s="21">
        <f>IF(Y1069&lt;&gt;"",Y1069,IF(U1069&lt;&gt;"",U1069,S1069))</f>
        <v/>
      </c>
      <c r="AE1069" s="21">
        <f>IF(AB1069&lt;&gt;"",AB1069,Z1069)</f>
        <v/>
      </c>
      <c r="AF1069" s="13" t="inlineStr">
        <is>
          <t>P-35 &gt; CVN Refueling Overhauls &gt; SURFACE ELECTRONIC WARFARE IMPROVEMENT PROGRAM (SEWIP) BLOCK 3 &gt; Ancillary Equipment                                                                                                                            -</t>
        </is>
      </c>
      <c r="AG1069" s="7" t="inlineStr">
        <is>
          <t>206</t>
        </is>
      </c>
      <c r="AH1069" s="7" t="inlineStr">
        <is>
          <t>2086</t>
        </is>
      </c>
    </row>
    <row r="1070" ht="10" customHeight="1">
      <c r="A1070" s="7" t="inlineStr">
        <is>
          <t>SCN</t>
        </is>
      </c>
      <c r="B1070" s="7" t="inlineStr">
        <is>
          <t>Procurement</t>
        </is>
      </c>
      <c r="D1070" s="7" t="inlineStr">
        <is>
          <t>CVN Refueling Overhauls - P-35 SURFACE ELECTRONIC WARFARE IMPROVEMENT PROGRAM (SEWIP) BLOCK 3 - Spares                                                                                                                                         -</t>
        </is>
      </c>
      <c r="E1070" s="13" t="inlineStr">
        <is>
          <t>[ALT_VIEW]</t>
        </is>
      </c>
      <c r="F1070" s="7" t="inlineStr">
        <is>
          <t>2086 / CVN Refueling Overhauls</t>
        </is>
      </c>
      <c r="G1070" s="7" t="inlineStr">
        <is>
          <t>P-35</t>
        </is>
      </c>
      <c r="I1070" s="14" t="n">
        <v>5</v>
      </c>
      <c r="J1070" s="7" t="inlineStr">
        <is>
          <t>RCOH</t>
        </is>
      </c>
      <c r="K1070" s="13" t="inlineStr">
        <is>
          <t>USN</t>
        </is>
      </c>
      <c r="L1070" s="7" t="inlineStr">
        <is>
          <t>Combatant Ships</t>
        </is>
      </c>
      <c r="M1070" s="7" t="inlineStr">
        <is>
          <t>Aircraft Carriers</t>
        </is>
      </c>
      <c r="N1070" s="7" t="inlineStr">
        <is>
          <t>CVN</t>
        </is>
      </c>
      <c r="O1070" s="15" t="n"/>
      <c r="S1070" s="16" t="n">
        <v>2847</v>
      </c>
      <c r="U1070" s="16" t="n">
        <v>2847</v>
      </c>
      <c r="AC1070" s="23">
        <f>IF(OR(E1070="",E1070="[PARENT]"),"ADD",IF(E1070="[ALT_VIEW]","ALT",""))</f>
        <v/>
      </c>
      <c r="AD1070" s="21">
        <f>IF(Y1070&lt;&gt;"",Y1070,IF(U1070&lt;&gt;"",U1070,S1070))</f>
        <v/>
      </c>
      <c r="AE1070" s="21">
        <f>IF(AB1070&lt;&gt;"",AB1070,Z1070)</f>
        <v/>
      </c>
      <c r="AF1070" s="13" t="inlineStr">
        <is>
          <t>P-35 &gt; CVN Refueling Overhauls &gt; SURFACE ELECTRONIC WARFARE IMPROVEMENT PROGRAM (SEWIP) BLOCK 3 &gt; Spares                                                                                                                                         -</t>
        </is>
      </c>
      <c r="AG1070" s="7" t="inlineStr">
        <is>
          <t>206</t>
        </is>
      </c>
      <c r="AH1070" s="7" t="inlineStr">
        <is>
          <t>2086</t>
        </is>
      </c>
    </row>
    <row r="1071" ht="10" customHeight="1">
      <c r="A1071" s="7" t="inlineStr">
        <is>
          <t>SCN</t>
        </is>
      </c>
      <c r="B1071" s="7" t="inlineStr">
        <is>
          <t>Procurement</t>
        </is>
      </c>
      <c r="D1071" s="7" t="inlineStr">
        <is>
          <t>CVN Refueling Overhauls - P-35 SURFACE ELECTRONIC WARFARE IMPROVEMENT PROGRAM (SEWIP) BLOCK 3 - System Engineering                                                                                                                             -</t>
        </is>
      </c>
      <c r="E1071" s="13" t="inlineStr">
        <is>
          <t>[ALT_VIEW]</t>
        </is>
      </c>
      <c r="F1071" s="7" t="inlineStr">
        <is>
          <t>2086 / CVN Refueling Overhauls</t>
        </is>
      </c>
      <c r="G1071" s="7" t="inlineStr">
        <is>
          <t>P-35</t>
        </is>
      </c>
      <c r="I1071" s="14" t="n">
        <v>5</v>
      </c>
      <c r="J1071" s="7" t="inlineStr">
        <is>
          <t>RCOH</t>
        </is>
      </c>
      <c r="K1071" s="13" t="inlineStr">
        <is>
          <t>USN</t>
        </is>
      </c>
      <c r="L1071" s="7" t="inlineStr">
        <is>
          <t>Combatant Ships</t>
        </is>
      </c>
      <c r="M1071" s="7" t="inlineStr">
        <is>
          <t>Aircraft Carriers</t>
        </is>
      </c>
      <c r="N1071" s="7" t="inlineStr">
        <is>
          <t>CVN</t>
        </is>
      </c>
      <c r="O1071" s="15" t="n"/>
      <c r="S1071" s="16" t="n">
        <v>1866</v>
      </c>
      <c r="U1071" s="16" t="n">
        <v>1866</v>
      </c>
      <c r="AC1071" s="23">
        <f>IF(OR(E1071="",E1071="[PARENT]"),"ADD",IF(E1071="[ALT_VIEW]","ALT",""))</f>
        <v/>
      </c>
      <c r="AD1071" s="21">
        <f>IF(Y1071&lt;&gt;"",Y1071,IF(U1071&lt;&gt;"",U1071,S1071))</f>
        <v/>
      </c>
      <c r="AE1071" s="21">
        <f>IF(AB1071&lt;&gt;"",AB1071,Z1071)</f>
        <v/>
      </c>
      <c r="AF1071" s="13" t="inlineStr">
        <is>
          <t>P-35 &gt; CVN Refueling Overhauls &gt; SURFACE ELECTRONIC WARFARE IMPROVEMENT PROGRAM (SEWIP) BLOCK 3 &gt; System Engineering                                                                                                                             -</t>
        </is>
      </c>
      <c r="AG1071" s="7" t="inlineStr">
        <is>
          <t>206</t>
        </is>
      </c>
      <c r="AH1071" s="7" t="inlineStr">
        <is>
          <t>2086</t>
        </is>
      </c>
    </row>
    <row r="1072" ht="10" customHeight="1">
      <c r="A1072" s="7" t="inlineStr">
        <is>
          <t>SCN</t>
        </is>
      </c>
      <c r="B1072" s="7" t="inlineStr">
        <is>
          <t>Procurement</t>
        </is>
      </c>
      <c r="D1072" s="7" t="inlineStr">
        <is>
          <t>CVN Refueling Overhauls - P-35 SURFACE ELECTRONIC WARFARE IMPROVEMENT PROGRAM (SEWIP) BLOCK 3 - Technical Engineering Services                                                                                                                 -</t>
        </is>
      </c>
      <c r="E1072" s="13" t="inlineStr">
        <is>
          <t>[ALT_VIEW]</t>
        </is>
      </c>
      <c r="F1072" s="7" t="inlineStr">
        <is>
          <t>2086 / CVN Refueling Overhauls</t>
        </is>
      </c>
      <c r="G1072" s="7" t="inlineStr">
        <is>
          <t>P-35</t>
        </is>
      </c>
      <c r="I1072" s="14" t="n">
        <v>5</v>
      </c>
      <c r="J1072" s="7" t="inlineStr">
        <is>
          <t>RCOH</t>
        </is>
      </c>
      <c r="K1072" s="13" t="inlineStr">
        <is>
          <t>USN</t>
        </is>
      </c>
      <c r="L1072" s="7" t="inlineStr">
        <is>
          <t>Combatant Ships</t>
        </is>
      </c>
      <c r="M1072" s="7" t="inlineStr">
        <is>
          <t>Aircraft Carriers</t>
        </is>
      </c>
      <c r="N1072" s="7" t="inlineStr">
        <is>
          <t>CVN</t>
        </is>
      </c>
      <c r="O1072" s="15" t="n"/>
      <c r="S1072" s="16" t="n">
        <v>7944</v>
      </c>
      <c r="U1072" s="16" t="n">
        <v>7944</v>
      </c>
      <c r="AC1072" s="23">
        <f>IF(OR(E1072="",E1072="[PARENT]"),"ADD",IF(E1072="[ALT_VIEW]","ALT",""))</f>
        <v/>
      </c>
      <c r="AD1072" s="21">
        <f>IF(Y1072&lt;&gt;"",Y1072,IF(U1072&lt;&gt;"",U1072,S1072))</f>
        <v/>
      </c>
      <c r="AE1072" s="21">
        <f>IF(AB1072&lt;&gt;"",AB1072,Z1072)</f>
        <v/>
      </c>
      <c r="AF1072" s="13" t="inlineStr">
        <is>
          <t>P-35 &gt; CVN Refueling Overhauls &gt; SURFACE ELECTRONIC WARFARE IMPROVEMENT PROGRAM (SEWIP) BLOCK 3 &gt; Technical Engineering Services                                                                                                                 -</t>
        </is>
      </c>
      <c r="AG1072" s="7" t="inlineStr">
        <is>
          <t>206</t>
        </is>
      </c>
      <c r="AH1072" s="7" t="inlineStr">
        <is>
          <t>2086</t>
        </is>
      </c>
    </row>
    <row r="1073" ht="10" customHeight="1">
      <c r="A1073" s="7" t="inlineStr">
        <is>
          <t>SCN</t>
        </is>
      </c>
      <c r="B1073" s="7" t="inlineStr">
        <is>
          <t>Procurement</t>
        </is>
      </c>
      <c r="D1073" s="7" t="inlineStr">
        <is>
          <t>CVN Refueling Overhauls - P-35 SURFACE ELECTRONIC WARFARE IMPROVEMENT PROGRAM (SEWIP) BLOCK 3 - Other Costs                                                                                                                                    -</t>
        </is>
      </c>
      <c r="E1073" s="13" t="inlineStr">
        <is>
          <t>[ALT_VIEW]</t>
        </is>
      </c>
      <c r="F1073" s="7" t="inlineStr">
        <is>
          <t>2086 / CVN Refueling Overhauls</t>
        </is>
      </c>
      <c r="G1073" s="7" t="inlineStr">
        <is>
          <t>P-35</t>
        </is>
      </c>
      <c r="I1073" s="14" t="n">
        <v>5</v>
      </c>
      <c r="J1073" s="7" t="inlineStr">
        <is>
          <t>RCOH</t>
        </is>
      </c>
      <c r="K1073" s="13" t="inlineStr">
        <is>
          <t>USN</t>
        </is>
      </c>
      <c r="L1073" s="7" t="inlineStr">
        <is>
          <t>Combatant Ships</t>
        </is>
      </c>
      <c r="M1073" s="7" t="inlineStr">
        <is>
          <t>Aircraft Carriers</t>
        </is>
      </c>
      <c r="N1073" s="7" t="inlineStr">
        <is>
          <t>CVN</t>
        </is>
      </c>
      <c r="O1073" s="15" t="n"/>
      <c r="S1073" s="16" t="n">
        <v>25508</v>
      </c>
      <c r="U1073" s="16" t="n">
        <v>25508</v>
      </c>
      <c r="AC1073" s="23">
        <f>IF(OR(E1073="",E1073="[PARENT]"),"ADD",IF(E1073="[ALT_VIEW]","ALT",""))</f>
        <v/>
      </c>
      <c r="AD1073" s="21">
        <f>IF(Y1073&lt;&gt;"",Y1073,IF(U1073&lt;&gt;"",U1073,S1073))</f>
        <v/>
      </c>
      <c r="AE1073" s="21">
        <f>IF(AB1073&lt;&gt;"",AB1073,Z1073)</f>
        <v/>
      </c>
      <c r="AF1073" s="13" t="inlineStr">
        <is>
          <t>P-35 &gt; CVN Refueling Overhauls &gt; SURFACE ELECTRONIC WARFARE IMPROVEMENT PROGRAM (SEWIP) BLOCK 3 &gt; Other Costs                                                                                                                                    -</t>
        </is>
      </c>
      <c r="AG1073" s="7" t="inlineStr">
        <is>
          <t>206</t>
        </is>
      </c>
      <c r="AH1073" s="7" t="inlineStr">
        <is>
          <t>2086</t>
        </is>
      </c>
    </row>
    <row r="1074" ht="10" customHeight="1">
      <c r="A1074" s="7" t="inlineStr">
        <is>
          <t>SCN</t>
        </is>
      </c>
      <c r="B1074" s="7" t="inlineStr">
        <is>
          <t>Procurement</t>
        </is>
      </c>
      <c r="D1074" s="7" t="inlineStr">
        <is>
          <t>CVN Refueling Overhauls - P-35 CLOSE IN WEAPON SYSTEM (CIWS) BLOCK 1B - Major Hardware                                                                                                   0                               -                                 1</t>
        </is>
      </c>
      <c r="E1074" s="13" t="inlineStr">
        <is>
          <t>[ALT_VIEW]</t>
        </is>
      </c>
      <c r="F1074" s="7" t="inlineStr">
        <is>
          <t>2086 / CVN Refueling Overhauls</t>
        </is>
      </c>
      <c r="G1074" s="7" t="inlineStr">
        <is>
          <t>P-35</t>
        </is>
      </c>
      <c r="I1074" s="14" t="n">
        <v>5</v>
      </c>
      <c r="J1074" s="7" t="inlineStr">
        <is>
          <t>RCOH</t>
        </is>
      </c>
      <c r="K1074" s="13" t="inlineStr">
        <is>
          <t>USN</t>
        </is>
      </c>
      <c r="L1074" s="7" t="inlineStr">
        <is>
          <t>Combatant Ships</t>
        </is>
      </c>
      <c r="M1074" s="7" t="inlineStr">
        <is>
          <t>Aircraft Carriers</t>
        </is>
      </c>
      <c r="N1074" s="7" t="inlineStr">
        <is>
          <t>CVN</t>
        </is>
      </c>
      <c r="O1074" s="15" t="n"/>
      <c r="S1074" s="16" t="n">
        <v>15208</v>
      </c>
      <c r="U1074" s="16" t="n">
        <v>15208</v>
      </c>
      <c r="AC1074" s="23">
        <f>IF(OR(E1074="",E1074="[PARENT]"),"ADD",IF(E1074="[ALT_VIEW]","ALT",""))</f>
        <v/>
      </c>
      <c r="AD1074" s="21">
        <f>IF(Y1074&lt;&gt;"",Y1074,IF(U1074&lt;&gt;"",U1074,S1074))</f>
        <v/>
      </c>
      <c r="AE1074" s="21">
        <f>IF(AB1074&lt;&gt;"",AB1074,Z1074)</f>
        <v/>
      </c>
      <c r="AF1074" s="13" t="inlineStr">
        <is>
          <t>P-35 &gt; CVN Refueling Overhauls &gt; CLOSE IN WEAPON SYSTEM (CIWS) BLOCK 1B &gt; Major Hardware                                                                                                   0                               -                                 1</t>
        </is>
      </c>
      <c r="AG1074" s="7" t="inlineStr">
        <is>
          <t>207</t>
        </is>
      </c>
      <c r="AH1074" s="7" t="inlineStr">
        <is>
          <t>2086</t>
        </is>
      </c>
    </row>
    <row r="1075" ht="10" customHeight="1">
      <c r="A1075" s="7" t="inlineStr">
        <is>
          <t>SCN</t>
        </is>
      </c>
      <c r="B1075" s="7" t="inlineStr">
        <is>
          <t>Procurement</t>
        </is>
      </c>
      <c r="D1075" s="7" t="inlineStr">
        <is>
          <t>CVN Refueling Overhauls - P-35 CLOSE IN WEAPON SYSTEM (CIWS) BLOCK 1B - Technical Data and Documentation                                                                                                                 -</t>
        </is>
      </c>
      <c r="E1075" s="13" t="inlineStr">
        <is>
          <t>[ALT_VIEW]</t>
        </is>
      </c>
      <c r="F1075" s="7" t="inlineStr">
        <is>
          <t>2086 / CVN Refueling Overhauls</t>
        </is>
      </c>
      <c r="G1075" s="7" t="inlineStr">
        <is>
          <t>P-35</t>
        </is>
      </c>
      <c r="I1075" s="14" t="n">
        <v>5</v>
      </c>
      <c r="J1075" s="7" t="inlineStr">
        <is>
          <t>RCOH</t>
        </is>
      </c>
      <c r="K1075" s="13" t="inlineStr">
        <is>
          <t>USN</t>
        </is>
      </c>
      <c r="L1075" s="7" t="inlineStr">
        <is>
          <t>Combatant Ships</t>
        </is>
      </c>
      <c r="M1075" s="7" t="inlineStr">
        <is>
          <t>Aircraft Carriers</t>
        </is>
      </c>
      <c r="N1075" s="7" t="inlineStr">
        <is>
          <t>CVN</t>
        </is>
      </c>
      <c r="O1075" s="15" t="n"/>
      <c r="S1075" s="16" t="n">
        <v>56</v>
      </c>
      <c r="U1075" s="16" t="n">
        <v>56</v>
      </c>
      <c r="AC1075" s="23">
        <f>IF(OR(E1075="",E1075="[PARENT]"),"ADD",IF(E1075="[ALT_VIEW]","ALT",""))</f>
        <v/>
      </c>
      <c r="AD1075" s="21">
        <f>IF(Y1075&lt;&gt;"",Y1075,IF(U1075&lt;&gt;"",U1075,S1075))</f>
        <v/>
      </c>
      <c r="AE1075" s="21">
        <f>IF(AB1075&lt;&gt;"",AB1075,Z1075)</f>
        <v/>
      </c>
      <c r="AF1075" s="13" t="inlineStr">
        <is>
          <t>P-35 &gt; CVN Refueling Overhauls &gt; CLOSE IN WEAPON SYSTEM (CIWS) BLOCK 1B &gt; Technical Data and Documentation                                                                                                                 -</t>
        </is>
      </c>
      <c r="AG1075" s="7" t="inlineStr">
        <is>
          <t>207</t>
        </is>
      </c>
      <c r="AH1075" s="7" t="inlineStr">
        <is>
          <t>2086</t>
        </is>
      </c>
    </row>
    <row r="1076" ht="10" customHeight="1">
      <c r="A1076" s="7" t="inlineStr">
        <is>
          <t>SCN</t>
        </is>
      </c>
      <c r="B1076" s="7" t="inlineStr">
        <is>
          <t>Procurement</t>
        </is>
      </c>
      <c r="D1076" s="7" t="inlineStr">
        <is>
          <t>CVN Refueling Overhauls - P-35 CLOSE IN WEAPON SYSTEM (CIWS) BLOCK 1B - Spares                                                                                                                                           -</t>
        </is>
      </c>
      <c r="E1076" s="13" t="inlineStr">
        <is>
          <t>[ALT_VIEW]</t>
        </is>
      </c>
      <c r="F1076" s="7" t="inlineStr">
        <is>
          <t>2086 / CVN Refueling Overhauls</t>
        </is>
      </c>
      <c r="G1076" s="7" t="inlineStr">
        <is>
          <t>P-35</t>
        </is>
      </c>
      <c r="I1076" s="14" t="n">
        <v>5</v>
      </c>
      <c r="J1076" s="7" t="inlineStr">
        <is>
          <t>RCOH</t>
        </is>
      </c>
      <c r="K1076" s="13" t="inlineStr">
        <is>
          <t>USN</t>
        </is>
      </c>
      <c r="L1076" s="7" t="inlineStr">
        <is>
          <t>Combatant Ships</t>
        </is>
      </c>
      <c r="M1076" s="7" t="inlineStr">
        <is>
          <t>Aircraft Carriers</t>
        </is>
      </c>
      <c r="N1076" s="7" t="inlineStr">
        <is>
          <t>CVN</t>
        </is>
      </c>
      <c r="O1076" s="15" t="n"/>
      <c r="S1076" s="16" t="n">
        <v>175</v>
      </c>
      <c r="U1076" s="16" t="n">
        <v>175</v>
      </c>
      <c r="AC1076" s="23">
        <f>IF(OR(E1076="",E1076="[PARENT]"),"ADD",IF(E1076="[ALT_VIEW]","ALT",""))</f>
        <v/>
      </c>
      <c r="AD1076" s="21">
        <f>IF(Y1076&lt;&gt;"",Y1076,IF(U1076&lt;&gt;"",U1076,S1076))</f>
        <v/>
      </c>
      <c r="AE1076" s="21">
        <f>IF(AB1076&lt;&gt;"",AB1076,Z1076)</f>
        <v/>
      </c>
      <c r="AF1076" s="13" t="inlineStr">
        <is>
          <t>P-35 &gt; CVN Refueling Overhauls &gt; CLOSE IN WEAPON SYSTEM (CIWS) BLOCK 1B &gt; Spares                                                                                                                                           -</t>
        </is>
      </c>
      <c r="AG1076" s="7" t="inlineStr">
        <is>
          <t>207</t>
        </is>
      </c>
      <c r="AH1076" s="7" t="inlineStr">
        <is>
          <t>2086</t>
        </is>
      </c>
    </row>
    <row r="1077" ht="10" customHeight="1">
      <c r="A1077" s="7" t="inlineStr">
        <is>
          <t>SCN</t>
        </is>
      </c>
      <c r="B1077" s="7" t="inlineStr">
        <is>
          <t>Procurement</t>
        </is>
      </c>
      <c r="D1077" s="7" t="inlineStr">
        <is>
          <t>CVN Refueling Overhauls - P-35 CLOSE IN WEAPON SYSTEM (CIWS) BLOCK 1B - System Engineering</t>
        </is>
      </c>
      <c r="E1077" s="13" t="inlineStr">
        <is>
          <t>[ALT_VIEW]</t>
        </is>
      </c>
      <c r="F1077" s="7" t="inlineStr">
        <is>
          <t>2086 / CVN Refueling Overhauls</t>
        </is>
      </c>
      <c r="G1077" s="7" t="inlineStr">
        <is>
          <t>P-35</t>
        </is>
      </c>
      <c r="I1077" s="14" t="n">
        <v>5</v>
      </c>
      <c r="J1077" s="7" t="inlineStr">
        <is>
          <t>RCOH</t>
        </is>
      </c>
      <c r="K1077" s="13" t="inlineStr">
        <is>
          <t>USN</t>
        </is>
      </c>
      <c r="L1077" s="7" t="inlineStr">
        <is>
          <t>Combatant Ships</t>
        </is>
      </c>
      <c r="M1077" s="7" t="inlineStr">
        <is>
          <t>Aircraft Carriers</t>
        </is>
      </c>
      <c r="N1077" s="7" t="inlineStr">
        <is>
          <t>CVN</t>
        </is>
      </c>
      <c r="O1077" s="15" t="n"/>
      <c r="P1077" s="16" t="n">
        <v>15</v>
      </c>
      <c r="S1077" s="16" t="n">
        <v>681</v>
      </c>
      <c r="U1077" s="16" t="n">
        <v>681</v>
      </c>
      <c r="AC1077" s="23">
        <f>IF(OR(E1077="",E1077="[PARENT]"),"ADD",IF(E1077="[ALT_VIEW]","ALT",""))</f>
        <v/>
      </c>
      <c r="AD1077" s="21">
        <f>IF(Y1077&lt;&gt;"",Y1077,IF(U1077&lt;&gt;"",U1077,S1077))</f>
        <v/>
      </c>
      <c r="AE1077" s="21">
        <f>IF(AB1077&lt;&gt;"",AB1077,Z1077)</f>
        <v/>
      </c>
      <c r="AF1077" s="13" t="inlineStr">
        <is>
          <t>P-35 &gt; CVN Refueling Overhauls &gt; CLOSE IN WEAPON SYSTEM (CIWS) BLOCK 1B &gt; System Engineering</t>
        </is>
      </c>
      <c r="AG1077" s="7" t="inlineStr">
        <is>
          <t>207</t>
        </is>
      </c>
      <c r="AH1077" s="7" t="inlineStr">
        <is>
          <t>2086</t>
        </is>
      </c>
    </row>
    <row r="1078" ht="10" customHeight="1">
      <c r="A1078" s="7" t="inlineStr">
        <is>
          <t>SCN</t>
        </is>
      </c>
      <c r="B1078" s="7" t="inlineStr">
        <is>
          <t>Procurement</t>
        </is>
      </c>
      <c r="D1078" s="7" t="inlineStr">
        <is>
          <t>CVN Refueling Overhauls - P-35 CLOSE IN WEAPON SYSTEM (CIWS) BLOCK 1B - Technical Engineering Services</t>
        </is>
      </c>
      <c r="E1078" s="13" t="inlineStr">
        <is>
          <t>[ALT_VIEW]</t>
        </is>
      </c>
      <c r="F1078" s="7" t="inlineStr">
        <is>
          <t>2086 / CVN Refueling Overhauls</t>
        </is>
      </c>
      <c r="G1078" s="7" t="inlineStr">
        <is>
          <t>P-35</t>
        </is>
      </c>
      <c r="I1078" s="14" t="n">
        <v>5</v>
      </c>
      <c r="J1078" s="7" t="inlineStr">
        <is>
          <t>RCOH</t>
        </is>
      </c>
      <c r="K1078" s="13" t="inlineStr">
        <is>
          <t>USN</t>
        </is>
      </c>
      <c r="L1078" s="7" t="inlineStr">
        <is>
          <t>Combatant Ships</t>
        </is>
      </c>
      <c r="M1078" s="7" t="inlineStr">
        <is>
          <t>Aircraft Carriers</t>
        </is>
      </c>
      <c r="N1078" s="7" t="inlineStr">
        <is>
          <t>CVN</t>
        </is>
      </c>
      <c r="O1078" s="15" t="n"/>
      <c r="P1078" s="16" t="n">
        <v>1192</v>
      </c>
      <c r="S1078" s="16" t="n">
        <v>968</v>
      </c>
      <c r="U1078" s="16" t="n">
        <v>968</v>
      </c>
      <c r="AC1078" s="23">
        <f>IF(OR(E1078="",E1078="[PARENT]"),"ADD",IF(E1078="[ALT_VIEW]","ALT",""))</f>
        <v/>
      </c>
      <c r="AD1078" s="21">
        <f>IF(Y1078&lt;&gt;"",Y1078,IF(U1078&lt;&gt;"",U1078,S1078))</f>
        <v/>
      </c>
      <c r="AE1078" s="21">
        <f>IF(AB1078&lt;&gt;"",AB1078,Z1078)</f>
        <v/>
      </c>
      <c r="AF1078" s="13" t="inlineStr">
        <is>
          <t>P-35 &gt; CVN Refueling Overhauls &gt; CLOSE IN WEAPON SYSTEM (CIWS) BLOCK 1B &gt; Technical Engineering Services</t>
        </is>
      </c>
      <c r="AG1078" s="7" t="inlineStr">
        <is>
          <t>207</t>
        </is>
      </c>
      <c r="AH1078" s="7" t="inlineStr">
        <is>
          <t>2086</t>
        </is>
      </c>
    </row>
    <row r="1079" ht="10" customHeight="1">
      <c r="A1079" s="7" t="inlineStr">
        <is>
          <t>SCN</t>
        </is>
      </c>
      <c r="B1079" s="7" t="inlineStr">
        <is>
          <t>Procurement</t>
        </is>
      </c>
      <c r="D1079" s="7" t="inlineStr">
        <is>
          <t>CVN Refueling Overhauls - P-35 CLOSE IN WEAPON SYSTEM (CIWS) BLOCK 1B - Other Costs</t>
        </is>
      </c>
      <c r="E1079" s="13" t="inlineStr">
        <is>
          <t>[ALT_VIEW]</t>
        </is>
      </c>
      <c r="F1079" s="7" t="inlineStr">
        <is>
          <t>2086 / CVN Refueling Overhauls</t>
        </is>
      </c>
      <c r="G1079" s="7" t="inlineStr">
        <is>
          <t>P-35</t>
        </is>
      </c>
      <c r="I1079" s="14" t="n">
        <v>5</v>
      </c>
      <c r="J1079" s="7" t="inlineStr">
        <is>
          <t>RCOH</t>
        </is>
      </c>
      <c r="K1079" s="13" t="inlineStr">
        <is>
          <t>USN</t>
        </is>
      </c>
      <c r="L1079" s="7" t="inlineStr">
        <is>
          <t>Combatant Ships</t>
        </is>
      </c>
      <c r="M1079" s="7" t="inlineStr">
        <is>
          <t>Aircraft Carriers</t>
        </is>
      </c>
      <c r="N1079" s="7" t="inlineStr">
        <is>
          <t>CVN</t>
        </is>
      </c>
      <c r="O1079" s="15" t="n"/>
      <c r="P1079" s="16" t="n">
        <v>197</v>
      </c>
      <c r="S1079" s="16" t="n">
        <v>1736</v>
      </c>
      <c r="U1079" s="16" t="n">
        <v>1736</v>
      </c>
      <c r="AC1079" s="23">
        <f>IF(OR(E1079="",E1079="[PARENT]"),"ADD",IF(E1079="[ALT_VIEW]","ALT",""))</f>
        <v/>
      </c>
      <c r="AD1079" s="21">
        <f>IF(Y1079&lt;&gt;"",Y1079,IF(U1079&lt;&gt;"",U1079,S1079))</f>
        <v/>
      </c>
      <c r="AE1079" s="21">
        <f>IF(AB1079&lt;&gt;"",AB1079,Z1079)</f>
        <v/>
      </c>
      <c r="AF1079" s="13" t="inlineStr">
        <is>
          <t>P-35 &gt; CVN Refueling Overhauls &gt; CLOSE IN WEAPON SYSTEM (CIWS) BLOCK 1B &gt; Other Costs</t>
        </is>
      </c>
      <c r="AG1079" s="7" t="inlineStr">
        <is>
          <t>207</t>
        </is>
      </c>
      <c r="AH1079" s="7" t="inlineStr">
        <is>
          <t>2086</t>
        </is>
      </c>
    </row>
    <row r="1080" ht="10" customHeight="1">
      <c r="A1080" s="7" t="inlineStr">
        <is>
          <t>SCN</t>
        </is>
      </c>
      <c r="B1080" s="7" t="inlineStr">
        <is>
          <t>Procurement</t>
        </is>
      </c>
      <c r="D1080" s="7" t="inlineStr">
        <is>
          <t>CVN Refueling Overhauls - P-10 - Plans                                                                                       -       Various</t>
        </is>
      </c>
      <c r="E1080" s="13" t="inlineStr">
        <is>
          <t>[SUB]</t>
        </is>
      </c>
      <c r="F1080" s="7" t="inlineStr">
        <is>
          <t>2086 / CVN Refueling Overhauls AP</t>
        </is>
      </c>
      <c r="I1080" s="14" t="n">
        <v>5</v>
      </c>
      <c r="J1080" s="7" t="inlineStr">
        <is>
          <t>RCOH</t>
        </is>
      </c>
      <c r="K1080" s="13" t="inlineStr">
        <is>
          <t>USN</t>
        </is>
      </c>
      <c r="L1080" s="7" t="inlineStr">
        <is>
          <t>Combatant Ships</t>
        </is>
      </c>
      <c r="M1080" s="7" t="inlineStr">
        <is>
          <t>Aircraft Carriers</t>
        </is>
      </c>
      <c r="N1080" s="7" t="inlineStr">
        <is>
          <t>CVN</t>
        </is>
      </c>
      <c r="O1080" s="15" t="n"/>
      <c r="P1080" s="16" t="n">
        <v>7246</v>
      </c>
      <c r="S1080" s="16" t="n">
        <v>0</v>
      </c>
      <c r="U1080" s="16" t="n">
        <v>0</v>
      </c>
      <c r="AC1080" s="23">
        <f>IF(OR(E1080="",E1080="[PARENT]"),"ADD",IF(E1080="[ALT_VIEW]","ALT",""))</f>
        <v/>
      </c>
      <c r="AD1080" s="21">
        <f>IF(Y1080&lt;&gt;"",Y1080,IF(U1080&lt;&gt;"",U1080,S1080))</f>
        <v/>
      </c>
      <c r="AE1080" s="21">
        <f>IF(AB1080&lt;&gt;"",AB1080,Z1080)</f>
        <v/>
      </c>
      <c r="AF1080" s="13" t="inlineStr">
        <is>
          <t>P-10 &gt; CVN Refueling Overhauls &gt; Plans                                                                                       -       Various</t>
        </is>
      </c>
      <c r="AG1080" s="7" t="inlineStr">
        <is>
          <t>209</t>
        </is>
      </c>
      <c r="AH1080" s="7" t="inlineStr">
        <is>
          <t>2086</t>
        </is>
      </c>
      <c r="AJ1080" s="7" t="inlineStr">
        <is>
          <t>Plans</t>
        </is>
      </c>
    </row>
    <row r="1081" ht="10" customHeight="1">
      <c r="A1081" s="7" t="inlineStr">
        <is>
          <t>SCN</t>
        </is>
      </c>
      <c r="B1081" s="7" t="inlineStr">
        <is>
          <t>Procurement</t>
        </is>
      </c>
      <c r="D1081" s="7" t="inlineStr">
        <is>
          <t>CVN Refueling Overhauls - P-10 - Basic (Ship)                                                                                -       Various</t>
        </is>
      </c>
      <c r="E1081" s="13" t="inlineStr">
        <is>
          <t>[SUB]</t>
        </is>
      </c>
      <c r="F1081" s="7" t="inlineStr">
        <is>
          <t>2086 / CVN Refueling Overhauls AP</t>
        </is>
      </c>
      <c r="I1081" s="14" t="n">
        <v>5</v>
      </c>
      <c r="J1081" s="7" t="inlineStr">
        <is>
          <t>RCOH</t>
        </is>
      </c>
      <c r="K1081" s="13" t="inlineStr">
        <is>
          <t>USN</t>
        </is>
      </c>
      <c r="L1081" s="7" t="inlineStr">
        <is>
          <t>Combatant Ships</t>
        </is>
      </c>
      <c r="M1081" s="7" t="inlineStr">
        <is>
          <t>Aircraft Carriers</t>
        </is>
      </c>
      <c r="N1081" s="7" t="inlineStr">
        <is>
          <t>CVN</t>
        </is>
      </c>
      <c r="O1081" s="15" t="n"/>
      <c r="P1081" s="16" t="n">
        <v>198653</v>
      </c>
      <c r="S1081" s="16" t="n">
        <v>0</v>
      </c>
      <c r="U1081" s="16" t="n">
        <v>0</v>
      </c>
      <c r="AC1081" s="23">
        <f>IF(OR(E1081="",E1081="[PARENT]"),"ADD",IF(E1081="[ALT_VIEW]","ALT",""))</f>
        <v/>
      </c>
      <c r="AD1081" s="21">
        <f>IF(Y1081&lt;&gt;"",Y1081,IF(U1081&lt;&gt;"",U1081,S1081))</f>
        <v/>
      </c>
      <c r="AE1081" s="21">
        <f>IF(AB1081&lt;&gt;"",AB1081,Z1081)</f>
        <v/>
      </c>
      <c r="AF1081" s="13" t="inlineStr">
        <is>
          <t>P-10 &gt; CVN Refueling Overhauls &gt; Basic (Ship)                                                                                -       Various</t>
        </is>
      </c>
      <c r="AG1081" s="7" t="inlineStr">
        <is>
          <t>209</t>
        </is>
      </c>
      <c r="AH1081" s="7" t="inlineStr">
        <is>
          <t>2086</t>
        </is>
      </c>
      <c r="AJ1081" s="7" t="inlineStr">
        <is>
          <t>Basic (Ship)</t>
        </is>
      </c>
    </row>
    <row r="1082" ht="10" customHeight="1">
      <c r="A1082" s="7" t="inlineStr">
        <is>
          <t>SCN</t>
        </is>
      </c>
      <c r="B1082" s="7" t="inlineStr">
        <is>
          <t>Procurement</t>
        </is>
      </c>
      <c r="D1082" s="7" t="inlineStr">
        <is>
          <t>CVN Refueling Overhauls - P-10 - Basic (Parking Garages)                                                                     -       Various</t>
        </is>
      </c>
      <c r="E1082" s="13" t="inlineStr">
        <is>
          <t>[SUB]</t>
        </is>
      </c>
      <c r="F1082" s="7" t="inlineStr">
        <is>
          <t>2086 / CVN Refueling Overhauls AP</t>
        </is>
      </c>
      <c r="I1082" s="14" t="n">
        <v>5</v>
      </c>
      <c r="J1082" s="7" t="inlineStr">
        <is>
          <t>RCOH</t>
        </is>
      </c>
      <c r="K1082" s="13" t="inlineStr">
        <is>
          <t>USN</t>
        </is>
      </c>
      <c r="L1082" s="7" t="inlineStr">
        <is>
          <t>Combatant Ships</t>
        </is>
      </c>
      <c r="M1082" s="7" t="inlineStr">
        <is>
          <t>Aircraft Carriers</t>
        </is>
      </c>
      <c r="N1082" s="7" t="inlineStr">
        <is>
          <t>CVN</t>
        </is>
      </c>
      <c r="O1082" s="15" t="n"/>
      <c r="P1082" s="16" t="n">
        <v>40000</v>
      </c>
      <c r="S1082" s="16" t="n">
        <v>0</v>
      </c>
      <c r="U1082" s="16" t="n">
        <v>0</v>
      </c>
      <c r="AC1082" s="23">
        <f>IF(OR(E1082="",E1082="[PARENT]"),"ADD",IF(E1082="[ALT_VIEW]","ALT",""))</f>
        <v/>
      </c>
      <c r="AD1082" s="21">
        <f>IF(Y1082&lt;&gt;"",Y1082,IF(U1082&lt;&gt;"",U1082,S1082))</f>
        <v/>
      </c>
      <c r="AE1082" s="21">
        <f>IF(AB1082&lt;&gt;"",AB1082,Z1082)</f>
        <v/>
      </c>
      <c r="AF1082" s="13" t="inlineStr">
        <is>
          <t>P-10 &gt; CVN Refueling Overhauls &gt; Basic (Parking Garages)                                                                     -       Various</t>
        </is>
      </c>
      <c r="AG1082" s="7" t="inlineStr">
        <is>
          <t>209</t>
        </is>
      </c>
      <c r="AH1082" s="7" t="inlineStr">
        <is>
          <t>2086</t>
        </is>
      </c>
      <c r="AJ1082" s="7" t="inlineStr">
        <is>
          <t>Basic (Parking Garages)</t>
        </is>
      </c>
    </row>
    <row r="1083" ht="10" customHeight="1">
      <c r="A1083" s="7" t="inlineStr">
        <is>
          <t>SCN</t>
        </is>
      </c>
      <c r="B1083" s="7" t="inlineStr">
        <is>
          <t>Procurement</t>
        </is>
      </c>
      <c r="D1083" s="7" t="inlineStr">
        <is>
          <t>CVN Refueling Overhauls - P-10 - Basic (Multi-Use Facility)                                                                  -       Various</t>
        </is>
      </c>
      <c r="E1083" s="13" t="inlineStr">
        <is>
          <t>[SUB]</t>
        </is>
      </c>
      <c r="F1083" s="7" t="inlineStr">
        <is>
          <t>2086 / CVN Refueling Overhauls AP</t>
        </is>
      </c>
      <c r="I1083" s="14" t="n">
        <v>5</v>
      </c>
      <c r="J1083" s="7" t="inlineStr">
        <is>
          <t>RCOH</t>
        </is>
      </c>
      <c r="K1083" s="13" t="inlineStr">
        <is>
          <t>USN</t>
        </is>
      </c>
      <c r="L1083" s="7" t="inlineStr">
        <is>
          <t>Combatant Ships</t>
        </is>
      </c>
      <c r="M1083" s="7" t="inlineStr">
        <is>
          <t>Aircraft Carriers</t>
        </is>
      </c>
      <c r="N1083" s="7" t="inlineStr">
        <is>
          <t>CVN</t>
        </is>
      </c>
      <c r="O1083" s="15" t="n"/>
      <c r="P1083" s="16" t="n">
        <v>55000</v>
      </c>
      <c r="S1083" s="16" t="n">
        <v>0</v>
      </c>
      <c r="U1083" s="16" t="n">
        <v>0</v>
      </c>
      <c r="AC1083" s="23">
        <f>IF(OR(E1083="",E1083="[PARENT]"),"ADD",IF(E1083="[ALT_VIEW]","ALT",""))</f>
        <v/>
      </c>
      <c r="AD1083" s="21">
        <f>IF(Y1083&lt;&gt;"",Y1083,IF(U1083&lt;&gt;"",U1083,S1083))</f>
        <v/>
      </c>
      <c r="AE1083" s="21">
        <f>IF(AB1083&lt;&gt;"",AB1083,Z1083)</f>
        <v/>
      </c>
      <c r="AF1083" s="13" t="inlineStr">
        <is>
          <t>P-10 &gt; CVN Refueling Overhauls &gt; Basic (Multi-Use Facility)                                                                  -       Various</t>
        </is>
      </c>
      <c r="AG1083" s="7" t="inlineStr">
        <is>
          <t>209</t>
        </is>
      </c>
      <c r="AH1083" s="7" t="inlineStr">
        <is>
          <t>2086</t>
        </is>
      </c>
      <c r="AJ1083" s="7" t="inlineStr">
        <is>
          <t>Basic (Multi-Use Facility)</t>
        </is>
      </c>
    </row>
    <row r="1084" ht="10" customHeight="1">
      <c r="A1084" s="7" t="inlineStr">
        <is>
          <t>SCN</t>
        </is>
      </c>
      <c r="B1084" s="7" t="inlineStr">
        <is>
          <t>Procurement</t>
        </is>
      </c>
      <c r="D1084" s="7" t="inlineStr">
        <is>
          <t>CVN Refueling Overhauls - P-10 - Other                                                                                       -       Various</t>
        </is>
      </c>
      <c r="E1084" s="13" t="inlineStr">
        <is>
          <t>[SUB]</t>
        </is>
      </c>
      <c r="F1084" s="7" t="inlineStr">
        <is>
          <t>2086 / CVN Refueling Overhauls AP</t>
        </is>
      </c>
      <c r="I1084" s="14" t="n">
        <v>5</v>
      </c>
      <c r="J1084" s="7" t="inlineStr">
        <is>
          <t>RCOH</t>
        </is>
      </c>
      <c r="K1084" s="13" t="inlineStr">
        <is>
          <t>USN</t>
        </is>
      </c>
      <c r="L1084" s="7" t="inlineStr">
        <is>
          <t>Combatant Ships</t>
        </is>
      </c>
      <c r="M1084" s="7" t="inlineStr">
        <is>
          <t>Aircraft Carriers</t>
        </is>
      </c>
      <c r="N1084" s="7" t="inlineStr">
        <is>
          <t>CVN</t>
        </is>
      </c>
      <c r="O1084" s="15" t="n"/>
      <c r="P1084" s="16" t="n">
        <v>1445</v>
      </c>
      <c r="S1084" s="16" t="n">
        <v>0</v>
      </c>
      <c r="U1084" s="16" t="n">
        <v>0</v>
      </c>
      <c r="AC1084" s="23">
        <f>IF(OR(E1084="",E1084="[PARENT]"),"ADD",IF(E1084="[ALT_VIEW]","ALT",""))</f>
        <v/>
      </c>
      <c r="AD1084" s="21">
        <f>IF(Y1084&lt;&gt;"",Y1084,IF(U1084&lt;&gt;"",U1084,S1084))</f>
        <v/>
      </c>
      <c r="AE1084" s="21">
        <f>IF(AB1084&lt;&gt;"",AB1084,Z1084)</f>
        <v/>
      </c>
      <c r="AF1084" s="13" t="inlineStr">
        <is>
          <t>P-10 &gt; CVN Refueling Overhauls &gt; Other                                                                                       -       Various</t>
        </is>
      </c>
      <c r="AG1084" s="7" t="inlineStr">
        <is>
          <t>209</t>
        </is>
      </c>
      <c r="AH1084" s="7" t="inlineStr">
        <is>
          <t>2086</t>
        </is>
      </c>
      <c r="AJ1084" s="7" t="inlineStr">
        <is>
          <t>Other</t>
        </is>
      </c>
    </row>
    <row r="1085" ht="10" customHeight="1">
      <c r="A1085" s="7" t="inlineStr">
        <is>
          <t>SCN</t>
        </is>
      </c>
      <c r="B1085" s="7" t="inlineStr">
        <is>
          <t>Procurement</t>
        </is>
      </c>
      <c r="D1085" s="7" t="inlineStr">
        <is>
          <t>CVN Refueling Overhauls - P-10 - Propulsion Equipment                                                                        -       Various</t>
        </is>
      </c>
      <c r="E1085" s="13" t="inlineStr">
        <is>
          <t>[SUB]</t>
        </is>
      </c>
      <c r="F1085" s="7" t="inlineStr">
        <is>
          <t>2086 / CVN Refueling Overhauls AP</t>
        </is>
      </c>
      <c r="I1085" s="14" t="n">
        <v>5</v>
      </c>
      <c r="J1085" s="7" t="inlineStr">
        <is>
          <t>RCOH</t>
        </is>
      </c>
      <c r="K1085" s="13" t="inlineStr">
        <is>
          <t>USN</t>
        </is>
      </c>
      <c r="L1085" s="7" t="inlineStr">
        <is>
          <t>Combatant Ships</t>
        </is>
      </c>
      <c r="M1085" s="7" t="inlineStr">
        <is>
          <t>Aircraft Carriers</t>
        </is>
      </c>
      <c r="N1085" s="7" t="inlineStr">
        <is>
          <t>CVN</t>
        </is>
      </c>
      <c r="O1085" s="15" t="n"/>
      <c r="P1085" s="16" t="n">
        <v>21800</v>
      </c>
      <c r="S1085" s="16" t="n">
        <v>0</v>
      </c>
      <c r="U1085" s="16" t="n">
        <v>0</v>
      </c>
      <c r="AC1085" s="23">
        <f>IF(OR(E1085="",E1085="[PARENT]"),"ADD",IF(E1085="[ALT_VIEW]","ALT",""))</f>
        <v/>
      </c>
      <c r="AD1085" s="21">
        <f>IF(Y1085&lt;&gt;"",Y1085,IF(U1085&lt;&gt;"",U1085,S1085))</f>
        <v/>
      </c>
      <c r="AE1085" s="21">
        <f>IF(AB1085&lt;&gt;"",AB1085,Z1085)</f>
        <v/>
      </c>
      <c r="AF1085" s="13" t="inlineStr">
        <is>
          <t>P-10 &gt; CVN Refueling Overhauls &gt; Propulsion Equipment                                                                        -       Various</t>
        </is>
      </c>
      <c r="AG1085" s="7" t="inlineStr">
        <is>
          <t>209</t>
        </is>
      </c>
      <c r="AH1085" s="7" t="inlineStr">
        <is>
          <t>2086</t>
        </is>
      </c>
      <c r="AJ1085" s="7" t="inlineStr">
        <is>
          <t>Propulsion Equipment</t>
        </is>
      </c>
    </row>
    <row r="1086" ht="10" customHeight="1">
      <c r="A1086" s="7" t="inlineStr">
        <is>
          <t>SCN</t>
        </is>
      </c>
      <c r="B1086" s="7" t="inlineStr">
        <is>
          <t>Procurement</t>
        </is>
      </c>
      <c r="D1086" s="7" t="inlineStr">
        <is>
          <t>CVN Refueling Overhauls - P-10 - HM&amp;E                                                                                        -       Various</t>
        </is>
      </c>
      <c r="E1086" s="13" t="inlineStr">
        <is>
          <t>[SUB]</t>
        </is>
      </c>
      <c r="F1086" s="7" t="inlineStr">
        <is>
          <t>2086 / CVN Refueling Overhauls AP</t>
        </is>
      </c>
      <c r="I1086" s="14" t="n">
        <v>5</v>
      </c>
      <c r="J1086" s="7" t="inlineStr">
        <is>
          <t>RCOH</t>
        </is>
      </c>
      <c r="K1086" s="13" t="inlineStr">
        <is>
          <t>USN</t>
        </is>
      </c>
      <c r="L1086" s="7" t="inlineStr">
        <is>
          <t>Combatant Ships</t>
        </is>
      </c>
      <c r="M1086" s="7" t="inlineStr">
        <is>
          <t>Aircraft Carriers</t>
        </is>
      </c>
      <c r="N1086" s="7" t="inlineStr">
        <is>
          <t>CVN</t>
        </is>
      </c>
      <c r="O1086" s="15" t="n"/>
      <c r="P1086" s="16" t="n">
        <v>29622</v>
      </c>
      <c r="S1086" s="16" t="n">
        <v>0</v>
      </c>
      <c r="U1086" s="16" t="n">
        <v>0</v>
      </c>
      <c r="AC1086" s="23">
        <f>IF(OR(E1086="",E1086="[PARENT]"),"ADD",IF(E1086="[ALT_VIEW]","ALT",""))</f>
        <v/>
      </c>
      <c r="AD1086" s="21">
        <f>IF(Y1086&lt;&gt;"",Y1086,IF(U1086&lt;&gt;"",U1086,S1086))</f>
        <v/>
      </c>
      <c r="AE1086" s="21">
        <f>IF(AB1086&lt;&gt;"",AB1086,Z1086)</f>
        <v/>
      </c>
      <c r="AF1086" s="13" t="inlineStr">
        <is>
          <t>P-10 &gt; CVN Refueling Overhauls &gt; HM&amp;E                                                                                        -       Various</t>
        </is>
      </c>
      <c r="AG1086" s="7" t="inlineStr">
        <is>
          <t>209</t>
        </is>
      </c>
      <c r="AH1086" s="7" t="inlineStr">
        <is>
          <t>2086</t>
        </is>
      </c>
      <c r="AJ1086" s="7" t="inlineStr">
        <is>
          <t>HM&amp;E</t>
        </is>
      </c>
    </row>
    <row r="1087" ht="10" customHeight="1">
      <c r="A1087" s="7" t="inlineStr">
        <is>
          <t>SCN</t>
        </is>
      </c>
      <c r="B1087" s="7" t="inlineStr">
        <is>
          <t>Procurement</t>
        </is>
      </c>
      <c r="D1087" s="7" t="inlineStr">
        <is>
          <t>CVN Refueling Overhauls - P-10 - Electronics                                                                                 -       Various</t>
        </is>
      </c>
      <c r="E1087" s="13" t="inlineStr">
        <is>
          <t>[SUB]</t>
        </is>
      </c>
      <c r="F1087" s="7" t="inlineStr">
        <is>
          <t>2086 / CVN Refueling Overhauls AP</t>
        </is>
      </c>
      <c r="I1087" s="14" t="n">
        <v>5</v>
      </c>
      <c r="J1087" s="7" t="inlineStr">
        <is>
          <t>RCOH</t>
        </is>
      </c>
      <c r="K1087" s="13" t="inlineStr">
        <is>
          <t>USN</t>
        </is>
      </c>
      <c r="L1087" s="7" t="inlineStr">
        <is>
          <t>Combatant Ships</t>
        </is>
      </c>
      <c r="M1087" s="7" t="inlineStr">
        <is>
          <t>Aircraft Carriers</t>
        </is>
      </c>
      <c r="N1087" s="7" t="inlineStr">
        <is>
          <t>CVN</t>
        </is>
      </c>
      <c r="O1087" s="15" t="n"/>
      <c r="P1087" s="16" t="n">
        <v>84236</v>
      </c>
      <c r="S1087" s="16" t="n">
        <v>0</v>
      </c>
      <c r="U1087" s="16" t="n">
        <v>0</v>
      </c>
      <c r="AC1087" s="23">
        <f>IF(OR(E1087="",E1087="[PARENT]"),"ADD",IF(E1087="[ALT_VIEW]","ALT",""))</f>
        <v/>
      </c>
      <c r="AD1087" s="21">
        <f>IF(Y1087&lt;&gt;"",Y1087,IF(U1087&lt;&gt;"",U1087,S1087))</f>
        <v/>
      </c>
      <c r="AE1087" s="21">
        <f>IF(AB1087&lt;&gt;"",AB1087,Z1087)</f>
        <v/>
      </c>
      <c r="AF1087" s="13" t="inlineStr">
        <is>
          <t>P-10 &gt; CVN Refueling Overhauls &gt; Electronics                                                                                 -       Various</t>
        </is>
      </c>
      <c r="AG1087" s="7" t="inlineStr">
        <is>
          <t>209</t>
        </is>
      </c>
      <c r="AH1087" s="7" t="inlineStr">
        <is>
          <t>2086</t>
        </is>
      </c>
    </row>
    <row r="1088" ht="10" customHeight="1">
      <c r="A1088" s="7" t="inlineStr">
        <is>
          <t>SCN</t>
        </is>
      </c>
      <c r="B1088" s="7" t="inlineStr">
        <is>
          <t>Procurement</t>
        </is>
      </c>
      <c r="D1088" s="7" t="inlineStr">
        <is>
          <t>CVN Refueling Overhauls - P-10 - Ordnance                                                                                    -       Various</t>
        </is>
      </c>
      <c r="E1088" s="13" t="inlineStr">
        <is>
          <t>[SUB]</t>
        </is>
      </c>
      <c r="F1088" s="7" t="inlineStr">
        <is>
          <t>2086 / CVN Refueling Overhauls AP</t>
        </is>
      </c>
      <c r="I1088" s="14" t="n">
        <v>5</v>
      </c>
      <c r="J1088" s="7" t="inlineStr">
        <is>
          <t>RCOH</t>
        </is>
      </c>
      <c r="K1088" s="13" t="inlineStr">
        <is>
          <t>USN</t>
        </is>
      </c>
      <c r="L1088" s="7" t="inlineStr">
        <is>
          <t>Combatant Ships</t>
        </is>
      </c>
      <c r="M1088" s="7" t="inlineStr">
        <is>
          <t>Aircraft Carriers</t>
        </is>
      </c>
      <c r="N1088" s="7" t="inlineStr">
        <is>
          <t>CVN</t>
        </is>
      </c>
      <c r="O1088" s="15" t="n"/>
      <c r="P1088" s="16" t="n">
        <v>50444</v>
      </c>
      <c r="S1088" s="16" t="n">
        <v>0</v>
      </c>
      <c r="U1088" s="16" t="n">
        <v>0</v>
      </c>
      <c r="AC1088" s="23">
        <f>IF(OR(E1088="",E1088="[PARENT]"),"ADD",IF(E1088="[ALT_VIEW]","ALT",""))</f>
        <v/>
      </c>
      <c r="AD1088" s="21">
        <f>IF(Y1088&lt;&gt;"",Y1088,IF(U1088&lt;&gt;"",U1088,S1088))</f>
        <v/>
      </c>
      <c r="AE1088" s="21">
        <f>IF(AB1088&lt;&gt;"",AB1088,Z1088)</f>
        <v/>
      </c>
      <c r="AF1088" s="13" t="inlineStr">
        <is>
          <t>P-10 &gt; CVN Refueling Overhauls &gt; Ordnance                                                                                    -       Various</t>
        </is>
      </c>
      <c r="AG1088" s="7" t="inlineStr">
        <is>
          <t>209</t>
        </is>
      </c>
      <c r="AH1088" s="7" t="inlineStr">
        <is>
          <t>2086</t>
        </is>
      </c>
      <c r="AJ1088" s="7" t="inlineStr">
        <is>
          <t>Ordnance</t>
        </is>
      </c>
    </row>
    <row r="1089" ht="10" customHeight="1">
      <c r="A1089" s="7" t="inlineStr">
        <is>
          <t>SCN</t>
        </is>
      </c>
      <c r="B1089" s="7" t="inlineStr">
        <is>
          <t>Procurement</t>
        </is>
      </c>
      <c r="D1089" s="7" t="inlineStr">
        <is>
          <t>DDG 1000 - P-5c - Plan Costs</t>
        </is>
      </c>
      <c r="E1089" s="13" t="inlineStr">
        <is>
          <t>[ALT_VIEW]</t>
        </is>
      </c>
      <c r="F1089" s="7" t="inlineStr">
        <is>
          <t>2119 / DDG 1000</t>
        </is>
      </c>
      <c r="G1089" s="7" t="inlineStr">
        <is>
          <t>P-5c</t>
        </is>
      </c>
      <c r="H1089" s="7" t="inlineStr">
        <is>
          <t>Plan Costs</t>
        </is>
      </c>
      <c r="I1089" s="14" t="n">
        <v>1</v>
      </c>
      <c r="J1089" s="7" t="inlineStr">
        <is>
          <t>Full ship DD&amp;C</t>
        </is>
      </c>
      <c r="K1089" s="13" t="inlineStr">
        <is>
          <t>USN</t>
        </is>
      </c>
      <c r="L1089" s="7" t="inlineStr">
        <is>
          <t>Combatant Ships</t>
        </is>
      </c>
      <c r="M1089" s="7" t="inlineStr">
        <is>
          <t>Surface Combatants</t>
        </is>
      </c>
      <c r="N1089" s="7" t="inlineStr">
        <is>
          <t>DDG</t>
        </is>
      </c>
      <c r="O1089" s="15" t="n"/>
      <c r="AC1089" s="23">
        <f>IF(OR(E1089="",E1089="[PARENT]"),"ADD",IF(E1089="[ALT_VIEW]","ALT",""))</f>
        <v/>
      </c>
      <c r="AD1089" s="21">
        <f>IF(Y1089&lt;&gt;"",Y1089,IF(U1089&lt;&gt;"",U1089,S1089))</f>
        <v/>
      </c>
      <c r="AE1089" s="21">
        <f>IF(AB1089&lt;&gt;"",AB1089,Z1089)</f>
        <v/>
      </c>
      <c r="AF1089" s="13" t="inlineStr">
        <is>
          <t>P-5c &gt; DDG 1000 &gt; Plan Costs</t>
        </is>
      </c>
      <c r="AG1089" s="7" t="inlineStr">
        <is>
          <t>214</t>
        </is>
      </c>
      <c r="AH1089" s="7" t="inlineStr">
        <is>
          <t>2119</t>
        </is>
      </c>
      <c r="AJ1089" s="7" t="inlineStr">
        <is>
          <t>Plan</t>
        </is>
      </c>
    </row>
    <row r="1090" ht="10" customHeight="1">
      <c r="A1090" s="7" t="inlineStr">
        <is>
          <t>SCN</t>
        </is>
      </c>
      <c r="B1090" s="7" t="inlineStr">
        <is>
          <t>Procurement</t>
        </is>
      </c>
      <c r="D1090" s="7" t="inlineStr">
        <is>
          <t>DDG 1000 - P-5c - Basic Construction</t>
        </is>
      </c>
      <c r="E1090" s="13" t="inlineStr">
        <is>
          <t>[ALT_VIEW]</t>
        </is>
      </c>
      <c r="F1090" s="7" t="inlineStr">
        <is>
          <t>2119 / DDG 1000</t>
        </is>
      </c>
      <c r="G1090" s="7" t="inlineStr">
        <is>
          <t>P-5c</t>
        </is>
      </c>
      <c r="H1090" s="7" t="inlineStr">
        <is>
          <t>Basic Construction</t>
        </is>
      </c>
      <c r="I1090" s="14" t="n">
        <v>1</v>
      </c>
      <c r="J1090" s="7" t="inlineStr">
        <is>
          <t>Full ship DD&amp;C</t>
        </is>
      </c>
      <c r="K1090" s="13" t="inlineStr">
        <is>
          <t>USN</t>
        </is>
      </c>
      <c r="L1090" s="7" t="inlineStr">
        <is>
          <t>Combatant Ships</t>
        </is>
      </c>
      <c r="M1090" s="7" t="inlineStr">
        <is>
          <t>Surface Combatants</t>
        </is>
      </c>
      <c r="N1090" s="7" t="inlineStr">
        <is>
          <t>DDG</t>
        </is>
      </c>
      <c r="O1090" s="15" t="n"/>
      <c r="AC1090" s="23">
        <f>IF(OR(E1090="",E1090="[PARENT]"),"ADD",IF(E1090="[ALT_VIEW]","ALT",""))</f>
        <v/>
      </c>
      <c r="AD1090" s="21">
        <f>IF(Y1090&lt;&gt;"",Y1090,IF(U1090&lt;&gt;"",U1090,S1090))</f>
        <v/>
      </c>
      <c r="AE1090" s="21">
        <f>IF(AB1090&lt;&gt;"",AB1090,Z1090)</f>
        <v/>
      </c>
      <c r="AF1090" s="13" t="inlineStr">
        <is>
          <t>P-5c &gt; DDG 1000 &gt; Basic Construction</t>
        </is>
      </c>
      <c r="AG1090" s="7" t="inlineStr">
        <is>
          <t>214</t>
        </is>
      </c>
      <c r="AH1090" s="7" t="inlineStr">
        <is>
          <t>2119</t>
        </is>
      </c>
      <c r="AJ1090" s="7" t="inlineStr">
        <is>
          <t>Basic Construction</t>
        </is>
      </c>
    </row>
    <row r="1091" ht="10" customHeight="1">
      <c r="A1091" s="7" t="inlineStr">
        <is>
          <t>SCN</t>
        </is>
      </c>
      <c r="B1091" s="7" t="inlineStr">
        <is>
          <t>Procurement</t>
        </is>
      </c>
      <c r="D1091" s="7" t="inlineStr">
        <is>
          <t>DDG 1000 - P-5c - Change Orders</t>
        </is>
      </c>
      <c r="E1091" s="13" t="inlineStr">
        <is>
          <t>[ALT_VIEW]</t>
        </is>
      </c>
      <c r="F1091" s="7" t="inlineStr">
        <is>
          <t>2119 / DDG 1000</t>
        </is>
      </c>
      <c r="G1091" s="7" t="inlineStr">
        <is>
          <t>P-5c</t>
        </is>
      </c>
      <c r="H1091" s="7" t="inlineStr">
        <is>
          <t>Change Orders</t>
        </is>
      </c>
      <c r="I1091" s="14" t="n">
        <v>1</v>
      </c>
      <c r="J1091" s="7" t="inlineStr">
        <is>
          <t>Full ship DD&amp;C</t>
        </is>
      </c>
      <c r="K1091" s="13" t="inlineStr">
        <is>
          <t>USN</t>
        </is>
      </c>
      <c r="L1091" s="7" t="inlineStr">
        <is>
          <t>Combatant Ships</t>
        </is>
      </c>
      <c r="M1091" s="7" t="inlineStr">
        <is>
          <t>Surface Combatants</t>
        </is>
      </c>
      <c r="N1091" s="7" t="inlineStr">
        <is>
          <t>DDG</t>
        </is>
      </c>
      <c r="O1091" s="15" t="n"/>
      <c r="AC1091" s="23">
        <f>IF(OR(E1091="",E1091="[PARENT]"),"ADD",IF(E1091="[ALT_VIEW]","ALT",""))</f>
        <v/>
      </c>
      <c r="AD1091" s="21">
        <f>IF(Y1091&lt;&gt;"",Y1091,IF(U1091&lt;&gt;"",U1091,S1091))</f>
        <v/>
      </c>
      <c r="AE1091" s="21">
        <f>IF(AB1091&lt;&gt;"",AB1091,Z1091)</f>
        <v/>
      </c>
      <c r="AF1091" s="13" t="inlineStr">
        <is>
          <t>P-5c &gt; DDG 1000 &gt; Change Orders</t>
        </is>
      </c>
      <c r="AG1091" s="7" t="inlineStr">
        <is>
          <t>214</t>
        </is>
      </c>
      <c r="AH1091" s="7" t="inlineStr">
        <is>
          <t>2119</t>
        </is>
      </c>
      <c r="AJ1091" s="7" t="inlineStr">
        <is>
          <t>Change Orders</t>
        </is>
      </c>
    </row>
    <row r="1092" ht="10" customHeight="1">
      <c r="A1092" s="7" t="inlineStr">
        <is>
          <t>SCN</t>
        </is>
      </c>
      <c r="B1092" s="7" t="inlineStr">
        <is>
          <t>Procurement</t>
        </is>
      </c>
      <c r="D1092" s="7" t="inlineStr">
        <is>
          <t>DDG 1000 - P-5c - Electronics</t>
        </is>
      </c>
      <c r="E1092" s="13" t="inlineStr">
        <is>
          <t>[ALT_VIEW]</t>
        </is>
      </c>
      <c r="F1092" s="7" t="inlineStr">
        <is>
          <t>2119 / DDG 1000</t>
        </is>
      </c>
      <c r="G1092" s="7" t="inlineStr">
        <is>
          <t>P-5c</t>
        </is>
      </c>
      <c r="H1092" s="7" t="inlineStr">
        <is>
          <t>Electronics</t>
        </is>
      </c>
      <c r="I1092" s="14" t="n">
        <v>1</v>
      </c>
      <c r="J1092" s="7" t="inlineStr">
        <is>
          <t>Full ship DD&amp;C</t>
        </is>
      </c>
      <c r="K1092" s="13" t="inlineStr">
        <is>
          <t>USN</t>
        </is>
      </c>
      <c r="L1092" s="7" t="inlineStr">
        <is>
          <t>Combatant Ships</t>
        </is>
      </c>
      <c r="M1092" s="7" t="inlineStr">
        <is>
          <t>Surface Combatants</t>
        </is>
      </c>
      <c r="N1092" s="7" t="inlineStr">
        <is>
          <t>DDG</t>
        </is>
      </c>
      <c r="O1092" s="15" t="n"/>
      <c r="AC1092" s="23">
        <f>IF(OR(E1092="",E1092="[PARENT]"),"ADD",IF(E1092="[ALT_VIEW]","ALT",""))</f>
        <v/>
      </c>
      <c r="AD1092" s="21">
        <f>IF(Y1092&lt;&gt;"",Y1092,IF(U1092&lt;&gt;"",U1092,S1092))</f>
        <v/>
      </c>
      <c r="AE1092" s="21">
        <f>IF(AB1092&lt;&gt;"",AB1092,Z1092)</f>
        <v/>
      </c>
      <c r="AF1092" s="13" t="inlineStr">
        <is>
          <t>P-5c &gt; DDG 1000 &gt; Electronics</t>
        </is>
      </c>
      <c r="AG1092" s="7" t="inlineStr">
        <is>
          <t>214</t>
        </is>
      </c>
      <c r="AH1092" s="7" t="inlineStr">
        <is>
          <t>2119</t>
        </is>
      </c>
    </row>
    <row r="1093" ht="10" customHeight="1">
      <c r="A1093" s="7" t="inlineStr">
        <is>
          <t>SCN</t>
        </is>
      </c>
      <c r="B1093" s="7" t="inlineStr">
        <is>
          <t>Procurement</t>
        </is>
      </c>
      <c r="D1093" s="7" t="inlineStr">
        <is>
          <t>DDG 1000 - P-5c - Hull, Mechanical, and Electrical</t>
        </is>
      </c>
      <c r="E1093" s="13" t="inlineStr">
        <is>
          <t>[ALT_VIEW]</t>
        </is>
      </c>
      <c r="F1093" s="7" t="inlineStr">
        <is>
          <t>2119 / DDG 1000</t>
        </is>
      </c>
      <c r="G1093" s="7" t="inlineStr">
        <is>
          <t>P-5c</t>
        </is>
      </c>
      <c r="H1093" s="7" t="inlineStr">
        <is>
          <t>Hull, Mechanical, and Electrical</t>
        </is>
      </c>
      <c r="I1093" s="14" t="n">
        <v>1</v>
      </c>
      <c r="J1093" s="7" t="inlineStr">
        <is>
          <t>Full ship DD&amp;C</t>
        </is>
      </c>
      <c r="K1093" s="13" t="inlineStr">
        <is>
          <t>USN</t>
        </is>
      </c>
      <c r="L1093" s="7" t="inlineStr">
        <is>
          <t>Combatant Ships</t>
        </is>
      </c>
      <c r="M1093" s="7" t="inlineStr">
        <is>
          <t>Surface Combatants</t>
        </is>
      </c>
      <c r="N1093" s="7" t="inlineStr">
        <is>
          <t>DDG</t>
        </is>
      </c>
      <c r="O1093" s="15" t="n"/>
      <c r="AC1093" s="23">
        <f>IF(OR(E1093="",E1093="[PARENT]"),"ADD",IF(E1093="[ALT_VIEW]","ALT",""))</f>
        <v/>
      </c>
      <c r="AD1093" s="21">
        <f>IF(Y1093&lt;&gt;"",Y1093,IF(U1093&lt;&gt;"",U1093,S1093))</f>
        <v/>
      </c>
      <c r="AE1093" s="21">
        <f>IF(AB1093&lt;&gt;"",AB1093,Z1093)</f>
        <v/>
      </c>
      <c r="AF1093" s="13" t="inlineStr">
        <is>
          <t>P-5c &gt; DDG 1000 &gt; Hull, Mechanical, and Electrical</t>
        </is>
      </c>
      <c r="AG1093" s="7" t="inlineStr">
        <is>
          <t>214</t>
        </is>
      </c>
      <c r="AH1093" s="7" t="inlineStr">
        <is>
          <t>2119</t>
        </is>
      </c>
    </row>
    <row r="1094" ht="10" customHeight="1">
      <c r="A1094" s="7" t="inlineStr">
        <is>
          <t>SCN</t>
        </is>
      </c>
      <c r="B1094" s="7" t="inlineStr">
        <is>
          <t>Procurement</t>
        </is>
      </c>
      <c r="D1094" s="7" t="inlineStr">
        <is>
          <t>DDG 1000 - P-5c - Ordnance</t>
        </is>
      </c>
      <c r="E1094" s="13" t="inlineStr">
        <is>
          <t>[ALT_VIEW]</t>
        </is>
      </c>
      <c r="F1094" s="7" t="inlineStr">
        <is>
          <t>2119 / DDG 1000</t>
        </is>
      </c>
      <c r="G1094" s="7" t="inlineStr">
        <is>
          <t>P-5c</t>
        </is>
      </c>
      <c r="H1094" s="7" t="inlineStr">
        <is>
          <t>Ordnance</t>
        </is>
      </c>
      <c r="I1094" s="14" t="n">
        <v>1</v>
      </c>
      <c r="J1094" s="7" t="inlineStr">
        <is>
          <t>Full ship DD&amp;C</t>
        </is>
      </c>
      <c r="K1094" s="13" t="inlineStr">
        <is>
          <t>USN</t>
        </is>
      </c>
      <c r="L1094" s="7" t="inlineStr">
        <is>
          <t>Combatant Ships</t>
        </is>
      </c>
      <c r="M1094" s="7" t="inlineStr">
        <is>
          <t>Surface Combatants</t>
        </is>
      </c>
      <c r="N1094" s="7" t="inlineStr">
        <is>
          <t>DDG</t>
        </is>
      </c>
      <c r="O1094" s="15" t="n"/>
      <c r="AC1094" s="23">
        <f>IF(OR(E1094="",E1094="[PARENT]"),"ADD",IF(E1094="[ALT_VIEW]","ALT",""))</f>
        <v/>
      </c>
      <c r="AD1094" s="21">
        <f>IF(Y1094&lt;&gt;"",Y1094,IF(U1094&lt;&gt;"",U1094,S1094))</f>
        <v/>
      </c>
      <c r="AE1094" s="21">
        <f>IF(AB1094&lt;&gt;"",AB1094,Z1094)</f>
        <v/>
      </c>
      <c r="AF1094" s="13" t="inlineStr">
        <is>
          <t>P-5c &gt; DDG 1000 &gt; Ordnance</t>
        </is>
      </c>
      <c r="AG1094" s="7" t="inlineStr">
        <is>
          <t>214</t>
        </is>
      </c>
      <c r="AH1094" s="7" t="inlineStr">
        <is>
          <t>2119</t>
        </is>
      </c>
    </row>
    <row r="1095" ht="10" customHeight="1">
      <c r="A1095" s="7" t="inlineStr">
        <is>
          <t>SCN</t>
        </is>
      </c>
      <c r="B1095" s="7" t="inlineStr">
        <is>
          <t>Procurement</t>
        </is>
      </c>
      <c r="D1095" s="7" t="inlineStr">
        <is>
          <t>DDG 1000 - P-5c - Other Cost</t>
        </is>
      </c>
      <c r="E1095" s="13" t="inlineStr">
        <is>
          <t>[ALT_VIEW]</t>
        </is>
      </c>
      <c r="F1095" s="7" t="inlineStr">
        <is>
          <t>2119 / DDG 1000</t>
        </is>
      </c>
      <c r="G1095" s="7" t="inlineStr">
        <is>
          <t>P-5c</t>
        </is>
      </c>
      <c r="H1095" s="7" t="inlineStr">
        <is>
          <t>Other Cost</t>
        </is>
      </c>
      <c r="I1095" s="14" t="n">
        <v>1</v>
      </c>
      <c r="J1095" s="7" t="inlineStr">
        <is>
          <t>Full ship DD&amp;C</t>
        </is>
      </c>
      <c r="K1095" s="13" t="inlineStr">
        <is>
          <t>USN</t>
        </is>
      </c>
      <c r="L1095" s="7" t="inlineStr">
        <is>
          <t>Combatant Ships</t>
        </is>
      </c>
      <c r="M1095" s="7" t="inlineStr">
        <is>
          <t>Surface Combatants</t>
        </is>
      </c>
      <c r="N1095" s="7" t="inlineStr">
        <is>
          <t>DDG</t>
        </is>
      </c>
      <c r="O1095" s="15" t="n"/>
      <c r="AC1095" s="23">
        <f>IF(OR(E1095="",E1095="[PARENT]"),"ADD",IF(E1095="[ALT_VIEW]","ALT",""))</f>
        <v/>
      </c>
      <c r="AD1095" s="21">
        <f>IF(Y1095&lt;&gt;"",Y1095,IF(U1095&lt;&gt;"",U1095,S1095))</f>
        <v/>
      </c>
      <c r="AE1095" s="21">
        <f>IF(AB1095&lt;&gt;"",AB1095,Z1095)</f>
        <v/>
      </c>
      <c r="AF1095" s="13" t="inlineStr">
        <is>
          <t>P-5c &gt; DDG 1000 &gt; Other Cost</t>
        </is>
      </c>
      <c r="AG1095" s="7" t="inlineStr">
        <is>
          <t>214</t>
        </is>
      </c>
      <c r="AH1095" s="7" t="inlineStr">
        <is>
          <t>2119</t>
        </is>
      </c>
    </row>
    <row r="1096" ht="10" customHeight="1">
      <c r="A1096" s="7" t="inlineStr">
        <is>
          <t>SCN</t>
        </is>
      </c>
      <c r="B1096" s="7" t="inlineStr">
        <is>
          <t>Procurement</t>
        </is>
      </c>
      <c r="D1096" s="7" t="inlineStr">
        <is>
          <t>DDG 1000 - P-8a Electronics - EXTERIOR COMMUNICATIONS (EXCOMMS) 1</t>
        </is>
      </c>
      <c r="E1096" s="13" t="inlineStr">
        <is>
          <t>[ALT_VIEW]</t>
        </is>
      </c>
      <c r="F1096" s="7" t="inlineStr">
        <is>
          <t>2119 / DDG 1000</t>
        </is>
      </c>
      <c r="G1096" s="7" t="inlineStr">
        <is>
          <t>P-8a</t>
        </is>
      </c>
      <c r="H1096" s="7" t="inlineStr">
        <is>
          <t>Electronics</t>
        </is>
      </c>
      <c r="I1096" s="14" t="n">
        <v>1</v>
      </c>
      <c r="J1096" s="7" t="inlineStr">
        <is>
          <t>Full ship DD&amp;C</t>
        </is>
      </c>
      <c r="K1096" s="13" t="inlineStr">
        <is>
          <t>USN</t>
        </is>
      </c>
      <c r="L1096" s="7" t="inlineStr">
        <is>
          <t>Combatant Ships</t>
        </is>
      </c>
      <c r="M1096" s="7" t="inlineStr">
        <is>
          <t>Surface Combatants</t>
        </is>
      </c>
      <c r="N1096" s="7" t="inlineStr">
        <is>
          <t>DDG</t>
        </is>
      </c>
      <c r="O1096" s="15" t="n"/>
      <c r="S1096" s="16" t="n">
        <v>79962</v>
      </c>
      <c r="U1096" s="16" t="n">
        <v>79962</v>
      </c>
      <c r="AC1096" s="23">
        <f>IF(OR(E1096="",E1096="[PARENT]"),"ADD",IF(E1096="[ALT_VIEW]","ALT",""))</f>
        <v/>
      </c>
      <c r="AD1096" s="21">
        <f>IF(Y1096&lt;&gt;"",Y1096,IF(U1096&lt;&gt;"",U1096,S1096))</f>
        <v/>
      </c>
      <c r="AE1096" s="21">
        <f>IF(AB1096&lt;&gt;"",AB1096,Z1096)</f>
        <v/>
      </c>
      <c r="AF1096" s="13" t="inlineStr">
        <is>
          <t>P-8a &gt; DDG 1000 &gt; Electronics &gt; EXTERIOR COMMUNICATIONS (EXCOMMS) 1</t>
        </is>
      </c>
      <c r="AG1096" s="7" t="inlineStr">
        <is>
          <t>217</t>
        </is>
      </c>
      <c r="AH1096" s="7" t="inlineStr">
        <is>
          <t>2119</t>
        </is>
      </c>
      <c r="AJ1096" s="7" t="inlineStr">
        <is>
          <t>EXTERIOR COMMUNICATIONS (EXCOMMS)</t>
        </is>
      </c>
    </row>
    <row r="1097" ht="10" customHeight="1">
      <c r="A1097" s="7" t="inlineStr">
        <is>
          <t>SCN</t>
        </is>
      </c>
      <c r="B1097" s="7" t="inlineStr">
        <is>
          <t>Procurement</t>
        </is>
      </c>
      <c r="D1097" s="7" t="inlineStr">
        <is>
          <t>DDG 1000 - P-8a Electronics - INTEGRATED UNDERSEA WARFARE (IUSW) SYSTEM 1</t>
        </is>
      </c>
      <c r="E1097" s="13" t="inlineStr">
        <is>
          <t>[ALT_VIEW]</t>
        </is>
      </c>
      <c r="F1097" s="7" t="inlineStr">
        <is>
          <t>2119 / DDG 1000</t>
        </is>
      </c>
      <c r="G1097" s="7" t="inlineStr">
        <is>
          <t>P-8a</t>
        </is>
      </c>
      <c r="H1097" s="7" t="inlineStr">
        <is>
          <t>Electronics</t>
        </is>
      </c>
      <c r="I1097" s="14" t="n">
        <v>1</v>
      </c>
      <c r="J1097" s="7" t="inlineStr">
        <is>
          <t>Full ship DD&amp;C</t>
        </is>
      </c>
      <c r="K1097" s="13" t="inlineStr">
        <is>
          <t>USN</t>
        </is>
      </c>
      <c r="L1097" s="7" t="inlineStr">
        <is>
          <t>Combatant Ships</t>
        </is>
      </c>
      <c r="M1097" s="7" t="inlineStr">
        <is>
          <t>Surface Combatants</t>
        </is>
      </c>
      <c r="N1097" s="7" t="inlineStr">
        <is>
          <t>DDG</t>
        </is>
      </c>
      <c r="O1097" s="15" t="n"/>
      <c r="S1097" s="16" t="n">
        <v>105136</v>
      </c>
      <c r="U1097" s="16" t="n">
        <v>105136</v>
      </c>
      <c r="AC1097" s="23">
        <f>IF(OR(E1097="",E1097="[PARENT]"),"ADD",IF(E1097="[ALT_VIEW]","ALT",""))</f>
        <v/>
      </c>
      <c r="AD1097" s="21">
        <f>IF(Y1097&lt;&gt;"",Y1097,IF(U1097&lt;&gt;"",U1097,S1097))</f>
        <v/>
      </c>
      <c r="AE1097" s="21">
        <f>IF(AB1097&lt;&gt;"",AB1097,Z1097)</f>
        <v/>
      </c>
      <c r="AF1097" s="13" t="inlineStr">
        <is>
          <t>P-8a &gt; DDG 1000 &gt; Electronics &gt; INTEGRATED UNDERSEA WARFARE (IUSW) SYSTEM 1</t>
        </is>
      </c>
      <c r="AG1097" s="7" t="inlineStr">
        <is>
          <t>217</t>
        </is>
      </c>
      <c r="AH1097" s="7" t="inlineStr">
        <is>
          <t>2119</t>
        </is>
      </c>
      <c r="AJ1097" s="7" t="inlineStr">
        <is>
          <t>INTEGRATED UNDERSEA WARFARE (IUSW) SYSTEM</t>
        </is>
      </c>
    </row>
    <row r="1098" ht="10" customHeight="1">
      <c r="A1098" s="7" t="inlineStr">
        <is>
          <t>SCN</t>
        </is>
      </c>
      <c r="B1098" s="7" t="inlineStr">
        <is>
          <t>Procurement</t>
        </is>
      </c>
      <c r="D1098" s="7" t="inlineStr">
        <is>
          <t>DDG 1000 - P-8a Electronics - MULTI FUNCTION RADAR (MFR) 1</t>
        </is>
      </c>
      <c r="E1098" s="13" t="inlineStr">
        <is>
          <t>[ALT_VIEW]</t>
        </is>
      </c>
      <c r="F1098" s="7" t="inlineStr">
        <is>
          <t>2119 / DDG 1000</t>
        </is>
      </c>
      <c r="G1098" s="7" t="inlineStr">
        <is>
          <t>P-8a</t>
        </is>
      </c>
      <c r="H1098" s="7" t="inlineStr">
        <is>
          <t>Electronics</t>
        </is>
      </c>
      <c r="I1098" s="14" t="n">
        <v>1</v>
      </c>
      <c r="J1098" s="7" t="inlineStr">
        <is>
          <t>Full ship DD&amp;C</t>
        </is>
      </c>
      <c r="K1098" s="13" t="inlineStr">
        <is>
          <t>USN</t>
        </is>
      </c>
      <c r="L1098" s="7" t="inlineStr">
        <is>
          <t>Combatant Ships</t>
        </is>
      </c>
      <c r="M1098" s="7" t="inlineStr">
        <is>
          <t>Surface Combatants</t>
        </is>
      </c>
      <c r="N1098" s="7" t="inlineStr">
        <is>
          <t>DDG</t>
        </is>
      </c>
      <c r="O1098" s="15" t="n"/>
      <c r="S1098" s="16" t="n">
        <v>297999</v>
      </c>
      <c r="U1098" s="16" t="n">
        <v>297999</v>
      </c>
      <c r="AC1098" s="23">
        <f>IF(OR(E1098="",E1098="[PARENT]"),"ADD",IF(E1098="[ALT_VIEW]","ALT",""))</f>
        <v/>
      </c>
      <c r="AD1098" s="21">
        <f>IF(Y1098&lt;&gt;"",Y1098,IF(U1098&lt;&gt;"",U1098,S1098))</f>
        <v/>
      </c>
      <c r="AE1098" s="21">
        <f>IF(AB1098&lt;&gt;"",AB1098,Z1098)</f>
        <v/>
      </c>
      <c r="AF1098" s="13" t="inlineStr">
        <is>
          <t>P-8a &gt; DDG 1000 &gt; Electronics &gt; MULTI FUNCTION RADAR (MFR) 1</t>
        </is>
      </c>
      <c r="AG1098" s="7" t="inlineStr">
        <is>
          <t>217</t>
        </is>
      </c>
      <c r="AH1098" s="7" t="inlineStr">
        <is>
          <t>2119</t>
        </is>
      </c>
      <c r="AJ1098" s="7" t="inlineStr">
        <is>
          <t>MULTI FUNCTION RADAR (MFR)</t>
        </is>
      </c>
    </row>
    <row r="1099" ht="10" customHeight="1">
      <c r="A1099" s="7" t="inlineStr">
        <is>
          <t>SCN</t>
        </is>
      </c>
      <c r="B1099" s="7" t="inlineStr">
        <is>
          <t>Procurement</t>
        </is>
      </c>
      <c r="D1099" s="7" t="inlineStr">
        <is>
          <t>DDG 1000 - P-8a Electronics - COMMON ARRAY POWER SYSTEM (CAPS) 1</t>
        </is>
      </c>
      <c r="E1099" s="13" t="inlineStr">
        <is>
          <t>[ALT_VIEW]</t>
        </is>
      </c>
      <c r="F1099" s="7" t="inlineStr">
        <is>
          <t>2119 / DDG 1000</t>
        </is>
      </c>
      <c r="G1099" s="7" t="inlineStr">
        <is>
          <t>P-8a</t>
        </is>
      </c>
      <c r="H1099" s="7" t="inlineStr">
        <is>
          <t>Electronics</t>
        </is>
      </c>
      <c r="I1099" s="14" t="n">
        <v>1</v>
      </c>
      <c r="J1099" s="7" t="inlineStr">
        <is>
          <t>Full ship DD&amp;C</t>
        </is>
      </c>
      <c r="K1099" s="13" t="inlineStr">
        <is>
          <t>USN</t>
        </is>
      </c>
      <c r="L1099" s="7" t="inlineStr">
        <is>
          <t>Combatant Ships</t>
        </is>
      </c>
      <c r="M1099" s="7" t="inlineStr">
        <is>
          <t>Surface Combatants</t>
        </is>
      </c>
      <c r="N1099" s="7" t="inlineStr">
        <is>
          <t>DDG</t>
        </is>
      </c>
      <c r="O1099" s="15" t="n"/>
      <c r="S1099" s="16" t="n">
        <v>16409</v>
      </c>
      <c r="U1099" s="16" t="n">
        <v>16409</v>
      </c>
      <c r="AC1099" s="23">
        <f>IF(OR(E1099="",E1099="[PARENT]"),"ADD",IF(E1099="[ALT_VIEW]","ALT",""))</f>
        <v/>
      </c>
      <c r="AD1099" s="21">
        <f>IF(Y1099&lt;&gt;"",Y1099,IF(U1099&lt;&gt;"",U1099,S1099))</f>
        <v/>
      </c>
      <c r="AE1099" s="21">
        <f>IF(AB1099&lt;&gt;"",AB1099,Z1099)</f>
        <v/>
      </c>
      <c r="AF1099" s="13" t="inlineStr">
        <is>
          <t>P-8a &gt; DDG 1000 &gt; Electronics &gt; COMMON ARRAY POWER SYSTEM (CAPS) 1</t>
        </is>
      </c>
      <c r="AG1099" s="7" t="inlineStr">
        <is>
          <t>217</t>
        </is>
      </c>
      <c r="AH1099" s="7" t="inlineStr">
        <is>
          <t>2119</t>
        </is>
      </c>
      <c r="AJ1099" s="7" t="inlineStr">
        <is>
          <t>COMMON ARRAY POWER SYSTEM (CAPS)</t>
        </is>
      </c>
    </row>
    <row r="1100" ht="10" customHeight="1">
      <c r="A1100" s="7" t="inlineStr">
        <is>
          <t>SCN</t>
        </is>
      </c>
      <c r="B1100" s="7" t="inlineStr">
        <is>
          <t>Procurement</t>
        </is>
      </c>
      <c r="D1100" s="7" t="inlineStr">
        <is>
          <t>DDG 1000 - P-8a Electronics - TOTAL SHIP COMPUTING ENVIRONMENT (TSCE) 1</t>
        </is>
      </c>
      <c r="E1100" s="13" t="inlineStr">
        <is>
          <t>[ALT_VIEW]</t>
        </is>
      </c>
      <c r="F1100" s="7" t="inlineStr">
        <is>
          <t>2119 / DDG 1000</t>
        </is>
      </c>
      <c r="G1100" s="7" t="inlineStr">
        <is>
          <t>P-8a</t>
        </is>
      </c>
      <c r="H1100" s="7" t="inlineStr">
        <is>
          <t>Electronics</t>
        </is>
      </c>
      <c r="I1100" s="14" t="n">
        <v>1</v>
      </c>
      <c r="J1100" s="7" t="inlineStr">
        <is>
          <t>Full ship DD&amp;C</t>
        </is>
      </c>
      <c r="K1100" s="13" t="inlineStr">
        <is>
          <t>USN</t>
        </is>
      </c>
      <c r="L1100" s="7" t="inlineStr">
        <is>
          <t>Combatant Ships</t>
        </is>
      </c>
      <c r="M1100" s="7" t="inlineStr">
        <is>
          <t>Surface Combatants</t>
        </is>
      </c>
      <c r="N1100" s="7" t="inlineStr">
        <is>
          <t>DDG</t>
        </is>
      </c>
      <c r="O1100" s="15" t="n"/>
      <c r="S1100" s="16" t="n">
        <v>259191</v>
      </c>
      <c r="U1100" s="16" t="n">
        <v>259191</v>
      </c>
      <c r="AC1100" s="23">
        <f>IF(OR(E1100="",E1100="[PARENT]"),"ADD",IF(E1100="[ALT_VIEW]","ALT",""))</f>
        <v/>
      </c>
      <c r="AD1100" s="21">
        <f>IF(Y1100&lt;&gt;"",Y1100,IF(U1100&lt;&gt;"",U1100,S1100))</f>
        <v/>
      </c>
      <c r="AE1100" s="21">
        <f>IF(AB1100&lt;&gt;"",AB1100,Z1100)</f>
        <v/>
      </c>
      <c r="AF1100" s="13" t="inlineStr">
        <is>
          <t>P-8a &gt; DDG 1000 &gt; Electronics &gt; TOTAL SHIP COMPUTING ENVIRONMENT (TSCE) 1</t>
        </is>
      </c>
      <c r="AG1100" s="7" t="inlineStr">
        <is>
          <t>217</t>
        </is>
      </c>
      <c r="AH1100" s="7" t="inlineStr">
        <is>
          <t>2119</t>
        </is>
      </c>
      <c r="AJ1100" s="7" t="inlineStr">
        <is>
          <t>TOTAL SHIP COMPUTING ENVIRONMENT (TSCE)</t>
        </is>
      </c>
    </row>
    <row r="1101" ht="10" customHeight="1">
      <c r="A1101" s="7" t="inlineStr">
        <is>
          <t>SCN</t>
        </is>
      </c>
      <c r="B1101" s="7" t="inlineStr">
        <is>
          <t>Procurement</t>
        </is>
      </c>
      <c r="D1101" s="7" t="inlineStr">
        <is>
          <t>DDG 1000 - P-8a Electronics - ELECTRO-OPTICAL / INFRARED (EO/IR) 1</t>
        </is>
      </c>
      <c r="E1101" s="13" t="inlineStr">
        <is>
          <t>[ALT_VIEW]</t>
        </is>
      </c>
      <c r="F1101" s="7" t="inlineStr">
        <is>
          <t>2119 / DDG 1000</t>
        </is>
      </c>
      <c r="G1101" s="7" t="inlineStr">
        <is>
          <t>P-8a</t>
        </is>
      </c>
      <c r="H1101" s="7" t="inlineStr">
        <is>
          <t>Electronics</t>
        </is>
      </c>
      <c r="I1101" s="14" t="n">
        <v>1</v>
      </c>
      <c r="J1101" s="7" t="inlineStr">
        <is>
          <t>Full ship DD&amp;C</t>
        </is>
      </c>
      <c r="K1101" s="13" t="inlineStr">
        <is>
          <t>USN</t>
        </is>
      </c>
      <c r="L1101" s="7" t="inlineStr">
        <is>
          <t>Combatant Ships</t>
        </is>
      </c>
      <c r="M1101" s="7" t="inlineStr">
        <is>
          <t>Surface Combatants</t>
        </is>
      </c>
      <c r="N1101" s="7" t="inlineStr">
        <is>
          <t>DDG</t>
        </is>
      </c>
      <c r="O1101" s="15" t="n"/>
      <c r="S1101" s="16" t="n">
        <v>31452</v>
      </c>
      <c r="U1101" s="16" t="n">
        <v>31452</v>
      </c>
      <c r="AC1101" s="23">
        <f>IF(OR(E1101="",E1101="[PARENT]"),"ADD",IF(E1101="[ALT_VIEW]","ALT",""))</f>
        <v/>
      </c>
      <c r="AD1101" s="21">
        <f>IF(Y1101&lt;&gt;"",Y1101,IF(U1101&lt;&gt;"",U1101,S1101))</f>
        <v/>
      </c>
      <c r="AE1101" s="21">
        <f>IF(AB1101&lt;&gt;"",AB1101,Z1101)</f>
        <v/>
      </c>
      <c r="AF1101" s="13" t="inlineStr">
        <is>
          <t>P-8a &gt; DDG 1000 &gt; Electronics &gt; ELECTRO-OPTICAL / INFRARED (EO/IR) 1</t>
        </is>
      </c>
      <c r="AG1101" s="7" t="inlineStr">
        <is>
          <t>217</t>
        </is>
      </c>
      <c r="AH1101" s="7" t="inlineStr">
        <is>
          <t>2119</t>
        </is>
      </c>
      <c r="AJ1101" s="7" t="inlineStr">
        <is>
          <t>ELECTRO-OPTICAL / INFRARED (EO/IR)</t>
        </is>
      </c>
    </row>
    <row r="1102" ht="10" customHeight="1">
      <c r="A1102" s="7" t="inlineStr">
        <is>
          <t>SCN</t>
        </is>
      </c>
      <c r="B1102" s="7" t="inlineStr">
        <is>
          <t>Procurement</t>
        </is>
      </c>
      <c r="D1102" s="7" t="inlineStr">
        <is>
          <t>DDG 1000 - P-8a Electronics - IDENTIFICATION FRIEND OR FOE (IFF) 1</t>
        </is>
      </c>
      <c r="E1102" s="13" t="inlineStr">
        <is>
          <t>[ALT_VIEW]</t>
        </is>
      </c>
      <c r="F1102" s="7" t="inlineStr">
        <is>
          <t>2119 / DDG 1000</t>
        </is>
      </c>
      <c r="G1102" s="7" t="inlineStr">
        <is>
          <t>P-8a</t>
        </is>
      </c>
      <c r="H1102" s="7" t="inlineStr">
        <is>
          <t>Electronics</t>
        </is>
      </c>
      <c r="I1102" s="14" t="n">
        <v>1</v>
      </c>
      <c r="J1102" s="7" t="inlineStr">
        <is>
          <t>Full ship DD&amp;C</t>
        </is>
      </c>
      <c r="K1102" s="13" t="inlineStr">
        <is>
          <t>USN</t>
        </is>
      </c>
      <c r="L1102" s="7" t="inlineStr">
        <is>
          <t>Combatant Ships</t>
        </is>
      </c>
      <c r="M1102" s="7" t="inlineStr">
        <is>
          <t>Surface Combatants</t>
        </is>
      </c>
      <c r="N1102" s="7" t="inlineStr">
        <is>
          <t>DDG</t>
        </is>
      </c>
      <c r="O1102" s="15" t="n"/>
      <c r="S1102" s="16" t="n">
        <v>28138</v>
      </c>
      <c r="U1102" s="16" t="n">
        <v>28138</v>
      </c>
      <c r="AC1102" s="23">
        <f>IF(OR(E1102="",E1102="[PARENT]"),"ADD",IF(E1102="[ALT_VIEW]","ALT",""))</f>
        <v/>
      </c>
      <c r="AD1102" s="21">
        <f>IF(Y1102&lt;&gt;"",Y1102,IF(U1102&lt;&gt;"",U1102,S1102))</f>
        <v/>
      </c>
      <c r="AE1102" s="21">
        <f>IF(AB1102&lt;&gt;"",AB1102,Z1102)</f>
        <v/>
      </c>
      <c r="AF1102" s="13" t="inlineStr">
        <is>
          <t>P-8a &gt; DDG 1000 &gt; Electronics &gt; IDENTIFICATION FRIEND OR FOE (IFF) 1</t>
        </is>
      </c>
      <c r="AG1102" s="7" t="inlineStr">
        <is>
          <t>217</t>
        </is>
      </c>
      <c r="AH1102" s="7" t="inlineStr">
        <is>
          <t>2119</t>
        </is>
      </c>
      <c r="AJ1102" s="7" t="inlineStr">
        <is>
          <t>IDENTIFICATION FRIEND OR FOE (IFF)</t>
        </is>
      </c>
    </row>
    <row r="1103" ht="10" customHeight="1">
      <c r="A1103" s="7" t="inlineStr">
        <is>
          <t>SCN</t>
        </is>
      </c>
      <c r="B1103" s="7" t="inlineStr">
        <is>
          <t>Procurement</t>
        </is>
      </c>
      <c r="D1103" s="7" t="inlineStr">
        <is>
          <t>DDG 1000 - P-8a Electronics - COMMON ARRAY COOLING SYSTEM (CACS) 1</t>
        </is>
      </c>
      <c r="E1103" s="13" t="inlineStr">
        <is>
          <t>[ALT_VIEW]</t>
        </is>
      </c>
      <c r="F1103" s="7" t="inlineStr">
        <is>
          <t>2119 / DDG 1000</t>
        </is>
      </c>
      <c r="G1103" s="7" t="inlineStr">
        <is>
          <t>P-8a</t>
        </is>
      </c>
      <c r="H1103" s="7" t="inlineStr">
        <is>
          <t>Electronics</t>
        </is>
      </c>
      <c r="I1103" s="14" t="n">
        <v>1</v>
      </c>
      <c r="J1103" s="7" t="inlineStr">
        <is>
          <t>Full ship DD&amp;C</t>
        </is>
      </c>
      <c r="K1103" s="13" t="inlineStr">
        <is>
          <t>USN</t>
        </is>
      </c>
      <c r="L1103" s="7" t="inlineStr">
        <is>
          <t>Combatant Ships</t>
        </is>
      </c>
      <c r="M1103" s="7" t="inlineStr">
        <is>
          <t>Surface Combatants</t>
        </is>
      </c>
      <c r="N1103" s="7" t="inlineStr">
        <is>
          <t>DDG</t>
        </is>
      </c>
      <c r="O1103" s="15" t="n"/>
      <c r="S1103" s="16" t="n">
        <v>965</v>
      </c>
      <c r="U1103" s="16" t="n">
        <v>965</v>
      </c>
      <c r="AC1103" s="23">
        <f>IF(OR(E1103="",E1103="[PARENT]"),"ADD",IF(E1103="[ALT_VIEW]","ALT",""))</f>
        <v/>
      </c>
      <c r="AD1103" s="21">
        <f>IF(Y1103&lt;&gt;"",Y1103,IF(U1103&lt;&gt;"",U1103,S1103))</f>
        <v/>
      </c>
      <c r="AE1103" s="21">
        <f>IF(AB1103&lt;&gt;"",AB1103,Z1103)</f>
        <v/>
      </c>
      <c r="AF1103" s="13" t="inlineStr">
        <is>
          <t>P-8a &gt; DDG 1000 &gt; Electronics &gt; COMMON ARRAY COOLING SYSTEM (CACS) 1</t>
        </is>
      </c>
      <c r="AG1103" s="7" t="inlineStr">
        <is>
          <t>217</t>
        </is>
      </c>
      <c r="AH1103" s="7" t="inlineStr">
        <is>
          <t>2119</t>
        </is>
      </c>
      <c r="AJ1103" s="7" t="inlineStr">
        <is>
          <t>COMMON ARRAY COOLING SYSTEM (CACS)</t>
        </is>
      </c>
    </row>
    <row r="1104" ht="10" customHeight="1">
      <c r="A1104" s="7" t="inlineStr">
        <is>
          <t>SCN</t>
        </is>
      </c>
      <c r="B1104" s="7" t="inlineStr">
        <is>
          <t>Procurement</t>
        </is>
      </c>
      <c r="D1104" s="7" t="inlineStr">
        <is>
          <t>DDG 1000 - P-8a Electronics - SHIP CONTROL SYSTEM (SCS) 1</t>
        </is>
      </c>
      <c r="E1104" s="13" t="inlineStr">
        <is>
          <t>[ALT_VIEW]</t>
        </is>
      </c>
      <c r="F1104" s="7" t="inlineStr">
        <is>
          <t>2119 / DDG 1000</t>
        </is>
      </c>
      <c r="G1104" s="7" t="inlineStr">
        <is>
          <t>P-8a</t>
        </is>
      </c>
      <c r="H1104" s="7" t="inlineStr">
        <is>
          <t>Electronics</t>
        </is>
      </c>
      <c r="I1104" s="14" t="n">
        <v>1</v>
      </c>
      <c r="J1104" s="7" t="inlineStr">
        <is>
          <t>Full ship DD&amp;C</t>
        </is>
      </c>
      <c r="K1104" s="13" t="inlineStr">
        <is>
          <t>USN</t>
        </is>
      </c>
      <c r="L1104" s="7" t="inlineStr">
        <is>
          <t>Combatant Ships</t>
        </is>
      </c>
      <c r="M1104" s="7" t="inlineStr">
        <is>
          <t>Surface Combatants</t>
        </is>
      </c>
      <c r="N1104" s="7" t="inlineStr">
        <is>
          <t>DDG</t>
        </is>
      </c>
      <c r="O1104" s="15" t="n"/>
      <c r="S1104" s="16" t="n">
        <v>117229</v>
      </c>
      <c r="U1104" s="16" t="n">
        <v>117229</v>
      </c>
      <c r="AC1104" s="23">
        <f>IF(OR(E1104="",E1104="[PARENT]"),"ADD",IF(E1104="[ALT_VIEW]","ALT",""))</f>
        <v/>
      </c>
      <c r="AD1104" s="21">
        <f>IF(Y1104&lt;&gt;"",Y1104,IF(U1104&lt;&gt;"",U1104,S1104))</f>
        <v/>
      </c>
      <c r="AE1104" s="21">
        <f>IF(AB1104&lt;&gt;"",AB1104,Z1104)</f>
        <v/>
      </c>
      <c r="AF1104" s="13" t="inlineStr">
        <is>
          <t>P-8a &gt; DDG 1000 &gt; Electronics &gt; SHIP CONTROL SYSTEM (SCS) 1</t>
        </is>
      </c>
      <c r="AG1104" s="7" t="inlineStr">
        <is>
          <t>217</t>
        </is>
      </c>
      <c r="AH1104" s="7" t="inlineStr">
        <is>
          <t>2119</t>
        </is>
      </c>
      <c r="AJ1104" s="7" t="inlineStr">
        <is>
          <t>SHIP CONTROL SYSTEM (SCS)</t>
        </is>
      </c>
    </row>
    <row r="1105" ht="10" customHeight="1">
      <c r="A1105" s="7" t="inlineStr">
        <is>
          <t>SCN</t>
        </is>
      </c>
      <c r="B1105" s="7" t="inlineStr">
        <is>
          <t>Procurement</t>
        </is>
      </c>
      <c r="D1105" s="7" t="inlineStr">
        <is>
          <t>DDG 1000 - P-8a Electronics - COOPERATIVE ENGAGEMENT CAPABILITY (CEC) 1</t>
        </is>
      </c>
      <c r="E1105" s="13" t="inlineStr">
        <is>
          <t>[ALT_VIEW]</t>
        </is>
      </c>
      <c r="F1105" s="7" t="inlineStr">
        <is>
          <t>2119 / DDG 1000</t>
        </is>
      </c>
      <c r="G1105" s="7" t="inlineStr">
        <is>
          <t>P-8a</t>
        </is>
      </c>
      <c r="H1105" s="7" t="inlineStr">
        <is>
          <t>Electronics</t>
        </is>
      </c>
      <c r="I1105" s="14" t="n">
        <v>1</v>
      </c>
      <c r="J1105" s="7" t="inlineStr">
        <is>
          <t>Full ship DD&amp;C</t>
        </is>
      </c>
      <c r="K1105" s="13" t="inlineStr">
        <is>
          <t>USN</t>
        </is>
      </c>
      <c r="L1105" s="7" t="inlineStr">
        <is>
          <t>Combatant Ships</t>
        </is>
      </c>
      <c r="M1105" s="7" t="inlineStr">
        <is>
          <t>Surface Combatants</t>
        </is>
      </c>
      <c r="N1105" s="7" t="inlineStr">
        <is>
          <t>DDG</t>
        </is>
      </c>
      <c r="O1105" s="15" t="n"/>
      <c r="S1105" s="16" t="n">
        <v>7800</v>
      </c>
      <c r="U1105" s="16" t="n">
        <v>7800</v>
      </c>
      <c r="AC1105" s="23">
        <f>IF(OR(E1105="",E1105="[PARENT]"),"ADD",IF(E1105="[ALT_VIEW]","ALT",""))</f>
        <v/>
      </c>
      <c r="AD1105" s="21">
        <f>IF(Y1105&lt;&gt;"",Y1105,IF(U1105&lt;&gt;"",U1105,S1105))</f>
        <v/>
      </c>
      <c r="AE1105" s="21">
        <f>IF(AB1105&lt;&gt;"",AB1105,Z1105)</f>
        <v/>
      </c>
      <c r="AF1105" s="13" t="inlineStr">
        <is>
          <t>P-8a &gt; DDG 1000 &gt; Electronics &gt; COOPERATIVE ENGAGEMENT CAPABILITY (CEC) 1</t>
        </is>
      </c>
      <c r="AG1105" s="7" t="inlineStr">
        <is>
          <t>217</t>
        </is>
      </c>
      <c r="AH1105" s="7" t="inlineStr">
        <is>
          <t>2119</t>
        </is>
      </c>
      <c r="AJ1105" s="7" t="inlineStr">
        <is>
          <t>COOPERATIVE ENGAGEMENT CAPABILITY (CEC)</t>
        </is>
      </c>
    </row>
    <row r="1106" ht="10" customHeight="1">
      <c r="A1106" s="7" t="inlineStr">
        <is>
          <t>SCN</t>
        </is>
      </c>
      <c r="B1106" s="7" t="inlineStr">
        <is>
          <t>Procurement</t>
        </is>
      </c>
      <c r="D1106" s="7" t="inlineStr">
        <is>
          <t>DDG 1000 - P-8a Electronics - SURFACE ELECTRONIC WARFARE IMPROVEMENT PROGRAM (SEWIP) 1</t>
        </is>
      </c>
      <c r="E1106" s="13" t="inlineStr">
        <is>
          <t>[ALT_VIEW]</t>
        </is>
      </c>
      <c r="F1106" s="7" t="inlineStr">
        <is>
          <t>2119 / DDG 1000</t>
        </is>
      </c>
      <c r="G1106" s="7" t="inlineStr">
        <is>
          <t>P-8a</t>
        </is>
      </c>
      <c r="H1106" s="7" t="inlineStr">
        <is>
          <t>Electronics</t>
        </is>
      </c>
      <c r="I1106" s="14" t="n">
        <v>1</v>
      </c>
      <c r="J1106" s="7" t="inlineStr">
        <is>
          <t>Full ship DD&amp;C</t>
        </is>
      </c>
      <c r="K1106" s="13" t="inlineStr">
        <is>
          <t>USN</t>
        </is>
      </c>
      <c r="L1106" s="7" t="inlineStr">
        <is>
          <t>Combatant Ships</t>
        </is>
      </c>
      <c r="M1106" s="7" t="inlineStr">
        <is>
          <t>Surface Combatants</t>
        </is>
      </c>
      <c r="N1106" s="7" t="inlineStr">
        <is>
          <t>DDG</t>
        </is>
      </c>
      <c r="O1106" s="15" t="n"/>
      <c r="S1106" s="16" t="n">
        <v>17682</v>
      </c>
      <c r="U1106" s="16" t="n">
        <v>17682</v>
      </c>
      <c r="AC1106" s="23">
        <f>IF(OR(E1106="",E1106="[PARENT]"),"ADD",IF(E1106="[ALT_VIEW]","ALT",""))</f>
        <v/>
      </c>
      <c r="AD1106" s="21">
        <f>IF(Y1106&lt;&gt;"",Y1106,IF(U1106&lt;&gt;"",U1106,S1106))</f>
        <v/>
      </c>
      <c r="AE1106" s="21">
        <f>IF(AB1106&lt;&gt;"",AB1106,Z1106)</f>
        <v/>
      </c>
      <c r="AF1106" s="13" t="inlineStr">
        <is>
          <t>P-8a &gt; DDG 1000 &gt; Electronics &gt; SURFACE ELECTRONIC WARFARE IMPROVEMENT PROGRAM (SEWIP) 1</t>
        </is>
      </c>
      <c r="AG1106" s="7" t="inlineStr">
        <is>
          <t>217</t>
        </is>
      </c>
      <c r="AH1106" s="7" t="inlineStr">
        <is>
          <t>2119</t>
        </is>
      </c>
      <c r="AJ1106" s="7" t="inlineStr">
        <is>
          <t>SURFACE ELECTRONIC WARFARE IMPROVEMENT PROGRAM (SEWIP)</t>
        </is>
      </c>
    </row>
    <row r="1107" ht="10" customHeight="1">
      <c r="A1107" s="7" t="inlineStr">
        <is>
          <t>SCN</t>
        </is>
      </c>
      <c r="B1107" s="7" t="inlineStr">
        <is>
          <t>Procurement</t>
        </is>
      </c>
      <c r="D1107" s="7" t="inlineStr">
        <is>
          <t>DDG 1000 - P-8a Electronics - VERTICAL LAUNCHING SYSTEM (VLS) MK 57 4-CELL MODULES 20</t>
        </is>
      </c>
      <c r="E1107" s="13" t="inlineStr">
        <is>
          <t>[ALT_VIEW]</t>
        </is>
      </c>
      <c r="F1107" s="7" t="inlineStr">
        <is>
          <t>2119 / DDG 1000</t>
        </is>
      </c>
      <c r="G1107" s="7" t="inlineStr">
        <is>
          <t>P-8a</t>
        </is>
      </c>
      <c r="H1107" s="7" t="inlineStr">
        <is>
          <t>Electronics</t>
        </is>
      </c>
      <c r="I1107" s="14" t="n">
        <v>1</v>
      </c>
      <c r="J1107" s="7" t="inlineStr">
        <is>
          <t>Full ship DD&amp;C</t>
        </is>
      </c>
      <c r="K1107" s="13" t="inlineStr">
        <is>
          <t>USN</t>
        </is>
      </c>
      <c r="L1107" s="7" t="inlineStr">
        <is>
          <t>Combatant Ships</t>
        </is>
      </c>
      <c r="M1107" s="7" t="inlineStr">
        <is>
          <t>Surface Combatants</t>
        </is>
      </c>
      <c r="N1107" s="7" t="inlineStr">
        <is>
          <t>DDG</t>
        </is>
      </c>
      <c r="O1107" s="15" t="n"/>
      <c r="S1107" s="16" t="n">
        <v>302815</v>
      </c>
      <c r="U1107" s="16" t="n">
        <v>302815</v>
      </c>
      <c r="AC1107" s="23">
        <f>IF(OR(E1107="",E1107="[PARENT]"),"ADD",IF(E1107="[ALT_VIEW]","ALT",""))</f>
        <v/>
      </c>
      <c r="AD1107" s="21">
        <f>IF(Y1107&lt;&gt;"",Y1107,IF(U1107&lt;&gt;"",U1107,S1107))</f>
        <v/>
      </c>
      <c r="AE1107" s="21">
        <f>IF(AB1107&lt;&gt;"",AB1107,Z1107)</f>
        <v/>
      </c>
      <c r="AF1107" s="13" t="inlineStr">
        <is>
          <t>P-8a &gt; DDG 1000 &gt; Electronics &gt; VERTICAL LAUNCHING SYSTEM (VLS) MK 57 4-CELL MODULES 20</t>
        </is>
      </c>
      <c r="AG1107" s="7" t="inlineStr">
        <is>
          <t>217</t>
        </is>
      </c>
      <c r="AH1107" s="7" t="inlineStr">
        <is>
          <t>2119</t>
        </is>
      </c>
      <c r="AJ1107" s="7" t="inlineStr">
        <is>
          <t>VERTICAL LAUNCHING SYSTEM (VLS) MK 57 4-CELL MODULES</t>
        </is>
      </c>
    </row>
    <row r="1108" ht="10" customHeight="1">
      <c r="A1108" s="7" t="inlineStr">
        <is>
          <t>SCN</t>
        </is>
      </c>
      <c r="B1108" s="7" t="inlineStr">
        <is>
          <t>Procurement</t>
        </is>
      </c>
      <c r="D1108" s="7" t="inlineStr">
        <is>
          <t>DDG 1000 - P-8a Electronics - DDG 1002 TSCE MODERNIZATION 1</t>
        </is>
      </c>
      <c r="E1108" s="13" t="inlineStr">
        <is>
          <t>[ALT_VIEW]</t>
        </is>
      </c>
      <c r="F1108" s="7" t="inlineStr">
        <is>
          <t>2119 / DDG 1000</t>
        </is>
      </c>
      <c r="G1108" s="7" t="inlineStr">
        <is>
          <t>P-8a</t>
        </is>
      </c>
      <c r="H1108" s="7" t="inlineStr">
        <is>
          <t>Electronics</t>
        </is>
      </c>
      <c r="I1108" s="14" t="n">
        <v>1</v>
      </c>
      <c r="J1108" s="7" t="inlineStr">
        <is>
          <t>Full ship DD&amp;C</t>
        </is>
      </c>
      <c r="K1108" s="13" t="inlineStr">
        <is>
          <t>USN</t>
        </is>
      </c>
      <c r="L1108" s="7" t="inlineStr">
        <is>
          <t>Combatant Ships</t>
        </is>
      </c>
      <c r="M1108" s="7" t="inlineStr">
        <is>
          <t>Surface Combatants</t>
        </is>
      </c>
      <c r="N1108" s="7" t="inlineStr">
        <is>
          <t>DDG</t>
        </is>
      </c>
      <c r="O1108" s="15" t="n"/>
      <c r="S1108" s="16" t="n">
        <v>56730</v>
      </c>
      <c r="U1108" s="16" t="n">
        <v>56730</v>
      </c>
      <c r="AC1108" s="23">
        <f>IF(OR(E1108="",E1108="[PARENT]"),"ADD",IF(E1108="[ALT_VIEW]","ALT",""))</f>
        <v/>
      </c>
      <c r="AD1108" s="21">
        <f>IF(Y1108&lt;&gt;"",Y1108,IF(U1108&lt;&gt;"",U1108,S1108))</f>
        <v/>
      </c>
      <c r="AE1108" s="21">
        <f>IF(AB1108&lt;&gt;"",AB1108,Z1108)</f>
        <v/>
      </c>
      <c r="AF1108" s="13" t="inlineStr">
        <is>
          <t>P-8a &gt; DDG 1000 &gt; Electronics &gt; DDG 1002 TSCE MODERNIZATION 1</t>
        </is>
      </c>
      <c r="AG1108" s="7" t="inlineStr">
        <is>
          <t>217</t>
        </is>
      </c>
      <c r="AH1108" s="7" t="inlineStr">
        <is>
          <t>2119</t>
        </is>
      </c>
      <c r="AJ1108" s="7" t="inlineStr">
        <is>
          <t>DDG 1002 TSCE MODERNIZATION</t>
        </is>
      </c>
    </row>
    <row r="1109" ht="10" customHeight="1">
      <c r="A1109" s="7" t="inlineStr">
        <is>
          <t>SCN</t>
        </is>
      </c>
      <c r="B1109" s="7" t="inlineStr">
        <is>
          <t>Procurement</t>
        </is>
      </c>
      <c r="D1109" s="7" t="inlineStr">
        <is>
          <t>DDG 1000 - P-8a Electronics - DDG 1002 UNIVERSAL CANISTER ELECTRICAL UNITS (UCEU) 80</t>
        </is>
      </c>
      <c r="E1109" s="13" t="inlineStr">
        <is>
          <t>[ALT_VIEW]</t>
        </is>
      </c>
      <c r="F1109" s="7" t="inlineStr">
        <is>
          <t>2119 / DDG 1000</t>
        </is>
      </c>
      <c r="G1109" s="7" t="inlineStr">
        <is>
          <t>P-8a</t>
        </is>
      </c>
      <c r="H1109" s="7" t="inlineStr">
        <is>
          <t>Electronics</t>
        </is>
      </c>
      <c r="I1109" s="14" t="n">
        <v>1</v>
      </c>
      <c r="J1109" s="7" t="inlineStr">
        <is>
          <t>Full ship DD&amp;C</t>
        </is>
      </c>
      <c r="K1109" s="13" t="inlineStr">
        <is>
          <t>USN</t>
        </is>
      </c>
      <c r="L1109" s="7" t="inlineStr">
        <is>
          <t>Combatant Ships</t>
        </is>
      </c>
      <c r="M1109" s="7" t="inlineStr">
        <is>
          <t>Surface Combatants</t>
        </is>
      </c>
      <c r="N1109" s="7" t="inlineStr">
        <is>
          <t>DDG</t>
        </is>
      </c>
      <c r="O1109" s="15" t="n"/>
      <c r="S1109" s="16" t="n">
        <v>25600</v>
      </c>
      <c r="U1109" s="16" t="n">
        <v>25600</v>
      </c>
      <c r="AC1109" s="23">
        <f>IF(OR(E1109="",E1109="[PARENT]"),"ADD",IF(E1109="[ALT_VIEW]","ALT",""))</f>
        <v/>
      </c>
      <c r="AD1109" s="21">
        <f>IF(Y1109&lt;&gt;"",Y1109,IF(U1109&lt;&gt;"",U1109,S1109))</f>
        <v/>
      </c>
      <c r="AE1109" s="21">
        <f>IF(AB1109&lt;&gt;"",AB1109,Z1109)</f>
        <v/>
      </c>
      <c r="AF1109" s="13" t="inlineStr">
        <is>
          <t>P-8a &gt; DDG 1000 &gt; Electronics &gt; DDG 1002 UNIVERSAL CANISTER ELECTRICAL UNITS (UCEU) 80</t>
        </is>
      </c>
      <c r="AG1109" s="7" t="inlineStr">
        <is>
          <t>217</t>
        </is>
      </c>
      <c r="AH1109" s="7" t="inlineStr">
        <is>
          <t>2119</t>
        </is>
      </c>
      <c r="AJ1109" s="7" t="inlineStr">
        <is>
          <t>DDG 1002 UNIVERSAL CANISTER ELECTRICAL UNITS (UCEU)</t>
        </is>
      </c>
    </row>
    <row r="1110" ht="10" customHeight="1">
      <c r="A1110" s="7" t="inlineStr">
        <is>
          <t>SCN</t>
        </is>
      </c>
      <c r="B1110" s="7" t="inlineStr">
        <is>
          <t>Procurement</t>
        </is>
      </c>
      <c r="D1110" s="7" t="inlineStr">
        <is>
          <t>DDG 1000 - P-8a Electronics - MISSION SYSTEM ENGR INTEGR &amp; TEST (MSEIT)</t>
        </is>
      </c>
      <c r="E1110" s="13" t="inlineStr">
        <is>
          <t>[ALT_VIEW]</t>
        </is>
      </c>
      <c r="F1110" s="7" t="inlineStr">
        <is>
          <t>2119 / DDG 1000</t>
        </is>
      </c>
      <c r="G1110" s="7" t="inlineStr">
        <is>
          <t>P-8a</t>
        </is>
      </c>
      <c r="H1110" s="7" t="inlineStr">
        <is>
          <t>Electronics</t>
        </is>
      </c>
      <c r="I1110" s="14" t="n">
        <v>1</v>
      </c>
      <c r="J1110" s="7" t="inlineStr">
        <is>
          <t>Full ship DD&amp;C</t>
        </is>
      </c>
      <c r="K1110" s="13" t="inlineStr">
        <is>
          <t>USN</t>
        </is>
      </c>
      <c r="L1110" s="7" t="inlineStr">
        <is>
          <t>Combatant Ships</t>
        </is>
      </c>
      <c r="M1110" s="7" t="inlineStr">
        <is>
          <t>Surface Combatants</t>
        </is>
      </c>
      <c r="N1110" s="7" t="inlineStr">
        <is>
          <t>DDG</t>
        </is>
      </c>
      <c r="O1110" s="15" t="n"/>
      <c r="S1110" s="16" t="n">
        <v>132510</v>
      </c>
      <c r="U1110" s="16" t="n">
        <v>132510</v>
      </c>
      <c r="AC1110" s="23">
        <f>IF(OR(E1110="",E1110="[PARENT]"),"ADD",IF(E1110="[ALT_VIEW]","ALT",""))</f>
        <v/>
      </c>
      <c r="AD1110" s="21">
        <f>IF(Y1110&lt;&gt;"",Y1110,IF(U1110&lt;&gt;"",U1110,S1110))</f>
        <v/>
      </c>
      <c r="AE1110" s="21">
        <f>IF(AB1110&lt;&gt;"",AB1110,Z1110)</f>
        <v/>
      </c>
      <c r="AF1110" s="13" t="inlineStr">
        <is>
          <t>P-8a &gt; DDG 1000 &gt; Electronics &gt; MISSION SYSTEM ENGR INTEGR &amp; TEST (MSEIT)</t>
        </is>
      </c>
      <c r="AG1110" s="7" t="inlineStr">
        <is>
          <t>217</t>
        </is>
      </c>
      <c r="AH1110" s="7" t="inlineStr">
        <is>
          <t>2119</t>
        </is>
      </c>
      <c r="AJ1110" s="7" t="inlineStr">
        <is>
          <t>MISSION SYSTEM ENGR INTEGR &amp; TEST (MSEIT)</t>
        </is>
      </c>
    </row>
    <row r="1111" ht="10" customHeight="1">
      <c r="A1111" s="7" t="inlineStr">
        <is>
          <t>SCN</t>
        </is>
      </c>
      <c r="B1111" s="7" t="inlineStr">
        <is>
          <t>Procurement</t>
        </is>
      </c>
      <c r="D1111" s="7" t="inlineStr">
        <is>
          <t>DDG 1000 - P-8a Electronics - MISSION SYSTEM ACTIVATION</t>
        </is>
      </c>
      <c r="E1111" s="13" t="inlineStr">
        <is>
          <t>[ALT_VIEW]</t>
        </is>
      </c>
      <c r="F1111" s="7" t="inlineStr">
        <is>
          <t>2119 / DDG 1000</t>
        </is>
      </c>
      <c r="G1111" s="7" t="inlineStr">
        <is>
          <t>P-8a</t>
        </is>
      </c>
      <c r="H1111" s="7" t="inlineStr">
        <is>
          <t>Electronics</t>
        </is>
      </c>
      <c r="I1111" s="14" t="n">
        <v>1</v>
      </c>
      <c r="J1111" s="7" t="inlineStr">
        <is>
          <t>Full ship DD&amp;C</t>
        </is>
      </c>
      <c r="K1111" s="13" t="inlineStr">
        <is>
          <t>USN</t>
        </is>
      </c>
      <c r="L1111" s="7" t="inlineStr">
        <is>
          <t>Combatant Ships</t>
        </is>
      </c>
      <c r="M1111" s="7" t="inlineStr">
        <is>
          <t>Surface Combatants</t>
        </is>
      </c>
      <c r="N1111" s="7" t="inlineStr">
        <is>
          <t>DDG</t>
        </is>
      </c>
      <c r="O1111" s="15" t="n"/>
      <c r="S1111" s="16" t="n">
        <v>130838</v>
      </c>
      <c r="U1111" s="16" t="n">
        <v>130838</v>
      </c>
      <c r="AC1111" s="23">
        <f>IF(OR(E1111="",E1111="[PARENT]"),"ADD",IF(E1111="[ALT_VIEW]","ALT",""))</f>
        <v/>
      </c>
      <c r="AD1111" s="21">
        <f>IF(Y1111&lt;&gt;"",Y1111,IF(U1111&lt;&gt;"",U1111,S1111))</f>
        <v/>
      </c>
      <c r="AE1111" s="21">
        <f>IF(AB1111&lt;&gt;"",AB1111,Z1111)</f>
        <v/>
      </c>
      <c r="AF1111" s="13" t="inlineStr">
        <is>
          <t>P-8a &gt; DDG 1000 &gt; Electronics &gt; MISSION SYSTEM ACTIVATION</t>
        </is>
      </c>
      <c r="AG1111" s="7" t="inlineStr">
        <is>
          <t>217</t>
        </is>
      </c>
      <c r="AH1111" s="7" t="inlineStr">
        <is>
          <t>2119</t>
        </is>
      </c>
      <c r="AJ1111" s="7" t="inlineStr">
        <is>
          <t>MISSION SYSTEM ACTIVATION</t>
        </is>
      </c>
    </row>
    <row r="1112" ht="10" customHeight="1">
      <c r="A1112" s="7" t="inlineStr">
        <is>
          <t>SCN</t>
        </is>
      </c>
      <c r="B1112" s="7" t="inlineStr">
        <is>
          <t>Procurement</t>
        </is>
      </c>
      <c r="D1112" s="7" t="inlineStr">
        <is>
          <t>DDG 1000 - P-8a Electronics - SPARES</t>
        </is>
      </c>
      <c r="E1112" s="13" t="inlineStr">
        <is>
          <t>[ALT_VIEW]</t>
        </is>
      </c>
      <c r="F1112" s="7" t="inlineStr">
        <is>
          <t>2119 / DDG 1000</t>
        </is>
      </c>
      <c r="G1112" s="7" t="inlineStr">
        <is>
          <t>P-8a</t>
        </is>
      </c>
      <c r="H1112" s="7" t="inlineStr">
        <is>
          <t>Electronics</t>
        </is>
      </c>
      <c r="I1112" s="14" t="n">
        <v>1</v>
      </c>
      <c r="J1112" s="7" t="inlineStr">
        <is>
          <t>Full ship DD&amp;C</t>
        </is>
      </c>
      <c r="K1112" s="13" t="inlineStr">
        <is>
          <t>USN</t>
        </is>
      </c>
      <c r="L1112" s="7" t="inlineStr">
        <is>
          <t>Combatant Ships</t>
        </is>
      </c>
      <c r="M1112" s="7" t="inlineStr">
        <is>
          <t>Surface Combatants</t>
        </is>
      </c>
      <c r="N1112" s="7" t="inlineStr">
        <is>
          <t>DDG</t>
        </is>
      </c>
      <c r="O1112" s="15" t="n"/>
      <c r="S1112" s="16" t="n">
        <v>5500</v>
      </c>
      <c r="U1112" s="16" t="n">
        <v>5500</v>
      </c>
      <c r="AC1112" s="23">
        <f>IF(OR(E1112="",E1112="[PARENT]"),"ADD",IF(E1112="[ALT_VIEW]","ALT",""))</f>
        <v/>
      </c>
      <c r="AD1112" s="21">
        <f>IF(Y1112&lt;&gt;"",Y1112,IF(U1112&lt;&gt;"",U1112,S1112))</f>
        <v/>
      </c>
      <c r="AE1112" s="21">
        <f>IF(AB1112&lt;&gt;"",AB1112,Z1112)</f>
        <v/>
      </c>
      <c r="AF1112" s="13" t="inlineStr">
        <is>
          <t>P-8a &gt; DDG 1000 &gt; Electronics &gt; SPARES</t>
        </is>
      </c>
      <c r="AG1112" s="7" t="inlineStr">
        <is>
          <t>217</t>
        </is>
      </c>
      <c r="AH1112" s="7" t="inlineStr">
        <is>
          <t>2119</t>
        </is>
      </c>
      <c r="AJ1112" s="7" t="inlineStr">
        <is>
          <t>SPARES</t>
        </is>
      </c>
    </row>
    <row r="1113" ht="10" customHeight="1">
      <c r="A1113" s="7" t="inlineStr">
        <is>
          <t>SCN</t>
        </is>
      </c>
      <c r="B1113" s="7" t="inlineStr">
        <is>
          <t>Procurement</t>
        </is>
      </c>
      <c r="D1113" s="7" t="inlineStr">
        <is>
          <t>DDG 1000 - P-8a Hull, Mechanical, and Electrical - MAIN TURBINE GENERATOR (MTG) 2</t>
        </is>
      </c>
      <c r="E1113" s="13" t="inlineStr">
        <is>
          <t>[ALT_VIEW]</t>
        </is>
      </c>
      <c r="F1113" s="7" t="inlineStr">
        <is>
          <t>2119 / DDG 1000</t>
        </is>
      </c>
      <c r="G1113" s="7" t="inlineStr">
        <is>
          <t>P-8a</t>
        </is>
      </c>
      <c r="H1113" s="7" t="inlineStr">
        <is>
          <t>Hull, Mechanical, and Electrical</t>
        </is>
      </c>
      <c r="I1113" s="14" t="n">
        <v>1</v>
      </c>
      <c r="J1113" s="7" t="inlineStr">
        <is>
          <t>Full ship DD&amp;C</t>
        </is>
      </c>
      <c r="K1113" s="13" t="inlineStr">
        <is>
          <t>USN</t>
        </is>
      </c>
      <c r="L1113" s="7" t="inlineStr">
        <is>
          <t>Combatant Ships</t>
        </is>
      </c>
      <c r="M1113" s="7" t="inlineStr">
        <is>
          <t>Surface Combatants</t>
        </is>
      </c>
      <c r="N1113" s="7" t="inlineStr">
        <is>
          <t>DDG</t>
        </is>
      </c>
      <c r="O1113" s="15" t="n"/>
      <c r="S1113" s="16" t="n">
        <v>39412</v>
      </c>
      <c r="U1113" s="16" t="n">
        <v>39412</v>
      </c>
      <c r="AC1113" s="23">
        <f>IF(OR(E1113="",E1113="[PARENT]"),"ADD",IF(E1113="[ALT_VIEW]","ALT",""))</f>
        <v/>
      </c>
      <c r="AD1113" s="21">
        <f>IF(Y1113&lt;&gt;"",Y1113,IF(U1113&lt;&gt;"",U1113,S1113))</f>
        <v/>
      </c>
      <c r="AE1113" s="21">
        <f>IF(AB1113&lt;&gt;"",AB1113,Z1113)</f>
        <v/>
      </c>
      <c r="AF1113" s="13" t="inlineStr">
        <is>
          <t>P-8a &gt; DDG 1000 &gt; Hull, Mechanical, and Electrical &gt; MAIN TURBINE GENERATOR (MTG) 2</t>
        </is>
      </c>
      <c r="AG1113" s="7" t="inlineStr">
        <is>
          <t>218</t>
        </is>
      </c>
      <c r="AH1113" s="7" t="inlineStr">
        <is>
          <t>2119</t>
        </is>
      </c>
      <c r="AJ1113" s="7" t="inlineStr">
        <is>
          <t>MAIN TURBINE GENERATOR (MTG)</t>
        </is>
      </c>
    </row>
    <row r="1114" ht="10" customHeight="1">
      <c r="A1114" s="7" t="inlineStr">
        <is>
          <t>SCN</t>
        </is>
      </c>
      <c r="B1114" s="7" t="inlineStr">
        <is>
          <t>Procurement</t>
        </is>
      </c>
      <c r="D1114" s="7" t="inlineStr">
        <is>
          <t>DDG 1000 - P-8a Hull, Mechanical, and Electrical - RIGID HULL INFLATABLE BOAT (RHIB) 2</t>
        </is>
      </c>
      <c r="E1114" s="13" t="inlineStr">
        <is>
          <t>[ALT_VIEW]</t>
        </is>
      </c>
      <c r="F1114" s="7" t="inlineStr">
        <is>
          <t>2119 / DDG 1000</t>
        </is>
      </c>
      <c r="G1114" s="7" t="inlineStr">
        <is>
          <t>P-8a</t>
        </is>
      </c>
      <c r="H1114" s="7" t="inlineStr">
        <is>
          <t>Hull, Mechanical, and Electrical</t>
        </is>
      </c>
      <c r="I1114" s="14" t="n">
        <v>1</v>
      </c>
      <c r="J1114" s="7" t="inlineStr">
        <is>
          <t>Full ship DD&amp;C</t>
        </is>
      </c>
      <c r="K1114" s="13" t="inlineStr">
        <is>
          <t>USN</t>
        </is>
      </c>
      <c r="L1114" s="7" t="inlineStr">
        <is>
          <t>Combatant Ships</t>
        </is>
      </c>
      <c r="M1114" s="7" t="inlineStr">
        <is>
          <t>Surface Combatants</t>
        </is>
      </c>
      <c r="N1114" s="7" t="inlineStr">
        <is>
          <t>DDG</t>
        </is>
      </c>
      <c r="O1114" s="15" t="n"/>
      <c r="S1114" s="16" t="n">
        <v>1100</v>
      </c>
      <c r="U1114" s="16" t="n">
        <v>1100</v>
      </c>
      <c r="AC1114" s="23">
        <f>IF(OR(E1114="",E1114="[PARENT]"),"ADD",IF(E1114="[ALT_VIEW]","ALT",""))</f>
        <v/>
      </c>
      <c r="AD1114" s="21">
        <f>IF(Y1114&lt;&gt;"",Y1114,IF(U1114&lt;&gt;"",U1114,S1114))</f>
        <v/>
      </c>
      <c r="AE1114" s="21">
        <f>IF(AB1114&lt;&gt;"",AB1114,Z1114)</f>
        <v/>
      </c>
      <c r="AF1114" s="13" t="inlineStr">
        <is>
          <t>P-8a &gt; DDG 1000 &gt; Hull, Mechanical, and Electrical &gt; RIGID HULL INFLATABLE BOAT (RHIB) 2</t>
        </is>
      </c>
      <c r="AG1114" s="7" t="inlineStr">
        <is>
          <t>218</t>
        </is>
      </c>
      <c r="AH1114" s="7" t="inlineStr">
        <is>
          <t>2119</t>
        </is>
      </c>
      <c r="AJ1114" s="7" t="inlineStr">
        <is>
          <t>RIGID HULL INFLATABLE BOAT (RHIB)</t>
        </is>
      </c>
    </row>
    <row r="1115" ht="10" customHeight="1">
      <c r="A1115" s="7" t="inlineStr">
        <is>
          <t>SCN</t>
        </is>
      </c>
      <c r="B1115" s="7" t="inlineStr">
        <is>
          <t>Procurement</t>
        </is>
      </c>
      <c r="D1115" s="7" t="inlineStr">
        <is>
          <t>DDG 1000 - P-8a Hull, Mechanical, and Electrical - HM&amp;E (NGVLA, Moriah Wind Measurement System (WMS), Aviation Integration)</t>
        </is>
      </c>
      <c r="E1115" s="13" t="inlineStr">
        <is>
          <t>[ALT_VIEW]</t>
        </is>
      </c>
      <c r="F1115" s="7" t="inlineStr">
        <is>
          <t>2119 / DDG 1000</t>
        </is>
      </c>
      <c r="G1115" s="7" t="inlineStr">
        <is>
          <t>P-8a</t>
        </is>
      </c>
      <c r="H1115" s="7" t="inlineStr">
        <is>
          <t>Hull, Mechanical, and Electrical</t>
        </is>
      </c>
      <c r="I1115" s="14" t="n">
        <v>1</v>
      </c>
      <c r="J1115" s="7" t="inlineStr">
        <is>
          <t>Full ship DD&amp;C</t>
        </is>
      </c>
      <c r="K1115" s="13" t="inlineStr">
        <is>
          <t>USN</t>
        </is>
      </c>
      <c r="L1115" s="7" t="inlineStr">
        <is>
          <t>Combatant Ships</t>
        </is>
      </c>
      <c r="M1115" s="7" t="inlineStr">
        <is>
          <t>Surface Combatants</t>
        </is>
      </c>
      <c r="N1115" s="7" t="inlineStr">
        <is>
          <t>DDG</t>
        </is>
      </c>
      <c r="O1115" s="15" t="n"/>
      <c r="S1115" s="16" t="n">
        <v>12446</v>
      </c>
      <c r="U1115" s="16" t="n">
        <v>12446</v>
      </c>
      <c r="AC1115" s="23">
        <f>IF(OR(E1115="",E1115="[PARENT]"),"ADD",IF(E1115="[ALT_VIEW]","ALT",""))</f>
        <v/>
      </c>
      <c r="AD1115" s="21">
        <f>IF(Y1115&lt;&gt;"",Y1115,IF(U1115&lt;&gt;"",U1115,S1115))</f>
        <v/>
      </c>
      <c r="AE1115" s="21">
        <f>IF(AB1115&lt;&gt;"",AB1115,Z1115)</f>
        <v/>
      </c>
      <c r="AF1115" s="13" t="inlineStr">
        <is>
          <t>P-8a &gt; DDG 1000 &gt; Hull, Mechanical, and Electrical &gt; HM&amp;E (NGVLA, Moriah Wind Measurement System (WMS), Aviation Integration)</t>
        </is>
      </c>
      <c r="AG1115" s="7" t="inlineStr">
        <is>
          <t>218</t>
        </is>
      </c>
      <c r="AH1115" s="7" t="inlineStr">
        <is>
          <t>2119</t>
        </is>
      </c>
      <c r="AJ1115" s="7" t="inlineStr">
        <is>
          <t>HM&amp;E (NGVLA, Moriah Wind Measurement System (WMS), Aviation Integration)</t>
        </is>
      </c>
    </row>
    <row r="1116" ht="10" customHeight="1">
      <c r="A1116" s="7" t="inlineStr">
        <is>
          <t>SCN</t>
        </is>
      </c>
      <c r="B1116" s="7" t="inlineStr">
        <is>
          <t>Procurement</t>
        </is>
      </c>
      <c r="D1116" s="7" t="inlineStr">
        <is>
          <t>DDG 1000 - P-8a Hull, Mechanical, and Electrical - MISSION SYSTEM ACTIVATION</t>
        </is>
      </c>
      <c r="E1116" s="13" t="inlineStr">
        <is>
          <t>[ALT_VIEW]</t>
        </is>
      </c>
      <c r="F1116" s="7" t="inlineStr">
        <is>
          <t>2119 / DDG 1000</t>
        </is>
      </c>
      <c r="G1116" s="7" t="inlineStr">
        <is>
          <t>P-8a</t>
        </is>
      </c>
      <c r="H1116" s="7" t="inlineStr">
        <is>
          <t>Hull, Mechanical, and Electrical</t>
        </is>
      </c>
      <c r="I1116" s="14" t="n">
        <v>1</v>
      </c>
      <c r="J1116" s="7" t="inlineStr">
        <is>
          <t>Full ship DD&amp;C</t>
        </is>
      </c>
      <c r="K1116" s="13" t="inlineStr">
        <is>
          <t>USN</t>
        </is>
      </c>
      <c r="L1116" s="7" t="inlineStr">
        <is>
          <t>Combatant Ships</t>
        </is>
      </c>
      <c r="M1116" s="7" t="inlineStr">
        <is>
          <t>Surface Combatants</t>
        </is>
      </c>
      <c r="N1116" s="7" t="inlineStr">
        <is>
          <t>DDG</t>
        </is>
      </c>
      <c r="O1116" s="15" t="n"/>
      <c r="S1116" s="16" t="n">
        <v>16390</v>
      </c>
      <c r="U1116" s="16" t="n">
        <v>16390</v>
      </c>
      <c r="AC1116" s="23">
        <f>IF(OR(E1116="",E1116="[PARENT]"),"ADD",IF(E1116="[ALT_VIEW]","ALT",""))</f>
        <v/>
      </c>
      <c r="AD1116" s="21">
        <f>IF(Y1116&lt;&gt;"",Y1116,IF(U1116&lt;&gt;"",U1116,S1116))</f>
        <v/>
      </c>
      <c r="AE1116" s="21">
        <f>IF(AB1116&lt;&gt;"",AB1116,Z1116)</f>
        <v/>
      </c>
      <c r="AF1116" s="13" t="inlineStr">
        <is>
          <t>P-8a &gt; DDG 1000 &gt; Hull, Mechanical, and Electrical &gt; MISSION SYSTEM ACTIVATION</t>
        </is>
      </c>
      <c r="AG1116" s="7" t="inlineStr">
        <is>
          <t>218</t>
        </is>
      </c>
      <c r="AH1116" s="7" t="inlineStr">
        <is>
          <t>2119</t>
        </is>
      </c>
    </row>
    <row r="1117" ht="10" customHeight="1">
      <c r="A1117" s="7" t="inlineStr">
        <is>
          <t>SCN</t>
        </is>
      </c>
      <c r="B1117" s="7" t="inlineStr">
        <is>
          <t>Procurement</t>
        </is>
      </c>
      <c r="D1117" s="7" t="inlineStr">
        <is>
          <t>DDG 1000 - P-8a Hull, Mechanical, and Electrical - INTERIM SPARES</t>
        </is>
      </c>
      <c r="E1117" s="13" t="inlineStr">
        <is>
          <t>[ALT_VIEW]</t>
        </is>
      </c>
      <c r="F1117" s="7" t="inlineStr">
        <is>
          <t>2119 / DDG 1000</t>
        </is>
      </c>
      <c r="G1117" s="7" t="inlineStr">
        <is>
          <t>P-8a</t>
        </is>
      </c>
      <c r="H1117" s="7" t="inlineStr">
        <is>
          <t>Hull, Mechanical, and Electrical</t>
        </is>
      </c>
      <c r="I1117" s="14" t="n">
        <v>1</v>
      </c>
      <c r="J1117" s="7" t="inlineStr">
        <is>
          <t>Full ship DD&amp;C</t>
        </is>
      </c>
      <c r="K1117" s="13" t="inlineStr">
        <is>
          <t>USN</t>
        </is>
      </c>
      <c r="L1117" s="7" t="inlineStr">
        <is>
          <t>Combatant Ships</t>
        </is>
      </c>
      <c r="M1117" s="7" t="inlineStr">
        <is>
          <t>Surface Combatants</t>
        </is>
      </c>
      <c r="N1117" s="7" t="inlineStr">
        <is>
          <t>DDG</t>
        </is>
      </c>
      <c r="O1117" s="15" t="n"/>
      <c r="S1117" s="16" t="n">
        <v>7500</v>
      </c>
      <c r="U1117" s="16" t="n">
        <v>7500</v>
      </c>
      <c r="AC1117" s="23">
        <f>IF(OR(E1117="",E1117="[PARENT]"),"ADD",IF(E1117="[ALT_VIEW]","ALT",""))</f>
        <v/>
      </c>
      <c r="AD1117" s="21">
        <f>IF(Y1117&lt;&gt;"",Y1117,IF(U1117&lt;&gt;"",U1117,S1117))</f>
        <v/>
      </c>
      <c r="AE1117" s="21">
        <f>IF(AB1117&lt;&gt;"",AB1117,Z1117)</f>
        <v/>
      </c>
      <c r="AF1117" s="13" t="inlineStr">
        <is>
          <t>P-8a &gt; DDG 1000 &gt; Hull, Mechanical, and Electrical &gt; INTERIM SPARES</t>
        </is>
      </c>
      <c r="AG1117" s="7" t="inlineStr">
        <is>
          <t>218</t>
        </is>
      </c>
      <c r="AH1117" s="7" t="inlineStr">
        <is>
          <t>2119</t>
        </is>
      </c>
      <c r="AJ1117" s="7" t="inlineStr">
        <is>
          <t>INTERIM SPARES</t>
        </is>
      </c>
    </row>
    <row r="1118" ht="10" customHeight="1">
      <c r="A1118" s="7" t="inlineStr">
        <is>
          <t>SCN</t>
        </is>
      </c>
      <c r="B1118" s="7" t="inlineStr">
        <is>
          <t>Procurement</t>
        </is>
      </c>
      <c r="D1118" s="7" t="inlineStr">
        <is>
          <t>DDG 1000 - P-8a Ordnance - ADVANCED GUN SYSTEM (AGS) 2</t>
        </is>
      </c>
      <c r="E1118" s="13" t="inlineStr">
        <is>
          <t>[ALT_VIEW]</t>
        </is>
      </c>
      <c r="F1118" s="7" t="inlineStr">
        <is>
          <t>2119 / DDG 1000</t>
        </is>
      </c>
      <c r="G1118" s="7" t="inlineStr">
        <is>
          <t>P-8a</t>
        </is>
      </c>
      <c r="H1118" s="7" t="inlineStr">
        <is>
          <t>Ordnance</t>
        </is>
      </c>
      <c r="I1118" s="14" t="n">
        <v>1</v>
      </c>
      <c r="J1118" s="7" t="inlineStr">
        <is>
          <t>Full ship DD&amp;C</t>
        </is>
      </c>
      <c r="K1118" s="13" t="inlineStr">
        <is>
          <t>USN</t>
        </is>
      </c>
      <c r="L1118" s="7" t="inlineStr">
        <is>
          <t>Combatant Ships</t>
        </is>
      </c>
      <c r="M1118" s="7" t="inlineStr">
        <is>
          <t>Surface Combatants</t>
        </is>
      </c>
      <c r="N1118" s="7" t="inlineStr">
        <is>
          <t>DDG</t>
        </is>
      </c>
      <c r="O1118" s="15" t="n"/>
      <c r="S1118" s="16" t="n">
        <v>248596</v>
      </c>
      <c r="U1118" s="16" t="n">
        <v>248596</v>
      </c>
      <c r="AC1118" s="23">
        <f>IF(OR(E1118="",E1118="[PARENT]"),"ADD",IF(E1118="[ALT_VIEW]","ALT",""))</f>
        <v/>
      </c>
      <c r="AD1118" s="21">
        <f>IF(Y1118&lt;&gt;"",Y1118,IF(U1118&lt;&gt;"",U1118,S1118))</f>
        <v/>
      </c>
      <c r="AE1118" s="21">
        <f>IF(AB1118&lt;&gt;"",AB1118,Z1118)</f>
        <v/>
      </c>
      <c r="AF1118" s="13" t="inlineStr">
        <is>
          <t>P-8a &gt; DDG 1000 &gt; Ordnance &gt; ADVANCED GUN SYSTEM (AGS) 2</t>
        </is>
      </c>
      <c r="AG1118" s="7" t="inlineStr">
        <is>
          <t>219</t>
        </is>
      </c>
      <c r="AH1118" s="7" t="inlineStr">
        <is>
          <t>2119</t>
        </is>
      </c>
      <c r="AJ1118" s="7" t="inlineStr">
        <is>
          <t>ADVANCED GUN SYSTEM (AGS)</t>
        </is>
      </c>
    </row>
    <row r="1119" ht="10" customHeight="1">
      <c r="A1119" s="7" t="inlineStr">
        <is>
          <t>SCN</t>
        </is>
      </c>
      <c r="B1119" s="7" t="inlineStr">
        <is>
          <t>Procurement</t>
        </is>
      </c>
      <c r="D1119" s="7" t="inlineStr">
        <is>
          <t>DDG 1000 - P-8a Ordnance - CLOSE-IN GUN SYSTEM (CIGS) 2</t>
        </is>
      </c>
      <c r="E1119" s="13" t="inlineStr">
        <is>
          <t>[ALT_VIEW]</t>
        </is>
      </c>
      <c r="F1119" s="7" t="inlineStr">
        <is>
          <t>2119 / DDG 1000</t>
        </is>
      </c>
      <c r="G1119" s="7" t="inlineStr">
        <is>
          <t>P-8a</t>
        </is>
      </c>
      <c r="H1119" s="7" t="inlineStr">
        <is>
          <t>Ordnance</t>
        </is>
      </c>
      <c r="I1119" s="14" t="n">
        <v>1</v>
      </c>
      <c r="J1119" s="7" t="inlineStr">
        <is>
          <t>Full ship DD&amp;C</t>
        </is>
      </c>
      <c r="K1119" s="13" t="inlineStr">
        <is>
          <t>USN</t>
        </is>
      </c>
      <c r="L1119" s="7" t="inlineStr">
        <is>
          <t>Combatant Ships</t>
        </is>
      </c>
      <c r="M1119" s="7" t="inlineStr">
        <is>
          <t>Surface Combatants</t>
        </is>
      </c>
      <c r="N1119" s="7" t="inlineStr">
        <is>
          <t>DDG</t>
        </is>
      </c>
      <c r="O1119" s="15" t="n"/>
      <c r="S1119" s="16" t="n">
        <v>13795</v>
      </c>
      <c r="U1119" s="16" t="n">
        <v>13795</v>
      </c>
      <c r="AC1119" s="23">
        <f>IF(OR(E1119="",E1119="[PARENT]"),"ADD",IF(E1119="[ALT_VIEW]","ALT",""))</f>
        <v/>
      </c>
      <c r="AD1119" s="21">
        <f>IF(Y1119&lt;&gt;"",Y1119,IF(U1119&lt;&gt;"",U1119,S1119))</f>
        <v/>
      </c>
      <c r="AE1119" s="21">
        <f>IF(AB1119&lt;&gt;"",AB1119,Z1119)</f>
        <v/>
      </c>
      <c r="AF1119" s="13" t="inlineStr">
        <is>
          <t>P-8a &gt; DDG 1000 &gt; Ordnance &gt; CLOSE-IN GUN SYSTEM (CIGS) 2</t>
        </is>
      </c>
      <c r="AG1119" s="7" t="inlineStr">
        <is>
          <t>219</t>
        </is>
      </c>
      <c r="AH1119" s="7" t="inlineStr">
        <is>
          <t>2119</t>
        </is>
      </c>
      <c r="AJ1119" s="7" t="inlineStr">
        <is>
          <t>CLOSE-IN GUN SYSTEM (CIGS)</t>
        </is>
      </c>
    </row>
    <row r="1120" ht="10" customHeight="1">
      <c r="A1120" s="7" t="inlineStr">
        <is>
          <t>SCN</t>
        </is>
      </c>
      <c r="B1120" s="7" t="inlineStr">
        <is>
          <t>Procurement</t>
        </is>
      </c>
      <c r="D1120" s="7" t="inlineStr">
        <is>
          <t>DDG 1000 - P-8a Ordnance - DDG 1002 Missile Tubes (CPS) 4</t>
        </is>
      </c>
      <c r="E1120" s="13" t="inlineStr">
        <is>
          <t>[ALT_VIEW]</t>
        </is>
      </c>
      <c r="F1120" s="7" t="inlineStr">
        <is>
          <t>2119 / DDG 1000</t>
        </is>
      </c>
      <c r="G1120" s="7" t="inlineStr">
        <is>
          <t>P-8a</t>
        </is>
      </c>
      <c r="H1120" s="7" t="inlineStr">
        <is>
          <t>Ordnance</t>
        </is>
      </c>
      <c r="I1120" s="14" t="n">
        <v>1</v>
      </c>
      <c r="J1120" s="7" t="inlineStr">
        <is>
          <t>Full ship DD&amp;C</t>
        </is>
      </c>
      <c r="K1120" s="13" t="inlineStr">
        <is>
          <t>USN</t>
        </is>
      </c>
      <c r="L1120" s="7" t="inlineStr">
        <is>
          <t>Combatant Ships</t>
        </is>
      </c>
      <c r="M1120" s="7" t="inlineStr">
        <is>
          <t>Surface Combatants</t>
        </is>
      </c>
      <c r="N1120" s="7" t="inlineStr">
        <is>
          <t>DDG</t>
        </is>
      </c>
      <c r="O1120" s="15" t="n"/>
      <c r="S1120" s="16" t="n">
        <v>26000</v>
      </c>
      <c r="U1120" s="16" t="n">
        <v>26000</v>
      </c>
      <c r="AC1120" s="23">
        <f>IF(OR(E1120="",E1120="[PARENT]"),"ADD",IF(E1120="[ALT_VIEW]","ALT",""))</f>
        <v/>
      </c>
      <c r="AD1120" s="21">
        <f>IF(Y1120&lt;&gt;"",Y1120,IF(U1120&lt;&gt;"",U1120,S1120))</f>
        <v/>
      </c>
      <c r="AE1120" s="21">
        <f>IF(AB1120&lt;&gt;"",AB1120,Z1120)</f>
        <v/>
      </c>
      <c r="AF1120" s="13" t="inlineStr">
        <is>
          <t>P-8a &gt; DDG 1000 &gt; Ordnance &gt; DDG 1002 Missile Tubes (CPS) 4</t>
        </is>
      </c>
      <c r="AG1120" s="7" t="inlineStr">
        <is>
          <t>219</t>
        </is>
      </c>
      <c r="AH1120" s="7" t="inlineStr">
        <is>
          <t>2119</t>
        </is>
      </c>
      <c r="AJ1120" s="7" t="inlineStr">
        <is>
          <t>DDG 1002 Missile Tubes (CPS)</t>
        </is>
      </c>
    </row>
    <row r="1121" ht="10" customHeight="1">
      <c r="A1121" s="7" t="inlineStr">
        <is>
          <t>SCN</t>
        </is>
      </c>
      <c r="B1121" s="7" t="inlineStr">
        <is>
          <t>Procurement</t>
        </is>
      </c>
      <c r="D1121" s="7" t="inlineStr">
        <is>
          <t>DDG 1000 - P-8a Ordnance - DDG 1002 Rubber Boots, Hatches, Shock Isolation (CPS) 4</t>
        </is>
      </c>
      <c r="E1121" s="13" t="inlineStr">
        <is>
          <t>[ALT_VIEW]</t>
        </is>
      </c>
      <c r="F1121" s="7" t="inlineStr">
        <is>
          <t>2119 / DDG 1000</t>
        </is>
      </c>
      <c r="G1121" s="7" t="inlineStr">
        <is>
          <t>P-8a</t>
        </is>
      </c>
      <c r="H1121" s="7" t="inlineStr">
        <is>
          <t>Ordnance</t>
        </is>
      </c>
      <c r="I1121" s="14" t="n">
        <v>1</v>
      </c>
      <c r="J1121" s="7" t="inlineStr">
        <is>
          <t>Full ship DD&amp;C</t>
        </is>
      </c>
      <c r="K1121" s="13" t="inlineStr">
        <is>
          <t>USN</t>
        </is>
      </c>
      <c r="L1121" s="7" t="inlineStr">
        <is>
          <t>Combatant Ships</t>
        </is>
      </c>
      <c r="M1121" s="7" t="inlineStr">
        <is>
          <t>Surface Combatants</t>
        </is>
      </c>
      <c r="N1121" s="7" t="inlineStr">
        <is>
          <t>DDG</t>
        </is>
      </c>
      <c r="O1121" s="15" t="n"/>
      <c r="S1121" s="16" t="n">
        <v>14420</v>
      </c>
      <c r="U1121" s="16" t="n">
        <v>14420</v>
      </c>
      <c r="AC1121" s="23">
        <f>IF(OR(E1121="",E1121="[PARENT]"),"ADD",IF(E1121="[ALT_VIEW]","ALT",""))</f>
        <v/>
      </c>
      <c r="AD1121" s="21">
        <f>IF(Y1121&lt;&gt;"",Y1121,IF(U1121&lt;&gt;"",U1121,S1121))</f>
        <v/>
      </c>
      <c r="AE1121" s="21">
        <f>IF(AB1121&lt;&gt;"",AB1121,Z1121)</f>
        <v/>
      </c>
      <c r="AF1121" s="13" t="inlineStr">
        <is>
          <t>P-8a &gt; DDG 1000 &gt; Ordnance &gt; DDG 1002 Rubber Boots, Hatches, Shock Isolation (CPS) 4</t>
        </is>
      </c>
      <c r="AG1121" s="7" t="inlineStr">
        <is>
          <t>219</t>
        </is>
      </c>
      <c r="AH1121" s="7" t="inlineStr">
        <is>
          <t>2119</t>
        </is>
      </c>
      <c r="AJ1121" s="7" t="inlineStr">
        <is>
          <t>DDG 1002 Rubber Boots, Hatches, Shock Isolation (CPS)</t>
        </is>
      </c>
    </row>
    <row r="1122" ht="10" customHeight="1">
      <c r="A1122" s="7" t="inlineStr">
        <is>
          <t>SCN</t>
        </is>
      </c>
      <c r="B1122" s="7" t="inlineStr">
        <is>
          <t>Procurement</t>
        </is>
      </c>
      <c r="D1122" s="7" t="inlineStr">
        <is>
          <t>DDG 1000 - P-8a Ordnance - MISSION SYSTEM ACTIVATION</t>
        </is>
      </c>
      <c r="E1122" s="13" t="inlineStr">
        <is>
          <t>[ALT_VIEW]</t>
        </is>
      </c>
      <c r="F1122" s="7" t="inlineStr">
        <is>
          <t>2119 / DDG 1000</t>
        </is>
      </c>
      <c r="G1122" s="7" t="inlineStr">
        <is>
          <t>P-8a</t>
        </is>
      </c>
      <c r="H1122" s="7" t="inlineStr">
        <is>
          <t>Ordnance</t>
        </is>
      </c>
      <c r="I1122" s="14" t="n">
        <v>1</v>
      </c>
      <c r="J1122" s="7" t="inlineStr">
        <is>
          <t>Full ship DD&amp;C</t>
        </is>
      </c>
      <c r="K1122" s="13" t="inlineStr">
        <is>
          <t>USN</t>
        </is>
      </c>
      <c r="L1122" s="7" t="inlineStr">
        <is>
          <t>Combatant Ships</t>
        </is>
      </c>
      <c r="M1122" s="7" t="inlineStr">
        <is>
          <t>Surface Combatants</t>
        </is>
      </c>
      <c r="N1122" s="7" t="inlineStr">
        <is>
          <t>DDG</t>
        </is>
      </c>
      <c r="O1122" s="15" t="n"/>
      <c r="S1122" s="16" t="n">
        <v>2500</v>
      </c>
      <c r="U1122" s="16" t="n">
        <v>2500</v>
      </c>
      <c r="AC1122" s="23">
        <f>IF(OR(E1122="",E1122="[PARENT]"),"ADD",IF(E1122="[ALT_VIEW]","ALT",""))</f>
        <v/>
      </c>
      <c r="AD1122" s="21">
        <f>IF(Y1122&lt;&gt;"",Y1122,IF(U1122&lt;&gt;"",U1122,S1122))</f>
        <v/>
      </c>
      <c r="AE1122" s="21">
        <f>IF(AB1122&lt;&gt;"",AB1122,Z1122)</f>
        <v/>
      </c>
      <c r="AF1122" s="13" t="inlineStr">
        <is>
          <t>P-8a &gt; DDG 1000 &gt; Ordnance &gt; MISSION SYSTEM ACTIVATION</t>
        </is>
      </c>
      <c r="AG1122" s="7" t="inlineStr">
        <is>
          <t>219</t>
        </is>
      </c>
      <c r="AH1122" s="7" t="inlineStr">
        <is>
          <t>2119</t>
        </is>
      </c>
    </row>
    <row r="1123" ht="10" customHeight="1">
      <c r="A1123" s="7" t="inlineStr">
        <is>
          <t>SCN</t>
        </is>
      </c>
      <c r="B1123" s="7" t="inlineStr">
        <is>
          <t>Procurement</t>
        </is>
      </c>
      <c r="D1123" s="7" t="inlineStr">
        <is>
          <t>DDG 1000 - P-35 EXTERIOR COMMUNICATIONS (EXCOMMS) - Major Hardware                                                                                                                                            1</t>
        </is>
      </c>
      <c r="E1123" s="13" t="inlineStr">
        <is>
          <t>[ALT_VIEW]</t>
        </is>
      </c>
      <c r="F1123" s="7" t="inlineStr">
        <is>
          <t>2119 / DDG 1000</t>
        </is>
      </c>
      <c r="G1123" s="7" t="inlineStr">
        <is>
          <t>P-35</t>
        </is>
      </c>
      <c r="I1123" s="14" t="n">
        <v>1</v>
      </c>
      <c r="J1123" s="7" t="inlineStr">
        <is>
          <t>Full ship DD&amp;C</t>
        </is>
      </c>
      <c r="K1123" s="13" t="inlineStr">
        <is>
          <t>USN</t>
        </is>
      </c>
      <c r="L1123" s="7" t="inlineStr">
        <is>
          <t>Combatant Ships</t>
        </is>
      </c>
      <c r="M1123" s="7" t="inlineStr">
        <is>
          <t>Surface Combatants</t>
        </is>
      </c>
      <c r="N1123" s="7" t="inlineStr">
        <is>
          <t>DDG</t>
        </is>
      </c>
      <c r="O1123" s="15" t="n"/>
      <c r="S1123" s="16" t="n">
        <v>20600</v>
      </c>
      <c r="U1123" s="16" t="n">
        <v>20600</v>
      </c>
      <c r="AC1123" s="23">
        <f>IF(OR(E1123="",E1123="[PARENT]"),"ADD",IF(E1123="[ALT_VIEW]","ALT",""))</f>
        <v/>
      </c>
      <c r="AD1123" s="21">
        <f>IF(Y1123&lt;&gt;"",Y1123,IF(U1123&lt;&gt;"",U1123,S1123))</f>
        <v/>
      </c>
      <c r="AE1123" s="21">
        <f>IF(AB1123&lt;&gt;"",AB1123,Z1123)</f>
        <v/>
      </c>
      <c r="AF1123" s="13" t="inlineStr">
        <is>
          <t>P-35 &gt; DDG 1000 &gt; EXTERIOR COMMUNICATIONS (EXCOMMS) &gt; Major Hardware                                                                                                                                            1</t>
        </is>
      </c>
      <c r="AG1123" s="7" t="inlineStr">
        <is>
          <t>220</t>
        </is>
      </c>
      <c r="AH1123" s="7" t="inlineStr">
        <is>
          <t>2119</t>
        </is>
      </c>
    </row>
    <row r="1124" ht="10" customHeight="1">
      <c r="A1124" s="7" t="inlineStr">
        <is>
          <t>SCN</t>
        </is>
      </c>
      <c r="B1124" s="7" t="inlineStr">
        <is>
          <t>Procurement</t>
        </is>
      </c>
      <c r="D1124" s="7" t="inlineStr">
        <is>
          <t>DDG 1000 - P-35 EXTERIOR COMMUNICATIONS (EXCOMMS) - Technical Support Services</t>
        </is>
      </c>
      <c r="E1124" s="13" t="inlineStr">
        <is>
          <t>[ALT_VIEW]</t>
        </is>
      </c>
      <c r="F1124" s="7" t="inlineStr">
        <is>
          <t>2119 / DDG 1000</t>
        </is>
      </c>
      <c r="G1124" s="7" t="inlineStr">
        <is>
          <t>P-35</t>
        </is>
      </c>
      <c r="I1124" s="14" t="n">
        <v>1</v>
      </c>
      <c r="J1124" s="7" t="inlineStr">
        <is>
          <t>Full ship DD&amp;C</t>
        </is>
      </c>
      <c r="K1124" s="13" t="inlineStr">
        <is>
          <t>USN</t>
        </is>
      </c>
      <c r="L1124" s="7" t="inlineStr">
        <is>
          <t>Combatant Ships</t>
        </is>
      </c>
      <c r="M1124" s="7" t="inlineStr">
        <is>
          <t>Surface Combatants</t>
        </is>
      </c>
      <c r="N1124" s="7" t="inlineStr">
        <is>
          <t>DDG</t>
        </is>
      </c>
      <c r="O1124" s="15" t="n"/>
      <c r="S1124" s="16" t="n">
        <v>6585</v>
      </c>
      <c r="U1124" s="16" t="n">
        <v>6585</v>
      </c>
      <c r="AC1124" s="23">
        <f>IF(OR(E1124="",E1124="[PARENT]"),"ADD",IF(E1124="[ALT_VIEW]","ALT",""))</f>
        <v/>
      </c>
      <c r="AD1124" s="21">
        <f>IF(Y1124&lt;&gt;"",Y1124,IF(U1124&lt;&gt;"",U1124,S1124))</f>
        <v/>
      </c>
      <c r="AE1124" s="21">
        <f>IF(AB1124&lt;&gt;"",AB1124,Z1124)</f>
        <v/>
      </c>
      <c r="AF1124" s="13" t="inlineStr">
        <is>
          <t>P-35 &gt; DDG 1000 &gt; EXTERIOR COMMUNICATIONS (EXCOMMS) &gt; Technical Support Services</t>
        </is>
      </c>
      <c r="AG1124" s="7" t="inlineStr">
        <is>
          <t>220</t>
        </is>
      </c>
      <c r="AH1124" s="7" t="inlineStr">
        <is>
          <t>2119</t>
        </is>
      </c>
    </row>
    <row r="1125" ht="10" customHeight="1">
      <c r="A1125" s="7" t="inlineStr">
        <is>
          <t>SCN</t>
        </is>
      </c>
      <c r="B1125" s="7" t="inlineStr">
        <is>
          <t>Procurement</t>
        </is>
      </c>
      <c r="D1125" s="7" t="inlineStr">
        <is>
          <t>DDG 1000 - P-35 EXTERIOR COMMUNICATIONS (EXCOMMS) - Other / NRE</t>
        </is>
      </c>
      <c r="E1125" s="13" t="inlineStr">
        <is>
          <t>[ALT_VIEW]</t>
        </is>
      </c>
      <c r="F1125" s="7" t="inlineStr">
        <is>
          <t>2119 / DDG 1000</t>
        </is>
      </c>
      <c r="G1125" s="7" t="inlineStr">
        <is>
          <t>P-35</t>
        </is>
      </c>
      <c r="I1125" s="14" t="n">
        <v>1</v>
      </c>
      <c r="J1125" s="7" t="inlineStr">
        <is>
          <t>Full ship DD&amp;C</t>
        </is>
      </c>
      <c r="K1125" s="13" t="inlineStr">
        <is>
          <t>USN</t>
        </is>
      </c>
      <c r="L1125" s="7" t="inlineStr">
        <is>
          <t>Combatant Ships</t>
        </is>
      </c>
      <c r="M1125" s="7" t="inlineStr">
        <is>
          <t>Surface Combatants</t>
        </is>
      </c>
      <c r="N1125" s="7" t="inlineStr">
        <is>
          <t>DDG</t>
        </is>
      </c>
      <c r="O1125" s="15" t="n"/>
      <c r="S1125" s="16" t="n">
        <v>52777</v>
      </c>
      <c r="U1125" s="16" t="n">
        <v>52777</v>
      </c>
      <c r="AC1125" s="23">
        <f>IF(OR(E1125="",E1125="[PARENT]"),"ADD",IF(E1125="[ALT_VIEW]","ALT",""))</f>
        <v/>
      </c>
      <c r="AD1125" s="21">
        <f>IF(Y1125&lt;&gt;"",Y1125,IF(U1125&lt;&gt;"",U1125,S1125))</f>
        <v/>
      </c>
      <c r="AE1125" s="21">
        <f>IF(AB1125&lt;&gt;"",AB1125,Z1125)</f>
        <v/>
      </c>
      <c r="AF1125" s="13" t="inlineStr">
        <is>
          <t>P-35 &gt; DDG 1000 &gt; EXTERIOR COMMUNICATIONS (EXCOMMS) &gt; Other / NRE</t>
        </is>
      </c>
      <c r="AG1125" s="7" t="inlineStr">
        <is>
          <t>220</t>
        </is>
      </c>
      <c r="AH1125" s="7" t="inlineStr">
        <is>
          <t>2119</t>
        </is>
      </c>
    </row>
    <row r="1126" ht="10" customHeight="1">
      <c r="A1126" s="7" t="inlineStr">
        <is>
          <t>SCN</t>
        </is>
      </c>
      <c r="B1126" s="7" t="inlineStr">
        <is>
          <t>Procurement</t>
        </is>
      </c>
      <c r="D1126" s="7" t="inlineStr">
        <is>
          <t>DDG 1000 - P-35 INTEGRATED UNDERSEA WARFARE (IUSW) SYSTEM - Major Hardware                                                                                                                                               1</t>
        </is>
      </c>
      <c r="E1126" s="13" t="inlineStr">
        <is>
          <t>[ALT_VIEW]</t>
        </is>
      </c>
      <c r="F1126" s="7" t="inlineStr">
        <is>
          <t>2119 / DDG 1000</t>
        </is>
      </c>
      <c r="G1126" s="7" t="inlineStr">
        <is>
          <t>P-35</t>
        </is>
      </c>
      <c r="I1126" s="14" t="n">
        <v>1</v>
      </c>
      <c r="J1126" s="7" t="inlineStr">
        <is>
          <t>Full ship DD&amp;C</t>
        </is>
      </c>
      <c r="K1126" s="13" t="inlineStr">
        <is>
          <t>USN</t>
        </is>
      </c>
      <c r="L1126" s="7" t="inlineStr">
        <is>
          <t>Combatant Ships</t>
        </is>
      </c>
      <c r="M1126" s="7" t="inlineStr">
        <is>
          <t>Surface Combatants</t>
        </is>
      </c>
      <c r="N1126" s="7" t="inlineStr">
        <is>
          <t>DDG</t>
        </is>
      </c>
      <c r="O1126" s="15" t="n"/>
      <c r="S1126" s="16" t="n">
        <v>54300</v>
      </c>
      <c r="U1126" s="16" t="n">
        <v>54300</v>
      </c>
      <c r="AC1126" s="23">
        <f>IF(OR(E1126="",E1126="[PARENT]"),"ADD",IF(E1126="[ALT_VIEW]","ALT",""))</f>
        <v/>
      </c>
      <c r="AD1126" s="21">
        <f>IF(Y1126&lt;&gt;"",Y1126,IF(U1126&lt;&gt;"",U1126,S1126))</f>
        <v/>
      </c>
      <c r="AE1126" s="21">
        <f>IF(AB1126&lt;&gt;"",AB1126,Z1126)</f>
        <v/>
      </c>
      <c r="AF1126" s="13" t="inlineStr">
        <is>
          <t>P-35 &gt; DDG 1000 &gt; INTEGRATED UNDERSEA WARFARE (IUSW) SYSTEM &gt; Major Hardware                                                                                                                                               1</t>
        </is>
      </c>
      <c r="AG1126" s="7" t="inlineStr">
        <is>
          <t>221</t>
        </is>
      </c>
      <c r="AH1126" s="7" t="inlineStr">
        <is>
          <t>2119</t>
        </is>
      </c>
    </row>
    <row r="1127" ht="10" customHeight="1">
      <c r="A1127" s="7" t="inlineStr">
        <is>
          <t>SCN</t>
        </is>
      </c>
      <c r="B1127" s="7" t="inlineStr">
        <is>
          <t>Procurement</t>
        </is>
      </c>
      <c r="D1127" s="7" t="inlineStr">
        <is>
          <t>DDG 1000 - P-35 INTEGRATED UNDERSEA WARFARE (IUSW) SYSTEM - Technical Support Services</t>
        </is>
      </c>
      <c r="E1127" s="13" t="inlineStr">
        <is>
          <t>[ALT_VIEW]</t>
        </is>
      </c>
      <c r="F1127" s="7" t="inlineStr">
        <is>
          <t>2119 / DDG 1000</t>
        </is>
      </c>
      <c r="G1127" s="7" t="inlineStr">
        <is>
          <t>P-35</t>
        </is>
      </c>
      <c r="I1127" s="14" t="n">
        <v>1</v>
      </c>
      <c r="J1127" s="7" t="inlineStr">
        <is>
          <t>Full ship DD&amp;C</t>
        </is>
      </c>
      <c r="K1127" s="13" t="inlineStr">
        <is>
          <t>USN</t>
        </is>
      </c>
      <c r="L1127" s="7" t="inlineStr">
        <is>
          <t>Combatant Ships</t>
        </is>
      </c>
      <c r="M1127" s="7" t="inlineStr">
        <is>
          <t>Surface Combatants</t>
        </is>
      </c>
      <c r="N1127" s="7" t="inlineStr">
        <is>
          <t>DDG</t>
        </is>
      </c>
      <c r="O1127" s="15" t="n"/>
      <c r="S1127" s="16" t="n">
        <v>5639</v>
      </c>
      <c r="U1127" s="16" t="n">
        <v>5639</v>
      </c>
      <c r="AC1127" s="23">
        <f>IF(OR(E1127="",E1127="[PARENT]"),"ADD",IF(E1127="[ALT_VIEW]","ALT",""))</f>
        <v/>
      </c>
      <c r="AD1127" s="21">
        <f>IF(Y1127&lt;&gt;"",Y1127,IF(U1127&lt;&gt;"",U1127,S1127))</f>
        <v/>
      </c>
      <c r="AE1127" s="21">
        <f>IF(AB1127&lt;&gt;"",AB1127,Z1127)</f>
        <v/>
      </c>
      <c r="AF1127" s="13" t="inlineStr">
        <is>
          <t>P-35 &gt; DDG 1000 &gt; INTEGRATED UNDERSEA WARFARE (IUSW) SYSTEM &gt; Technical Support Services</t>
        </is>
      </c>
      <c r="AG1127" s="7" t="inlineStr">
        <is>
          <t>221</t>
        </is>
      </c>
      <c r="AH1127" s="7" t="inlineStr">
        <is>
          <t>2119</t>
        </is>
      </c>
    </row>
    <row r="1128" ht="10" customHeight="1">
      <c r="A1128" s="7" t="inlineStr">
        <is>
          <t>SCN</t>
        </is>
      </c>
      <c r="B1128" s="7" t="inlineStr">
        <is>
          <t>Procurement</t>
        </is>
      </c>
      <c r="D1128" s="7" t="inlineStr">
        <is>
          <t>DDG 1000 - P-35 INTEGRATED UNDERSEA WARFARE (IUSW) SYSTEM - Other / NRE</t>
        </is>
      </c>
      <c r="E1128" s="13" t="inlineStr">
        <is>
          <t>[ALT_VIEW]</t>
        </is>
      </c>
      <c r="F1128" s="7" t="inlineStr">
        <is>
          <t>2119 / DDG 1000</t>
        </is>
      </c>
      <c r="G1128" s="7" t="inlineStr">
        <is>
          <t>P-35</t>
        </is>
      </c>
      <c r="I1128" s="14" t="n">
        <v>1</v>
      </c>
      <c r="J1128" s="7" t="inlineStr">
        <is>
          <t>Full ship DD&amp;C</t>
        </is>
      </c>
      <c r="K1128" s="13" t="inlineStr">
        <is>
          <t>USN</t>
        </is>
      </c>
      <c r="L1128" s="7" t="inlineStr">
        <is>
          <t>Combatant Ships</t>
        </is>
      </c>
      <c r="M1128" s="7" t="inlineStr">
        <is>
          <t>Surface Combatants</t>
        </is>
      </c>
      <c r="N1128" s="7" t="inlineStr">
        <is>
          <t>DDG</t>
        </is>
      </c>
      <c r="O1128" s="15" t="n"/>
      <c r="S1128" s="16" t="n">
        <v>45197</v>
      </c>
      <c r="U1128" s="16" t="n">
        <v>45197</v>
      </c>
      <c r="AC1128" s="23">
        <f>IF(OR(E1128="",E1128="[PARENT]"),"ADD",IF(E1128="[ALT_VIEW]","ALT",""))</f>
        <v/>
      </c>
      <c r="AD1128" s="21">
        <f>IF(Y1128&lt;&gt;"",Y1128,IF(U1128&lt;&gt;"",U1128,S1128))</f>
        <v/>
      </c>
      <c r="AE1128" s="21">
        <f>IF(AB1128&lt;&gt;"",AB1128,Z1128)</f>
        <v/>
      </c>
      <c r="AF1128" s="13" t="inlineStr">
        <is>
          <t>P-35 &gt; DDG 1000 &gt; INTEGRATED UNDERSEA WARFARE (IUSW) SYSTEM &gt; Other / NRE</t>
        </is>
      </c>
      <c r="AG1128" s="7" t="inlineStr">
        <is>
          <t>221</t>
        </is>
      </c>
      <c r="AH1128" s="7" t="inlineStr">
        <is>
          <t>2119</t>
        </is>
      </c>
    </row>
    <row r="1129" ht="10" customHeight="1">
      <c r="A1129" s="7" t="inlineStr">
        <is>
          <t>SCN</t>
        </is>
      </c>
      <c r="B1129" s="7" t="inlineStr">
        <is>
          <t>Procurement</t>
        </is>
      </c>
      <c r="D1129" s="7" t="inlineStr">
        <is>
          <t>DDG 1000 - P-35 MULTI FUNCTION RADAR (MFR) - Major Hardware                                                                                                                                                   1</t>
        </is>
      </c>
      <c r="E1129" s="13" t="inlineStr">
        <is>
          <t>[ALT_VIEW]</t>
        </is>
      </c>
      <c r="F1129" s="7" t="inlineStr">
        <is>
          <t>2119 / DDG 1000</t>
        </is>
      </c>
      <c r="G1129" s="7" t="inlineStr">
        <is>
          <t>P-35</t>
        </is>
      </c>
      <c r="I1129" s="14" t="n">
        <v>1</v>
      </c>
      <c r="J1129" s="7" t="inlineStr">
        <is>
          <t>Full ship DD&amp;C</t>
        </is>
      </c>
      <c r="K1129" s="13" t="inlineStr">
        <is>
          <t>USN</t>
        </is>
      </c>
      <c r="L1129" s="7" t="inlineStr">
        <is>
          <t>Combatant Ships</t>
        </is>
      </c>
      <c r="M1129" s="7" t="inlineStr">
        <is>
          <t>Surface Combatants</t>
        </is>
      </c>
      <c r="N1129" s="7" t="inlineStr">
        <is>
          <t>DDG</t>
        </is>
      </c>
      <c r="O1129" s="15" t="n"/>
      <c r="S1129" s="16" t="n">
        <v>189573</v>
      </c>
      <c r="U1129" s="16" t="n">
        <v>189573</v>
      </c>
      <c r="AC1129" s="23">
        <f>IF(OR(E1129="",E1129="[PARENT]"),"ADD",IF(E1129="[ALT_VIEW]","ALT",""))</f>
        <v/>
      </c>
      <c r="AD1129" s="21">
        <f>IF(Y1129&lt;&gt;"",Y1129,IF(U1129&lt;&gt;"",U1129,S1129))</f>
        <v/>
      </c>
      <c r="AE1129" s="21">
        <f>IF(AB1129&lt;&gt;"",AB1129,Z1129)</f>
        <v/>
      </c>
      <c r="AF1129" s="13" t="inlineStr">
        <is>
          <t>P-35 &gt; DDG 1000 &gt; MULTI FUNCTION RADAR (MFR) &gt; Major Hardware                                                                                                                                                   1</t>
        </is>
      </c>
      <c r="AG1129" s="7" t="inlineStr">
        <is>
          <t>222</t>
        </is>
      </c>
      <c r="AH1129" s="7" t="inlineStr">
        <is>
          <t>2119</t>
        </is>
      </c>
    </row>
    <row r="1130" ht="10" customHeight="1">
      <c r="A1130" s="7" t="inlineStr">
        <is>
          <t>SCN</t>
        </is>
      </c>
      <c r="B1130" s="7" t="inlineStr">
        <is>
          <t>Procurement</t>
        </is>
      </c>
      <c r="D1130" s="7" t="inlineStr">
        <is>
          <t>DDG 1000 - P-35 MULTI FUNCTION RADAR (MFR) - Technical Support Services</t>
        </is>
      </c>
      <c r="E1130" s="13" t="inlineStr">
        <is>
          <t>[ALT_VIEW]</t>
        </is>
      </c>
      <c r="F1130" s="7" t="inlineStr">
        <is>
          <t>2119 / DDG 1000</t>
        </is>
      </c>
      <c r="G1130" s="7" t="inlineStr">
        <is>
          <t>P-35</t>
        </is>
      </c>
      <c r="I1130" s="14" t="n">
        <v>1</v>
      </c>
      <c r="J1130" s="7" t="inlineStr">
        <is>
          <t>Full ship DD&amp;C</t>
        </is>
      </c>
      <c r="K1130" s="13" t="inlineStr">
        <is>
          <t>USN</t>
        </is>
      </c>
      <c r="L1130" s="7" t="inlineStr">
        <is>
          <t>Combatant Ships</t>
        </is>
      </c>
      <c r="M1130" s="7" t="inlineStr">
        <is>
          <t>Surface Combatants</t>
        </is>
      </c>
      <c r="N1130" s="7" t="inlineStr">
        <is>
          <t>DDG</t>
        </is>
      </c>
      <c r="O1130" s="15" t="n"/>
      <c r="S1130" s="16" t="n">
        <v>11145</v>
      </c>
      <c r="U1130" s="16" t="n">
        <v>11145</v>
      </c>
      <c r="AC1130" s="23">
        <f>IF(OR(E1130="",E1130="[PARENT]"),"ADD",IF(E1130="[ALT_VIEW]","ALT",""))</f>
        <v/>
      </c>
      <c r="AD1130" s="21">
        <f>IF(Y1130&lt;&gt;"",Y1130,IF(U1130&lt;&gt;"",U1130,S1130))</f>
        <v/>
      </c>
      <c r="AE1130" s="21">
        <f>IF(AB1130&lt;&gt;"",AB1130,Z1130)</f>
        <v/>
      </c>
      <c r="AF1130" s="13" t="inlineStr">
        <is>
          <t>P-35 &gt; DDG 1000 &gt; MULTI FUNCTION RADAR (MFR) &gt; Technical Support Services</t>
        </is>
      </c>
      <c r="AG1130" s="7" t="inlineStr">
        <is>
          <t>222</t>
        </is>
      </c>
      <c r="AH1130" s="7" t="inlineStr">
        <is>
          <t>2119</t>
        </is>
      </c>
    </row>
    <row r="1131" ht="10" customHeight="1">
      <c r="A1131" s="7" t="inlineStr">
        <is>
          <t>SCN</t>
        </is>
      </c>
      <c r="B1131" s="7" t="inlineStr">
        <is>
          <t>Procurement</t>
        </is>
      </c>
      <c r="D1131" s="7" t="inlineStr">
        <is>
          <t>DDG 1000 - P-35 MULTI FUNCTION RADAR (MFR) - Other / NRE</t>
        </is>
      </c>
      <c r="E1131" s="13" t="inlineStr">
        <is>
          <t>[ALT_VIEW]</t>
        </is>
      </c>
      <c r="F1131" s="7" t="inlineStr">
        <is>
          <t>2119 / DDG 1000</t>
        </is>
      </c>
      <c r="G1131" s="7" t="inlineStr">
        <is>
          <t>P-35</t>
        </is>
      </c>
      <c r="I1131" s="14" t="n">
        <v>1</v>
      </c>
      <c r="J1131" s="7" t="inlineStr">
        <is>
          <t>Full ship DD&amp;C</t>
        </is>
      </c>
      <c r="K1131" s="13" t="inlineStr">
        <is>
          <t>USN</t>
        </is>
      </c>
      <c r="L1131" s="7" t="inlineStr">
        <is>
          <t>Combatant Ships</t>
        </is>
      </c>
      <c r="M1131" s="7" t="inlineStr">
        <is>
          <t>Surface Combatants</t>
        </is>
      </c>
      <c r="N1131" s="7" t="inlineStr">
        <is>
          <t>DDG</t>
        </is>
      </c>
      <c r="O1131" s="15" t="n"/>
      <c r="S1131" s="16" t="n">
        <v>97281</v>
      </c>
      <c r="U1131" s="16" t="n">
        <v>97281</v>
      </c>
      <c r="AC1131" s="23">
        <f>IF(OR(E1131="",E1131="[PARENT]"),"ADD",IF(E1131="[ALT_VIEW]","ALT",""))</f>
        <v/>
      </c>
      <c r="AD1131" s="21">
        <f>IF(Y1131&lt;&gt;"",Y1131,IF(U1131&lt;&gt;"",U1131,S1131))</f>
        <v/>
      </c>
      <c r="AE1131" s="21">
        <f>IF(AB1131&lt;&gt;"",AB1131,Z1131)</f>
        <v/>
      </c>
      <c r="AF1131" s="13" t="inlineStr">
        <is>
          <t>P-35 &gt; DDG 1000 &gt; MULTI FUNCTION RADAR (MFR) &gt; Other / NRE</t>
        </is>
      </c>
      <c r="AG1131" s="7" t="inlineStr">
        <is>
          <t>222</t>
        </is>
      </c>
      <c r="AH1131" s="7" t="inlineStr">
        <is>
          <t>2119</t>
        </is>
      </c>
    </row>
    <row r="1132" ht="10" customHeight="1">
      <c r="A1132" s="7" t="inlineStr">
        <is>
          <t>SCN</t>
        </is>
      </c>
      <c r="B1132" s="7" t="inlineStr">
        <is>
          <t>Procurement</t>
        </is>
      </c>
      <c r="D1132" s="7" t="inlineStr">
        <is>
          <t>DDG 1000 - P-35 COMMON ARRAY POWER SYSTEM (CAPS) - Major Hardware                                                                                                                                               1</t>
        </is>
      </c>
      <c r="E1132" s="13" t="inlineStr">
        <is>
          <t>[ALT_VIEW]</t>
        </is>
      </c>
      <c r="F1132" s="7" t="inlineStr">
        <is>
          <t>2119 / DDG 1000</t>
        </is>
      </c>
      <c r="G1132" s="7" t="inlineStr">
        <is>
          <t>P-35</t>
        </is>
      </c>
      <c r="I1132" s="14" t="n">
        <v>1</v>
      </c>
      <c r="J1132" s="7" t="inlineStr">
        <is>
          <t>Full ship DD&amp;C</t>
        </is>
      </c>
      <c r="K1132" s="13" t="inlineStr">
        <is>
          <t>USN</t>
        </is>
      </c>
      <c r="L1132" s="7" t="inlineStr">
        <is>
          <t>Combatant Ships</t>
        </is>
      </c>
      <c r="M1132" s="7" t="inlineStr">
        <is>
          <t>Surface Combatants</t>
        </is>
      </c>
      <c r="N1132" s="7" t="inlineStr">
        <is>
          <t>DDG</t>
        </is>
      </c>
      <c r="O1132" s="15" t="n"/>
      <c r="S1132" s="16" t="n">
        <v>12624</v>
      </c>
      <c r="U1132" s="16" t="n">
        <v>12624</v>
      </c>
      <c r="AC1132" s="23">
        <f>IF(OR(E1132="",E1132="[PARENT]"),"ADD",IF(E1132="[ALT_VIEW]","ALT",""))</f>
        <v/>
      </c>
      <c r="AD1132" s="21">
        <f>IF(Y1132&lt;&gt;"",Y1132,IF(U1132&lt;&gt;"",U1132,S1132))</f>
        <v/>
      </c>
      <c r="AE1132" s="21">
        <f>IF(AB1132&lt;&gt;"",AB1132,Z1132)</f>
        <v/>
      </c>
      <c r="AF1132" s="13" t="inlineStr">
        <is>
          <t>P-35 &gt; DDG 1000 &gt; COMMON ARRAY POWER SYSTEM (CAPS) &gt; Major Hardware                                                                                                                                               1</t>
        </is>
      </c>
      <c r="AG1132" s="7" t="inlineStr">
        <is>
          <t>223</t>
        </is>
      </c>
      <c r="AH1132" s="7" t="inlineStr">
        <is>
          <t>2119</t>
        </is>
      </c>
    </row>
    <row r="1133" ht="10" customHeight="1">
      <c r="A1133" s="7" t="inlineStr">
        <is>
          <t>SCN</t>
        </is>
      </c>
      <c r="B1133" s="7" t="inlineStr">
        <is>
          <t>Procurement</t>
        </is>
      </c>
      <c r="D1133" s="7" t="inlineStr">
        <is>
          <t>DDG 1000 - P-35 COMMON ARRAY POWER SYSTEM (CAPS) - Technical Support Services</t>
        </is>
      </c>
      <c r="E1133" s="13" t="inlineStr">
        <is>
          <t>[ALT_VIEW]</t>
        </is>
      </c>
      <c r="F1133" s="7" t="inlineStr">
        <is>
          <t>2119 / DDG 1000</t>
        </is>
      </c>
      <c r="G1133" s="7" t="inlineStr">
        <is>
          <t>P-35</t>
        </is>
      </c>
      <c r="I1133" s="14" t="n">
        <v>1</v>
      </c>
      <c r="J1133" s="7" t="inlineStr">
        <is>
          <t>Full ship DD&amp;C</t>
        </is>
      </c>
      <c r="K1133" s="13" t="inlineStr">
        <is>
          <t>USN</t>
        </is>
      </c>
      <c r="L1133" s="7" t="inlineStr">
        <is>
          <t>Combatant Ships</t>
        </is>
      </c>
      <c r="M1133" s="7" t="inlineStr">
        <is>
          <t>Surface Combatants</t>
        </is>
      </c>
      <c r="N1133" s="7" t="inlineStr">
        <is>
          <t>DDG</t>
        </is>
      </c>
      <c r="O1133" s="15" t="n"/>
      <c r="S1133" s="16" t="n">
        <v>420</v>
      </c>
      <c r="U1133" s="16" t="n">
        <v>420</v>
      </c>
      <c r="AC1133" s="23">
        <f>IF(OR(E1133="",E1133="[PARENT]"),"ADD",IF(E1133="[ALT_VIEW]","ALT",""))</f>
        <v/>
      </c>
      <c r="AD1133" s="21">
        <f>IF(Y1133&lt;&gt;"",Y1133,IF(U1133&lt;&gt;"",U1133,S1133))</f>
        <v/>
      </c>
      <c r="AE1133" s="21">
        <f>IF(AB1133&lt;&gt;"",AB1133,Z1133)</f>
        <v/>
      </c>
      <c r="AF1133" s="13" t="inlineStr">
        <is>
          <t>P-35 &gt; DDG 1000 &gt; COMMON ARRAY POWER SYSTEM (CAPS) &gt; Technical Support Services</t>
        </is>
      </c>
      <c r="AG1133" s="7" t="inlineStr">
        <is>
          <t>223</t>
        </is>
      </c>
      <c r="AH1133" s="7" t="inlineStr">
        <is>
          <t>2119</t>
        </is>
      </c>
    </row>
    <row r="1134" ht="10" customHeight="1">
      <c r="A1134" s="7" t="inlineStr">
        <is>
          <t>SCN</t>
        </is>
      </c>
      <c r="B1134" s="7" t="inlineStr">
        <is>
          <t>Procurement</t>
        </is>
      </c>
      <c r="D1134" s="7" t="inlineStr">
        <is>
          <t>DDG 1000 - P-35 COMMON ARRAY POWER SYSTEM (CAPS) - Other / NRE</t>
        </is>
      </c>
      <c r="E1134" s="13" t="inlineStr">
        <is>
          <t>[ALT_VIEW]</t>
        </is>
      </c>
      <c r="F1134" s="7" t="inlineStr">
        <is>
          <t>2119 / DDG 1000</t>
        </is>
      </c>
      <c r="G1134" s="7" t="inlineStr">
        <is>
          <t>P-35</t>
        </is>
      </c>
      <c r="I1134" s="14" t="n">
        <v>1</v>
      </c>
      <c r="J1134" s="7" t="inlineStr">
        <is>
          <t>Full ship DD&amp;C</t>
        </is>
      </c>
      <c r="K1134" s="13" t="inlineStr">
        <is>
          <t>USN</t>
        </is>
      </c>
      <c r="L1134" s="7" t="inlineStr">
        <is>
          <t>Combatant Ships</t>
        </is>
      </c>
      <c r="M1134" s="7" t="inlineStr">
        <is>
          <t>Surface Combatants</t>
        </is>
      </c>
      <c r="N1134" s="7" t="inlineStr">
        <is>
          <t>DDG</t>
        </is>
      </c>
      <c r="O1134" s="15" t="n"/>
      <c r="S1134" s="16" t="n">
        <v>3365</v>
      </c>
      <c r="U1134" s="16" t="n">
        <v>3365</v>
      </c>
      <c r="AC1134" s="23">
        <f>IF(OR(E1134="",E1134="[PARENT]"),"ADD",IF(E1134="[ALT_VIEW]","ALT",""))</f>
        <v/>
      </c>
      <c r="AD1134" s="21">
        <f>IF(Y1134&lt;&gt;"",Y1134,IF(U1134&lt;&gt;"",U1134,S1134))</f>
        <v/>
      </c>
      <c r="AE1134" s="21">
        <f>IF(AB1134&lt;&gt;"",AB1134,Z1134)</f>
        <v/>
      </c>
      <c r="AF1134" s="13" t="inlineStr">
        <is>
          <t>P-35 &gt; DDG 1000 &gt; COMMON ARRAY POWER SYSTEM (CAPS) &gt; Other / NRE</t>
        </is>
      </c>
      <c r="AG1134" s="7" t="inlineStr">
        <is>
          <t>223</t>
        </is>
      </c>
      <c r="AH1134" s="7" t="inlineStr">
        <is>
          <t>2119</t>
        </is>
      </c>
    </row>
    <row r="1135" ht="10" customHeight="1">
      <c r="A1135" s="7" t="inlineStr">
        <is>
          <t>SCN</t>
        </is>
      </c>
      <c r="B1135" s="7" t="inlineStr">
        <is>
          <t>Procurement</t>
        </is>
      </c>
      <c r="D1135" s="7" t="inlineStr">
        <is>
          <t>DDG 1000 - P-35 TOTAL SHIP COMPUTING ENVIRONMENT (TSCE) - Major Hardware                                                                                                                                             1</t>
        </is>
      </c>
      <c r="E1135" s="13" t="inlineStr">
        <is>
          <t>[ALT_VIEW]</t>
        </is>
      </c>
      <c r="F1135" s="7" t="inlineStr">
        <is>
          <t>2119 / DDG 1000</t>
        </is>
      </c>
      <c r="G1135" s="7" t="inlineStr">
        <is>
          <t>P-35</t>
        </is>
      </c>
      <c r="I1135" s="14" t="n">
        <v>1</v>
      </c>
      <c r="J1135" s="7" t="inlineStr">
        <is>
          <t>Full ship DD&amp;C</t>
        </is>
      </c>
      <c r="K1135" s="13" t="inlineStr">
        <is>
          <t>USN</t>
        </is>
      </c>
      <c r="L1135" s="7" t="inlineStr">
        <is>
          <t>Combatant Ships</t>
        </is>
      </c>
      <c r="M1135" s="7" t="inlineStr">
        <is>
          <t>Surface Combatants</t>
        </is>
      </c>
      <c r="N1135" s="7" t="inlineStr">
        <is>
          <t>DDG</t>
        </is>
      </c>
      <c r="O1135" s="15" t="n"/>
      <c r="S1135" s="16" t="n">
        <v>147453</v>
      </c>
      <c r="U1135" s="16" t="n">
        <v>147453</v>
      </c>
      <c r="AC1135" s="23">
        <f>IF(OR(E1135="",E1135="[PARENT]"),"ADD",IF(E1135="[ALT_VIEW]","ALT",""))</f>
        <v/>
      </c>
      <c r="AD1135" s="21">
        <f>IF(Y1135&lt;&gt;"",Y1135,IF(U1135&lt;&gt;"",U1135,S1135))</f>
        <v/>
      </c>
      <c r="AE1135" s="21">
        <f>IF(AB1135&lt;&gt;"",AB1135,Z1135)</f>
        <v/>
      </c>
      <c r="AF1135" s="13" t="inlineStr">
        <is>
          <t>P-35 &gt; DDG 1000 &gt; TOTAL SHIP COMPUTING ENVIRONMENT (TSCE) &gt; Major Hardware                                                                                                                                             1</t>
        </is>
      </c>
      <c r="AG1135" s="7" t="inlineStr">
        <is>
          <t>224</t>
        </is>
      </c>
      <c r="AH1135" s="7" t="inlineStr">
        <is>
          <t>2119</t>
        </is>
      </c>
    </row>
    <row r="1136" ht="10" customHeight="1">
      <c r="A1136" s="7" t="inlineStr">
        <is>
          <t>SCN</t>
        </is>
      </c>
      <c r="B1136" s="7" t="inlineStr">
        <is>
          <t>Procurement</t>
        </is>
      </c>
      <c r="D1136" s="7" t="inlineStr">
        <is>
          <t>DDG 1000 - P-35 TOTAL SHIP COMPUTING ENVIRONMENT (TSCE) - Technical Support Services</t>
        </is>
      </c>
      <c r="E1136" s="13" t="inlineStr">
        <is>
          <t>[ALT_VIEW]</t>
        </is>
      </c>
      <c r="F1136" s="7" t="inlineStr">
        <is>
          <t>2119 / DDG 1000</t>
        </is>
      </c>
      <c r="G1136" s="7" t="inlineStr">
        <is>
          <t>P-35</t>
        </is>
      </c>
      <c r="I1136" s="14" t="n">
        <v>1</v>
      </c>
      <c r="J1136" s="7" t="inlineStr">
        <is>
          <t>Full ship DD&amp;C</t>
        </is>
      </c>
      <c r="K1136" s="13" t="inlineStr">
        <is>
          <t>USN</t>
        </is>
      </c>
      <c r="L1136" s="7" t="inlineStr">
        <is>
          <t>Combatant Ships</t>
        </is>
      </c>
      <c r="M1136" s="7" t="inlineStr">
        <is>
          <t>Surface Combatants</t>
        </is>
      </c>
      <c r="N1136" s="7" t="inlineStr">
        <is>
          <t>DDG</t>
        </is>
      </c>
      <c r="O1136" s="15" t="n"/>
      <c r="S1136" s="16" t="n">
        <v>10499</v>
      </c>
      <c r="U1136" s="16" t="n">
        <v>10499</v>
      </c>
      <c r="AC1136" s="23">
        <f>IF(OR(E1136="",E1136="[PARENT]"),"ADD",IF(E1136="[ALT_VIEW]","ALT",""))</f>
        <v/>
      </c>
      <c r="AD1136" s="21">
        <f>IF(Y1136&lt;&gt;"",Y1136,IF(U1136&lt;&gt;"",U1136,S1136))</f>
        <v/>
      </c>
      <c r="AE1136" s="21">
        <f>IF(AB1136&lt;&gt;"",AB1136,Z1136)</f>
        <v/>
      </c>
      <c r="AF1136" s="13" t="inlineStr">
        <is>
          <t>P-35 &gt; DDG 1000 &gt; TOTAL SHIP COMPUTING ENVIRONMENT (TSCE) &gt; Technical Support Services</t>
        </is>
      </c>
      <c r="AG1136" s="7" t="inlineStr">
        <is>
          <t>224</t>
        </is>
      </c>
      <c r="AH1136" s="7" t="inlineStr">
        <is>
          <t>2119</t>
        </is>
      </c>
    </row>
    <row r="1137" ht="10" customHeight="1">
      <c r="A1137" s="7" t="inlineStr">
        <is>
          <t>SCN</t>
        </is>
      </c>
      <c r="B1137" s="7" t="inlineStr">
        <is>
          <t>Procurement</t>
        </is>
      </c>
      <c r="D1137" s="7" t="inlineStr">
        <is>
          <t>DDG 1000 - P-35 TOTAL SHIP COMPUTING ENVIRONMENT (TSCE) - Other / NRE</t>
        </is>
      </c>
      <c r="E1137" s="13" t="inlineStr">
        <is>
          <t>[ALT_VIEW]</t>
        </is>
      </c>
      <c r="F1137" s="7" t="inlineStr">
        <is>
          <t>2119 / DDG 1000</t>
        </is>
      </c>
      <c r="G1137" s="7" t="inlineStr">
        <is>
          <t>P-35</t>
        </is>
      </c>
      <c r="I1137" s="14" t="n">
        <v>1</v>
      </c>
      <c r="J1137" s="7" t="inlineStr">
        <is>
          <t>Full ship DD&amp;C</t>
        </is>
      </c>
      <c r="K1137" s="13" t="inlineStr">
        <is>
          <t>USN</t>
        </is>
      </c>
      <c r="L1137" s="7" t="inlineStr">
        <is>
          <t>Combatant Ships</t>
        </is>
      </c>
      <c r="M1137" s="7" t="inlineStr">
        <is>
          <t>Surface Combatants</t>
        </is>
      </c>
      <c r="N1137" s="7" t="inlineStr">
        <is>
          <t>DDG</t>
        </is>
      </c>
      <c r="O1137" s="15" t="n"/>
      <c r="S1137" s="16" t="n">
        <v>101239</v>
      </c>
      <c r="U1137" s="16" t="n">
        <v>101239</v>
      </c>
      <c r="AC1137" s="23">
        <f>IF(OR(E1137="",E1137="[PARENT]"),"ADD",IF(E1137="[ALT_VIEW]","ALT",""))</f>
        <v/>
      </c>
      <c r="AD1137" s="21">
        <f>IF(Y1137&lt;&gt;"",Y1137,IF(U1137&lt;&gt;"",U1137,S1137))</f>
        <v/>
      </c>
      <c r="AE1137" s="21">
        <f>IF(AB1137&lt;&gt;"",AB1137,Z1137)</f>
        <v/>
      </c>
      <c r="AF1137" s="13" t="inlineStr">
        <is>
          <t>P-35 &gt; DDG 1000 &gt; TOTAL SHIP COMPUTING ENVIRONMENT (TSCE) &gt; Other / NRE</t>
        </is>
      </c>
      <c r="AG1137" s="7" t="inlineStr">
        <is>
          <t>224</t>
        </is>
      </c>
      <c r="AH1137" s="7" t="inlineStr">
        <is>
          <t>2119</t>
        </is>
      </c>
    </row>
    <row r="1138" ht="10" customHeight="1">
      <c r="A1138" s="7" t="inlineStr">
        <is>
          <t>SCN</t>
        </is>
      </c>
      <c r="B1138" s="7" t="inlineStr">
        <is>
          <t>Procurement</t>
        </is>
      </c>
      <c r="D1138" s="7" t="inlineStr">
        <is>
          <t>DDG 1000 - P-35 TOTAL SHIP COMPUTING ENVIRONMENT (TSCE) - Total                                                                                                                                                      1</t>
        </is>
      </c>
      <c r="E1138" s="13" t="inlineStr">
        <is>
          <t>[ALT_VIEW]</t>
        </is>
      </c>
      <c r="F1138" s="7" t="inlineStr">
        <is>
          <t>2119 / DDG 1000</t>
        </is>
      </c>
      <c r="G1138" s="7" t="inlineStr">
        <is>
          <t>P-35</t>
        </is>
      </c>
      <c r="I1138" s="14" t="n">
        <v>1</v>
      </c>
      <c r="J1138" s="7" t="inlineStr">
        <is>
          <t>Full ship DD&amp;C</t>
        </is>
      </c>
      <c r="K1138" s="13" t="inlineStr">
        <is>
          <t>USN</t>
        </is>
      </c>
      <c r="L1138" s="7" t="inlineStr">
        <is>
          <t>Combatant Ships</t>
        </is>
      </c>
      <c r="M1138" s="7" t="inlineStr">
        <is>
          <t>Surface Combatants</t>
        </is>
      </c>
      <c r="N1138" s="7" t="inlineStr">
        <is>
          <t>DDG</t>
        </is>
      </c>
      <c r="O1138" s="15" t="n"/>
      <c r="S1138" s="16" t="n">
        <v>259191</v>
      </c>
      <c r="U1138" s="16" t="n">
        <v>259191</v>
      </c>
      <c r="AC1138" s="23">
        <f>IF(OR(E1138="",E1138="[PARENT]"),"ADD",IF(E1138="[ALT_VIEW]","ALT",""))</f>
        <v/>
      </c>
      <c r="AD1138" s="21">
        <f>IF(Y1138&lt;&gt;"",Y1138,IF(U1138&lt;&gt;"",U1138,S1138))</f>
        <v/>
      </c>
      <c r="AE1138" s="21">
        <f>IF(AB1138&lt;&gt;"",AB1138,Z1138)</f>
        <v/>
      </c>
      <c r="AF1138" s="13" t="inlineStr">
        <is>
          <t>P-35 &gt; DDG 1000 &gt; TOTAL SHIP COMPUTING ENVIRONMENT (TSCE) &gt; Total                                                                                                                                                      1</t>
        </is>
      </c>
      <c r="AG1138" s="7" t="inlineStr">
        <is>
          <t>224</t>
        </is>
      </c>
      <c r="AH1138" s="7" t="inlineStr">
        <is>
          <t>2119</t>
        </is>
      </c>
    </row>
    <row r="1139" ht="10" customHeight="1">
      <c r="A1139" s="7" t="inlineStr">
        <is>
          <t>SCN</t>
        </is>
      </c>
      <c r="B1139" s="7" t="inlineStr">
        <is>
          <t>Procurement</t>
        </is>
      </c>
      <c r="D1139" s="7" t="inlineStr">
        <is>
          <t>DDG 1000 - P-35 ELECTRO-OPTICAL / INFRARED (EO/IR) - Major Hardware                                                                                                                                                  1</t>
        </is>
      </c>
      <c r="E1139" s="13" t="inlineStr">
        <is>
          <t>[ALT_VIEW]</t>
        </is>
      </c>
      <c r="F1139" s="7" t="inlineStr">
        <is>
          <t>2119 / DDG 1000</t>
        </is>
      </c>
      <c r="G1139" s="7" t="inlineStr">
        <is>
          <t>P-35</t>
        </is>
      </c>
      <c r="I1139" s="14" t="n">
        <v>1</v>
      </c>
      <c r="J1139" s="7" t="inlineStr">
        <is>
          <t>Full ship DD&amp;C</t>
        </is>
      </c>
      <c r="K1139" s="13" t="inlineStr">
        <is>
          <t>USN</t>
        </is>
      </c>
      <c r="L1139" s="7" t="inlineStr">
        <is>
          <t>Combatant Ships</t>
        </is>
      </c>
      <c r="M1139" s="7" t="inlineStr">
        <is>
          <t>Surface Combatants</t>
        </is>
      </c>
      <c r="N1139" s="7" t="inlineStr">
        <is>
          <t>DDG</t>
        </is>
      </c>
      <c r="O1139" s="15" t="n"/>
      <c r="S1139" s="16" t="n">
        <v>12973</v>
      </c>
      <c r="U1139" s="16" t="n">
        <v>12973</v>
      </c>
      <c r="AC1139" s="23">
        <f>IF(OR(E1139="",E1139="[PARENT]"),"ADD",IF(E1139="[ALT_VIEW]","ALT",""))</f>
        <v/>
      </c>
      <c r="AD1139" s="21">
        <f>IF(Y1139&lt;&gt;"",Y1139,IF(U1139&lt;&gt;"",U1139,S1139))</f>
        <v/>
      </c>
      <c r="AE1139" s="21">
        <f>IF(AB1139&lt;&gt;"",AB1139,Z1139)</f>
        <v/>
      </c>
      <c r="AF1139" s="13" t="inlineStr">
        <is>
          <t>P-35 &gt; DDG 1000 &gt; ELECTRO-OPTICAL / INFRARED (EO/IR) &gt; Major Hardware                                                                                                                                                  1</t>
        </is>
      </c>
      <c r="AG1139" s="7" t="inlineStr">
        <is>
          <t>225</t>
        </is>
      </c>
      <c r="AH1139" s="7" t="inlineStr">
        <is>
          <t>2119</t>
        </is>
      </c>
    </row>
    <row r="1140" ht="10" customHeight="1">
      <c r="A1140" s="7" t="inlineStr">
        <is>
          <t>SCN</t>
        </is>
      </c>
      <c r="B1140" s="7" t="inlineStr">
        <is>
          <t>Procurement</t>
        </is>
      </c>
      <c r="D1140" s="7" t="inlineStr">
        <is>
          <t>DDG 1000 - P-35 ELECTRO-OPTICAL / INFRARED (EO/IR) - Technical Support Services</t>
        </is>
      </c>
      <c r="E1140" s="13" t="inlineStr">
        <is>
          <t>[ALT_VIEW]</t>
        </is>
      </c>
      <c r="F1140" s="7" t="inlineStr">
        <is>
          <t>2119 / DDG 1000</t>
        </is>
      </c>
      <c r="G1140" s="7" t="inlineStr">
        <is>
          <t>P-35</t>
        </is>
      </c>
      <c r="I1140" s="14" t="n">
        <v>1</v>
      </c>
      <c r="J1140" s="7" t="inlineStr">
        <is>
          <t>Full ship DD&amp;C</t>
        </is>
      </c>
      <c r="K1140" s="13" t="inlineStr">
        <is>
          <t>USN</t>
        </is>
      </c>
      <c r="L1140" s="7" t="inlineStr">
        <is>
          <t>Combatant Ships</t>
        </is>
      </c>
      <c r="M1140" s="7" t="inlineStr">
        <is>
          <t>Surface Combatants</t>
        </is>
      </c>
      <c r="N1140" s="7" t="inlineStr">
        <is>
          <t>DDG</t>
        </is>
      </c>
      <c r="O1140" s="15" t="n"/>
      <c r="S1140" s="16" t="n">
        <v>1551</v>
      </c>
      <c r="U1140" s="16" t="n">
        <v>1551</v>
      </c>
      <c r="AC1140" s="23">
        <f>IF(OR(E1140="",E1140="[PARENT]"),"ADD",IF(E1140="[ALT_VIEW]","ALT",""))</f>
        <v/>
      </c>
      <c r="AD1140" s="21">
        <f>IF(Y1140&lt;&gt;"",Y1140,IF(U1140&lt;&gt;"",U1140,S1140))</f>
        <v/>
      </c>
      <c r="AE1140" s="21">
        <f>IF(AB1140&lt;&gt;"",AB1140,Z1140)</f>
        <v/>
      </c>
      <c r="AF1140" s="13" t="inlineStr">
        <is>
          <t>P-35 &gt; DDG 1000 &gt; ELECTRO-OPTICAL / INFRARED (EO/IR) &gt; Technical Support Services</t>
        </is>
      </c>
      <c r="AG1140" s="7" t="inlineStr">
        <is>
          <t>225</t>
        </is>
      </c>
      <c r="AH1140" s="7" t="inlineStr">
        <is>
          <t>2119</t>
        </is>
      </c>
    </row>
    <row r="1141" ht="10" customHeight="1">
      <c r="A1141" s="7" t="inlineStr">
        <is>
          <t>SCN</t>
        </is>
      </c>
      <c r="B1141" s="7" t="inlineStr">
        <is>
          <t>Procurement</t>
        </is>
      </c>
      <c r="D1141" s="7" t="inlineStr">
        <is>
          <t>DDG 1000 - P-35 ELECTRO-OPTICAL / INFRARED (EO/IR) - Other / NRE</t>
        </is>
      </c>
      <c r="E1141" s="13" t="inlineStr">
        <is>
          <t>[ALT_VIEW]</t>
        </is>
      </c>
      <c r="F1141" s="7" t="inlineStr">
        <is>
          <t>2119 / DDG 1000</t>
        </is>
      </c>
      <c r="G1141" s="7" t="inlineStr">
        <is>
          <t>P-35</t>
        </is>
      </c>
      <c r="I1141" s="14" t="n">
        <v>1</v>
      </c>
      <c r="J1141" s="7" t="inlineStr">
        <is>
          <t>Full ship DD&amp;C</t>
        </is>
      </c>
      <c r="K1141" s="13" t="inlineStr">
        <is>
          <t>USN</t>
        </is>
      </c>
      <c r="L1141" s="7" t="inlineStr">
        <is>
          <t>Combatant Ships</t>
        </is>
      </c>
      <c r="M1141" s="7" t="inlineStr">
        <is>
          <t>Surface Combatants</t>
        </is>
      </c>
      <c r="N1141" s="7" t="inlineStr">
        <is>
          <t>DDG</t>
        </is>
      </c>
      <c r="O1141" s="15" t="n"/>
      <c r="S1141" s="16" t="n">
        <v>16928</v>
      </c>
      <c r="U1141" s="16" t="n">
        <v>16928</v>
      </c>
      <c r="AC1141" s="23">
        <f>IF(OR(E1141="",E1141="[PARENT]"),"ADD",IF(E1141="[ALT_VIEW]","ALT",""))</f>
        <v/>
      </c>
      <c r="AD1141" s="21">
        <f>IF(Y1141&lt;&gt;"",Y1141,IF(U1141&lt;&gt;"",U1141,S1141))</f>
        <v/>
      </c>
      <c r="AE1141" s="21">
        <f>IF(AB1141&lt;&gt;"",AB1141,Z1141)</f>
        <v/>
      </c>
      <c r="AF1141" s="13" t="inlineStr">
        <is>
          <t>P-35 &gt; DDG 1000 &gt; ELECTRO-OPTICAL / INFRARED (EO/IR) &gt; Other / NRE</t>
        </is>
      </c>
      <c r="AG1141" s="7" t="inlineStr">
        <is>
          <t>225</t>
        </is>
      </c>
      <c r="AH1141" s="7" t="inlineStr">
        <is>
          <t>2119</t>
        </is>
      </c>
    </row>
    <row r="1142" ht="10" customHeight="1">
      <c r="A1142" s="7" t="inlineStr">
        <is>
          <t>SCN</t>
        </is>
      </c>
      <c r="B1142" s="7" t="inlineStr">
        <is>
          <t>Procurement</t>
        </is>
      </c>
      <c r="D1142" s="7" t="inlineStr">
        <is>
          <t>DDG 1000 - P-35 IDENTIFICATION FRIEND OR FOE (IFF) - Major Hardware                                                                                                                                                       1</t>
        </is>
      </c>
      <c r="E1142" s="13" t="inlineStr">
        <is>
          <t>[ALT_VIEW]</t>
        </is>
      </c>
      <c r="F1142" s="7" t="inlineStr">
        <is>
          <t>2119 / DDG 1000</t>
        </is>
      </c>
      <c r="G1142" s="7" t="inlineStr">
        <is>
          <t>P-35</t>
        </is>
      </c>
      <c r="I1142" s="14" t="n">
        <v>1</v>
      </c>
      <c r="J1142" s="7" t="inlineStr">
        <is>
          <t>Full ship DD&amp;C</t>
        </is>
      </c>
      <c r="K1142" s="13" t="inlineStr">
        <is>
          <t>USN</t>
        </is>
      </c>
      <c r="L1142" s="7" t="inlineStr">
        <is>
          <t>Combatant Ships</t>
        </is>
      </c>
      <c r="M1142" s="7" t="inlineStr">
        <is>
          <t>Surface Combatants</t>
        </is>
      </c>
      <c r="N1142" s="7" t="inlineStr">
        <is>
          <t>DDG</t>
        </is>
      </c>
      <c r="O1142" s="15" t="n"/>
      <c r="S1142" s="16" t="n">
        <v>8640</v>
      </c>
      <c r="U1142" s="16" t="n">
        <v>8640</v>
      </c>
      <c r="AC1142" s="23">
        <f>IF(OR(E1142="",E1142="[PARENT]"),"ADD",IF(E1142="[ALT_VIEW]","ALT",""))</f>
        <v/>
      </c>
      <c r="AD1142" s="21">
        <f>IF(Y1142&lt;&gt;"",Y1142,IF(U1142&lt;&gt;"",U1142,S1142))</f>
        <v/>
      </c>
      <c r="AE1142" s="21">
        <f>IF(AB1142&lt;&gt;"",AB1142,Z1142)</f>
        <v/>
      </c>
      <c r="AF1142" s="13" t="inlineStr">
        <is>
          <t>P-35 &gt; DDG 1000 &gt; IDENTIFICATION FRIEND OR FOE (IFF) &gt; Major Hardware                                                                                                                                                       1</t>
        </is>
      </c>
      <c r="AG1142" s="7" t="inlineStr">
        <is>
          <t>226</t>
        </is>
      </c>
      <c r="AH1142" s="7" t="inlineStr">
        <is>
          <t>2119</t>
        </is>
      </c>
    </row>
    <row r="1143" ht="10" customHeight="1">
      <c r="A1143" s="7" t="inlineStr">
        <is>
          <t>SCN</t>
        </is>
      </c>
      <c r="B1143" s="7" t="inlineStr">
        <is>
          <t>Procurement</t>
        </is>
      </c>
      <c r="D1143" s="7" t="inlineStr">
        <is>
          <t>DDG 1000 - P-35 IDENTIFICATION FRIEND OR FOE (IFF) - Technical Support Services</t>
        </is>
      </c>
      <c r="E1143" s="13" t="inlineStr">
        <is>
          <t>[ALT_VIEW]</t>
        </is>
      </c>
      <c r="F1143" s="7" t="inlineStr">
        <is>
          <t>2119 / DDG 1000</t>
        </is>
      </c>
      <c r="G1143" s="7" t="inlineStr">
        <is>
          <t>P-35</t>
        </is>
      </c>
      <c r="I1143" s="14" t="n">
        <v>1</v>
      </c>
      <c r="J1143" s="7" t="inlineStr">
        <is>
          <t>Full ship DD&amp;C</t>
        </is>
      </c>
      <c r="K1143" s="13" t="inlineStr">
        <is>
          <t>USN</t>
        </is>
      </c>
      <c r="L1143" s="7" t="inlineStr">
        <is>
          <t>Combatant Ships</t>
        </is>
      </c>
      <c r="M1143" s="7" t="inlineStr">
        <is>
          <t>Surface Combatants</t>
        </is>
      </c>
      <c r="N1143" s="7" t="inlineStr">
        <is>
          <t>DDG</t>
        </is>
      </c>
      <c r="O1143" s="15" t="n"/>
      <c r="S1143" s="16" t="n">
        <v>2163</v>
      </c>
      <c r="U1143" s="16" t="n">
        <v>2163</v>
      </c>
      <c r="AC1143" s="23">
        <f>IF(OR(E1143="",E1143="[PARENT]"),"ADD",IF(E1143="[ALT_VIEW]","ALT",""))</f>
        <v/>
      </c>
      <c r="AD1143" s="21">
        <f>IF(Y1143&lt;&gt;"",Y1143,IF(U1143&lt;&gt;"",U1143,S1143))</f>
        <v/>
      </c>
      <c r="AE1143" s="21">
        <f>IF(AB1143&lt;&gt;"",AB1143,Z1143)</f>
        <v/>
      </c>
      <c r="AF1143" s="13" t="inlineStr">
        <is>
          <t>P-35 &gt; DDG 1000 &gt; IDENTIFICATION FRIEND OR FOE (IFF) &gt; Technical Support Services</t>
        </is>
      </c>
      <c r="AG1143" s="7" t="inlineStr">
        <is>
          <t>226</t>
        </is>
      </c>
      <c r="AH1143" s="7" t="inlineStr">
        <is>
          <t>2119</t>
        </is>
      </c>
    </row>
    <row r="1144" ht="10" customHeight="1">
      <c r="A1144" s="7" t="inlineStr">
        <is>
          <t>SCN</t>
        </is>
      </c>
      <c r="B1144" s="7" t="inlineStr">
        <is>
          <t>Procurement</t>
        </is>
      </c>
      <c r="D1144" s="7" t="inlineStr">
        <is>
          <t>DDG 1000 - P-35 IDENTIFICATION FRIEND OR FOE (IFF) - Other / NRE</t>
        </is>
      </c>
      <c r="E1144" s="13" t="inlineStr">
        <is>
          <t>[ALT_VIEW]</t>
        </is>
      </c>
      <c r="F1144" s="7" t="inlineStr">
        <is>
          <t>2119 / DDG 1000</t>
        </is>
      </c>
      <c r="G1144" s="7" t="inlineStr">
        <is>
          <t>P-35</t>
        </is>
      </c>
      <c r="I1144" s="14" t="n">
        <v>1</v>
      </c>
      <c r="J1144" s="7" t="inlineStr">
        <is>
          <t>Full ship DD&amp;C</t>
        </is>
      </c>
      <c r="K1144" s="13" t="inlineStr">
        <is>
          <t>USN</t>
        </is>
      </c>
      <c r="L1144" s="7" t="inlineStr">
        <is>
          <t>Combatant Ships</t>
        </is>
      </c>
      <c r="M1144" s="7" t="inlineStr">
        <is>
          <t>Surface Combatants</t>
        </is>
      </c>
      <c r="N1144" s="7" t="inlineStr">
        <is>
          <t>DDG</t>
        </is>
      </c>
      <c r="O1144" s="15" t="n"/>
      <c r="S1144" s="16" t="n">
        <v>17335</v>
      </c>
      <c r="U1144" s="16" t="n">
        <v>17335</v>
      </c>
      <c r="AC1144" s="23">
        <f>IF(OR(E1144="",E1144="[PARENT]"),"ADD",IF(E1144="[ALT_VIEW]","ALT",""))</f>
        <v/>
      </c>
      <c r="AD1144" s="21">
        <f>IF(Y1144&lt;&gt;"",Y1144,IF(U1144&lt;&gt;"",U1144,S1144))</f>
        <v/>
      </c>
      <c r="AE1144" s="21">
        <f>IF(AB1144&lt;&gt;"",AB1144,Z1144)</f>
        <v/>
      </c>
      <c r="AF1144" s="13" t="inlineStr">
        <is>
          <t>P-35 &gt; DDG 1000 &gt; IDENTIFICATION FRIEND OR FOE (IFF) &gt; Other / NRE</t>
        </is>
      </c>
      <c r="AG1144" s="7" t="inlineStr">
        <is>
          <t>226</t>
        </is>
      </c>
      <c r="AH1144" s="7" t="inlineStr">
        <is>
          <t>2119</t>
        </is>
      </c>
    </row>
    <row r="1145" ht="10" customHeight="1">
      <c r="A1145" s="7" t="inlineStr">
        <is>
          <t>SCN</t>
        </is>
      </c>
      <c r="B1145" s="7" t="inlineStr">
        <is>
          <t>Procurement</t>
        </is>
      </c>
      <c r="D1145" s="7" t="inlineStr">
        <is>
          <t>DDG 1000 - P-35 COMMON ARRAY COOLING SYSTEM (CACS) - Technical Support Services</t>
        </is>
      </c>
      <c r="E1145" s="13" t="inlineStr">
        <is>
          <t>[ALT_VIEW]</t>
        </is>
      </c>
      <c r="F1145" s="7" t="inlineStr">
        <is>
          <t>2119 / DDG 1000</t>
        </is>
      </c>
      <c r="G1145" s="7" t="inlineStr">
        <is>
          <t>P-35</t>
        </is>
      </c>
      <c r="I1145" s="14" t="n">
        <v>1</v>
      </c>
      <c r="J1145" s="7" t="inlineStr">
        <is>
          <t>Full ship DD&amp;C</t>
        </is>
      </c>
      <c r="K1145" s="13" t="inlineStr">
        <is>
          <t>USN</t>
        </is>
      </c>
      <c r="L1145" s="7" t="inlineStr">
        <is>
          <t>Combatant Ships</t>
        </is>
      </c>
      <c r="M1145" s="7" t="inlineStr">
        <is>
          <t>Surface Combatants</t>
        </is>
      </c>
      <c r="N1145" s="7" t="inlineStr">
        <is>
          <t>DDG</t>
        </is>
      </c>
      <c r="O1145" s="15" t="n"/>
      <c r="S1145" s="16" t="n">
        <v>107</v>
      </c>
      <c r="U1145" s="16" t="n">
        <v>107</v>
      </c>
      <c r="AC1145" s="23">
        <f>IF(OR(E1145="",E1145="[PARENT]"),"ADD",IF(E1145="[ALT_VIEW]","ALT",""))</f>
        <v/>
      </c>
      <c r="AD1145" s="21">
        <f>IF(Y1145&lt;&gt;"",Y1145,IF(U1145&lt;&gt;"",U1145,S1145))</f>
        <v/>
      </c>
      <c r="AE1145" s="21">
        <f>IF(AB1145&lt;&gt;"",AB1145,Z1145)</f>
        <v/>
      </c>
      <c r="AF1145" s="13" t="inlineStr">
        <is>
          <t>P-35 &gt; DDG 1000 &gt; COMMON ARRAY COOLING SYSTEM (CACS) &gt; Technical Support Services</t>
        </is>
      </c>
      <c r="AG1145" s="7" t="inlineStr">
        <is>
          <t>227</t>
        </is>
      </c>
      <c r="AH1145" s="7" t="inlineStr">
        <is>
          <t>2119</t>
        </is>
      </c>
    </row>
    <row r="1146" ht="10" customHeight="1">
      <c r="A1146" s="7" t="inlineStr">
        <is>
          <t>SCN</t>
        </is>
      </c>
      <c r="B1146" s="7" t="inlineStr">
        <is>
          <t>Procurement</t>
        </is>
      </c>
      <c r="D1146" s="7" t="inlineStr">
        <is>
          <t>DDG 1000 - P-35 COMMON ARRAY COOLING SYSTEM (CACS) - Other / NRE</t>
        </is>
      </c>
      <c r="E1146" s="13" t="inlineStr">
        <is>
          <t>[ALT_VIEW]</t>
        </is>
      </c>
      <c r="F1146" s="7" t="inlineStr">
        <is>
          <t>2119 / DDG 1000</t>
        </is>
      </c>
      <c r="G1146" s="7" t="inlineStr">
        <is>
          <t>P-35</t>
        </is>
      </c>
      <c r="I1146" s="14" t="n">
        <v>1</v>
      </c>
      <c r="J1146" s="7" t="inlineStr">
        <is>
          <t>Full ship DD&amp;C</t>
        </is>
      </c>
      <c r="K1146" s="13" t="inlineStr">
        <is>
          <t>USN</t>
        </is>
      </c>
      <c r="L1146" s="7" t="inlineStr">
        <is>
          <t>Combatant Ships</t>
        </is>
      </c>
      <c r="M1146" s="7" t="inlineStr">
        <is>
          <t>Surface Combatants</t>
        </is>
      </c>
      <c r="N1146" s="7" t="inlineStr">
        <is>
          <t>DDG</t>
        </is>
      </c>
      <c r="O1146" s="15" t="n"/>
      <c r="S1146" s="16" t="n">
        <v>858</v>
      </c>
      <c r="U1146" s="16" t="n">
        <v>858</v>
      </c>
      <c r="AC1146" s="23">
        <f>IF(OR(E1146="",E1146="[PARENT]"),"ADD",IF(E1146="[ALT_VIEW]","ALT",""))</f>
        <v/>
      </c>
      <c r="AD1146" s="21">
        <f>IF(Y1146&lt;&gt;"",Y1146,IF(U1146&lt;&gt;"",U1146,S1146))</f>
        <v/>
      </c>
      <c r="AE1146" s="21">
        <f>IF(AB1146&lt;&gt;"",AB1146,Z1146)</f>
        <v/>
      </c>
      <c r="AF1146" s="13" t="inlineStr">
        <is>
          <t>P-35 &gt; DDG 1000 &gt; COMMON ARRAY COOLING SYSTEM (CACS) &gt; Other / NRE</t>
        </is>
      </c>
      <c r="AG1146" s="7" t="inlineStr">
        <is>
          <t>227</t>
        </is>
      </c>
      <c r="AH1146" s="7" t="inlineStr">
        <is>
          <t>2119</t>
        </is>
      </c>
    </row>
    <row r="1147" ht="10" customHeight="1">
      <c r="A1147" s="7" t="inlineStr">
        <is>
          <t>SCN</t>
        </is>
      </c>
      <c r="B1147" s="7" t="inlineStr">
        <is>
          <t>Procurement</t>
        </is>
      </c>
      <c r="D1147" s="7" t="inlineStr">
        <is>
          <t>DDG 1000 - P-35 SHIP CONTROL SYSTEM (SCS) - Major Hardware                                                                                                                                                   1</t>
        </is>
      </c>
      <c r="E1147" s="13" t="inlineStr">
        <is>
          <t>[ALT_VIEW]</t>
        </is>
      </c>
      <c r="F1147" s="7" t="inlineStr">
        <is>
          <t>2119 / DDG 1000</t>
        </is>
      </c>
      <c r="G1147" s="7" t="inlineStr">
        <is>
          <t>P-35</t>
        </is>
      </c>
      <c r="I1147" s="14" t="n">
        <v>1</v>
      </c>
      <c r="J1147" s="7" t="inlineStr">
        <is>
          <t>Full ship DD&amp;C</t>
        </is>
      </c>
      <c r="K1147" s="13" t="inlineStr">
        <is>
          <t>USN</t>
        </is>
      </c>
      <c r="L1147" s="7" t="inlineStr">
        <is>
          <t>Combatant Ships</t>
        </is>
      </c>
      <c r="M1147" s="7" t="inlineStr">
        <is>
          <t>Surface Combatants</t>
        </is>
      </c>
      <c r="N1147" s="7" t="inlineStr">
        <is>
          <t>DDG</t>
        </is>
      </c>
      <c r="O1147" s="15" t="n"/>
      <c r="S1147" s="16" t="n">
        <v>42801</v>
      </c>
      <c r="U1147" s="16" t="n">
        <v>42801</v>
      </c>
      <c r="AC1147" s="23">
        <f>IF(OR(E1147="",E1147="[PARENT]"),"ADD",IF(E1147="[ALT_VIEW]","ALT",""))</f>
        <v/>
      </c>
      <c r="AD1147" s="21">
        <f>IF(Y1147&lt;&gt;"",Y1147,IF(U1147&lt;&gt;"",U1147,S1147))</f>
        <v/>
      </c>
      <c r="AE1147" s="21">
        <f>IF(AB1147&lt;&gt;"",AB1147,Z1147)</f>
        <v/>
      </c>
      <c r="AF1147" s="13" t="inlineStr">
        <is>
          <t>P-35 &gt; DDG 1000 &gt; SHIP CONTROL SYSTEM (SCS) &gt; Major Hardware                                                                                                                                                   1</t>
        </is>
      </c>
      <c r="AG1147" s="7" t="inlineStr">
        <is>
          <t>228</t>
        </is>
      </c>
      <c r="AH1147" s="7" t="inlineStr">
        <is>
          <t>2119</t>
        </is>
      </c>
    </row>
    <row r="1148" ht="10" customHeight="1">
      <c r="A1148" s="7" t="inlineStr">
        <is>
          <t>SCN</t>
        </is>
      </c>
      <c r="B1148" s="7" t="inlineStr">
        <is>
          <t>Procurement</t>
        </is>
      </c>
      <c r="D1148" s="7" t="inlineStr">
        <is>
          <t>DDG 1000 - P-35 SHIP CONTROL SYSTEM (SCS) - Technical Support Services</t>
        </is>
      </c>
      <c r="E1148" s="13" t="inlineStr">
        <is>
          <t>[ALT_VIEW]</t>
        </is>
      </c>
      <c r="F1148" s="7" t="inlineStr">
        <is>
          <t>2119 / DDG 1000</t>
        </is>
      </c>
      <c r="G1148" s="7" t="inlineStr">
        <is>
          <t>P-35</t>
        </is>
      </c>
      <c r="I1148" s="14" t="n">
        <v>1</v>
      </c>
      <c r="J1148" s="7" t="inlineStr">
        <is>
          <t>Full ship DD&amp;C</t>
        </is>
      </c>
      <c r="K1148" s="13" t="inlineStr">
        <is>
          <t>USN</t>
        </is>
      </c>
      <c r="L1148" s="7" t="inlineStr">
        <is>
          <t>Combatant Ships</t>
        </is>
      </c>
      <c r="M1148" s="7" t="inlineStr">
        <is>
          <t>Surface Combatants</t>
        </is>
      </c>
      <c r="N1148" s="7" t="inlineStr">
        <is>
          <t>DDG</t>
        </is>
      </c>
      <c r="O1148" s="15" t="n"/>
      <c r="S1148" s="16" t="n">
        <v>8256</v>
      </c>
      <c r="U1148" s="16" t="n">
        <v>8256</v>
      </c>
      <c r="AC1148" s="23">
        <f>IF(OR(E1148="",E1148="[PARENT]"),"ADD",IF(E1148="[ALT_VIEW]","ALT",""))</f>
        <v/>
      </c>
      <c r="AD1148" s="21">
        <f>IF(Y1148&lt;&gt;"",Y1148,IF(U1148&lt;&gt;"",U1148,S1148))</f>
        <v/>
      </c>
      <c r="AE1148" s="21">
        <f>IF(AB1148&lt;&gt;"",AB1148,Z1148)</f>
        <v/>
      </c>
      <c r="AF1148" s="13" t="inlineStr">
        <is>
          <t>P-35 &gt; DDG 1000 &gt; SHIP CONTROL SYSTEM (SCS) &gt; Technical Support Services</t>
        </is>
      </c>
      <c r="AG1148" s="7" t="inlineStr">
        <is>
          <t>228</t>
        </is>
      </c>
      <c r="AH1148" s="7" t="inlineStr">
        <is>
          <t>2119</t>
        </is>
      </c>
    </row>
    <row r="1149" ht="10" customHeight="1">
      <c r="A1149" s="7" t="inlineStr">
        <is>
          <t>SCN</t>
        </is>
      </c>
      <c r="B1149" s="7" t="inlineStr">
        <is>
          <t>Procurement</t>
        </is>
      </c>
      <c r="D1149" s="7" t="inlineStr">
        <is>
          <t>DDG 1000 - P-35 SHIP CONTROL SYSTEM (SCS) - Other / NRE</t>
        </is>
      </c>
      <c r="E1149" s="13" t="inlineStr">
        <is>
          <t>[ALT_VIEW]</t>
        </is>
      </c>
      <c r="F1149" s="7" t="inlineStr">
        <is>
          <t>2119 / DDG 1000</t>
        </is>
      </c>
      <c r="G1149" s="7" t="inlineStr">
        <is>
          <t>P-35</t>
        </is>
      </c>
      <c r="I1149" s="14" t="n">
        <v>1</v>
      </c>
      <c r="J1149" s="7" t="inlineStr">
        <is>
          <t>Full ship DD&amp;C</t>
        </is>
      </c>
      <c r="K1149" s="13" t="inlineStr">
        <is>
          <t>USN</t>
        </is>
      </c>
      <c r="L1149" s="7" t="inlineStr">
        <is>
          <t>Combatant Ships</t>
        </is>
      </c>
      <c r="M1149" s="7" t="inlineStr">
        <is>
          <t>Surface Combatants</t>
        </is>
      </c>
      <c r="N1149" s="7" t="inlineStr">
        <is>
          <t>DDG</t>
        </is>
      </c>
      <c r="O1149" s="15" t="n"/>
      <c r="S1149" s="16" t="n">
        <v>66172</v>
      </c>
      <c r="U1149" s="16" t="n">
        <v>66172</v>
      </c>
      <c r="AC1149" s="23">
        <f>IF(OR(E1149="",E1149="[PARENT]"),"ADD",IF(E1149="[ALT_VIEW]","ALT",""))</f>
        <v/>
      </c>
      <c r="AD1149" s="21">
        <f>IF(Y1149&lt;&gt;"",Y1149,IF(U1149&lt;&gt;"",U1149,S1149))</f>
        <v/>
      </c>
      <c r="AE1149" s="21">
        <f>IF(AB1149&lt;&gt;"",AB1149,Z1149)</f>
        <v/>
      </c>
      <c r="AF1149" s="13" t="inlineStr">
        <is>
          <t>P-35 &gt; DDG 1000 &gt; SHIP CONTROL SYSTEM (SCS) &gt; Other / NRE</t>
        </is>
      </c>
      <c r="AG1149" s="7" t="inlineStr">
        <is>
          <t>228</t>
        </is>
      </c>
      <c r="AH1149" s="7" t="inlineStr">
        <is>
          <t>0933</t>
        </is>
      </c>
    </row>
    <row r="1150" ht="10" customHeight="1">
      <c r="A1150" s="7" t="inlineStr">
        <is>
          <t>SCN</t>
        </is>
      </c>
      <c r="B1150" s="7" t="inlineStr">
        <is>
          <t>Procurement</t>
        </is>
      </c>
      <c r="D1150" s="7" t="inlineStr">
        <is>
          <t>DDG 1000 - P-35 COOPERATIVE ENGAGEMENT CAPABILITY (CEC) - Major Hardware                                                                                                                                                        1</t>
        </is>
      </c>
      <c r="E1150" s="13" t="inlineStr">
        <is>
          <t>[ALT_VIEW]</t>
        </is>
      </c>
      <c r="F1150" s="7" t="inlineStr">
        <is>
          <t>2119 / DDG 1000</t>
        </is>
      </c>
      <c r="G1150" s="7" t="inlineStr">
        <is>
          <t>P-35</t>
        </is>
      </c>
      <c r="I1150" s="14" t="n">
        <v>1</v>
      </c>
      <c r="J1150" s="7" t="inlineStr">
        <is>
          <t>Full ship DD&amp;C</t>
        </is>
      </c>
      <c r="K1150" s="13" t="inlineStr">
        <is>
          <t>USN</t>
        </is>
      </c>
      <c r="L1150" s="7" t="inlineStr">
        <is>
          <t>Combatant Ships</t>
        </is>
      </c>
      <c r="M1150" s="7" t="inlineStr">
        <is>
          <t>Surface Combatants</t>
        </is>
      </c>
      <c r="N1150" s="7" t="inlineStr">
        <is>
          <t>DDG</t>
        </is>
      </c>
      <c r="O1150" s="15" t="n"/>
      <c r="S1150" s="16" t="n">
        <v>6800</v>
      </c>
      <c r="U1150" s="16" t="n">
        <v>6800</v>
      </c>
      <c r="AC1150" s="23">
        <f>IF(OR(E1150="",E1150="[PARENT]"),"ADD",IF(E1150="[ALT_VIEW]","ALT",""))</f>
        <v/>
      </c>
      <c r="AD1150" s="21">
        <f>IF(Y1150&lt;&gt;"",Y1150,IF(U1150&lt;&gt;"",U1150,S1150))</f>
        <v/>
      </c>
      <c r="AE1150" s="21">
        <f>IF(AB1150&lt;&gt;"",AB1150,Z1150)</f>
        <v/>
      </c>
      <c r="AF1150" s="13" t="inlineStr">
        <is>
          <t>P-35 &gt; DDG 1000 &gt; COOPERATIVE ENGAGEMENT CAPABILITY (CEC) &gt; Major Hardware                                                                                                                                                        1</t>
        </is>
      </c>
      <c r="AG1150" s="7" t="inlineStr">
        <is>
          <t>229</t>
        </is>
      </c>
      <c r="AH1150" s="7" t="inlineStr">
        <is>
          <t>2119</t>
        </is>
      </c>
    </row>
    <row r="1151" ht="10" customHeight="1">
      <c r="A1151" s="7" t="inlineStr">
        <is>
          <t>SCN</t>
        </is>
      </c>
      <c r="B1151" s="7" t="inlineStr">
        <is>
          <t>Procurement</t>
        </is>
      </c>
      <c r="D1151" s="7" t="inlineStr">
        <is>
          <t>DDG 1000 - P-35 COOPERATIVE ENGAGEMENT CAPABILITY (CEC) - Technical Support Services</t>
        </is>
      </c>
      <c r="E1151" s="13" t="inlineStr">
        <is>
          <t>[ALT_VIEW]</t>
        </is>
      </c>
      <c r="F1151" s="7" t="inlineStr">
        <is>
          <t>2119 / DDG 1000</t>
        </is>
      </c>
      <c r="G1151" s="7" t="inlineStr">
        <is>
          <t>P-35</t>
        </is>
      </c>
      <c r="I1151" s="14" t="n">
        <v>1</v>
      </c>
      <c r="J1151" s="7" t="inlineStr">
        <is>
          <t>Full ship DD&amp;C</t>
        </is>
      </c>
      <c r="K1151" s="13" t="inlineStr">
        <is>
          <t>USN</t>
        </is>
      </c>
      <c r="L1151" s="7" t="inlineStr">
        <is>
          <t>Combatant Ships</t>
        </is>
      </c>
      <c r="M1151" s="7" t="inlineStr">
        <is>
          <t>Surface Combatants</t>
        </is>
      </c>
      <c r="N1151" s="7" t="inlineStr">
        <is>
          <t>DDG</t>
        </is>
      </c>
      <c r="O1151" s="15" t="n"/>
      <c r="S1151" s="16" t="n">
        <v>1000</v>
      </c>
      <c r="U1151" s="16" t="n">
        <v>1000</v>
      </c>
      <c r="AC1151" s="23">
        <f>IF(OR(E1151="",E1151="[PARENT]"),"ADD",IF(E1151="[ALT_VIEW]","ALT",""))</f>
        <v/>
      </c>
      <c r="AD1151" s="21">
        <f>IF(Y1151&lt;&gt;"",Y1151,IF(U1151&lt;&gt;"",U1151,S1151))</f>
        <v/>
      </c>
      <c r="AE1151" s="21">
        <f>IF(AB1151&lt;&gt;"",AB1151,Z1151)</f>
        <v/>
      </c>
      <c r="AF1151" s="13" t="inlineStr">
        <is>
          <t>P-35 &gt; DDG 1000 &gt; COOPERATIVE ENGAGEMENT CAPABILITY (CEC) &gt; Technical Support Services</t>
        </is>
      </c>
      <c r="AG1151" s="7" t="inlineStr">
        <is>
          <t>229</t>
        </is>
      </c>
      <c r="AH1151" s="7" t="inlineStr">
        <is>
          <t>2119</t>
        </is>
      </c>
    </row>
    <row r="1152" ht="10" customHeight="1">
      <c r="A1152" s="7" t="inlineStr">
        <is>
          <t>SCN</t>
        </is>
      </c>
      <c r="B1152" s="7" t="inlineStr">
        <is>
          <t>Procurement</t>
        </is>
      </c>
      <c r="D1152" s="7" t="inlineStr">
        <is>
          <t>DDG 1000 - P-35 SURFACE ELECTRONIC WARFARE IMPROVEMENT PROGRAM (SEWIP) - Major Hardware                                                                                                                                                    1</t>
        </is>
      </c>
      <c r="E1152" s="13" t="inlineStr">
        <is>
          <t>[ALT_VIEW]</t>
        </is>
      </c>
      <c r="F1152" s="7" t="inlineStr">
        <is>
          <t>2119 / DDG 1000</t>
        </is>
      </c>
      <c r="G1152" s="7" t="inlineStr">
        <is>
          <t>P-35</t>
        </is>
      </c>
      <c r="I1152" s="14" t="n">
        <v>1</v>
      </c>
      <c r="J1152" s="7" t="inlineStr">
        <is>
          <t>Full ship DD&amp;C</t>
        </is>
      </c>
      <c r="K1152" s="13" t="inlineStr">
        <is>
          <t>USN</t>
        </is>
      </c>
      <c r="L1152" s="7" t="inlineStr">
        <is>
          <t>Combatant Ships</t>
        </is>
      </c>
      <c r="M1152" s="7" t="inlineStr">
        <is>
          <t>Surface Combatants</t>
        </is>
      </c>
      <c r="N1152" s="7" t="inlineStr">
        <is>
          <t>DDG</t>
        </is>
      </c>
      <c r="O1152" s="15" t="n"/>
      <c r="S1152" s="16" t="n">
        <v>15906</v>
      </c>
      <c r="U1152" s="16" t="n">
        <v>15906</v>
      </c>
      <c r="AC1152" s="23">
        <f>IF(OR(E1152="",E1152="[PARENT]"),"ADD",IF(E1152="[ALT_VIEW]","ALT",""))</f>
        <v/>
      </c>
      <c r="AD1152" s="21">
        <f>IF(Y1152&lt;&gt;"",Y1152,IF(U1152&lt;&gt;"",U1152,S1152))</f>
        <v/>
      </c>
      <c r="AE1152" s="21">
        <f>IF(AB1152&lt;&gt;"",AB1152,Z1152)</f>
        <v/>
      </c>
      <c r="AF1152" s="13" t="inlineStr">
        <is>
          <t>P-35 &gt; DDG 1000 &gt; SURFACE ELECTRONIC WARFARE IMPROVEMENT PROGRAM (SEWIP) &gt; Major Hardware                                                                                                                                                    1</t>
        </is>
      </c>
      <c r="AG1152" s="7" t="inlineStr">
        <is>
          <t>230</t>
        </is>
      </c>
      <c r="AH1152" s="7" t="inlineStr">
        <is>
          <t>2119</t>
        </is>
      </c>
    </row>
    <row r="1153" ht="10" customHeight="1">
      <c r="A1153" s="7" t="inlineStr">
        <is>
          <t>SCN</t>
        </is>
      </c>
      <c r="B1153" s="7" t="inlineStr">
        <is>
          <t>Procurement</t>
        </is>
      </c>
      <c r="D1153" s="7" t="inlineStr">
        <is>
          <t>DDG 1000 - P-35 SURFACE ELECTRONIC WARFARE IMPROVEMENT PROGRAM (SEWIP) - Technical Support Services</t>
        </is>
      </c>
      <c r="E1153" s="13" t="inlineStr">
        <is>
          <t>[ALT_VIEW]</t>
        </is>
      </c>
      <c r="F1153" s="7" t="inlineStr">
        <is>
          <t>2119 / DDG 1000</t>
        </is>
      </c>
      <c r="G1153" s="7" t="inlineStr">
        <is>
          <t>P-35</t>
        </is>
      </c>
      <c r="I1153" s="14" t="n">
        <v>1</v>
      </c>
      <c r="J1153" s="7" t="inlineStr">
        <is>
          <t>Full ship DD&amp;C</t>
        </is>
      </c>
      <c r="K1153" s="13" t="inlineStr">
        <is>
          <t>USN</t>
        </is>
      </c>
      <c r="L1153" s="7" t="inlineStr">
        <is>
          <t>Combatant Ships</t>
        </is>
      </c>
      <c r="M1153" s="7" t="inlineStr">
        <is>
          <t>Surface Combatants</t>
        </is>
      </c>
      <c r="N1153" s="7" t="inlineStr">
        <is>
          <t>DDG</t>
        </is>
      </c>
      <c r="O1153" s="15" t="n"/>
      <c r="S1153" s="16" t="n">
        <v>935</v>
      </c>
      <c r="U1153" s="16" t="n">
        <v>935</v>
      </c>
      <c r="AC1153" s="23">
        <f>IF(OR(E1153="",E1153="[PARENT]"),"ADD",IF(E1153="[ALT_VIEW]","ALT",""))</f>
        <v/>
      </c>
      <c r="AD1153" s="21">
        <f>IF(Y1153&lt;&gt;"",Y1153,IF(U1153&lt;&gt;"",U1153,S1153))</f>
        <v/>
      </c>
      <c r="AE1153" s="21">
        <f>IF(AB1153&lt;&gt;"",AB1153,Z1153)</f>
        <v/>
      </c>
      <c r="AF1153" s="13" t="inlineStr">
        <is>
          <t>P-35 &gt; DDG 1000 &gt; SURFACE ELECTRONIC WARFARE IMPROVEMENT PROGRAM (SEWIP) &gt; Technical Support Services</t>
        </is>
      </c>
      <c r="AG1153" s="7" t="inlineStr">
        <is>
          <t>230</t>
        </is>
      </c>
      <c r="AH1153" s="7" t="inlineStr">
        <is>
          <t>2119</t>
        </is>
      </c>
    </row>
    <row r="1154" ht="10" customHeight="1">
      <c r="A1154" s="7" t="inlineStr">
        <is>
          <t>SCN</t>
        </is>
      </c>
      <c r="B1154" s="7" t="inlineStr">
        <is>
          <t>Procurement</t>
        </is>
      </c>
      <c r="D1154" s="7" t="inlineStr">
        <is>
          <t>DDG 1000 - P-35 SURFACE ELECTRONIC WARFARE IMPROVEMENT PROGRAM (SEWIP) - Other / NRE</t>
        </is>
      </c>
      <c r="E1154" s="13" t="inlineStr">
        <is>
          <t>[ALT_VIEW]</t>
        </is>
      </c>
      <c r="F1154" s="7" t="inlineStr">
        <is>
          <t>2119 / DDG 1000</t>
        </is>
      </c>
      <c r="G1154" s="7" t="inlineStr">
        <is>
          <t>P-35</t>
        </is>
      </c>
      <c r="I1154" s="14" t="n">
        <v>1</v>
      </c>
      <c r="J1154" s="7" t="inlineStr">
        <is>
          <t>Full ship DD&amp;C</t>
        </is>
      </c>
      <c r="K1154" s="13" t="inlineStr">
        <is>
          <t>USN</t>
        </is>
      </c>
      <c r="L1154" s="7" t="inlineStr">
        <is>
          <t>Combatant Ships</t>
        </is>
      </c>
      <c r="M1154" s="7" t="inlineStr">
        <is>
          <t>Surface Combatants</t>
        </is>
      </c>
      <c r="N1154" s="7" t="inlineStr">
        <is>
          <t>DDG</t>
        </is>
      </c>
      <c r="O1154" s="15" t="n"/>
      <c r="S1154" s="16" t="n">
        <v>841</v>
      </c>
      <c r="U1154" s="16" t="n">
        <v>841</v>
      </c>
      <c r="AC1154" s="23">
        <f>IF(OR(E1154="",E1154="[PARENT]"),"ADD",IF(E1154="[ALT_VIEW]","ALT",""))</f>
        <v/>
      </c>
      <c r="AD1154" s="21">
        <f>IF(Y1154&lt;&gt;"",Y1154,IF(U1154&lt;&gt;"",U1154,S1154))</f>
        <v/>
      </c>
      <c r="AE1154" s="21">
        <f>IF(AB1154&lt;&gt;"",AB1154,Z1154)</f>
        <v/>
      </c>
      <c r="AF1154" s="13" t="inlineStr">
        <is>
          <t>P-35 &gt; DDG 1000 &gt; SURFACE ELECTRONIC WARFARE IMPROVEMENT PROGRAM (SEWIP) &gt; Other / NRE</t>
        </is>
      </c>
      <c r="AG1154" s="7" t="inlineStr">
        <is>
          <t>230</t>
        </is>
      </c>
      <c r="AH1154" s="7" t="inlineStr">
        <is>
          <t>2119</t>
        </is>
      </c>
      <c r="AJ1154" s="7" t="inlineStr">
        <is>
          <t>SURFACE ELECTRONIC WARFARE IMPROVEMENT PROGRAM (SEWIP) [DDG 1002]</t>
        </is>
      </c>
    </row>
    <row r="1155" ht="10" customHeight="1">
      <c r="A1155" s="7" t="inlineStr">
        <is>
          <t>SCN</t>
        </is>
      </c>
      <c r="B1155" s="7" t="inlineStr">
        <is>
          <t>Procurement</t>
        </is>
      </c>
      <c r="D1155" s="7" t="inlineStr">
        <is>
          <t>DDG 1000 - P-35 VERTICAL LAUNCHING SYSTEM (VLS) MK 57 4-CELL MODULES - Major Hardware                                                                                                                                                20</t>
        </is>
      </c>
      <c r="E1155" s="13" t="inlineStr">
        <is>
          <t>[ALT_VIEW]</t>
        </is>
      </c>
      <c r="F1155" s="7" t="inlineStr">
        <is>
          <t>2119 / DDG 1000</t>
        </is>
      </c>
      <c r="G1155" s="7" t="inlineStr">
        <is>
          <t>P-35</t>
        </is>
      </c>
      <c r="I1155" s="14" t="n">
        <v>1</v>
      </c>
      <c r="J1155" s="7" t="inlineStr">
        <is>
          <t>Full ship DD&amp;C</t>
        </is>
      </c>
      <c r="K1155" s="13" t="inlineStr">
        <is>
          <t>USN</t>
        </is>
      </c>
      <c r="L1155" s="7" t="inlineStr">
        <is>
          <t>Combatant Ships</t>
        </is>
      </c>
      <c r="M1155" s="7" t="inlineStr">
        <is>
          <t>Surface Combatants</t>
        </is>
      </c>
      <c r="N1155" s="7" t="inlineStr">
        <is>
          <t>DDG</t>
        </is>
      </c>
      <c r="O1155" s="15" t="n"/>
      <c r="S1155" s="16" t="n">
        <v>234670</v>
      </c>
      <c r="U1155" s="16" t="n">
        <v>234670</v>
      </c>
      <c r="AC1155" s="23">
        <f>IF(OR(E1155="",E1155="[PARENT]"),"ADD",IF(E1155="[ALT_VIEW]","ALT",""))</f>
        <v/>
      </c>
      <c r="AD1155" s="21">
        <f>IF(Y1155&lt;&gt;"",Y1155,IF(U1155&lt;&gt;"",U1155,S1155))</f>
        <v/>
      </c>
      <c r="AE1155" s="21">
        <f>IF(AB1155&lt;&gt;"",AB1155,Z1155)</f>
        <v/>
      </c>
      <c r="AF1155" s="13" t="inlineStr">
        <is>
          <t>P-35 &gt; DDG 1000 &gt; VERTICAL LAUNCHING SYSTEM (VLS) MK 57 4-CELL MODULES &gt; Major Hardware                                                                                                                                                20</t>
        </is>
      </c>
      <c r="AG1155" s="7" t="inlineStr">
        <is>
          <t>231</t>
        </is>
      </c>
      <c r="AH1155" s="7" t="inlineStr">
        <is>
          <t>2119</t>
        </is>
      </c>
    </row>
    <row r="1156" ht="10" customHeight="1">
      <c r="A1156" s="7" t="inlineStr">
        <is>
          <t>SCN</t>
        </is>
      </c>
      <c r="B1156" s="7" t="inlineStr">
        <is>
          <t>Procurement</t>
        </is>
      </c>
      <c r="D1156" s="7" t="inlineStr">
        <is>
          <t>DDG 1000 - P-35 VERTICAL LAUNCHING SYSTEM (VLS) MK 57 4-CELL MODULES - Technical Support Services</t>
        </is>
      </c>
      <c r="E1156" s="13" t="inlineStr">
        <is>
          <t>[ALT_VIEW]</t>
        </is>
      </c>
      <c r="F1156" s="7" t="inlineStr">
        <is>
          <t>2119 / DDG 1000</t>
        </is>
      </c>
      <c r="G1156" s="7" t="inlineStr">
        <is>
          <t>P-35</t>
        </is>
      </c>
      <c r="I1156" s="14" t="n">
        <v>1</v>
      </c>
      <c r="J1156" s="7" t="inlineStr">
        <is>
          <t>Full ship DD&amp;C</t>
        </is>
      </c>
      <c r="K1156" s="13" t="inlineStr">
        <is>
          <t>USN</t>
        </is>
      </c>
      <c r="L1156" s="7" t="inlineStr">
        <is>
          <t>Combatant Ships</t>
        </is>
      </c>
      <c r="M1156" s="7" t="inlineStr">
        <is>
          <t>Surface Combatants</t>
        </is>
      </c>
      <c r="N1156" s="7" t="inlineStr">
        <is>
          <t>DDG</t>
        </is>
      </c>
      <c r="O1156" s="15" t="n"/>
      <c r="S1156" s="16" t="n">
        <v>4231</v>
      </c>
      <c r="U1156" s="16" t="n">
        <v>4231</v>
      </c>
      <c r="AC1156" s="23">
        <f>IF(OR(E1156="",E1156="[PARENT]"),"ADD",IF(E1156="[ALT_VIEW]","ALT",""))</f>
        <v/>
      </c>
      <c r="AD1156" s="21">
        <f>IF(Y1156&lt;&gt;"",Y1156,IF(U1156&lt;&gt;"",U1156,S1156))</f>
        <v/>
      </c>
      <c r="AE1156" s="21">
        <f>IF(AB1156&lt;&gt;"",AB1156,Z1156)</f>
        <v/>
      </c>
      <c r="AF1156" s="13" t="inlineStr">
        <is>
          <t>P-35 &gt; DDG 1000 &gt; VERTICAL LAUNCHING SYSTEM (VLS) MK 57 4-CELL MODULES &gt; Technical Support Services</t>
        </is>
      </c>
      <c r="AG1156" s="7" t="inlineStr">
        <is>
          <t>231</t>
        </is>
      </c>
      <c r="AH1156" s="7" t="inlineStr">
        <is>
          <t>2119</t>
        </is>
      </c>
    </row>
    <row r="1157" ht="10" customHeight="1">
      <c r="A1157" s="7" t="inlineStr">
        <is>
          <t>SCN</t>
        </is>
      </c>
      <c r="B1157" s="7" t="inlineStr">
        <is>
          <t>Procurement</t>
        </is>
      </c>
      <c r="D1157" s="7" t="inlineStr">
        <is>
          <t>DDG 1000 - P-35 VERTICAL LAUNCHING SYSTEM (VLS) MK 57 4-CELL MODULES - Other / NRE</t>
        </is>
      </c>
      <c r="E1157" s="13" t="inlineStr">
        <is>
          <t>[ALT_VIEW]</t>
        </is>
      </c>
      <c r="F1157" s="7" t="inlineStr">
        <is>
          <t>2119 / DDG 1000</t>
        </is>
      </c>
      <c r="G1157" s="7" t="inlineStr">
        <is>
          <t>P-35</t>
        </is>
      </c>
      <c r="I1157" s="14" t="n">
        <v>1</v>
      </c>
      <c r="J1157" s="7" t="inlineStr">
        <is>
          <t>Full ship DD&amp;C</t>
        </is>
      </c>
      <c r="K1157" s="13" t="inlineStr">
        <is>
          <t>USN</t>
        </is>
      </c>
      <c r="L1157" s="7" t="inlineStr">
        <is>
          <t>Combatant Ships</t>
        </is>
      </c>
      <c r="M1157" s="7" t="inlineStr">
        <is>
          <t>Surface Combatants</t>
        </is>
      </c>
      <c r="N1157" s="7" t="inlineStr">
        <is>
          <t>DDG</t>
        </is>
      </c>
      <c r="O1157" s="15" t="n"/>
      <c r="S1157" s="16" t="n">
        <v>63914</v>
      </c>
      <c r="U1157" s="16" t="n">
        <v>63914</v>
      </c>
      <c r="AC1157" s="23">
        <f>IF(OR(E1157="",E1157="[PARENT]"),"ADD",IF(E1157="[ALT_VIEW]","ALT",""))</f>
        <v/>
      </c>
      <c r="AD1157" s="21">
        <f>IF(Y1157&lt;&gt;"",Y1157,IF(U1157&lt;&gt;"",U1157,S1157))</f>
        <v/>
      </c>
      <c r="AE1157" s="21">
        <f>IF(AB1157&lt;&gt;"",AB1157,Z1157)</f>
        <v/>
      </c>
      <c r="AF1157" s="13" t="inlineStr">
        <is>
          <t>P-35 &gt; DDG 1000 &gt; VERTICAL LAUNCHING SYSTEM (VLS) MK 57 4-CELL MODULES &gt; Other / NRE</t>
        </is>
      </c>
      <c r="AG1157" s="7" t="inlineStr">
        <is>
          <t>231</t>
        </is>
      </c>
      <c r="AH1157" s="7" t="inlineStr">
        <is>
          <t>2119</t>
        </is>
      </c>
    </row>
    <row r="1158" ht="10" customHeight="1">
      <c r="A1158" s="7" t="inlineStr">
        <is>
          <t>SCN</t>
        </is>
      </c>
      <c r="B1158" s="7" t="inlineStr">
        <is>
          <t>Procurement</t>
        </is>
      </c>
      <c r="D1158" s="7" t="inlineStr">
        <is>
          <t>DDG 1000 - P-35 DDG 1002 TSCE MODERNIZATION - Major Hardware                                                                                                                                                1</t>
        </is>
      </c>
      <c r="E1158" s="13" t="inlineStr">
        <is>
          <t>[ALT_VIEW]</t>
        </is>
      </c>
      <c r="F1158" s="7" t="inlineStr">
        <is>
          <t>2119 / DDG 1000</t>
        </is>
      </c>
      <c r="G1158" s="7" t="inlineStr">
        <is>
          <t>P-35</t>
        </is>
      </c>
      <c r="I1158" s="14" t="n">
        <v>1</v>
      </c>
      <c r="J1158" s="7" t="inlineStr">
        <is>
          <t>Full ship DD&amp;C</t>
        </is>
      </c>
      <c r="K1158" s="13" t="inlineStr">
        <is>
          <t>USN</t>
        </is>
      </c>
      <c r="L1158" s="7" t="inlineStr">
        <is>
          <t>Combatant Ships</t>
        </is>
      </c>
      <c r="M1158" s="7" t="inlineStr">
        <is>
          <t>Surface Combatants</t>
        </is>
      </c>
      <c r="N1158" s="7" t="inlineStr">
        <is>
          <t>DDG</t>
        </is>
      </c>
      <c r="O1158" s="15" t="n"/>
      <c r="S1158" s="16" t="n">
        <v>56730</v>
      </c>
      <c r="U1158" s="16" t="n">
        <v>56730</v>
      </c>
      <c r="AC1158" s="23">
        <f>IF(OR(E1158="",E1158="[PARENT]"),"ADD",IF(E1158="[ALT_VIEW]","ALT",""))</f>
        <v/>
      </c>
      <c r="AD1158" s="21">
        <f>IF(Y1158&lt;&gt;"",Y1158,IF(U1158&lt;&gt;"",U1158,S1158))</f>
        <v/>
      </c>
      <c r="AE1158" s="21">
        <f>IF(AB1158&lt;&gt;"",AB1158,Z1158)</f>
        <v/>
      </c>
      <c r="AF1158" s="13" t="inlineStr">
        <is>
          <t>P-35 &gt; DDG 1000 &gt; DDG 1002 TSCE MODERNIZATION &gt; Major Hardware                                                                                                                                                1</t>
        </is>
      </c>
      <c r="AG1158" s="7" t="inlineStr">
        <is>
          <t>232</t>
        </is>
      </c>
      <c r="AH1158" s="7" t="inlineStr">
        <is>
          <t>2119</t>
        </is>
      </c>
    </row>
    <row r="1159" ht="10" customHeight="1">
      <c r="A1159" s="7" t="inlineStr">
        <is>
          <t>SCN</t>
        </is>
      </c>
      <c r="B1159" s="7" t="inlineStr">
        <is>
          <t>Procurement</t>
        </is>
      </c>
      <c r="D1159" s="7" t="inlineStr">
        <is>
          <t>DDG 1000 - P-35 DDG 1002 UNIVERSAL CANISTER ELECTRICAL UNITS (UCEU) - Major Hardware                                                                                                                                               80</t>
        </is>
      </c>
      <c r="E1159" s="13" t="inlineStr">
        <is>
          <t>[ALT_VIEW]</t>
        </is>
      </c>
      <c r="F1159" s="7" t="inlineStr">
        <is>
          <t>2119 / DDG 1000</t>
        </is>
      </c>
      <c r="G1159" s="7" t="inlineStr">
        <is>
          <t>P-35</t>
        </is>
      </c>
      <c r="I1159" s="14" t="n">
        <v>1</v>
      </c>
      <c r="J1159" s="7" t="inlineStr">
        <is>
          <t>Full ship DD&amp;C</t>
        </is>
      </c>
      <c r="K1159" s="13" t="inlineStr">
        <is>
          <t>USN</t>
        </is>
      </c>
      <c r="L1159" s="7" t="inlineStr">
        <is>
          <t>Combatant Ships</t>
        </is>
      </c>
      <c r="M1159" s="7" t="inlineStr">
        <is>
          <t>Surface Combatants</t>
        </is>
      </c>
      <c r="N1159" s="7" t="inlineStr">
        <is>
          <t>DDG</t>
        </is>
      </c>
      <c r="O1159" s="15" t="n"/>
      <c r="S1159" s="16" t="n">
        <v>25600</v>
      </c>
      <c r="U1159" s="16" t="n">
        <v>25600</v>
      </c>
      <c r="AC1159" s="23">
        <f>IF(OR(E1159="",E1159="[PARENT]"),"ADD",IF(E1159="[ALT_VIEW]","ALT",""))</f>
        <v/>
      </c>
      <c r="AD1159" s="21">
        <f>IF(Y1159&lt;&gt;"",Y1159,IF(U1159&lt;&gt;"",U1159,S1159))</f>
        <v/>
      </c>
      <c r="AE1159" s="21">
        <f>IF(AB1159&lt;&gt;"",AB1159,Z1159)</f>
        <v/>
      </c>
      <c r="AF1159" s="13" t="inlineStr">
        <is>
          <t>P-35 &gt; DDG 1000 &gt; DDG 1002 UNIVERSAL CANISTER ELECTRICAL UNITS (UCEU) &gt; Major Hardware                                                                                                                                               80</t>
        </is>
      </c>
      <c r="AG1159" s="7" t="inlineStr">
        <is>
          <t>233</t>
        </is>
      </c>
      <c r="AH1159" s="7" t="inlineStr">
        <is>
          <t>2119</t>
        </is>
      </c>
    </row>
    <row r="1160" ht="10" customHeight="1">
      <c r="A1160" s="7" t="inlineStr">
        <is>
          <t>SCN</t>
        </is>
      </c>
      <c r="B1160" s="7" t="inlineStr">
        <is>
          <t>Procurement</t>
        </is>
      </c>
      <c r="D1160" s="7" t="inlineStr">
        <is>
          <t>DDG 1000 - P-35 MAIN TURBINE GENERATOR (MTG) - Major Hardware                                                                                                                                                  2</t>
        </is>
      </c>
      <c r="E1160" s="13" t="inlineStr">
        <is>
          <t>[ALT_VIEW]</t>
        </is>
      </c>
      <c r="F1160" s="7" t="inlineStr">
        <is>
          <t>2119 / DDG 1000</t>
        </is>
      </c>
      <c r="G1160" s="7" t="inlineStr">
        <is>
          <t>P-35</t>
        </is>
      </c>
      <c r="I1160" s="14" t="n">
        <v>1</v>
      </c>
      <c r="J1160" s="7" t="inlineStr">
        <is>
          <t>Full ship DD&amp;C</t>
        </is>
      </c>
      <c r="K1160" s="13" t="inlineStr">
        <is>
          <t>USN</t>
        </is>
      </c>
      <c r="L1160" s="7" t="inlineStr">
        <is>
          <t>Combatant Ships</t>
        </is>
      </c>
      <c r="M1160" s="7" t="inlineStr">
        <is>
          <t>Surface Combatants</t>
        </is>
      </c>
      <c r="N1160" s="7" t="inlineStr">
        <is>
          <t>DDG</t>
        </is>
      </c>
      <c r="O1160" s="15" t="n"/>
      <c r="S1160" s="16" t="n">
        <v>39412</v>
      </c>
      <c r="U1160" s="16" t="n">
        <v>39412</v>
      </c>
      <c r="AC1160" s="23">
        <f>IF(OR(E1160="",E1160="[PARENT]"),"ADD",IF(E1160="[ALT_VIEW]","ALT",""))</f>
        <v/>
      </c>
      <c r="AD1160" s="21">
        <f>IF(Y1160&lt;&gt;"",Y1160,IF(U1160&lt;&gt;"",U1160,S1160))</f>
        <v/>
      </c>
      <c r="AE1160" s="21">
        <f>IF(AB1160&lt;&gt;"",AB1160,Z1160)</f>
        <v/>
      </c>
      <c r="AF1160" s="13" t="inlineStr">
        <is>
          <t>P-35 &gt; DDG 1000 &gt; MAIN TURBINE GENERATOR (MTG) &gt; Major Hardware                                                                                                                                                  2</t>
        </is>
      </c>
      <c r="AG1160" s="7" t="inlineStr">
        <is>
          <t>234</t>
        </is>
      </c>
      <c r="AH1160" s="7" t="inlineStr">
        <is>
          <t>2119</t>
        </is>
      </c>
    </row>
    <row r="1161" ht="10" customHeight="1">
      <c r="A1161" s="7" t="inlineStr">
        <is>
          <t>SCN</t>
        </is>
      </c>
      <c r="B1161" s="7" t="inlineStr">
        <is>
          <t>Procurement</t>
        </is>
      </c>
      <c r="D1161" s="7" t="inlineStr">
        <is>
          <t>DDG 1000 - P-35 ADVANCED GUN SYSTEM (AGS) - Major Hardware                                                                                                                                                      2</t>
        </is>
      </c>
      <c r="E1161" s="13" t="inlineStr">
        <is>
          <t>[ALT_VIEW]</t>
        </is>
      </c>
      <c r="F1161" s="7" t="inlineStr">
        <is>
          <t>2119 / DDG 1000</t>
        </is>
      </c>
      <c r="G1161" s="7" t="inlineStr">
        <is>
          <t>P-35</t>
        </is>
      </c>
      <c r="I1161" s="14" t="n">
        <v>1</v>
      </c>
      <c r="J1161" s="7" t="inlineStr">
        <is>
          <t>Full ship DD&amp;C</t>
        </is>
      </c>
      <c r="K1161" s="13" t="inlineStr">
        <is>
          <t>USN</t>
        </is>
      </c>
      <c r="L1161" s="7" t="inlineStr">
        <is>
          <t>Combatant Ships</t>
        </is>
      </c>
      <c r="M1161" s="7" t="inlineStr">
        <is>
          <t>Surface Combatants</t>
        </is>
      </c>
      <c r="N1161" s="7" t="inlineStr">
        <is>
          <t>DDG</t>
        </is>
      </c>
      <c r="O1161" s="15" t="n"/>
      <c r="S1161" s="16" t="n">
        <v>206747</v>
      </c>
      <c r="U1161" s="16" t="n">
        <v>206747</v>
      </c>
      <c r="AC1161" s="23">
        <f>IF(OR(E1161="",E1161="[PARENT]"),"ADD",IF(E1161="[ALT_VIEW]","ALT",""))</f>
        <v/>
      </c>
      <c r="AD1161" s="21">
        <f>IF(Y1161&lt;&gt;"",Y1161,IF(U1161&lt;&gt;"",U1161,S1161))</f>
        <v/>
      </c>
      <c r="AE1161" s="21">
        <f>IF(AB1161&lt;&gt;"",AB1161,Z1161)</f>
        <v/>
      </c>
      <c r="AF1161" s="13" t="inlineStr">
        <is>
          <t>P-35 &gt; DDG 1000 &gt; ADVANCED GUN SYSTEM (AGS) &gt; Major Hardware                                                                                                                                                      2</t>
        </is>
      </c>
      <c r="AG1161" s="7" t="inlineStr">
        <is>
          <t>235</t>
        </is>
      </c>
      <c r="AH1161" s="7" t="inlineStr">
        <is>
          <t>2119</t>
        </is>
      </c>
    </row>
    <row r="1162" ht="10" customHeight="1">
      <c r="A1162" s="7" t="inlineStr">
        <is>
          <t>SCN</t>
        </is>
      </c>
      <c r="B1162" s="7" t="inlineStr">
        <is>
          <t>Procurement</t>
        </is>
      </c>
      <c r="D1162" s="7" t="inlineStr">
        <is>
          <t>DDG 1000 - P-35 ADVANCED GUN SYSTEM (AGS) - Technical Support Services</t>
        </is>
      </c>
      <c r="E1162" s="13" t="inlineStr">
        <is>
          <t>[ALT_VIEW]</t>
        </is>
      </c>
      <c r="F1162" s="7" t="inlineStr">
        <is>
          <t>2119 / DDG 1000</t>
        </is>
      </c>
      <c r="G1162" s="7" t="inlineStr">
        <is>
          <t>P-35</t>
        </is>
      </c>
      <c r="I1162" s="14" t="n">
        <v>1</v>
      </c>
      <c r="J1162" s="7" t="inlineStr">
        <is>
          <t>Full ship DD&amp;C</t>
        </is>
      </c>
      <c r="K1162" s="13" t="inlineStr">
        <is>
          <t>USN</t>
        </is>
      </c>
      <c r="L1162" s="7" t="inlineStr">
        <is>
          <t>Combatant Ships</t>
        </is>
      </c>
      <c r="M1162" s="7" t="inlineStr">
        <is>
          <t>Surface Combatants</t>
        </is>
      </c>
      <c r="N1162" s="7" t="inlineStr">
        <is>
          <t>DDG</t>
        </is>
      </c>
      <c r="O1162" s="15" t="n"/>
      <c r="S1162" s="16" t="n">
        <v>3860</v>
      </c>
      <c r="U1162" s="16" t="n">
        <v>3860</v>
      </c>
      <c r="AC1162" s="23">
        <f>IF(OR(E1162="",E1162="[PARENT]"),"ADD",IF(E1162="[ALT_VIEW]","ALT",""))</f>
        <v/>
      </c>
      <c r="AD1162" s="21">
        <f>IF(Y1162&lt;&gt;"",Y1162,IF(U1162&lt;&gt;"",U1162,S1162))</f>
        <v/>
      </c>
      <c r="AE1162" s="21">
        <f>IF(AB1162&lt;&gt;"",AB1162,Z1162)</f>
        <v/>
      </c>
      <c r="AF1162" s="13" t="inlineStr">
        <is>
          <t>P-35 &gt; DDG 1000 &gt; ADVANCED GUN SYSTEM (AGS) &gt; Technical Support Services</t>
        </is>
      </c>
      <c r="AG1162" s="7" t="inlineStr">
        <is>
          <t>235</t>
        </is>
      </c>
      <c r="AH1162" s="7" t="inlineStr">
        <is>
          <t>2119</t>
        </is>
      </c>
    </row>
    <row r="1163" ht="10" customHeight="1">
      <c r="A1163" s="7" t="inlineStr">
        <is>
          <t>SCN</t>
        </is>
      </c>
      <c r="B1163" s="7" t="inlineStr">
        <is>
          <t>Procurement</t>
        </is>
      </c>
      <c r="D1163" s="7" t="inlineStr">
        <is>
          <t>DDG 1000 - P-35 ADVANCED GUN SYSTEM (AGS) - Other / NRE</t>
        </is>
      </c>
      <c r="E1163" s="13" t="inlineStr">
        <is>
          <t>[ALT_VIEW]</t>
        </is>
      </c>
      <c r="F1163" s="7" t="inlineStr">
        <is>
          <t>2119 / DDG 1000</t>
        </is>
      </c>
      <c r="G1163" s="7" t="inlineStr">
        <is>
          <t>P-35</t>
        </is>
      </c>
      <c r="I1163" s="14" t="n">
        <v>1</v>
      </c>
      <c r="J1163" s="7" t="inlineStr">
        <is>
          <t>Full ship DD&amp;C</t>
        </is>
      </c>
      <c r="K1163" s="13" t="inlineStr">
        <is>
          <t>USN</t>
        </is>
      </c>
      <c r="L1163" s="7" t="inlineStr">
        <is>
          <t>Combatant Ships</t>
        </is>
      </c>
      <c r="M1163" s="7" t="inlineStr">
        <is>
          <t>Surface Combatants</t>
        </is>
      </c>
      <c r="N1163" s="7" t="inlineStr">
        <is>
          <t>DDG</t>
        </is>
      </c>
      <c r="O1163" s="15" t="n"/>
      <c r="S1163" s="16" t="n">
        <v>37989</v>
      </c>
      <c r="U1163" s="16" t="n">
        <v>37989</v>
      </c>
      <c r="AC1163" s="23">
        <f>IF(OR(E1163="",E1163="[PARENT]"),"ADD",IF(E1163="[ALT_VIEW]","ALT",""))</f>
        <v/>
      </c>
      <c r="AD1163" s="21">
        <f>IF(Y1163&lt;&gt;"",Y1163,IF(U1163&lt;&gt;"",U1163,S1163))</f>
        <v/>
      </c>
      <c r="AE1163" s="21">
        <f>IF(AB1163&lt;&gt;"",AB1163,Z1163)</f>
        <v/>
      </c>
      <c r="AF1163" s="13" t="inlineStr">
        <is>
          <t>P-35 &gt; DDG 1000 &gt; ADVANCED GUN SYSTEM (AGS) &gt; Other / NRE</t>
        </is>
      </c>
      <c r="AG1163" s="7" t="inlineStr">
        <is>
          <t>235</t>
        </is>
      </c>
      <c r="AH1163" s="7" t="inlineStr">
        <is>
          <t>2119</t>
        </is>
      </c>
    </row>
    <row r="1164" ht="10" customHeight="1">
      <c r="A1164" s="7" t="inlineStr">
        <is>
          <t>SCN</t>
        </is>
      </c>
      <c r="B1164" s="7" t="inlineStr">
        <is>
          <t>Procurement</t>
        </is>
      </c>
      <c r="D1164" s="7" t="inlineStr">
        <is>
          <t>DDG 1000 - P-35 CLOSE-IN GUN SYSTEM (CIGS) - Major Hardware                                                                                                                                                      2</t>
        </is>
      </c>
      <c r="E1164" s="13" t="inlineStr">
        <is>
          <t>[ALT_VIEW]</t>
        </is>
      </c>
      <c r="F1164" s="7" t="inlineStr">
        <is>
          <t>2119 / DDG 1000</t>
        </is>
      </c>
      <c r="G1164" s="7" t="inlineStr">
        <is>
          <t>P-35</t>
        </is>
      </c>
      <c r="I1164" s="14" t="n">
        <v>1</v>
      </c>
      <c r="J1164" s="7" t="inlineStr">
        <is>
          <t>Full ship DD&amp;C</t>
        </is>
      </c>
      <c r="K1164" s="13" t="inlineStr">
        <is>
          <t>USN</t>
        </is>
      </c>
      <c r="L1164" s="7" t="inlineStr">
        <is>
          <t>Combatant Ships</t>
        </is>
      </c>
      <c r="M1164" s="7" t="inlineStr">
        <is>
          <t>Surface Combatants</t>
        </is>
      </c>
      <c r="N1164" s="7" t="inlineStr">
        <is>
          <t>DDG</t>
        </is>
      </c>
      <c r="O1164" s="15" t="n"/>
      <c r="S1164" s="16" t="n">
        <v>7534</v>
      </c>
      <c r="U1164" s="16" t="n">
        <v>7534</v>
      </c>
      <c r="AC1164" s="23">
        <f>IF(OR(E1164="",E1164="[PARENT]"),"ADD",IF(E1164="[ALT_VIEW]","ALT",""))</f>
        <v/>
      </c>
      <c r="AD1164" s="21">
        <f>IF(Y1164&lt;&gt;"",Y1164,IF(U1164&lt;&gt;"",U1164,S1164))</f>
        <v/>
      </c>
      <c r="AE1164" s="21">
        <f>IF(AB1164&lt;&gt;"",AB1164,Z1164)</f>
        <v/>
      </c>
      <c r="AF1164" s="13" t="inlineStr">
        <is>
          <t>P-35 &gt; DDG 1000 &gt; CLOSE-IN GUN SYSTEM (CIGS) &gt; Major Hardware                                                                                                                                                      2</t>
        </is>
      </c>
      <c r="AG1164" s="7" t="inlineStr">
        <is>
          <t>236</t>
        </is>
      </c>
      <c r="AH1164" s="7" t="inlineStr">
        <is>
          <t>2119</t>
        </is>
      </c>
    </row>
    <row r="1165" ht="10" customHeight="1">
      <c r="A1165" s="7" t="inlineStr">
        <is>
          <t>SCN</t>
        </is>
      </c>
      <c r="B1165" s="7" t="inlineStr">
        <is>
          <t>Procurement</t>
        </is>
      </c>
      <c r="D1165" s="7" t="inlineStr">
        <is>
          <t>DDG 1000 - P-35 CLOSE-IN GUN SYSTEM (CIGS) - Technical Support Services</t>
        </is>
      </c>
      <c r="E1165" s="13" t="inlineStr">
        <is>
          <t>[ALT_VIEW]</t>
        </is>
      </c>
      <c r="F1165" s="7" t="inlineStr">
        <is>
          <t>2119 / DDG 1000</t>
        </is>
      </c>
      <c r="G1165" s="7" t="inlineStr">
        <is>
          <t>P-35</t>
        </is>
      </c>
      <c r="I1165" s="14" t="n">
        <v>1</v>
      </c>
      <c r="J1165" s="7" t="inlineStr">
        <is>
          <t>Full ship DD&amp;C</t>
        </is>
      </c>
      <c r="K1165" s="13" t="inlineStr">
        <is>
          <t>USN</t>
        </is>
      </c>
      <c r="L1165" s="7" t="inlineStr">
        <is>
          <t>Combatant Ships</t>
        </is>
      </c>
      <c r="M1165" s="7" t="inlineStr">
        <is>
          <t>Surface Combatants</t>
        </is>
      </c>
      <c r="N1165" s="7" t="inlineStr">
        <is>
          <t>DDG</t>
        </is>
      </c>
      <c r="O1165" s="15" t="n"/>
      <c r="S1165" s="16" t="n">
        <v>3381</v>
      </c>
      <c r="U1165" s="16" t="n">
        <v>3381</v>
      </c>
      <c r="AC1165" s="23">
        <f>IF(OR(E1165="",E1165="[PARENT]"),"ADD",IF(E1165="[ALT_VIEW]","ALT",""))</f>
        <v/>
      </c>
      <c r="AD1165" s="21">
        <f>IF(Y1165&lt;&gt;"",Y1165,IF(U1165&lt;&gt;"",U1165,S1165))</f>
        <v/>
      </c>
      <c r="AE1165" s="21">
        <f>IF(AB1165&lt;&gt;"",AB1165,Z1165)</f>
        <v/>
      </c>
      <c r="AF1165" s="13" t="inlineStr">
        <is>
          <t>P-35 &gt; DDG 1000 &gt; CLOSE-IN GUN SYSTEM (CIGS) &gt; Technical Support Services</t>
        </is>
      </c>
      <c r="AG1165" s="7" t="inlineStr">
        <is>
          <t>236</t>
        </is>
      </c>
      <c r="AH1165" s="7" t="inlineStr">
        <is>
          <t>2119</t>
        </is>
      </c>
    </row>
    <row r="1166" ht="10" customHeight="1">
      <c r="A1166" s="7" t="inlineStr">
        <is>
          <t>SCN</t>
        </is>
      </c>
      <c r="B1166" s="7" t="inlineStr">
        <is>
          <t>Procurement</t>
        </is>
      </c>
      <c r="D1166" s="7" t="inlineStr">
        <is>
          <t>DDG 1000 - P-35 CLOSE-IN GUN SYSTEM (CIGS) - Other / NRE</t>
        </is>
      </c>
      <c r="E1166" s="13" t="inlineStr">
        <is>
          <t>[ALT_VIEW]</t>
        </is>
      </c>
      <c r="F1166" s="7" t="inlineStr">
        <is>
          <t>2119 / DDG 1000</t>
        </is>
      </c>
      <c r="G1166" s="7" t="inlineStr">
        <is>
          <t>P-35</t>
        </is>
      </c>
      <c r="I1166" s="14" t="n">
        <v>1</v>
      </c>
      <c r="J1166" s="7" t="inlineStr">
        <is>
          <t>Full ship DD&amp;C</t>
        </is>
      </c>
      <c r="K1166" s="13" t="inlineStr">
        <is>
          <t>USN</t>
        </is>
      </c>
      <c r="L1166" s="7" t="inlineStr">
        <is>
          <t>Combatant Ships</t>
        </is>
      </c>
      <c r="M1166" s="7" t="inlineStr">
        <is>
          <t>Surface Combatants</t>
        </is>
      </c>
      <c r="N1166" s="7" t="inlineStr">
        <is>
          <t>DDG</t>
        </is>
      </c>
      <c r="O1166" s="15" t="n"/>
      <c r="S1166" s="16" t="n">
        <v>2880</v>
      </c>
      <c r="U1166" s="16" t="n">
        <v>2880</v>
      </c>
      <c r="AC1166" s="23">
        <f>IF(OR(E1166="",E1166="[PARENT]"),"ADD",IF(E1166="[ALT_VIEW]","ALT",""))</f>
        <v/>
      </c>
      <c r="AD1166" s="21">
        <f>IF(Y1166&lt;&gt;"",Y1166,IF(U1166&lt;&gt;"",U1166,S1166))</f>
        <v/>
      </c>
      <c r="AE1166" s="21">
        <f>IF(AB1166&lt;&gt;"",AB1166,Z1166)</f>
        <v/>
      </c>
      <c r="AF1166" s="13" t="inlineStr">
        <is>
          <t>P-35 &gt; DDG 1000 &gt; CLOSE-IN GUN SYSTEM (CIGS) &gt; Other / NRE</t>
        </is>
      </c>
      <c r="AG1166" s="7" t="inlineStr">
        <is>
          <t>236</t>
        </is>
      </c>
      <c r="AH1166" s="7" t="inlineStr">
        <is>
          <t>2119</t>
        </is>
      </c>
    </row>
    <row r="1167" ht="10" customHeight="1">
      <c r="A1167" s="7" t="inlineStr">
        <is>
          <t>SCN</t>
        </is>
      </c>
      <c r="B1167" s="7" t="inlineStr">
        <is>
          <t>Procurement</t>
        </is>
      </c>
      <c r="D1167" s="7" t="inlineStr">
        <is>
          <t>DDG-51 - P-5c - Plan Costs</t>
        </is>
      </c>
      <c r="E1167" s="13" t="inlineStr">
        <is>
          <t>[ALT_VIEW]</t>
        </is>
      </c>
      <c r="F1167" s="7" t="inlineStr">
        <is>
          <t>2122 / DDG-51</t>
        </is>
      </c>
      <c r="G1167" s="7" t="inlineStr">
        <is>
          <t>P-5c</t>
        </is>
      </c>
      <c r="H1167" s="7" t="inlineStr">
        <is>
          <t>Plan Costs</t>
        </is>
      </c>
      <c r="I1167" s="14" t="n">
        <v>1</v>
      </c>
      <c r="J1167" s="7" t="inlineStr">
        <is>
          <t>Full ship DD&amp;C</t>
        </is>
      </c>
      <c r="K1167" s="13" t="inlineStr">
        <is>
          <t>USN</t>
        </is>
      </c>
      <c r="L1167" s="7" t="inlineStr">
        <is>
          <t>Combatant Ships</t>
        </is>
      </c>
      <c r="M1167" s="7" t="inlineStr">
        <is>
          <t>Surface Combatants</t>
        </is>
      </c>
      <c r="N1167" s="7" t="inlineStr">
        <is>
          <t>DDG</t>
        </is>
      </c>
      <c r="O1167" s="15" t="n"/>
      <c r="P1167" s="16" t="n">
        <v>86682</v>
      </c>
      <c r="S1167" s="16" t="n">
        <v>92152</v>
      </c>
      <c r="U1167" s="16" t="n">
        <v>92152</v>
      </c>
      <c r="AC1167" s="23">
        <f>IF(OR(E1167="",E1167="[PARENT]"),"ADD",IF(E1167="[ALT_VIEW]","ALT",""))</f>
        <v/>
      </c>
      <c r="AD1167" s="21">
        <f>IF(Y1167&lt;&gt;"",Y1167,IF(U1167&lt;&gt;"",U1167,S1167))</f>
        <v/>
      </c>
      <c r="AE1167" s="21">
        <f>IF(AB1167&lt;&gt;"",AB1167,Z1167)</f>
        <v/>
      </c>
      <c r="AF1167" s="13" t="inlineStr">
        <is>
          <t>P-5c &gt; DDG-51 &gt; Plan Costs</t>
        </is>
      </c>
      <c r="AG1167" s="7" t="inlineStr">
        <is>
          <t>241</t>
        </is>
      </c>
      <c r="AH1167" s="7" t="inlineStr">
        <is>
          <t>2122</t>
        </is>
      </c>
    </row>
    <row r="1168" ht="10" customHeight="1">
      <c r="A1168" s="7" t="inlineStr">
        <is>
          <t>SCN</t>
        </is>
      </c>
      <c r="B1168" s="7" t="inlineStr">
        <is>
          <t>Procurement</t>
        </is>
      </c>
      <c r="D1168" s="7" t="inlineStr">
        <is>
          <t>DDG-51 - P-5c - Basic Construction</t>
        </is>
      </c>
      <c r="E1168" s="13" t="inlineStr">
        <is>
          <t>[ALT_VIEW]</t>
        </is>
      </c>
      <c r="F1168" s="7" t="inlineStr">
        <is>
          <t>2122 / DDG-51</t>
        </is>
      </c>
      <c r="G1168" s="7" t="inlineStr">
        <is>
          <t>P-5c</t>
        </is>
      </c>
      <c r="H1168" s="7" t="inlineStr">
        <is>
          <t>Basic Construction</t>
        </is>
      </c>
      <c r="I1168" s="14" t="n">
        <v>1</v>
      </c>
      <c r="J1168" s="7" t="inlineStr">
        <is>
          <t>Full ship DD&amp;C</t>
        </is>
      </c>
      <c r="K1168" s="13" t="inlineStr">
        <is>
          <t>USN</t>
        </is>
      </c>
      <c r="L1168" s="7" t="inlineStr">
        <is>
          <t>Combatant Ships</t>
        </is>
      </c>
      <c r="M1168" s="7" t="inlineStr">
        <is>
          <t>Surface Combatants</t>
        </is>
      </c>
      <c r="N1168" s="7" t="inlineStr">
        <is>
          <t>DDG</t>
        </is>
      </c>
      <c r="O1168" s="15" t="n"/>
      <c r="P1168" s="16" t="n">
        <v>1959990</v>
      </c>
      <c r="S1168" s="16" t="n">
        <v>4558163</v>
      </c>
      <c r="U1168" s="16" t="n">
        <v>4558163</v>
      </c>
      <c r="AC1168" s="23">
        <f>IF(OR(E1168="",E1168="[PARENT]"),"ADD",IF(E1168="[ALT_VIEW]","ALT",""))</f>
        <v/>
      </c>
      <c r="AD1168" s="21">
        <f>IF(Y1168&lt;&gt;"",Y1168,IF(U1168&lt;&gt;"",U1168,S1168))</f>
        <v/>
      </c>
      <c r="AE1168" s="21">
        <f>IF(AB1168&lt;&gt;"",AB1168,Z1168)</f>
        <v/>
      </c>
      <c r="AF1168" s="13" t="inlineStr">
        <is>
          <t>P-5c &gt; DDG-51 &gt; Basic Construction</t>
        </is>
      </c>
      <c r="AG1168" s="7" t="inlineStr">
        <is>
          <t>241</t>
        </is>
      </c>
      <c r="AH1168" s="7" t="inlineStr">
        <is>
          <t>2122</t>
        </is>
      </c>
    </row>
    <row r="1169" ht="10" customHeight="1">
      <c r="A1169" s="7" t="inlineStr">
        <is>
          <t>SCN</t>
        </is>
      </c>
      <c r="B1169" s="7" t="inlineStr">
        <is>
          <t>Procurement</t>
        </is>
      </c>
      <c r="D1169" s="7" t="inlineStr">
        <is>
          <t>DDG-51 - P-5c - Change Orders</t>
        </is>
      </c>
      <c r="E1169" s="13" t="inlineStr">
        <is>
          <t>[ALT_VIEW]</t>
        </is>
      </c>
      <c r="F1169" s="7" t="inlineStr">
        <is>
          <t>2122 / DDG-51</t>
        </is>
      </c>
      <c r="G1169" s="7" t="inlineStr">
        <is>
          <t>P-5c</t>
        </is>
      </c>
      <c r="H1169" s="7" t="inlineStr">
        <is>
          <t>Change Orders</t>
        </is>
      </c>
      <c r="I1169" s="14" t="n">
        <v>1</v>
      </c>
      <c r="J1169" s="7" t="inlineStr">
        <is>
          <t>Full ship DD&amp;C</t>
        </is>
      </c>
      <c r="K1169" s="13" t="inlineStr">
        <is>
          <t>USN</t>
        </is>
      </c>
      <c r="L1169" s="7" t="inlineStr">
        <is>
          <t>Combatant Ships</t>
        </is>
      </c>
      <c r="M1169" s="7" t="inlineStr">
        <is>
          <t>Surface Combatants</t>
        </is>
      </c>
      <c r="N1169" s="7" t="inlineStr">
        <is>
          <t>DDG</t>
        </is>
      </c>
      <c r="O1169" s="15" t="n"/>
      <c r="P1169" s="16" t="n">
        <v>77417</v>
      </c>
      <c r="S1169" s="16" t="n">
        <v>136692</v>
      </c>
      <c r="U1169" s="16" t="n">
        <v>136692</v>
      </c>
      <c r="AC1169" s="23">
        <f>IF(OR(E1169="",E1169="[PARENT]"),"ADD",IF(E1169="[ALT_VIEW]","ALT",""))</f>
        <v/>
      </c>
      <c r="AD1169" s="21">
        <f>IF(Y1169&lt;&gt;"",Y1169,IF(U1169&lt;&gt;"",U1169,S1169))</f>
        <v/>
      </c>
      <c r="AE1169" s="21">
        <f>IF(AB1169&lt;&gt;"",AB1169,Z1169)</f>
        <v/>
      </c>
      <c r="AF1169" s="13" t="inlineStr">
        <is>
          <t>P-5c &gt; DDG-51 &gt; Change Orders</t>
        </is>
      </c>
      <c r="AG1169" s="7" t="inlineStr">
        <is>
          <t>241</t>
        </is>
      </c>
      <c r="AH1169" s="7" t="inlineStr">
        <is>
          <t>2122</t>
        </is>
      </c>
    </row>
    <row r="1170" ht="10" customHeight="1">
      <c r="A1170" s="7" t="inlineStr">
        <is>
          <t>SCN</t>
        </is>
      </c>
      <c r="B1170" s="7" t="inlineStr">
        <is>
          <t>Procurement</t>
        </is>
      </c>
      <c r="D1170" s="7" t="inlineStr">
        <is>
          <t>DDG-51 - P-5c - Electronics</t>
        </is>
      </c>
      <c r="E1170" s="13" t="inlineStr">
        <is>
          <t>[ALT_VIEW]</t>
        </is>
      </c>
      <c r="F1170" s="7" t="inlineStr">
        <is>
          <t>2122 / DDG-51</t>
        </is>
      </c>
      <c r="G1170" s="7" t="inlineStr">
        <is>
          <t>P-5c</t>
        </is>
      </c>
      <c r="H1170" s="7" t="inlineStr">
        <is>
          <t>Electronics</t>
        </is>
      </c>
      <c r="I1170" s="14" t="n">
        <v>1</v>
      </c>
      <c r="J1170" s="7" t="inlineStr">
        <is>
          <t>Full ship DD&amp;C</t>
        </is>
      </c>
      <c r="K1170" s="13" t="inlineStr">
        <is>
          <t>USN</t>
        </is>
      </c>
      <c r="L1170" s="7" t="inlineStr">
        <is>
          <t>Combatant Ships</t>
        </is>
      </c>
      <c r="M1170" s="7" t="inlineStr">
        <is>
          <t>Surface Combatants</t>
        </is>
      </c>
      <c r="N1170" s="7" t="inlineStr">
        <is>
          <t>DDG</t>
        </is>
      </c>
      <c r="O1170" s="15" t="n"/>
      <c r="P1170" s="16" t="n">
        <v>535327</v>
      </c>
      <c r="S1170" s="16" t="n">
        <v>911969</v>
      </c>
      <c r="U1170" s="16" t="n">
        <v>911969</v>
      </c>
      <c r="AC1170" s="23">
        <f>IF(OR(E1170="",E1170="[PARENT]"),"ADD",IF(E1170="[ALT_VIEW]","ALT",""))</f>
        <v/>
      </c>
      <c r="AD1170" s="21">
        <f>IF(Y1170&lt;&gt;"",Y1170,IF(U1170&lt;&gt;"",U1170,S1170))</f>
        <v/>
      </c>
      <c r="AE1170" s="21">
        <f>IF(AB1170&lt;&gt;"",AB1170,Z1170)</f>
        <v/>
      </c>
      <c r="AF1170" s="13" t="inlineStr">
        <is>
          <t>P-5c &gt; DDG-51 &gt; Electronics</t>
        </is>
      </c>
      <c r="AG1170" s="7" t="inlineStr">
        <is>
          <t>241</t>
        </is>
      </c>
      <c r="AH1170" s="7" t="inlineStr">
        <is>
          <t>2122</t>
        </is>
      </c>
    </row>
    <row r="1171" ht="10" customHeight="1">
      <c r="A1171" s="7" t="inlineStr">
        <is>
          <t>SCN</t>
        </is>
      </c>
      <c r="B1171" s="7" t="inlineStr">
        <is>
          <t>Procurement</t>
        </is>
      </c>
      <c r="D1171" s="7" t="inlineStr">
        <is>
          <t>DDG-51 - P-5c - Ordnance</t>
        </is>
      </c>
      <c r="E1171" s="13" t="inlineStr">
        <is>
          <t>[ALT_VIEW]</t>
        </is>
      </c>
      <c r="F1171" s="7" t="inlineStr">
        <is>
          <t>2122 / DDG-51</t>
        </is>
      </c>
      <c r="G1171" s="7" t="inlineStr">
        <is>
          <t>P-5c</t>
        </is>
      </c>
      <c r="H1171" s="7" t="inlineStr">
        <is>
          <t>Ordnance</t>
        </is>
      </c>
      <c r="I1171" s="14" t="n">
        <v>1</v>
      </c>
      <c r="J1171" s="7" t="inlineStr">
        <is>
          <t>Full ship DD&amp;C</t>
        </is>
      </c>
      <c r="K1171" s="13" t="inlineStr">
        <is>
          <t>USN</t>
        </is>
      </c>
      <c r="L1171" s="7" t="inlineStr">
        <is>
          <t>Combatant Ships</t>
        </is>
      </c>
      <c r="M1171" s="7" t="inlineStr">
        <is>
          <t>Surface Combatants</t>
        </is>
      </c>
      <c r="N1171" s="7" t="inlineStr">
        <is>
          <t>DDG</t>
        </is>
      </c>
      <c r="O1171" s="15" t="n"/>
      <c r="P1171" s="16" t="n">
        <v>1106810</v>
      </c>
      <c r="S1171" s="16" t="n">
        <v>1834441</v>
      </c>
      <c r="U1171" s="16" t="n">
        <v>1834441</v>
      </c>
      <c r="AC1171" s="23">
        <f>IF(OR(E1171="",E1171="[PARENT]"),"ADD",IF(E1171="[ALT_VIEW]","ALT",""))</f>
        <v/>
      </c>
      <c r="AD1171" s="21">
        <f>IF(Y1171&lt;&gt;"",Y1171,IF(U1171&lt;&gt;"",U1171,S1171))</f>
        <v/>
      </c>
      <c r="AE1171" s="21">
        <f>IF(AB1171&lt;&gt;"",AB1171,Z1171)</f>
        <v/>
      </c>
      <c r="AF1171" s="13" t="inlineStr">
        <is>
          <t>P-5c &gt; DDG-51 &gt; Ordnance</t>
        </is>
      </c>
      <c r="AG1171" s="7" t="inlineStr">
        <is>
          <t>241</t>
        </is>
      </c>
      <c r="AH1171" s="7" t="inlineStr">
        <is>
          <t>2122</t>
        </is>
      </c>
    </row>
    <row r="1172" ht="10" customHeight="1">
      <c r="A1172" s="7" t="inlineStr">
        <is>
          <t>SCN</t>
        </is>
      </c>
      <c r="B1172" s="7" t="inlineStr">
        <is>
          <t>Procurement</t>
        </is>
      </c>
      <c r="D1172" s="7" t="inlineStr">
        <is>
          <t>DDG-51 - P-5c - Other Cost</t>
        </is>
      </c>
      <c r="E1172" s="13" t="inlineStr">
        <is>
          <t>[ALT_VIEW]</t>
        </is>
      </c>
      <c r="F1172" s="7" t="inlineStr">
        <is>
          <t>2122 / DDG-51</t>
        </is>
      </c>
      <c r="G1172" s="7" t="inlineStr">
        <is>
          <t>P-5c</t>
        </is>
      </c>
      <c r="H1172" s="7" t="inlineStr">
        <is>
          <t>Other Cost</t>
        </is>
      </c>
      <c r="I1172" s="14" t="n">
        <v>1</v>
      </c>
      <c r="J1172" s="7" t="inlineStr">
        <is>
          <t>Full ship DD&amp;C</t>
        </is>
      </c>
      <c r="K1172" s="13" t="inlineStr">
        <is>
          <t>USN</t>
        </is>
      </c>
      <c r="L1172" s="7" t="inlineStr">
        <is>
          <t>Combatant Ships</t>
        </is>
      </c>
      <c r="M1172" s="7" t="inlineStr">
        <is>
          <t>Surface Combatants</t>
        </is>
      </c>
      <c r="N1172" s="7" t="inlineStr">
        <is>
          <t>DDG</t>
        </is>
      </c>
      <c r="O1172" s="15" t="n"/>
      <c r="P1172" s="16" t="n">
        <v>76985</v>
      </c>
      <c r="S1172" s="16" t="n">
        <v>82196</v>
      </c>
      <c r="U1172" s="16" t="n">
        <v>82196</v>
      </c>
      <c r="AC1172" s="23">
        <f>IF(OR(E1172="",E1172="[PARENT]"),"ADD",IF(E1172="[ALT_VIEW]","ALT",""))</f>
        <v/>
      </c>
      <c r="AD1172" s="21">
        <f>IF(Y1172&lt;&gt;"",Y1172,IF(U1172&lt;&gt;"",U1172,S1172))</f>
        <v/>
      </c>
      <c r="AE1172" s="21">
        <f>IF(AB1172&lt;&gt;"",AB1172,Z1172)</f>
        <v/>
      </c>
      <c r="AF1172" s="13" t="inlineStr">
        <is>
          <t>P-5c &gt; DDG-51 &gt; Other Cost</t>
        </is>
      </c>
      <c r="AG1172" s="7" t="inlineStr">
        <is>
          <t>241</t>
        </is>
      </c>
      <c r="AH1172" s="7" t="inlineStr">
        <is>
          <t>2122</t>
        </is>
      </c>
    </row>
    <row r="1173" ht="10" customHeight="1">
      <c r="A1173" s="7" t="inlineStr">
        <is>
          <t>SCN</t>
        </is>
      </c>
      <c r="B1173" s="7" t="inlineStr">
        <is>
          <t>Procurement</t>
        </is>
      </c>
      <c r="D1173" s="7" t="inlineStr">
        <is>
          <t>DDG-51 - P-5c - 2015</t>
        </is>
      </c>
      <c r="E1173" s="13" t="inlineStr">
        <is>
          <t>[ALT_VIEW]</t>
        </is>
      </c>
      <c r="F1173" s="7" t="inlineStr">
        <is>
          <t>2122 / DDG-51</t>
        </is>
      </c>
      <c r="G1173" s="7" t="inlineStr">
        <is>
          <t>P-5c</t>
        </is>
      </c>
      <c r="I1173" s="14" t="n">
        <v>1</v>
      </c>
      <c r="J1173" s="7" t="inlineStr">
        <is>
          <t>Full ship DD&amp;C</t>
        </is>
      </c>
      <c r="K1173" s="13" t="inlineStr">
        <is>
          <t>USN</t>
        </is>
      </c>
      <c r="L1173" s="7" t="inlineStr">
        <is>
          <t>Combatant Ships</t>
        </is>
      </c>
      <c r="M1173" s="7" t="inlineStr">
        <is>
          <t>Surface Combatants</t>
        </is>
      </c>
      <c r="N1173" s="7" t="inlineStr">
        <is>
          <t>DDG</t>
        </is>
      </c>
      <c r="O1173" s="15" t="n"/>
      <c r="S1173" s="16" t="n">
        <v>134039</v>
      </c>
      <c r="U1173" s="16" t="n">
        <v>134039</v>
      </c>
      <c r="AC1173" s="23">
        <f>IF(OR(E1173="",E1173="[PARENT]"),"ADD",IF(E1173="[ALT_VIEW]","ALT",""))</f>
        <v/>
      </c>
      <c r="AD1173" s="21">
        <f>IF(Y1173&lt;&gt;"",Y1173,IF(U1173&lt;&gt;"",U1173,S1173))</f>
        <v/>
      </c>
      <c r="AE1173" s="21">
        <f>IF(AB1173&lt;&gt;"",AB1173,Z1173)</f>
        <v/>
      </c>
      <c r="AF1173" s="13" t="inlineStr">
        <is>
          <t>P-5c &gt; DDG-51 &gt; 2015</t>
        </is>
      </c>
      <c r="AG1173" s="7" t="inlineStr">
        <is>
          <t>241</t>
        </is>
      </c>
      <c r="AH1173" s="7" t="inlineStr">
        <is>
          <t>2122</t>
        </is>
      </c>
    </row>
    <row r="1174" ht="10" customHeight="1">
      <c r="A1174" s="7" t="inlineStr">
        <is>
          <t>SCN</t>
        </is>
      </c>
      <c r="B1174" s="7" t="inlineStr">
        <is>
          <t>Procurement</t>
        </is>
      </c>
      <c r="D1174" s="7" t="inlineStr">
        <is>
          <t>DDG-51 - P-5c - 2022</t>
        </is>
      </c>
      <c r="E1174" s="13" t="inlineStr">
        <is>
          <t>[ALT_VIEW]</t>
        </is>
      </c>
      <c r="F1174" s="7" t="inlineStr">
        <is>
          <t>2122 / DDG-51</t>
        </is>
      </c>
      <c r="G1174" s="7" t="inlineStr">
        <is>
          <t>P-5c</t>
        </is>
      </c>
      <c r="I1174" s="14" t="n">
        <v>1</v>
      </c>
      <c r="J1174" s="7" t="inlineStr">
        <is>
          <t>Full ship DD&amp;C</t>
        </is>
      </c>
      <c r="K1174" s="13" t="inlineStr">
        <is>
          <t>USN</t>
        </is>
      </c>
      <c r="L1174" s="7" t="inlineStr">
        <is>
          <t>Combatant Ships</t>
        </is>
      </c>
      <c r="M1174" s="7" t="inlineStr">
        <is>
          <t>Surface Combatants</t>
        </is>
      </c>
      <c r="N1174" s="7" t="inlineStr">
        <is>
          <t>DDG</t>
        </is>
      </c>
      <c r="O1174" s="15" t="n"/>
      <c r="S1174" s="16" t="n">
        <v>1176</v>
      </c>
      <c r="U1174" s="16" t="n">
        <v>1176</v>
      </c>
      <c r="AC1174" s="23">
        <f>IF(OR(E1174="",E1174="[PARENT]"),"ADD",IF(E1174="[ALT_VIEW]","ALT",""))</f>
        <v/>
      </c>
      <c r="AD1174" s="21">
        <f>IF(Y1174&lt;&gt;"",Y1174,IF(U1174&lt;&gt;"",U1174,S1174))</f>
        <v/>
      </c>
      <c r="AE1174" s="21">
        <f>IF(AB1174&lt;&gt;"",AB1174,Z1174)</f>
        <v/>
      </c>
      <c r="AF1174" s="13" t="inlineStr">
        <is>
          <t>P-5c &gt; DDG-51 &gt; 2022</t>
        </is>
      </c>
      <c r="AG1174" s="7" t="inlineStr">
        <is>
          <t>241</t>
        </is>
      </c>
      <c r="AH1174" s="7" t="inlineStr">
        <is>
          <t>2122</t>
        </is>
      </c>
    </row>
    <row r="1175" ht="10" customHeight="1">
      <c r="A1175" s="7" t="inlineStr">
        <is>
          <t>SCN</t>
        </is>
      </c>
      <c r="B1175" s="7" t="inlineStr">
        <is>
          <t>Procurement</t>
        </is>
      </c>
      <c r="D1175" s="7" t="inlineStr">
        <is>
          <t>DDG-51 - P-5c - 2023</t>
        </is>
      </c>
      <c r="E1175" s="13" t="inlineStr">
        <is>
          <t>[ALT_VIEW]</t>
        </is>
      </c>
      <c r="F1175" s="7" t="inlineStr">
        <is>
          <t>2122 / DDG-51</t>
        </is>
      </c>
      <c r="G1175" s="7" t="inlineStr">
        <is>
          <t>P-5c</t>
        </is>
      </c>
      <c r="I1175" s="14" t="n">
        <v>1</v>
      </c>
      <c r="J1175" s="7" t="inlineStr">
        <is>
          <t>Full ship DD&amp;C</t>
        </is>
      </c>
      <c r="K1175" s="13" t="inlineStr">
        <is>
          <t>USN</t>
        </is>
      </c>
      <c r="L1175" s="7" t="inlineStr">
        <is>
          <t>Combatant Ships</t>
        </is>
      </c>
      <c r="M1175" s="7" t="inlineStr">
        <is>
          <t>Surface Combatants</t>
        </is>
      </c>
      <c r="N1175" s="7" t="inlineStr">
        <is>
          <t>DDG</t>
        </is>
      </c>
      <c r="O1175" s="15" t="n"/>
      <c r="P1175" s="16" t="n">
        <v>168178</v>
      </c>
      <c r="S1175" s="16" t="n">
        <v>5930</v>
      </c>
      <c r="U1175" s="16" t="n">
        <v>5930</v>
      </c>
      <c r="AC1175" s="23">
        <f>IF(OR(E1175="",E1175="[PARENT]"),"ADD",IF(E1175="[ALT_VIEW]","ALT",""))</f>
        <v/>
      </c>
      <c r="AD1175" s="21">
        <f>IF(Y1175&lt;&gt;"",Y1175,IF(U1175&lt;&gt;"",U1175,S1175))</f>
        <v/>
      </c>
      <c r="AE1175" s="21">
        <f>IF(AB1175&lt;&gt;"",AB1175,Z1175)</f>
        <v/>
      </c>
      <c r="AF1175" s="13" t="inlineStr">
        <is>
          <t>P-5c &gt; DDG-51 &gt; 2023</t>
        </is>
      </c>
      <c r="AG1175" s="7" t="inlineStr">
        <is>
          <t>241</t>
        </is>
      </c>
      <c r="AH1175" s="7" t="inlineStr">
        <is>
          <t>2122</t>
        </is>
      </c>
    </row>
    <row r="1176" ht="10" customHeight="1">
      <c r="A1176" s="7" t="inlineStr">
        <is>
          <t>SCN</t>
        </is>
      </c>
      <c r="B1176" s="7" t="inlineStr">
        <is>
          <t>Procurement</t>
        </is>
      </c>
      <c r="D1176" s="7" t="inlineStr">
        <is>
          <t>DDG-51 - P-5c - 2024</t>
        </is>
      </c>
      <c r="E1176" s="13" t="inlineStr">
        <is>
          <t>[ALT_VIEW]</t>
        </is>
      </c>
      <c r="F1176" s="7" t="inlineStr">
        <is>
          <t>2122 / DDG-51</t>
        </is>
      </c>
      <c r="G1176" s="7" t="inlineStr">
        <is>
          <t>P-5c</t>
        </is>
      </c>
      <c r="I1176" s="14" t="n">
        <v>1</v>
      </c>
      <c r="J1176" s="7" t="inlineStr">
        <is>
          <t>Full ship DD&amp;C</t>
        </is>
      </c>
      <c r="K1176" s="13" t="inlineStr">
        <is>
          <t>USN</t>
        </is>
      </c>
      <c r="L1176" s="7" t="inlineStr">
        <is>
          <t>Combatant Ships</t>
        </is>
      </c>
      <c r="M1176" s="7" t="inlineStr">
        <is>
          <t>Surface Combatants</t>
        </is>
      </c>
      <c r="N1176" s="7" t="inlineStr">
        <is>
          <t>DDG</t>
        </is>
      </c>
      <c r="O1176" s="15" t="n"/>
      <c r="P1176" s="16" t="n">
        <v>104090</v>
      </c>
      <c r="S1176" s="16" t="n">
        <v>121827</v>
      </c>
      <c r="U1176" s="16" t="n">
        <v>121827</v>
      </c>
      <c r="AC1176" s="23">
        <f>IF(OR(E1176="",E1176="[PARENT]"),"ADD",IF(E1176="[ALT_VIEW]","ALT",""))</f>
        <v/>
      </c>
      <c r="AD1176" s="21">
        <f>IF(Y1176&lt;&gt;"",Y1176,IF(U1176&lt;&gt;"",U1176,S1176))</f>
        <v/>
      </c>
      <c r="AE1176" s="21">
        <f>IF(AB1176&lt;&gt;"",AB1176,Z1176)</f>
        <v/>
      </c>
      <c r="AF1176" s="13" t="inlineStr">
        <is>
          <t>P-5c &gt; DDG-51 &gt; 2024</t>
        </is>
      </c>
      <c r="AG1176" s="7" t="inlineStr">
        <is>
          <t>241</t>
        </is>
      </c>
      <c r="AH1176" s="7" t="inlineStr">
        <is>
          <t>2122</t>
        </is>
      </c>
    </row>
    <row r="1177" ht="10" customHeight="1">
      <c r="A1177" s="7" t="inlineStr">
        <is>
          <t>SCN</t>
        </is>
      </c>
      <c r="B1177" s="7" t="inlineStr">
        <is>
          <t>Procurement</t>
        </is>
      </c>
      <c r="D1177" s="7" t="inlineStr">
        <is>
          <t>DDG-51 - P-5c - 2025</t>
        </is>
      </c>
      <c r="E1177" s="13" t="inlineStr">
        <is>
          <t>[ALT_VIEW]</t>
        </is>
      </c>
      <c r="F1177" s="7" t="inlineStr">
        <is>
          <t>2122 / DDG-51</t>
        </is>
      </c>
      <c r="G1177" s="7" t="inlineStr">
        <is>
          <t>P-5c</t>
        </is>
      </c>
      <c r="I1177" s="14" t="n">
        <v>1</v>
      </c>
      <c r="J1177" s="7" t="inlineStr">
        <is>
          <t>Full ship DD&amp;C</t>
        </is>
      </c>
      <c r="K1177" s="13" t="inlineStr">
        <is>
          <t>USN</t>
        </is>
      </c>
      <c r="L1177" s="7" t="inlineStr">
        <is>
          <t>Combatant Ships</t>
        </is>
      </c>
      <c r="M1177" s="7" t="inlineStr">
        <is>
          <t>Surface Combatants</t>
        </is>
      </c>
      <c r="N1177" s="7" t="inlineStr">
        <is>
          <t>DDG</t>
        </is>
      </c>
      <c r="O1177" s="15" t="n"/>
      <c r="P1177" s="16" t="n">
        <v>115600</v>
      </c>
      <c r="S1177" s="16" t="n">
        <v>107405</v>
      </c>
      <c r="U1177" s="16" t="n">
        <v>107405</v>
      </c>
      <c r="AC1177" s="23">
        <f>IF(OR(E1177="",E1177="[PARENT]"),"ADD",IF(E1177="[ALT_VIEW]","ALT",""))</f>
        <v/>
      </c>
      <c r="AD1177" s="21">
        <f>IF(Y1177&lt;&gt;"",Y1177,IF(U1177&lt;&gt;"",U1177,S1177))</f>
        <v/>
      </c>
      <c r="AE1177" s="21">
        <f>IF(AB1177&lt;&gt;"",AB1177,Z1177)</f>
        <v/>
      </c>
      <c r="AF1177" s="13" t="inlineStr">
        <is>
          <t>P-5c &gt; DDG-51 &gt; 2025</t>
        </is>
      </c>
      <c r="AG1177" s="7" t="inlineStr">
        <is>
          <t>241</t>
        </is>
      </c>
      <c r="AH1177" s="7" t="inlineStr">
        <is>
          <t>2122</t>
        </is>
      </c>
    </row>
    <row r="1178" ht="10" customHeight="1">
      <c r="A1178" s="7" t="inlineStr">
        <is>
          <t>SCN</t>
        </is>
      </c>
      <c r="B1178" s="7" t="inlineStr">
        <is>
          <t>Procurement</t>
        </is>
      </c>
      <c r="D1178" s="7" t="inlineStr">
        <is>
          <t>DDG-51 - P-5c - 2027                                                      -</t>
        </is>
      </c>
      <c r="E1178" s="13" t="inlineStr">
        <is>
          <t>[ALT_VIEW]</t>
        </is>
      </c>
      <c r="F1178" s="7" t="inlineStr">
        <is>
          <t>2122 / DDG-51</t>
        </is>
      </c>
      <c r="G1178" s="7" t="inlineStr">
        <is>
          <t>P-5c</t>
        </is>
      </c>
      <c r="I1178" s="14" t="n">
        <v>1</v>
      </c>
      <c r="J1178" s="7" t="inlineStr">
        <is>
          <t>Full ship DD&amp;C</t>
        </is>
      </c>
      <c r="K1178" s="13" t="inlineStr">
        <is>
          <t>USN</t>
        </is>
      </c>
      <c r="L1178" s="7" t="inlineStr">
        <is>
          <t>Combatant Ships</t>
        </is>
      </c>
      <c r="M1178" s="7" t="inlineStr">
        <is>
          <t>Surface Combatants</t>
        </is>
      </c>
      <c r="N1178" s="7" t="inlineStr">
        <is>
          <t>DDG</t>
        </is>
      </c>
      <c r="O1178" s="15" t="n"/>
      <c r="P1178" s="16" t="n">
        <v>14339</v>
      </c>
      <c r="S1178" s="16" t="n">
        <v>32000</v>
      </c>
      <c r="U1178" s="16" t="n">
        <v>32000</v>
      </c>
      <c r="AC1178" s="23">
        <f>IF(OR(E1178="",E1178="[PARENT]"),"ADD",IF(E1178="[ALT_VIEW]","ALT",""))</f>
        <v/>
      </c>
      <c r="AD1178" s="21">
        <f>IF(Y1178&lt;&gt;"",Y1178,IF(U1178&lt;&gt;"",U1178,S1178))</f>
        <v/>
      </c>
      <c r="AE1178" s="21">
        <f>IF(AB1178&lt;&gt;"",AB1178,Z1178)</f>
        <v/>
      </c>
      <c r="AF1178" s="13" t="inlineStr">
        <is>
          <t>P-5c &gt; DDG-51 &gt; 2027                                                      -</t>
        </is>
      </c>
      <c r="AG1178" s="7" t="inlineStr">
        <is>
          <t>241</t>
        </is>
      </c>
      <c r="AH1178" s="7" t="inlineStr">
        <is>
          <t>2122</t>
        </is>
      </c>
    </row>
    <row r="1179" ht="10" customHeight="1">
      <c r="A1179" s="7" t="inlineStr">
        <is>
          <t>SCN</t>
        </is>
      </c>
      <c r="B1179" s="7" t="inlineStr">
        <is>
          <t>Procurement</t>
        </is>
      </c>
      <c r="D1179" s="7" t="inlineStr">
        <is>
          <t>DDG-51 - P-5c - 2028                                                      -                          -                          -</t>
        </is>
      </c>
      <c r="E1179" s="13" t="inlineStr">
        <is>
          <t>[ALT_VIEW]</t>
        </is>
      </c>
      <c r="F1179" s="7" t="inlineStr">
        <is>
          <t>2122 / DDG-51</t>
        </is>
      </c>
      <c r="G1179" s="7" t="inlineStr">
        <is>
          <t>P-5c</t>
        </is>
      </c>
      <c r="I1179" s="14" t="n">
        <v>1</v>
      </c>
      <c r="J1179" s="7" t="inlineStr">
        <is>
          <t>Full ship DD&amp;C</t>
        </is>
      </c>
      <c r="K1179" s="13" t="inlineStr">
        <is>
          <t>USN</t>
        </is>
      </c>
      <c r="L1179" s="7" t="inlineStr">
        <is>
          <t>Combatant Ships</t>
        </is>
      </c>
      <c r="M1179" s="7" t="inlineStr">
        <is>
          <t>Surface Combatants</t>
        </is>
      </c>
      <c r="N1179" s="7" t="inlineStr">
        <is>
          <t>DDG</t>
        </is>
      </c>
      <c r="O1179" s="15" t="n"/>
      <c r="P1179" s="16" t="n">
        <v>100245</v>
      </c>
      <c r="S1179" s="16" t="n">
        <v>48460</v>
      </c>
      <c r="U1179" s="16" t="n">
        <v>48460</v>
      </c>
      <c r="AC1179" s="23">
        <f>IF(OR(E1179="",E1179="[PARENT]"),"ADD",IF(E1179="[ALT_VIEW]","ALT",""))</f>
        <v/>
      </c>
      <c r="AD1179" s="21">
        <f>IF(Y1179&lt;&gt;"",Y1179,IF(U1179&lt;&gt;"",U1179,S1179))</f>
        <v/>
      </c>
      <c r="AE1179" s="21">
        <f>IF(AB1179&lt;&gt;"",AB1179,Z1179)</f>
        <v/>
      </c>
      <c r="AF1179" s="13" t="inlineStr">
        <is>
          <t>P-5c &gt; DDG-51 &gt; 2028                                                      -                          -                          -</t>
        </is>
      </c>
      <c r="AG1179" s="7" t="inlineStr">
        <is>
          <t>241</t>
        </is>
      </c>
      <c r="AH1179" s="7" t="inlineStr">
        <is>
          <t>2122</t>
        </is>
      </c>
    </row>
    <row r="1180" ht="10" customHeight="1">
      <c r="A1180" s="7" t="inlineStr">
        <is>
          <t>SCN</t>
        </is>
      </c>
      <c r="B1180" s="7" t="inlineStr">
        <is>
          <t>Procurement</t>
        </is>
      </c>
      <c r="D1180" s="7" t="inlineStr">
        <is>
          <t>DDG-51 - P-5c - 2029                                                      -                          -                          -</t>
        </is>
      </c>
      <c r="E1180" s="13" t="inlineStr">
        <is>
          <t>[ALT_VIEW]</t>
        </is>
      </c>
      <c r="F1180" s="7" t="inlineStr">
        <is>
          <t>2122 / DDG-51</t>
        </is>
      </c>
      <c r="G1180" s="7" t="inlineStr">
        <is>
          <t>P-5c</t>
        </is>
      </c>
      <c r="I1180" s="14" t="n">
        <v>1</v>
      </c>
      <c r="J1180" s="7" t="inlineStr">
        <is>
          <t>Full ship DD&amp;C</t>
        </is>
      </c>
      <c r="K1180" s="13" t="inlineStr">
        <is>
          <t>USN</t>
        </is>
      </c>
      <c r="L1180" s="7" t="inlineStr">
        <is>
          <t>Combatant Ships</t>
        </is>
      </c>
      <c r="M1180" s="7" t="inlineStr">
        <is>
          <t>Surface Combatants</t>
        </is>
      </c>
      <c r="N1180" s="7" t="inlineStr">
        <is>
          <t>DDG</t>
        </is>
      </c>
      <c r="O1180" s="15" t="n"/>
      <c r="P1180" s="16" t="n">
        <v>120992</v>
      </c>
      <c r="S1180" s="16" t="n">
        <v>54946</v>
      </c>
      <c r="U1180" s="16" t="n">
        <v>54946</v>
      </c>
      <c r="AC1180" s="23">
        <f>IF(OR(E1180="",E1180="[PARENT]"),"ADD",IF(E1180="[ALT_VIEW]","ALT",""))</f>
        <v/>
      </c>
      <c r="AD1180" s="21">
        <f>IF(Y1180&lt;&gt;"",Y1180,IF(U1180&lt;&gt;"",U1180,S1180))</f>
        <v/>
      </c>
      <c r="AE1180" s="21">
        <f>IF(AB1180&lt;&gt;"",AB1180,Z1180)</f>
        <v/>
      </c>
      <c r="AF1180" s="13" t="inlineStr">
        <is>
          <t>P-5c &gt; DDG-51 &gt; 2029                                                      -                          -                          -</t>
        </is>
      </c>
      <c r="AG1180" s="7" t="inlineStr">
        <is>
          <t>241</t>
        </is>
      </c>
      <c r="AH1180" s="7" t="inlineStr">
        <is>
          <t>2122</t>
        </is>
      </c>
    </row>
    <row r="1181" ht="10" customHeight="1">
      <c r="A1181" s="7" t="inlineStr">
        <is>
          <t>SCN</t>
        </is>
      </c>
      <c r="B1181" s="7" t="inlineStr">
        <is>
          <t>Procurement</t>
        </is>
      </c>
      <c r="D1181" s="7" t="inlineStr">
        <is>
          <t>DDG-51 - P-5c - 2030                                                      -                          -                          -</t>
        </is>
      </c>
      <c r="E1181" s="13" t="inlineStr">
        <is>
          <t>[ALT_VIEW]</t>
        </is>
      </c>
      <c r="F1181" s="7" t="inlineStr">
        <is>
          <t>2122 / DDG-51</t>
        </is>
      </c>
      <c r="G1181" s="7" t="inlineStr">
        <is>
          <t>P-5c</t>
        </is>
      </c>
      <c r="I1181" s="14" t="n">
        <v>1</v>
      </c>
      <c r="J1181" s="7" t="inlineStr">
        <is>
          <t>Full ship DD&amp;C</t>
        </is>
      </c>
      <c r="K1181" s="13" t="inlineStr">
        <is>
          <t>USN</t>
        </is>
      </c>
      <c r="L1181" s="7" t="inlineStr">
        <is>
          <t>Combatant Ships</t>
        </is>
      </c>
      <c r="M1181" s="7" t="inlineStr">
        <is>
          <t>Surface Combatants</t>
        </is>
      </c>
      <c r="N1181" s="7" t="inlineStr">
        <is>
          <t>DDG</t>
        </is>
      </c>
      <c r="O1181" s="15" t="n"/>
      <c r="P1181" s="16" t="n">
        <v>134216</v>
      </c>
      <c r="S1181" s="16" t="n">
        <v>76322</v>
      </c>
      <c r="U1181" s="16" t="n">
        <v>76322</v>
      </c>
      <c r="AC1181" s="23">
        <f>IF(OR(E1181="",E1181="[PARENT]"),"ADD",IF(E1181="[ALT_VIEW]","ALT",""))</f>
        <v/>
      </c>
      <c r="AD1181" s="21">
        <f>IF(Y1181&lt;&gt;"",Y1181,IF(U1181&lt;&gt;"",U1181,S1181))</f>
        <v/>
      </c>
      <c r="AE1181" s="21">
        <f>IF(AB1181&lt;&gt;"",AB1181,Z1181)</f>
        <v/>
      </c>
      <c r="AF1181" s="13" t="inlineStr">
        <is>
          <t>P-5c &gt; DDG-51 &gt; 2030                                                      -                          -                          -</t>
        </is>
      </c>
      <c r="AG1181" s="7" t="inlineStr">
        <is>
          <t>241</t>
        </is>
      </c>
      <c r="AH1181" s="7" t="inlineStr">
        <is>
          <t>2122</t>
        </is>
      </c>
    </row>
    <row r="1182" ht="10" customHeight="1">
      <c r="A1182" s="7" t="inlineStr">
        <is>
          <t>SCN</t>
        </is>
      </c>
      <c r="B1182" s="7" t="inlineStr">
        <is>
          <t>Procurement</t>
        </is>
      </c>
      <c r="D1182" s="7" t="inlineStr">
        <is>
          <t>DDG-51 - P-5c - Plan Costs</t>
        </is>
      </c>
      <c r="E1182" s="13" t="inlineStr">
        <is>
          <t>[ALT_VIEW]</t>
        </is>
      </c>
      <c r="F1182" s="7" t="inlineStr">
        <is>
          <t>2122 / DDG-51</t>
        </is>
      </c>
      <c r="G1182" s="7" t="inlineStr">
        <is>
          <t>P-5c</t>
        </is>
      </c>
      <c r="H1182" s="7" t="inlineStr">
        <is>
          <t>Plan Costs</t>
        </is>
      </c>
      <c r="I1182" s="14" t="n">
        <v>1</v>
      </c>
      <c r="J1182" s="7" t="inlineStr">
        <is>
          <t>Full ship DD&amp;C</t>
        </is>
      </c>
      <c r="K1182" s="13" t="inlineStr">
        <is>
          <t>USN</t>
        </is>
      </c>
      <c r="L1182" s="7" t="inlineStr">
        <is>
          <t>Combatant Ships</t>
        </is>
      </c>
      <c r="M1182" s="7" t="inlineStr">
        <is>
          <t>Surface Combatants</t>
        </is>
      </c>
      <c r="N1182" s="7" t="inlineStr">
        <is>
          <t>DDG</t>
        </is>
      </c>
      <c r="O1182" s="15" t="n"/>
      <c r="P1182" s="16" t="n">
        <v>82697</v>
      </c>
      <c r="S1182" s="16" t="n">
        <v>83596</v>
      </c>
      <c r="U1182" s="16" t="n">
        <v>83596</v>
      </c>
      <c r="AC1182" s="23">
        <f>IF(OR(E1182="",E1182="[PARENT]"),"ADD",IF(E1182="[ALT_VIEW]","ALT",""))</f>
        <v/>
      </c>
      <c r="AD1182" s="21">
        <f>IF(Y1182&lt;&gt;"",Y1182,IF(U1182&lt;&gt;"",U1182,S1182))</f>
        <v/>
      </c>
      <c r="AE1182" s="21">
        <f>IF(AB1182&lt;&gt;"",AB1182,Z1182)</f>
        <v/>
      </c>
      <c r="AF1182" s="13" t="inlineStr">
        <is>
          <t>P-5c &gt; DDG-51 &gt; Plan Costs</t>
        </is>
      </c>
      <c r="AG1182" s="7" t="inlineStr">
        <is>
          <t>243</t>
        </is>
      </c>
      <c r="AH1182" s="7" t="inlineStr">
        <is>
          <t>2122</t>
        </is>
      </c>
      <c r="AJ1182" s="7" t="inlineStr">
        <is>
          <t>Plan</t>
        </is>
      </c>
    </row>
    <row r="1183" ht="10" customHeight="1">
      <c r="A1183" s="7" t="inlineStr">
        <is>
          <t>SCN</t>
        </is>
      </c>
      <c r="B1183" s="7" t="inlineStr">
        <is>
          <t>Procurement</t>
        </is>
      </c>
      <c r="D1183" s="7" t="inlineStr">
        <is>
          <t>DDG-51 - P-5c - Basic Construction</t>
        </is>
      </c>
      <c r="E1183" s="13" t="inlineStr">
        <is>
          <t>[ALT_VIEW]</t>
        </is>
      </c>
      <c r="F1183" s="7" t="inlineStr">
        <is>
          <t>2122 / DDG-51</t>
        </is>
      </c>
      <c r="G1183" s="7" t="inlineStr">
        <is>
          <t>P-5c</t>
        </is>
      </c>
      <c r="H1183" s="7" t="inlineStr">
        <is>
          <t>Basic Construction</t>
        </is>
      </c>
      <c r="I1183" s="14" t="n">
        <v>1</v>
      </c>
      <c r="J1183" s="7" t="inlineStr">
        <is>
          <t>Full ship DD&amp;C</t>
        </is>
      </c>
      <c r="K1183" s="13" t="inlineStr">
        <is>
          <t>USN</t>
        </is>
      </c>
      <c r="L1183" s="7" t="inlineStr">
        <is>
          <t>Combatant Ships</t>
        </is>
      </c>
      <c r="M1183" s="7" t="inlineStr">
        <is>
          <t>Surface Combatants</t>
        </is>
      </c>
      <c r="N1183" s="7" t="inlineStr">
        <is>
          <t>DDG</t>
        </is>
      </c>
      <c r="O1183" s="15" t="n"/>
      <c r="P1183" s="16" t="n">
        <v>4628213</v>
      </c>
      <c r="S1183" s="16" t="n">
        <v>282604</v>
      </c>
      <c r="U1183" s="16" t="n">
        <v>282604</v>
      </c>
      <c r="AC1183" s="23">
        <f>IF(OR(E1183="",E1183="[PARENT]"),"ADD",IF(E1183="[ALT_VIEW]","ALT",""))</f>
        <v/>
      </c>
      <c r="AD1183" s="21">
        <f>IF(Y1183&lt;&gt;"",Y1183,IF(U1183&lt;&gt;"",U1183,S1183))</f>
        <v/>
      </c>
      <c r="AE1183" s="21">
        <f>IF(AB1183&lt;&gt;"",AB1183,Z1183)</f>
        <v/>
      </c>
      <c r="AF1183" s="13" t="inlineStr">
        <is>
          <t>P-5c &gt; DDG-51 &gt; Basic Construction</t>
        </is>
      </c>
      <c r="AG1183" s="7" t="inlineStr">
        <is>
          <t>243</t>
        </is>
      </c>
      <c r="AH1183" s="7" t="inlineStr">
        <is>
          <t>2122</t>
        </is>
      </c>
      <c r="AJ1183" s="7" t="inlineStr">
        <is>
          <t>Basic Construction</t>
        </is>
      </c>
    </row>
    <row r="1184" ht="10" customHeight="1">
      <c r="A1184" s="7" t="inlineStr">
        <is>
          <t>SCN</t>
        </is>
      </c>
      <c r="B1184" s="7" t="inlineStr">
        <is>
          <t>Procurement</t>
        </is>
      </c>
      <c r="D1184" s="7" t="inlineStr">
        <is>
          <t>DDG-51 - P-5c - Change Orders</t>
        </is>
      </c>
      <c r="E1184" s="13" t="inlineStr">
        <is>
          <t>[ALT_VIEW]</t>
        </is>
      </c>
      <c r="F1184" s="7" t="inlineStr">
        <is>
          <t>2122 / DDG-51</t>
        </is>
      </c>
      <c r="G1184" s="7" t="inlineStr">
        <is>
          <t>P-5c</t>
        </is>
      </c>
      <c r="H1184" s="7" t="inlineStr">
        <is>
          <t>Change Orders</t>
        </is>
      </c>
      <c r="I1184" s="14" t="n">
        <v>1</v>
      </c>
      <c r="J1184" s="7" t="inlineStr">
        <is>
          <t>Full ship DD&amp;C</t>
        </is>
      </c>
      <c r="K1184" s="13" t="inlineStr">
        <is>
          <t>USN</t>
        </is>
      </c>
      <c r="L1184" s="7" t="inlineStr">
        <is>
          <t>Combatant Ships</t>
        </is>
      </c>
      <c r="M1184" s="7" t="inlineStr">
        <is>
          <t>Surface Combatants</t>
        </is>
      </c>
      <c r="N1184" s="7" t="inlineStr">
        <is>
          <t>DDG</t>
        </is>
      </c>
      <c r="O1184" s="15" t="n"/>
      <c r="P1184" s="16" t="n">
        <v>91627</v>
      </c>
      <c r="S1184" s="16" t="n">
        <v>136872</v>
      </c>
      <c r="U1184" s="16" t="n">
        <v>136872</v>
      </c>
      <c r="AC1184" s="23">
        <f>IF(OR(E1184="",E1184="[PARENT]"),"ADD",IF(E1184="[ALT_VIEW]","ALT",""))</f>
        <v/>
      </c>
      <c r="AD1184" s="21">
        <f>IF(Y1184&lt;&gt;"",Y1184,IF(U1184&lt;&gt;"",U1184,S1184))</f>
        <v/>
      </c>
      <c r="AE1184" s="21">
        <f>IF(AB1184&lt;&gt;"",AB1184,Z1184)</f>
        <v/>
      </c>
      <c r="AF1184" s="13" t="inlineStr">
        <is>
          <t>P-5c &gt; DDG-51 &gt; Change Orders</t>
        </is>
      </c>
      <c r="AG1184" s="7" t="inlineStr">
        <is>
          <t>243</t>
        </is>
      </c>
      <c r="AH1184" s="7" t="inlineStr">
        <is>
          <t>2122</t>
        </is>
      </c>
      <c r="AJ1184" s="7" t="inlineStr">
        <is>
          <t>Change Orders</t>
        </is>
      </c>
    </row>
    <row r="1185" ht="10" customHeight="1">
      <c r="A1185" s="7" t="inlineStr">
        <is>
          <t>SCN</t>
        </is>
      </c>
      <c r="B1185" s="7" t="inlineStr">
        <is>
          <t>Procurement</t>
        </is>
      </c>
      <c r="D1185" s="7" t="inlineStr">
        <is>
          <t>DDG-51 - P-5c - Electronics</t>
        </is>
      </c>
      <c r="E1185" s="13" t="inlineStr">
        <is>
          <t>[ALT_VIEW]</t>
        </is>
      </c>
      <c r="F1185" s="7" t="inlineStr">
        <is>
          <t>2122 / DDG-51</t>
        </is>
      </c>
      <c r="G1185" s="7" t="inlineStr">
        <is>
          <t>P-5c</t>
        </is>
      </c>
      <c r="H1185" s="7" t="inlineStr">
        <is>
          <t>Electronics</t>
        </is>
      </c>
      <c r="I1185" s="14" t="n">
        <v>1</v>
      </c>
      <c r="J1185" s="7" t="inlineStr">
        <is>
          <t>Full ship DD&amp;C</t>
        </is>
      </c>
      <c r="K1185" s="13" t="inlineStr">
        <is>
          <t>USN</t>
        </is>
      </c>
      <c r="L1185" s="7" t="inlineStr">
        <is>
          <t>Combatant Ships</t>
        </is>
      </c>
      <c r="M1185" s="7" t="inlineStr">
        <is>
          <t>Surface Combatants</t>
        </is>
      </c>
      <c r="N1185" s="7" t="inlineStr">
        <is>
          <t>DDG</t>
        </is>
      </c>
      <c r="O1185" s="15" t="n"/>
      <c r="P1185" s="16" t="n">
        <v>950971</v>
      </c>
      <c r="S1185" s="16" t="n">
        <v>23521</v>
      </c>
      <c r="U1185" s="16" t="n">
        <v>23521</v>
      </c>
      <c r="AC1185" s="23">
        <f>IF(OR(E1185="",E1185="[PARENT]"),"ADD",IF(E1185="[ALT_VIEW]","ALT",""))</f>
        <v/>
      </c>
      <c r="AD1185" s="21">
        <f>IF(Y1185&lt;&gt;"",Y1185,IF(U1185&lt;&gt;"",U1185,S1185))</f>
        <v/>
      </c>
      <c r="AE1185" s="21">
        <f>IF(AB1185&lt;&gt;"",AB1185,Z1185)</f>
        <v/>
      </c>
      <c r="AF1185" s="13" t="inlineStr">
        <is>
          <t>P-5c &gt; DDG-51 &gt; Electronics</t>
        </is>
      </c>
      <c r="AG1185" s="7" t="inlineStr">
        <is>
          <t>243</t>
        </is>
      </c>
      <c r="AH1185" s="7" t="inlineStr">
        <is>
          <t>2122</t>
        </is>
      </c>
      <c r="AJ1185" s="7" t="inlineStr">
        <is>
          <t>EXCOMM [DDG 145]</t>
        </is>
      </c>
    </row>
    <row r="1186" ht="10" customHeight="1">
      <c r="A1186" s="7" t="inlineStr">
        <is>
          <t>SCN</t>
        </is>
      </c>
      <c r="B1186" s="7" t="inlineStr">
        <is>
          <t>Procurement</t>
        </is>
      </c>
      <c r="D1186" s="7" t="inlineStr">
        <is>
          <t>DDG-51 - P-5c - Hull, Mechanical, and Electrical</t>
        </is>
      </c>
      <c r="E1186" s="13" t="inlineStr">
        <is>
          <t>[ALT_VIEW]</t>
        </is>
      </c>
      <c r="F1186" s="7" t="inlineStr">
        <is>
          <t>2122 / DDG-51</t>
        </is>
      </c>
      <c r="G1186" s="7" t="inlineStr">
        <is>
          <t>P-5c</t>
        </is>
      </c>
      <c r="H1186" s="7" t="inlineStr">
        <is>
          <t>Hull, Mechanical, and Electrical</t>
        </is>
      </c>
      <c r="I1186" s="14" t="n">
        <v>1</v>
      </c>
      <c r="J1186" s="7" t="inlineStr">
        <is>
          <t>Full ship DD&amp;C</t>
        </is>
      </c>
      <c r="K1186" s="13" t="inlineStr">
        <is>
          <t>USN</t>
        </is>
      </c>
      <c r="L1186" s="7" t="inlineStr">
        <is>
          <t>Combatant Ships</t>
        </is>
      </c>
      <c r="M1186" s="7" t="inlineStr">
        <is>
          <t>Surface Combatants</t>
        </is>
      </c>
      <c r="N1186" s="7" t="inlineStr">
        <is>
          <t>DDG</t>
        </is>
      </c>
      <c r="O1186" s="15" t="n"/>
      <c r="P1186" s="16" t="n">
        <v>100673</v>
      </c>
      <c r="S1186" s="16" t="n">
        <v>154029</v>
      </c>
      <c r="U1186" s="16" t="n">
        <v>154029</v>
      </c>
      <c r="AC1186" s="23">
        <f>IF(OR(E1186="",E1186="[PARENT]"),"ADD",IF(E1186="[ALT_VIEW]","ALT",""))</f>
        <v/>
      </c>
      <c r="AD1186" s="21">
        <f>IF(Y1186&lt;&gt;"",Y1186,IF(U1186&lt;&gt;"",U1186,S1186))</f>
        <v/>
      </c>
      <c r="AE1186" s="21">
        <f>IF(AB1186&lt;&gt;"",AB1186,Z1186)</f>
        <v/>
      </c>
      <c r="AF1186" s="13" t="inlineStr">
        <is>
          <t>P-5c &gt; DDG-51 &gt; Hull, Mechanical, and Electrical</t>
        </is>
      </c>
      <c r="AG1186" s="7" t="inlineStr">
        <is>
          <t>243</t>
        </is>
      </c>
      <c r="AH1186" s="7" t="inlineStr">
        <is>
          <t>2122</t>
        </is>
      </c>
    </row>
    <row r="1187" ht="10" customHeight="1">
      <c r="A1187" s="7" t="inlineStr">
        <is>
          <t>SCN</t>
        </is>
      </c>
      <c r="B1187" s="7" t="inlineStr">
        <is>
          <t>Procurement</t>
        </is>
      </c>
      <c r="D1187" s="7" t="inlineStr">
        <is>
          <t>DDG-51 - P-5c - Ordnance</t>
        </is>
      </c>
      <c r="E1187" s="13" t="inlineStr">
        <is>
          <t>[ALT_VIEW]</t>
        </is>
      </c>
      <c r="F1187" s="7" t="inlineStr">
        <is>
          <t>2122 / DDG-51</t>
        </is>
      </c>
      <c r="G1187" s="7" t="inlineStr">
        <is>
          <t>P-5c</t>
        </is>
      </c>
      <c r="H1187" s="7" t="inlineStr">
        <is>
          <t>Ordnance</t>
        </is>
      </c>
      <c r="I1187" s="14" t="n">
        <v>1</v>
      </c>
      <c r="J1187" s="7" t="inlineStr">
        <is>
          <t>Full ship DD&amp;C</t>
        </is>
      </c>
      <c r="K1187" s="13" t="inlineStr">
        <is>
          <t>USN</t>
        </is>
      </c>
      <c r="L1187" s="7" t="inlineStr">
        <is>
          <t>Combatant Ships</t>
        </is>
      </c>
      <c r="M1187" s="7" t="inlineStr">
        <is>
          <t>Surface Combatants</t>
        </is>
      </c>
      <c r="N1187" s="7" t="inlineStr">
        <is>
          <t>DDG</t>
        </is>
      </c>
      <c r="O1187" s="15" t="n"/>
      <c r="P1187" s="16" t="n">
        <v>1187380</v>
      </c>
      <c r="S1187" s="16" t="n">
        <v>1816641</v>
      </c>
      <c r="U1187" s="16" t="n">
        <v>1816641</v>
      </c>
      <c r="AC1187" s="23">
        <f>IF(OR(E1187="",E1187="[PARENT]"),"ADD",IF(E1187="[ALT_VIEW]","ALT",""))</f>
        <v/>
      </c>
      <c r="AD1187" s="21">
        <f>IF(Y1187&lt;&gt;"",Y1187,IF(U1187&lt;&gt;"",U1187,S1187))</f>
        <v/>
      </c>
      <c r="AE1187" s="21">
        <f>IF(AB1187&lt;&gt;"",AB1187,Z1187)</f>
        <v/>
      </c>
      <c r="AF1187" s="13" t="inlineStr">
        <is>
          <t>P-5c &gt; DDG-51 &gt; Ordnance</t>
        </is>
      </c>
      <c r="AG1187" s="7" t="inlineStr">
        <is>
          <t>243</t>
        </is>
      </c>
      <c r="AH1187" s="7" t="inlineStr">
        <is>
          <t>2122</t>
        </is>
      </c>
    </row>
    <row r="1188" ht="10" customHeight="1">
      <c r="A1188" s="7" t="inlineStr">
        <is>
          <t>SCN</t>
        </is>
      </c>
      <c r="B1188" s="7" t="inlineStr">
        <is>
          <t>Procurement</t>
        </is>
      </c>
      <c r="D1188" s="7" t="inlineStr">
        <is>
          <t>DDG-51 - P-5c - Other Cost</t>
        </is>
      </c>
      <c r="E1188" s="13" t="inlineStr">
        <is>
          <t>[ALT_VIEW]</t>
        </is>
      </c>
      <c r="F1188" s="7" t="inlineStr">
        <is>
          <t>2122 / DDG-51</t>
        </is>
      </c>
      <c r="G1188" s="7" t="inlineStr">
        <is>
          <t>P-5c</t>
        </is>
      </c>
      <c r="H1188" s="7" t="inlineStr">
        <is>
          <t>Other Cost</t>
        </is>
      </c>
      <c r="I1188" s="14" t="n">
        <v>1</v>
      </c>
      <c r="J1188" s="7" t="inlineStr">
        <is>
          <t>Full ship DD&amp;C</t>
        </is>
      </c>
      <c r="K1188" s="13" t="inlineStr">
        <is>
          <t>USN</t>
        </is>
      </c>
      <c r="L1188" s="7" t="inlineStr">
        <is>
          <t>Combatant Ships</t>
        </is>
      </c>
      <c r="M1188" s="7" t="inlineStr">
        <is>
          <t>Surface Combatants</t>
        </is>
      </c>
      <c r="N1188" s="7" t="inlineStr">
        <is>
          <t>DDG</t>
        </is>
      </c>
      <c r="O1188" s="15" t="n"/>
      <c r="P1188" s="16" t="n">
        <v>87684</v>
      </c>
      <c r="S1188" s="16" t="n">
        <v>88492</v>
      </c>
      <c r="U1188" s="16" t="n">
        <v>88492</v>
      </c>
      <c r="AC1188" s="23">
        <f>IF(OR(E1188="",E1188="[PARENT]"),"ADD",IF(E1188="[ALT_VIEW]","ALT",""))</f>
        <v/>
      </c>
      <c r="AD1188" s="21">
        <f>IF(Y1188&lt;&gt;"",Y1188,IF(U1188&lt;&gt;"",U1188,S1188))</f>
        <v/>
      </c>
      <c r="AE1188" s="21">
        <f>IF(AB1188&lt;&gt;"",AB1188,Z1188)</f>
        <v/>
      </c>
      <c r="AF1188" s="13" t="inlineStr">
        <is>
          <t>P-5c &gt; DDG-51 &gt; Other Cost</t>
        </is>
      </c>
      <c r="AG1188" s="7" t="inlineStr">
        <is>
          <t>243</t>
        </is>
      </c>
      <c r="AH1188" s="7" t="inlineStr">
        <is>
          <t>2122</t>
        </is>
      </c>
      <c r="AJ1188" s="7" t="inlineStr">
        <is>
          <t>Other Costs</t>
        </is>
      </c>
    </row>
    <row r="1189" ht="10" customHeight="1">
      <c r="A1189" s="7" t="inlineStr">
        <is>
          <t>SCN</t>
        </is>
      </c>
      <c r="B1189" s="7" t="inlineStr">
        <is>
          <t>Procurement</t>
        </is>
      </c>
      <c r="D1189" s="7" t="inlineStr">
        <is>
          <t>DDG-51 - P-8a Electronics - SQQ 89 ASW 2</t>
        </is>
      </c>
      <c r="E1189" s="13" t="inlineStr">
        <is>
          <t>[ALT_VIEW]</t>
        </is>
      </c>
      <c r="F1189" s="7" t="inlineStr">
        <is>
          <t>2122 / DDG-51</t>
        </is>
      </c>
      <c r="G1189" s="7" t="inlineStr">
        <is>
          <t>P-8a</t>
        </is>
      </c>
      <c r="H1189" s="7" t="inlineStr">
        <is>
          <t>Electronics</t>
        </is>
      </c>
      <c r="I1189" s="14" t="n">
        <v>1</v>
      </c>
      <c r="J1189" s="7" t="inlineStr">
        <is>
          <t>Full ship DD&amp;C</t>
        </is>
      </c>
      <c r="K1189" s="13" t="inlineStr">
        <is>
          <t>USN</t>
        </is>
      </c>
      <c r="L1189" s="7" t="inlineStr">
        <is>
          <t>Combatant Ships</t>
        </is>
      </c>
      <c r="M1189" s="7" t="inlineStr">
        <is>
          <t>Surface Combatants</t>
        </is>
      </c>
      <c r="N1189" s="7" t="inlineStr">
        <is>
          <t>DDG</t>
        </is>
      </c>
      <c r="O1189" s="15" t="n"/>
      <c r="P1189" s="16" t="n">
        <v>115958</v>
      </c>
      <c r="S1189" s="16" t="n">
        <v>177416</v>
      </c>
      <c r="U1189" s="16" t="n">
        <v>177416</v>
      </c>
      <c r="AC1189" s="23">
        <f>IF(OR(E1189="",E1189="[PARENT]"),"ADD",IF(E1189="[ALT_VIEW]","ALT",""))</f>
        <v/>
      </c>
      <c r="AD1189" s="21">
        <f>IF(Y1189&lt;&gt;"",Y1189,IF(U1189&lt;&gt;"",U1189,S1189))</f>
        <v/>
      </c>
      <c r="AE1189" s="21">
        <f>IF(AB1189&lt;&gt;"",AB1189,Z1189)</f>
        <v/>
      </c>
      <c r="AF1189" s="13" t="inlineStr">
        <is>
          <t>P-8a &gt; DDG-51 &gt; Electronics &gt; SQQ 89 ASW 2</t>
        </is>
      </c>
      <c r="AG1189" s="7" t="inlineStr">
        <is>
          <t>246</t>
        </is>
      </c>
      <c r="AH1189" s="7" t="inlineStr">
        <is>
          <t>2122</t>
        </is>
      </c>
      <c r="AJ1189" s="7" t="inlineStr">
        <is>
          <t>SQQ 89 ASW</t>
        </is>
      </c>
    </row>
    <row r="1190" ht="10" customHeight="1">
      <c r="A1190" s="7" t="inlineStr">
        <is>
          <t>SCN</t>
        </is>
      </c>
      <c r="B1190" s="7" t="inlineStr">
        <is>
          <t>Procurement</t>
        </is>
      </c>
      <c r="D1190" s="7" t="inlineStr">
        <is>
          <t>DDG-51 - P-8a Electronics - AN/SLQ-32 SEWIP V(7) 2</t>
        </is>
      </c>
      <c r="E1190" s="13" t="inlineStr">
        <is>
          <t>[ALT_VIEW]</t>
        </is>
      </c>
      <c r="F1190" s="7" t="inlineStr">
        <is>
          <t>2122 / DDG-51</t>
        </is>
      </c>
      <c r="G1190" s="7" t="inlineStr">
        <is>
          <t>P-8a</t>
        </is>
      </c>
      <c r="H1190" s="7" t="inlineStr">
        <is>
          <t>Electronics</t>
        </is>
      </c>
      <c r="I1190" s="14" t="n">
        <v>1</v>
      </c>
      <c r="J1190" s="7" t="inlineStr">
        <is>
          <t>Full ship DD&amp;C</t>
        </is>
      </c>
      <c r="K1190" s="13" t="inlineStr">
        <is>
          <t>USN</t>
        </is>
      </c>
      <c r="L1190" s="7" t="inlineStr">
        <is>
          <t>Combatant Ships</t>
        </is>
      </c>
      <c r="M1190" s="7" t="inlineStr">
        <is>
          <t>Surface Combatants</t>
        </is>
      </c>
      <c r="N1190" s="7" t="inlineStr">
        <is>
          <t>DDG</t>
        </is>
      </c>
      <c r="O1190" s="15" t="n"/>
      <c r="P1190" s="16" t="n">
        <v>161619</v>
      </c>
      <c r="S1190" s="16" t="n">
        <v>247277</v>
      </c>
      <c r="U1190" s="16" t="n">
        <v>247277</v>
      </c>
      <c r="AC1190" s="23">
        <f>IF(OR(E1190="",E1190="[PARENT]"),"ADD",IF(E1190="[ALT_VIEW]","ALT",""))</f>
        <v/>
      </c>
      <c r="AD1190" s="21">
        <f>IF(Y1190&lt;&gt;"",Y1190,IF(U1190&lt;&gt;"",U1190,S1190))</f>
        <v/>
      </c>
      <c r="AE1190" s="21">
        <f>IF(AB1190&lt;&gt;"",AB1190,Z1190)</f>
        <v/>
      </c>
      <c r="AF1190" s="13" t="inlineStr">
        <is>
          <t>P-8a &gt; DDG-51 &gt; Electronics &gt; AN/SLQ-32 SEWIP V(7) 2</t>
        </is>
      </c>
      <c r="AG1190" s="7" t="inlineStr">
        <is>
          <t>246</t>
        </is>
      </c>
      <c r="AH1190" s="7" t="inlineStr">
        <is>
          <t>2122</t>
        </is>
      </c>
      <c r="AJ1190" s="7" t="inlineStr">
        <is>
          <t>AN/SLQ-32 SEWIP V(7)</t>
        </is>
      </c>
    </row>
    <row r="1191" ht="10" customHeight="1">
      <c r="A1191" s="7" t="inlineStr">
        <is>
          <t>SCN</t>
        </is>
      </c>
      <c r="B1191" s="7" t="inlineStr">
        <is>
          <t>Procurement</t>
        </is>
      </c>
      <c r="D1191" s="7" t="inlineStr">
        <is>
          <t>DDG-51 - P-8a Electronics - USQ 82(V) GEDMS 2</t>
        </is>
      </c>
      <c r="E1191" s="13" t="inlineStr">
        <is>
          <t>[ALT_VIEW]</t>
        </is>
      </c>
      <c r="F1191" s="7" t="inlineStr">
        <is>
          <t>2122 / DDG-51</t>
        </is>
      </c>
      <c r="G1191" s="7" t="inlineStr">
        <is>
          <t>P-8a</t>
        </is>
      </c>
      <c r="H1191" s="7" t="inlineStr">
        <is>
          <t>Electronics</t>
        </is>
      </c>
      <c r="I1191" s="14" t="n">
        <v>1</v>
      </c>
      <c r="J1191" s="7" t="inlineStr">
        <is>
          <t>Full ship DD&amp;C</t>
        </is>
      </c>
      <c r="K1191" s="13" t="inlineStr">
        <is>
          <t>USN</t>
        </is>
      </c>
      <c r="L1191" s="7" t="inlineStr">
        <is>
          <t>Combatant Ships</t>
        </is>
      </c>
      <c r="M1191" s="7" t="inlineStr">
        <is>
          <t>Surface Combatants</t>
        </is>
      </c>
      <c r="N1191" s="7" t="inlineStr">
        <is>
          <t>DDG</t>
        </is>
      </c>
      <c r="O1191" s="15" t="n"/>
      <c r="P1191" s="16" t="n">
        <v>31794</v>
      </c>
      <c r="S1191" s="16" t="n">
        <v>48645</v>
      </c>
      <c r="U1191" s="16" t="n">
        <v>48645</v>
      </c>
      <c r="AC1191" s="23">
        <f>IF(OR(E1191="",E1191="[PARENT]"),"ADD",IF(E1191="[ALT_VIEW]","ALT",""))</f>
        <v/>
      </c>
      <c r="AD1191" s="21">
        <f>IF(Y1191&lt;&gt;"",Y1191,IF(U1191&lt;&gt;"",U1191,S1191))</f>
        <v/>
      </c>
      <c r="AE1191" s="21">
        <f>IF(AB1191&lt;&gt;"",AB1191,Z1191)</f>
        <v/>
      </c>
      <c r="AF1191" s="13" t="inlineStr">
        <is>
          <t>P-8a &gt; DDG-51 &gt; Electronics &gt; USQ 82(V) GEDMS 2</t>
        </is>
      </c>
      <c r="AG1191" s="7" t="inlineStr">
        <is>
          <t>246</t>
        </is>
      </c>
      <c r="AH1191" s="7" t="inlineStr">
        <is>
          <t>2122</t>
        </is>
      </c>
      <c r="AJ1191" s="7" t="inlineStr">
        <is>
          <t>USQ 82(V) GEDMS</t>
        </is>
      </c>
    </row>
    <row r="1192" ht="10" customHeight="1">
      <c r="A1192" s="7" t="inlineStr">
        <is>
          <t>SCN</t>
        </is>
      </c>
      <c r="B1192" s="7" t="inlineStr">
        <is>
          <t>Procurement</t>
        </is>
      </c>
      <c r="D1192" s="7" t="inlineStr">
        <is>
          <t>DDG-51 - P-8a Electronics - EXCOMM 2</t>
        </is>
      </c>
      <c r="E1192" s="13" t="inlineStr">
        <is>
          <t>[ALT_VIEW]</t>
        </is>
      </c>
      <c r="F1192" s="7" t="inlineStr">
        <is>
          <t>2122 / DDG-51</t>
        </is>
      </c>
      <c r="G1192" s="7" t="inlineStr">
        <is>
          <t>P-8a</t>
        </is>
      </c>
      <c r="H1192" s="7" t="inlineStr">
        <is>
          <t>Electronics</t>
        </is>
      </c>
      <c r="I1192" s="14" t="n">
        <v>1</v>
      </c>
      <c r="J1192" s="7" t="inlineStr">
        <is>
          <t>Full ship DD&amp;C</t>
        </is>
      </c>
      <c r="K1192" s="13" t="inlineStr">
        <is>
          <t>USN</t>
        </is>
      </c>
      <c r="L1192" s="7" t="inlineStr">
        <is>
          <t>Combatant Ships</t>
        </is>
      </c>
      <c r="M1192" s="7" t="inlineStr">
        <is>
          <t>Surface Combatants</t>
        </is>
      </c>
      <c r="N1192" s="7" t="inlineStr">
        <is>
          <t>DDG</t>
        </is>
      </c>
      <c r="O1192" s="15" t="n"/>
      <c r="P1192" s="16" t="n">
        <v>126902</v>
      </c>
      <c r="S1192" s="16" t="n">
        <v>194160</v>
      </c>
      <c r="U1192" s="16" t="n">
        <v>194160</v>
      </c>
      <c r="AC1192" s="23">
        <f>IF(OR(E1192="",E1192="[PARENT]"),"ADD",IF(E1192="[ALT_VIEW]","ALT",""))</f>
        <v/>
      </c>
      <c r="AD1192" s="21">
        <f>IF(Y1192&lt;&gt;"",Y1192,IF(U1192&lt;&gt;"",U1192,S1192))</f>
        <v/>
      </c>
      <c r="AE1192" s="21">
        <f>IF(AB1192&lt;&gt;"",AB1192,Z1192)</f>
        <v/>
      </c>
      <c r="AF1192" s="13" t="inlineStr">
        <is>
          <t>P-8a &gt; DDG-51 &gt; Electronics &gt; EXCOMM 2</t>
        </is>
      </c>
      <c r="AG1192" s="7" t="inlineStr">
        <is>
          <t>246</t>
        </is>
      </c>
      <c r="AH1192" s="7" t="inlineStr">
        <is>
          <t>2122</t>
        </is>
      </c>
      <c r="AJ1192" s="7" t="inlineStr">
        <is>
          <t>EXCOMM</t>
        </is>
      </c>
    </row>
    <row r="1193" ht="10" customHeight="1">
      <c r="A1193" s="7" t="inlineStr">
        <is>
          <t>SCN</t>
        </is>
      </c>
      <c r="B1193" s="7" t="inlineStr">
        <is>
          <t>Procurement</t>
        </is>
      </c>
      <c r="D1193" s="7" t="inlineStr">
        <is>
          <t>DDG-51 - P-8a Electronics - AN/UPX 29(V) IFF and TACAN 2</t>
        </is>
      </c>
      <c r="E1193" s="13" t="inlineStr">
        <is>
          <t>[ALT_VIEW]</t>
        </is>
      </c>
      <c r="F1193" s="7" t="inlineStr">
        <is>
          <t>2122 / DDG-51</t>
        </is>
      </c>
      <c r="G1193" s="7" t="inlineStr">
        <is>
          <t>P-8a</t>
        </is>
      </c>
      <c r="H1193" s="7" t="inlineStr">
        <is>
          <t>Electronics</t>
        </is>
      </c>
      <c r="I1193" s="14" t="n">
        <v>1</v>
      </c>
      <c r="J1193" s="7" t="inlineStr">
        <is>
          <t>Full ship DD&amp;C</t>
        </is>
      </c>
      <c r="K1193" s="13" t="inlineStr">
        <is>
          <t>USN</t>
        </is>
      </c>
      <c r="L1193" s="7" t="inlineStr">
        <is>
          <t>Combatant Ships</t>
        </is>
      </c>
      <c r="M1193" s="7" t="inlineStr">
        <is>
          <t>Surface Combatants</t>
        </is>
      </c>
      <c r="N1193" s="7" t="inlineStr">
        <is>
          <t>DDG</t>
        </is>
      </c>
      <c r="O1193" s="15" t="n"/>
      <c r="P1193" s="16" t="n">
        <v>16022</v>
      </c>
      <c r="S1193" s="16" t="n">
        <v>24514</v>
      </c>
      <c r="U1193" s="16" t="n">
        <v>24514</v>
      </c>
      <c r="AC1193" s="23">
        <f>IF(OR(E1193="",E1193="[PARENT]"),"ADD",IF(E1193="[ALT_VIEW]","ALT",""))</f>
        <v/>
      </c>
      <c r="AD1193" s="21">
        <f>IF(Y1193&lt;&gt;"",Y1193,IF(U1193&lt;&gt;"",U1193,S1193))</f>
        <v/>
      </c>
      <c r="AE1193" s="21">
        <f>IF(AB1193&lt;&gt;"",AB1193,Z1193)</f>
        <v/>
      </c>
      <c r="AF1193" s="13" t="inlineStr">
        <is>
          <t>P-8a &gt; DDG-51 &gt; Electronics &gt; AN/UPX 29(V) IFF and TACAN 2</t>
        </is>
      </c>
      <c r="AG1193" s="7" t="inlineStr">
        <is>
          <t>246</t>
        </is>
      </c>
      <c r="AH1193" s="7" t="inlineStr">
        <is>
          <t>2122</t>
        </is>
      </c>
      <c r="AJ1193" s="7" t="inlineStr">
        <is>
          <t>AN/UPX 29(V) IFF and TACAN</t>
        </is>
      </c>
    </row>
    <row r="1194" ht="10" customHeight="1">
      <c r="A1194" s="7" t="inlineStr">
        <is>
          <t>SCN</t>
        </is>
      </c>
      <c r="B1194" s="7" t="inlineStr">
        <is>
          <t>Procurement</t>
        </is>
      </c>
      <c r="D1194" s="7" t="inlineStr">
        <is>
          <t>DDG-51 - P-8a Electronics - CEC 2</t>
        </is>
      </c>
      <c r="E1194" s="13" t="inlineStr">
        <is>
          <t>[ALT_VIEW]</t>
        </is>
      </c>
      <c r="F1194" s="7" t="inlineStr">
        <is>
          <t>2122 / DDG-51</t>
        </is>
      </c>
      <c r="G1194" s="7" t="inlineStr">
        <is>
          <t>P-8a</t>
        </is>
      </c>
      <c r="H1194" s="7" t="inlineStr">
        <is>
          <t>Electronics</t>
        </is>
      </c>
      <c r="I1194" s="14" t="n">
        <v>1</v>
      </c>
      <c r="J1194" s="7" t="inlineStr">
        <is>
          <t>Full ship DD&amp;C</t>
        </is>
      </c>
      <c r="K1194" s="13" t="inlineStr">
        <is>
          <t>USN</t>
        </is>
      </c>
      <c r="L1194" s="7" t="inlineStr">
        <is>
          <t>Combatant Ships</t>
        </is>
      </c>
      <c r="M1194" s="7" t="inlineStr">
        <is>
          <t>Surface Combatants</t>
        </is>
      </c>
      <c r="N1194" s="7" t="inlineStr">
        <is>
          <t>DDG</t>
        </is>
      </c>
      <c r="O1194" s="15" t="n"/>
      <c r="P1194" s="16" t="n">
        <v>13119</v>
      </c>
      <c r="S1194" s="16" t="n">
        <v>20072</v>
      </c>
      <c r="U1194" s="16" t="n">
        <v>20072</v>
      </c>
      <c r="AC1194" s="23">
        <f>IF(OR(E1194="",E1194="[PARENT]"),"ADD",IF(E1194="[ALT_VIEW]","ALT",""))</f>
        <v/>
      </c>
      <c r="AD1194" s="21">
        <f>IF(Y1194&lt;&gt;"",Y1194,IF(U1194&lt;&gt;"",U1194,S1194))</f>
        <v/>
      </c>
      <c r="AE1194" s="21">
        <f>IF(AB1194&lt;&gt;"",AB1194,Z1194)</f>
        <v/>
      </c>
      <c r="AF1194" s="13" t="inlineStr">
        <is>
          <t>P-8a &gt; DDG-51 &gt; Electronics &gt; CEC 2</t>
        </is>
      </c>
      <c r="AG1194" s="7" t="inlineStr">
        <is>
          <t>246</t>
        </is>
      </c>
      <c r="AH1194" s="7" t="inlineStr">
        <is>
          <t>2122</t>
        </is>
      </c>
      <c r="AJ1194" s="7" t="inlineStr">
        <is>
          <t>CEC</t>
        </is>
      </c>
    </row>
    <row r="1195" ht="10" customHeight="1">
      <c r="A1195" s="7" t="inlineStr">
        <is>
          <t>SCN</t>
        </is>
      </c>
      <c r="B1195" s="7" t="inlineStr">
        <is>
          <t>Procurement</t>
        </is>
      </c>
      <c r="D1195" s="7" t="inlineStr">
        <is>
          <t>DDG-51 - P-8a Electronics - NGSSR 2</t>
        </is>
      </c>
      <c r="E1195" s="13" t="inlineStr">
        <is>
          <t>[ALT_VIEW]</t>
        </is>
      </c>
      <c r="F1195" s="7" t="inlineStr">
        <is>
          <t>2122 / DDG-51</t>
        </is>
      </c>
      <c r="G1195" s="7" t="inlineStr">
        <is>
          <t>P-8a</t>
        </is>
      </c>
      <c r="H1195" s="7" t="inlineStr">
        <is>
          <t>Electronics</t>
        </is>
      </c>
      <c r="I1195" s="14" t="n">
        <v>1</v>
      </c>
      <c r="J1195" s="7" t="inlineStr">
        <is>
          <t>Full ship DD&amp;C</t>
        </is>
      </c>
      <c r="K1195" s="13" t="inlineStr">
        <is>
          <t>USN</t>
        </is>
      </c>
      <c r="L1195" s="7" t="inlineStr">
        <is>
          <t>Combatant Ships</t>
        </is>
      </c>
      <c r="M1195" s="7" t="inlineStr">
        <is>
          <t>Surface Combatants</t>
        </is>
      </c>
      <c r="N1195" s="7" t="inlineStr">
        <is>
          <t>DDG</t>
        </is>
      </c>
      <c r="O1195" s="15" t="n"/>
      <c r="P1195" s="16" t="n">
        <v>5273</v>
      </c>
      <c r="S1195" s="16" t="n">
        <v>8068</v>
      </c>
      <c r="U1195" s="16" t="n">
        <v>8068</v>
      </c>
      <c r="AC1195" s="23">
        <f>IF(OR(E1195="",E1195="[PARENT]"),"ADD",IF(E1195="[ALT_VIEW]","ALT",""))</f>
        <v/>
      </c>
      <c r="AD1195" s="21">
        <f>IF(Y1195&lt;&gt;"",Y1195,IF(U1195&lt;&gt;"",U1195,S1195))</f>
        <v/>
      </c>
      <c r="AE1195" s="21">
        <f>IF(AB1195&lt;&gt;"",AB1195,Z1195)</f>
        <v/>
      </c>
      <c r="AF1195" s="13" t="inlineStr">
        <is>
          <t>P-8a &gt; DDG-51 &gt; Electronics &gt; NGSSR 2</t>
        </is>
      </c>
      <c r="AG1195" s="7" t="inlineStr">
        <is>
          <t>246</t>
        </is>
      </c>
      <c r="AH1195" s="7" t="inlineStr">
        <is>
          <t>2122</t>
        </is>
      </c>
      <c r="AJ1195" s="7" t="inlineStr">
        <is>
          <t>NGSSR</t>
        </is>
      </c>
    </row>
    <row r="1196" ht="10" customHeight="1">
      <c r="A1196" s="7" t="inlineStr">
        <is>
          <t>SCN</t>
        </is>
      </c>
      <c r="B1196" s="7" t="inlineStr">
        <is>
          <t>Procurement</t>
        </is>
      </c>
      <c r="D1196" s="7" t="inlineStr">
        <is>
          <t>DDG-51 - P-8a Electronics - NAVIGATION SYSTEM 2</t>
        </is>
      </c>
      <c r="E1196" s="13" t="inlineStr">
        <is>
          <t>[ALT_VIEW]</t>
        </is>
      </c>
      <c r="F1196" s="7" t="inlineStr">
        <is>
          <t>2122 / DDG-51</t>
        </is>
      </c>
      <c r="G1196" s="7" t="inlineStr">
        <is>
          <t>P-8a</t>
        </is>
      </c>
      <c r="H1196" s="7" t="inlineStr">
        <is>
          <t>Electronics</t>
        </is>
      </c>
      <c r="I1196" s="14" t="n">
        <v>1</v>
      </c>
      <c r="J1196" s="7" t="inlineStr">
        <is>
          <t>Full ship DD&amp;C</t>
        </is>
      </c>
      <c r="K1196" s="13" t="inlineStr">
        <is>
          <t>USN</t>
        </is>
      </c>
      <c r="L1196" s="7" t="inlineStr">
        <is>
          <t>Combatant Ships</t>
        </is>
      </c>
      <c r="M1196" s="7" t="inlineStr">
        <is>
          <t>Surface Combatants</t>
        </is>
      </c>
      <c r="N1196" s="7" t="inlineStr">
        <is>
          <t>DDG</t>
        </is>
      </c>
      <c r="O1196" s="15" t="n"/>
      <c r="P1196" s="16" t="n">
        <v>8829</v>
      </c>
      <c r="S1196" s="16" t="n">
        <v>13508</v>
      </c>
      <c r="U1196" s="16" t="n">
        <v>13508</v>
      </c>
      <c r="AC1196" s="23">
        <f>IF(OR(E1196="",E1196="[PARENT]"),"ADD",IF(E1196="[ALT_VIEW]","ALT",""))</f>
        <v/>
      </c>
      <c r="AD1196" s="21">
        <f>IF(Y1196&lt;&gt;"",Y1196,IF(U1196&lt;&gt;"",U1196,S1196))</f>
        <v/>
      </c>
      <c r="AE1196" s="21">
        <f>IF(AB1196&lt;&gt;"",AB1196,Z1196)</f>
        <v/>
      </c>
      <c r="AF1196" s="13" t="inlineStr">
        <is>
          <t>P-8a &gt; DDG-51 &gt; Electronics &gt; NAVIGATION SYSTEM 2</t>
        </is>
      </c>
      <c r="AG1196" s="7" t="inlineStr">
        <is>
          <t>246</t>
        </is>
      </c>
      <c r="AH1196" s="7" t="inlineStr">
        <is>
          <t>2122</t>
        </is>
      </c>
      <c r="AJ1196" s="7" t="inlineStr">
        <is>
          <t>NAVIGATION SYSTEM</t>
        </is>
      </c>
    </row>
    <row r="1197" ht="10" customHeight="1">
      <c r="A1197" s="7" t="inlineStr">
        <is>
          <t>SCN</t>
        </is>
      </c>
      <c r="B1197" s="7" t="inlineStr">
        <is>
          <t>Procurement</t>
        </is>
      </c>
      <c r="D1197" s="7" t="inlineStr">
        <is>
          <t>DDG-51 - P-8a Electronics - SLQ 25 NIXIE 2</t>
        </is>
      </c>
      <c r="E1197" s="13" t="inlineStr">
        <is>
          <t>[ALT_VIEW]</t>
        </is>
      </c>
      <c r="F1197" s="7" t="inlineStr">
        <is>
          <t>2122 / DDG-51</t>
        </is>
      </c>
      <c r="G1197" s="7" t="inlineStr">
        <is>
          <t>P-8a</t>
        </is>
      </c>
      <c r="H1197" s="7" t="inlineStr">
        <is>
          <t>Electronics</t>
        </is>
      </c>
      <c r="I1197" s="14" t="n">
        <v>1</v>
      </c>
      <c r="J1197" s="7" t="inlineStr">
        <is>
          <t>Full ship DD&amp;C</t>
        </is>
      </c>
      <c r="K1197" s="13" t="inlineStr">
        <is>
          <t>USN</t>
        </is>
      </c>
      <c r="L1197" s="7" t="inlineStr">
        <is>
          <t>Combatant Ships</t>
        </is>
      </c>
      <c r="M1197" s="7" t="inlineStr">
        <is>
          <t>Surface Combatants</t>
        </is>
      </c>
      <c r="N1197" s="7" t="inlineStr">
        <is>
          <t>DDG</t>
        </is>
      </c>
      <c r="O1197" s="15" t="n"/>
      <c r="P1197" s="16" t="n">
        <v>6233</v>
      </c>
      <c r="S1197" s="16" t="n">
        <v>9536</v>
      </c>
      <c r="U1197" s="16" t="n">
        <v>9536</v>
      </c>
      <c r="AC1197" s="23">
        <f>IF(OR(E1197="",E1197="[PARENT]"),"ADD",IF(E1197="[ALT_VIEW]","ALT",""))</f>
        <v/>
      </c>
      <c r="AD1197" s="21">
        <f>IF(Y1197&lt;&gt;"",Y1197,IF(U1197&lt;&gt;"",U1197,S1197))</f>
        <v/>
      </c>
      <c r="AE1197" s="21">
        <f>IF(AB1197&lt;&gt;"",AB1197,Z1197)</f>
        <v/>
      </c>
      <c r="AF1197" s="13" t="inlineStr">
        <is>
          <t>P-8a &gt; DDG-51 &gt; Electronics &gt; SLQ 25 NIXIE 2</t>
        </is>
      </c>
      <c r="AG1197" s="7" t="inlineStr">
        <is>
          <t>246</t>
        </is>
      </c>
      <c r="AH1197" s="7" t="inlineStr">
        <is>
          <t>2122</t>
        </is>
      </c>
      <c r="AJ1197" s="7" t="inlineStr">
        <is>
          <t>SLQ 25 NIXIE</t>
        </is>
      </c>
    </row>
    <row r="1198" ht="10" customHeight="1">
      <c r="A1198" s="7" t="inlineStr">
        <is>
          <t>SCN</t>
        </is>
      </c>
      <c r="B1198" s="7" t="inlineStr">
        <is>
          <t>Procurement</t>
        </is>
      </c>
      <c r="D1198" s="7" t="inlineStr">
        <is>
          <t>DDG-51 - P-8a Electronics - SRQ 4 LAMPS III 2</t>
        </is>
      </c>
      <c r="E1198" s="13" t="inlineStr">
        <is>
          <t>[ALT_VIEW]</t>
        </is>
      </c>
      <c r="F1198" s="7" t="inlineStr">
        <is>
          <t>2122 / DDG-51</t>
        </is>
      </c>
      <c r="G1198" s="7" t="inlineStr">
        <is>
          <t>P-8a</t>
        </is>
      </c>
      <c r="H1198" s="7" t="inlineStr">
        <is>
          <t>Electronics</t>
        </is>
      </c>
      <c r="I1198" s="14" t="n">
        <v>1</v>
      </c>
      <c r="J1198" s="7" t="inlineStr">
        <is>
          <t>Full ship DD&amp;C</t>
        </is>
      </c>
      <c r="K1198" s="13" t="inlineStr">
        <is>
          <t>USN</t>
        </is>
      </c>
      <c r="L1198" s="7" t="inlineStr">
        <is>
          <t>Combatant Ships</t>
        </is>
      </c>
      <c r="M1198" s="7" t="inlineStr">
        <is>
          <t>Surface Combatants</t>
        </is>
      </c>
      <c r="N1198" s="7" t="inlineStr">
        <is>
          <t>DDG</t>
        </is>
      </c>
      <c r="O1198" s="15" t="n"/>
      <c r="P1198" s="16" t="n">
        <v>13283</v>
      </c>
      <c r="S1198" s="16" t="n">
        <v>20323</v>
      </c>
      <c r="U1198" s="16" t="n">
        <v>20323</v>
      </c>
      <c r="AC1198" s="23">
        <f>IF(OR(E1198="",E1198="[PARENT]"),"ADD",IF(E1198="[ALT_VIEW]","ALT",""))</f>
        <v/>
      </c>
      <c r="AD1198" s="21">
        <f>IF(Y1198&lt;&gt;"",Y1198,IF(U1198&lt;&gt;"",U1198,S1198))</f>
        <v/>
      </c>
      <c r="AE1198" s="21">
        <f>IF(AB1198&lt;&gt;"",AB1198,Z1198)</f>
        <v/>
      </c>
      <c r="AF1198" s="13" t="inlineStr">
        <is>
          <t>P-8a &gt; DDG-51 &gt; Electronics &gt; SRQ 4 LAMPS III 2</t>
        </is>
      </c>
      <c r="AG1198" s="7" t="inlineStr">
        <is>
          <t>246</t>
        </is>
      </c>
      <c r="AH1198" s="7" t="inlineStr">
        <is>
          <t>2122</t>
        </is>
      </c>
      <c r="AJ1198" s="7" t="inlineStr">
        <is>
          <t>SRQ 4 LAMPS III</t>
        </is>
      </c>
    </row>
    <row r="1199" ht="10" customHeight="1">
      <c r="A1199" s="7" t="inlineStr">
        <is>
          <t>SCN</t>
        </is>
      </c>
      <c r="B1199" s="7" t="inlineStr">
        <is>
          <t>Procurement</t>
        </is>
      </c>
      <c r="D1199" s="7" t="inlineStr">
        <is>
          <t>DDG-51 - P-8a Electronics - SPECTRAL 2</t>
        </is>
      </c>
      <c r="E1199" s="13" t="inlineStr">
        <is>
          <t>[ALT_VIEW]</t>
        </is>
      </c>
      <c r="F1199" s="7" t="inlineStr">
        <is>
          <t>2122 / DDG-51</t>
        </is>
      </c>
      <c r="G1199" s="7" t="inlineStr">
        <is>
          <t>P-8a</t>
        </is>
      </c>
      <c r="H1199" s="7" t="inlineStr">
        <is>
          <t>Electronics</t>
        </is>
      </c>
      <c r="I1199" s="14" t="n">
        <v>1</v>
      </c>
      <c r="J1199" s="7" t="inlineStr">
        <is>
          <t>Full ship DD&amp;C</t>
        </is>
      </c>
      <c r="K1199" s="13" t="inlineStr">
        <is>
          <t>USN</t>
        </is>
      </c>
      <c r="L1199" s="7" t="inlineStr">
        <is>
          <t>Combatant Ships</t>
        </is>
      </c>
      <c r="M1199" s="7" t="inlineStr">
        <is>
          <t>Surface Combatants</t>
        </is>
      </c>
      <c r="N1199" s="7" t="inlineStr">
        <is>
          <t>DDG</t>
        </is>
      </c>
      <c r="O1199" s="15" t="n"/>
      <c r="P1199" s="16" t="n">
        <v>43954</v>
      </c>
      <c r="S1199" s="16" t="n">
        <v>67250</v>
      </c>
      <c r="U1199" s="16" t="n">
        <v>67250</v>
      </c>
      <c r="AC1199" s="23">
        <f>IF(OR(E1199="",E1199="[PARENT]"),"ADD",IF(E1199="[ALT_VIEW]","ALT",""))</f>
        <v/>
      </c>
      <c r="AD1199" s="21">
        <f>IF(Y1199&lt;&gt;"",Y1199,IF(U1199&lt;&gt;"",U1199,S1199))</f>
        <v/>
      </c>
      <c r="AE1199" s="21">
        <f>IF(AB1199&lt;&gt;"",AB1199,Z1199)</f>
        <v/>
      </c>
      <c r="AF1199" s="13" t="inlineStr">
        <is>
          <t>P-8a &gt; DDG-51 &gt; Electronics &gt; SPECTRAL 2</t>
        </is>
      </c>
      <c r="AG1199" s="7" t="inlineStr">
        <is>
          <t>246</t>
        </is>
      </c>
      <c r="AH1199" s="7" t="inlineStr">
        <is>
          <t>2122</t>
        </is>
      </c>
      <c r="AJ1199" s="7" t="inlineStr">
        <is>
          <t>SPECTRAL</t>
        </is>
      </c>
    </row>
    <row r="1200" ht="10" customHeight="1">
      <c r="A1200" s="7" t="inlineStr">
        <is>
          <t>SCN</t>
        </is>
      </c>
      <c r="B1200" s="7" t="inlineStr">
        <is>
          <t>Procurement</t>
        </is>
      </c>
      <c r="D1200" s="7" t="inlineStr">
        <is>
          <t>DDG-51 - P-8a Electronics - MIDS 2</t>
        </is>
      </c>
      <c r="E1200" s="13" t="inlineStr">
        <is>
          <t>[ALT_VIEW]</t>
        </is>
      </c>
      <c r="F1200" s="7" t="inlineStr">
        <is>
          <t>2122 / DDG-51</t>
        </is>
      </c>
      <c r="G1200" s="7" t="inlineStr">
        <is>
          <t>P-8a</t>
        </is>
      </c>
      <c r="H1200" s="7" t="inlineStr">
        <is>
          <t>Electronics</t>
        </is>
      </c>
      <c r="I1200" s="14" t="n">
        <v>1</v>
      </c>
      <c r="J1200" s="7" t="inlineStr">
        <is>
          <t>Full ship DD&amp;C</t>
        </is>
      </c>
      <c r="K1200" s="13" t="inlineStr">
        <is>
          <t>USN</t>
        </is>
      </c>
      <c r="L1200" s="7" t="inlineStr">
        <is>
          <t>Combatant Ships</t>
        </is>
      </c>
      <c r="M1200" s="7" t="inlineStr">
        <is>
          <t>Surface Combatants</t>
        </is>
      </c>
      <c r="N1200" s="7" t="inlineStr">
        <is>
          <t>DDG</t>
        </is>
      </c>
      <c r="O1200" s="15" t="n"/>
      <c r="P1200" s="16" t="n">
        <v>7622</v>
      </c>
      <c r="S1200" s="16" t="n">
        <v>11662</v>
      </c>
      <c r="U1200" s="16" t="n">
        <v>11662</v>
      </c>
      <c r="AC1200" s="23">
        <f>IF(OR(E1200="",E1200="[PARENT]"),"ADD",IF(E1200="[ALT_VIEW]","ALT",""))</f>
        <v/>
      </c>
      <c r="AD1200" s="21">
        <f>IF(Y1200&lt;&gt;"",Y1200,IF(U1200&lt;&gt;"",U1200,S1200))</f>
        <v/>
      </c>
      <c r="AE1200" s="21">
        <f>IF(AB1200&lt;&gt;"",AB1200,Z1200)</f>
        <v/>
      </c>
      <c r="AF1200" s="13" t="inlineStr">
        <is>
          <t>P-8a &gt; DDG-51 &gt; Electronics &gt; MIDS 2</t>
        </is>
      </c>
      <c r="AG1200" s="7" t="inlineStr">
        <is>
          <t>246</t>
        </is>
      </c>
      <c r="AH1200" s="7" t="inlineStr">
        <is>
          <t>2122</t>
        </is>
      </c>
      <c r="AJ1200" s="7" t="inlineStr">
        <is>
          <t>MIDS</t>
        </is>
      </c>
    </row>
    <row r="1201" ht="10" customHeight="1">
      <c r="A1201" s="7" t="inlineStr">
        <is>
          <t>SCN</t>
        </is>
      </c>
      <c r="B1201" s="7" t="inlineStr">
        <is>
          <t>Procurement</t>
        </is>
      </c>
      <c r="D1201" s="7" t="inlineStr">
        <is>
          <t>DDG-51 - P-8a Electronics - MK 53 NULKA 2</t>
        </is>
      </c>
      <c r="E1201" s="13" t="inlineStr">
        <is>
          <t>[ALT_VIEW]</t>
        </is>
      </c>
      <c r="F1201" s="7" t="inlineStr">
        <is>
          <t>2122 / DDG-51</t>
        </is>
      </c>
      <c r="G1201" s="7" t="inlineStr">
        <is>
          <t>P-8a</t>
        </is>
      </c>
      <c r="H1201" s="7" t="inlineStr">
        <is>
          <t>Electronics</t>
        </is>
      </c>
      <c r="I1201" s="14" t="n">
        <v>1</v>
      </c>
      <c r="J1201" s="7" t="inlineStr">
        <is>
          <t>Full ship DD&amp;C</t>
        </is>
      </c>
      <c r="K1201" s="13" t="inlineStr">
        <is>
          <t>USN</t>
        </is>
      </c>
      <c r="L1201" s="7" t="inlineStr">
        <is>
          <t>Combatant Ships</t>
        </is>
      </c>
      <c r="M1201" s="7" t="inlineStr">
        <is>
          <t>Surface Combatants</t>
        </is>
      </c>
      <c r="N1201" s="7" t="inlineStr">
        <is>
          <t>DDG</t>
        </is>
      </c>
      <c r="O1201" s="15" t="n"/>
      <c r="P1201" s="16" t="n">
        <v>4994</v>
      </c>
      <c r="S1201" s="16" t="n">
        <v>7641</v>
      </c>
      <c r="U1201" s="16" t="n">
        <v>7641</v>
      </c>
      <c r="AC1201" s="23">
        <f>IF(OR(E1201="",E1201="[PARENT]"),"ADD",IF(E1201="[ALT_VIEW]","ALT",""))</f>
        <v/>
      </c>
      <c r="AD1201" s="21">
        <f>IF(Y1201&lt;&gt;"",Y1201,IF(U1201&lt;&gt;"",U1201,S1201))</f>
        <v/>
      </c>
      <c r="AE1201" s="21">
        <f>IF(AB1201&lt;&gt;"",AB1201,Z1201)</f>
        <v/>
      </c>
      <c r="AF1201" s="13" t="inlineStr">
        <is>
          <t>P-8a &gt; DDG-51 &gt; Electronics &gt; MK 53 NULKA 2</t>
        </is>
      </c>
      <c r="AG1201" s="7" t="inlineStr">
        <is>
          <t>246</t>
        </is>
      </c>
      <c r="AH1201" s="7" t="inlineStr">
        <is>
          <t>2122</t>
        </is>
      </c>
      <c r="AJ1201" s="7" t="inlineStr">
        <is>
          <t>MK 53 NULKA</t>
        </is>
      </c>
    </row>
    <row r="1202" ht="10" customHeight="1">
      <c r="A1202" s="7" t="inlineStr">
        <is>
          <t>SCN</t>
        </is>
      </c>
      <c r="B1202" s="7" t="inlineStr">
        <is>
          <t>Procurement</t>
        </is>
      </c>
      <c r="D1202" s="7" t="inlineStr">
        <is>
          <t>DDG-51 - P-8a Electronics - TSA ANTENNA 2</t>
        </is>
      </c>
      <c r="E1202" s="13" t="inlineStr">
        <is>
          <t>[ALT_VIEW]</t>
        </is>
      </c>
      <c r="F1202" s="7" t="inlineStr">
        <is>
          <t>2122 / DDG-51</t>
        </is>
      </c>
      <c r="G1202" s="7" t="inlineStr">
        <is>
          <t>P-8a</t>
        </is>
      </c>
      <c r="H1202" s="7" t="inlineStr">
        <is>
          <t>Electronics</t>
        </is>
      </c>
      <c r="I1202" s="14" t="n">
        <v>1</v>
      </c>
      <c r="J1202" s="7" t="inlineStr">
        <is>
          <t>Full ship DD&amp;C</t>
        </is>
      </c>
      <c r="K1202" s="13" t="inlineStr">
        <is>
          <t>USN</t>
        </is>
      </c>
      <c r="L1202" s="7" t="inlineStr">
        <is>
          <t>Combatant Ships</t>
        </is>
      </c>
      <c r="M1202" s="7" t="inlineStr">
        <is>
          <t>Surface Combatants</t>
        </is>
      </c>
      <c r="N1202" s="7" t="inlineStr">
        <is>
          <t>DDG</t>
        </is>
      </c>
      <c r="O1202" s="15" t="n"/>
      <c r="P1202" s="16" t="n">
        <v>4302</v>
      </c>
      <c r="S1202" s="16" t="n">
        <v>6582</v>
      </c>
      <c r="U1202" s="16" t="n">
        <v>6582</v>
      </c>
      <c r="AC1202" s="23">
        <f>IF(OR(E1202="",E1202="[PARENT]"),"ADD",IF(E1202="[ALT_VIEW]","ALT",""))</f>
        <v/>
      </c>
      <c r="AD1202" s="21">
        <f>IF(Y1202&lt;&gt;"",Y1202,IF(U1202&lt;&gt;"",U1202,S1202))</f>
        <v/>
      </c>
      <c r="AE1202" s="21">
        <f>IF(AB1202&lt;&gt;"",AB1202,Z1202)</f>
        <v/>
      </c>
      <c r="AF1202" s="13" t="inlineStr">
        <is>
          <t>P-8a &gt; DDG-51 &gt; Electronics &gt; TSA ANTENNA 2</t>
        </is>
      </c>
      <c r="AG1202" s="7" t="inlineStr">
        <is>
          <t>246</t>
        </is>
      </c>
      <c r="AH1202" s="7" t="inlineStr">
        <is>
          <t>2122</t>
        </is>
      </c>
      <c r="AJ1202" s="7" t="inlineStr">
        <is>
          <t>TSA ANTENNA</t>
        </is>
      </c>
    </row>
    <row r="1203" ht="10" customHeight="1">
      <c r="A1203" s="7" t="inlineStr">
        <is>
          <t>SCN</t>
        </is>
      </c>
      <c r="B1203" s="7" t="inlineStr">
        <is>
          <t>Procurement</t>
        </is>
      </c>
      <c r="D1203" s="7" t="inlineStr">
        <is>
          <t>DDG-51 - P-8a Electronics - MISC. ELECTRONICS 2</t>
        </is>
      </c>
      <c r="E1203" s="13" t="inlineStr">
        <is>
          <t>[ALT_VIEW]</t>
        </is>
      </c>
      <c r="F1203" s="7" t="inlineStr">
        <is>
          <t>2122 / DDG-51</t>
        </is>
      </c>
      <c r="G1203" s="7" t="inlineStr">
        <is>
          <t>P-8a</t>
        </is>
      </c>
      <c r="H1203" s="7" t="inlineStr">
        <is>
          <t>Electronics</t>
        </is>
      </c>
      <c r="I1203" s="14" t="n">
        <v>1</v>
      </c>
      <c r="J1203" s="7" t="inlineStr">
        <is>
          <t>Full ship DD&amp;C</t>
        </is>
      </c>
      <c r="K1203" s="13" t="inlineStr">
        <is>
          <t>USN</t>
        </is>
      </c>
      <c r="L1203" s="7" t="inlineStr">
        <is>
          <t>Combatant Ships</t>
        </is>
      </c>
      <c r="M1203" s="7" t="inlineStr">
        <is>
          <t>Surface Combatants</t>
        </is>
      </c>
      <c r="N1203" s="7" t="inlineStr">
        <is>
          <t>DDG</t>
        </is>
      </c>
      <c r="O1203" s="15" t="n"/>
      <c r="P1203" s="16" t="n">
        <v>59907</v>
      </c>
      <c r="S1203" s="16" t="n">
        <v>94317</v>
      </c>
      <c r="U1203" s="16" t="n">
        <v>94317</v>
      </c>
      <c r="AC1203" s="23">
        <f>IF(OR(E1203="",E1203="[PARENT]"),"ADD",IF(E1203="[ALT_VIEW]","ALT",""))</f>
        <v/>
      </c>
      <c r="AD1203" s="21">
        <f>IF(Y1203&lt;&gt;"",Y1203,IF(U1203&lt;&gt;"",U1203,S1203))</f>
        <v/>
      </c>
      <c r="AE1203" s="21">
        <f>IF(AB1203&lt;&gt;"",AB1203,Z1203)</f>
        <v/>
      </c>
      <c r="AF1203" s="13" t="inlineStr">
        <is>
          <t>P-8a &gt; DDG-51 &gt; Electronics &gt; MISC. ELECTRONICS 2</t>
        </is>
      </c>
      <c r="AG1203" s="7" t="inlineStr">
        <is>
          <t>246</t>
        </is>
      </c>
      <c r="AH1203" s="7" t="inlineStr">
        <is>
          <t>2122</t>
        </is>
      </c>
      <c r="AJ1203" s="7" t="inlineStr">
        <is>
          <t>MISC. ELECTRONICS</t>
        </is>
      </c>
    </row>
    <row r="1204" ht="10" customHeight="1">
      <c r="A1204" s="7" t="inlineStr">
        <is>
          <t>SCN</t>
        </is>
      </c>
      <c r="B1204" s="7" t="inlineStr">
        <is>
          <t>Procurement</t>
        </is>
      </c>
      <c r="D1204" s="7" t="inlineStr">
        <is>
          <t>DDG-51 - P-8a Hull, Mechanical, and Electrical - STC 3 IVCS 2</t>
        </is>
      </c>
      <c r="E1204" s="13" t="inlineStr">
        <is>
          <t>[ALT_VIEW]</t>
        </is>
      </c>
      <c r="F1204" s="7" t="inlineStr">
        <is>
          <t>2122 / DDG-51</t>
        </is>
      </c>
      <c r="G1204" s="7" t="inlineStr">
        <is>
          <t>P-8a</t>
        </is>
      </c>
      <c r="H1204" s="7" t="inlineStr">
        <is>
          <t>Hull, Mechanical, and Electrical</t>
        </is>
      </c>
      <c r="I1204" s="14" t="n">
        <v>1</v>
      </c>
      <c r="J1204" s="7" t="inlineStr">
        <is>
          <t>Full ship DD&amp;C</t>
        </is>
      </c>
      <c r="K1204" s="13" t="inlineStr">
        <is>
          <t>USN</t>
        </is>
      </c>
      <c r="L1204" s="7" t="inlineStr">
        <is>
          <t>Combatant Ships</t>
        </is>
      </c>
      <c r="M1204" s="7" t="inlineStr">
        <is>
          <t>Surface Combatants</t>
        </is>
      </c>
      <c r="N1204" s="7" t="inlineStr">
        <is>
          <t>DDG</t>
        </is>
      </c>
      <c r="O1204" s="15" t="n"/>
      <c r="P1204" s="16" t="n">
        <v>17150</v>
      </c>
      <c r="S1204" s="16" t="n">
        <v>26240</v>
      </c>
      <c r="U1204" s="16" t="n">
        <v>26240</v>
      </c>
      <c r="AC1204" s="23">
        <f>IF(OR(E1204="",E1204="[PARENT]"),"ADD",IF(E1204="[ALT_VIEW]","ALT",""))</f>
        <v/>
      </c>
      <c r="AD1204" s="21">
        <f>IF(Y1204&lt;&gt;"",Y1204,IF(U1204&lt;&gt;"",U1204,S1204))</f>
        <v/>
      </c>
      <c r="AE1204" s="21">
        <f>IF(AB1204&lt;&gt;"",AB1204,Z1204)</f>
        <v/>
      </c>
      <c r="AF1204" s="13" t="inlineStr">
        <is>
          <t>P-8a &gt; DDG-51 &gt; Hull, Mechanical, and Electrical &gt; STC 3 IVCS 2</t>
        </is>
      </c>
      <c r="AG1204" s="7" t="inlineStr">
        <is>
          <t>247</t>
        </is>
      </c>
      <c r="AH1204" s="7" t="inlineStr">
        <is>
          <t>2122</t>
        </is>
      </c>
      <c r="AJ1204" s="7" t="inlineStr">
        <is>
          <t>STC 3 IVCS</t>
        </is>
      </c>
    </row>
    <row r="1205" ht="10" customHeight="1">
      <c r="A1205" s="7" t="inlineStr">
        <is>
          <t>SCN</t>
        </is>
      </c>
      <c r="B1205" s="7" t="inlineStr">
        <is>
          <t>Procurement</t>
        </is>
      </c>
      <c r="D1205" s="7" t="inlineStr">
        <is>
          <t>DDG-51 - P-8a Hull, Mechanical, and Electrical - Machinery Control System 2</t>
        </is>
      </c>
      <c r="E1205" s="13" t="inlineStr">
        <is>
          <t>[ALT_VIEW]</t>
        </is>
      </c>
      <c r="F1205" s="7" t="inlineStr">
        <is>
          <t>2122 / DDG-51</t>
        </is>
      </c>
      <c r="G1205" s="7" t="inlineStr">
        <is>
          <t>P-8a</t>
        </is>
      </c>
      <c r="H1205" s="7" t="inlineStr">
        <is>
          <t>Hull, Mechanical, and Electrical</t>
        </is>
      </c>
      <c r="I1205" s="14" t="n">
        <v>1</v>
      </c>
      <c r="J1205" s="7" t="inlineStr">
        <is>
          <t>Full ship DD&amp;C</t>
        </is>
      </c>
      <c r="K1205" s="13" t="inlineStr">
        <is>
          <t>USN</t>
        </is>
      </c>
      <c r="L1205" s="7" t="inlineStr">
        <is>
          <t>Combatant Ships</t>
        </is>
      </c>
      <c r="M1205" s="7" t="inlineStr">
        <is>
          <t>Surface Combatants</t>
        </is>
      </c>
      <c r="N1205" s="7" t="inlineStr">
        <is>
          <t>DDG</t>
        </is>
      </c>
      <c r="O1205" s="15" t="n"/>
      <c r="P1205" s="16" t="n">
        <v>13566</v>
      </c>
      <c r="S1205" s="16" t="n">
        <v>20756</v>
      </c>
      <c r="U1205" s="16" t="n">
        <v>20756</v>
      </c>
      <c r="AC1205" s="23">
        <f>IF(OR(E1205="",E1205="[PARENT]"),"ADD",IF(E1205="[ALT_VIEW]","ALT",""))</f>
        <v/>
      </c>
      <c r="AD1205" s="21">
        <f>IF(Y1205&lt;&gt;"",Y1205,IF(U1205&lt;&gt;"",U1205,S1205))</f>
        <v/>
      </c>
      <c r="AE1205" s="21">
        <f>IF(AB1205&lt;&gt;"",AB1205,Z1205)</f>
        <v/>
      </c>
      <c r="AF1205" s="13" t="inlineStr">
        <is>
          <t>P-8a &gt; DDG-51 &gt; Hull, Mechanical, and Electrical &gt; Machinery Control System 2</t>
        </is>
      </c>
      <c r="AG1205" s="7" t="inlineStr">
        <is>
          <t>247</t>
        </is>
      </c>
      <c r="AH1205" s="7" t="inlineStr">
        <is>
          <t>2122</t>
        </is>
      </c>
      <c r="AJ1205" s="7" t="inlineStr">
        <is>
          <t>Machinery Control System</t>
        </is>
      </c>
    </row>
    <row r="1206" ht="10" customHeight="1">
      <c r="A1206" s="7" t="inlineStr">
        <is>
          <t>SCN</t>
        </is>
      </c>
      <c r="B1206" s="7" t="inlineStr">
        <is>
          <t>Procurement</t>
        </is>
      </c>
      <c r="D1206" s="7" t="inlineStr">
        <is>
          <t>DDG-51 - P-8a Hull, Mechanical, and Electrical - Integrated Bridge Navigation System 2</t>
        </is>
      </c>
      <c r="E1206" s="13" t="inlineStr">
        <is>
          <t>[ALT_VIEW]</t>
        </is>
      </c>
      <c r="F1206" s="7" t="inlineStr">
        <is>
          <t>2122 / DDG-51</t>
        </is>
      </c>
      <c r="G1206" s="7" t="inlineStr">
        <is>
          <t>P-8a</t>
        </is>
      </c>
      <c r="H1206" s="7" t="inlineStr">
        <is>
          <t>Hull, Mechanical, and Electrical</t>
        </is>
      </c>
      <c r="I1206" s="14" t="n">
        <v>1</v>
      </c>
      <c r="J1206" s="7" t="inlineStr">
        <is>
          <t>Full ship DD&amp;C</t>
        </is>
      </c>
      <c r="K1206" s="13" t="inlineStr">
        <is>
          <t>USN</t>
        </is>
      </c>
      <c r="L1206" s="7" t="inlineStr">
        <is>
          <t>Combatant Ships</t>
        </is>
      </c>
      <c r="M1206" s="7" t="inlineStr">
        <is>
          <t>Surface Combatants</t>
        </is>
      </c>
      <c r="N1206" s="7" t="inlineStr">
        <is>
          <t>DDG</t>
        </is>
      </c>
      <c r="O1206" s="15" t="n"/>
      <c r="P1206" s="16" t="n">
        <v>14375</v>
      </c>
      <c r="S1206" s="16" t="n">
        <v>26975</v>
      </c>
      <c r="U1206" s="16" t="n">
        <v>26975</v>
      </c>
      <c r="AC1206" s="23">
        <f>IF(OR(E1206="",E1206="[PARENT]"),"ADD",IF(E1206="[ALT_VIEW]","ALT",""))</f>
        <v/>
      </c>
      <c r="AD1206" s="21">
        <f>IF(Y1206&lt;&gt;"",Y1206,IF(U1206&lt;&gt;"",U1206,S1206))</f>
        <v/>
      </c>
      <c r="AE1206" s="21">
        <f>IF(AB1206&lt;&gt;"",AB1206,Z1206)</f>
        <v/>
      </c>
      <c r="AF1206" s="13" t="inlineStr">
        <is>
          <t>P-8a &gt; DDG-51 &gt; Hull, Mechanical, and Electrical &gt; Integrated Bridge Navigation System 2</t>
        </is>
      </c>
      <c r="AG1206" s="7" t="inlineStr">
        <is>
          <t>247</t>
        </is>
      </c>
      <c r="AH1206" s="7" t="inlineStr">
        <is>
          <t>2122</t>
        </is>
      </c>
      <c r="AJ1206" s="7" t="inlineStr">
        <is>
          <t>Integrated Bridge Navigation System</t>
        </is>
      </c>
    </row>
    <row r="1207" ht="10" customHeight="1">
      <c r="A1207" s="7" t="inlineStr">
        <is>
          <t>SCN</t>
        </is>
      </c>
      <c r="B1207" s="7" t="inlineStr">
        <is>
          <t>Procurement</t>
        </is>
      </c>
      <c r="D1207" s="7" t="inlineStr">
        <is>
          <t>DDG-51 - P-8a Hull, Mechanical, and Electrical - CYBER BDC 2</t>
        </is>
      </c>
      <c r="E1207" s="13" t="inlineStr">
        <is>
          <t>[ALT_VIEW]</t>
        </is>
      </c>
      <c r="F1207" s="7" t="inlineStr">
        <is>
          <t>2122 / DDG-51</t>
        </is>
      </c>
      <c r="G1207" s="7" t="inlineStr">
        <is>
          <t>P-8a</t>
        </is>
      </c>
      <c r="H1207" s="7" t="inlineStr">
        <is>
          <t>Hull, Mechanical, and Electrical</t>
        </is>
      </c>
      <c r="I1207" s="14" t="n">
        <v>1</v>
      </c>
      <c r="J1207" s="7" t="inlineStr">
        <is>
          <t>Full ship DD&amp;C</t>
        </is>
      </c>
      <c r="K1207" s="13" t="inlineStr">
        <is>
          <t>USN</t>
        </is>
      </c>
      <c r="L1207" s="7" t="inlineStr">
        <is>
          <t>Combatant Ships</t>
        </is>
      </c>
      <c r="M1207" s="7" t="inlineStr">
        <is>
          <t>Surface Combatants</t>
        </is>
      </c>
      <c r="N1207" s="7" t="inlineStr">
        <is>
          <t>DDG</t>
        </is>
      </c>
      <c r="O1207" s="15" t="n"/>
      <c r="P1207" s="16" t="n">
        <v>9419</v>
      </c>
      <c r="S1207" s="16" t="n">
        <v>14411</v>
      </c>
      <c r="U1207" s="16" t="n">
        <v>14411</v>
      </c>
      <c r="AC1207" s="23">
        <f>IF(OR(E1207="",E1207="[PARENT]"),"ADD",IF(E1207="[ALT_VIEW]","ALT",""))</f>
        <v/>
      </c>
      <c r="AD1207" s="21">
        <f>IF(Y1207&lt;&gt;"",Y1207,IF(U1207&lt;&gt;"",U1207,S1207))</f>
        <v/>
      </c>
      <c r="AE1207" s="21">
        <f>IF(AB1207&lt;&gt;"",AB1207,Z1207)</f>
        <v/>
      </c>
      <c r="AF1207" s="13" t="inlineStr">
        <is>
          <t>P-8a &gt; DDG-51 &gt; Hull, Mechanical, and Electrical &gt; CYBER BDC 2</t>
        </is>
      </c>
      <c r="AG1207" s="7" t="inlineStr">
        <is>
          <t>247</t>
        </is>
      </c>
      <c r="AH1207" s="7" t="inlineStr">
        <is>
          <t>2122</t>
        </is>
      </c>
      <c r="AJ1207" s="7" t="inlineStr">
        <is>
          <t>CYBER BDC</t>
        </is>
      </c>
    </row>
    <row r="1208" ht="10" customHeight="1">
      <c r="A1208" s="7" t="inlineStr">
        <is>
          <t>SCN</t>
        </is>
      </c>
      <c r="B1208" s="7" t="inlineStr">
        <is>
          <t>Procurement</t>
        </is>
      </c>
      <c r="D1208" s="7" t="inlineStr">
        <is>
          <t>DDG-51 - P-8a Hull, Mechanical, and Electrical - WSN 12 2</t>
        </is>
      </c>
      <c r="E1208" s="13" t="inlineStr">
        <is>
          <t>[ALT_VIEW]</t>
        </is>
      </c>
      <c r="F1208" s="7" t="inlineStr">
        <is>
          <t>2122 / DDG-51</t>
        </is>
      </c>
      <c r="G1208" s="7" t="inlineStr">
        <is>
          <t>P-8a</t>
        </is>
      </c>
      <c r="H1208" s="7" t="inlineStr">
        <is>
          <t>Hull, Mechanical, and Electrical</t>
        </is>
      </c>
      <c r="I1208" s="14" t="n">
        <v>1</v>
      </c>
      <c r="J1208" s="7" t="inlineStr">
        <is>
          <t>Full ship DD&amp;C</t>
        </is>
      </c>
      <c r="K1208" s="13" t="inlineStr">
        <is>
          <t>USN</t>
        </is>
      </c>
      <c r="L1208" s="7" t="inlineStr">
        <is>
          <t>Combatant Ships</t>
        </is>
      </c>
      <c r="M1208" s="7" t="inlineStr">
        <is>
          <t>Surface Combatants</t>
        </is>
      </c>
      <c r="N1208" s="7" t="inlineStr">
        <is>
          <t>DDG</t>
        </is>
      </c>
      <c r="O1208" s="15" t="n"/>
      <c r="P1208" s="16" t="n">
        <v>8520</v>
      </c>
      <c r="S1208" s="16" t="n">
        <v>13036</v>
      </c>
      <c r="U1208" s="16" t="n">
        <v>13036</v>
      </c>
      <c r="AC1208" s="23">
        <f>IF(OR(E1208="",E1208="[PARENT]"),"ADD",IF(E1208="[ALT_VIEW]","ALT",""))</f>
        <v/>
      </c>
      <c r="AD1208" s="21">
        <f>IF(Y1208&lt;&gt;"",Y1208,IF(U1208&lt;&gt;"",U1208,S1208))</f>
        <v/>
      </c>
      <c r="AE1208" s="21">
        <f>IF(AB1208&lt;&gt;"",AB1208,Z1208)</f>
        <v/>
      </c>
      <c r="AF1208" s="13" t="inlineStr">
        <is>
          <t>P-8a &gt; DDG-51 &gt; Hull, Mechanical, and Electrical &gt; WSN 12 2</t>
        </is>
      </c>
      <c r="AG1208" s="7" t="inlineStr">
        <is>
          <t>247</t>
        </is>
      </c>
      <c r="AH1208" s="7" t="inlineStr">
        <is>
          <t>2122</t>
        </is>
      </c>
      <c r="AJ1208" s="7" t="inlineStr">
        <is>
          <t>WSN 12</t>
        </is>
      </c>
    </row>
    <row r="1209" ht="10" customHeight="1">
      <c r="A1209" s="7" t="inlineStr">
        <is>
          <t>SCN</t>
        </is>
      </c>
      <c r="B1209" s="7" t="inlineStr">
        <is>
          <t>Procurement</t>
        </is>
      </c>
      <c r="D1209" s="7" t="inlineStr">
        <is>
          <t>DDG-51 - P-8a Hull, Mechanical, and Electrical - MISC. HM&amp;E 2</t>
        </is>
      </c>
      <c r="E1209" s="13" t="inlineStr">
        <is>
          <t>[ALT_VIEW]</t>
        </is>
      </c>
      <c r="F1209" s="7" t="inlineStr">
        <is>
          <t>2122 / DDG-51</t>
        </is>
      </c>
      <c r="G1209" s="7" t="inlineStr">
        <is>
          <t>P-8a</t>
        </is>
      </c>
      <c r="H1209" s="7" t="inlineStr">
        <is>
          <t>Hull, Mechanical, and Electrical</t>
        </is>
      </c>
      <c r="I1209" s="14" t="n">
        <v>1</v>
      </c>
      <c r="J1209" s="7" t="inlineStr">
        <is>
          <t>Full ship DD&amp;C</t>
        </is>
      </c>
      <c r="K1209" s="13" t="inlineStr">
        <is>
          <t>USN</t>
        </is>
      </c>
      <c r="L1209" s="7" t="inlineStr">
        <is>
          <t>Combatant Ships</t>
        </is>
      </c>
      <c r="M1209" s="7" t="inlineStr">
        <is>
          <t>Surface Combatants</t>
        </is>
      </c>
      <c r="N1209" s="7" t="inlineStr">
        <is>
          <t>DDG</t>
        </is>
      </c>
      <c r="O1209" s="15" t="n"/>
      <c r="P1209" s="16" t="n">
        <v>37643</v>
      </c>
      <c r="S1209" s="16" t="n">
        <v>52611</v>
      </c>
      <c r="U1209" s="16" t="n">
        <v>52611</v>
      </c>
      <c r="AC1209" s="23">
        <f>IF(OR(E1209="",E1209="[PARENT]"),"ADD",IF(E1209="[ALT_VIEW]","ALT",""))</f>
        <v/>
      </c>
      <c r="AD1209" s="21">
        <f>IF(Y1209&lt;&gt;"",Y1209,IF(U1209&lt;&gt;"",U1209,S1209))</f>
        <v/>
      </c>
      <c r="AE1209" s="21">
        <f>IF(AB1209&lt;&gt;"",AB1209,Z1209)</f>
        <v/>
      </c>
      <c r="AF1209" s="13" t="inlineStr">
        <is>
          <t>P-8a &gt; DDG-51 &gt; Hull, Mechanical, and Electrical &gt; MISC. HM&amp;E 2</t>
        </is>
      </c>
      <c r="AG1209" s="7" t="inlineStr">
        <is>
          <t>247</t>
        </is>
      </c>
      <c r="AH1209" s="7" t="inlineStr">
        <is>
          <t>2122</t>
        </is>
      </c>
      <c r="AJ1209" s="7" t="inlineStr">
        <is>
          <t>MISC. HM&amp;E</t>
        </is>
      </c>
    </row>
    <row r="1210" ht="10" customHeight="1">
      <c r="A1210" s="7" t="inlineStr">
        <is>
          <t>SCN</t>
        </is>
      </c>
      <c r="B1210" s="7" t="inlineStr">
        <is>
          <t>Procurement</t>
        </is>
      </c>
      <c r="D1210" s="7" t="inlineStr">
        <is>
          <t>DDG-51 - P-8a Ordnance - AEGIS WEAPON SYSTEM (MK-7) 2</t>
        </is>
      </c>
      <c r="E1210" s="13" t="inlineStr">
        <is>
          <t>[ALT_VIEW]</t>
        </is>
      </c>
      <c r="F1210" s="7" t="inlineStr">
        <is>
          <t>2122 / DDG-51</t>
        </is>
      </c>
      <c r="G1210" s="7" t="inlineStr">
        <is>
          <t>P-8a</t>
        </is>
      </c>
      <c r="H1210" s="7" t="inlineStr">
        <is>
          <t>Ordnance</t>
        </is>
      </c>
      <c r="I1210" s="14" t="n">
        <v>1</v>
      </c>
      <c r="J1210" s="7" t="inlineStr">
        <is>
          <t>Full ship DD&amp;C</t>
        </is>
      </c>
      <c r="K1210" s="13" t="inlineStr">
        <is>
          <t>USN</t>
        </is>
      </c>
      <c r="L1210" s="7" t="inlineStr">
        <is>
          <t>Combatant Ships</t>
        </is>
      </c>
      <c r="M1210" s="7" t="inlineStr">
        <is>
          <t>Surface Combatants</t>
        </is>
      </c>
      <c r="N1210" s="7" t="inlineStr">
        <is>
          <t>DDG</t>
        </is>
      </c>
      <c r="O1210" s="15" t="n"/>
      <c r="P1210" s="16" t="n">
        <v>304390</v>
      </c>
      <c r="S1210" s="16" t="n">
        <v>465717</v>
      </c>
      <c r="U1210" s="16" t="n">
        <v>465717</v>
      </c>
      <c r="AC1210" s="23">
        <f>IF(OR(E1210="",E1210="[PARENT]"),"ADD",IF(E1210="[ALT_VIEW]","ALT",""))</f>
        <v/>
      </c>
      <c r="AD1210" s="21">
        <f>IF(Y1210&lt;&gt;"",Y1210,IF(U1210&lt;&gt;"",U1210,S1210))</f>
        <v/>
      </c>
      <c r="AE1210" s="21">
        <f>IF(AB1210&lt;&gt;"",AB1210,Z1210)</f>
        <v/>
      </c>
      <c r="AF1210" s="13" t="inlineStr">
        <is>
          <t>P-8a &gt; DDG-51 &gt; Ordnance &gt; AEGIS WEAPON SYSTEM (MK-7) 2</t>
        </is>
      </c>
      <c r="AG1210" s="7" t="inlineStr">
        <is>
          <t>248</t>
        </is>
      </c>
      <c r="AH1210" s="7" t="inlineStr">
        <is>
          <t>2122</t>
        </is>
      </c>
      <c r="AJ1210" s="7" t="inlineStr">
        <is>
          <t>AEGIS WEAPON SYSTEM (MK-7)</t>
        </is>
      </c>
    </row>
    <row r="1211" ht="10" customHeight="1">
      <c r="A1211" s="7" t="inlineStr">
        <is>
          <t>SCN</t>
        </is>
      </c>
      <c r="B1211" s="7" t="inlineStr">
        <is>
          <t>Procurement</t>
        </is>
      </c>
      <c r="D1211" s="7" t="inlineStr">
        <is>
          <t>DDG-51 - P-8a Ordnance - AN/SPY-6(V)1 (AMDR) 2</t>
        </is>
      </c>
      <c r="E1211" s="13" t="inlineStr">
        <is>
          <t>[ALT_VIEW]</t>
        </is>
      </c>
      <c r="F1211" s="7" t="inlineStr">
        <is>
          <t>2122 / DDG-51</t>
        </is>
      </c>
      <c r="G1211" s="7" t="inlineStr">
        <is>
          <t>P-8a</t>
        </is>
      </c>
      <c r="H1211" s="7" t="inlineStr">
        <is>
          <t>Ordnance</t>
        </is>
      </c>
      <c r="I1211" s="14" t="n">
        <v>1</v>
      </c>
      <c r="J1211" s="7" t="inlineStr">
        <is>
          <t>Full ship DD&amp;C</t>
        </is>
      </c>
      <c r="K1211" s="13" t="inlineStr">
        <is>
          <t>USN</t>
        </is>
      </c>
      <c r="L1211" s="7" t="inlineStr">
        <is>
          <t>Combatant Ships</t>
        </is>
      </c>
      <c r="M1211" s="7" t="inlineStr">
        <is>
          <t>Surface Combatants</t>
        </is>
      </c>
      <c r="N1211" s="7" t="inlineStr">
        <is>
          <t>DDG</t>
        </is>
      </c>
      <c r="O1211" s="15" t="n"/>
      <c r="P1211" s="16" t="n">
        <v>452860</v>
      </c>
      <c r="S1211" s="16" t="n">
        <v>692876</v>
      </c>
      <c r="U1211" s="16" t="n">
        <v>692876</v>
      </c>
      <c r="AC1211" s="23">
        <f>IF(OR(E1211="",E1211="[PARENT]"),"ADD",IF(E1211="[ALT_VIEW]","ALT",""))</f>
        <v/>
      </c>
      <c r="AD1211" s="21">
        <f>IF(Y1211&lt;&gt;"",Y1211,IF(U1211&lt;&gt;"",U1211,S1211))</f>
        <v/>
      </c>
      <c r="AE1211" s="21">
        <f>IF(AB1211&lt;&gt;"",AB1211,Z1211)</f>
        <v/>
      </c>
      <c r="AF1211" s="13" t="inlineStr">
        <is>
          <t>P-8a &gt; DDG-51 &gt; Ordnance &gt; AN/SPY-6(V)1 (AMDR) 2</t>
        </is>
      </c>
      <c r="AG1211" s="7" t="inlineStr">
        <is>
          <t>248</t>
        </is>
      </c>
      <c r="AH1211" s="7" t="inlineStr">
        <is>
          <t>2122</t>
        </is>
      </c>
      <c r="AJ1211" s="7" t="inlineStr">
        <is>
          <t>AN/SPY-6(V)1 (AMDR)</t>
        </is>
      </c>
    </row>
    <row r="1212" ht="10" customHeight="1">
      <c r="A1212" s="7" t="inlineStr">
        <is>
          <t>SCN</t>
        </is>
      </c>
      <c r="B1212" s="7" t="inlineStr">
        <is>
          <t>Procurement</t>
        </is>
      </c>
      <c r="D1212" s="7" t="inlineStr">
        <is>
          <t>DDG-51 - P-8a Ordnance - VLS MK 41 2</t>
        </is>
      </c>
      <c r="E1212" s="13" t="inlineStr">
        <is>
          <t>[ALT_VIEW]</t>
        </is>
      </c>
      <c r="F1212" s="7" t="inlineStr">
        <is>
          <t>2122 / DDG-51</t>
        </is>
      </c>
      <c r="G1212" s="7" t="inlineStr">
        <is>
          <t>P-8a</t>
        </is>
      </c>
      <c r="H1212" s="7" t="inlineStr">
        <is>
          <t>Ordnance</t>
        </is>
      </c>
      <c r="I1212" s="14" t="n">
        <v>1</v>
      </c>
      <c r="J1212" s="7" t="inlineStr">
        <is>
          <t>Full ship DD&amp;C</t>
        </is>
      </c>
      <c r="K1212" s="13" t="inlineStr">
        <is>
          <t>USN</t>
        </is>
      </c>
      <c r="L1212" s="7" t="inlineStr">
        <is>
          <t>Combatant Ships</t>
        </is>
      </c>
      <c r="M1212" s="7" t="inlineStr">
        <is>
          <t>Surface Combatants</t>
        </is>
      </c>
      <c r="N1212" s="7" t="inlineStr">
        <is>
          <t>DDG</t>
        </is>
      </c>
      <c r="O1212" s="15" t="n"/>
      <c r="P1212" s="16" t="n">
        <v>143782</v>
      </c>
      <c r="S1212" s="16" t="n">
        <v>219986</v>
      </c>
      <c r="U1212" s="16" t="n">
        <v>219986</v>
      </c>
      <c r="AC1212" s="23">
        <f>IF(OR(E1212="",E1212="[PARENT]"),"ADD",IF(E1212="[ALT_VIEW]","ALT",""))</f>
        <v/>
      </c>
      <c r="AD1212" s="21">
        <f>IF(Y1212&lt;&gt;"",Y1212,IF(U1212&lt;&gt;"",U1212,S1212))</f>
        <v/>
      </c>
      <c r="AE1212" s="21">
        <f>IF(AB1212&lt;&gt;"",AB1212,Z1212)</f>
        <v/>
      </c>
      <c r="AF1212" s="13" t="inlineStr">
        <is>
          <t>P-8a &gt; DDG-51 &gt; Ordnance &gt; VLS MK 41 2</t>
        </is>
      </c>
      <c r="AG1212" s="7" t="inlineStr">
        <is>
          <t>248</t>
        </is>
      </c>
      <c r="AH1212" s="7" t="inlineStr">
        <is>
          <t>2122</t>
        </is>
      </c>
      <c r="AJ1212" s="7" t="inlineStr">
        <is>
          <t>VLS MK 41</t>
        </is>
      </c>
    </row>
    <row r="1213" ht="10" customHeight="1">
      <c r="A1213" s="7" t="inlineStr">
        <is>
          <t>SCN</t>
        </is>
      </c>
      <c r="B1213" s="7" t="inlineStr">
        <is>
          <t>Procurement</t>
        </is>
      </c>
      <c r="D1213" s="7" t="inlineStr">
        <is>
          <t>DDG-51 - P-8a Ordnance - MK 45 Light Weight Gun (LWG) 2</t>
        </is>
      </c>
      <c r="E1213" s="13" t="inlineStr">
        <is>
          <t>[ALT_VIEW]</t>
        </is>
      </c>
      <c r="F1213" s="7" t="inlineStr">
        <is>
          <t>2122 / DDG-51</t>
        </is>
      </c>
      <c r="G1213" s="7" t="inlineStr">
        <is>
          <t>P-8a</t>
        </is>
      </c>
      <c r="H1213" s="7" t="inlineStr">
        <is>
          <t>Ordnance</t>
        </is>
      </c>
      <c r="I1213" s="14" t="n">
        <v>1</v>
      </c>
      <c r="J1213" s="7" t="inlineStr">
        <is>
          <t>Full ship DD&amp;C</t>
        </is>
      </c>
      <c r="K1213" s="13" t="inlineStr">
        <is>
          <t>USN</t>
        </is>
      </c>
      <c r="L1213" s="7" t="inlineStr">
        <is>
          <t>Combatant Ships</t>
        </is>
      </c>
      <c r="M1213" s="7" t="inlineStr">
        <is>
          <t>Surface Combatants</t>
        </is>
      </c>
      <c r="N1213" s="7" t="inlineStr">
        <is>
          <t>DDG</t>
        </is>
      </c>
      <c r="O1213" s="15" t="n"/>
      <c r="P1213" s="16" t="n">
        <v>59315</v>
      </c>
      <c r="S1213" s="16" t="n">
        <v>90752</v>
      </c>
      <c r="U1213" s="16" t="n">
        <v>90752</v>
      </c>
      <c r="AC1213" s="23">
        <f>IF(OR(E1213="",E1213="[PARENT]"),"ADD",IF(E1213="[ALT_VIEW]","ALT",""))</f>
        <v/>
      </c>
      <c r="AD1213" s="21">
        <f>IF(Y1213&lt;&gt;"",Y1213,IF(U1213&lt;&gt;"",U1213,S1213))</f>
        <v/>
      </c>
      <c r="AE1213" s="21">
        <f>IF(AB1213&lt;&gt;"",AB1213,Z1213)</f>
        <v/>
      </c>
      <c r="AF1213" s="13" t="inlineStr">
        <is>
          <t>P-8a &gt; DDG-51 &gt; Ordnance &gt; MK 45 Light Weight Gun (LWG) 2</t>
        </is>
      </c>
      <c r="AG1213" s="7" t="inlineStr">
        <is>
          <t>248</t>
        </is>
      </c>
      <c r="AH1213" s="7" t="inlineStr">
        <is>
          <t>2122</t>
        </is>
      </c>
      <c r="AJ1213" s="7" t="inlineStr">
        <is>
          <t>MK 45 Light Weight Gun (LWG)</t>
        </is>
      </c>
    </row>
    <row r="1214" ht="10" customHeight="1">
      <c r="A1214" s="7" t="inlineStr">
        <is>
          <t>SCN</t>
        </is>
      </c>
      <c r="B1214" s="7" t="inlineStr">
        <is>
          <t>Procurement</t>
        </is>
      </c>
      <c r="D1214" s="7" t="inlineStr">
        <is>
          <t>DDG-51 - P-8a Ordnance - MK 37 TOMAHAWK 2</t>
        </is>
      </c>
      <c r="E1214" s="13" t="inlineStr">
        <is>
          <t>[ALT_VIEW]</t>
        </is>
      </c>
      <c r="F1214" s="7" t="inlineStr">
        <is>
          <t>2122 / DDG-51</t>
        </is>
      </c>
      <c r="G1214" s="7" t="inlineStr">
        <is>
          <t>P-8a</t>
        </is>
      </c>
      <c r="H1214" s="7" t="inlineStr">
        <is>
          <t>Ordnance</t>
        </is>
      </c>
      <c r="I1214" s="14" t="n">
        <v>1</v>
      </c>
      <c r="J1214" s="7" t="inlineStr">
        <is>
          <t>Full ship DD&amp;C</t>
        </is>
      </c>
      <c r="K1214" s="13" t="inlineStr">
        <is>
          <t>USN</t>
        </is>
      </c>
      <c r="L1214" s="7" t="inlineStr">
        <is>
          <t>Combatant Ships</t>
        </is>
      </c>
      <c r="M1214" s="7" t="inlineStr">
        <is>
          <t>Surface Combatants</t>
        </is>
      </c>
      <c r="N1214" s="7" t="inlineStr">
        <is>
          <t>DDG</t>
        </is>
      </c>
      <c r="O1214" s="15" t="n"/>
      <c r="P1214" s="16" t="n">
        <v>33335</v>
      </c>
      <c r="S1214" s="16" t="n">
        <v>51003</v>
      </c>
      <c r="U1214" s="16" t="n">
        <v>51003</v>
      </c>
      <c r="AC1214" s="23">
        <f>IF(OR(E1214="",E1214="[PARENT]"),"ADD",IF(E1214="[ALT_VIEW]","ALT",""))</f>
        <v/>
      </c>
      <c r="AD1214" s="21">
        <f>IF(Y1214&lt;&gt;"",Y1214,IF(U1214&lt;&gt;"",U1214,S1214))</f>
        <v/>
      </c>
      <c r="AE1214" s="21">
        <f>IF(AB1214&lt;&gt;"",AB1214,Z1214)</f>
        <v/>
      </c>
      <c r="AF1214" s="13" t="inlineStr">
        <is>
          <t>P-8a &gt; DDG-51 &gt; Ordnance &gt; MK 37 TOMAHAWK 2</t>
        </is>
      </c>
      <c r="AG1214" s="7" t="inlineStr">
        <is>
          <t>248</t>
        </is>
      </c>
      <c r="AH1214" s="7" t="inlineStr">
        <is>
          <t>2122</t>
        </is>
      </c>
      <c r="AJ1214" s="7" t="inlineStr">
        <is>
          <t>MK 37 TOMAHAWK</t>
        </is>
      </c>
    </row>
    <row r="1215" ht="10" customHeight="1">
      <c r="A1215" s="7" t="inlineStr">
        <is>
          <t>SCN</t>
        </is>
      </c>
      <c r="B1215" s="7" t="inlineStr">
        <is>
          <t>Procurement</t>
        </is>
      </c>
      <c r="D1215" s="7" t="inlineStr">
        <is>
          <t>DDG-51 - P-8a Ordnance - PHALANX (CIWS) 2</t>
        </is>
      </c>
      <c r="E1215" s="13" t="inlineStr">
        <is>
          <t>[ALT_VIEW]</t>
        </is>
      </c>
      <c r="F1215" s="7" t="inlineStr">
        <is>
          <t>2122 / DDG-51</t>
        </is>
      </c>
      <c r="G1215" s="7" t="inlineStr">
        <is>
          <t>P-8a</t>
        </is>
      </c>
      <c r="H1215" s="7" t="inlineStr">
        <is>
          <t>Ordnance</t>
        </is>
      </c>
      <c r="I1215" s="14" t="n">
        <v>1</v>
      </c>
      <c r="J1215" s="7" t="inlineStr">
        <is>
          <t>Full ship DD&amp;C</t>
        </is>
      </c>
      <c r="K1215" s="13" t="inlineStr">
        <is>
          <t>USN</t>
        </is>
      </c>
      <c r="L1215" s="7" t="inlineStr">
        <is>
          <t>Combatant Ships</t>
        </is>
      </c>
      <c r="M1215" s="7" t="inlineStr">
        <is>
          <t>Surface Combatants</t>
        </is>
      </c>
      <c r="N1215" s="7" t="inlineStr">
        <is>
          <t>DDG</t>
        </is>
      </c>
      <c r="O1215" s="15" t="n"/>
      <c r="P1215" s="16" t="n">
        <v>19037</v>
      </c>
      <c r="S1215" s="16" t="n">
        <v>29127</v>
      </c>
      <c r="U1215" s="16" t="n">
        <v>29127</v>
      </c>
      <c r="AC1215" s="23">
        <f>IF(OR(E1215="",E1215="[PARENT]"),"ADD",IF(E1215="[ALT_VIEW]","ALT",""))</f>
        <v/>
      </c>
      <c r="AD1215" s="21">
        <f>IF(Y1215&lt;&gt;"",Y1215,IF(U1215&lt;&gt;"",U1215,S1215))</f>
        <v/>
      </c>
      <c r="AE1215" s="21">
        <f>IF(AB1215&lt;&gt;"",AB1215,Z1215)</f>
        <v/>
      </c>
      <c r="AF1215" s="13" t="inlineStr">
        <is>
          <t>P-8a &gt; DDG-51 &gt; Ordnance &gt; PHALANX (CIWS) 2</t>
        </is>
      </c>
      <c r="AG1215" s="7" t="inlineStr">
        <is>
          <t>248</t>
        </is>
      </c>
      <c r="AH1215" s="7" t="inlineStr">
        <is>
          <t>2122</t>
        </is>
      </c>
      <c r="AJ1215" s="7" t="inlineStr">
        <is>
          <t>PHALANX (CIWS)</t>
        </is>
      </c>
    </row>
    <row r="1216" ht="10" customHeight="1">
      <c r="A1216" s="7" t="inlineStr">
        <is>
          <t>SCN</t>
        </is>
      </c>
      <c r="B1216" s="7" t="inlineStr">
        <is>
          <t>Procurement</t>
        </is>
      </c>
      <c r="D1216" s="7" t="inlineStr">
        <is>
          <t>DDG-51 - P-8a Ordnance - SPQ-9B Radar 2</t>
        </is>
      </c>
      <c r="E1216" s="13" t="inlineStr">
        <is>
          <t>[ALT_VIEW]</t>
        </is>
      </c>
      <c r="F1216" s="7" t="inlineStr">
        <is>
          <t>2122 / DDG-51</t>
        </is>
      </c>
      <c r="G1216" s="7" t="inlineStr">
        <is>
          <t>P-8a</t>
        </is>
      </c>
      <c r="H1216" s="7" t="inlineStr">
        <is>
          <t>Ordnance</t>
        </is>
      </c>
      <c r="I1216" s="14" t="n">
        <v>1</v>
      </c>
      <c r="J1216" s="7" t="inlineStr">
        <is>
          <t>Full ship DD&amp;C</t>
        </is>
      </c>
      <c r="K1216" s="13" t="inlineStr">
        <is>
          <t>USN</t>
        </is>
      </c>
      <c r="L1216" s="7" t="inlineStr">
        <is>
          <t>Combatant Ships</t>
        </is>
      </c>
      <c r="M1216" s="7" t="inlineStr">
        <is>
          <t>Surface Combatants</t>
        </is>
      </c>
      <c r="N1216" s="7" t="inlineStr">
        <is>
          <t>DDG</t>
        </is>
      </c>
      <c r="O1216" s="15" t="n"/>
      <c r="P1216" s="16" t="n">
        <v>21518</v>
      </c>
      <c r="S1216" s="16" t="n">
        <v>32923</v>
      </c>
      <c r="U1216" s="16" t="n">
        <v>32923</v>
      </c>
      <c r="AC1216" s="23">
        <f>IF(OR(E1216="",E1216="[PARENT]"),"ADD",IF(E1216="[ALT_VIEW]","ALT",""))</f>
        <v/>
      </c>
      <c r="AD1216" s="21">
        <f>IF(Y1216&lt;&gt;"",Y1216,IF(U1216&lt;&gt;"",U1216,S1216))</f>
        <v/>
      </c>
      <c r="AE1216" s="21">
        <f>IF(AB1216&lt;&gt;"",AB1216,Z1216)</f>
        <v/>
      </c>
      <c r="AF1216" s="13" t="inlineStr">
        <is>
          <t>P-8a &gt; DDG-51 &gt; Ordnance &gt; SPQ-9B Radar 2</t>
        </is>
      </c>
      <c r="AG1216" s="7" t="inlineStr">
        <is>
          <t>248</t>
        </is>
      </c>
      <c r="AH1216" s="7" t="inlineStr">
        <is>
          <t>2122</t>
        </is>
      </c>
      <c r="AJ1216" s="7" t="inlineStr">
        <is>
          <t>SPQ-9B Radar</t>
        </is>
      </c>
    </row>
    <row r="1217" ht="10" customHeight="1">
      <c r="A1217" s="7" t="inlineStr">
        <is>
          <t>SCN</t>
        </is>
      </c>
      <c r="B1217" s="7" t="inlineStr">
        <is>
          <t>Procurement</t>
        </is>
      </c>
      <c r="D1217" s="7" t="inlineStr">
        <is>
          <t>DDG-51 - P-8a Ordnance - MK-38 Gun Weapon System (GWS) 2</t>
        </is>
      </c>
      <c r="E1217" s="13" t="inlineStr">
        <is>
          <t>[ALT_VIEW]</t>
        </is>
      </c>
      <c r="F1217" s="7" t="inlineStr">
        <is>
          <t>2122 / DDG-51</t>
        </is>
      </c>
      <c r="G1217" s="7" t="inlineStr">
        <is>
          <t>P-8a</t>
        </is>
      </c>
      <c r="H1217" s="7" t="inlineStr">
        <is>
          <t>Ordnance</t>
        </is>
      </c>
      <c r="I1217" s="14" t="n">
        <v>1</v>
      </c>
      <c r="J1217" s="7" t="inlineStr">
        <is>
          <t>Full ship DD&amp;C</t>
        </is>
      </c>
      <c r="K1217" s="13" t="inlineStr">
        <is>
          <t>USN</t>
        </is>
      </c>
      <c r="L1217" s="7" t="inlineStr">
        <is>
          <t>Combatant Ships</t>
        </is>
      </c>
      <c r="M1217" s="7" t="inlineStr">
        <is>
          <t>Surface Combatants</t>
        </is>
      </c>
      <c r="N1217" s="7" t="inlineStr">
        <is>
          <t>DDG</t>
        </is>
      </c>
      <c r="O1217" s="15" t="n"/>
      <c r="P1217" s="16" t="n">
        <v>15053</v>
      </c>
      <c r="S1217" s="16" t="n">
        <v>23031</v>
      </c>
      <c r="U1217" s="16" t="n">
        <v>23031</v>
      </c>
      <c r="AC1217" s="23">
        <f>IF(OR(E1217="",E1217="[PARENT]"),"ADD",IF(E1217="[ALT_VIEW]","ALT",""))</f>
        <v/>
      </c>
      <c r="AD1217" s="21">
        <f>IF(Y1217&lt;&gt;"",Y1217,IF(U1217&lt;&gt;"",U1217,S1217))</f>
        <v/>
      </c>
      <c r="AE1217" s="21">
        <f>IF(AB1217&lt;&gt;"",AB1217,Z1217)</f>
        <v/>
      </c>
      <c r="AF1217" s="13" t="inlineStr">
        <is>
          <t>P-8a &gt; DDG-51 &gt; Ordnance &gt; MK-38 Gun Weapon System (GWS) 2</t>
        </is>
      </c>
      <c r="AG1217" s="7" t="inlineStr">
        <is>
          <t>248</t>
        </is>
      </c>
      <c r="AH1217" s="7" t="inlineStr">
        <is>
          <t>2122</t>
        </is>
      </c>
      <c r="AJ1217" s="7" t="inlineStr">
        <is>
          <t>MK-38 Gun Weapon System (GWS)</t>
        </is>
      </c>
    </row>
    <row r="1218" ht="10" customHeight="1">
      <c r="A1218" s="7" t="inlineStr">
        <is>
          <t>SCN</t>
        </is>
      </c>
      <c r="B1218" s="7" t="inlineStr">
        <is>
          <t>Procurement</t>
        </is>
      </c>
      <c r="D1218" s="7" t="inlineStr">
        <is>
          <t>DDG-51 - P-8a Ordnance - MK 32 Surface Vessel Torpedo Tubes (SVTT) 2</t>
        </is>
      </c>
      <c r="E1218" s="13" t="inlineStr">
        <is>
          <t>[ALT_VIEW]</t>
        </is>
      </c>
      <c r="F1218" s="7" t="inlineStr">
        <is>
          <t>2122 / DDG-51</t>
        </is>
      </c>
      <c r="G1218" s="7" t="inlineStr">
        <is>
          <t>P-8a</t>
        </is>
      </c>
      <c r="H1218" s="7" t="inlineStr">
        <is>
          <t>Ordnance</t>
        </is>
      </c>
      <c r="I1218" s="14" t="n">
        <v>1</v>
      </c>
      <c r="J1218" s="7" t="inlineStr">
        <is>
          <t>Full ship DD&amp;C</t>
        </is>
      </c>
      <c r="K1218" s="13" t="inlineStr">
        <is>
          <t>USN</t>
        </is>
      </c>
      <c r="L1218" s="7" t="inlineStr">
        <is>
          <t>Combatant Ships</t>
        </is>
      </c>
      <c r="M1218" s="7" t="inlineStr">
        <is>
          <t>Surface Combatants</t>
        </is>
      </c>
      <c r="N1218" s="7" t="inlineStr">
        <is>
          <t>DDG</t>
        </is>
      </c>
      <c r="O1218" s="15" t="n"/>
      <c r="P1218" s="16" t="n">
        <v>6871</v>
      </c>
      <c r="S1218" s="16" t="n">
        <v>10513</v>
      </c>
      <c r="U1218" s="16" t="n">
        <v>10513</v>
      </c>
      <c r="AC1218" s="23">
        <f>IF(OR(E1218="",E1218="[PARENT]"),"ADD",IF(E1218="[ALT_VIEW]","ALT",""))</f>
        <v/>
      </c>
      <c r="AD1218" s="21">
        <f>IF(Y1218&lt;&gt;"",Y1218,IF(U1218&lt;&gt;"",U1218,S1218))</f>
        <v/>
      </c>
      <c r="AE1218" s="21">
        <f>IF(AB1218&lt;&gt;"",AB1218,Z1218)</f>
        <v/>
      </c>
      <c r="AF1218" s="13" t="inlineStr">
        <is>
          <t>P-8a &gt; DDG-51 &gt; Ordnance &gt; MK 32 Surface Vessel Torpedo Tubes (SVTT) 2</t>
        </is>
      </c>
      <c r="AG1218" s="7" t="inlineStr">
        <is>
          <t>248</t>
        </is>
      </c>
      <c r="AH1218" s="7" t="inlineStr">
        <is>
          <t>2122</t>
        </is>
      </c>
      <c r="AJ1218" s="7" t="inlineStr">
        <is>
          <t>MK 32 Surface Vessel Torpedo Tubes (SVTT)</t>
        </is>
      </c>
    </row>
    <row r="1219" ht="10" customHeight="1">
      <c r="A1219" s="7" t="inlineStr">
        <is>
          <t>SCN</t>
        </is>
      </c>
      <c r="B1219" s="7" t="inlineStr">
        <is>
          <t>Procurement</t>
        </is>
      </c>
      <c r="D1219" s="7" t="inlineStr">
        <is>
          <t>DDG-51 - P-8a Ordnance - ELECTRO-OPTICAL SYSTEM 2</t>
        </is>
      </c>
      <c r="E1219" s="13" t="inlineStr">
        <is>
          <t>[ALT_VIEW]</t>
        </is>
      </c>
      <c r="F1219" s="7" t="inlineStr">
        <is>
          <t>2122 / DDG-51</t>
        </is>
      </c>
      <c r="G1219" s="7" t="inlineStr">
        <is>
          <t>P-8a</t>
        </is>
      </c>
      <c r="H1219" s="7" t="inlineStr">
        <is>
          <t>Ordnance</t>
        </is>
      </c>
      <c r="I1219" s="14" t="n">
        <v>1</v>
      </c>
      <c r="J1219" s="7" t="inlineStr">
        <is>
          <t>Full ship DD&amp;C</t>
        </is>
      </c>
      <c r="K1219" s="13" t="inlineStr">
        <is>
          <t>USN</t>
        </is>
      </c>
      <c r="L1219" s="7" t="inlineStr">
        <is>
          <t>Combatant Ships</t>
        </is>
      </c>
      <c r="M1219" s="7" t="inlineStr">
        <is>
          <t>Surface Combatants</t>
        </is>
      </c>
      <c r="N1219" s="7" t="inlineStr">
        <is>
          <t>DDG</t>
        </is>
      </c>
      <c r="O1219" s="15" t="n"/>
      <c r="P1219" s="16" t="n">
        <v>7271</v>
      </c>
      <c r="S1219" s="16" t="n">
        <v>11125</v>
      </c>
      <c r="U1219" s="16" t="n">
        <v>11125</v>
      </c>
      <c r="AC1219" s="23">
        <f>IF(OR(E1219="",E1219="[PARENT]"),"ADD",IF(E1219="[ALT_VIEW]","ALT",""))</f>
        <v/>
      </c>
      <c r="AD1219" s="21">
        <f>IF(Y1219&lt;&gt;"",Y1219,IF(U1219&lt;&gt;"",U1219,S1219))</f>
        <v/>
      </c>
      <c r="AE1219" s="21">
        <f>IF(AB1219&lt;&gt;"",AB1219,Z1219)</f>
        <v/>
      </c>
      <c r="AF1219" s="13" t="inlineStr">
        <is>
          <t>P-8a &gt; DDG-51 &gt; Ordnance &gt; ELECTRO-OPTICAL SYSTEM 2</t>
        </is>
      </c>
      <c r="AG1219" s="7" t="inlineStr">
        <is>
          <t>248</t>
        </is>
      </c>
      <c r="AH1219" s="7" t="inlineStr">
        <is>
          <t>2122</t>
        </is>
      </c>
      <c r="AJ1219" s="7" t="inlineStr">
        <is>
          <t>ELECTRO-OPTICAL SYSTEM</t>
        </is>
      </c>
    </row>
    <row r="1220" ht="10" customHeight="1">
      <c r="A1220" s="7" t="inlineStr">
        <is>
          <t>SCN</t>
        </is>
      </c>
      <c r="B1220" s="7" t="inlineStr">
        <is>
          <t>Procurement</t>
        </is>
      </c>
      <c r="D1220" s="7" t="inlineStr">
        <is>
          <t>DDG-51 - P-8a Ordnance - MK 160 Gun Fire Control System (GFCS) 2</t>
        </is>
      </c>
      <c r="E1220" s="13" t="inlineStr">
        <is>
          <t>[ALT_VIEW]</t>
        </is>
      </c>
      <c r="F1220" s="7" t="inlineStr">
        <is>
          <t>2122 / DDG-51</t>
        </is>
      </c>
      <c r="G1220" s="7" t="inlineStr">
        <is>
          <t>P-8a</t>
        </is>
      </c>
      <c r="H1220" s="7" t="inlineStr">
        <is>
          <t>Ordnance</t>
        </is>
      </c>
      <c r="I1220" s="14" t="n">
        <v>1</v>
      </c>
      <c r="J1220" s="7" t="inlineStr">
        <is>
          <t>Full ship DD&amp;C</t>
        </is>
      </c>
      <c r="K1220" s="13" t="inlineStr">
        <is>
          <t>USN</t>
        </is>
      </c>
      <c r="L1220" s="7" t="inlineStr">
        <is>
          <t>Combatant Ships</t>
        </is>
      </c>
      <c r="M1220" s="7" t="inlineStr">
        <is>
          <t>Surface Combatants</t>
        </is>
      </c>
      <c r="N1220" s="7" t="inlineStr">
        <is>
          <t>DDG</t>
        </is>
      </c>
      <c r="O1220" s="15" t="n"/>
      <c r="P1220" s="16" t="n">
        <v>7561</v>
      </c>
      <c r="S1220" s="16" t="n">
        <v>11568</v>
      </c>
      <c r="U1220" s="16" t="n">
        <v>11568</v>
      </c>
      <c r="AC1220" s="23">
        <f>IF(OR(E1220="",E1220="[PARENT]"),"ADD",IF(E1220="[ALT_VIEW]","ALT",""))</f>
        <v/>
      </c>
      <c r="AD1220" s="21">
        <f>IF(Y1220&lt;&gt;"",Y1220,IF(U1220&lt;&gt;"",U1220,S1220))</f>
        <v/>
      </c>
      <c r="AE1220" s="21">
        <f>IF(AB1220&lt;&gt;"",AB1220,Z1220)</f>
        <v/>
      </c>
      <c r="AF1220" s="13" t="inlineStr">
        <is>
          <t>P-8a &gt; DDG-51 &gt; Ordnance &gt; MK 160 Gun Fire Control System (GFCS) 2</t>
        </is>
      </c>
      <c r="AG1220" s="7" t="inlineStr">
        <is>
          <t>248</t>
        </is>
      </c>
      <c r="AH1220" s="7" t="inlineStr">
        <is>
          <t>2122</t>
        </is>
      </c>
      <c r="AJ1220" s="7" t="inlineStr">
        <is>
          <t>MK 160 Gun Fire Control System (GFCS)</t>
        </is>
      </c>
    </row>
    <row r="1221" ht="10" customHeight="1">
      <c r="A1221" s="7" t="inlineStr">
        <is>
          <t>SCN</t>
        </is>
      </c>
      <c r="B1221" s="7" t="inlineStr">
        <is>
          <t>Procurement</t>
        </is>
      </c>
      <c r="D1221" s="7" t="inlineStr">
        <is>
          <t>DDG-51 - P-8a Ordnance - MISC. ORDNANCE 2</t>
        </is>
      </c>
      <c r="E1221" s="13" t="inlineStr">
        <is>
          <t>[ALT_VIEW]</t>
        </is>
      </c>
      <c r="F1221" s="7" t="inlineStr">
        <is>
          <t>2122 / DDG-51</t>
        </is>
      </c>
      <c r="G1221" s="7" t="inlineStr">
        <is>
          <t>P-8a</t>
        </is>
      </c>
      <c r="H1221" s="7" t="inlineStr">
        <is>
          <t>Ordnance</t>
        </is>
      </c>
      <c r="I1221" s="14" t="n">
        <v>1</v>
      </c>
      <c r="J1221" s="7" t="inlineStr">
        <is>
          <t>Full ship DD&amp;C</t>
        </is>
      </c>
      <c r="K1221" s="13" t="inlineStr">
        <is>
          <t>USN</t>
        </is>
      </c>
      <c r="L1221" s="7" t="inlineStr">
        <is>
          <t>Combatant Ships</t>
        </is>
      </c>
      <c r="M1221" s="7" t="inlineStr">
        <is>
          <t>Surface Combatants</t>
        </is>
      </c>
      <c r="N1221" s="7" t="inlineStr">
        <is>
          <t>DDG</t>
        </is>
      </c>
      <c r="O1221" s="15" t="n"/>
      <c r="P1221" s="16" t="n">
        <v>116387</v>
      </c>
      <c r="S1221" s="16" t="n">
        <v>178020</v>
      </c>
      <c r="U1221" s="16" t="n">
        <v>178020</v>
      </c>
      <c r="AC1221" s="23">
        <f>IF(OR(E1221="",E1221="[PARENT]"),"ADD",IF(E1221="[ALT_VIEW]","ALT",""))</f>
        <v/>
      </c>
      <c r="AD1221" s="21">
        <f>IF(Y1221&lt;&gt;"",Y1221,IF(U1221&lt;&gt;"",U1221,S1221))</f>
        <v/>
      </c>
      <c r="AE1221" s="21">
        <f>IF(AB1221&lt;&gt;"",AB1221,Z1221)</f>
        <v/>
      </c>
      <c r="AF1221" s="13" t="inlineStr">
        <is>
          <t>P-8a &gt; DDG-51 &gt; Ordnance &gt; MISC. ORDNANCE 2</t>
        </is>
      </c>
      <c r="AG1221" s="7" t="inlineStr">
        <is>
          <t>248</t>
        </is>
      </c>
      <c r="AH1221" s="7" t="inlineStr">
        <is>
          <t>2122</t>
        </is>
      </c>
      <c r="AJ1221" s="7" t="inlineStr">
        <is>
          <t>MISC. ORDNANCE</t>
        </is>
      </c>
    </row>
    <row r="1222" ht="10" customHeight="1">
      <c r="A1222" s="7" t="inlineStr">
        <is>
          <t>SCN</t>
        </is>
      </c>
      <c r="B1222" s="7" t="inlineStr">
        <is>
          <t>Procurement</t>
        </is>
      </c>
      <c r="D1222" s="7" t="inlineStr">
        <is>
          <t>DDG-51 - P-35 SQQ 89 ASW - Major Hardware                                                                                                2</t>
        </is>
      </c>
      <c r="E1222" s="13" t="inlineStr">
        <is>
          <t>[ALT_VIEW]</t>
        </is>
      </c>
      <c r="F1222" s="7" t="inlineStr">
        <is>
          <t>2122 / DDG-51</t>
        </is>
      </c>
      <c r="G1222" s="7" t="inlineStr">
        <is>
          <t>P-35</t>
        </is>
      </c>
      <c r="I1222" s="14" t="n">
        <v>1</v>
      </c>
      <c r="J1222" s="7" t="inlineStr">
        <is>
          <t>Full ship DD&amp;C</t>
        </is>
      </c>
      <c r="K1222" s="13" t="inlineStr">
        <is>
          <t>USN</t>
        </is>
      </c>
      <c r="L1222" s="7" t="inlineStr">
        <is>
          <t>Combatant Ships</t>
        </is>
      </c>
      <c r="M1222" s="7" t="inlineStr">
        <is>
          <t>Surface Combatants</t>
        </is>
      </c>
      <c r="N1222" s="7" t="inlineStr">
        <is>
          <t>DDG</t>
        </is>
      </c>
      <c r="O1222" s="15" t="n"/>
      <c r="P1222" s="16" t="n">
        <v>74395</v>
      </c>
      <c r="S1222" s="16" t="n">
        <v>113824</v>
      </c>
      <c r="U1222" s="16" t="n">
        <v>113824</v>
      </c>
      <c r="AC1222" s="23">
        <f>IF(OR(E1222="",E1222="[PARENT]"),"ADD",IF(E1222="[ALT_VIEW]","ALT",""))</f>
        <v/>
      </c>
      <c r="AD1222" s="21">
        <f>IF(Y1222&lt;&gt;"",Y1222,IF(U1222&lt;&gt;"",U1222,S1222))</f>
        <v/>
      </c>
      <c r="AE1222" s="21">
        <f>IF(AB1222&lt;&gt;"",AB1222,Z1222)</f>
        <v/>
      </c>
      <c r="AF1222" s="13" t="inlineStr">
        <is>
          <t>P-35 &gt; DDG-51 &gt; SQQ 89 ASW &gt; Major Hardware                                                                                                2</t>
        </is>
      </c>
      <c r="AG1222" s="7" t="inlineStr">
        <is>
          <t>249</t>
        </is>
      </c>
      <c r="AH1222" s="7" t="inlineStr">
        <is>
          <t>2122</t>
        </is>
      </c>
      <c r="AJ1222" s="7" t="inlineStr">
        <is>
          <t>SQQ 89 ASW [DDG 145]</t>
        </is>
      </c>
    </row>
    <row r="1223" ht="10" customHeight="1">
      <c r="A1223" s="7" t="inlineStr">
        <is>
          <t>SCN</t>
        </is>
      </c>
      <c r="B1223" s="7" t="inlineStr">
        <is>
          <t>Procurement</t>
        </is>
      </c>
      <c r="D1223" s="7" t="inlineStr">
        <is>
          <t>DDG-51 - P-35 SQQ 89 ASW - Spares</t>
        </is>
      </c>
      <c r="E1223" s="13" t="inlineStr">
        <is>
          <t>[ALT_VIEW]</t>
        </is>
      </c>
      <c r="F1223" s="7" t="inlineStr">
        <is>
          <t>2122 / DDG-51</t>
        </is>
      </c>
      <c r="G1223" s="7" t="inlineStr">
        <is>
          <t>P-35</t>
        </is>
      </c>
      <c r="I1223" s="14" t="n">
        <v>1</v>
      </c>
      <c r="J1223" s="7" t="inlineStr">
        <is>
          <t>Full ship DD&amp;C</t>
        </is>
      </c>
      <c r="K1223" s="13" t="inlineStr">
        <is>
          <t>USN</t>
        </is>
      </c>
      <c r="L1223" s="7" t="inlineStr">
        <is>
          <t>Combatant Ships</t>
        </is>
      </c>
      <c r="M1223" s="7" t="inlineStr">
        <is>
          <t>Surface Combatants</t>
        </is>
      </c>
      <c r="N1223" s="7" t="inlineStr">
        <is>
          <t>DDG</t>
        </is>
      </c>
      <c r="O1223" s="15" t="n"/>
      <c r="P1223" s="16" t="n">
        <v>1236</v>
      </c>
      <c r="S1223" s="16" t="n">
        <v>1891</v>
      </c>
      <c r="U1223" s="16" t="n">
        <v>1891</v>
      </c>
      <c r="AC1223" s="23">
        <f>IF(OR(E1223="",E1223="[PARENT]"),"ADD",IF(E1223="[ALT_VIEW]","ALT",""))</f>
        <v/>
      </c>
      <c r="AD1223" s="21">
        <f>IF(Y1223&lt;&gt;"",Y1223,IF(U1223&lt;&gt;"",U1223,S1223))</f>
        <v/>
      </c>
      <c r="AE1223" s="21">
        <f>IF(AB1223&lt;&gt;"",AB1223,Z1223)</f>
        <v/>
      </c>
      <c r="AF1223" s="13" t="inlineStr">
        <is>
          <t>P-35 &gt; DDG-51 &gt; SQQ 89 ASW &gt; Spares</t>
        </is>
      </c>
      <c r="AG1223" s="7" t="inlineStr">
        <is>
          <t>249</t>
        </is>
      </c>
      <c r="AH1223" s="7" t="inlineStr">
        <is>
          <t>2122</t>
        </is>
      </c>
      <c r="AJ1223" s="7" t="inlineStr">
        <is>
          <t>SQQ 89 ASW</t>
        </is>
      </c>
    </row>
    <row r="1224" ht="10" customHeight="1">
      <c r="A1224" s="7" t="inlineStr">
        <is>
          <t>SCN</t>
        </is>
      </c>
      <c r="B1224" s="7" t="inlineStr">
        <is>
          <t>Procurement</t>
        </is>
      </c>
      <c r="D1224" s="7" t="inlineStr">
        <is>
          <t>DDG-51 - P-35 SQQ 89 ASW - System Engineering</t>
        </is>
      </c>
      <c r="E1224" s="13" t="inlineStr">
        <is>
          <t>[ALT_VIEW]</t>
        </is>
      </c>
      <c r="F1224" s="7" t="inlineStr">
        <is>
          <t>2122 / DDG-51</t>
        </is>
      </c>
      <c r="G1224" s="7" t="inlineStr">
        <is>
          <t>P-35</t>
        </is>
      </c>
      <c r="I1224" s="14" t="n">
        <v>1</v>
      </c>
      <c r="J1224" s="7" t="inlineStr">
        <is>
          <t>Full ship DD&amp;C</t>
        </is>
      </c>
      <c r="K1224" s="13" t="inlineStr">
        <is>
          <t>USN</t>
        </is>
      </c>
      <c r="L1224" s="7" t="inlineStr">
        <is>
          <t>Combatant Ships</t>
        </is>
      </c>
      <c r="M1224" s="7" t="inlineStr">
        <is>
          <t>Surface Combatants</t>
        </is>
      </c>
      <c r="N1224" s="7" t="inlineStr">
        <is>
          <t>DDG</t>
        </is>
      </c>
      <c r="O1224" s="15" t="n"/>
      <c r="P1224" s="16" t="n">
        <v>12361</v>
      </c>
      <c r="S1224" s="16" t="n">
        <v>18912</v>
      </c>
      <c r="U1224" s="16" t="n">
        <v>18912</v>
      </c>
      <c r="AC1224" s="23">
        <f>IF(OR(E1224="",E1224="[PARENT]"),"ADD",IF(E1224="[ALT_VIEW]","ALT",""))</f>
        <v/>
      </c>
      <c r="AD1224" s="21">
        <f>IF(Y1224&lt;&gt;"",Y1224,IF(U1224&lt;&gt;"",U1224,S1224))</f>
        <v/>
      </c>
      <c r="AE1224" s="21">
        <f>IF(AB1224&lt;&gt;"",AB1224,Z1224)</f>
        <v/>
      </c>
      <c r="AF1224" s="13" t="inlineStr">
        <is>
          <t>P-35 &gt; DDG-51 &gt; SQQ 89 ASW &gt; System Engineering</t>
        </is>
      </c>
      <c r="AG1224" s="7" t="inlineStr">
        <is>
          <t>249</t>
        </is>
      </c>
      <c r="AH1224" s="7" t="inlineStr">
        <is>
          <t>2122</t>
        </is>
      </c>
      <c r="AJ1224" s="7" t="inlineStr">
        <is>
          <t>MK-38 Gun Weapon System (GWS) [DDG 145]</t>
        </is>
      </c>
    </row>
    <row r="1225" ht="10" customHeight="1">
      <c r="A1225" s="7" t="inlineStr">
        <is>
          <t>SCN</t>
        </is>
      </c>
      <c r="B1225" s="7" t="inlineStr">
        <is>
          <t>Procurement</t>
        </is>
      </c>
      <c r="D1225" s="7" t="inlineStr">
        <is>
          <t>DDG-51 - P-35 SQQ 89 ASW - Technical Engineering Services</t>
        </is>
      </c>
      <c r="E1225" s="13" t="inlineStr">
        <is>
          <t>[ALT_VIEW]</t>
        </is>
      </c>
      <c r="F1225" s="7" t="inlineStr">
        <is>
          <t>2122 / DDG-51</t>
        </is>
      </c>
      <c r="G1225" s="7" t="inlineStr">
        <is>
          <t>P-35</t>
        </is>
      </c>
      <c r="I1225" s="14" t="n">
        <v>1</v>
      </c>
      <c r="J1225" s="7" t="inlineStr">
        <is>
          <t>Full ship DD&amp;C</t>
        </is>
      </c>
      <c r="K1225" s="13" t="inlineStr">
        <is>
          <t>USN</t>
        </is>
      </c>
      <c r="L1225" s="7" t="inlineStr">
        <is>
          <t>Combatant Ships</t>
        </is>
      </c>
      <c r="M1225" s="7" t="inlineStr">
        <is>
          <t>Surface Combatants</t>
        </is>
      </c>
      <c r="N1225" s="7" t="inlineStr">
        <is>
          <t>DDG</t>
        </is>
      </c>
      <c r="O1225" s="15" t="n"/>
      <c r="P1225" s="16" t="n">
        <v>6027</v>
      </c>
      <c r="S1225" s="16" t="n">
        <v>9221</v>
      </c>
      <c r="U1225" s="16" t="n">
        <v>9221</v>
      </c>
      <c r="AC1225" s="23">
        <f>IF(OR(E1225="",E1225="[PARENT]"),"ADD",IF(E1225="[ALT_VIEW]","ALT",""))</f>
        <v/>
      </c>
      <c r="AD1225" s="21">
        <f>IF(Y1225&lt;&gt;"",Y1225,IF(U1225&lt;&gt;"",U1225,S1225))</f>
        <v/>
      </c>
      <c r="AE1225" s="21">
        <f>IF(AB1225&lt;&gt;"",AB1225,Z1225)</f>
        <v/>
      </c>
      <c r="AF1225" s="13" t="inlineStr">
        <is>
          <t>P-35 &gt; DDG-51 &gt; SQQ 89 ASW &gt; Technical Engineering Services</t>
        </is>
      </c>
      <c r="AG1225" s="7" t="inlineStr">
        <is>
          <t>249</t>
        </is>
      </c>
      <c r="AH1225" s="7" t="inlineStr">
        <is>
          <t>2122</t>
        </is>
      </c>
      <c r="AJ1225" s="7" t="inlineStr">
        <is>
          <t>SQQ 89 ASW</t>
        </is>
      </c>
    </row>
    <row r="1226" ht="10" customHeight="1">
      <c r="A1226" s="7" t="inlineStr">
        <is>
          <t>SCN</t>
        </is>
      </c>
      <c r="B1226" s="7" t="inlineStr">
        <is>
          <t>Procurement</t>
        </is>
      </c>
      <c r="D1226" s="7" t="inlineStr">
        <is>
          <t>DDG-51 - P-35 SQQ 89 ASW - Other Costs</t>
        </is>
      </c>
      <c r="E1226" s="13" t="inlineStr">
        <is>
          <t>[ALT_VIEW]</t>
        </is>
      </c>
      <c r="F1226" s="7" t="inlineStr">
        <is>
          <t>2122 / DDG-51</t>
        </is>
      </c>
      <c r="G1226" s="7" t="inlineStr">
        <is>
          <t>P-35</t>
        </is>
      </c>
      <c r="I1226" s="14" t="n">
        <v>1</v>
      </c>
      <c r="J1226" s="7" t="inlineStr">
        <is>
          <t>Full ship DD&amp;C</t>
        </is>
      </c>
      <c r="K1226" s="13" t="inlineStr">
        <is>
          <t>USN</t>
        </is>
      </c>
      <c r="L1226" s="7" t="inlineStr">
        <is>
          <t>Combatant Ships</t>
        </is>
      </c>
      <c r="M1226" s="7" t="inlineStr">
        <is>
          <t>Surface Combatants</t>
        </is>
      </c>
      <c r="N1226" s="7" t="inlineStr">
        <is>
          <t>DDG</t>
        </is>
      </c>
      <c r="O1226" s="15" t="n"/>
      <c r="P1226" s="16" t="n">
        <v>21939</v>
      </c>
      <c r="S1226" s="16" t="n">
        <v>33568</v>
      </c>
      <c r="U1226" s="16" t="n">
        <v>33568</v>
      </c>
      <c r="AC1226" s="23">
        <f>IF(OR(E1226="",E1226="[PARENT]"),"ADD",IF(E1226="[ALT_VIEW]","ALT",""))</f>
        <v/>
      </c>
      <c r="AD1226" s="21">
        <f>IF(Y1226&lt;&gt;"",Y1226,IF(U1226&lt;&gt;"",U1226,S1226))</f>
        <v/>
      </c>
      <c r="AE1226" s="21">
        <f>IF(AB1226&lt;&gt;"",AB1226,Z1226)</f>
        <v/>
      </c>
      <c r="AF1226" s="13" t="inlineStr">
        <is>
          <t>P-35 &gt; DDG-51 &gt; SQQ 89 ASW &gt; Other Costs</t>
        </is>
      </c>
      <c r="AG1226" s="7" t="inlineStr">
        <is>
          <t>249</t>
        </is>
      </c>
      <c r="AH1226" s="7" t="inlineStr">
        <is>
          <t>2122</t>
        </is>
      </c>
      <c r="AJ1226" s="7" t="inlineStr">
        <is>
          <t>SQQ 89 ASW</t>
        </is>
      </c>
    </row>
    <row r="1227" ht="10" customHeight="1">
      <c r="A1227" s="7" t="inlineStr">
        <is>
          <t>SCN</t>
        </is>
      </c>
      <c r="B1227" s="7" t="inlineStr">
        <is>
          <t>Procurement</t>
        </is>
      </c>
      <c r="D1227" s="7" t="inlineStr">
        <is>
          <t>DDG-51 - P-35 AN/SLQ-32 SEWIP V(7) - Major Hardware                                                                                                 2</t>
        </is>
      </c>
      <c r="E1227" s="13" t="inlineStr">
        <is>
          <t>[ALT_VIEW]</t>
        </is>
      </c>
      <c r="F1227" s="7" t="inlineStr">
        <is>
          <t>2122 / DDG-51</t>
        </is>
      </c>
      <c r="G1227" s="7" t="inlineStr">
        <is>
          <t>P-35</t>
        </is>
      </c>
      <c r="I1227" s="14" t="n">
        <v>1</v>
      </c>
      <c r="J1227" s="7" t="inlineStr">
        <is>
          <t>Full ship DD&amp;C</t>
        </is>
      </c>
      <c r="K1227" s="13" t="inlineStr">
        <is>
          <t>USN</t>
        </is>
      </c>
      <c r="L1227" s="7" t="inlineStr">
        <is>
          <t>Combatant Ships</t>
        </is>
      </c>
      <c r="M1227" s="7" t="inlineStr">
        <is>
          <t>Surface Combatants</t>
        </is>
      </c>
      <c r="N1227" s="7" t="inlineStr">
        <is>
          <t>DDG</t>
        </is>
      </c>
      <c r="O1227" s="15" t="n"/>
      <c r="P1227" s="16" t="n">
        <v>145770</v>
      </c>
      <c r="S1227" s="16" t="n">
        <v>223028</v>
      </c>
      <c r="U1227" s="16" t="n">
        <v>223028</v>
      </c>
      <c r="AC1227" s="23">
        <f>IF(OR(E1227="",E1227="[PARENT]"),"ADD",IF(E1227="[ALT_VIEW]","ALT",""))</f>
        <v/>
      </c>
      <c r="AD1227" s="21">
        <f>IF(Y1227&lt;&gt;"",Y1227,IF(U1227&lt;&gt;"",U1227,S1227))</f>
        <v/>
      </c>
      <c r="AE1227" s="21">
        <f>IF(AB1227&lt;&gt;"",AB1227,Z1227)</f>
        <v/>
      </c>
      <c r="AF1227" s="13" t="inlineStr">
        <is>
          <t>P-35 &gt; DDG-51 &gt; AN/SLQ-32 SEWIP V(7) &gt; Major Hardware                                                                                                 2</t>
        </is>
      </c>
      <c r="AG1227" s="7" t="inlineStr">
        <is>
          <t>250</t>
        </is>
      </c>
      <c r="AH1227" s="7" t="inlineStr">
        <is>
          <t>2122</t>
        </is>
      </c>
      <c r="AJ1227" s="7" t="inlineStr">
        <is>
          <t>AN/SLQ-32 SEWIP V(7) [DDG 145]</t>
        </is>
      </c>
    </row>
    <row r="1228" ht="10" customHeight="1">
      <c r="A1228" s="7" t="inlineStr">
        <is>
          <t>SCN</t>
        </is>
      </c>
      <c r="B1228" s="7" t="inlineStr">
        <is>
          <t>Procurement</t>
        </is>
      </c>
      <c r="D1228" s="7" t="inlineStr">
        <is>
          <t>DDG-51 - P-35 AN/SLQ-32 SEWIP V(7) - Spares</t>
        </is>
      </c>
      <c r="E1228" s="13" t="inlineStr">
        <is>
          <t>[ALT_VIEW]</t>
        </is>
      </c>
      <c r="F1228" s="7" t="inlineStr">
        <is>
          <t>2122 / DDG-51</t>
        </is>
      </c>
      <c r="G1228" s="7" t="inlineStr">
        <is>
          <t>P-35</t>
        </is>
      </c>
      <c r="I1228" s="14" t="n">
        <v>1</v>
      </c>
      <c r="J1228" s="7" t="inlineStr">
        <is>
          <t>Full ship DD&amp;C</t>
        </is>
      </c>
      <c r="K1228" s="13" t="inlineStr">
        <is>
          <t>USN</t>
        </is>
      </c>
      <c r="L1228" s="7" t="inlineStr">
        <is>
          <t>Combatant Ships</t>
        </is>
      </c>
      <c r="M1228" s="7" t="inlineStr">
        <is>
          <t>Surface Combatants</t>
        </is>
      </c>
      <c r="N1228" s="7" t="inlineStr">
        <is>
          <t>DDG</t>
        </is>
      </c>
      <c r="O1228" s="15" t="n"/>
      <c r="P1228" s="16" t="n">
        <v>4861</v>
      </c>
      <c r="S1228" s="16" t="n">
        <v>7437</v>
      </c>
      <c r="U1228" s="16" t="n">
        <v>7437</v>
      </c>
      <c r="AC1228" s="23">
        <f>IF(OR(E1228="",E1228="[PARENT]"),"ADD",IF(E1228="[ALT_VIEW]","ALT",""))</f>
        <v/>
      </c>
      <c r="AD1228" s="21">
        <f>IF(Y1228&lt;&gt;"",Y1228,IF(U1228&lt;&gt;"",U1228,S1228))</f>
        <v/>
      </c>
      <c r="AE1228" s="21">
        <f>IF(AB1228&lt;&gt;"",AB1228,Z1228)</f>
        <v/>
      </c>
      <c r="AF1228" s="13" t="inlineStr">
        <is>
          <t>P-35 &gt; DDG-51 &gt; AN/SLQ-32 SEWIP V(7) &gt; Spares</t>
        </is>
      </c>
      <c r="AG1228" s="7" t="inlineStr">
        <is>
          <t>250</t>
        </is>
      </c>
      <c r="AH1228" s="7" t="inlineStr">
        <is>
          <t>2122</t>
        </is>
      </c>
      <c r="AJ1228" s="7" t="inlineStr">
        <is>
          <t>AN/SLQ-32 SEWIP V(7)</t>
        </is>
      </c>
    </row>
    <row r="1229" ht="10" customHeight="1">
      <c r="A1229" s="7" t="inlineStr">
        <is>
          <t>SCN</t>
        </is>
      </c>
      <c r="B1229" s="7" t="inlineStr">
        <is>
          <t>Procurement</t>
        </is>
      </c>
      <c r="D1229" s="7" t="inlineStr">
        <is>
          <t>DDG-51 - P-35 AN/SLQ-32 SEWIP V(7) - System Engineering</t>
        </is>
      </c>
      <c r="E1229" s="13" t="inlineStr">
        <is>
          <t>[ALT_VIEW]</t>
        </is>
      </c>
      <c r="F1229" s="7" t="inlineStr">
        <is>
          <t>2122 / DDG-51</t>
        </is>
      </c>
      <c r="G1229" s="7" t="inlineStr">
        <is>
          <t>P-35</t>
        </is>
      </c>
      <c r="I1229" s="14" t="n">
        <v>1</v>
      </c>
      <c r="J1229" s="7" t="inlineStr">
        <is>
          <t>Full ship DD&amp;C</t>
        </is>
      </c>
      <c r="K1229" s="13" t="inlineStr">
        <is>
          <t>USN</t>
        </is>
      </c>
      <c r="L1229" s="7" t="inlineStr">
        <is>
          <t>Combatant Ships</t>
        </is>
      </c>
      <c r="M1229" s="7" t="inlineStr">
        <is>
          <t>Surface Combatants</t>
        </is>
      </c>
      <c r="N1229" s="7" t="inlineStr">
        <is>
          <t>DDG</t>
        </is>
      </c>
      <c r="O1229" s="15" t="n"/>
      <c r="P1229" s="16" t="n">
        <v>6646</v>
      </c>
      <c r="S1229" s="16" t="n">
        <v>10168</v>
      </c>
      <c r="U1229" s="16" t="n">
        <v>10168</v>
      </c>
      <c r="AC1229" s="23">
        <f>IF(OR(E1229="",E1229="[PARENT]"),"ADD",IF(E1229="[ALT_VIEW]","ALT",""))</f>
        <v/>
      </c>
      <c r="AD1229" s="21">
        <f>IF(Y1229&lt;&gt;"",Y1229,IF(U1229&lt;&gt;"",U1229,S1229))</f>
        <v/>
      </c>
      <c r="AE1229" s="21">
        <f>IF(AB1229&lt;&gt;"",AB1229,Z1229)</f>
        <v/>
      </c>
      <c r="AF1229" s="13" t="inlineStr">
        <is>
          <t>P-35 &gt; DDG-51 &gt; AN/SLQ-32 SEWIP V(7) &gt; System Engineering</t>
        </is>
      </c>
      <c r="AG1229" s="7" t="inlineStr">
        <is>
          <t>250</t>
        </is>
      </c>
      <c r="AH1229" s="7" t="inlineStr">
        <is>
          <t>2122</t>
        </is>
      </c>
      <c r="AJ1229" s="7" t="inlineStr">
        <is>
          <t>AN/SLQ-32 SEWIP V(7)</t>
        </is>
      </c>
    </row>
    <row r="1230" ht="10" customHeight="1">
      <c r="A1230" s="7" t="inlineStr">
        <is>
          <t>SCN</t>
        </is>
      </c>
      <c r="B1230" s="7" t="inlineStr">
        <is>
          <t>Procurement</t>
        </is>
      </c>
      <c r="D1230" s="7" t="inlineStr">
        <is>
          <t>DDG-51 - P-35 AN/SLQ-32 SEWIP V(7) - Technical Engineering Services</t>
        </is>
      </c>
      <c r="E1230" s="13" t="inlineStr">
        <is>
          <t>[ALT_VIEW]</t>
        </is>
      </c>
      <c r="F1230" s="7" t="inlineStr">
        <is>
          <t>2122 / DDG-51</t>
        </is>
      </c>
      <c r="G1230" s="7" t="inlineStr">
        <is>
          <t>P-35</t>
        </is>
      </c>
      <c r="I1230" s="14" t="n">
        <v>1</v>
      </c>
      <c r="J1230" s="7" t="inlineStr">
        <is>
          <t>Full ship DD&amp;C</t>
        </is>
      </c>
      <c r="K1230" s="13" t="inlineStr">
        <is>
          <t>USN</t>
        </is>
      </c>
      <c r="L1230" s="7" t="inlineStr">
        <is>
          <t>Combatant Ships</t>
        </is>
      </c>
      <c r="M1230" s="7" t="inlineStr">
        <is>
          <t>Surface Combatants</t>
        </is>
      </c>
      <c r="N1230" s="7" t="inlineStr">
        <is>
          <t>DDG</t>
        </is>
      </c>
      <c r="O1230" s="15" t="n"/>
      <c r="P1230" s="16" t="n">
        <v>448</v>
      </c>
      <c r="S1230" s="16" t="n">
        <v>685</v>
      </c>
      <c r="U1230" s="16" t="n">
        <v>685</v>
      </c>
      <c r="AC1230" s="23">
        <f>IF(OR(E1230="",E1230="[PARENT]"),"ADD",IF(E1230="[ALT_VIEW]","ALT",""))</f>
        <v/>
      </c>
      <c r="AD1230" s="21">
        <f>IF(Y1230&lt;&gt;"",Y1230,IF(U1230&lt;&gt;"",U1230,S1230))</f>
        <v/>
      </c>
      <c r="AE1230" s="21">
        <f>IF(AB1230&lt;&gt;"",AB1230,Z1230)</f>
        <v/>
      </c>
      <c r="AF1230" s="13" t="inlineStr">
        <is>
          <t>P-35 &gt; DDG-51 &gt; AN/SLQ-32 SEWIP V(7) &gt; Technical Engineering Services</t>
        </is>
      </c>
      <c r="AG1230" s="7" t="inlineStr">
        <is>
          <t>250</t>
        </is>
      </c>
      <c r="AH1230" s="7" t="inlineStr">
        <is>
          <t>2122</t>
        </is>
      </c>
      <c r="AJ1230" s="7" t="inlineStr">
        <is>
          <t>AN/SLQ-32 SEWIP V(7)</t>
        </is>
      </c>
    </row>
    <row r="1231" ht="10" customHeight="1">
      <c r="A1231" s="7" t="inlineStr">
        <is>
          <t>SCN</t>
        </is>
      </c>
      <c r="B1231" s="7" t="inlineStr">
        <is>
          <t>Procurement</t>
        </is>
      </c>
      <c r="D1231" s="7" t="inlineStr">
        <is>
          <t>DDG-51 - P-35 AN/SLQ-32 SEWIP V(7) - Other Costs</t>
        </is>
      </c>
      <c r="E1231" s="13" t="inlineStr">
        <is>
          <t>[ALT_VIEW]</t>
        </is>
      </c>
      <c r="F1231" s="7" t="inlineStr">
        <is>
          <t>2122 / DDG-51</t>
        </is>
      </c>
      <c r="G1231" s="7" t="inlineStr">
        <is>
          <t>P-35</t>
        </is>
      </c>
      <c r="I1231" s="14" t="n">
        <v>1</v>
      </c>
      <c r="J1231" s="7" t="inlineStr">
        <is>
          <t>Full ship DD&amp;C</t>
        </is>
      </c>
      <c r="K1231" s="13" t="inlineStr">
        <is>
          <t>USN</t>
        </is>
      </c>
      <c r="L1231" s="7" t="inlineStr">
        <is>
          <t>Combatant Ships</t>
        </is>
      </c>
      <c r="M1231" s="7" t="inlineStr">
        <is>
          <t>Surface Combatants</t>
        </is>
      </c>
      <c r="N1231" s="7" t="inlineStr">
        <is>
          <t>DDG</t>
        </is>
      </c>
      <c r="O1231" s="15" t="n"/>
      <c r="P1231" s="16" t="n">
        <v>3894</v>
      </c>
      <c r="S1231" s="16" t="n">
        <v>5959</v>
      </c>
      <c r="U1231" s="16" t="n">
        <v>5959</v>
      </c>
      <c r="AC1231" s="23">
        <f>IF(OR(E1231="",E1231="[PARENT]"),"ADD",IF(E1231="[ALT_VIEW]","ALT",""))</f>
        <v/>
      </c>
      <c r="AD1231" s="21">
        <f>IF(Y1231&lt;&gt;"",Y1231,IF(U1231&lt;&gt;"",U1231,S1231))</f>
        <v/>
      </c>
      <c r="AE1231" s="21">
        <f>IF(AB1231&lt;&gt;"",AB1231,Z1231)</f>
        <v/>
      </c>
      <c r="AF1231" s="13" t="inlineStr">
        <is>
          <t>P-35 &gt; DDG-51 &gt; AN/SLQ-32 SEWIP V(7) &gt; Other Costs</t>
        </is>
      </c>
      <c r="AG1231" s="7" t="inlineStr">
        <is>
          <t>250</t>
        </is>
      </c>
      <c r="AH1231" s="7" t="inlineStr">
        <is>
          <t>2122</t>
        </is>
      </c>
      <c r="AJ1231" s="7" t="inlineStr">
        <is>
          <t>AN/SLQ-32 SEWIP V(7)</t>
        </is>
      </c>
    </row>
    <row r="1232" ht="10" customHeight="1">
      <c r="A1232" s="7" t="inlineStr">
        <is>
          <t>SCN</t>
        </is>
      </c>
      <c r="B1232" s="7" t="inlineStr">
        <is>
          <t>Procurement</t>
        </is>
      </c>
      <c r="D1232" s="7" t="inlineStr">
        <is>
          <t>DDG-51 - P-35 USQ 82(V) GEDMS - Major Hardware                                                                                                2</t>
        </is>
      </c>
      <c r="E1232" s="13" t="inlineStr">
        <is>
          <t>[ALT_VIEW]</t>
        </is>
      </c>
      <c r="F1232" s="7" t="inlineStr">
        <is>
          <t>2122 / DDG-51</t>
        </is>
      </c>
      <c r="G1232" s="7" t="inlineStr">
        <is>
          <t>P-35</t>
        </is>
      </c>
      <c r="I1232" s="14" t="n">
        <v>1</v>
      </c>
      <c r="J1232" s="7" t="inlineStr">
        <is>
          <t>Full ship DD&amp;C</t>
        </is>
      </c>
      <c r="K1232" s="13" t="inlineStr">
        <is>
          <t>USN</t>
        </is>
      </c>
      <c r="L1232" s="7" t="inlineStr">
        <is>
          <t>Combatant Ships</t>
        </is>
      </c>
      <c r="M1232" s="7" t="inlineStr">
        <is>
          <t>Surface Combatants</t>
        </is>
      </c>
      <c r="N1232" s="7" t="inlineStr">
        <is>
          <t>DDG</t>
        </is>
      </c>
      <c r="O1232" s="15" t="n"/>
      <c r="P1232" s="16" t="n">
        <v>15134</v>
      </c>
      <c r="S1232" s="16" t="n">
        <v>23155</v>
      </c>
      <c r="U1232" s="16" t="n">
        <v>23155</v>
      </c>
      <c r="AC1232" s="23">
        <f>IF(OR(E1232="",E1232="[PARENT]"),"ADD",IF(E1232="[ALT_VIEW]","ALT",""))</f>
        <v/>
      </c>
      <c r="AD1232" s="21">
        <f>IF(Y1232&lt;&gt;"",Y1232,IF(U1232&lt;&gt;"",U1232,S1232))</f>
        <v/>
      </c>
      <c r="AE1232" s="21">
        <f>IF(AB1232&lt;&gt;"",AB1232,Z1232)</f>
        <v/>
      </c>
      <c r="AF1232" s="13" t="inlineStr">
        <is>
          <t>P-35 &gt; DDG-51 &gt; USQ 82(V) GEDMS &gt; Major Hardware                                                                                                2</t>
        </is>
      </c>
      <c r="AG1232" s="7" t="inlineStr">
        <is>
          <t>251</t>
        </is>
      </c>
      <c r="AH1232" s="7" t="inlineStr">
        <is>
          <t>2122</t>
        </is>
      </c>
      <c r="AJ1232" s="7" t="inlineStr">
        <is>
          <t>USQ 82(V) GEDMS [DDG 145]</t>
        </is>
      </c>
    </row>
    <row r="1233" ht="10" customHeight="1">
      <c r="A1233" s="7" t="inlineStr">
        <is>
          <t>SCN</t>
        </is>
      </c>
      <c r="B1233" s="7" t="inlineStr">
        <is>
          <t>Procurement</t>
        </is>
      </c>
      <c r="D1233" s="7" t="inlineStr">
        <is>
          <t>DDG-51 - P-35 USQ 82(V) GEDMS - Technical Data and Documentation</t>
        </is>
      </c>
      <c r="E1233" s="13" t="inlineStr">
        <is>
          <t>[ALT_VIEW]</t>
        </is>
      </c>
      <c r="F1233" s="7" t="inlineStr">
        <is>
          <t>2122 / DDG-51</t>
        </is>
      </c>
      <c r="G1233" s="7" t="inlineStr">
        <is>
          <t>P-35</t>
        </is>
      </c>
      <c r="I1233" s="14" t="n">
        <v>1</v>
      </c>
      <c r="J1233" s="7" t="inlineStr">
        <is>
          <t>Full ship DD&amp;C</t>
        </is>
      </c>
      <c r="K1233" s="13" t="inlineStr">
        <is>
          <t>USN</t>
        </is>
      </c>
      <c r="L1233" s="7" t="inlineStr">
        <is>
          <t>Combatant Ships</t>
        </is>
      </c>
      <c r="M1233" s="7" t="inlineStr">
        <is>
          <t>Surface Combatants</t>
        </is>
      </c>
      <c r="N1233" s="7" t="inlineStr">
        <is>
          <t>DDG</t>
        </is>
      </c>
      <c r="O1233" s="15" t="n"/>
      <c r="P1233" s="16" t="n">
        <v>1515</v>
      </c>
      <c r="S1233" s="16" t="n">
        <v>2318</v>
      </c>
      <c r="U1233" s="16" t="n">
        <v>2318</v>
      </c>
      <c r="AC1233" s="23">
        <f>IF(OR(E1233="",E1233="[PARENT]"),"ADD",IF(E1233="[ALT_VIEW]","ALT",""))</f>
        <v/>
      </c>
      <c r="AD1233" s="21">
        <f>IF(Y1233&lt;&gt;"",Y1233,IF(U1233&lt;&gt;"",U1233,S1233))</f>
        <v/>
      </c>
      <c r="AE1233" s="21">
        <f>IF(AB1233&lt;&gt;"",AB1233,Z1233)</f>
        <v/>
      </c>
      <c r="AF1233" s="13" t="inlineStr">
        <is>
          <t>P-35 &gt; DDG-51 &gt; USQ 82(V) GEDMS &gt; Technical Data and Documentation</t>
        </is>
      </c>
      <c r="AG1233" s="7" t="inlineStr">
        <is>
          <t>251</t>
        </is>
      </c>
      <c r="AH1233" s="7" t="inlineStr">
        <is>
          <t>2122</t>
        </is>
      </c>
      <c r="AJ1233" s="7" t="inlineStr">
        <is>
          <t>USQ 82(V) GEDMS</t>
        </is>
      </c>
    </row>
    <row r="1234" ht="10" customHeight="1">
      <c r="A1234" s="7" t="inlineStr">
        <is>
          <t>SCN</t>
        </is>
      </c>
      <c r="B1234" s="7" t="inlineStr">
        <is>
          <t>Procurement</t>
        </is>
      </c>
      <c r="D1234" s="7" t="inlineStr">
        <is>
          <t>DDG-51 - P-35 USQ 82(V) GEDMS - System Engineering</t>
        </is>
      </c>
      <c r="E1234" s="13" t="inlineStr">
        <is>
          <t>[ALT_VIEW]</t>
        </is>
      </c>
      <c r="F1234" s="7" t="inlineStr">
        <is>
          <t>2122 / DDG-51</t>
        </is>
      </c>
      <c r="G1234" s="7" t="inlineStr">
        <is>
          <t>P-35</t>
        </is>
      </c>
      <c r="I1234" s="14" t="n">
        <v>1</v>
      </c>
      <c r="J1234" s="7" t="inlineStr">
        <is>
          <t>Full ship DD&amp;C</t>
        </is>
      </c>
      <c r="K1234" s="13" t="inlineStr">
        <is>
          <t>USN</t>
        </is>
      </c>
      <c r="L1234" s="7" t="inlineStr">
        <is>
          <t>Combatant Ships</t>
        </is>
      </c>
      <c r="M1234" s="7" t="inlineStr">
        <is>
          <t>Surface Combatants</t>
        </is>
      </c>
      <c r="N1234" s="7" t="inlineStr">
        <is>
          <t>DDG</t>
        </is>
      </c>
      <c r="O1234" s="15" t="n"/>
      <c r="P1234" s="16" t="n">
        <v>3713</v>
      </c>
      <c r="S1234" s="16" t="n">
        <v>5681</v>
      </c>
      <c r="U1234" s="16" t="n">
        <v>5681</v>
      </c>
      <c r="AC1234" s="23">
        <f>IF(OR(E1234="",E1234="[PARENT]"),"ADD",IF(E1234="[ALT_VIEW]","ALT",""))</f>
        <v/>
      </c>
      <c r="AD1234" s="21">
        <f>IF(Y1234&lt;&gt;"",Y1234,IF(U1234&lt;&gt;"",U1234,S1234))</f>
        <v/>
      </c>
      <c r="AE1234" s="21">
        <f>IF(AB1234&lt;&gt;"",AB1234,Z1234)</f>
        <v/>
      </c>
      <c r="AF1234" s="13" t="inlineStr">
        <is>
          <t>P-35 &gt; DDG-51 &gt; USQ 82(V) GEDMS &gt; System Engineering</t>
        </is>
      </c>
      <c r="AG1234" s="7" t="inlineStr">
        <is>
          <t>251</t>
        </is>
      </c>
      <c r="AH1234" s="7" t="inlineStr">
        <is>
          <t>2122</t>
        </is>
      </c>
      <c r="AJ1234" s="7" t="inlineStr">
        <is>
          <t>USQ 82(V) GEDMS</t>
        </is>
      </c>
    </row>
    <row r="1235" ht="10" customHeight="1">
      <c r="A1235" s="7" t="inlineStr">
        <is>
          <t>SCN</t>
        </is>
      </c>
      <c r="B1235" s="7" t="inlineStr">
        <is>
          <t>Procurement</t>
        </is>
      </c>
      <c r="D1235" s="7" t="inlineStr">
        <is>
          <t>DDG-51 - P-35 USQ 82(V) GEDMS - Technical Engineering Services</t>
        </is>
      </c>
      <c r="E1235" s="13" t="inlineStr">
        <is>
          <t>[ALT_VIEW]</t>
        </is>
      </c>
      <c r="F1235" s="7" t="inlineStr">
        <is>
          <t>2122 / DDG-51</t>
        </is>
      </c>
      <c r="G1235" s="7" t="inlineStr">
        <is>
          <t>P-35</t>
        </is>
      </c>
      <c r="I1235" s="14" t="n">
        <v>1</v>
      </c>
      <c r="J1235" s="7" t="inlineStr">
        <is>
          <t>Full ship DD&amp;C</t>
        </is>
      </c>
      <c r="K1235" s="13" t="inlineStr">
        <is>
          <t>USN</t>
        </is>
      </c>
      <c r="L1235" s="7" t="inlineStr">
        <is>
          <t>Combatant Ships</t>
        </is>
      </c>
      <c r="M1235" s="7" t="inlineStr">
        <is>
          <t>Surface Combatants</t>
        </is>
      </c>
      <c r="N1235" s="7" t="inlineStr">
        <is>
          <t>DDG</t>
        </is>
      </c>
      <c r="O1235" s="15" t="n"/>
      <c r="P1235" s="16" t="n">
        <v>1862</v>
      </c>
      <c r="S1235" s="16" t="n">
        <v>2849</v>
      </c>
      <c r="U1235" s="16" t="n">
        <v>2849</v>
      </c>
      <c r="AC1235" s="23">
        <f>IF(OR(E1235="",E1235="[PARENT]"),"ADD",IF(E1235="[ALT_VIEW]","ALT",""))</f>
        <v/>
      </c>
      <c r="AD1235" s="21">
        <f>IF(Y1235&lt;&gt;"",Y1235,IF(U1235&lt;&gt;"",U1235,S1235))</f>
        <v/>
      </c>
      <c r="AE1235" s="21">
        <f>IF(AB1235&lt;&gt;"",AB1235,Z1235)</f>
        <v/>
      </c>
      <c r="AF1235" s="13" t="inlineStr">
        <is>
          <t>P-35 &gt; DDG-51 &gt; USQ 82(V) GEDMS &gt; Technical Engineering Services</t>
        </is>
      </c>
      <c r="AG1235" s="7" t="inlineStr">
        <is>
          <t>251</t>
        </is>
      </c>
      <c r="AH1235" s="7" t="inlineStr">
        <is>
          <t>2122</t>
        </is>
      </c>
      <c r="AJ1235" s="7" t="inlineStr">
        <is>
          <t>USQ 82(V) GEDMS</t>
        </is>
      </c>
    </row>
    <row r="1236" ht="10" customHeight="1">
      <c r="A1236" s="7" t="inlineStr">
        <is>
          <t>SCN</t>
        </is>
      </c>
      <c r="B1236" s="7" t="inlineStr">
        <is>
          <t>Procurement</t>
        </is>
      </c>
      <c r="D1236" s="7" t="inlineStr">
        <is>
          <t>DDG-51 - P-35 USQ 82(V) GEDMS - Other Costs</t>
        </is>
      </c>
      <c r="E1236" s="13" t="inlineStr">
        <is>
          <t>[ALT_VIEW]</t>
        </is>
      </c>
      <c r="F1236" s="7" t="inlineStr">
        <is>
          <t>2122 / DDG-51</t>
        </is>
      </c>
      <c r="G1236" s="7" t="inlineStr">
        <is>
          <t>P-35</t>
        </is>
      </c>
      <c r="I1236" s="14" t="n">
        <v>1</v>
      </c>
      <c r="J1236" s="7" t="inlineStr">
        <is>
          <t>Full ship DD&amp;C</t>
        </is>
      </c>
      <c r="K1236" s="13" t="inlineStr">
        <is>
          <t>USN</t>
        </is>
      </c>
      <c r="L1236" s="7" t="inlineStr">
        <is>
          <t>Combatant Ships</t>
        </is>
      </c>
      <c r="M1236" s="7" t="inlineStr">
        <is>
          <t>Surface Combatants</t>
        </is>
      </c>
      <c r="N1236" s="7" t="inlineStr">
        <is>
          <t>DDG</t>
        </is>
      </c>
      <c r="O1236" s="15" t="n"/>
      <c r="P1236" s="16" t="n">
        <v>9570</v>
      </c>
      <c r="S1236" s="16" t="n">
        <v>14642</v>
      </c>
      <c r="U1236" s="16" t="n">
        <v>14642</v>
      </c>
      <c r="AC1236" s="23">
        <f>IF(OR(E1236="",E1236="[PARENT]"),"ADD",IF(E1236="[ALT_VIEW]","ALT",""))</f>
        <v/>
      </c>
      <c r="AD1236" s="21">
        <f>IF(Y1236&lt;&gt;"",Y1236,IF(U1236&lt;&gt;"",U1236,S1236))</f>
        <v/>
      </c>
      <c r="AE1236" s="21">
        <f>IF(AB1236&lt;&gt;"",AB1236,Z1236)</f>
        <v/>
      </c>
      <c r="AF1236" s="13" t="inlineStr">
        <is>
          <t>P-35 &gt; DDG-51 &gt; USQ 82(V) GEDMS &gt; Other Costs</t>
        </is>
      </c>
      <c r="AG1236" s="7" t="inlineStr">
        <is>
          <t>251</t>
        </is>
      </c>
      <c r="AH1236" s="7" t="inlineStr">
        <is>
          <t>2122</t>
        </is>
      </c>
      <c r="AJ1236" s="7" t="inlineStr">
        <is>
          <t>USQ 82(V) GEDMS</t>
        </is>
      </c>
    </row>
    <row r="1237" ht="10" customHeight="1">
      <c r="A1237" s="7" t="inlineStr">
        <is>
          <t>SCN</t>
        </is>
      </c>
      <c r="B1237" s="7" t="inlineStr">
        <is>
          <t>Procurement</t>
        </is>
      </c>
      <c r="D1237" s="7" t="inlineStr">
        <is>
          <t>DDG-51 - P-35 EXCOMM - Major Hardware                                                                                                 2</t>
        </is>
      </c>
      <c r="E1237" s="13" t="inlineStr">
        <is>
          <t>[ALT_VIEW]</t>
        </is>
      </c>
      <c r="F1237" s="7" t="inlineStr">
        <is>
          <t>2122 / DDG-51</t>
        </is>
      </c>
      <c r="G1237" s="7" t="inlineStr">
        <is>
          <t>P-35</t>
        </is>
      </c>
      <c r="I1237" s="14" t="n">
        <v>1</v>
      </c>
      <c r="J1237" s="7" t="inlineStr">
        <is>
          <t>Full ship DD&amp;C</t>
        </is>
      </c>
      <c r="K1237" s="13" t="inlineStr">
        <is>
          <t>USN</t>
        </is>
      </c>
      <c r="L1237" s="7" t="inlineStr">
        <is>
          <t>Combatant Ships</t>
        </is>
      </c>
      <c r="M1237" s="7" t="inlineStr">
        <is>
          <t>Surface Combatants</t>
        </is>
      </c>
      <c r="N1237" s="7" t="inlineStr">
        <is>
          <t>DDG</t>
        </is>
      </c>
      <c r="O1237" s="15" t="n"/>
      <c r="P1237" s="16" t="n">
        <v>76017</v>
      </c>
      <c r="S1237" s="16" t="n">
        <v>116306</v>
      </c>
      <c r="U1237" s="16" t="n">
        <v>116306</v>
      </c>
      <c r="AC1237" s="23">
        <f>IF(OR(E1237="",E1237="[PARENT]"),"ADD",IF(E1237="[ALT_VIEW]","ALT",""))</f>
        <v/>
      </c>
      <c r="AD1237" s="21">
        <f>IF(Y1237&lt;&gt;"",Y1237,IF(U1237&lt;&gt;"",U1237,S1237))</f>
        <v/>
      </c>
      <c r="AE1237" s="21">
        <f>IF(AB1237&lt;&gt;"",AB1237,Z1237)</f>
        <v/>
      </c>
      <c r="AF1237" s="13" t="inlineStr">
        <is>
          <t>P-35 &gt; DDG-51 &gt; EXCOMM &gt; Major Hardware                                                                                                 2</t>
        </is>
      </c>
      <c r="AG1237" s="7" t="inlineStr">
        <is>
          <t>252</t>
        </is>
      </c>
      <c r="AH1237" s="7" t="inlineStr">
        <is>
          <t>2122</t>
        </is>
      </c>
    </row>
    <row r="1238" ht="10" customHeight="1">
      <c r="A1238" s="7" t="inlineStr">
        <is>
          <t>SCN</t>
        </is>
      </c>
      <c r="B1238" s="7" t="inlineStr">
        <is>
          <t>Procurement</t>
        </is>
      </c>
      <c r="D1238" s="7" t="inlineStr">
        <is>
          <t>DDG-51 - P-35 EXCOMM - Technical Data and Documentation</t>
        </is>
      </c>
      <c r="E1238" s="13" t="inlineStr">
        <is>
          <t>[ALT_VIEW]</t>
        </is>
      </c>
      <c r="F1238" s="7" t="inlineStr">
        <is>
          <t>2122 / DDG-51</t>
        </is>
      </c>
      <c r="G1238" s="7" t="inlineStr">
        <is>
          <t>P-35</t>
        </is>
      </c>
      <c r="I1238" s="14" t="n">
        <v>1</v>
      </c>
      <c r="J1238" s="7" t="inlineStr">
        <is>
          <t>Full ship DD&amp;C</t>
        </is>
      </c>
      <c r="K1238" s="13" t="inlineStr">
        <is>
          <t>USN</t>
        </is>
      </c>
      <c r="L1238" s="7" t="inlineStr">
        <is>
          <t>Combatant Ships</t>
        </is>
      </c>
      <c r="M1238" s="7" t="inlineStr">
        <is>
          <t>Surface Combatants</t>
        </is>
      </c>
      <c r="N1238" s="7" t="inlineStr">
        <is>
          <t>DDG</t>
        </is>
      </c>
      <c r="O1238" s="15" t="n"/>
      <c r="P1238" s="16" t="n">
        <v>306</v>
      </c>
      <c r="S1238" s="16" t="n">
        <v>468</v>
      </c>
      <c r="U1238" s="16" t="n">
        <v>468</v>
      </c>
      <c r="AC1238" s="23">
        <f>IF(OR(E1238="",E1238="[PARENT]"),"ADD",IF(E1238="[ALT_VIEW]","ALT",""))</f>
        <v/>
      </c>
      <c r="AD1238" s="21">
        <f>IF(Y1238&lt;&gt;"",Y1238,IF(U1238&lt;&gt;"",U1238,S1238))</f>
        <v/>
      </c>
      <c r="AE1238" s="21">
        <f>IF(AB1238&lt;&gt;"",AB1238,Z1238)</f>
        <v/>
      </c>
      <c r="AF1238" s="13" t="inlineStr">
        <is>
          <t>P-35 &gt; DDG-51 &gt; EXCOMM &gt; Technical Data and Documentation</t>
        </is>
      </c>
      <c r="AG1238" s="7" t="inlineStr">
        <is>
          <t>252</t>
        </is>
      </c>
      <c r="AH1238" s="7" t="inlineStr">
        <is>
          <t>2122</t>
        </is>
      </c>
      <c r="AJ1238" s="7" t="inlineStr">
        <is>
          <t>EXCOMM</t>
        </is>
      </c>
    </row>
    <row r="1239" ht="10" customHeight="1">
      <c r="A1239" s="7" t="inlineStr">
        <is>
          <t>SCN</t>
        </is>
      </c>
      <c r="B1239" s="7" t="inlineStr">
        <is>
          <t>Procurement</t>
        </is>
      </c>
      <c r="D1239" s="7" t="inlineStr">
        <is>
          <t>DDG-51 - P-35 EXCOMM - Spares</t>
        </is>
      </c>
      <c r="E1239" s="13" t="inlineStr">
        <is>
          <t>[ALT_VIEW]</t>
        </is>
      </c>
      <c r="F1239" s="7" t="inlineStr">
        <is>
          <t>2122 / DDG-51</t>
        </is>
      </c>
      <c r="G1239" s="7" t="inlineStr">
        <is>
          <t>P-35</t>
        </is>
      </c>
      <c r="I1239" s="14" t="n">
        <v>1</v>
      </c>
      <c r="J1239" s="7" t="inlineStr">
        <is>
          <t>Full ship DD&amp;C</t>
        </is>
      </c>
      <c r="K1239" s="13" t="inlineStr">
        <is>
          <t>USN</t>
        </is>
      </c>
      <c r="L1239" s="7" t="inlineStr">
        <is>
          <t>Combatant Ships</t>
        </is>
      </c>
      <c r="M1239" s="7" t="inlineStr">
        <is>
          <t>Surface Combatants</t>
        </is>
      </c>
      <c r="N1239" s="7" t="inlineStr">
        <is>
          <t>DDG</t>
        </is>
      </c>
      <c r="O1239" s="15" t="n"/>
      <c r="P1239" s="16" t="n">
        <v>703</v>
      </c>
      <c r="S1239" s="16" t="n">
        <v>1076</v>
      </c>
      <c r="U1239" s="16" t="n">
        <v>1076</v>
      </c>
      <c r="AC1239" s="23">
        <f>IF(OR(E1239="",E1239="[PARENT]"),"ADD",IF(E1239="[ALT_VIEW]","ALT",""))</f>
        <v/>
      </c>
      <c r="AD1239" s="21">
        <f>IF(Y1239&lt;&gt;"",Y1239,IF(U1239&lt;&gt;"",U1239,S1239))</f>
        <v/>
      </c>
      <c r="AE1239" s="21">
        <f>IF(AB1239&lt;&gt;"",AB1239,Z1239)</f>
        <v/>
      </c>
      <c r="AF1239" s="13" t="inlineStr">
        <is>
          <t>P-35 &gt; DDG-51 &gt; EXCOMM &gt; Spares</t>
        </is>
      </c>
      <c r="AG1239" s="7" t="inlineStr">
        <is>
          <t>252</t>
        </is>
      </c>
      <c r="AH1239" s="7" t="inlineStr">
        <is>
          <t>2122</t>
        </is>
      </c>
      <c r="AJ1239" s="7" t="inlineStr">
        <is>
          <t>EXCOMM</t>
        </is>
      </c>
    </row>
    <row r="1240" ht="10" customHeight="1">
      <c r="A1240" s="7" t="inlineStr">
        <is>
          <t>SCN</t>
        </is>
      </c>
      <c r="B1240" s="7" t="inlineStr">
        <is>
          <t>Procurement</t>
        </is>
      </c>
      <c r="D1240" s="7" t="inlineStr">
        <is>
          <t>DDG-51 - P-35 EXCOMM - System Engineering</t>
        </is>
      </c>
      <c r="E1240" s="13" t="inlineStr">
        <is>
          <t>[ALT_VIEW]</t>
        </is>
      </c>
      <c r="F1240" s="7" t="inlineStr">
        <is>
          <t>2122 / DDG-51</t>
        </is>
      </c>
      <c r="G1240" s="7" t="inlineStr">
        <is>
          <t>P-35</t>
        </is>
      </c>
      <c r="I1240" s="14" t="n">
        <v>1</v>
      </c>
      <c r="J1240" s="7" t="inlineStr">
        <is>
          <t>Full ship DD&amp;C</t>
        </is>
      </c>
      <c r="K1240" s="13" t="inlineStr">
        <is>
          <t>USN</t>
        </is>
      </c>
      <c r="L1240" s="7" t="inlineStr">
        <is>
          <t>Combatant Ships</t>
        </is>
      </c>
      <c r="M1240" s="7" t="inlineStr">
        <is>
          <t>Surface Combatants</t>
        </is>
      </c>
      <c r="N1240" s="7" t="inlineStr">
        <is>
          <t>DDG</t>
        </is>
      </c>
      <c r="O1240" s="15" t="n"/>
      <c r="P1240" s="16" t="n">
        <v>7912</v>
      </c>
      <c r="S1240" s="16" t="n">
        <v>12105</v>
      </c>
      <c r="U1240" s="16" t="n">
        <v>12105</v>
      </c>
      <c r="AC1240" s="23">
        <f>IF(OR(E1240="",E1240="[PARENT]"),"ADD",IF(E1240="[ALT_VIEW]","ALT",""))</f>
        <v/>
      </c>
      <c r="AD1240" s="21">
        <f>IF(Y1240&lt;&gt;"",Y1240,IF(U1240&lt;&gt;"",U1240,S1240))</f>
        <v/>
      </c>
      <c r="AE1240" s="21">
        <f>IF(AB1240&lt;&gt;"",AB1240,Z1240)</f>
        <v/>
      </c>
      <c r="AF1240" s="13" t="inlineStr">
        <is>
          <t>P-35 &gt; DDG-51 &gt; EXCOMM &gt; System Engineering</t>
        </is>
      </c>
      <c r="AG1240" s="7" t="inlineStr">
        <is>
          <t>252</t>
        </is>
      </c>
      <c r="AH1240" s="7" t="inlineStr">
        <is>
          <t>2122</t>
        </is>
      </c>
      <c r="AJ1240" s="7" t="inlineStr">
        <is>
          <t>EXCOMM</t>
        </is>
      </c>
    </row>
    <row r="1241" ht="10" customHeight="1">
      <c r="A1241" s="7" t="inlineStr">
        <is>
          <t>SCN</t>
        </is>
      </c>
      <c r="B1241" s="7" t="inlineStr">
        <is>
          <t>Procurement</t>
        </is>
      </c>
      <c r="D1241" s="7" t="inlineStr">
        <is>
          <t>DDG-51 - P-35 EXCOMM - Technical Engineering Services</t>
        </is>
      </c>
      <c r="E1241" s="13" t="inlineStr">
        <is>
          <t>[ALT_VIEW]</t>
        </is>
      </c>
      <c r="F1241" s="7" t="inlineStr">
        <is>
          <t>2122 / DDG-51</t>
        </is>
      </c>
      <c r="G1241" s="7" t="inlineStr">
        <is>
          <t>P-35</t>
        </is>
      </c>
      <c r="I1241" s="14" t="n">
        <v>1</v>
      </c>
      <c r="J1241" s="7" t="inlineStr">
        <is>
          <t>Full ship DD&amp;C</t>
        </is>
      </c>
      <c r="K1241" s="13" t="inlineStr">
        <is>
          <t>USN</t>
        </is>
      </c>
      <c r="L1241" s="7" t="inlineStr">
        <is>
          <t>Combatant Ships</t>
        </is>
      </c>
      <c r="M1241" s="7" t="inlineStr">
        <is>
          <t>Surface Combatants</t>
        </is>
      </c>
      <c r="N1241" s="7" t="inlineStr">
        <is>
          <t>DDG</t>
        </is>
      </c>
      <c r="O1241" s="15" t="n"/>
      <c r="P1241" s="16" t="n">
        <v>4618</v>
      </c>
      <c r="S1241" s="16" t="n">
        <v>7066</v>
      </c>
      <c r="U1241" s="16" t="n">
        <v>7066</v>
      </c>
      <c r="AC1241" s="23">
        <f>IF(OR(E1241="",E1241="[PARENT]"),"ADD",IF(E1241="[ALT_VIEW]","ALT",""))</f>
        <v/>
      </c>
      <c r="AD1241" s="21">
        <f>IF(Y1241&lt;&gt;"",Y1241,IF(U1241&lt;&gt;"",U1241,S1241))</f>
        <v/>
      </c>
      <c r="AE1241" s="21">
        <f>IF(AB1241&lt;&gt;"",AB1241,Z1241)</f>
        <v/>
      </c>
      <c r="AF1241" s="13" t="inlineStr">
        <is>
          <t>P-35 &gt; DDG-51 &gt; EXCOMM &gt; Technical Engineering Services</t>
        </is>
      </c>
      <c r="AG1241" s="7" t="inlineStr">
        <is>
          <t>252</t>
        </is>
      </c>
      <c r="AH1241" s="7" t="inlineStr">
        <is>
          <t>2122</t>
        </is>
      </c>
      <c r="AJ1241" s="7" t="inlineStr">
        <is>
          <t>EXCOMM</t>
        </is>
      </c>
    </row>
    <row r="1242" ht="10" customHeight="1">
      <c r="A1242" s="7" t="inlineStr">
        <is>
          <t>SCN</t>
        </is>
      </c>
      <c r="B1242" s="7" t="inlineStr">
        <is>
          <t>Procurement</t>
        </is>
      </c>
      <c r="D1242" s="7" t="inlineStr">
        <is>
          <t>DDG-51 - P-35 EXCOMM - Other Costs</t>
        </is>
      </c>
      <c r="E1242" s="13" t="inlineStr">
        <is>
          <t>[ALT_VIEW]</t>
        </is>
      </c>
      <c r="F1242" s="7" t="inlineStr">
        <is>
          <t>2122 / DDG-51</t>
        </is>
      </c>
      <c r="G1242" s="7" t="inlineStr">
        <is>
          <t>P-35</t>
        </is>
      </c>
      <c r="I1242" s="14" t="n">
        <v>1</v>
      </c>
      <c r="J1242" s="7" t="inlineStr">
        <is>
          <t>Full ship DD&amp;C</t>
        </is>
      </c>
      <c r="K1242" s="13" t="inlineStr">
        <is>
          <t>USN</t>
        </is>
      </c>
      <c r="L1242" s="7" t="inlineStr">
        <is>
          <t>Combatant Ships</t>
        </is>
      </c>
      <c r="M1242" s="7" t="inlineStr">
        <is>
          <t>Surface Combatants</t>
        </is>
      </c>
      <c r="N1242" s="7" t="inlineStr">
        <is>
          <t>DDG</t>
        </is>
      </c>
      <c r="O1242" s="15" t="n"/>
      <c r="P1242" s="16" t="n">
        <v>14691</v>
      </c>
      <c r="S1242" s="16" t="n">
        <v>22477</v>
      </c>
      <c r="U1242" s="16" t="n">
        <v>22477</v>
      </c>
      <c r="AC1242" s="23">
        <f>IF(OR(E1242="",E1242="[PARENT]"),"ADD",IF(E1242="[ALT_VIEW]","ALT",""))</f>
        <v/>
      </c>
      <c r="AD1242" s="21">
        <f>IF(Y1242&lt;&gt;"",Y1242,IF(U1242&lt;&gt;"",U1242,S1242))</f>
        <v/>
      </c>
      <c r="AE1242" s="21">
        <f>IF(AB1242&lt;&gt;"",AB1242,Z1242)</f>
        <v/>
      </c>
      <c r="AF1242" s="13" t="inlineStr">
        <is>
          <t>P-35 &gt; DDG-51 &gt; EXCOMM &gt; Other Costs</t>
        </is>
      </c>
      <c r="AG1242" s="7" t="inlineStr">
        <is>
          <t>252</t>
        </is>
      </c>
      <c r="AH1242" s="7" t="inlineStr">
        <is>
          <t>2122</t>
        </is>
      </c>
      <c r="AJ1242" s="7" t="inlineStr">
        <is>
          <t>EXCOMM</t>
        </is>
      </c>
    </row>
    <row r="1243" ht="10" customHeight="1">
      <c r="A1243" s="7" t="inlineStr">
        <is>
          <t>SCN</t>
        </is>
      </c>
      <c r="B1243" s="7" t="inlineStr">
        <is>
          <t>Procurement</t>
        </is>
      </c>
      <c r="D1243" s="7" t="inlineStr">
        <is>
          <t>DDG-51 - P-35 EXCOMM - Assembly &amp; Integration</t>
        </is>
      </c>
      <c r="E1243" s="13" t="inlineStr">
        <is>
          <t>[ALT_VIEW]</t>
        </is>
      </c>
      <c r="F1243" s="7" t="inlineStr">
        <is>
          <t>2122 / DDG-51</t>
        </is>
      </c>
      <c r="G1243" s="7" t="inlineStr">
        <is>
          <t>P-35</t>
        </is>
      </c>
      <c r="I1243" s="14" t="n">
        <v>1</v>
      </c>
      <c r="J1243" s="7" t="inlineStr">
        <is>
          <t>Full ship DD&amp;C</t>
        </is>
      </c>
      <c r="K1243" s="13" t="inlineStr">
        <is>
          <t>USN</t>
        </is>
      </c>
      <c r="L1243" s="7" t="inlineStr">
        <is>
          <t>Combatant Ships</t>
        </is>
      </c>
      <c r="M1243" s="7" t="inlineStr">
        <is>
          <t>Surface Combatants</t>
        </is>
      </c>
      <c r="N1243" s="7" t="inlineStr">
        <is>
          <t>DDG</t>
        </is>
      </c>
      <c r="O1243" s="15" t="n"/>
      <c r="P1243" s="16" t="n">
        <v>22655</v>
      </c>
      <c r="S1243" s="16" t="n">
        <v>34662</v>
      </c>
      <c r="U1243" s="16" t="n">
        <v>34662</v>
      </c>
      <c r="AC1243" s="23">
        <f>IF(OR(E1243="",E1243="[PARENT]"),"ADD",IF(E1243="[ALT_VIEW]","ALT",""))</f>
        <v/>
      </c>
      <c r="AD1243" s="21">
        <f>IF(Y1243&lt;&gt;"",Y1243,IF(U1243&lt;&gt;"",U1243,S1243))</f>
        <v/>
      </c>
      <c r="AE1243" s="21">
        <f>IF(AB1243&lt;&gt;"",AB1243,Z1243)</f>
        <v/>
      </c>
      <c r="AF1243" s="13" t="inlineStr">
        <is>
          <t>P-35 &gt; DDG-51 &gt; EXCOMM &gt; Assembly &amp; Integration</t>
        </is>
      </c>
      <c r="AG1243" s="7" t="inlineStr">
        <is>
          <t>252</t>
        </is>
      </c>
      <c r="AH1243" s="7" t="inlineStr">
        <is>
          <t>2122</t>
        </is>
      </c>
      <c r="AJ1243" s="7" t="inlineStr">
        <is>
          <t>EXCOMM</t>
        </is>
      </c>
    </row>
    <row r="1244" ht="10" customHeight="1">
      <c r="A1244" s="7" t="inlineStr">
        <is>
          <t>SCN</t>
        </is>
      </c>
      <c r="B1244" s="7" t="inlineStr">
        <is>
          <t>Procurement</t>
        </is>
      </c>
      <c r="D1244" s="7" t="inlineStr">
        <is>
          <t>DDG-51 - P-35 AN/UPX 29(V) IFF and TACAN - Major Hardware                                                                                                   2</t>
        </is>
      </c>
      <c r="E1244" s="13" t="inlineStr">
        <is>
          <t>[ALT_VIEW]</t>
        </is>
      </c>
      <c r="F1244" s="7" t="inlineStr">
        <is>
          <t>2122 / DDG-51</t>
        </is>
      </c>
      <c r="G1244" s="7" t="inlineStr">
        <is>
          <t>P-35</t>
        </is>
      </c>
      <c r="I1244" s="14" t="n">
        <v>1</v>
      </c>
      <c r="J1244" s="7" t="inlineStr">
        <is>
          <t>Full ship DD&amp;C</t>
        </is>
      </c>
      <c r="K1244" s="13" t="inlineStr">
        <is>
          <t>USN</t>
        </is>
      </c>
      <c r="L1244" s="7" t="inlineStr">
        <is>
          <t>Combatant Ships</t>
        </is>
      </c>
      <c r="M1244" s="7" t="inlineStr">
        <is>
          <t>Surface Combatants</t>
        </is>
      </c>
      <c r="N1244" s="7" t="inlineStr">
        <is>
          <t>DDG</t>
        </is>
      </c>
      <c r="O1244" s="15" t="n"/>
      <c r="P1244" s="16" t="n">
        <v>13565</v>
      </c>
      <c r="S1244" s="16" t="n">
        <v>20754</v>
      </c>
      <c r="U1244" s="16" t="n">
        <v>20754</v>
      </c>
      <c r="AC1244" s="23">
        <f>IF(OR(E1244="",E1244="[PARENT]"),"ADD",IF(E1244="[ALT_VIEW]","ALT",""))</f>
        <v/>
      </c>
      <c r="AD1244" s="21">
        <f>IF(Y1244&lt;&gt;"",Y1244,IF(U1244&lt;&gt;"",U1244,S1244))</f>
        <v/>
      </c>
      <c r="AE1244" s="21">
        <f>IF(AB1244&lt;&gt;"",AB1244,Z1244)</f>
        <v/>
      </c>
      <c r="AF1244" s="13" t="inlineStr">
        <is>
          <t>P-35 &gt; DDG-51 &gt; AN/UPX 29(V) IFF and TACAN &gt; Major Hardware                                                                                                   2</t>
        </is>
      </c>
      <c r="AG1244" s="7" t="inlineStr">
        <is>
          <t>253</t>
        </is>
      </c>
      <c r="AH1244" s="7" t="inlineStr">
        <is>
          <t>2122</t>
        </is>
      </c>
      <c r="AJ1244" s="7" t="inlineStr">
        <is>
          <t>AN/UPX 29(V) IFF and TACAN [DDG 145]</t>
        </is>
      </c>
    </row>
    <row r="1245" ht="10" customHeight="1">
      <c r="A1245" s="7" t="inlineStr">
        <is>
          <t>SCN</t>
        </is>
      </c>
      <c r="B1245" s="7" t="inlineStr">
        <is>
          <t>Procurement</t>
        </is>
      </c>
      <c r="D1245" s="7" t="inlineStr">
        <is>
          <t>DDG-51 - P-35 AN/UPX 29(V) IFF and TACAN - Spares</t>
        </is>
      </c>
      <c r="E1245" s="13" t="inlineStr">
        <is>
          <t>[ALT_VIEW]</t>
        </is>
      </c>
      <c r="F1245" s="7" t="inlineStr">
        <is>
          <t>2122 / DDG-51</t>
        </is>
      </c>
      <c r="G1245" s="7" t="inlineStr">
        <is>
          <t>P-35</t>
        </is>
      </c>
      <c r="I1245" s="14" t="n">
        <v>1</v>
      </c>
      <c r="J1245" s="7" t="inlineStr">
        <is>
          <t>Full ship DD&amp;C</t>
        </is>
      </c>
      <c r="K1245" s="13" t="inlineStr">
        <is>
          <t>USN</t>
        </is>
      </c>
      <c r="L1245" s="7" t="inlineStr">
        <is>
          <t>Combatant Ships</t>
        </is>
      </c>
      <c r="M1245" s="7" t="inlineStr">
        <is>
          <t>Surface Combatants</t>
        </is>
      </c>
      <c r="N1245" s="7" t="inlineStr">
        <is>
          <t>DDG</t>
        </is>
      </c>
      <c r="O1245" s="15" t="n"/>
      <c r="P1245" s="16" t="n">
        <v>558</v>
      </c>
      <c r="S1245" s="16" t="n">
        <v>854</v>
      </c>
      <c r="U1245" s="16" t="n">
        <v>854</v>
      </c>
      <c r="AC1245" s="23">
        <f>IF(OR(E1245="",E1245="[PARENT]"),"ADD",IF(E1245="[ALT_VIEW]","ALT",""))</f>
        <v/>
      </c>
      <c r="AD1245" s="21">
        <f>IF(Y1245&lt;&gt;"",Y1245,IF(U1245&lt;&gt;"",U1245,S1245))</f>
        <v/>
      </c>
      <c r="AE1245" s="21">
        <f>IF(AB1245&lt;&gt;"",AB1245,Z1245)</f>
        <v/>
      </c>
      <c r="AF1245" s="13" t="inlineStr">
        <is>
          <t>P-35 &gt; DDG-51 &gt; AN/UPX 29(V) IFF and TACAN &gt; Spares</t>
        </is>
      </c>
      <c r="AG1245" s="7" t="inlineStr">
        <is>
          <t>253</t>
        </is>
      </c>
      <c r="AH1245" s="7" t="inlineStr">
        <is>
          <t>2122</t>
        </is>
      </c>
      <c r="AJ1245" s="7" t="inlineStr">
        <is>
          <t>AN/UPX 29(V) IFF and TACAN</t>
        </is>
      </c>
    </row>
    <row r="1246" ht="10" customHeight="1">
      <c r="A1246" s="7" t="inlineStr">
        <is>
          <t>SCN</t>
        </is>
      </c>
      <c r="B1246" s="7" t="inlineStr">
        <is>
          <t>Procurement</t>
        </is>
      </c>
      <c r="D1246" s="7" t="inlineStr">
        <is>
          <t>DDG-51 - P-35 AN/UPX 29(V) IFF and TACAN - System Engineering</t>
        </is>
      </c>
      <c r="E1246" s="13" t="inlineStr">
        <is>
          <t>[ALT_VIEW]</t>
        </is>
      </c>
      <c r="F1246" s="7" t="inlineStr">
        <is>
          <t>2122 / DDG-51</t>
        </is>
      </c>
      <c r="G1246" s="7" t="inlineStr">
        <is>
          <t>P-35</t>
        </is>
      </c>
      <c r="I1246" s="14" t="n">
        <v>1</v>
      </c>
      <c r="J1246" s="7" t="inlineStr">
        <is>
          <t>Full ship DD&amp;C</t>
        </is>
      </c>
      <c r="K1246" s="13" t="inlineStr">
        <is>
          <t>USN</t>
        </is>
      </c>
      <c r="L1246" s="7" t="inlineStr">
        <is>
          <t>Combatant Ships</t>
        </is>
      </c>
      <c r="M1246" s="7" t="inlineStr">
        <is>
          <t>Surface Combatants</t>
        </is>
      </c>
      <c r="N1246" s="7" t="inlineStr">
        <is>
          <t>DDG</t>
        </is>
      </c>
      <c r="O1246" s="15" t="n"/>
      <c r="P1246" s="16" t="n">
        <v>132</v>
      </c>
      <c r="S1246" s="16" t="n">
        <v>202</v>
      </c>
      <c r="U1246" s="16" t="n">
        <v>202</v>
      </c>
      <c r="AC1246" s="23">
        <f>IF(OR(E1246="",E1246="[PARENT]"),"ADD",IF(E1246="[ALT_VIEW]","ALT",""))</f>
        <v/>
      </c>
      <c r="AD1246" s="21">
        <f>IF(Y1246&lt;&gt;"",Y1246,IF(U1246&lt;&gt;"",U1246,S1246))</f>
        <v/>
      </c>
      <c r="AE1246" s="21">
        <f>IF(AB1246&lt;&gt;"",AB1246,Z1246)</f>
        <v/>
      </c>
      <c r="AF1246" s="13" t="inlineStr">
        <is>
          <t>P-35 &gt; DDG-51 &gt; AN/UPX 29(V) IFF and TACAN &gt; System Engineering</t>
        </is>
      </c>
      <c r="AG1246" s="7" t="inlineStr">
        <is>
          <t>253</t>
        </is>
      </c>
      <c r="AH1246" s="7" t="inlineStr">
        <is>
          <t>2122</t>
        </is>
      </c>
      <c r="AJ1246" s="7" t="inlineStr">
        <is>
          <t>AN/UPX 29(V) IFF and TACAN</t>
        </is>
      </c>
    </row>
    <row r="1247" ht="10" customHeight="1">
      <c r="A1247" s="7" t="inlineStr">
        <is>
          <t>SCN</t>
        </is>
      </c>
      <c r="B1247" s="7" t="inlineStr">
        <is>
          <t>Procurement</t>
        </is>
      </c>
      <c r="D1247" s="7" t="inlineStr">
        <is>
          <t>DDG-51 - P-35 AN/UPX 29(V) IFF and TACAN - Technical Engineering Services</t>
        </is>
      </c>
      <c r="E1247" s="13" t="inlineStr">
        <is>
          <t>[ALT_VIEW]</t>
        </is>
      </c>
      <c r="F1247" s="7" t="inlineStr">
        <is>
          <t>2122 / DDG-51</t>
        </is>
      </c>
      <c r="G1247" s="7" t="inlineStr">
        <is>
          <t>P-35</t>
        </is>
      </c>
      <c r="I1247" s="14" t="n">
        <v>1</v>
      </c>
      <c r="J1247" s="7" t="inlineStr">
        <is>
          <t>Full ship DD&amp;C</t>
        </is>
      </c>
      <c r="K1247" s="13" t="inlineStr">
        <is>
          <t>USN</t>
        </is>
      </c>
      <c r="L1247" s="7" t="inlineStr">
        <is>
          <t>Combatant Ships</t>
        </is>
      </c>
      <c r="M1247" s="7" t="inlineStr">
        <is>
          <t>Surface Combatants</t>
        </is>
      </c>
      <c r="N1247" s="7" t="inlineStr">
        <is>
          <t>DDG</t>
        </is>
      </c>
      <c r="O1247" s="15" t="n"/>
      <c r="P1247" s="16" t="n">
        <v>647</v>
      </c>
      <c r="S1247" s="16" t="n">
        <v>990</v>
      </c>
      <c r="U1247" s="16" t="n">
        <v>990</v>
      </c>
      <c r="AC1247" s="23">
        <f>IF(OR(E1247="",E1247="[PARENT]"),"ADD",IF(E1247="[ALT_VIEW]","ALT",""))</f>
        <v/>
      </c>
      <c r="AD1247" s="21">
        <f>IF(Y1247&lt;&gt;"",Y1247,IF(U1247&lt;&gt;"",U1247,S1247))</f>
        <v/>
      </c>
      <c r="AE1247" s="21">
        <f>IF(AB1247&lt;&gt;"",AB1247,Z1247)</f>
        <v/>
      </c>
      <c r="AF1247" s="13" t="inlineStr">
        <is>
          <t>P-35 &gt; DDG-51 &gt; AN/UPX 29(V) IFF and TACAN &gt; Technical Engineering Services</t>
        </is>
      </c>
      <c r="AG1247" s="7" t="inlineStr">
        <is>
          <t>253</t>
        </is>
      </c>
      <c r="AH1247" s="7" t="inlineStr">
        <is>
          <t>2122</t>
        </is>
      </c>
      <c r="AJ1247" s="7" t="inlineStr">
        <is>
          <t>AN/UPX 29(V) IFF and TACAN</t>
        </is>
      </c>
    </row>
    <row r="1248" ht="10" customHeight="1">
      <c r="A1248" s="7" t="inlineStr">
        <is>
          <t>SCN</t>
        </is>
      </c>
      <c r="B1248" s="7" t="inlineStr">
        <is>
          <t>Procurement</t>
        </is>
      </c>
      <c r="D1248" s="7" t="inlineStr">
        <is>
          <t>DDG-51 - P-35 AN/UPX 29(V) IFF and TACAN - Other Costs</t>
        </is>
      </c>
      <c r="E1248" s="13" t="inlineStr">
        <is>
          <t>[ALT_VIEW]</t>
        </is>
      </c>
      <c r="F1248" s="7" t="inlineStr">
        <is>
          <t>2122 / DDG-51</t>
        </is>
      </c>
      <c r="G1248" s="7" t="inlineStr">
        <is>
          <t>P-35</t>
        </is>
      </c>
      <c r="I1248" s="14" t="n">
        <v>1</v>
      </c>
      <c r="J1248" s="7" t="inlineStr">
        <is>
          <t>Full ship DD&amp;C</t>
        </is>
      </c>
      <c r="K1248" s="13" t="inlineStr">
        <is>
          <t>USN</t>
        </is>
      </c>
      <c r="L1248" s="7" t="inlineStr">
        <is>
          <t>Combatant Ships</t>
        </is>
      </c>
      <c r="M1248" s="7" t="inlineStr">
        <is>
          <t>Surface Combatants</t>
        </is>
      </c>
      <c r="N1248" s="7" t="inlineStr">
        <is>
          <t>DDG</t>
        </is>
      </c>
      <c r="O1248" s="15" t="n"/>
      <c r="P1248" s="16" t="n">
        <v>1120</v>
      </c>
      <c r="S1248" s="16" t="n">
        <v>1714</v>
      </c>
      <c r="U1248" s="16" t="n">
        <v>1714</v>
      </c>
      <c r="AC1248" s="23">
        <f>IF(OR(E1248="",E1248="[PARENT]"),"ADD",IF(E1248="[ALT_VIEW]","ALT",""))</f>
        <v/>
      </c>
      <c r="AD1248" s="21">
        <f>IF(Y1248&lt;&gt;"",Y1248,IF(U1248&lt;&gt;"",U1248,S1248))</f>
        <v/>
      </c>
      <c r="AE1248" s="21">
        <f>IF(AB1248&lt;&gt;"",AB1248,Z1248)</f>
        <v/>
      </c>
      <c r="AF1248" s="13" t="inlineStr">
        <is>
          <t>P-35 &gt; DDG-51 &gt; AN/UPX 29(V) IFF and TACAN &gt; Other Costs</t>
        </is>
      </c>
      <c r="AG1248" s="7" t="inlineStr">
        <is>
          <t>253</t>
        </is>
      </c>
      <c r="AH1248" s="7" t="inlineStr">
        <is>
          <t>2122</t>
        </is>
      </c>
      <c r="AJ1248" s="7" t="inlineStr">
        <is>
          <t>AN/UPX 29(V) IFF and TACAN</t>
        </is>
      </c>
    </row>
    <row r="1249" ht="10" customHeight="1">
      <c r="A1249" s="7" t="inlineStr">
        <is>
          <t>SCN</t>
        </is>
      </c>
      <c r="B1249" s="7" t="inlineStr">
        <is>
          <t>Procurement</t>
        </is>
      </c>
      <c r="D1249" s="7" t="inlineStr">
        <is>
          <t>DDG-51 - P-35 CEC - Major Hardware                                                                                                 2</t>
        </is>
      </c>
      <c r="E1249" s="13" t="inlineStr">
        <is>
          <t>[ALT_VIEW]</t>
        </is>
      </c>
      <c r="F1249" s="7" t="inlineStr">
        <is>
          <t>2122 / DDG-51</t>
        </is>
      </c>
      <c r="G1249" s="7" t="inlineStr">
        <is>
          <t>P-35</t>
        </is>
      </c>
      <c r="I1249" s="14" t="n">
        <v>1</v>
      </c>
      <c r="J1249" s="7" t="inlineStr">
        <is>
          <t>Full ship DD&amp;C</t>
        </is>
      </c>
      <c r="K1249" s="13" t="inlineStr">
        <is>
          <t>USN</t>
        </is>
      </c>
      <c r="L1249" s="7" t="inlineStr">
        <is>
          <t>Combatant Ships</t>
        </is>
      </c>
      <c r="M1249" s="7" t="inlineStr">
        <is>
          <t>Surface Combatants</t>
        </is>
      </c>
      <c r="N1249" s="7" t="inlineStr">
        <is>
          <t>DDG</t>
        </is>
      </c>
      <c r="O1249" s="15" t="n"/>
      <c r="P1249" s="16" t="n">
        <v>10851</v>
      </c>
      <c r="S1249" s="16" t="n">
        <v>16602</v>
      </c>
      <c r="U1249" s="16" t="n">
        <v>16602</v>
      </c>
      <c r="AC1249" s="23">
        <f>IF(OR(E1249="",E1249="[PARENT]"),"ADD",IF(E1249="[ALT_VIEW]","ALT",""))</f>
        <v/>
      </c>
      <c r="AD1249" s="21">
        <f>IF(Y1249&lt;&gt;"",Y1249,IF(U1249&lt;&gt;"",U1249,S1249))</f>
        <v/>
      </c>
      <c r="AE1249" s="21">
        <f>IF(AB1249&lt;&gt;"",AB1249,Z1249)</f>
        <v/>
      </c>
      <c r="AF1249" s="13" t="inlineStr">
        <is>
          <t>P-35 &gt; DDG-51 &gt; CEC &gt; Major Hardware                                                                                                 2</t>
        </is>
      </c>
      <c r="AG1249" s="7" t="inlineStr">
        <is>
          <t>254</t>
        </is>
      </c>
      <c r="AH1249" s="7" t="inlineStr">
        <is>
          <t>2122</t>
        </is>
      </c>
      <c r="AJ1249" s="7" t="inlineStr">
        <is>
          <t>CEC [DDG 145]</t>
        </is>
      </c>
    </row>
    <row r="1250" ht="10" customHeight="1">
      <c r="A1250" s="7" t="inlineStr">
        <is>
          <t>SCN</t>
        </is>
      </c>
      <c r="B1250" s="7" t="inlineStr">
        <is>
          <t>Procurement</t>
        </is>
      </c>
      <c r="D1250" s="7" t="inlineStr">
        <is>
          <t>DDG-51 - P-35 CEC - System Engineering</t>
        </is>
      </c>
      <c r="E1250" s="13" t="inlineStr">
        <is>
          <t>[ALT_VIEW]</t>
        </is>
      </c>
      <c r="F1250" s="7" t="inlineStr">
        <is>
          <t>2122 / DDG-51</t>
        </is>
      </c>
      <c r="G1250" s="7" t="inlineStr">
        <is>
          <t>P-35</t>
        </is>
      </c>
      <c r="I1250" s="14" t="n">
        <v>1</v>
      </c>
      <c r="J1250" s="7" t="inlineStr">
        <is>
          <t>Full ship DD&amp;C</t>
        </is>
      </c>
      <c r="K1250" s="13" t="inlineStr">
        <is>
          <t>USN</t>
        </is>
      </c>
      <c r="L1250" s="7" t="inlineStr">
        <is>
          <t>Combatant Ships</t>
        </is>
      </c>
      <c r="M1250" s="7" t="inlineStr">
        <is>
          <t>Surface Combatants</t>
        </is>
      </c>
      <c r="N1250" s="7" t="inlineStr">
        <is>
          <t>DDG</t>
        </is>
      </c>
      <c r="O1250" s="15" t="n"/>
      <c r="P1250" s="16" t="n">
        <v>945</v>
      </c>
      <c r="S1250" s="16" t="n">
        <v>1446</v>
      </c>
      <c r="U1250" s="16" t="n">
        <v>1446</v>
      </c>
      <c r="AC1250" s="23">
        <f>IF(OR(E1250="",E1250="[PARENT]"),"ADD",IF(E1250="[ALT_VIEW]","ALT",""))</f>
        <v/>
      </c>
      <c r="AD1250" s="21">
        <f>IF(Y1250&lt;&gt;"",Y1250,IF(U1250&lt;&gt;"",U1250,S1250))</f>
        <v/>
      </c>
      <c r="AE1250" s="21">
        <f>IF(AB1250&lt;&gt;"",AB1250,Z1250)</f>
        <v/>
      </c>
      <c r="AF1250" s="13" t="inlineStr">
        <is>
          <t>P-35 &gt; DDG-51 &gt; CEC &gt; System Engineering</t>
        </is>
      </c>
      <c r="AG1250" s="7" t="inlineStr">
        <is>
          <t>254</t>
        </is>
      </c>
      <c r="AH1250" s="7" t="inlineStr">
        <is>
          <t>2122</t>
        </is>
      </c>
      <c r="AJ1250" s="7" t="inlineStr">
        <is>
          <t>CEC</t>
        </is>
      </c>
    </row>
    <row r="1251" ht="10" customHeight="1">
      <c r="A1251" s="7" t="inlineStr">
        <is>
          <t>SCN</t>
        </is>
      </c>
      <c r="B1251" s="7" t="inlineStr">
        <is>
          <t>Procurement</t>
        </is>
      </c>
      <c r="D1251" s="7" t="inlineStr">
        <is>
          <t>DDG-51 - P-35 CEC - Technical Engineering Services</t>
        </is>
      </c>
      <c r="E1251" s="13" t="inlineStr">
        <is>
          <t>[ALT_VIEW]</t>
        </is>
      </c>
      <c r="F1251" s="7" t="inlineStr">
        <is>
          <t>2122 / DDG-51</t>
        </is>
      </c>
      <c r="G1251" s="7" t="inlineStr">
        <is>
          <t>P-35</t>
        </is>
      </c>
      <c r="I1251" s="14" t="n">
        <v>1</v>
      </c>
      <c r="J1251" s="7" t="inlineStr">
        <is>
          <t>Full ship DD&amp;C</t>
        </is>
      </c>
      <c r="K1251" s="13" t="inlineStr">
        <is>
          <t>USN</t>
        </is>
      </c>
      <c r="L1251" s="7" t="inlineStr">
        <is>
          <t>Combatant Ships</t>
        </is>
      </c>
      <c r="M1251" s="7" t="inlineStr">
        <is>
          <t>Surface Combatants</t>
        </is>
      </c>
      <c r="N1251" s="7" t="inlineStr">
        <is>
          <t>DDG</t>
        </is>
      </c>
      <c r="O1251" s="15" t="n"/>
      <c r="P1251" s="16" t="n">
        <v>603</v>
      </c>
      <c r="S1251" s="16" t="n">
        <v>923</v>
      </c>
      <c r="U1251" s="16" t="n">
        <v>923</v>
      </c>
      <c r="AC1251" s="23">
        <f>IF(OR(E1251="",E1251="[PARENT]"),"ADD",IF(E1251="[ALT_VIEW]","ALT",""))</f>
        <v/>
      </c>
      <c r="AD1251" s="21">
        <f>IF(Y1251&lt;&gt;"",Y1251,IF(U1251&lt;&gt;"",U1251,S1251))</f>
        <v/>
      </c>
      <c r="AE1251" s="21">
        <f>IF(AB1251&lt;&gt;"",AB1251,Z1251)</f>
        <v/>
      </c>
      <c r="AF1251" s="13" t="inlineStr">
        <is>
          <t>P-35 &gt; DDG-51 &gt; CEC &gt; Technical Engineering Services</t>
        </is>
      </c>
      <c r="AG1251" s="7" t="inlineStr">
        <is>
          <t>254</t>
        </is>
      </c>
      <c r="AH1251" s="7" t="inlineStr">
        <is>
          <t>2122</t>
        </is>
      </c>
      <c r="AJ1251" s="7" t="inlineStr">
        <is>
          <t>CEC</t>
        </is>
      </c>
    </row>
    <row r="1252" ht="10" customHeight="1">
      <c r="A1252" s="7" t="inlineStr">
        <is>
          <t>SCN</t>
        </is>
      </c>
      <c r="B1252" s="7" t="inlineStr">
        <is>
          <t>Procurement</t>
        </is>
      </c>
      <c r="D1252" s="7" t="inlineStr">
        <is>
          <t>DDG-51 - P-35 CEC - Other Costs</t>
        </is>
      </c>
      <c r="E1252" s="13" t="inlineStr">
        <is>
          <t>[ALT_VIEW]</t>
        </is>
      </c>
      <c r="F1252" s="7" t="inlineStr">
        <is>
          <t>2122 / DDG-51</t>
        </is>
      </c>
      <c r="G1252" s="7" t="inlineStr">
        <is>
          <t>P-35</t>
        </is>
      </c>
      <c r="I1252" s="14" t="n">
        <v>1</v>
      </c>
      <c r="J1252" s="7" t="inlineStr">
        <is>
          <t>Full ship DD&amp;C</t>
        </is>
      </c>
      <c r="K1252" s="13" t="inlineStr">
        <is>
          <t>USN</t>
        </is>
      </c>
      <c r="L1252" s="7" t="inlineStr">
        <is>
          <t>Combatant Ships</t>
        </is>
      </c>
      <c r="M1252" s="7" t="inlineStr">
        <is>
          <t>Surface Combatants</t>
        </is>
      </c>
      <c r="N1252" s="7" t="inlineStr">
        <is>
          <t>DDG</t>
        </is>
      </c>
      <c r="O1252" s="15" t="n"/>
      <c r="P1252" s="16" t="n">
        <v>720</v>
      </c>
      <c r="S1252" s="16" t="n">
        <v>1101</v>
      </c>
      <c r="U1252" s="16" t="n">
        <v>1101</v>
      </c>
      <c r="AC1252" s="23">
        <f>IF(OR(E1252="",E1252="[PARENT]"),"ADD",IF(E1252="[ALT_VIEW]","ALT",""))</f>
        <v/>
      </c>
      <c r="AD1252" s="21">
        <f>IF(Y1252&lt;&gt;"",Y1252,IF(U1252&lt;&gt;"",U1252,S1252))</f>
        <v/>
      </c>
      <c r="AE1252" s="21">
        <f>IF(AB1252&lt;&gt;"",AB1252,Z1252)</f>
        <v/>
      </c>
      <c r="AF1252" s="13" t="inlineStr">
        <is>
          <t>P-35 &gt; DDG-51 &gt; CEC &gt; Other Costs</t>
        </is>
      </c>
      <c r="AG1252" s="7" t="inlineStr">
        <is>
          <t>254</t>
        </is>
      </c>
      <c r="AH1252" s="7" t="inlineStr">
        <is>
          <t>2122</t>
        </is>
      </c>
      <c r="AJ1252" s="7" t="inlineStr">
        <is>
          <t>CEC</t>
        </is>
      </c>
    </row>
    <row r="1253" ht="10" customHeight="1">
      <c r="A1253" s="7" t="inlineStr">
        <is>
          <t>SCN</t>
        </is>
      </c>
      <c r="B1253" s="7" t="inlineStr">
        <is>
          <t>Procurement</t>
        </is>
      </c>
      <c r="D1253" s="7" t="inlineStr">
        <is>
          <t>DDG-51 - P-35 STC 3 IVCS - Major Hardware                                                                                                2</t>
        </is>
      </c>
      <c r="E1253" s="13" t="inlineStr">
        <is>
          <t>[ALT_VIEW]</t>
        </is>
      </c>
      <c r="F1253" s="7" t="inlineStr">
        <is>
          <t>2122 / DDG-51</t>
        </is>
      </c>
      <c r="G1253" s="7" t="inlineStr">
        <is>
          <t>P-35</t>
        </is>
      </c>
      <c r="I1253" s="14" t="n">
        <v>1</v>
      </c>
      <c r="J1253" s="7" t="inlineStr">
        <is>
          <t>Full ship DD&amp;C</t>
        </is>
      </c>
      <c r="K1253" s="13" t="inlineStr">
        <is>
          <t>USN</t>
        </is>
      </c>
      <c r="L1253" s="7" t="inlineStr">
        <is>
          <t>Combatant Ships</t>
        </is>
      </c>
      <c r="M1253" s="7" t="inlineStr">
        <is>
          <t>Surface Combatants</t>
        </is>
      </c>
      <c r="N1253" s="7" t="inlineStr">
        <is>
          <t>DDG</t>
        </is>
      </c>
      <c r="O1253" s="15" t="n"/>
      <c r="P1253" s="16" t="n">
        <v>11091</v>
      </c>
      <c r="S1253" s="16" t="n">
        <v>16969</v>
      </c>
      <c r="U1253" s="16" t="n">
        <v>16969</v>
      </c>
      <c r="AC1253" s="23">
        <f>IF(OR(E1253="",E1253="[PARENT]"),"ADD",IF(E1253="[ALT_VIEW]","ALT",""))</f>
        <v/>
      </c>
      <c r="AD1253" s="21">
        <f>IF(Y1253&lt;&gt;"",Y1253,IF(U1253&lt;&gt;"",U1253,S1253))</f>
        <v/>
      </c>
      <c r="AE1253" s="21">
        <f>IF(AB1253&lt;&gt;"",AB1253,Z1253)</f>
        <v/>
      </c>
      <c r="AF1253" s="13" t="inlineStr">
        <is>
          <t>P-35 &gt; DDG-51 &gt; STC 3 IVCS &gt; Major Hardware                                                                                                2</t>
        </is>
      </c>
      <c r="AG1253" s="7" t="inlineStr">
        <is>
          <t>255</t>
        </is>
      </c>
      <c r="AH1253" s="7" t="inlineStr">
        <is>
          <t>2122</t>
        </is>
      </c>
      <c r="AJ1253" s="7" t="inlineStr">
        <is>
          <t>STC 3 IVCS [DDG 145]</t>
        </is>
      </c>
    </row>
    <row r="1254" ht="10" customHeight="1">
      <c r="A1254" s="7" t="inlineStr">
        <is>
          <t>SCN</t>
        </is>
      </c>
      <c r="B1254" s="7" t="inlineStr">
        <is>
          <t>Procurement</t>
        </is>
      </c>
      <c r="D1254" s="7" t="inlineStr">
        <is>
          <t>DDG-51 - P-35 STC 3 IVCS - Spares</t>
        </is>
      </c>
      <c r="E1254" s="13" t="inlineStr">
        <is>
          <t>[ALT_VIEW]</t>
        </is>
      </c>
      <c r="F1254" s="7" t="inlineStr">
        <is>
          <t>2122 / DDG-51</t>
        </is>
      </c>
      <c r="G1254" s="7" t="inlineStr">
        <is>
          <t>P-35</t>
        </is>
      </c>
      <c r="I1254" s="14" t="n">
        <v>1</v>
      </c>
      <c r="J1254" s="7" t="inlineStr">
        <is>
          <t>Full ship DD&amp;C</t>
        </is>
      </c>
      <c r="K1254" s="13" t="inlineStr">
        <is>
          <t>USN</t>
        </is>
      </c>
      <c r="L1254" s="7" t="inlineStr">
        <is>
          <t>Combatant Ships</t>
        </is>
      </c>
      <c r="M1254" s="7" t="inlineStr">
        <is>
          <t>Surface Combatants</t>
        </is>
      </c>
      <c r="N1254" s="7" t="inlineStr">
        <is>
          <t>DDG</t>
        </is>
      </c>
      <c r="O1254" s="15" t="n"/>
      <c r="P1254" s="16" t="n">
        <v>597</v>
      </c>
      <c r="S1254" s="16" t="n">
        <v>913</v>
      </c>
      <c r="U1254" s="16" t="n">
        <v>913</v>
      </c>
      <c r="AC1254" s="23">
        <f>IF(OR(E1254="",E1254="[PARENT]"),"ADD",IF(E1254="[ALT_VIEW]","ALT",""))</f>
        <v/>
      </c>
      <c r="AD1254" s="21">
        <f>IF(Y1254&lt;&gt;"",Y1254,IF(U1254&lt;&gt;"",U1254,S1254))</f>
        <v/>
      </c>
      <c r="AE1254" s="21">
        <f>IF(AB1254&lt;&gt;"",AB1254,Z1254)</f>
        <v/>
      </c>
      <c r="AF1254" s="13" t="inlineStr">
        <is>
          <t>P-35 &gt; DDG-51 &gt; STC 3 IVCS &gt; Spares</t>
        </is>
      </c>
      <c r="AG1254" s="7" t="inlineStr">
        <is>
          <t>255</t>
        </is>
      </c>
      <c r="AH1254" s="7" t="inlineStr">
        <is>
          <t>2122</t>
        </is>
      </c>
      <c r="AJ1254" s="7" t="inlineStr">
        <is>
          <t>STC 3 IVCS</t>
        </is>
      </c>
    </row>
    <row r="1255" ht="10" customHeight="1">
      <c r="A1255" s="7" t="inlineStr">
        <is>
          <t>SCN</t>
        </is>
      </c>
      <c r="B1255" s="7" t="inlineStr">
        <is>
          <t>Procurement</t>
        </is>
      </c>
      <c r="D1255" s="7" t="inlineStr">
        <is>
          <t>DDG-51 - P-35 STC 3 IVCS - System Engineering</t>
        </is>
      </c>
      <c r="E1255" s="13" t="inlineStr">
        <is>
          <t>[ALT_VIEW]</t>
        </is>
      </c>
      <c r="F1255" s="7" t="inlineStr">
        <is>
          <t>2122 / DDG-51</t>
        </is>
      </c>
      <c r="G1255" s="7" t="inlineStr">
        <is>
          <t>P-35</t>
        </is>
      </c>
      <c r="I1255" s="14" t="n">
        <v>1</v>
      </c>
      <c r="J1255" s="7" t="inlineStr">
        <is>
          <t>Full ship DD&amp;C</t>
        </is>
      </c>
      <c r="K1255" s="13" t="inlineStr">
        <is>
          <t>USN</t>
        </is>
      </c>
      <c r="L1255" s="7" t="inlineStr">
        <is>
          <t>Combatant Ships</t>
        </is>
      </c>
      <c r="M1255" s="7" t="inlineStr">
        <is>
          <t>Surface Combatants</t>
        </is>
      </c>
      <c r="N1255" s="7" t="inlineStr">
        <is>
          <t>DDG</t>
        </is>
      </c>
      <c r="O1255" s="15" t="n"/>
      <c r="P1255" s="16" t="n">
        <v>2019</v>
      </c>
      <c r="S1255" s="16" t="n">
        <v>3089</v>
      </c>
      <c r="U1255" s="16" t="n">
        <v>3089</v>
      </c>
      <c r="AC1255" s="23">
        <f>IF(OR(E1255="",E1255="[PARENT]"),"ADD",IF(E1255="[ALT_VIEW]","ALT",""))</f>
        <v/>
      </c>
      <c r="AD1255" s="21">
        <f>IF(Y1255&lt;&gt;"",Y1255,IF(U1255&lt;&gt;"",U1255,S1255))</f>
        <v/>
      </c>
      <c r="AE1255" s="21">
        <f>IF(AB1255&lt;&gt;"",AB1255,Z1255)</f>
        <v/>
      </c>
      <c r="AF1255" s="13" t="inlineStr">
        <is>
          <t>P-35 &gt; DDG-51 &gt; STC 3 IVCS &gt; System Engineering</t>
        </is>
      </c>
      <c r="AG1255" s="7" t="inlineStr">
        <is>
          <t>255</t>
        </is>
      </c>
      <c r="AH1255" s="7" t="inlineStr">
        <is>
          <t>2122</t>
        </is>
      </c>
      <c r="AJ1255" s="7" t="inlineStr">
        <is>
          <t>STC 3 IVCS</t>
        </is>
      </c>
    </row>
    <row r="1256" ht="10" customHeight="1">
      <c r="A1256" s="7" t="inlineStr">
        <is>
          <t>SCN</t>
        </is>
      </c>
      <c r="B1256" s="7" t="inlineStr">
        <is>
          <t>Procurement</t>
        </is>
      </c>
      <c r="D1256" s="7" t="inlineStr">
        <is>
          <t>DDG-51 - P-35 STC 3 IVCS - Technical Engineering Services</t>
        </is>
      </c>
      <c r="E1256" s="13" t="inlineStr">
        <is>
          <t>[ALT_VIEW]</t>
        </is>
      </c>
      <c r="F1256" s="7" t="inlineStr">
        <is>
          <t>2122 / DDG-51</t>
        </is>
      </c>
      <c r="G1256" s="7" t="inlineStr">
        <is>
          <t>P-35</t>
        </is>
      </c>
      <c r="I1256" s="14" t="n">
        <v>1</v>
      </c>
      <c r="J1256" s="7" t="inlineStr">
        <is>
          <t>Full ship DD&amp;C</t>
        </is>
      </c>
      <c r="K1256" s="13" t="inlineStr">
        <is>
          <t>USN</t>
        </is>
      </c>
      <c r="L1256" s="7" t="inlineStr">
        <is>
          <t>Combatant Ships</t>
        </is>
      </c>
      <c r="M1256" s="7" t="inlineStr">
        <is>
          <t>Surface Combatants</t>
        </is>
      </c>
      <c r="N1256" s="7" t="inlineStr">
        <is>
          <t>DDG</t>
        </is>
      </c>
      <c r="O1256" s="15" t="n"/>
      <c r="P1256" s="16" t="n">
        <v>530</v>
      </c>
      <c r="S1256" s="16" t="n">
        <v>811</v>
      </c>
      <c r="U1256" s="16" t="n">
        <v>811</v>
      </c>
      <c r="AC1256" s="23">
        <f>IF(OR(E1256="",E1256="[PARENT]"),"ADD",IF(E1256="[ALT_VIEW]","ALT",""))</f>
        <v/>
      </c>
      <c r="AD1256" s="21">
        <f>IF(Y1256&lt;&gt;"",Y1256,IF(U1256&lt;&gt;"",U1256,S1256))</f>
        <v/>
      </c>
      <c r="AE1256" s="21">
        <f>IF(AB1256&lt;&gt;"",AB1256,Z1256)</f>
        <v/>
      </c>
      <c r="AF1256" s="13" t="inlineStr">
        <is>
          <t>P-35 &gt; DDG-51 &gt; STC 3 IVCS &gt; Technical Engineering Services</t>
        </is>
      </c>
      <c r="AG1256" s="7" t="inlineStr">
        <is>
          <t>255</t>
        </is>
      </c>
      <c r="AH1256" s="7" t="inlineStr">
        <is>
          <t>2122</t>
        </is>
      </c>
      <c r="AJ1256" s="7" t="inlineStr">
        <is>
          <t>STC 3 IVCS</t>
        </is>
      </c>
    </row>
    <row r="1257" ht="10" customHeight="1">
      <c r="A1257" s="7" t="inlineStr">
        <is>
          <t>SCN</t>
        </is>
      </c>
      <c r="B1257" s="7" t="inlineStr">
        <is>
          <t>Procurement</t>
        </is>
      </c>
      <c r="D1257" s="7" t="inlineStr">
        <is>
          <t>DDG-51 - P-35 STC 3 IVCS - Other Costs</t>
        </is>
      </c>
      <c r="E1257" s="13" t="inlineStr">
        <is>
          <t>[ALT_VIEW]</t>
        </is>
      </c>
      <c r="F1257" s="7" t="inlineStr">
        <is>
          <t>2122 / DDG-51</t>
        </is>
      </c>
      <c r="G1257" s="7" t="inlineStr">
        <is>
          <t>P-35</t>
        </is>
      </c>
      <c r="I1257" s="14" t="n">
        <v>1</v>
      </c>
      <c r="J1257" s="7" t="inlineStr">
        <is>
          <t>Full ship DD&amp;C</t>
        </is>
      </c>
      <c r="K1257" s="13" t="inlineStr">
        <is>
          <t>USN</t>
        </is>
      </c>
      <c r="L1257" s="7" t="inlineStr">
        <is>
          <t>Combatant Ships</t>
        </is>
      </c>
      <c r="M1257" s="7" t="inlineStr">
        <is>
          <t>Surface Combatants</t>
        </is>
      </c>
      <c r="N1257" s="7" t="inlineStr">
        <is>
          <t>DDG</t>
        </is>
      </c>
      <c r="O1257" s="15" t="n"/>
      <c r="P1257" s="16" t="n">
        <v>2913</v>
      </c>
      <c r="S1257" s="16" t="n">
        <v>4458</v>
      </c>
      <c r="U1257" s="16" t="n">
        <v>4458</v>
      </c>
      <c r="AC1257" s="23">
        <f>IF(OR(E1257="",E1257="[PARENT]"),"ADD",IF(E1257="[ALT_VIEW]","ALT",""))</f>
        <v/>
      </c>
      <c r="AD1257" s="21">
        <f>IF(Y1257&lt;&gt;"",Y1257,IF(U1257&lt;&gt;"",U1257,S1257))</f>
        <v/>
      </c>
      <c r="AE1257" s="21">
        <f>IF(AB1257&lt;&gt;"",AB1257,Z1257)</f>
        <v/>
      </c>
      <c r="AF1257" s="13" t="inlineStr">
        <is>
          <t>P-35 &gt; DDG-51 &gt; STC 3 IVCS &gt; Other Costs</t>
        </is>
      </c>
      <c r="AG1257" s="7" t="inlineStr">
        <is>
          <t>255</t>
        </is>
      </c>
      <c r="AH1257" s="7" t="inlineStr">
        <is>
          <t>2122</t>
        </is>
      </c>
      <c r="AJ1257" s="7" t="inlineStr">
        <is>
          <t>STC 3 IVCS</t>
        </is>
      </c>
    </row>
    <row r="1258" ht="10" customHeight="1">
      <c r="A1258" s="7" t="inlineStr">
        <is>
          <t>SCN</t>
        </is>
      </c>
      <c r="B1258" s="7" t="inlineStr">
        <is>
          <t>Procurement</t>
        </is>
      </c>
      <c r="D1258" s="7" t="inlineStr">
        <is>
          <t>DDG-51 - P-35 AEGIS WEAPON SYSTEM (MK-7) - Major Hardware                                                                                                 2</t>
        </is>
      </c>
      <c r="E1258" s="13" t="inlineStr">
        <is>
          <t>[ALT_VIEW]</t>
        </is>
      </c>
      <c r="F1258" s="7" t="inlineStr">
        <is>
          <t>2122 / DDG-51</t>
        </is>
      </c>
      <c r="G1258" s="7" t="inlineStr">
        <is>
          <t>P-35</t>
        </is>
      </c>
      <c r="I1258" s="14" t="n">
        <v>1</v>
      </c>
      <c r="J1258" s="7" t="inlineStr">
        <is>
          <t>Full ship DD&amp;C</t>
        </is>
      </c>
      <c r="K1258" s="13" t="inlineStr">
        <is>
          <t>USN</t>
        </is>
      </c>
      <c r="L1258" s="7" t="inlineStr">
        <is>
          <t>Combatant Ships</t>
        </is>
      </c>
      <c r="M1258" s="7" t="inlineStr">
        <is>
          <t>Surface Combatants</t>
        </is>
      </c>
      <c r="N1258" s="7" t="inlineStr">
        <is>
          <t>DDG</t>
        </is>
      </c>
      <c r="O1258" s="15" t="n"/>
      <c r="P1258" s="16" t="n">
        <v>165433</v>
      </c>
      <c r="S1258" s="16" t="n">
        <v>253112</v>
      </c>
      <c r="U1258" s="16" t="n">
        <v>253112</v>
      </c>
      <c r="AC1258" s="23">
        <f>IF(OR(E1258="",E1258="[PARENT]"),"ADD",IF(E1258="[ALT_VIEW]","ALT",""))</f>
        <v/>
      </c>
      <c r="AD1258" s="21">
        <f>IF(Y1258&lt;&gt;"",Y1258,IF(U1258&lt;&gt;"",U1258,S1258))</f>
        <v/>
      </c>
      <c r="AE1258" s="21">
        <f>IF(AB1258&lt;&gt;"",AB1258,Z1258)</f>
        <v/>
      </c>
      <c r="AF1258" s="13" t="inlineStr">
        <is>
          <t>P-35 &gt; DDG-51 &gt; AEGIS WEAPON SYSTEM (MK-7) &gt; Major Hardware                                                                                                 2</t>
        </is>
      </c>
      <c r="AG1258" s="7" t="inlineStr">
        <is>
          <t>256</t>
        </is>
      </c>
      <c r="AH1258" s="7" t="inlineStr">
        <is>
          <t>2122</t>
        </is>
      </c>
      <c r="AJ1258" s="7" t="inlineStr">
        <is>
          <t>AEGIS WEAPON SYSTEM (MK-7) [DDG 145]</t>
        </is>
      </c>
    </row>
    <row r="1259" ht="10" customHeight="1">
      <c r="A1259" s="7" t="inlineStr">
        <is>
          <t>SCN</t>
        </is>
      </c>
      <c r="B1259" s="7" t="inlineStr">
        <is>
          <t>Procurement</t>
        </is>
      </c>
      <c r="D1259" s="7" t="inlineStr">
        <is>
          <t>DDG-51 - P-35 AEGIS WEAPON SYSTEM (MK-7) - System Engineering</t>
        </is>
      </c>
      <c r="E1259" s="13" t="inlineStr">
        <is>
          <t>[ALT_VIEW]</t>
        </is>
      </c>
      <c r="F1259" s="7" t="inlineStr">
        <is>
          <t>2122 / DDG-51</t>
        </is>
      </c>
      <c r="G1259" s="7" t="inlineStr">
        <is>
          <t>P-35</t>
        </is>
      </c>
      <c r="I1259" s="14" t="n">
        <v>1</v>
      </c>
      <c r="J1259" s="7" t="inlineStr">
        <is>
          <t>Full ship DD&amp;C</t>
        </is>
      </c>
      <c r="K1259" s="13" t="inlineStr">
        <is>
          <t>USN</t>
        </is>
      </c>
      <c r="L1259" s="7" t="inlineStr">
        <is>
          <t>Combatant Ships</t>
        </is>
      </c>
      <c r="M1259" s="7" t="inlineStr">
        <is>
          <t>Surface Combatants</t>
        </is>
      </c>
      <c r="N1259" s="7" t="inlineStr">
        <is>
          <t>DDG</t>
        </is>
      </c>
      <c r="O1259" s="15" t="n"/>
      <c r="P1259" s="16" t="n">
        <v>1991</v>
      </c>
      <c r="S1259" s="16" t="n">
        <v>3046</v>
      </c>
      <c r="U1259" s="16" t="n">
        <v>3046</v>
      </c>
      <c r="AC1259" s="23">
        <f>IF(OR(E1259="",E1259="[PARENT]"),"ADD",IF(E1259="[ALT_VIEW]","ALT",""))</f>
        <v/>
      </c>
      <c r="AD1259" s="21">
        <f>IF(Y1259&lt;&gt;"",Y1259,IF(U1259&lt;&gt;"",U1259,S1259))</f>
        <v/>
      </c>
      <c r="AE1259" s="21">
        <f>IF(AB1259&lt;&gt;"",AB1259,Z1259)</f>
        <v/>
      </c>
      <c r="AF1259" s="13" t="inlineStr">
        <is>
          <t>P-35 &gt; DDG-51 &gt; AEGIS WEAPON SYSTEM (MK-7) &gt; System Engineering</t>
        </is>
      </c>
      <c r="AG1259" s="7" t="inlineStr">
        <is>
          <t>256</t>
        </is>
      </c>
      <c r="AH1259" s="7" t="inlineStr">
        <is>
          <t>2122</t>
        </is>
      </c>
      <c r="AJ1259" s="7" t="inlineStr">
        <is>
          <t>AEGIS WEAPON SYSTEM (MK-7)</t>
        </is>
      </c>
    </row>
    <row r="1260" ht="10" customHeight="1">
      <c r="A1260" s="7" t="inlineStr">
        <is>
          <t>SCN</t>
        </is>
      </c>
      <c r="B1260" s="7" t="inlineStr">
        <is>
          <t>Procurement</t>
        </is>
      </c>
      <c r="D1260" s="7" t="inlineStr">
        <is>
          <t>DDG-51 - P-35 AEGIS WEAPON SYSTEM (MK-7) - Technical Engineering Services</t>
        </is>
      </c>
      <c r="E1260" s="13" t="inlineStr">
        <is>
          <t>[ALT_VIEW]</t>
        </is>
      </c>
      <c r="F1260" s="7" t="inlineStr">
        <is>
          <t>2122 / DDG-51</t>
        </is>
      </c>
      <c r="G1260" s="7" t="inlineStr">
        <is>
          <t>P-35</t>
        </is>
      </c>
      <c r="I1260" s="14" t="n">
        <v>1</v>
      </c>
      <c r="J1260" s="7" t="inlineStr">
        <is>
          <t>Full ship DD&amp;C</t>
        </is>
      </c>
      <c r="K1260" s="13" t="inlineStr">
        <is>
          <t>USN</t>
        </is>
      </c>
      <c r="L1260" s="7" t="inlineStr">
        <is>
          <t>Combatant Ships</t>
        </is>
      </c>
      <c r="M1260" s="7" t="inlineStr">
        <is>
          <t>Surface Combatants</t>
        </is>
      </c>
      <c r="N1260" s="7" t="inlineStr">
        <is>
          <t>DDG</t>
        </is>
      </c>
      <c r="O1260" s="15" t="n"/>
      <c r="P1260" s="16" t="n">
        <v>1873</v>
      </c>
      <c r="S1260" s="16" t="n">
        <v>2866</v>
      </c>
      <c r="U1260" s="16" t="n">
        <v>2866</v>
      </c>
      <c r="AC1260" s="23">
        <f>IF(OR(E1260="",E1260="[PARENT]"),"ADD",IF(E1260="[ALT_VIEW]","ALT",""))</f>
        <v/>
      </c>
      <c r="AD1260" s="21">
        <f>IF(Y1260&lt;&gt;"",Y1260,IF(U1260&lt;&gt;"",U1260,S1260))</f>
        <v/>
      </c>
      <c r="AE1260" s="21">
        <f>IF(AB1260&lt;&gt;"",AB1260,Z1260)</f>
        <v/>
      </c>
      <c r="AF1260" s="13" t="inlineStr">
        <is>
          <t>P-35 &gt; DDG-51 &gt; AEGIS WEAPON SYSTEM (MK-7) &gt; Technical Engineering Services</t>
        </is>
      </c>
      <c r="AG1260" s="7" t="inlineStr">
        <is>
          <t>256</t>
        </is>
      </c>
      <c r="AH1260" s="7" t="inlineStr">
        <is>
          <t>2122</t>
        </is>
      </c>
      <c r="AJ1260" s="7" t="inlineStr">
        <is>
          <t>AEGIS WEAPON SYSTEM (MK-7)</t>
        </is>
      </c>
    </row>
    <row r="1261" ht="10" customHeight="1">
      <c r="A1261" s="7" t="inlineStr">
        <is>
          <t>SCN</t>
        </is>
      </c>
      <c r="B1261" s="7" t="inlineStr">
        <is>
          <t>Procurement</t>
        </is>
      </c>
      <c r="D1261" s="7" t="inlineStr">
        <is>
          <t>DDG-51 - P-35 AEGIS WEAPON SYSTEM (MK-7) - Other Costs</t>
        </is>
      </c>
      <c r="E1261" s="13" t="inlineStr">
        <is>
          <t>[ALT_VIEW]</t>
        </is>
      </c>
      <c r="F1261" s="7" t="inlineStr">
        <is>
          <t>2122 / DDG-51</t>
        </is>
      </c>
      <c r="G1261" s="7" t="inlineStr">
        <is>
          <t>P-35</t>
        </is>
      </c>
      <c r="I1261" s="14" t="n">
        <v>1</v>
      </c>
      <c r="J1261" s="7" t="inlineStr">
        <is>
          <t>Full ship DD&amp;C</t>
        </is>
      </c>
      <c r="K1261" s="13" t="inlineStr">
        <is>
          <t>USN</t>
        </is>
      </c>
      <c r="L1261" s="7" t="inlineStr">
        <is>
          <t>Combatant Ships</t>
        </is>
      </c>
      <c r="M1261" s="7" t="inlineStr">
        <is>
          <t>Surface Combatants</t>
        </is>
      </c>
      <c r="N1261" s="7" t="inlineStr">
        <is>
          <t>DDG</t>
        </is>
      </c>
      <c r="O1261" s="15" t="n"/>
      <c r="P1261" s="16" t="n">
        <v>29015</v>
      </c>
      <c r="S1261" s="16" t="n">
        <v>44393</v>
      </c>
      <c r="U1261" s="16" t="n">
        <v>44393</v>
      </c>
      <c r="AC1261" s="23">
        <f>IF(OR(E1261="",E1261="[PARENT]"),"ADD",IF(E1261="[ALT_VIEW]","ALT",""))</f>
        <v/>
      </c>
      <c r="AD1261" s="21">
        <f>IF(Y1261&lt;&gt;"",Y1261,IF(U1261&lt;&gt;"",U1261,S1261))</f>
        <v/>
      </c>
      <c r="AE1261" s="21">
        <f>IF(AB1261&lt;&gt;"",AB1261,Z1261)</f>
        <v/>
      </c>
      <c r="AF1261" s="13" t="inlineStr">
        <is>
          <t>P-35 &gt; DDG-51 &gt; AEGIS WEAPON SYSTEM (MK-7) &gt; Other Costs</t>
        </is>
      </c>
      <c r="AG1261" s="7" t="inlineStr">
        <is>
          <t>256</t>
        </is>
      </c>
      <c r="AH1261" s="7" t="inlineStr">
        <is>
          <t>2122</t>
        </is>
      </c>
      <c r="AJ1261" s="7" t="inlineStr">
        <is>
          <t>AEGIS WEAPON SYSTEM (MK-7)</t>
        </is>
      </c>
    </row>
    <row r="1262" ht="10" customHeight="1">
      <c r="A1262" s="7" t="inlineStr">
        <is>
          <t>SCN</t>
        </is>
      </c>
      <c r="B1262" s="7" t="inlineStr">
        <is>
          <t>Procurement</t>
        </is>
      </c>
      <c r="D1262" s="7" t="inlineStr">
        <is>
          <t>DDG-51 - P-35 AEGIS WEAPON SYSTEM (MK-7) - Logistics Support</t>
        </is>
      </c>
      <c r="E1262" s="13" t="inlineStr">
        <is>
          <t>[ALT_VIEW]</t>
        </is>
      </c>
      <c r="F1262" s="7" t="inlineStr">
        <is>
          <t>2122 / DDG-51</t>
        </is>
      </c>
      <c r="G1262" s="7" t="inlineStr">
        <is>
          <t>P-35</t>
        </is>
      </c>
      <c r="I1262" s="14" t="n">
        <v>1</v>
      </c>
      <c r="J1262" s="7" t="inlineStr">
        <is>
          <t>Full ship DD&amp;C</t>
        </is>
      </c>
      <c r="K1262" s="13" t="inlineStr">
        <is>
          <t>USN</t>
        </is>
      </c>
      <c r="L1262" s="7" t="inlineStr">
        <is>
          <t>Combatant Ships</t>
        </is>
      </c>
      <c r="M1262" s="7" t="inlineStr">
        <is>
          <t>Surface Combatants</t>
        </is>
      </c>
      <c r="N1262" s="7" t="inlineStr">
        <is>
          <t>DDG</t>
        </is>
      </c>
      <c r="O1262" s="15" t="n"/>
      <c r="P1262" s="16" t="n">
        <v>22770</v>
      </c>
      <c r="S1262" s="16" t="n">
        <v>34838</v>
      </c>
      <c r="U1262" s="16" t="n">
        <v>34838</v>
      </c>
      <c r="AC1262" s="23">
        <f>IF(OR(E1262="",E1262="[PARENT]"),"ADD",IF(E1262="[ALT_VIEW]","ALT",""))</f>
        <v/>
      </c>
      <c r="AD1262" s="21">
        <f>IF(Y1262&lt;&gt;"",Y1262,IF(U1262&lt;&gt;"",U1262,S1262))</f>
        <v/>
      </c>
      <c r="AE1262" s="21">
        <f>IF(AB1262&lt;&gt;"",AB1262,Z1262)</f>
        <v/>
      </c>
      <c r="AF1262" s="13" t="inlineStr">
        <is>
          <t>P-35 &gt; DDG-51 &gt; AEGIS WEAPON SYSTEM (MK-7) &gt; Logistics Support</t>
        </is>
      </c>
      <c r="AG1262" s="7" t="inlineStr">
        <is>
          <t>256</t>
        </is>
      </c>
      <c r="AH1262" s="7" t="inlineStr">
        <is>
          <t>2122</t>
        </is>
      </c>
      <c r="AJ1262" s="7" t="inlineStr">
        <is>
          <t>AEGIS WEAPON SYSTEM (MK-7)</t>
        </is>
      </c>
    </row>
    <row r="1263" ht="10" customHeight="1">
      <c r="A1263" s="7" t="inlineStr">
        <is>
          <t>SCN</t>
        </is>
      </c>
      <c r="B1263" s="7" t="inlineStr">
        <is>
          <t>Procurement</t>
        </is>
      </c>
      <c r="D1263" s="7" t="inlineStr">
        <is>
          <t>DDG-51 - P-35 AEGIS WEAPON SYSTEM (MK-7) - Combat System Integration</t>
        </is>
      </c>
      <c r="E1263" s="13" t="inlineStr">
        <is>
          <t>[ALT_VIEW]</t>
        </is>
      </c>
      <c r="F1263" s="7" t="inlineStr">
        <is>
          <t>2122 / DDG-51</t>
        </is>
      </c>
      <c r="G1263" s="7" t="inlineStr">
        <is>
          <t>P-35</t>
        </is>
      </c>
      <c r="I1263" s="14" t="n">
        <v>1</v>
      </c>
      <c r="J1263" s="7" t="inlineStr">
        <is>
          <t>Full ship DD&amp;C</t>
        </is>
      </c>
      <c r="K1263" s="13" t="inlineStr">
        <is>
          <t>USN</t>
        </is>
      </c>
      <c r="L1263" s="7" t="inlineStr">
        <is>
          <t>Combatant Ships</t>
        </is>
      </c>
      <c r="M1263" s="7" t="inlineStr">
        <is>
          <t>Surface Combatants</t>
        </is>
      </c>
      <c r="N1263" s="7" t="inlineStr">
        <is>
          <t>DDG</t>
        </is>
      </c>
      <c r="O1263" s="15" t="n"/>
      <c r="P1263" s="16" t="n">
        <v>83308</v>
      </c>
      <c r="S1263" s="16" t="n">
        <v>127462</v>
      </c>
      <c r="U1263" s="16" t="n">
        <v>127462</v>
      </c>
      <c r="AC1263" s="23">
        <f>IF(OR(E1263="",E1263="[PARENT]"),"ADD",IF(E1263="[ALT_VIEW]","ALT",""))</f>
        <v/>
      </c>
      <c r="AD1263" s="21">
        <f>IF(Y1263&lt;&gt;"",Y1263,IF(U1263&lt;&gt;"",U1263,S1263))</f>
        <v/>
      </c>
      <c r="AE1263" s="21">
        <f>IF(AB1263&lt;&gt;"",AB1263,Z1263)</f>
        <v/>
      </c>
      <c r="AF1263" s="13" t="inlineStr">
        <is>
          <t>P-35 &gt; DDG-51 &gt; AEGIS WEAPON SYSTEM (MK-7) &gt; Combat System Integration</t>
        </is>
      </c>
      <c r="AG1263" s="7" t="inlineStr">
        <is>
          <t>256</t>
        </is>
      </c>
      <c r="AH1263" s="7" t="inlineStr">
        <is>
          <t>2122</t>
        </is>
      </c>
    </row>
    <row r="1264" ht="10" customHeight="1">
      <c r="A1264" s="7" t="inlineStr">
        <is>
          <t>SCN</t>
        </is>
      </c>
      <c r="B1264" s="7" t="inlineStr">
        <is>
          <t>Procurement</t>
        </is>
      </c>
      <c r="D1264" s="7" t="inlineStr">
        <is>
          <t>DDG-51 - P-35 AN/SPY-6(V)1 (AMDR) - Major Hardware                                                                                                    2</t>
        </is>
      </c>
      <c r="E1264" s="13" t="inlineStr">
        <is>
          <t>[ALT_VIEW]</t>
        </is>
      </c>
      <c r="F1264" s="7" t="inlineStr">
        <is>
          <t>2122 / DDG-51</t>
        </is>
      </c>
      <c r="G1264" s="7" t="inlineStr">
        <is>
          <t>P-35</t>
        </is>
      </c>
      <c r="I1264" s="14" t="n">
        <v>1</v>
      </c>
      <c r="J1264" s="7" t="inlineStr">
        <is>
          <t>Full ship DD&amp;C</t>
        </is>
      </c>
      <c r="K1264" s="13" t="inlineStr">
        <is>
          <t>USN</t>
        </is>
      </c>
      <c r="L1264" s="7" t="inlineStr">
        <is>
          <t>Combatant Ships</t>
        </is>
      </c>
      <c r="M1264" s="7" t="inlineStr">
        <is>
          <t>Surface Combatants</t>
        </is>
      </c>
      <c r="N1264" s="7" t="inlineStr">
        <is>
          <t>DDG</t>
        </is>
      </c>
      <c r="O1264" s="15" t="n"/>
      <c r="P1264" s="16" t="n">
        <v>386878</v>
      </c>
      <c r="S1264" s="16" t="n">
        <v>591923</v>
      </c>
      <c r="U1264" s="16" t="n">
        <v>591923</v>
      </c>
      <c r="AC1264" s="23">
        <f>IF(OR(E1264="",E1264="[PARENT]"),"ADD",IF(E1264="[ALT_VIEW]","ALT",""))</f>
        <v/>
      </c>
      <c r="AD1264" s="21">
        <f>IF(Y1264&lt;&gt;"",Y1264,IF(U1264&lt;&gt;"",U1264,S1264))</f>
        <v/>
      </c>
      <c r="AE1264" s="21">
        <f>IF(AB1264&lt;&gt;"",AB1264,Z1264)</f>
        <v/>
      </c>
      <c r="AF1264" s="13" t="inlineStr">
        <is>
          <t>P-35 &gt; DDG-51 &gt; AN/SPY-6(V)1 (AMDR) &gt; Major Hardware                                                                                                    2</t>
        </is>
      </c>
      <c r="AG1264" s="7" t="inlineStr">
        <is>
          <t>258</t>
        </is>
      </c>
      <c r="AH1264" s="7" t="inlineStr">
        <is>
          <t>2122</t>
        </is>
      </c>
      <c r="AJ1264" s="7" t="inlineStr">
        <is>
          <t>AN/SPY-6(V)1 (AMDR) [DDG 145]</t>
        </is>
      </c>
    </row>
    <row r="1265" ht="10" customHeight="1">
      <c r="A1265" s="7" t="inlineStr">
        <is>
          <t>SCN</t>
        </is>
      </c>
      <c r="B1265" s="7" t="inlineStr">
        <is>
          <t>Procurement</t>
        </is>
      </c>
      <c r="D1265" s="7" t="inlineStr">
        <is>
          <t>DDG-51 - P-35 AN/SPY-6(V)1 (AMDR) - System Engineering</t>
        </is>
      </c>
      <c r="E1265" s="13" t="inlineStr">
        <is>
          <t>[ALT_VIEW]</t>
        </is>
      </c>
      <c r="F1265" s="7" t="inlineStr">
        <is>
          <t>2122 / DDG-51</t>
        </is>
      </c>
      <c r="G1265" s="7" t="inlineStr">
        <is>
          <t>P-35</t>
        </is>
      </c>
      <c r="I1265" s="14" t="n">
        <v>1</v>
      </c>
      <c r="J1265" s="7" t="inlineStr">
        <is>
          <t>Full ship DD&amp;C</t>
        </is>
      </c>
      <c r="K1265" s="13" t="inlineStr">
        <is>
          <t>USN</t>
        </is>
      </c>
      <c r="L1265" s="7" t="inlineStr">
        <is>
          <t>Combatant Ships</t>
        </is>
      </c>
      <c r="M1265" s="7" t="inlineStr">
        <is>
          <t>Surface Combatants</t>
        </is>
      </c>
      <c r="N1265" s="7" t="inlineStr">
        <is>
          <t>DDG</t>
        </is>
      </c>
      <c r="O1265" s="15" t="n"/>
      <c r="P1265" s="16" t="n">
        <v>21082</v>
      </c>
      <c r="S1265" s="16" t="n">
        <v>32255</v>
      </c>
      <c r="U1265" s="16" t="n">
        <v>32255</v>
      </c>
      <c r="AC1265" s="23">
        <f>IF(OR(E1265="",E1265="[PARENT]"),"ADD",IF(E1265="[ALT_VIEW]","ALT",""))</f>
        <v/>
      </c>
      <c r="AD1265" s="21">
        <f>IF(Y1265&lt;&gt;"",Y1265,IF(U1265&lt;&gt;"",U1265,S1265))</f>
        <v/>
      </c>
      <c r="AE1265" s="21">
        <f>IF(AB1265&lt;&gt;"",AB1265,Z1265)</f>
        <v/>
      </c>
      <c r="AF1265" s="13" t="inlineStr">
        <is>
          <t>P-35 &gt; DDG-51 &gt; AN/SPY-6(V)1 (AMDR) &gt; System Engineering</t>
        </is>
      </c>
      <c r="AG1265" s="7" t="inlineStr">
        <is>
          <t>258</t>
        </is>
      </c>
      <c r="AH1265" s="7" t="inlineStr">
        <is>
          <t>2122</t>
        </is>
      </c>
      <c r="AJ1265" s="7" t="inlineStr">
        <is>
          <t>AN/SPY-6(V)1 (AMDR)</t>
        </is>
      </c>
    </row>
    <row r="1266" ht="10" customHeight="1">
      <c r="A1266" s="7" t="inlineStr">
        <is>
          <t>SCN</t>
        </is>
      </c>
      <c r="B1266" s="7" t="inlineStr">
        <is>
          <t>Procurement</t>
        </is>
      </c>
      <c r="D1266" s="7" t="inlineStr">
        <is>
          <t>DDG-51 - P-35 AN/SPY-6(V)1 (AMDR) - Technical Engineering Services</t>
        </is>
      </c>
      <c r="E1266" s="13" t="inlineStr">
        <is>
          <t>[ALT_VIEW]</t>
        </is>
      </c>
      <c r="F1266" s="7" t="inlineStr">
        <is>
          <t>2122 / DDG-51</t>
        </is>
      </c>
      <c r="G1266" s="7" t="inlineStr">
        <is>
          <t>P-35</t>
        </is>
      </c>
      <c r="I1266" s="14" t="n">
        <v>1</v>
      </c>
      <c r="J1266" s="7" t="inlineStr">
        <is>
          <t>Full ship DD&amp;C</t>
        </is>
      </c>
      <c r="K1266" s="13" t="inlineStr">
        <is>
          <t>USN</t>
        </is>
      </c>
      <c r="L1266" s="7" t="inlineStr">
        <is>
          <t>Combatant Ships</t>
        </is>
      </c>
      <c r="M1266" s="7" t="inlineStr">
        <is>
          <t>Surface Combatants</t>
        </is>
      </c>
      <c r="N1266" s="7" t="inlineStr">
        <is>
          <t>DDG</t>
        </is>
      </c>
      <c r="O1266" s="15" t="n"/>
      <c r="P1266" s="16" t="n">
        <v>16556</v>
      </c>
      <c r="S1266" s="16" t="n">
        <v>25331</v>
      </c>
      <c r="U1266" s="16" t="n">
        <v>25331</v>
      </c>
      <c r="AC1266" s="23">
        <f>IF(OR(E1266="",E1266="[PARENT]"),"ADD",IF(E1266="[ALT_VIEW]","ALT",""))</f>
        <v/>
      </c>
      <c r="AD1266" s="21">
        <f>IF(Y1266&lt;&gt;"",Y1266,IF(U1266&lt;&gt;"",U1266,S1266))</f>
        <v/>
      </c>
      <c r="AE1266" s="21">
        <f>IF(AB1266&lt;&gt;"",AB1266,Z1266)</f>
        <v/>
      </c>
      <c r="AF1266" s="13" t="inlineStr">
        <is>
          <t>P-35 &gt; DDG-51 &gt; AN/SPY-6(V)1 (AMDR) &gt; Technical Engineering Services</t>
        </is>
      </c>
      <c r="AG1266" s="7" t="inlineStr">
        <is>
          <t>258</t>
        </is>
      </c>
      <c r="AH1266" s="7" t="inlineStr">
        <is>
          <t>2122</t>
        </is>
      </c>
      <c r="AJ1266" s="7" t="inlineStr">
        <is>
          <t>AN/SPY-6(V)1 (AMDR)</t>
        </is>
      </c>
    </row>
    <row r="1267" ht="10" customHeight="1">
      <c r="A1267" s="7" t="inlineStr">
        <is>
          <t>SCN</t>
        </is>
      </c>
      <c r="B1267" s="7" t="inlineStr">
        <is>
          <t>Procurement</t>
        </is>
      </c>
      <c r="D1267" s="7" t="inlineStr">
        <is>
          <t>DDG-51 - P-35 AN/SPY-6(V)1 (AMDR) - Other Costs</t>
        </is>
      </c>
      <c r="E1267" s="13" t="inlineStr">
        <is>
          <t>[ALT_VIEW]</t>
        </is>
      </c>
      <c r="F1267" s="7" t="inlineStr">
        <is>
          <t>2122 / DDG-51</t>
        </is>
      </c>
      <c r="G1267" s="7" t="inlineStr">
        <is>
          <t>P-35</t>
        </is>
      </c>
      <c r="I1267" s="14" t="n">
        <v>1</v>
      </c>
      <c r="J1267" s="7" t="inlineStr">
        <is>
          <t>Full ship DD&amp;C</t>
        </is>
      </c>
      <c r="K1267" s="13" t="inlineStr">
        <is>
          <t>USN</t>
        </is>
      </c>
      <c r="L1267" s="7" t="inlineStr">
        <is>
          <t>Combatant Ships</t>
        </is>
      </c>
      <c r="M1267" s="7" t="inlineStr">
        <is>
          <t>Surface Combatants</t>
        </is>
      </c>
      <c r="N1267" s="7" t="inlineStr">
        <is>
          <t>DDG</t>
        </is>
      </c>
      <c r="O1267" s="15" t="n"/>
      <c r="P1267" s="16" t="n">
        <v>10341</v>
      </c>
      <c r="S1267" s="16" t="n">
        <v>15822</v>
      </c>
      <c r="U1267" s="16" t="n">
        <v>15822</v>
      </c>
      <c r="AC1267" s="23">
        <f>IF(OR(E1267="",E1267="[PARENT]"),"ADD",IF(E1267="[ALT_VIEW]","ALT",""))</f>
        <v/>
      </c>
      <c r="AD1267" s="21">
        <f>IF(Y1267&lt;&gt;"",Y1267,IF(U1267&lt;&gt;"",U1267,S1267))</f>
        <v/>
      </c>
      <c r="AE1267" s="21">
        <f>IF(AB1267&lt;&gt;"",AB1267,Z1267)</f>
        <v/>
      </c>
      <c r="AF1267" s="13" t="inlineStr">
        <is>
          <t>P-35 &gt; DDG-51 &gt; AN/SPY-6(V)1 (AMDR) &gt; Other Costs</t>
        </is>
      </c>
      <c r="AG1267" s="7" t="inlineStr">
        <is>
          <t>258</t>
        </is>
      </c>
      <c r="AH1267" s="7" t="inlineStr">
        <is>
          <t>2122</t>
        </is>
      </c>
      <c r="AJ1267" s="7" t="inlineStr">
        <is>
          <t>AN/SPY-6(V)1 (AMDR)</t>
        </is>
      </c>
    </row>
    <row r="1268" ht="10" customHeight="1">
      <c r="A1268" s="7" t="inlineStr">
        <is>
          <t>SCN</t>
        </is>
      </c>
      <c r="B1268" s="7" t="inlineStr">
        <is>
          <t>Procurement</t>
        </is>
      </c>
      <c r="D1268" s="7" t="inlineStr">
        <is>
          <t>DDG-51 - P-35 AN/SPY-6(V)1 (AMDR) - Logistics</t>
        </is>
      </c>
      <c r="E1268" s="13" t="inlineStr">
        <is>
          <t>[ALT_VIEW]</t>
        </is>
      </c>
      <c r="F1268" s="7" t="inlineStr">
        <is>
          <t>2122 / DDG-51</t>
        </is>
      </c>
      <c r="G1268" s="7" t="inlineStr">
        <is>
          <t>P-35</t>
        </is>
      </c>
      <c r="I1268" s="14" t="n">
        <v>1</v>
      </c>
      <c r="J1268" s="7" t="inlineStr">
        <is>
          <t>Full ship DD&amp;C</t>
        </is>
      </c>
      <c r="K1268" s="13" t="inlineStr">
        <is>
          <t>USN</t>
        </is>
      </c>
      <c r="L1268" s="7" t="inlineStr">
        <is>
          <t>Combatant Ships</t>
        </is>
      </c>
      <c r="M1268" s="7" t="inlineStr">
        <is>
          <t>Surface Combatants</t>
        </is>
      </c>
      <c r="N1268" s="7" t="inlineStr">
        <is>
          <t>DDG</t>
        </is>
      </c>
      <c r="O1268" s="15" t="n"/>
      <c r="P1268" s="16" t="n">
        <v>18003</v>
      </c>
      <c r="S1268" s="16" t="n">
        <v>27545</v>
      </c>
      <c r="U1268" s="16" t="n">
        <v>27545</v>
      </c>
      <c r="AC1268" s="23">
        <f>IF(OR(E1268="",E1268="[PARENT]"),"ADD",IF(E1268="[ALT_VIEW]","ALT",""))</f>
        <v/>
      </c>
      <c r="AD1268" s="21">
        <f>IF(Y1268&lt;&gt;"",Y1268,IF(U1268&lt;&gt;"",U1268,S1268))</f>
        <v/>
      </c>
      <c r="AE1268" s="21">
        <f>IF(AB1268&lt;&gt;"",AB1268,Z1268)</f>
        <v/>
      </c>
      <c r="AF1268" s="13" t="inlineStr">
        <is>
          <t>P-35 &gt; DDG-51 &gt; AN/SPY-6(V)1 (AMDR) &gt; Logistics</t>
        </is>
      </c>
      <c r="AG1268" s="7" t="inlineStr">
        <is>
          <t>258</t>
        </is>
      </c>
      <c r="AH1268" s="7" t="inlineStr">
        <is>
          <t>2122</t>
        </is>
      </c>
      <c r="AJ1268" s="7" t="inlineStr">
        <is>
          <t>AN/SPY-6(V)1 (AMDR)</t>
        </is>
      </c>
    </row>
    <row r="1269" ht="10" customHeight="1">
      <c r="A1269" s="7" t="inlineStr">
        <is>
          <t>SCN</t>
        </is>
      </c>
      <c r="B1269" s="7" t="inlineStr">
        <is>
          <t>Procurement</t>
        </is>
      </c>
      <c r="D1269" s="7" t="inlineStr">
        <is>
          <t>DDG-51 - P-35 VLS MK 41 - Major Hardware                                                                                                2</t>
        </is>
      </c>
      <c r="E1269" s="13" t="inlineStr">
        <is>
          <t>[ALT_VIEW]</t>
        </is>
      </c>
      <c r="F1269" s="7" t="inlineStr">
        <is>
          <t>2122 / DDG-51</t>
        </is>
      </c>
      <c r="G1269" s="7" t="inlineStr">
        <is>
          <t>P-35</t>
        </is>
      </c>
      <c r="I1269" s="14" t="n">
        <v>1</v>
      </c>
      <c r="J1269" s="7" t="inlineStr">
        <is>
          <t>Full ship DD&amp;C</t>
        </is>
      </c>
      <c r="K1269" s="13" t="inlineStr">
        <is>
          <t>USN</t>
        </is>
      </c>
      <c r="L1269" s="7" t="inlineStr">
        <is>
          <t>Combatant Ships</t>
        </is>
      </c>
      <c r="M1269" s="7" t="inlineStr">
        <is>
          <t>Surface Combatants</t>
        </is>
      </c>
      <c r="N1269" s="7" t="inlineStr">
        <is>
          <t>DDG</t>
        </is>
      </c>
      <c r="O1269" s="15" t="n"/>
      <c r="P1269" s="16" t="n">
        <v>111389</v>
      </c>
      <c r="S1269" s="16" t="n">
        <v>170425</v>
      </c>
      <c r="U1269" s="16" t="n">
        <v>170425</v>
      </c>
      <c r="AC1269" s="23">
        <f>IF(OR(E1269="",E1269="[PARENT]"),"ADD",IF(E1269="[ALT_VIEW]","ALT",""))</f>
        <v/>
      </c>
      <c r="AD1269" s="21">
        <f>IF(Y1269&lt;&gt;"",Y1269,IF(U1269&lt;&gt;"",U1269,S1269))</f>
        <v/>
      </c>
      <c r="AE1269" s="21">
        <f>IF(AB1269&lt;&gt;"",AB1269,Z1269)</f>
        <v/>
      </c>
      <c r="AF1269" s="13" t="inlineStr">
        <is>
          <t>P-35 &gt; DDG-51 &gt; VLS MK 41 &gt; Major Hardware                                                                                                2</t>
        </is>
      </c>
      <c r="AG1269" s="7" t="inlineStr">
        <is>
          <t>259</t>
        </is>
      </c>
      <c r="AH1269" s="7" t="inlineStr">
        <is>
          <t>2122</t>
        </is>
      </c>
      <c r="AJ1269" s="7" t="inlineStr">
        <is>
          <t>VLS MK 41 [DDG 145]</t>
        </is>
      </c>
    </row>
    <row r="1270" ht="10" customHeight="1">
      <c r="A1270" s="7" t="inlineStr">
        <is>
          <t>SCN</t>
        </is>
      </c>
      <c r="B1270" s="7" t="inlineStr">
        <is>
          <t>Procurement</t>
        </is>
      </c>
      <c r="D1270" s="7" t="inlineStr">
        <is>
          <t>DDG-51 - P-35 VLS MK 41 - Ancillary Equipment</t>
        </is>
      </c>
      <c r="E1270" s="13" t="inlineStr">
        <is>
          <t>[ALT_VIEW]</t>
        </is>
      </c>
      <c r="F1270" s="7" t="inlineStr">
        <is>
          <t>2122 / DDG-51</t>
        </is>
      </c>
      <c r="G1270" s="7" t="inlineStr">
        <is>
          <t>P-35</t>
        </is>
      </c>
      <c r="I1270" s="14" t="n">
        <v>1</v>
      </c>
      <c r="J1270" s="7" t="inlineStr">
        <is>
          <t>Full ship DD&amp;C</t>
        </is>
      </c>
      <c r="K1270" s="13" t="inlineStr">
        <is>
          <t>USN</t>
        </is>
      </c>
      <c r="L1270" s="7" t="inlineStr">
        <is>
          <t>Combatant Ships</t>
        </is>
      </c>
      <c r="M1270" s="7" t="inlineStr">
        <is>
          <t>Surface Combatants</t>
        </is>
      </c>
      <c r="N1270" s="7" t="inlineStr">
        <is>
          <t>DDG</t>
        </is>
      </c>
      <c r="O1270" s="15" t="n"/>
      <c r="P1270" s="16" t="n">
        <v>3591</v>
      </c>
      <c r="S1270" s="16" t="n">
        <v>5494</v>
      </c>
      <c r="U1270" s="16" t="n">
        <v>5494</v>
      </c>
      <c r="AC1270" s="23">
        <f>IF(OR(E1270="",E1270="[PARENT]"),"ADD",IF(E1270="[ALT_VIEW]","ALT",""))</f>
        <v/>
      </c>
      <c r="AD1270" s="21">
        <f>IF(Y1270&lt;&gt;"",Y1270,IF(U1270&lt;&gt;"",U1270,S1270))</f>
        <v/>
      </c>
      <c r="AE1270" s="21">
        <f>IF(AB1270&lt;&gt;"",AB1270,Z1270)</f>
        <v/>
      </c>
      <c r="AF1270" s="13" t="inlineStr">
        <is>
          <t>P-35 &gt; DDG-51 &gt; VLS MK 41 &gt; Ancillary Equipment</t>
        </is>
      </c>
      <c r="AG1270" s="7" t="inlineStr">
        <is>
          <t>259</t>
        </is>
      </c>
      <c r="AH1270" s="7" t="inlineStr">
        <is>
          <t>2122</t>
        </is>
      </c>
      <c r="AJ1270" s="7" t="inlineStr">
        <is>
          <t>VLS MK 41</t>
        </is>
      </c>
    </row>
    <row r="1271" ht="10" customHeight="1">
      <c r="A1271" s="7" t="inlineStr">
        <is>
          <t>SCN</t>
        </is>
      </c>
      <c r="B1271" s="7" t="inlineStr">
        <is>
          <t>Procurement</t>
        </is>
      </c>
      <c r="D1271" s="7" t="inlineStr">
        <is>
          <t>DDG-51 - P-35 VLS MK 41 - Technical Data and Documentation</t>
        </is>
      </c>
      <c r="E1271" s="13" t="inlineStr">
        <is>
          <t>[ALT_VIEW]</t>
        </is>
      </c>
      <c r="F1271" s="7" t="inlineStr">
        <is>
          <t>2122 / DDG-51</t>
        </is>
      </c>
      <c r="G1271" s="7" t="inlineStr">
        <is>
          <t>P-35</t>
        </is>
      </c>
      <c r="I1271" s="14" t="n">
        <v>1</v>
      </c>
      <c r="J1271" s="7" t="inlineStr">
        <is>
          <t>Full ship DD&amp;C</t>
        </is>
      </c>
      <c r="K1271" s="13" t="inlineStr">
        <is>
          <t>USN</t>
        </is>
      </c>
      <c r="L1271" s="7" t="inlineStr">
        <is>
          <t>Combatant Ships</t>
        </is>
      </c>
      <c r="M1271" s="7" t="inlineStr">
        <is>
          <t>Surface Combatants</t>
        </is>
      </c>
      <c r="N1271" s="7" t="inlineStr">
        <is>
          <t>DDG</t>
        </is>
      </c>
      <c r="O1271" s="15" t="n"/>
      <c r="P1271" s="16" t="n">
        <v>651</v>
      </c>
      <c r="S1271" s="16" t="n">
        <v>996</v>
      </c>
      <c r="U1271" s="16" t="n">
        <v>996</v>
      </c>
      <c r="AC1271" s="23">
        <f>IF(OR(E1271="",E1271="[PARENT]"),"ADD",IF(E1271="[ALT_VIEW]","ALT",""))</f>
        <v/>
      </c>
      <c r="AD1271" s="21">
        <f>IF(Y1271&lt;&gt;"",Y1271,IF(U1271&lt;&gt;"",U1271,S1271))</f>
        <v/>
      </c>
      <c r="AE1271" s="21">
        <f>IF(AB1271&lt;&gt;"",AB1271,Z1271)</f>
        <v/>
      </c>
      <c r="AF1271" s="13" t="inlineStr">
        <is>
          <t>P-35 &gt; DDG-51 &gt; VLS MK 41 &gt; Technical Data and Documentation</t>
        </is>
      </c>
      <c r="AG1271" s="7" t="inlineStr">
        <is>
          <t>259</t>
        </is>
      </c>
      <c r="AH1271" s="7" t="inlineStr">
        <is>
          <t>2122</t>
        </is>
      </c>
      <c r="AJ1271" s="7" t="inlineStr">
        <is>
          <t>VLS MK 41</t>
        </is>
      </c>
    </row>
    <row r="1272" ht="10" customHeight="1">
      <c r="A1272" s="7" t="inlineStr">
        <is>
          <t>SCN</t>
        </is>
      </c>
      <c r="B1272" s="7" t="inlineStr">
        <is>
          <t>Procurement</t>
        </is>
      </c>
      <c r="D1272" s="7" t="inlineStr">
        <is>
          <t>DDG-51 - P-35 VLS MK 41 - System Engineering</t>
        </is>
      </c>
      <c r="E1272" s="13" t="inlineStr">
        <is>
          <t>[ALT_VIEW]</t>
        </is>
      </c>
      <c r="F1272" s="7" t="inlineStr">
        <is>
          <t>2122 / DDG-51</t>
        </is>
      </c>
      <c r="G1272" s="7" t="inlineStr">
        <is>
          <t>P-35</t>
        </is>
      </c>
      <c r="I1272" s="14" t="n">
        <v>1</v>
      </c>
      <c r="J1272" s="7" t="inlineStr">
        <is>
          <t>Full ship DD&amp;C</t>
        </is>
      </c>
      <c r="K1272" s="13" t="inlineStr">
        <is>
          <t>USN</t>
        </is>
      </c>
      <c r="L1272" s="7" t="inlineStr">
        <is>
          <t>Combatant Ships</t>
        </is>
      </c>
      <c r="M1272" s="7" t="inlineStr">
        <is>
          <t>Surface Combatants</t>
        </is>
      </c>
      <c r="N1272" s="7" t="inlineStr">
        <is>
          <t>DDG</t>
        </is>
      </c>
      <c r="O1272" s="15" t="n"/>
      <c r="P1272" s="16" t="n">
        <v>13689</v>
      </c>
      <c r="S1272" s="16" t="n">
        <v>20944</v>
      </c>
      <c r="U1272" s="16" t="n">
        <v>20944</v>
      </c>
      <c r="AC1272" s="23">
        <f>IF(OR(E1272="",E1272="[PARENT]"),"ADD",IF(E1272="[ALT_VIEW]","ALT",""))</f>
        <v/>
      </c>
      <c r="AD1272" s="21">
        <f>IF(Y1272&lt;&gt;"",Y1272,IF(U1272&lt;&gt;"",U1272,S1272))</f>
        <v/>
      </c>
      <c r="AE1272" s="21">
        <f>IF(AB1272&lt;&gt;"",AB1272,Z1272)</f>
        <v/>
      </c>
      <c r="AF1272" s="13" t="inlineStr">
        <is>
          <t>P-35 &gt; DDG-51 &gt; VLS MK 41 &gt; System Engineering</t>
        </is>
      </c>
      <c r="AG1272" s="7" t="inlineStr">
        <is>
          <t>259</t>
        </is>
      </c>
      <c r="AH1272" s="7" t="inlineStr">
        <is>
          <t>2122</t>
        </is>
      </c>
      <c r="AJ1272" s="7" t="inlineStr">
        <is>
          <t>VLS MK 41</t>
        </is>
      </c>
    </row>
    <row r="1273" ht="10" customHeight="1">
      <c r="A1273" s="7" t="inlineStr">
        <is>
          <t>SCN</t>
        </is>
      </c>
      <c r="B1273" s="7" t="inlineStr">
        <is>
          <t>Procurement</t>
        </is>
      </c>
      <c r="D1273" s="7" t="inlineStr">
        <is>
          <t>DDG-51 - P-35 VLS MK 41 - Technical Engineering Services</t>
        </is>
      </c>
      <c r="E1273" s="13" t="inlineStr">
        <is>
          <t>[ALT_VIEW]</t>
        </is>
      </c>
      <c r="F1273" s="7" t="inlineStr">
        <is>
          <t>2122 / DDG-51</t>
        </is>
      </c>
      <c r="G1273" s="7" t="inlineStr">
        <is>
          <t>P-35</t>
        </is>
      </c>
      <c r="I1273" s="14" t="n">
        <v>1</v>
      </c>
      <c r="J1273" s="7" t="inlineStr">
        <is>
          <t>Full ship DD&amp;C</t>
        </is>
      </c>
      <c r="K1273" s="13" t="inlineStr">
        <is>
          <t>USN</t>
        </is>
      </c>
      <c r="L1273" s="7" t="inlineStr">
        <is>
          <t>Combatant Ships</t>
        </is>
      </c>
      <c r="M1273" s="7" t="inlineStr">
        <is>
          <t>Surface Combatants</t>
        </is>
      </c>
      <c r="N1273" s="7" t="inlineStr">
        <is>
          <t>DDG</t>
        </is>
      </c>
      <c r="O1273" s="15" t="n"/>
      <c r="P1273" s="16" t="n">
        <v>13649</v>
      </c>
      <c r="S1273" s="16" t="n">
        <v>20883</v>
      </c>
      <c r="U1273" s="16" t="n">
        <v>20883</v>
      </c>
      <c r="AC1273" s="23">
        <f>IF(OR(E1273="",E1273="[PARENT]"),"ADD",IF(E1273="[ALT_VIEW]","ALT",""))</f>
        <v/>
      </c>
      <c r="AD1273" s="21">
        <f>IF(Y1273&lt;&gt;"",Y1273,IF(U1273&lt;&gt;"",U1273,S1273))</f>
        <v/>
      </c>
      <c r="AE1273" s="21">
        <f>IF(AB1273&lt;&gt;"",AB1273,Z1273)</f>
        <v/>
      </c>
      <c r="AF1273" s="13" t="inlineStr">
        <is>
          <t>P-35 &gt; DDG-51 &gt; VLS MK 41 &gt; Technical Engineering Services</t>
        </is>
      </c>
      <c r="AG1273" s="7" t="inlineStr">
        <is>
          <t>259</t>
        </is>
      </c>
      <c r="AH1273" s="7" t="inlineStr">
        <is>
          <t>2122</t>
        </is>
      </c>
    </row>
    <row r="1274" ht="10" customHeight="1">
      <c r="A1274" s="7" t="inlineStr">
        <is>
          <t>SCN</t>
        </is>
      </c>
      <c r="B1274" s="7" t="inlineStr">
        <is>
          <t>Procurement</t>
        </is>
      </c>
      <c r="D1274" s="7" t="inlineStr">
        <is>
          <t>DDG-51 - P-35 VLS MK 41 - Other Costs</t>
        </is>
      </c>
      <c r="E1274" s="13" t="inlineStr">
        <is>
          <t>[ALT_VIEW]</t>
        </is>
      </c>
      <c r="F1274" s="7" t="inlineStr">
        <is>
          <t>2122 / DDG-51</t>
        </is>
      </c>
      <c r="G1274" s="7" t="inlineStr">
        <is>
          <t>P-35</t>
        </is>
      </c>
      <c r="I1274" s="14" t="n">
        <v>1</v>
      </c>
      <c r="J1274" s="7" t="inlineStr">
        <is>
          <t>Full ship DD&amp;C</t>
        </is>
      </c>
      <c r="K1274" s="13" t="inlineStr">
        <is>
          <t>USN</t>
        </is>
      </c>
      <c r="L1274" s="7" t="inlineStr">
        <is>
          <t>Combatant Ships</t>
        </is>
      </c>
      <c r="M1274" s="7" t="inlineStr">
        <is>
          <t>Surface Combatants</t>
        </is>
      </c>
      <c r="N1274" s="7" t="inlineStr">
        <is>
          <t>DDG</t>
        </is>
      </c>
      <c r="O1274" s="15" t="n"/>
      <c r="P1274" s="16" t="n">
        <v>813</v>
      </c>
      <c r="S1274" s="16" t="n">
        <v>1244</v>
      </c>
      <c r="U1274" s="16" t="n">
        <v>1244</v>
      </c>
      <c r="AC1274" s="23">
        <f>IF(OR(E1274="",E1274="[PARENT]"),"ADD",IF(E1274="[ALT_VIEW]","ALT",""))</f>
        <v/>
      </c>
      <c r="AD1274" s="21">
        <f>IF(Y1274&lt;&gt;"",Y1274,IF(U1274&lt;&gt;"",U1274,S1274))</f>
        <v/>
      </c>
      <c r="AE1274" s="21">
        <f>IF(AB1274&lt;&gt;"",AB1274,Z1274)</f>
        <v/>
      </c>
      <c r="AF1274" s="13" t="inlineStr">
        <is>
          <t>P-35 &gt; DDG-51 &gt; VLS MK 41 &gt; Other Costs</t>
        </is>
      </c>
      <c r="AG1274" s="7" t="inlineStr">
        <is>
          <t>259</t>
        </is>
      </c>
      <c r="AH1274" s="7" t="inlineStr">
        <is>
          <t>2122</t>
        </is>
      </c>
      <c r="AJ1274" s="7" t="inlineStr">
        <is>
          <t>VLS MK 41</t>
        </is>
      </c>
    </row>
    <row r="1275" ht="10" customHeight="1">
      <c r="A1275" s="7" t="inlineStr">
        <is>
          <t>SCN</t>
        </is>
      </c>
      <c r="B1275" s="7" t="inlineStr">
        <is>
          <t>Procurement</t>
        </is>
      </c>
      <c r="D1275" s="7" t="inlineStr">
        <is>
          <t>DDG-51 - P-35 MK 45 Light Weight Gun (LWG) - Major Hardware                                                                                                      2</t>
        </is>
      </c>
      <c r="E1275" s="13" t="inlineStr">
        <is>
          <t>[ALT_VIEW]</t>
        </is>
      </c>
      <c r="F1275" s="7" t="inlineStr">
        <is>
          <t>2122 / DDG-51</t>
        </is>
      </c>
      <c r="G1275" s="7" t="inlineStr">
        <is>
          <t>P-35</t>
        </is>
      </c>
      <c r="I1275" s="14" t="n">
        <v>1</v>
      </c>
      <c r="J1275" s="7" t="inlineStr">
        <is>
          <t>Full ship DD&amp;C</t>
        </is>
      </c>
      <c r="K1275" s="13" t="inlineStr">
        <is>
          <t>USN</t>
        </is>
      </c>
      <c r="L1275" s="7" t="inlineStr">
        <is>
          <t>Combatant Ships</t>
        </is>
      </c>
      <c r="M1275" s="7" t="inlineStr">
        <is>
          <t>Surface Combatants</t>
        </is>
      </c>
      <c r="N1275" s="7" t="inlineStr">
        <is>
          <t>DDG</t>
        </is>
      </c>
      <c r="O1275" s="15" t="n"/>
      <c r="P1275" s="16" t="n">
        <v>43910</v>
      </c>
      <c r="S1275" s="16" t="n">
        <v>67182</v>
      </c>
      <c r="U1275" s="16" t="n">
        <v>67182</v>
      </c>
      <c r="AC1275" s="23">
        <f>IF(OR(E1275="",E1275="[PARENT]"),"ADD",IF(E1275="[ALT_VIEW]","ALT",""))</f>
        <v/>
      </c>
      <c r="AD1275" s="21">
        <f>IF(Y1275&lt;&gt;"",Y1275,IF(U1275&lt;&gt;"",U1275,S1275))</f>
        <v/>
      </c>
      <c r="AE1275" s="21">
        <f>IF(AB1275&lt;&gt;"",AB1275,Z1275)</f>
        <v/>
      </c>
      <c r="AF1275" s="13" t="inlineStr">
        <is>
          <t>P-35 &gt; DDG-51 &gt; MK 45 Light Weight Gun (LWG) &gt; Major Hardware                                                                                                      2</t>
        </is>
      </c>
      <c r="AG1275" s="7" t="inlineStr">
        <is>
          <t>260</t>
        </is>
      </c>
      <c r="AH1275" s="7" t="inlineStr">
        <is>
          <t>2122</t>
        </is>
      </c>
      <c r="AJ1275" s="7" t="inlineStr">
        <is>
          <t>MK 45 Light Weight Gun (LWG) [DDG 145]</t>
        </is>
      </c>
    </row>
    <row r="1276" ht="10" customHeight="1">
      <c r="A1276" s="7" t="inlineStr">
        <is>
          <t>SCN</t>
        </is>
      </c>
      <c r="B1276" s="7" t="inlineStr">
        <is>
          <t>Procurement</t>
        </is>
      </c>
      <c r="D1276" s="7" t="inlineStr">
        <is>
          <t>DDG-51 - P-35 MK 45 Light Weight Gun (LWG) - Spares</t>
        </is>
      </c>
      <c r="E1276" s="13" t="inlineStr">
        <is>
          <t>[ALT_VIEW]</t>
        </is>
      </c>
      <c r="F1276" s="7" t="inlineStr">
        <is>
          <t>2122 / DDG-51</t>
        </is>
      </c>
      <c r="G1276" s="7" t="inlineStr">
        <is>
          <t>P-35</t>
        </is>
      </c>
      <c r="I1276" s="14" t="n">
        <v>1</v>
      </c>
      <c r="J1276" s="7" t="inlineStr">
        <is>
          <t>Full ship DD&amp;C</t>
        </is>
      </c>
      <c r="K1276" s="13" t="inlineStr">
        <is>
          <t>USN</t>
        </is>
      </c>
      <c r="L1276" s="7" t="inlineStr">
        <is>
          <t>Combatant Ships</t>
        </is>
      </c>
      <c r="M1276" s="7" t="inlineStr">
        <is>
          <t>Surface Combatants</t>
        </is>
      </c>
      <c r="N1276" s="7" t="inlineStr">
        <is>
          <t>DDG</t>
        </is>
      </c>
      <c r="O1276" s="15" t="n"/>
      <c r="P1276" s="16" t="n">
        <v>375</v>
      </c>
      <c r="S1276" s="16" t="n">
        <v>574</v>
      </c>
      <c r="U1276" s="16" t="n">
        <v>574</v>
      </c>
      <c r="AC1276" s="23">
        <f>IF(OR(E1276="",E1276="[PARENT]"),"ADD",IF(E1276="[ALT_VIEW]","ALT",""))</f>
        <v/>
      </c>
      <c r="AD1276" s="21">
        <f>IF(Y1276&lt;&gt;"",Y1276,IF(U1276&lt;&gt;"",U1276,S1276))</f>
        <v/>
      </c>
      <c r="AE1276" s="21">
        <f>IF(AB1276&lt;&gt;"",AB1276,Z1276)</f>
        <v/>
      </c>
      <c r="AF1276" s="13" t="inlineStr">
        <is>
          <t>P-35 &gt; DDG-51 &gt; MK 45 Light Weight Gun (LWG) &gt; Spares</t>
        </is>
      </c>
      <c r="AG1276" s="7" t="inlineStr">
        <is>
          <t>260</t>
        </is>
      </c>
      <c r="AH1276" s="7" t="inlineStr">
        <is>
          <t>2122</t>
        </is>
      </c>
      <c r="AJ1276" s="7" t="inlineStr">
        <is>
          <t>MK 45 Light Weight Gun (LWG)</t>
        </is>
      </c>
    </row>
    <row r="1277" ht="10" customHeight="1">
      <c r="A1277" s="7" t="inlineStr">
        <is>
          <t>SCN</t>
        </is>
      </c>
      <c r="B1277" s="7" t="inlineStr">
        <is>
          <t>Procurement</t>
        </is>
      </c>
      <c r="D1277" s="7" t="inlineStr">
        <is>
          <t>DDG-51 - P-35 MK 45 Light Weight Gun (LWG) - System Engineering</t>
        </is>
      </c>
      <c r="E1277" s="13" t="inlineStr">
        <is>
          <t>[ALT_VIEW]</t>
        </is>
      </c>
      <c r="F1277" s="7" t="inlineStr">
        <is>
          <t>2122 / DDG-51</t>
        </is>
      </c>
      <c r="G1277" s="7" t="inlineStr">
        <is>
          <t>P-35</t>
        </is>
      </c>
      <c r="I1277" s="14" t="n">
        <v>1</v>
      </c>
      <c r="J1277" s="7" t="inlineStr">
        <is>
          <t>Full ship DD&amp;C</t>
        </is>
      </c>
      <c r="K1277" s="13" t="inlineStr">
        <is>
          <t>USN</t>
        </is>
      </c>
      <c r="L1277" s="7" t="inlineStr">
        <is>
          <t>Combatant Ships</t>
        </is>
      </c>
      <c r="M1277" s="7" t="inlineStr">
        <is>
          <t>Surface Combatants</t>
        </is>
      </c>
      <c r="N1277" s="7" t="inlineStr">
        <is>
          <t>DDG</t>
        </is>
      </c>
      <c r="O1277" s="15" t="n"/>
      <c r="P1277" s="16" t="n">
        <v>5306</v>
      </c>
      <c r="S1277" s="16" t="n">
        <v>8118</v>
      </c>
      <c r="U1277" s="16" t="n">
        <v>8118</v>
      </c>
      <c r="AC1277" s="23">
        <f>IF(OR(E1277="",E1277="[PARENT]"),"ADD",IF(E1277="[ALT_VIEW]","ALT",""))</f>
        <v/>
      </c>
      <c r="AD1277" s="21">
        <f>IF(Y1277&lt;&gt;"",Y1277,IF(U1277&lt;&gt;"",U1277,S1277))</f>
        <v/>
      </c>
      <c r="AE1277" s="21">
        <f>IF(AB1277&lt;&gt;"",AB1277,Z1277)</f>
        <v/>
      </c>
      <c r="AF1277" s="13" t="inlineStr">
        <is>
          <t>P-35 &gt; DDG-51 &gt; MK 45 Light Weight Gun (LWG) &gt; System Engineering</t>
        </is>
      </c>
      <c r="AG1277" s="7" t="inlineStr">
        <is>
          <t>260</t>
        </is>
      </c>
      <c r="AH1277" s="7" t="inlineStr">
        <is>
          <t>2122</t>
        </is>
      </c>
      <c r="AJ1277" s="7" t="inlineStr">
        <is>
          <t>MK 45 Light Weight Gun (LWG)</t>
        </is>
      </c>
    </row>
    <row r="1278" ht="10" customHeight="1">
      <c r="A1278" s="7" t="inlineStr">
        <is>
          <t>SCN</t>
        </is>
      </c>
      <c r="B1278" s="7" t="inlineStr">
        <is>
          <t>Procurement</t>
        </is>
      </c>
      <c r="D1278" s="7" t="inlineStr">
        <is>
          <t>DDG-51 - P-35 MK 45 Light Weight Gun (LWG) - Technical Engineering Services</t>
        </is>
      </c>
      <c r="E1278" s="13" t="inlineStr">
        <is>
          <t>[ALT_VIEW]</t>
        </is>
      </c>
      <c r="F1278" s="7" t="inlineStr">
        <is>
          <t>2122 / DDG-51</t>
        </is>
      </c>
      <c r="G1278" s="7" t="inlineStr">
        <is>
          <t>P-35</t>
        </is>
      </c>
      <c r="I1278" s="14" t="n">
        <v>1</v>
      </c>
      <c r="J1278" s="7" t="inlineStr">
        <is>
          <t>Full ship DD&amp;C</t>
        </is>
      </c>
      <c r="K1278" s="13" t="inlineStr">
        <is>
          <t>USN</t>
        </is>
      </c>
      <c r="L1278" s="7" t="inlineStr">
        <is>
          <t>Combatant Ships</t>
        </is>
      </c>
      <c r="M1278" s="7" t="inlineStr">
        <is>
          <t>Surface Combatants</t>
        </is>
      </c>
      <c r="N1278" s="7" t="inlineStr">
        <is>
          <t>DDG</t>
        </is>
      </c>
      <c r="O1278" s="15" t="n"/>
      <c r="P1278" s="16" t="n">
        <v>2850</v>
      </c>
      <c r="S1278" s="16" t="n">
        <v>4361</v>
      </c>
      <c r="U1278" s="16" t="n">
        <v>4361</v>
      </c>
      <c r="AC1278" s="23">
        <f>IF(OR(E1278="",E1278="[PARENT]"),"ADD",IF(E1278="[ALT_VIEW]","ALT",""))</f>
        <v/>
      </c>
      <c r="AD1278" s="21">
        <f>IF(Y1278&lt;&gt;"",Y1278,IF(U1278&lt;&gt;"",U1278,S1278))</f>
        <v/>
      </c>
      <c r="AE1278" s="21">
        <f>IF(AB1278&lt;&gt;"",AB1278,Z1278)</f>
        <v/>
      </c>
      <c r="AF1278" s="13" t="inlineStr">
        <is>
          <t>P-35 &gt; DDG-51 &gt; MK 45 Light Weight Gun (LWG) &gt; Technical Engineering Services</t>
        </is>
      </c>
      <c r="AG1278" s="7" t="inlineStr">
        <is>
          <t>260</t>
        </is>
      </c>
      <c r="AH1278" s="7" t="inlineStr">
        <is>
          <t>2122</t>
        </is>
      </c>
      <c r="AJ1278" s="7" t="inlineStr">
        <is>
          <t>MK 45 Light Weight Gun (LWG)</t>
        </is>
      </c>
    </row>
    <row r="1279" ht="10" customHeight="1">
      <c r="A1279" s="7" t="inlineStr">
        <is>
          <t>SCN</t>
        </is>
      </c>
      <c r="B1279" s="7" t="inlineStr">
        <is>
          <t>Procurement</t>
        </is>
      </c>
      <c r="D1279" s="7" t="inlineStr">
        <is>
          <t>DDG-51 - P-35 MK 45 Light Weight Gun (LWG) - Other Costs</t>
        </is>
      </c>
      <c r="E1279" s="13" t="inlineStr">
        <is>
          <t>[ALT_VIEW]</t>
        </is>
      </c>
      <c r="F1279" s="7" t="inlineStr">
        <is>
          <t>2122 / DDG-51</t>
        </is>
      </c>
      <c r="G1279" s="7" t="inlineStr">
        <is>
          <t>P-35</t>
        </is>
      </c>
      <c r="I1279" s="14" t="n">
        <v>1</v>
      </c>
      <c r="J1279" s="7" t="inlineStr">
        <is>
          <t>Full ship DD&amp;C</t>
        </is>
      </c>
      <c r="K1279" s="13" t="inlineStr">
        <is>
          <t>USN</t>
        </is>
      </c>
      <c r="L1279" s="7" t="inlineStr">
        <is>
          <t>Combatant Ships</t>
        </is>
      </c>
      <c r="M1279" s="7" t="inlineStr">
        <is>
          <t>Surface Combatants</t>
        </is>
      </c>
      <c r="N1279" s="7" t="inlineStr">
        <is>
          <t>DDG</t>
        </is>
      </c>
      <c r="O1279" s="15" t="n"/>
      <c r="P1279" s="16" t="n">
        <v>6874</v>
      </c>
      <c r="S1279" s="16" t="n">
        <v>10517</v>
      </c>
      <c r="U1279" s="16" t="n">
        <v>10517</v>
      </c>
      <c r="AC1279" s="23">
        <f>IF(OR(E1279="",E1279="[PARENT]"),"ADD",IF(E1279="[ALT_VIEW]","ALT",""))</f>
        <v/>
      </c>
      <c r="AD1279" s="21">
        <f>IF(Y1279&lt;&gt;"",Y1279,IF(U1279&lt;&gt;"",U1279,S1279))</f>
        <v/>
      </c>
      <c r="AE1279" s="21">
        <f>IF(AB1279&lt;&gt;"",AB1279,Z1279)</f>
        <v/>
      </c>
      <c r="AF1279" s="13" t="inlineStr">
        <is>
          <t>P-35 &gt; DDG-51 &gt; MK 45 Light Weight Gun (LWG) &gt; Other Costs</t>
        </is>
      </c>
      <c r="AG1279" s="7" t="inlineStr">
        <is>
          <t>260</t>
        </is>
      </c>
      <c r="AH1279" s="7" t="inlineStr">
        <is>
          <t>2122</t>
        </is>
      </c>
      <c r="AJ1279" s="7" t="inlineStr">
        <is>
          <t>MK 45 Light Weight Gun (LWG)</t>
        </is>
      </c>
    </row>
    <row r="1280" ht="10" customHeight="1">
      <c r="A1280" s="7" t="inlineStr">
        <is>
          <t>SCN</t>
        </is>
      </c>
      <c r="B1280" s="7" t="inlineStr">
        <is>
          <t>Procurement</t>
        </is>
      </c>
      <c r="D1280" s="7" t="inlineStr">
        <is>
          <t>DDG-51 - P-35 MK 37 TOMAHAWK - Major Hardware                                                                                                2</t>
        </is>
      </c>
      <c r="E1280" s="13" t="inlineStr">
        <is>
          <t>[ALT_VIEW]</t>
        </is>
      </c>
      <c r="F1280" s="7" t="inlineStr">
        <is>
          <t>2122 / DDG-51</t>
        </is>
      </c>
      <c r="G1280" s="7" t="inlineStr">
        <is>
          <t>P-35</t>
        </is>
      </c>
      <c r="I1280" s="14" t="n">
        <v>1</v>
      </c>
      <c r="J1280" s="7" t="inlineStr">
        <is>
          <t>Full ship DD&amp;C</t>
        </is>
      </c>
      <c r="K1280" s="13" t="inlineStr">
        <is>
          <t>USN</t>
        </is>
      </c>
      <c r="L1280" s="7" t="inlineStr">
        <is>
          <t>Combatant Ships</t>
        </is>
      </c>
      <c r="M1280" s="7" t="inlineStr">
        <is>
          <t>Surface Combatants</t>
        </is>
      </c>
      <c r="N1280" s="7" t="inlineStr">
        <is>
          <t>DDG</t>
        </is>
      </c>
      <c r="O1280" s="15" t="n"/>
      <c r="P1280" s="16" t="n">
        <v>10478</v>
      </c>
      <c r="S1280" s="16" t="n">
        <v>16031</v>
      </c>
      <c r="U1280" s="16" t="n">
        <v>16031</v>
      </c>
      <c r="AC1280" s="23">
        <f>IF(OR(E1280="",E1280="[PARENT]"),"ADD",IF(E1280="[ALT_VIEW]","ALT",""))</f>
        <v/>
      </c>
      <c r="AD1280" s="21">
        <f>IF(Y1280&lt;&gt;"",Y1280,IF(U1280&lt;&gt;"",U1280,S1280))</f>
        <v/>
      </c>
      <c r="AE1280" s="21">
        <f>IF(AB1280&lt;&gt;"",AB1280,Z1280)</f>
        <v/>
      </c>
      <c r="AF1280" s="13" t="inlineStr">
        <is>
          <t>P-35 &gt; DDG-51 &gt; MK 37 TOMAHAWK &gt; Major Hardware                                                                                                2</t>
        </is>
      </c>
      <c r="AG1280" s="7" t="inlineStr">
        <is>
          <t>261</t>
        </is>
      </c>
      <c r="AH1280" s="7" t="inlineStr">
        <is>
          <t>2122</t>
        </is>
      </c>
      <c r="AJ1280" s="7" t="inlineStr">
        <is>
          <t>MK 37 TOMAHAWK [DDG 145]</t>
        </is>
      </c>
    </row>
    <row r="1281" ht="10" customHeight="1">
      <c r="A1281" s="7" t="inlineStr">
        <is>
          <t>SCN</t>
        </is>
      </c>
      <c r="B1281" s="7" t="inlineStr">
        <is>
          <t>Procurement</t>
        </is>
      </c>
      <c r="D1281" s="7" t="inlineStr">
        <is>
          <t>DDG-51 - P-35 MK 37 TOMAHAWK - Spares</t>
        </is>
      </c>
      <c r="E1281" s="13" t="inlineStr">
        <is>
          <t>[ALT_VIEW]</t>
        </is>
      </c>
      <c r="F1281" s="7" t="inlineStr">
        <is>
          <t>2122 / DDG-51</t>
        </is>
      </c>
      <c r="G1281" s="7" t="inlineStr">
        <is>
          <t>P-35</t>
        </is>
      </c>
      <c r="I1281" s="14" t="n">
        <v>1</v>
      </c>
      <c r="J1281" s="7" t="inlineStr">
        <is>
          <t>Full ship DD&amp;C</t>
        </is>
      </c>
      <c r="K1281" s="13" t="inlineStr">
        <is>
          <t>USN</t>
        </is>
      </c>
      <c r="L1281" s="7" t="inlineStr">
        <is>
          <t>Combatant Ships</t>
        </is>
      </c>
      <c r="M1281" s="7" t="inlineStr">
        <is>
          <t>Surface Combatants</t>
        </is>
      </c>
      <c r="N1281" s="7" t="inlineStr">
        <is>
          <t>DDG</t>
        </is>
      </c>
      <c r="O1281" s="15" t="n"/>
      <c r="P1281" s="16" t="n">
        <v>2214</v>
      </c>
      <c r="S1281" s="16" t="n">
        <v>3387</v>
      </c>
      <c r="U1281" s="16" t="n">
        <v>3387</v>
      </c>
      <c r="AC1281" s="23">
        <f>IF(OR(E1281="",E1281="[PARENT]"),"ADD",IF(E1281="[ALT_VIEW]","ALT",""))</f>
        <v/>
      </c>
      <c r="AD1281" s="21">
        <f>IF(Y1281&lt;&gt;"",Y1281,IF(U1281&lt;&gt;"",U1281,S1281))</f>
        <v/>
      </c>
      <c r="AE1281" s="21">
        <f>IF(AB1281&lt;&gt;"",AB1281,Z1281)</f>
        <v/>
      </c>
      <c r="AF1281" s="13" t="inlineStr">
        <is>
          <t>P-35 &gt; DDG-51 &gt; MK 37 TOMAHAWK &gt; Spares</t>
        </is>
      </c>
      <c r="AG1281" s="7" t="inlineStr">
        <is>
          <t>261</t>
        </is>
      </c>
      <c r="AH1281" s="7" t="inlineStr">
        <is>
          <t>2122</t>
        </is>
      </c>
      <c r="AJ1281" s="7" t="inlineStr">
        <is>
          <t>MK 37 TOMAHAWK</t>
        </is>
      </c>
    </row>
    <row r="1282" ht="10" customHeight="1">
      <c r="A1282" s="7" t="inlineStr">
        <is>
          <t>SCN</t>
        </is>
      </c>
      <c r="B1282" s="7" t="inlineStr">
        <is>
          <t>Procurement</t>
        </is>
      </c>
      <c r="D1282" s="7" t="inlineStr">
        <is>
          <t>DDG-51 - P-35 MK 37 TOMAHAWK - System Engineering</t>
        </is>
      </c>
      <c r="E1282" s="13" t="inlineStr">
        <is>
          <t>[ALT_VIEW]</t>
        </is>
      </c>
      <c r="F1282" s="7" t="inlineStr">
        <is>
          <t>2122 / DDG-51</t>
        </is>
      </c>
      <c r="G1282" s="7" t="inlineStr">
        <is>
          <t>P-35</t>
        </is>
      </c>
      <c r="I1282" s="14" t="n">
        <v>1</v>
      </c>
      <c r="J1282" s="7" t="inlineStr">
        <is>
          <t>Full ship DD&amp;C</t>
        </is>
      </c>
      <c r="K1282" s="13" t="inlineStr">
        <is>
          <t>USN</t>
        </is>
      </c>
      <c r="L1282" s="7" t="inlineStr">
        <is>
          <t>Combatant Ships</t>
        </is>
      </c>
      <c r="M1282" s="7" t="inlineStr">
        <is>
          <t>Surface Combatants</t>
        </is>
      </c>
      <c r="N1282" s="7" t="inlineStr">
        <is>
          <t>DDG</t>
        </is>
      </c>
      <c r="O1282" s="15" t="n"/>
      <c r="P1282" s="16" t="n">
        <v>6322</v>
      </c>
      <c r="S1282" s="16" t="n">
        <v>9673</v>
      </c>
      <c r="U1282" s="16" t="n">
        <v>9673</v>
      </c>
      <c r="AC1282" s="23">
        <f>IF(OR(E1282="",E1282="[PARENT]"),"ADD",IF(E1282="[ALT_VIEW]","ALT",""))</f>
        <v/>
      </c>
      <c r="AD1282" s="21">
        <f>IF(Y1282&lt;&gt;"",Y1282,IF(U1282&lt;&gt;"",U1282,S1282))</f>
        <v/>
      </c>
      <c r="AE1282" s="21">
        <f>IF(AB1282&lt;&gt;"",AB1282,Z1282)</f>
        <v/>
      </c>
      <c r="AF1282" s="13" t="inlineStr">
        <is>
          <t>P-35 &gt; DDG-51 &gt; MK 37 TOMAHAWK &gt; System Engineering</t>
        </is>
      </c>
      <c r="AG1282" s="7" t="inlineStr">
        <is>
          <t>261</t>
        </is>
      </c>
      <c r="AH1282" s="7" t="inlineStr">
        <is>
          <t>2122</t>
        </is>
      </c>
      <c r="AJ1282" s="7" t="inlineStr">
        <is>
          <t>MK 37 TOMAHAWK</t>
        </is>
      </c>
    </row>
    <row r="1283" ht="10" customHeight="1">
      <c r="A1283" s="7" t="inlineStr">
        <is>
          <t>SCN</t>
        </is>
      </c>
      <c r="B1283" s="7" t="inlineStr">
        <is>
          <t>Procurement</t>
        </is>
      </c>
      <c r="D1283" s="7" t="inlineStr">
        <is>
          <t>DDG-51 - P-35 MK 37 TOMAHAWK - Technical Engineering Services</t>
        </is>
      </c>
      <c r="E1283" s="13" t="inlineStr">
        <is>
          <t>[ALT_VIEW]</t>
        </is>
      </c>
      <c r="F1283" s="7" t="inlineStr">
        <is>
          <t>2122 / DDG-51</t>
        </is>
      </c>
      <c r="G1283" s="7" t="inlineStr">
        <is>
          <t>P-35</t>
        </is>
      </c>
      <c r="I1283" s="14" t="n">
        <v>1</v>
      </c>
      <c r="J1283" s="7" t="inlineStr">
        <is>
          <t>Full ship DD&amp;C</t>
        </is>
      </c>
      <c r="K1283" s="13" t="inlineStr">
        <is>
          <t>USN</t>
        </is>
      </c>
      <c r="L1283" s="7" t="inlineStr">
        <is>
          <t>Combatant Ships</t>
        </is>
      </c>
      <c r="M1283" s="7" t="inlineStr">
        <is>
          <t>Surface Combatants</t>
        </is>
      </c>
      <c r="N1283" s="7" t="inlineStr">
        <is>
          <t>DDG</t>
        </is>
      </c>
      <c r="O1283" s="15" t="n"/>
      <c r="P1283" s="16" t="n">
        <v>5650</v>
      </c>
      <c r="S1283" s="16" t="n">
        <v>8645</v>
      </c>
      <c r="U1283" s="16" t="n">
        <v>8645</v>
      </c>
      <c r="AC1283" s="23">
        <f>IF(OR(E1283="",E1283="[PARENT]"),"ADD",IF(E1283="[ALT_VIEW]","ALT",""))</f>
        <v/>
      </c>
      <c r="AD1283" s="21">
        <f>IF(Y1283&lt;&gt;"",Y1283,IF(U1283&lt;&gt;"",U1283,S1283))</f>
        <v/>
      </c>
      <c r="AE1283" s="21">
        <f>IF(AB1283&lt;&gt;"",AB1283,Z1283)</f>
        <v/>
      </c>
      <c r="AF1283" s="13" t="inlineStr">
        <is>
          <t>P-35 &gt; DDG-51 &gt; MK 37 TOMAHAWK &gt; Technical Engineering Services</t>
        </is>
      </c>
      <c r="AG1283" s="7" t="inlineStr">
        <is>
          <t>261</t>
        </is>
      </c>
      <c r="AH1283" s="7" t="inlineStr">
        <is>
          <t>2122</t>
        </is>
      </c>
      <c r="AJ1283" s="7" t="inlineStr">
        <is>
          <t>MK 37 TOMAHAWK</t>
        </is>
      </c>
    </row>
    <row r="1284" ht="10" customHeight="1">
      <c r="A1284" s="7" t="inlineStr">
        <is>
          <t>SCN</t>
        </is>
      </c>
      <c r="B1284" s="7" t="inlineStr">
        <is>
          <t>Procurement</t>
        </is>
      </c>
      <c r="D1284" s="7" t="inlineStr">
        <is>
          <t>DDG-51 - P-35 MK 37 TOMAHAWK - Other Costs</t>
        </is>
      </c>
      <c r="E1284" s="13" t="inlineStr">
        <is>
          <t>[ALT_VIEW]</t>
        </is>
      </c>
      <c r="F1284" s="7" t="inlineStr">
        <is>
          <t>2122 / DDG-51</t>
        </is>
      </c>
      <c r="G1284" s="7" t="inlineStr">
        <is>
          <t>P-35</t>
        </is>
      </c>
      <c r="I1284" s="14" t="n">
        <v>1</v>
      </c>
      <c r="J1284" s="7" t="inlineStr">
        <is>
          <t>Full ship DD&amp;C</t>
        </is>
      </c>
      <c r="K1284" s="13" t="inlineStr">
        <is>
          <t>USN</t>
        </is>
      </c>
      <c r="L1284" s="7" t="inlineStr">
        <is>
          <t>Combatant Ships</t>
        </is>
      </c>
      <c r="M1284" s="7" t="inlineStr">
        <is>
          <t>Surface Combatants</t>
        </is>
      </c>
      <c r="N1284" s="7" t="inlineStr">
        <is>
          <t>DDG</t>
        </is>
      </c>
      <c r="O1284" s="15" t="n"/>
      <c r="P1284" s="16" t="n">
        <v>8671</v>
      </c>
      <c r="S1284" s="16" t="n">
        <v>13267</v>
      </c>
      <c r="U1284" s="16" t="n">
        <v>13267</v>
      </c>
      <c r="AC1284" s="23">
        <f>IF(OR(E1284="",E1284="[PARENT]"),"ADD",IF(E1284="[ALT_VIEW]","ALT",""))</f>
        <v/>
      </c>
      <c r="AD1284" s="21">
        <f>IF(Y1284&lt;&gt;"",Y1284,IF(U1284&lt;&gt;"",U1284,S1284))</f>
        <v/>
      </c>
      <c r="AE1284" s="21">
        <f>IF(AB1284&lt;&gt;"",AB1284,Z1284)</f>
        <v/>
      </c>
      <c r="AF1284" s="13" t="inlineStr">
        <is>
          <t>P-35 &gt; DDG-51 &gt; MK 37 TOMAHAWK &gt; Other Costs</t>
        </is>
      </c>
      <c r="AG1284" s="7" t="inlineStr">
        <is>
          <t>261</t>
        </is>
      </c>
      <c r="AH1284" s="7" t="inlineStr">
        <is>
          <t>2122</t>
        </is>
      </c>
      <c r="AJ1284" s="7" t="inlineStr">
        <is>
          <t>MK 37 TOMAHAWK</t>
        </is>
      </c>
    </row>
    <row r="1285" ht="10" customHeight="1">
      <c r="A1285" s="7" t="inlineStr">
        <is>
          <t>SCN</t>
        </is>
      </c>
      <c r="B1285" s="7" t="inlineStr">
        <is>
          <t>Procurement</t>
        </is>
      </c>
      <c r="D1285" s="7" t="inlineStr">
        <is>
          <t>DDG-51 - P-35 PHALANX (CIWS) - Major Hardware                                                                                                  2</t>
        </is>
      </c>
      <c r="E1285" s="13" t="inlineStr">
        <is>
          <t>[ALT_VIEW]</t>
        </is>
      </c>
      <c r="F1285" s="7" t="inlineStr">
        <is>
          <t>2122 / DDG-51</t>
        </is>
      </c>
      <c r="G1285" s="7" t="inlineStr">
        <is>
          <t>P-35</t>
        </is>
      </c>
      <c r="I1285" s="14" t="n">
        <v>1</v>
      </c>
      <c r="J1285" s="7" t="inlineStr">
        <is>
          <t>Full ship DD&amp;C</t>
        </is>
      </c>
      <c r="K1285" s="13" t="inlineStr">
        <is>
          <t>USN</t>
        </is>
      </c>
      <c r="L1285" s="7" t="inlineStr">
        <is>
          <t>Combatant Ships</t>
        </is>
      </c>
      <c r="M1285" s="7" t="inlineStr">
        <is>
          <t>Surface Combatants</t>
        </is>
      </c>
      <c r="N1285" s="7" t="inlineStr">
        <is>
          <t>DDG</t>
        </is>
      </c>
      <c r="O1285" s="15" t="n"/>
      <c r="P1285" s="16" t="n">
        <v>15050</v>
      </c>
      <c r="S1285" s="16" t="n">
        <v>23027</v>
      </c>
      <c r="U1285" s="16" t="n">
        <v>23027</v>
      </c>
      <c r="AC1285" s="23">
        <f>IF(OR(E1285="",E1285="[PARENT]"),"ADD",IF(E1285="[ALT_VIEW]","ALT",""))</f>
        <v/>
      </c>
      <c r="AD1285" s="21">
        <f>IF(Y1285&lt;&gt;"",Y1285,IF(U1285&lt;&gt;"",U1285,S1285))</f>
        <v/>
      </c>
      <c r="AE1285" s="21">
        <f>IF(AB1285&lt;&gt;"",AB1285,Z1285)</f>
        <v/>
      </c>
      <c r="AF1285" s="13" t="inlineStr">
        <is>
          <t>P-35 &gt; DDG-51 &gt; PHALANX (CIWS) &gt; Major Hardware                                                                                                  2</t>
        </is>
      </c>
      <c r="AG1285" s="7" t="inlineStr">
        <is>
          <t>262</t>
        </is>
      </c>
      <c r="AH1285" s="7" t="inlineStr">
        <is>
          <t>2122</t>
        </is>
      </c>
    </row>
    <row r="1286" ht="10" customHeight="1">
      <c r="A1286" s="7" t="inlineStr">
        <is>
          <t>SCN</t>
        </is>
      </c>
      <c r="B1286" s="7" t="inlineStr">
        <is>
          <t>Procurement</t>
        </is>
      </c>
      <c r="D1286" s="7" t="inlineStr">
        <is>
          <t>DDG-51 - P-35 PHALANX (CIWS) - System Engineering</t>
        </is>
      </c>
      <c r="E1286" s="13" t="inlineStr">
        <is>
          <t>[ALT_VIEW]</t>
        </is>
      </c>
      <c r="F1286" s="7" t="inlineStr">
        <is>
          <t>2122 / DDG-51</t>
        </is>
      </c>
      <c r="G1286" s="7" t="inlineStr">
        <is>
          <t>P-35</t>
        </is>
      </c>
      <c r="I1286" s="14" t="n">
        <v>1</v>
      </c>
      <c r="J1286" s="7" t="inlineStr">
        <is>
          <t>Full ship DD&amp;C</t>
        </is>
      </c>
      <c r="K1286" s="13" t="inlineStr">
        <is>
          <t>USN</t>
        </is>
      </c>
      <c r="L1286" s="7" t="inlineStr">
        <is>
          <t>Combatant Ships</t>
        </is>
      </c>
      <c r="M1286" s="7" t="inlineStr">
        <is>
          <t>Surface Combatants</t>
        </is>
      </c>
      <c r="N1286" s="7" t="inlineStr">
        <is>
          <t>DDG</t>
        </is>
      </c>
      <c r="O1286" s="15" t="n"/>
      <c r="P1286" s="16" t="n">
        <v>966</v>
      </c>
      <c r="S1286" s="16" t="n">
        <v>1478</v>
      </c>
      <c r="U1286" s="16" t="n">
        <v>1478</v>
      </c>
      <c r="AC1286" s="23">
        <f>IF(OR(E1286="",E1286="[PARENT]"),"ADD",IF(E1286="[ALT_VIEW]","ALT",""))</f>
        <v/>
      </c>
      <c r="AD1286" s="21">
        <f>IF(Y1286&lt;&gt;"",Y1286,IF(U1286&lt;&gt;"",U1286,S1286))</f>
        <v/>
      </c>
      <c r="AE1286" s="21">
        <f>IF(AB1286&lt;&gt;"",AB1286,Z1286)</f>
        <v/>
      </c>
      <c r="AF1286" s="13" t="inlineStr">
        <is>
          <t>P-35 &gt; DDG-51 &gt; PHALANX (CIWS) &gt; System Engineering</t>
        </is>
      </c>
      <c r="AG1286" s="7" t="inlineStr">
        <is>
          <t>262</t>
        </is>
      </c>
      <c r="AH1286" s="7" t="inlineStr">
        <is>
          <t>2122</t>
        </is>
      </c>
      <c r="AJ1286" s="7" t="inlineStr">
        <is>
          <t>PHALANX (CIWS)</t>
        </is>
      </c>
    </row>
    <row r="1287" ht="10" customHeight="1">
      <c r="A1287" s="7" t="inlineStr">
        <is>
          <t>SCN</t>
        </is>
      </c>
      <c r="B1287" s="7" t="inlineStr">
        <is>
          <t>Procurement</t>
        </is>
      </c>
      <c r="D1287" s="7" t="inlineStr">
        <is>
          <t>DDG-51 - P-35 PHALANX (CIWS) - Technical Engineering Services</t>
        </is>
      </c>
      <c r="E1287" s="13" t="inlineStr">
        <is>
          <t>[ALT_VIEW]</t>
        </is>
      </c>
      <c r="F1287" s="7" t="inlineStr">
        <is>
          <t>2122 / DDG-51</t>
        </is>
      </c>
      <c r="G1287" s="7" t="inlineStr">
        <is>
          <t>P-35</t>
        </is>
      </c>
      <c r="I1287" s="14" t="n">
        <v>1</v>
      </c>
      <c r="J1287" s="7" t="inlineStr">
        <is>
          <t>Full ship DD&amp;C</t>
        </is>
      </c>
      <c r="K1287" s="13" t="inlineStr">
        <is>
          <t>USN</t>
        </is>
      </c>
      <c r="L1287" s="7" t="inlineStr">
        <is>
          <t>Combatant Ships</t>
        </is>
      </c>
      <c r="M1287" s="7" t="inlineStr">
        <is>
          <t>Surface Combatants</t>
        </is>
      </c>
      <c r="N1287" s="7" t="inlineStr">
        <is>
          <t>DDG</t>
        </is>
      </c>
      <c r="O1287" s="15" t="n"/>
      <c r="P1287" s="16" t="n">
        <v>1160</v>
      </c>
      <c r="S1287" s="16" t="n">
        <v>1775</v>
      </c>
      <c r="U1287" s="16" t="n">
        <v>1775</v>
      </c>
      <c r="AC1287" s="23">
        <f>IF(OR(E1287="",E1287="[PARENT]"),"ADD",IF(E1287="[ALT_VIEW]","ALT",""))</f>
        <v/>
      </c>
      <c r="AD1287" s="21">
        <f>IF(Y1287&lt;&gt;"",Y1287,IF(U1287&lt;&gt;"",U1287,S1287))</f>
        <v/>
      </c>
      <c r="AE1287" s="21">
        <f>IF(AB1287&lt;&gt;"",AB1287,Z1287)</f>
        <v/>
      </c>
      <c r="AF1287" s="13" t="inlineStr">
        <is>
          <t>P-35 &gt; DDG-51 &gt; PHALANX (CIWS) &gt; Technical Engineering Services</t>
        </is>
      </c>
      <c r="AG1287" s="7" t="inlineStr">
        <is>
          <t>262</t>
        </is>
      </c>
      <c r="AH1287" s="7" t="inlineStr">
        <is>
          <t>2122</t>
        </is>
      </c>
      <c r="AJ1287" s="7" t="inlineStr">
        <is>
          <t>PHALANX (CIWS)</t>
        </is>
      </c>
    </row>
    <row r="1288" ht="10" customHeight="1">
      <c r="A1288" s="7" t="inlineStr">
        <is>
          <t>SCN</t>
        </is>
      </c>
      <c r="B1288" s="7" t="inlineStr">
        <is>
          <t>Procurement</t>
        </is>
      </c>
      <c r="D1288" s="7" t="inlineStr">
        <is>
          <t>DDG-51 - P-35 PHALANX (CIWS) - Other Costs</t>
        </is>
      </c>
      <c r="E1288" s="13" t="inlineStr">
        <is>
          <t>[ALT_VIEW]</t>
        </is>
      </c>
      <c r="F1288" s="7" t="inlineStr">
        <is>
          <t>2122 / DDG-51</t>
        </is>
      </c>
      <c r="G1288" s="7" t="inlineStr">
        <is>
          <t>P-35</t>
        </is>
      </c>
      <c r="I1288" s="14" t="n">
        <v>1</v>
      </c>
      <c r="J1288" s="7" t="inlineStr">
        <is>
          <t>Full ship DD&amp;C</t>
        </is>
      </c>
      <c r="K1288" s="13" t="inlineStr">
        <is>
          <t>USN</t>
        </is>
      </c>
      <c r="L1288" s="7" t="inlineStr">
        <is>
          <t>Combatant Ships</t>
        </is>
      </c>
      <c r="M1288" s="7" t="inlineStr">
        <is>
          <t>Surface Combatants</t>
        </is>
      </c>
      <c r="N1288" s="7" t="inlineStr">
        <is>
          <t>DDG</t>
        </is>
      </c>
      <c r="O1288" s="15" t="n"/>
      <c r="P1288" s="16" t="n">
        <v>1861</v>
      </c>
      <c r="S1288" s="16" t="n">
        <v>2847</v>
      </c>
      <c r="U1288" s="16" t="n">
        <v>2847</v>
      </c>
      <c r="AC1288" s="23">
        <f>IF(OR(E1288="",E1288="[PARENT]"),"ADD",IF(E1288="[ALT_VIEW]","ALT",""))</f>
        <v/>
      </c>
      <c r="AD1288" s="21">
        <f>IF(Y1288&lt;&gt;"",Y1288,IF(U1288&lt;&gt;"",U1288,S1288))</f>
        <v/>
      </c>
      <c r="AE1288" s="21">
        <f>IF(AB1288&lt;&gt;"",AB1288,Z1288)</f>
        <v/>
      </c>
      <c r="AF1288" s="13" t="inlineStr">
        <is>
          <t>P-35 &gt; DDG-51 &gt; PHALANX (CIWS) &gt; Other Costs</t>
        </is>
      </c>
      <c r="AG1288" s="7" t="inlineStr">
        <is>
          <t>262</t>
        </is>
      </c>
      <c r="AH1288" s="7" t="inlineStr">
        <is>
          <t>2122</t>
        </is>
      </c>
      <c r="AJ1288" s="7" t="inlineStr">
        <is>
          <t>PHALANX (CIWS)</t>
        </is>
      </c>
    </row>
    <row r="1289" ht="10" customHeight="1">
      <c r="A1289" s="7" t="inlineStr">
        <is>
          <t>SCN</t>
        </is>
      </c>
      <c r="B1289" s="7" t="inlineStr">
        <is>
          <t>Procurement</t>
        </is>
      </c>
      <c r="D1289" s="7" t="inlineStr">
        <is>
          <t>DDG-51 - P-35 SPQ-9B Radar - Major Hardware                                                                                                 2</t>
        </is>
      </c>
      <c r="E1289" s="13" t="inlineStr">
        <is>
          <t>[ALT_VIEW]</t>
        </is>
      </c>
      <c r="F1289" s="7" t="inlineStr">
        <is>
          <t>2122 / DDG-51</t>
        </is>
      </c>
      <c r="G1289" s="7" t="inlineStr">
        <is>
          <t>P-35</t>
        </is>
      </c>
      <c r="I1289" s="14" t="n">
        <v>1</v>
      </c>
      <c r="J1289" s="7" t="inlineStr">
        <is>
          <t>Full ship DD&amp;C</t>
        </is>
      </c>
      <c r="K1289" s="13" t="inlineStr">
        <is>
          <t>USN</t>
        </is>
      </c>
      <c r="L1289" s="7" t="inlineStr">
        <is>
          <t>Combatant Ships</t>
        </is>
      </c>
      <c r="M1289" s="7" t="inlineStr">
        <is>
          <t>Surface Combatants</t>
        </is>
      </c>
      <c r="N1289" s="7" t="inlineStr">
        <is>
          <t>DDG</t>
        </is>
      </c>
      <c r="O1289" s="15" t="n"/>
      <c r="P1289" s="16" t="n">
        <v>18203</v>
      </c>
      <c r="S1289" s="16" t="n">
        <v>27851</v>
      </c>
      <c r="U1289" s="16" t="n">
        <v>27851</v>
      </c>
      <c r="AC1289" s="23">
        <f>IF(OR(E1289="",E1289="[PARENT]"),"ADD",IF(E1289="[ALT_VIEW]","ALT",""))</f>
        <v/>
      </c>
      <c r="AD1289" s="21">
        <f>IF(Y1289&lt;&gt;"",Y1289,IF(U1289&lt;&gt;"",U1289,S1289))</f>
        <v/>
      </c>
      <c r="AE1289" s="21">
        <f>IF(AB1289&lt;&gt;"",AB1289,Z1289)</f>
        <v/>
      </c>
      <c r="AF1289" s="13" t="inlineStr">
        <is>
          <t>P-35 &gt; DDG-51 &gt; SPQ-9B Radar &gt; Major Hardware                                                                                                 2</t>
        </is>
      </c>
      <c r="AG1289" s="7" t="inlineStr">
        <is>
          <t>263</t>
        </is>
      </c>
      <c r="AH1289" s="7" t="inlineStr">
        <is>
          <t>2122</t>
        </is>
      </c>
      <c r="AJ1289" s="7" t="inlineStr">
        <is>
          <t>SPQ-9B Radar [DDG 145]</t>
        </is>
      </c>
    </row>
    <row r="1290" ht="10" customHeight="1">
      <c r="A1290" s="7" t="inlineStr">
        <is>
          <t>SCN</t>
        </is>
      </c>
      <c r="B1290" s="7" t="inlineStr">
        <is>
          <t>Procurement</t>
        </is>
      </c>
      <c r="D1290" s="7" t="inlineStr">
        <is>
          <t>DDG-51 - P-35 SPQ-9B Radar - Spares</t>
        </is>
      </c>
      <c r="E1290" s="13" t="inlineStr">
        <is>
          <t>[ALT_VIEW]</t>
        </is>
      </c>
      <c r="F1290" s="7" t="inlineStr">
        <is>
          <t>2122 / DDG-51</t>
        </is>
      </c>
      <c r="G1290" s="7" t="inlineStr">
        <is>
          <t>P-35</t>
        </is>
      </c>
      <c r="I1290" s="14" t="n">
        <v>1</v>
      </c>
      <c r="J1290" s="7" t="inlineStr">
        <is>
          <t>Full ship DD&amp;C</t>
        </is>
      </c>
      <c r="K1290" s="13" t="inlineStr">
        <is>
          <t>USN</t>
        </is>
      </c>
      <c r="L1290" s="7" t="inlineStr">
        <is>
          <t>Combatant Ships</t>
        </is>
      </c>
      <c r="M1290" s="7" t="inlineStr">
        <is>
          <t>Surface Combatants</t>
        </is>
      </c>
      <c r="N1290" s="7" t="inlineStr">
        <is>
          <t>DDG</t>
        </is>
      </c>
      <c r="O1290" s="15" t="n"/>
      <c r="P1290" s="16" t="n">
        <v>240</v>
      </c>
      <c r="S1290" s="16" t="n">
        <v>367</v>
      </c>
      <c r="U1290" s="16" t="n">
        <v>367</v>
      </c>
      <c r="AC1290" s="23">
        <f>IF(OR(E1290="",E1290="[PARENT]"),"ADD",IF(E1290="[ALT_VIEW]","ALT",""))</f>
        <v/>
      </c>
      <c r="AD1290" s="21">
        <f>IF(Y1290&lt;&gt;"",Y1290,IF(U1290&lt;&gt;"",U1290,S1290))</f>
        <v/>
      </c>
      <c r="AE1290" s="21">
        <f>IF(AB1290&lt;&gt;"",AB1290,Z1290)</f>
        <v/>
      </c>
      <c r="AF1290" s="13" t="inlineStr">
        <is>
          <t>P-35 &gt; DDG-51 &gt; SPQ-9B Radar &gt; Spares</t>
        </is>
      </c>
      <c r="AG1290" s="7" t="inlineStr">
        <is>
          <t>263</t>
        </is>
      </c>
      <c r="AH1290" s="7" t="inlineStr">
        <is>
          <t>2122</t>
        </is>
      </c>
      <c r="AJ1290" s="7" t="inlineStr">
        <is>
          <t>SPQ-9B Radar</t>
        </is>
      </c>
    </row>
    <row r="1291" ht="10" customHeight="1">
      <c r="A1291" s="7" t="inlineStr">
        <is>
          <t>SCN</t>
        </is>
      </c>
      <c r="B1291" s="7" t="inlineStr">
        <is>
          <t>Procurement</t>
        </is>
      </c>
      <c r="D1291" s="7" t="inlineStr">
        <is>
          <t>DDG-51 - P-35 SPQ-9B Radar - System Engineering</t>
        </is>
      </c>
      <c r="E1291" s="13" t="inlineStr">
        <is>
          <t>[ALT_VIEW]</t>
        </is>
      </c>
      <c r="F1291" s="7" t="inlineStr">
        <is>
          <t>2122 / DDG-51</t>
        </is>
      </c>
      <c r="G1291" s="7" t="inlineStr">
        <is>
          <t>P-35</t>
        </is>
      </c>
      <c r="I1291" s="14" t="n">
        <v>1</v>
      </c>
      <c r="J1291" s="7" t="inlineStr">
        <is>
          <t>Full ship DD&amp;C</t>
        </is>
      </c>
      <c r="K1291" s="13" t="inlineStr">
        <is>
          <t>USN</t>
        </is>
      </c>
      <c r="L1291" s="7" t="inlineStr">
        <is>
          <t>Combatant Ships</t>
        </is>
      </c>
      <c r="M1291" s="7" t="inlineStr">
        <is>
          <t>Surface Combatants</t>
        </is>
      </c>
      <c r="N1291" s="7" t="inlineStr">
        <is>
          <t>DDG</t>
        </is>
      </c>
      <c r="O1291" s="15" t="n"/>
      <c r="P1291" s="16" t="n">
        <v>949</v>
      </c>
      <c r="S1291" s="16" t="n">
        <v>1452</v>
      </c>
      <c r="U1291" s="16" t="n">
        <v>1452</v>
      </c>
      <c r="AC1291" s="23">
        <f>IF(OR(E1291="",E1291="[PARENT]"),"ADD",IF(E1291="[ALT_VIEW]","ALT",""))</f>
        <v/>
      </c>
      <c r="AD1291" s="21">
        <f>IF(Y1291&lt;&gt;"",Y1291,IF(U1291&lt;&gt;"",U1291,S1291))</f>
        <v/>
      </c>
      <c r="AE1291" s="21">
        <f>IF(AB1291&lt;&gt;"",AB1291,Z1291)</f>
        <v/>
      </c>
      <c r="AF1291" s="13" t="inlineStr">
        <is>
          <t>P-35 &gt; DDG-51 &gt; SPQ-9B Radar &gt; System Engineering</t>
        </is>
      </c>
      <c r="AG1291" s="7" t="inlineStr">
        <is>
          <t>263</t>
        </is>
      </c>
      <c r="AH1291" s="7" t="inlineStr">
        <is>
          <t>2122</t>
        </is>
      </c>
      <c r="AJ1291" s="7" t="inlineStr">
        <is>
          <t>SPQ-9B Radar</t>
        </is>
      </c>
    </row>
    <row r="1292" ht="10" customHeight="1">
      <c r="A1292" s="7" t="inlineStr">
        <is>
          <t>SCN</t>
        </is>
      </c>
      <c r="B1292" s="7" t="inlineStr">
        <is>
          <t>Procurement</t>
        </is>
      </c>
      <c r="D1292" s="7" t="inlineStr">
        <is>
          <t>DDG-51 - P-35 SPQ-9B Radar - Technical Engineering Services</t>
        </is>
      </c>
      <c r="E1292" s="13" t="inlineStr">
        <is>
          <t>[ALT_VIEW]</t>
        </is>
      </c>
      <c r="F1292" s="7" t="inlineStr">
        <is>
          <t>2122 / DDG-51</t>
        </is>
      </c>
      <c r="G1292" s="7" t="inlineStr">
        <is>
          <t>P-35</t>
        </is>
      </c>
      <c r="I1292" s="14" t="n">
        <v>1</v>
      </c>
      <c r="J1292" s="7" t="inlineStr">
        <is>
          <t>Full ship DD&amp;C</t>
        </is>
      </c>
      <c r="K1292" s="13" t="inlineStr">
        <is>
          <t>USN</t>
        </is>
      </c>
      <c r="L1292" s="7" t="inlineStr">
        <is>
          <t>Combatant Ships</t>
        </is>
      </c>
      <c r="M1292" s="7" t="inlineStr">
        <is>
          <t>Surface Combatants</t>
        </is>
      </c>
      <c r="N1292" s="7" t="inlineStr">
        <is>
          <t>DDG</t>
        </is>
      </c>
      <c r="O1292" s="15" t="n"/>
      <c r="P1292" s="16" t="n">
        <v>1009</v>
      </c>
      <c r="S1292" s="16" t="n">
        <v>1544</v>
      </c>
      <c r="U1292" s="16" t="n">
        <v>1544</v>
      </c>
      <c r="AC1292" s="23">
        <f>IF(OR(E1292="",E1292="[PARENT]"),"ADD",IF(E1292="[ALT_VIEW]","ALT",""))</f>
        <v/>
      </c>
      <c r="AD1292" s="21">
        <f>IF(Y1292&lt;&gt;"",Y1292,IF(U1292&lt;&gt;"",U1292,S1292))</f>
        <v/>
      </c>
      <c r="AE1292" s="21">
        <f>IF(AB1292&lt;&gt;"",AB1292,Z1292)</f>
        <v/>
      </c>
      <c r="AF1292" s="13" t="inlineStr">
        <is>
          <t>P-35 &gt; DDG-51 &gt; SPQ-9B Radar &gt; Technical Engineering Services</t>
        </is>
      </c>
      <c r="AG1292" s="7" t="inlineStr">
        <is>
          <t>263</t>
        </is>
      </c>
      <c r="AH1292" s="7" t="inlineStr">
        <is>
          <t>2122</t>
        </is>
      </c>
      <c r="AJ1292" s="7" t="inlineStr">
        <is>
          <t>SPQ-9B Radar</t>
        </is>
      </c>
    </row>
    <row r="1293" ht="10" customHeight="1">
      <c r="A1293" s="7" t="inlineStr">
        <is>
          <t>SCN</t>
        </is>
      </c>
      <c r="B1293" s="7" t="inlineStr">
        <is>
          <t>Procurement</t>
        </is>
      </c>
      <c r="D1293" s="7" t="inlineStr">
        <is>
          <t>DDG-51 - P-35 SPQ-9B Radar - Other Costs</t>
        </is>
      </c>
      <c r="E1293" s="13" t="inlineStr">
        <is>
          <t>[ALT_VIEW]</t>
        </is>
      </c>
      <c r="F1293" s="7" t="inlineStr">
        <is>
          <t>2122 / DDG-51</t>
        </is>
      </c>
      <c r="G1293" s="7" t="inlineStr">
        <is>
          <t>P-35</t>
        </is>
      </c>
      <c r="I1293" s="14" t="n">
        <v>1</v>
      </c>
      <c r="J1293" s="7" t="inlineStr">
        <is>
          <t>Full ship DD&amp;C</t>
        </is>
      </c>
      <c r="K1293" s="13" t="inlineStr">
        <is>
          <t>USN</t>
        </is>
      </c>
      <c r="L1293" s="7" t="inlineStr">
        <is>
          <t>Combatant Ships</t>
        </is>
      </c>
      <c r="M1293" s="7" t="inlineStr">
        <is>
          <t>Surface Combatants</t>
        </is>
      </c>
      <c r="N1293" s="7" t="inlineStr">
        <is>
          <t>DDG</t>
        </is>
      </c>
      <c r="O1293" s="15" t="n"/>
      <c r="P1293" s="16" t="n">
        <v>1117</v>
      </c>
      <c r="S1293" s="16" t="n">
        <v>1709</v>
      </c>
      <c r="U1293" s="16" t="n">
        <v>1709</v>
      </c>
      <c r="AC1293" s="23">
        <f>IF(OR(E1293="",E1293="[PARENT]"),"ADD",IF(E1293="[ALT_VIEW]","ALT",""))</f>
        <v/>
      </c>
      <c r="AD1293" s="21">
        <f>IF(Y1293&lt;&gt;"",Y1293,IF(U1293&lt;&gt;"",U1293,S1293))</f>
        <v/>
      </c>
      <c r="AE1293" s="21">
        <f>IF(AB1293&lt;&gt;"",AB1293,Z1293)</f>
        <v/>
      </c>
      <c r="AF1293" s="13" t="inlineStr">
        <is>
          <t>P-35 &gt; DDG-51 &gt; SPQ-9B Radar &gt; Other Costs</t>
        </is>
      </c>
      <c r="AG1293" s="7" t="inlineStr">
        <is>
          <t>263</t>
        </is>
      </c>
      <c r="AH1293" s="7" t="inlineStr">
        <is>
          <t>2122</t>
        </is>
      </c>
      <c r="AJ1293" s="7" t="inlineStr">
        <is>
          <t>SPQ-9B Radar</t>
        </is>
      </c>
    </row>
    <row r="1294" ht="10" customHeight="1">
      <c r="A1294" s="7" t="inlineStr">
        <is>
          <t>SCN</t>
        </is>
      </c>
      <c r="B1294" s="7" t="inlineStr">
        <is>
          <t>Procurement</t>
        </is>
      </c>
      <c r="D1294" s="7" t="inlineStr">
        <is>
          <t>DDG-51 - P-35 MK-38 Gun Weapon System (GWS) - Major Hardware                                                                                                 2</t>
        </is>
      </c>
      <c r="E1294" s="13" t="inlineStr">
        <is>
          <t>[ALT_VIEW]</t>
        </is>
      </c>
      <c r="F1294" s="7" t="inlineStr">
        <is>
          <t>2122 / DDG-51</t>
        </is>
      </c>
      <c r="G1294" s="7" t="inlineStr">
        <is>
          <t>P-35</t>
        </is>
      </c>
      <c r="I1294" s="14" t="n">
        <v>1</v>
      </c>
      <c r="J1294" s="7" t="inlineStr">
        <is>
          <t>Full ship DD&amp;C</t>
        </is>
      </c>
      <c r="K1294" s="13" t="inlineStr">
        <is>
          <t>USN</t>
        </is>
      </c>
      <c r="L1294" s="7" t="inlineStr">
        <is>
          <t>Combatant Ships</t>
        </is>
      </c>
      <c r="M1294" s="7" t="inlineStr">
        <is>
          <t>Surface Combatants</t>
        </is>
      </c>
      <c r="N1294" s="7" t="inlineStr">
        <is>
          <t>DDG</t>
        </is>
      </c>
      <c r="O1294" s="15" t="n"/>
      <c r="P1294" s="16" t="n">
        <v>12454</v>
      </c>
      <c r="S1294" s="16" t="n">
        <v>19055</v>
      </c>
      <c r="U1294" s="16" t="n">
        <v>19055</v>
      </c>
      <c r="AC1294" s="23">
        <f>IF(OR(E1294="",E1294="[PARENT]"),"ADD",IF(E1294="[ALT_VIEW]","ALT",""))</f>
        <v/>
      </c>
      <c r="AD1294" s="21">
        <f>IF(Y1294&lt;&gt;"",Y1294,IF(U1294&lt;&gt;"",U1294,S1294))</f>
        <v/>
      </c>
      <c r="AE1294" s="21">
        <f>IF(AB1294&lt;&gt;"",AB1294,Z1294)</f>
        <v/>
      </c>
      <c r="AF1294" s="13" t="inlineStr">
        <is>
          <t>P-35 &gt; DDG-51 &gt; MK-38 Gun Weapon System (GWS) &gt; Major Hardware                                                                                                 2</t>
        </is>
      </c>
      <c r="AG1294" s="7" t="inlineStr">
        <is>
          <t>264</t>
        </is>
      </c>
      <c r="AH1294" s="7" t="inlineStr">
        <is>
          <t>2122</t>
        </is>
      </c>
    </row>
    <row r="1295" ht="10" customHeight="1">
      <c r="A1295" s="7" t="inlineStr">
        <is>
          <t>SCN</t>
        </is>
      </c>
      <c r="B1295" s="7" t="inlineStr">
        <is>
          <t>Procurement</t>
        </is>
      </c>
      <c r="D1295" s="7" t="inlineStr">
        <is>
          <t>DDG-51 - P-35 MK-38 Gun Weapon System (GWS) - Technical Data and Documentation</t>
        </is>
      </c>
      <c r="E1295" s="13" t="inlineStr">
        <is>
          <t>[ALT_VIEW]</t>
        </is>
      </c>
      <c r="F1295" s="7" t="inlineStr">
        <is>
          <t>2122 / DDG-51</t>
        </is>
      </c>
      <c r="G1295" s="7" t="inlineStr">
        <is>
          <t>P-35</t>
        </is>
      </c>
      <c r="I1295" s="14" t="n">
        <v>1</v>
      </c>
      <c r="J1295" s="7" t="inlineStr">
        <is>
          <t>Full ship DD&amp;C</t>
        </is>
      </c>
      <c r="K1295" s="13" t="inlineStr">
        <is>
          <t>USN</t>
        </is>
      </c>
      <c r="L1295" s="7" t="inlineStr">
        <is>
          <t>Combatant Ships</t>
        </is>
      </c>
      <c r="M1295" s="7" t="inlineStr">
        <is>
          <t>Surface Combatants</t>
        </is>
      </c>
      <c r="N1295" s="7" t="inlineStr">
        <is>
          <t>DDG</t>
        </is>
      </c>
      <c r="O1295" s="15" t="n"/>
      <c r="P1295" s="16" t="n">
        <v>202</v>
      </c>
      <c r="S1295" s="16" t="n">
        <v>309</v>
      </c>
      <c r="U1295" s="16" t="n">
        <v>309</v>
      </c>
      <c r="AC1295" s="23">
        <f>IF(OR(E1295="",E1295="[PARENT]"),"ADD",IF(E1295="[ALT_VIEW]","ALT",""))</f>
        <v/>
      </c>
      <c r="AD1295" s="21">
        <f>IF(Y1295&lt;&gt;"",Y1295,IF(U1295&lt;&gt;"",U1295,S1295))</f>
        <v/>
      </c>
      <c r="AE1295" s="21">
        <f>IF(AB1295&lt;&gt;"",AB1295,Z1295)</f>
        <v/>
      </c>
      <c r="AF1295" s="13" t="inlineStr">
        <is>
          <t>P-35 &gt; DDG-51 &gt; MK-38 Gun Weapon System (GWS) &gt; Technical Data and Documentation</t>
        </is>
      </c>
      <c r="AG1295" s="7" t="inlineStr">
        <is>
          <t>264</t>
        </is>
      </c>
      <c r="AH1295" s="7" t="inlineStr">
        <is>
          <t>2122</t>
        </is>
      </c>
      <c r="AJ1295" s="7" t="inlineStr">
        <is>
          <t>MK-38 Gun Weapon System (GWS)</t>
        </is>
      </c>
    </row>
    <row r="1296" ht="10" customHeight="1">
      <c r="A1296" s="7" t="inlineStr">
        <is>
          <t>SCN</t>
        </is>
      </c>
      <c r="B1296" s="7" t="inlineStr">
        <is>
          <t>Procurement</t>
        </is>
      </c>
      <c r="D1296" s="7" t="inlineStr">
        <is>
          <t>DDG-51 - P-35 MK-38 Gun Weapon System (GWS) - System Engineering</t>
        </is>
      </c>
      <c r="E1296" s="13" t="inlineStr">
        <is>
          <t>[ALT_VIEW]</t>
        </is>
      </c>
      <c r="F1296" s="7" t="inlineStr">
        <is>
          <t>2122 / DDG-51</t>
        </is>
      </c>
      <c r="G1296" s="7" t="inlineStr">
        <is>
          <t>P-35</t>
        </is>
      </c>
      <c r="I1296" s="14" t="n">
        <v>1</v>
      </c>
      <c r="J1296" s="7" t="inlineStr">
        <is>
          <t>Full ship DD&amp;C</t>
        </is>
      </c>
      <c r="K1296" s="13" t="inlineStr">
        <is>
          <t>USN</t>
        </is>
      </c>
      <c r="L1296" s="7" t="inlineStr">
        <is>
          <t>Combatant Ships</t>
        </is>
      </c>
      <c r="M1296" s="7" t="inlineStr">
        <is>
          <t>Surface Combatants</t>
        </is>
      </c>
      <c r="N1296" s="7" t="inlineStr">
        <is>
          <t>DDG</t>
        </is>
      </c>
      <c r="O1296" s="15" t="n"/>
      <c r="P1296" s="16" t="n">
        <v>1244</v>
      </c>
      <c r="S1296" s="16" t="n">
        <v>1903</v>
      </c>
      <c r="U1296" s="16" t="n">
        <v>1903</v>
      </c>
      <c r="AC1296" s="23">
        <f>IF(OR(E1296="",E1296="[PARENT]"),"ADD",IF(E1296="[ALT_VIEW]","ALT",""))</f>
        <v/>
      </c>
      <c r="AD1296" s="21">
        <f>IF(Y1296&lt;&gt;"",Y1296,IF(U1296&lt;&gt;"",U1296,S1296))</f>
        <v/>
      </c>
      <c r="AE1296" s="21">
        <f>IF(AB1296&lt;&gt;"",AB1296,Z1296)</f>
        <v/>
      </c>
      <c r="AF1296" s="13" t="inlineStr">
        <is>
          <t>P-35 &gt; DDG-51 &gt; MK-38 Gun Weapon System (GWS) &gt; System Engineering</t>
        </is>
      </c>
      <c r="AG1296" s="7" t="inlineStr">
        <is>
          <t>264</t>
        </is>
      </c>
      <c r="AH1296" s="7" t="inlineStr">
        <is>
          <t>2122</t>
        </is>
      </c>
      <c r="AJ1296" s="7" t="inlineStr">
        <is>
          <t>MK-38 Gun Weapon System (GWS)</t>
        </is>
      </c>
    </row>
    <row r="1297" ht="10" customHeight="1">
      <c r="A1297" s="7" t="inlineStr">
        <is>
          <t>SCN</t>
        </is>
      </c>
      <c r="B1297" s="7" t="inlineStr">
        <is>
          <t>Procurement</t>
        </is>
      </c>
      <c r="D1297" s="7" t="inlineStr">
        <is>
          <t>DDG-51 - P-35 MK-38 Gun Weapon System (GWS) - Technical Engineering Services</t>
        </is>
      </c>
      <c r="E1297" s="13" t="inlineStr">
        <is>
          <t>[ALT_VIEW]</t>
        </is>
      </c>
      <c r="F1297" s="7" t="inlineStr">
        <is>
          <t>2122 / DDG-51</t>
        </is>
      </c>
      <c r="G1297" s="7" t="inlineStr">
        <is>
          <t>P-35</t>
        </is>
      </c>
      <c r="I1297" s="14" t="n">
        <v>1</v>
      </c>
      <c r="J1297" s="7" t="inlineStr">
        <is>
          <t>Full ship DD&amp;C</t>
        </is>
      </c>
      <c r="K1297" s="13" t="inlineStr">
        <is>
          <t>USN</t>
        </is>
      </c>
      <c r="L1297" s="7" t="inlineStr">
        <is>
          <t>Combatant Ships</t>
        </is>
      </c>
      <c r="M1297" s="7" t="inlineStr">
        <is>
          <t>Surface Combatants</t>
        </is>
      </c>
      <c r="N1297" s="7" t="inlineStr">
        <is>
          <t>DDG</t>
        </is>
      </c>
      <c r="O1297" s="15" t="n"/>
      <c r="P1297" s="16" t="n">
        <v>143</v>
      </c>
      <c r="S1297" s="16" t="n">
        <v>219</v>
      </c>
      <c r="U1297" s="16" t="n">
        <v>219</v>
      </c>
      <c r="AC1297" s="23">
        <f>IF(OR(E1297="",E1297="[PARENT]"),"ADD",IF(E1297="[ALT_VIEW]","ALT",""))</f>
        <v/>
      </c>
      <c r="AD1297" s="21">
        <f>IF(Y1297&lt;&gt;"",Y1297,IF(U1297&lt;&gt;"",U1297,S1297))</f>
        <v/>
      </c>
      <c r="AE1297" s="21">
        <f>IF(AB1297&lt;&gt;"",AB1297,Z1297)</f>
        <v/>
      </c>
      <c r="AF1297" s="13" t="inlineStr">
        <is>
          <t>P-35 &gt; DDG-51 &gt; MK-38 Gun Weapon System (GWS) &gt; Technical Engineering Services</t>
        </is>
      </c>
      <c r="AG1297" s="7" t="inlineStr">
        <is>
          <t>264</t>
        </is>
      </c>
      <c r="AH1297" s="7" t="inlineStr">
        <is>
          <t>2122</t>
        </is>
      </c>
      <c r="AJ1297" s="7" t="inlineStr">
        <is>
          <t>MK-38 Gun Weapon System (GWS)</t>
        </is>
      </c>
    </row>
    <row r="1298" ht="10" customHeight="1">
      <c r="A1298" s="7" t="inlineStr">
        <is>
          <t>SCN</t>
        </is>
      </c>
      <c r="B1298" s="7" t="inlineStr">
        <is>
          <t>Procurement</t>
        </is>
      </c>
      <c r="D1298" s="7" t="inlineStr">
        <is>
          <t>DDG-51 - P-35 MK-38 Gun Weapon System (GWS) - Other Costs</t>
        </is>
      </c>
      <c r="E1298" s="13" t="inlineStr">
        <is>
          <t>[ALT_VIEW]</t>
        </is>
      </c>
      <c r="F1298" s="7" t="inlineStr">
        <is>
          <t>2122 / DDG-51</t>
        </is>
      </c>
      <c r="G1298" s="7" t="inlineStr">
        <is>
          <t>P-35</t>
        </is>
      </c>
      <c r="I1298" s="14" t="n">
        <v>1</v>
      </c>
      <c r="J1298" s="7" t="inlineStr">
        <is>
          <t>Full ship DD&amp;C</t>
        </is>
      </c>
      <c r="K1298" s="13" t="inlineStr">
        <is>
          <t>USN</t>
        </is>
      </c>
      <c r="L1298" s="7" t="inlineStr">
        <is>
          <t>Combatant Ships</t>
        </is>
      </c>
      <c r="M1298" s="7" t="inlineStr">
        <is>
          <t>Surface Combatants</t>
        </is>
      </c>
      <c r="N1298" s="7" t="inlineStr">
        <is>
          <t>DDG</t>
        </is>
      </c>
      <c r="O1298" s="15" t="n"/>
      <c r="P1298" s="16" t="n">
        <v>1010</v>
      </c>
      <c r="S1298" s="16" t="n">
        <v>1545</v>
      </c>
      <c r="U1298" s="16" t="n">
        <v>1545</v>
      </c>
      <c r="AC1298" s="23">
        <f>IF(OR(E1298="",E1298="[PARENT]"),"ADD",IF(E1298="[ALT_VIEW]","ALT",""))</f>
        <v/>
      </c>
      <c r="AD1298" s="21">
        <f>IF(Y1298&lt;&gt;"",Y1298,IF(U1298&lt;&gt;"",U1298,S1298))</f>
        <v/>
      </c>
      <c r="AE1298" s="21">
        <f>IF(AB1298&lt;&gt;"",AB1298,Z1298)</f>
        <v/>
      </c>
      <c r="AF1298" s="13" t="inlineStr">
        <is>
          <t>P-35 &gt; DDG-51 &gt; MK-38 Gun Weapon System (GWS) &gt; Other Costs</t>
        </is>
      </c>
      <c r="AG1298" s="7" t="inlineStr">
        <is>
          <t>264</t>
        </is>
      </c>
      <c r="AH1298" s="7" t="inlineStr">
        <is>
          <t>2122</t>
        </is>
      </c>
      <c r="AJ1298" s="7" t="inlineStr">
        <is>
          <t>MK-38 Gun Weapon System (GWS)</t>
        </is>
      </c>
    </row>
    <row r="1299" ht="10" customHeight="1">
      <c r="A1299" s="7" t="inlineStr">
        <is>
          <t>SCN</t>
        </is>
      </c>
      <c r="B1299" s="7" t="inlineStr">
        <is>
          <t>Procurement</t>
        </is>
      </c>
      <c r="D1299" s="7" t="inlineStr">
        <is>
          <t>DDG-51 - P-10 - SHIP CONSTRUCTION ECONOMIC ORDER QUANTITY (EOQ) - SHIP Construction EOQ FY23 Ships                                                 VARIOUS          VARIOUS                -             -</t>
        </is>
      </c>
      <c r="E1299" s="13" t="inlineStr">
        <is>
          <t>[SUB]</t>
        </is>
      </c>
      <c r="F1299" s="7" t="inlineStr">
        <is>
          <t>2122 / DDG-51 AP</t>
        </is>
      </c>
      <c r="I1299" s="14" t="n">
        <v>1</v>
      </c>
      <c r="J1299" s="7" t="inlineStr">
        <is>
          <t>Advance procurement / LLTM</t>
        </is>
      </c>
      <c r="K1299" s="13" t="inlineStr">
        <is>
          <t>USN</t>
        </is>
      </c>
      <c r="L1299" s="7" t="inlineStr">
        <is>
          <t>Combatant Ships</t>
        </is>
      </c>
      <c r="M1299" s="7" t="inlineStr">
        <is>
          <t>Surface Combatants</t>
        </is>
      </c>
      <c r="N1299" s="7" t="inlineStr">
        <is>
          <t>DDG</t>
        </is>
      </c>
      <c r="O1299" s="15" t="n"/>
      <c r="P1299" s="16" t="n">
        <v>0</v>
      </c>
      <c r="AC1299" s="23">
        <f>IF(OR(E1299="",E1299="[PARENT]"),"ADD",IF(E1299="[ALT_VIEW]","ALT",""))</f>
        <v/>
      </c>
      <c r="AD1299" s="21">
        <f>IF(Y1299&lt;&gt;"",Y1299,IF(U1299&lt;&gt;"",U1299,S1299))</f>
        <v/>
      </c>
      <c r="AE1299" s="21">
        <f>IF(AB1299&lt;&gt;"",AB1299,Z1299)</f>
        <v/>
      </c>
      <c r="AF1299" s="13" t="inlineStr">
        <is>
          <t>P-10 &gt; DDG-51 &gt; SHIP CONSTRUCTION ECONOMIC ORDER QUANTITY (EOQ) - SHIP Construction EOQ FY23 Ships                                                 VARIOUS          VARIOUS                -             -</t>
        </is>
      </c>
      <c r="AG1299" s="7" t="inlineStr">
        <is>
          <t>265</t>
        </is>
      </c>
      <c r="AH1299" s="7" t="inlineStr">
        <is>
          <t>2122</t>
        </is>
      </c>
      <c r="AJ1299" s="7" t="inlineStr">
        <is>
          <t>SHIP Construction EOQ FY23 Ships</t>
        </is>
      </c>
    </row>
    <row r="1300" ht="10" customHeight="1">
      <c r="A1300" s="7" t="inlineStr">
        <is>
          <t>SCN</t>
        </is>
      </c>
      <c r="B1300" s="7" t="inlineStr">
        <is>
          <t>Procurement</t>
        </is>
      </c>
      <c r="D1300" s="7" t="inlineStr">
        <is>
          <t>DDG-51 - P-10 - SHIP CONSTRUCTION ECONOMIC ORDER QUANTITY (EOQ) - SHIP Construction EOQ FY24 Ships                                                 VARIOUS          VARIOUS                -             -</t>
        </is>
      </c>
      <c r="E1300" s="13" t="inlineStr">
        <is>
          <t>[SUB]</t>
        </is>
      </c>
      <c r="F1300" s="7" t="inlineStr">
        <is>
          <t>2122 / DDG-51 AP</t>
        </is>
      </c>
      <c r="I1300" s="14" t="n">
        <v>1</v>
      </c>
      <c r="J1300" s="7" t="inlineStr">
        <is>
          <t>Advance procurement / LLTM</t>
        </is>
      </c>
      <c r="K1300" s="13" t="inlineStr">
        <is>
          <t>USN</t>
        </is>
      </c>
      <c r="L1300" s="7" t="inlineStr">
        <is>
          <t>Combatant Ships</t>
        </is>
      </c>
      <c r="M1300" s="7" t="inlineStr">
        <is>
          <t>Surface Combatants</t>
        </is>
      </c>
      <c r="N1300" s="7" t="inlineStr">
        <is>
          <t>DDG</t>
        </is>
      </c>
      <c r="O1300" s="15" t="n"/>
      <c r="P1300" s="16" t="n">
        <v>0</v>
      </c>
      <c r="AC1300" s="23">
        <f>IF(OR(E1300="",E1300="[PARENT]"),"ADD",IF(E1300="[ALT_VIEW]","ALT",""))</f>
        <v/>
      </c>
      <c r="AD1300" s="21">
        <f>IF(Y1300&lt;&gt;"",Y1300,IF(U1300&lt;&gt;"",U1300,S1300))</f>
        <v/>
      </c>
      <c r="AE1300" s="21">
        <f>IF(AB1300&lt;&gt;"",AB1300,Z1300)</f>
        <v/>
      </c>
      <c r="AF1300" s="13" t="inlineStr">
        <is>
          <t>P-10 &gt; DDG-51 &gt; SHIP CONSTRUCTION ECONOMIC ORDER QUANTITY (EOQ) - SHIP Construction EOQ FY24 Ships                                                 VARIOUS          VARIOUS                -             -</t>
        </is>
      </c>
      <c r="AG1300" s="7" t="inlineStr">
        <is>
          <t>265</t>
        </is>
      </c>
      <c r="AH1300" s="7" t="inlineStr">
        <is>
          <t>2122</t>
        </is>
      </c>
      <c r="AJ1300" s="7" t="inlineStr">
        <is>
          <t>SHIP Construction EOQ FY24 Ships</t>
        </is>
      </c>
    </row>
    <row r="1301" ht="10" customHeight="1">
      <c r="A1301" s="7" t="inlineStr">
        <is>
          <t>SCN</t>
        </is>
      </c>
      <c r="B1301" s="7" t="inlineStr">
        <is>
          <t>Procurement</t>
        </is>
      </c>
      <c r="D1301" s="7" t="inlineStr">
        <is>
          <t>DDG-51 - P-10 - SHIP CONSTRUCTION ECONOMIC ORDER QUANTITY (EOQ) - SHIP Construction EOQ FY25 Ships                                                 VARIOUS          VARIOUS</t>
        </is>
      </c>
      <c r="E1301" s="13" t="inlineStr">
        <is>
          <t>[SUB]</t>
        </is>
      </c>
      <c r="F1301" s="7" t="inlineStr">
        <is>
          <t>2122 / DDG-51 AP</t>
        </is>
      </c>
      <c r="I1301" s="14" t="n">
        <v>1</v>
      </c>
      <c r="J1301" s="7" t="inlineStr">
        <is>
          <t>Advance procurement / LLTM</t>
        </is>
      </c>
      <c r="K1301" s="13" t="inlineStr">
        <is>
          <t>USN</t>
        </is>
      </c>
      <c r="L1301" s="7" t="inlineStr">
        <is>
          <t>Combatant Ships</t>
        </is>
      </c>
      <c r="M1301" s="7" t="inlineStr">
        <is>
          <t>Surface Combatants</t>
        </is>
      </c>
      <c r="N1301" s="7" t="inlineStr">
        <is>
          <t>DDG</t>
        </is>
      </c>
      <c r="O1301" s="15" t="n"/>
      <c r="P1301" s="16" t="n">
        <v>1433048</v>
      </c>
      <c r="S1301" s="16" t="n">
        <v>0</v>
      </c>
      <c r="U1301" s="16" t="n">
        <v>0</v>
      </c>
      <c r="AC1301" s="23">
        <f>IF(OR(E1301="",E1301="[PARENT]"),"ADD",IF(E1301="[ALT_VIEW]","ALT",""))</f>
        <v/>
      </c>
      <c r="AD1301" s="21">
        <f>IF(Y1301&lt;&gt;"",Y1301,IF(U1301&lt;&gt;"",U1301,S1301))</f>
        <v/>
      </c>
      <c r="AE1301" s="21">
        <f>IF(AB1301&lt;&gt;"",AB1301,Z1301)</f>
        <v/>
      </c>
      <c r="AF1301" s="13" t="inlineStr">
        <is>
          <t>P-10 &gt; DDG-51 &gt; SHIP CONSTRUCTION ECONOMIC ORDER QUANTITY (EOQ) - SHIP Construction EOQ FY25 Ships                                                 VARIOUS          VARIOUS</t>
        </is>
      </c>
      <c r="AG1301" s="7" t="inlineStr">
        <is>
          <t>265</t>
        </is>
      </c>
      <c r="AH1301" s="7" t="inlineStr">
        <is>
          <t>2122</t>
        </is>
      </c>
      <c r="AJ1301" s="7" t="inlineStr">
        <is>
          <t>SHIP Construction EOQ FY25 Ships</t>
        </is>
      </c>
    </row>
    <row r="1302" ht="10" customHeight="1">
      <c r="A1302" s="7" t="inlineStr">
        <is>
          <t>SCN</t>
        </is>
      </c>
      <c r="B1302" s="7" t="inlineStr">
        <is>
          <t>Procurement</t>
        </is>
      </c>
      <c r="D1302" s="7" t="inlineStr">
        <is>
          <t>DDG-51 - P-10 - SHIP CONSTRUCTION ECONOMIC ORDER QUANTITY (EOQ) - SHIP Construction EOQ FY26 Ships                                                 VARIOUS          VARIOUS</t>
        </is>
      </c>
      <c r="E1302" s="13" t="inlineStr">
        <is>
          <t>[SUB]</t>
        </is>
      </c>
      <c r="F1302" s="7" t="inlineStr">
        <is>
          <t>2122 / DDG-51 AP</t>
        </is>
      </c>
      <c r="I1302" s="14" t="n">
        <v>1</v>
      </c>
      <c r="J1302" s="7" t="inlineStr">
        <is>
          <t>Advance procurement / LLTM</t>
        </is>
      </c>
      <c r="K1302" s="13" t="inlineStr">
        <is>
          <t>USN</t>
        </is>
      </c>
      <c r="L1302" s="7" t="inlineStr">
        <is>
          <t>Combatant Ships</t>
        </is>
      </c>
      <c r="M1302" s="7" t="inlineStr">
        <is>
          <t>Surface Combatants</t>
        </is>
      </c>
      <c r="N1302" s="7" t="inlineStr">
        <is>
          <t>DDG</t>
        </is>
      </c>
      <c r="O1302" s="15" t="n"/>
      <c r="P1302" s="16" t="n">
        <v>75743</v>
      </c>
      <c r="Q1302" s="16" t="n">
        <v>41500</v>
      </c>
      <c r="S1302" s="16" t="n">
        <v>0</v>
      </c>
      <c r="U1302" s="16" t="n">
        <v>0</v>
      </c>
      <c r="AC1302" s="23">
        <f>IF(OR(E1302="",E1302="[PARENT]"),"ADD",IF(E1302="[ALT_VIEW]","ALT",""))</f>
        <v/>
      </c>
      <c r="AD1302" s="21">
        <f>IF(Y1302&lt;&gt;"",Y1302,IF(U1302&lt;&gt;"",U1302,S1302))</f>
        <v/>
      </c>
      <c r="AE1302" s="21">
        <f>IF(AB1302&lt;&gt;"",AB1302,Z1302)</f>
        <v/>
      </c>
      <c r="AF1302" s="13" t="inlineStr">
        <is>
          <t>P-10 &gt; DDG-51 &gt; SHIP CONSTRUCTION ECONOMIC ORDER QUANTITY (EOQ) - SHIP Construction EOQ FY26 Ships                                                 VARIOUS          VARIOUS</t>
        </is>
      </c>
      <c r="AG1302" s="7" t="inlineStr">
        <is>
          <t>265</t>
        </is>
      </c>
      <c r="AH1302" s="7" t="inlineStr">
        <is>
          <t>2122</t>
        </is>
      </c>
      <c r="AJ1302" s="7" t="inlineStr">
        <is>
          <t>SHIP Construction EOQ FY26 Ships</t>
        </is>
      </c>
    </row>
    <row r="1303" ht="10" customHeight="1">
      <c r="A1303" s="7" t="inlineStr">
        <is>
          <t>SCN</t>
        </is>
      </c>
      <c r="B1303" s="7" t="inlineStr">
        <is>
          <t>Procurement</t>
        </is>
      </c>
      <c r="D1303" s="7" t="inlineStr">
        <is>
          <t>DDG-51 - P-10 - SHIP CONSTRUCTION ECONOMIC ORDER QUANTITY (EOQ) - SHIP Construction EOQ FY27 Ships                                                 VARIOUS          VARIOUS</t>
        </is>
      </c>
      <c r="E1303" s="13" t="inlineStr">
        <is>
          <t>[SUB]</t>
        </is>
      </c>
      <c r="F1303" s="7" t="inlineStr">
        <is>
          <t>2122 / DDG-51 AP</t>
        </is>
      </c>
      <c r="I1303" s="14" t="n">
        <v>1</v>
      </c>
      <c r="J1303" s="7" t="inlineStr">
        <is>
          <t>Advance procurement / LLTM</t>
        </is>
      </c>
      <c r="K1303" s="13" t="inlineStr">
        <is>
          <t>USN</t>
        </is>
      </c>
      <c r="L1303" s="7" t="inlineStr">
        <is>
          <t>Combatant Ships</t>
        </is>
      </c>
      <c r="M1303" s="7" t="inlineStr">
        <is>
          <t>Surface Combatants</t>
        </is>
      </c>
      <c r="N1303" s="7" t="inlineStr">
        <is>
          <t>DDG</t>
        </is>
      </c>
      <c r="O1303" s="15" t="n"/>
      <c r="P1303" s="16" t="n">
        <v>124567</v>
      </c>
      <c r="S1303" s="16" t="n">
        <v>0</v>
      </c>
      <c r="U1303" s="16" t="n">
        <v>0</v>
      </c>
      <c r="AC1303" s="23">
        <f>IF(OR(E1303="",E1303="[PARENT]"),"ADD",IF(E1303="[ALT_VIEW]","ALT",""))</f>
        <v/>
      </c>
      <c r="AD1303" s="21">
        <f>IF(Y1303&lt;&gt;"",Y1303,IF(U1303&lt;&gt;"",U1303,S1303))</f>
        <v/>
      </c>
      <c r="AE1303" s="21">
        <f>IF(AB1303&lt;&gt;"",AB1303,Z1303)</f>
        <v/>
      </c>
      <c r="AF1303" s="13" t="inlineStr">
        <is>
          <t>P-10 &gt; DDG-51 &gt; SHIP CONSTRUCTION ECONOMIC ORDER QUANTITY (EOQ) - SHIP Construction EOQ FY27 Ships                                                 VARIOUS          VARIOUS</t>
        </is>
      </c>
      <c r="AG1303" s="7" t="inlineStr">
        <is>
          <t>265</t>
        </is>
      </c>
      <c r="AH1303" s="7" t="inlineStr">
        <is>
          <t>2122</t>
        </is>
      </c>
      <c r="AJ1303" s="7" t="inlineStr">
        <is>
          <t>SHIP Construction EOQ FY27 Ships</t>
        </is>
      </c>
    </row>
    <row r="1304" ht="10" customHeight="1">
      <c r="A1304" s="7" t="inlineStr">
        <is>
          <t>SCN</t>
        </is>
      </c>
      <c r="B1304" s="7" t="inlineStr">
        <is>
          <t>Procurement</t>
        </is>
      </c>
      <c r="D1304" s="7" t="inlineStr">
        <is>
          <t>DDG-51 - P-10 - SHIP CONSTRUCTION ECONOMIC ORDER QUANTITY (EOQ) - SHIP Construction EOQ FY29 Ships                                                 VARIOUS          VARIOUS                -             -</t>
        </is>
      </c>
      <c r="E1304" s="13" t="inlineStr">
        <is>
          <t>[SUB]</t>
        </is>
      </c>
      <c r="F1304" s="7" t="inlineStr">
        <is>
          <t>2122 / DDG-51 AP</t>
        </is>
      </c>
      <c r="I1304" s="14" t="n">
        <v>1</v>
      </c>
      <c r="J1304" s="7" t="inlineStr">
        <is>
          <t>Advance procurement / LLTM</t>
        </is>
      </c>
      <c r="K1304" s="13" t="inlineStr">
        <is>
          <t>USN</t>
        </is>
      </c>
      <c r="L1304" s="7" t="inlineStr">
        <is>
          <t>Combatant Ships</t>
        </is>
      </c>
      <c r="M1304" s="7" t="inlineStr">
        <is>
          <t>Surface Combatants</t>
        </is>
      </c>
      <c r="N1304" s="7" t="inlineStr">
        <is>
          <t>DDG</t>
        </is>
      </c>
      <c r="O1304" s="15" t="n"/>
      <c r="P1304" s="16" t="n">
        <v>0</v>
      </c>
      <c r="AC1304" s="23">
        <f>IF(OR(E1304="",E1304="[PARENT]"),"ADD",IF(E1304="[ALT_VIEW]","ALT",""))</f>
        <v/>
      </c>
      <c r="AD1304" s="21">
        <f>IF(Y1304&lt;&gt;"",Y1304,IF(U1304&lt;&gt;"",U1304,S1304))</f>
        <v/>
      </c>
      <c r="AE1304" s="21">
        <f>IF(AB1304&lt;&gt;"",AB1304,Z1304)</f>
        <v/>
      </c>
      <c r="AF1304" s="13" t="inlineStr">
        <is>
          <t>P-10 &gt; DDG-51 &gt; SHIP CONSTRUCTION ECONOMIC ORDER QUANTITY (EOQ) - SHIP Construction EOQ FY29 Ships                                                 VARIOUS          VARIOUS                -             -</t>
        </is>
      </c>
      <c r="AG1304" s="7" t="inlineStr">
        <is>
          <t>265</t>
        </is>
      </c>
      <c r="AH1304" s="7" t="inlineStr">
        <is>
          <t>2122</t>
        </is>
      </c>
      <c r="AJ1304" s="7" t="inlineStr">
        <is>
          <t>SHIP Construction EOQ FY29 Ships</t>
        </is>
      </c>
    </row>
    <row r="1305" ht="10" customHeight="1">
      <c r="A1305" s="7" t="inlineStr">
        <is>
          <t>SCN</t>
        </is>
      </c>
      <c r="B1305" s="7" t="inlineStr">
        <is>
          <t>Procurement</t>
        </is>
      </c>
      <c r="D1305" s="7" t="inlineStr">
        <is>
          <t>DDG-51 - P-10 - SHIP CONSTRUCTION ECONOMIC ORDER QUANTITY (EOQ) - SHIP Construction EOQ FY30 Ships                                                 VARIOUS          VARIOUS                -             -</t>
        </is>
      </c>
      <c r="E1305" s="13" t="inlineStr">
        <is>
          <t>[SUB]</t>
        </is>
      </c>
      <c r="F1305" s="7" t="inlineStr">
        <is>
          <t>2122 / DDG-51 AP</t>
        </is>
      </c>
      <c r="I1305" s="14" t="n">
        <v>1</v>
      </c>
      <c r="J1305" s="7" t="inlineStr">
        <is>
          <t>Advance procurement / LLTM</t>
        </is>
      </c>
      <c r="K1305" s="13" t="inlineStr">
        <is>
          <t>USN</t>
        </is>
      </c>
      <c r="L1305" s="7" t="inlineStr">
        <is>
          <t>Combatant Ships</t>
        </is>
      </c>
      <c r="M1305" s="7" t="inlineStr">
        <is>
          <t>Surface Combatants</t>
        </is>
      </c>
      <c r="N1305" s="7" t="inlineStr">
        <is>
          <t>DDG</t>
        </is>
      </c>
      <c r="O1305" s="15" t="n"/>
      <c r="P1305" s="16" t="n">
        <v>0</v>
      </c>
      <c r="AC1305" s="23">
        <f>IF(OR(E1305="",E1305="[PARENT]"),"ADD",IF(E1305="[ALT_VIEW]","ALT",""))</f>
        <v/>
      </c>
      <c r="AD1305" s="21">
        <f>IF(Y1305&lt;&gt;"",Y1305,IF(U1305&lt;&gt;"",U1305,S1305))</f>
        <v/>
      </c>
      <c r="AE1305" s="21">
        <f>IF(AB1305&lt;&gt;"",AB1305,Z1305)</f>
        <v/>
      </c>
      <c r="AF1305" s="13" t="inlineStr">
        <is>
          <t>P-10 &gt; DDG-51 &gt; SHIP CONSTRUCTION ECONOMIC ORDER QUANTITY (EOQ) - SHIP Construction EOQ FY30 Ships                                                 VARIOUS          VARIOUS                -             -</t>
        </is>
      </c>
      <c r="AG1305" s="7" t="inlineStr">
        <is>
          <t>265</t>
        </is>
      </c>
      <c r="AH1305" s="7" t="inlineStr">
        <is>
          <t>2122</t>
        </is>
      </c>
      <c r="AJ1305" s="7" t="inlineStr">
        <is>
          <t>SHIP Construction EOQ FY30 Ships</t>
        </is>
      </c>
    </row>
    <row r="1306" ht="10" customHeight="1">
      <c r="A1306" s="7" t="inlineStr">
        <is>
          <t>SCN</t>
        </is>
      </c>
      <c r="B1306" s="7" t="inlineStr">
        <is>
          <t>Procurement</t>
        </is>
      </c>
      <c r="D1306" s="7" t="inlineStr">
        <is>
          <t>DDG-51 - P-10 - SHIP CONSTRUCTION ECONOMIC ORDER QUANTITY (EOQ) - SHIP Construction EOQ FY31 Ships                                                 VARIOUS          VARIOUS                -             -</t>
        </is>
      </c>
      <c r="E1306" s="13" t="inlineStr">
        <is>
          <t>[SUB]</t>
        </is>
      </c>
      <c r="F1306" s="7" t="inlineStr">
        <is>
          <t>2122 / DDG-51 AP</t>
        </is>
      </c>
      <c r="I1306" s="14" t="n">
        <v>1</v>
      </c>
      <c r="J1306" s="7" t="inlineStr">
        <is>
          <t>Advance procurement / LLTM</t>
        </is>
      </c>
      <c r="K1306" s="13" t="inlineStr">
        <is>
          <t>USN</t>
        </is>
      </c>
      <c r="L1306" s="7" t="inlineStr">
        <is>
          <t>Combatant Ships</t>
        </is>
      </c>
      <c r="M1306" s="7" t="inlineStr">
        <is>
          <t>Surface Combatants</t>
        </is>
      </c>
      <c r="N1306" s="7" t="inlineStr">
        <is>
          <t>DDG</t>
        </is>
      </c>
      <c r="O1306" s="15" t="n"/>
      <c r="P1306" s="16" t="n">
        <v>0</v>
      </c>
      <c r="AC1306" s="23">
        <f>IF(OR(E1306="",E1306="[PARENT]"),"ADD",IF(E1306="[ALT_VIEW]","ALT",""))</f>
        <v/>
      </c>
      <c r="AD1306" s="21">
        <f>IF(Y1306&lt;&gt;"",Y1306,IF(U1306&lt;&gt;"",U1306,S1306))</f>
        <v/>
      </c>
      <c r="AE1306" s="21">
        <f>IF(AB1306&lt;&gt;"",AB1306,Z1306)</f>
        <v/>
      </c>
      <c r="AF1306" s="13" t="inlineStr">
        <is>
          <t>P-10 &gt; DDG-51 &gt; SHIP CONSTRUCTION ECONOMIC ORDER QUANTITY (EOQ) - SHIP Construction EOQ FY31 Ships                                                 VARIOUS          VARIOUS                -             -</t>
        </is>
      </c>
      <c r="AG1306" s="7" t="inlineStr">
        <is>
          <t>265</t>
        </is>
      </c>
      <c r="AH1306" s="7" t="inlineStr">
        <is>
          <t>2122</t>
        </is>
      </c>
      <c r="AJ1306" s="7" t="inlineStr">
        <is>
          <t>SHIP Construction EOQ FY31 Ships</t>
        </is>
      </c>
    </row>
    <row r="1307" ht="10" customHeight="1">
      <c r="A1307" s="7" t="inlineStr">
        <is>
          <t>SCN</t>
        </is>
      </c>
      <c r="B1307" s="7" t="inlineStr">
        <is>
          <t>Procurement</t>
        </is>
      </c>
      <c r="D1307" s="7" t="inlineStr">
        <is>
          <t>DDG-51 - P-10 - SHIP CONSTRUCTION ECONOMIC ORDER QUANTITY (EOQ) - SHIP Construction EOQ FY32 Ships                                                 VARIOUS          VARIOUS                -             -</t>
        </is>
      </c>
      <c r="E1307" s="13" t="inlineStr">
        <is>
          <t>[SUB]</t>
        </is>
      </c>
      <c r="F1307" s="7" t="inlineStr">
        <is>
          <t>2122 / DDG-51 AP</t>
        </is>
      </c>
      <c r="I1307" s="14" t="n">
        <v>1</v>
      </c>
      <c r="J1307" s="7" t="inlineStr">
        <is>
          <t>Advance procurement / LLTM</t>
        </is>
      </c>
      <c r="K1307" s="13" t="inlineStr">
        <is>
          <t>USN</t>
        </is>
      </c>
      <c r="L1307" s="7" t="inlineStr">
        <is>
          <t>Combatant Ships</t>
        </is>
      </c>
      <c r="M1307" s="7" t="inlineStr">
        <is>
          <t>Surface Combatants</t>
        </is>
      </c>
      <c r="N1307" s="7" t="inlineStr">
        <is>
          <t>DDG</t>
        </is>
      </c>
      <c r="O1307" s="15" t="n"/>
      <c r="P1307" s="16" t="n">
        <v>0</v>
      </c>
      <c r="AC1307" s="23">
        <f>IF(OR(E1307="",E1307="[PARENT]"),"ADD",IF(E1307="[ALT_VIEW]","ALT",""))</f>
        <v/>
      </c>
      <c r="AD1307" s="21">
        <f>IF(Y1307&lt;&gt;"",Y1307,IF(U1307&lt;&gt;"",U1307,S1307))</f>
        <v/>
      </c>
      <c r="AE1307" s="21">
        <f>IF(AB1307&lt;&gt;"",AB1307,Z1307)</f>
        <v/>
      </c>
      <c r="AF1307" s="13" t="inlineStr">
        <is>
          <t>P-10 &gt; DDG-51 &gt; SHIP CONSTRUCTION ECONOMIC ORDER QUANTITY (EOQ) - SHIP Construction EOQ FY32 Ships                                                 VARIOUS          VARIOUS                -             -</t>
        </is>
      </c>
      <c r="AG1307" s="7" t="inlineStr">
        <is>
          <t>265</t>
        </is>
      </c>
      <c r="AH1307" s="7" t="inlineStr">
        <is>
          <t>2122</t>
        </is>
      </c>
      <c r="AJ1307" s="7" t="inlineStr">
        <is>
          <t>SHIP Construction EOQ FY32 Ships</t>
        </is>
      </c>
    </row>
    <row r="1308" ht="10" customHeight="1">
      <c r="A1308" s="7" t="inlineStr">
        <is>
          <t>SCN</t>
        </is>
      </c>
      <c r="B1308" s="7" t="inlineStr">
        <is>
          <t>Procurement</t>
        </is>
      </c>
      <c r="D1308" s="7" t="inlineStr">
        <is>
          <t>DDG-51 - P-10 - AWS EOQ - AWS EOQ FY24 Ships                                                               VARIOUS          VARIOUS                -             -</t>
        </is>
      </c>
      <c r="E1308" s="13" t="inlineStr">
        <is>
          <t>[SUB]</t>
        </is>
      </c>
      <c r="F1308" s="7" t="inlineStr">
        <is>
          <t>2122 / DDG-51 AP</t>
        </is>
      </c>
      <c r="I1308" s="14" t="n">
        <v>1</v>
      </c>
      <c r="J1308" s="7" t="inlineStr">
        <is>
          <t>Advance procurement / LLTM</t>
        </is>
      </c>
      <c r="K1308" s="13" t="inlineStr">
        <is>
          <t>USN</t>
        </is>
      </c>
      <c r="L1308" s="7" t="inlineStr">
        <is>
          <t>Combatant Ships</t>
        </is>
      </c>
      <c r="M1308" s="7" t="inlineStr">
        <is>
          <t>Surface Combatants</t>
        </is>
      </c>
      <c r="N1308" s="7" t="inlineStr">
        <is>
          <t>DDG</t>
        </is>
      </c>
      <c r="O1308" s="15" t="n"/>
      <c r="P1308" s="16" t="n">
        <v>0</v>
      </c>
      <c r="AC1308" s="23">
        <f>IF(OR(E1308="",E1308="[PARENT]"),"ADD",IF(E1308="[ALT_VIEW]","ALT",""))</f>
        <v/>
      </c>
      <c r="AD1308" s="21">
        <f>IF(Y1308&lt;&gt;"",Y1308,IF(U1308&lt;&gt;"",U1308,S1308))</f>
        <v/>
      </c>
      <c r="AE1308" s="21">
        <f>IF(AB1308&lt;&gt;"",AB1308,Z1308)</f>
        <v/>
      </c>
      <c r="AF1308" s="13" t="inlineStr">
        <is>
          <t>P-10 &gt; DDG-51 &gt; AWS EOQ - AWS EOQ FY24 Ships                                                               VARIOUS          VARIOUS                -             -</t>
        </is>
      </c>
      <c r="AG1308" s="7" t="inlineStr">
        <is>
          <t>265</t>
        </is>
      </c>
      <c r="AH1308" s="7" t="inlineStr">
        <is>
          <t>2122</t>
        </is>
      </c>
      <c r="AJ1308" s="7" t="inlineStr">
        <is>
          <t>AWS EOQ FY24 Ships</t>
        </is>
      </c>
    </row>
    <row r="1309" ht="10" customHeight="1">
      <c r="A1309" s="7" t="inlineStr">
        <is>
          <t>SCN</t>
        </is>
      </c>
      <c r="B1309" s="7" t="inlineStr">
        <is>
          <t>Procurement</t>
        </is>
      </c>
      <c r="D1309" s="7" t="inlineStr">
        <is>
          <t>DDG-51 - P-10 - AWS EOQ - AWS EOQ FY25 Ships                                                               VARIOUS          VARIOUS                -             -</t>
        </is>
      </c>
      <c r="E1309" s="13" t="inlineStr">
        <is>
          <t>[SUB]</t>
        </is>
      </c>
      <c r="F1309" s="7" t="inlineStr">
        <is>
          <t>2122 / DDG-51 AP</t>
        </is>
      </c>
      <c r="I1309" s="14" t="n">
        <v>1</v>
      </c>
      <c r="J1309" s="7" t="inlineStr">
        <is>
          <t>Advance procurement / LLTM</t>
        </is>
      </c>
      <c r="K1309" s="13" t="inlineStr">
        <is>
          <t>USN</t>
        </is>
      </c>
      <c r="L1309" s="7" t="inlineStr">
        <is>
          <t>Combatant Ships</t>
        </is>
      </c>
      <c r="M1309" s="7" t="inlineStr">
        <is>
          <t>Surface Combatants</t>
        </is>
      </c>
      <c r="N1309" s="7" t="inlineStr">
        <is>
          <t>DDG</t>
        </is>
      </c>
      <c r="O1309" s="15" t="n"/>
      <c r="P1309" s="16" t="n">
        <v>0</v>
      </c>
      <c r="AC1309" s="23">
        <f>IF(OR(E1309="",E1309="[PARENT]"),"ADD",IF(E1309="[ALT_VIEW]","ALT",""))</f>
        <v/>
      </c>
      <c r="AD1309" s="21">
        <f>IF(Y1309&lt;&gt;"",Y1309,IF(U1309&lt;&gt;"",U1309,S1309))</f>
        <v/>
      </c>
      <c r="AE1309" s="21">
        <f>IF(AB1309&lt;&gt;"",AB1309,Z1309)</f>
        <v/>
      </c>
      <c r="AF1309" s="13" t="inlineStr">
        <is>
          <t>P-10 &gt; DDG-51 &gt; AWS EOQ - AWS EOQ FY25 Ships                                                               VARIOUS          VARIOUS                -             -</t>
        </is>
      </c>
      <c r="AG1309" s="7" t="inlineStr">
        <is>
          <t>265</t>
        </is>
      </c>
      <c r="AH1309" s="7" t="inlineStr">
        <is>
          <t>2122</t>
        </is>
      </c>
      <c r="AJ1309" s="7" t="inlineStr">
        <is>
          <t>AWS EOQ FY25 Ships</t>
        </is>
      </c>
    </row>
    <row r="1310" ht="10" customHeight="1">
      <c r="A1310" s="7" t="inlineStr">
        <is>
          <t>SCN</t>
        </is>
      </c>
      <c r="B1310" s="7" t="inlineStr">
        <is>
          <t>Procurement</t>
        </is>
      </c>
      <c r="D1310" s="7" t="inlineStr">
        <is>
          <t>DDG-51 - P-10 - AWS EOQ - AWS EOQ FY26 Ships                                                               VARIOUS          VARIOUS                -             -</t>
        </is>
      </c>
      <c r="E1310" s="13" t="inlineStr">
        <is>
          <t>[SUB]</t>
        </is>
      </c>
      <c r="F1310" s="7" t="inlineStr">
        <is>
          <t>2122 / DDG-51 AP</t>
        </is>
      </c>
      <c r="I1310" s="14" t="n">
        <v>1</v>
      </c>
      <c r="J1310" s="7" t="inlineStr">
        <is>
          <t>Advance procurement / LLTM</t>
        </is>
      </c>
      <c r="K1310" s="13" t="inlineStr">
        <is>
          <t>USN</t>
        </is>
      </c>
      <c r="L1310" s="7" t="inlineStr">
        <is>
          <t>Combatant Ships</t>
        </is>
      </c>
      <c r="M1310" s="7" t="inlineStr">
        <is>
          <t>Surface Combatants</t>
        </is>
      </c>
      <c r="N1310" s="7" t="inlineStr">
        <is>
          <t>DDG</t>
        </is>
      </c>
      <c r="O1310" s="15" t="n"/>
      <c r="P1310" s="16" t="n">
        <v>0</v>
      </c>
      <c r="AC1310" s="23">
        <f>IF(OR(E1310="",E1310="[PARENT]"),"ADD",IF(E1310="[ALT_VIEW]","ALT",""))</f>
        <v/>
      </c>
      <c r="AD1310" s="21">
        <f>IF(Y1310&lt;&gt;"",Y1310,IF(U1310&lt;&gt;"",U1310,S1310))</f>
        <v/>
      </c>
      <c r="AE1310" s="21">
        <f>IF(AB1310&lt;&gt;"",AB1310,Z1310)</f>
        <v/>
      </c>
      <c r="AF1310" s="13" t="inlineStr">
        <is>
          <t>P-10 &gt; DDG-51 &gt; AWS EOQ - AWS EOQ FY26 Ships                                                               VARIOUS          VARIOUS                -             -</t>
        </is>
      </c>
      <c r="AG1310" s="7" t="inlineStr">
        <is>
          <t>265</t>
        </is>
      </c>
      <c r="AH1310" s="7" t="inlineStr">
        <is>
          <t>2122</t>
        </is>
      </c>
      <c r="AJ1310" s="7" t="inlineStr">
        <is>
          <t>AWS EOQ FY26 Ships</t>
        </is>
      </c>
    </row>
    <row r="1311" ht="10" customHeight="1">
      <c r="A1311" s="7" t="inlineStr">
        <is>
          <t>SCN</t>
        </is>
      </c>
      <c r="B1311" s="7" t="inlineStr">
        <is>
          <t>Procurement</t>
        </is>
      </c>
      <c r="D1311" s="7" t="inlineStr">
        <is>
          <t>DDG-51 - P-10 - AWS EOQ - AWS EOQ FY27 Ships                                                               VARIOUS          VARIOUS                -             -</t>
        </is>
      </c>
      <c r="E1311" s="13" t="inlineStr">
        <is>
          <t>[SUB]</t>
        </is>
      </c>
      <c r="F1311" s="7" t="inlineStr">
        <is>
          <t>2122 / DDG-51 AP</t>
        </is>
      </c>
      <c r="I1311" s="14" t="n">
        <v>1</v>
      </c>
      <c r="J1311" s="7" t="inlineStr">
        <is>
          <t>Advance procurement / LLTM</t>
        </is>
      </c>
      <c r="K1311" s="13" t="inlineStr">
        <is>
          <t>USN</t>
        </is>
      </c>
      <c r="L1311" s="7" t="inlineStr">
        <is>
          <t>Combatant Ships</t>
        </is>
      </c>
      <c r="M1311" s="7" t="inlineStr">
        <is>
          <t>Surface Combatants</t>
        </is>
      </c>
      <c r="N1311" s="7" t="inlineStr">
        <is>
          <t>DDG</t>
        </is>
      </c>
      <c r="O1311" s="15" t="n"/>
      <c r="P1311" s="16" t="n">
        <v>0</v>
      </c>
      <c r="AC1311" s="23">
        <f>IF(OR(E1311="",E1311="[PARENT]"),"ADD",IF(E1311="[ALT_VIEW]","ALT",""))</f>
        <v/>
      </c>
      <c r="AD1311" s="21">
        <f>IF(Y1311&lt;&gt;"",Y1311,IF(U1311&lt;&gt;"",U1311,S1311))</f>
        <v/>
      </c>
      <c r="AE1311" s="21">
        <f>IF(AB1311&lt;&gt;"",AB1311,Z1311)</f>
        <v/>
      </c>
      <c r="AF1311" s="13" t="inlineStr">
        <is>
          <t>P-10 &gt; DDG-51 &gt; AWS EOQ - AWS EOQ FY27 Ships                                                               VARIOUS          VARIOUS                -             -</t>
        </is>
      </c>
      <c r="AG1311" s="7" t="inlineStr">
        <is>
          <t>265</t>
        </is>
      </c>
      <c r="AH1311" s="7" t="inlineStr">
        <is>
          <t>2122</t>
        </is>
      </c>
      <c r="AJ1311" s="7" t="inlineStr">
        <is>
          <t>AWS EOQ FY27 Ships</t>
        </is>
      </c>
    </row>
    <row r="1312" ht="10" customHeight="1">
      <c r="A1312" s="7" t="inlineStr">
        <is>
          <t>SCN</t>
        </is>
      </c>
      <c r="B1312" s="7" t="inlineStr">
        <is>
          <t>Procurement</t>
        </is>
      </c>
      <c r="D1312" s="7" t="inlineStr">
        <is>
          <t>DDG-51 - P-10 - AWS EOQ - (7)</t>
        </is>
      </c>
      <c r="E1312" s="13" t="inlineStr">
        <is>
          <t>[SUB]</t>
        </is>
      </c>
      <c r="F1312" s="7" t="inlineStr">
        <is>
          <t>2122 / DDG-51 AP</t>
        </is>
      </c>
      <c r="I1312" s="14" t="n">
        <v>1</v>
      </c>
      <c r="J1312" s="7" t="inlineStr">
        <is>
          <t>Advance procurement / LLTM</t>
        </is>
      </c>
      <c r="K1312" s="13" t="inlineStr">
        <is>
          <t>USN</t>
        </is>
      </c>
      <c r="L1312" s="7" t="inlineStr">
        <is>
          <t>Combatant Ships</t>
        </is>
      </c>
      <c r="M1312" s="7" t="inlineStr">
        <is>
          <t>Surface Combatants</t>
        </is>
      </c>
      <c r="N1312" s="7" t="inlineStr">
        <is>
          <t>DDG</t>
        </is>
      </c>
      <c r="O1312" s="15" t="n"/>
      <c r="P1312" s="16" t="n">
        <v>2659</v>
      </c>
      <c r="S1312" s="16" t="n">
        <v>0</v>
      </c>
      <c r="U1312" s="16" t="n">
        <v>0</v>
      </c>
      <c r="AC1312" s="23">
        <f>IF(OR(E1312="",E1312="[PARENT]"),"ADD",IF(E1312="[ALT_VIEW]","ALT",""))</f>
        <v/>
      </c>
      <c r="AD1312" s="21">
        <f>IF(Y1312&lt;&gt;"",Y1312,IF(U1312&lt;&gt;"",U1312,S1312))</f>
        <v/>
      </c>
      <c r="AE1312" s="21">
        <f>IF(AB1312&lt;&gt;"",AB1312,Z1312)</f>
        <v/>
      </c>
      <c r="AF1312" s="13" t="inlineStr">
        <is>
          <t>P-10 &gt; DDG-51 &gt; AWS EOQ - (7)</t>
        </is>
      </c>
      <c r="AG1312" s="7" t="inlineStr">
        <is>
          <t>265</t>
        </is>
      </c>
      <c r="AH1312" s="7" t="inlineStr">
        <is>
          <t>2122</t>
        </is>
      </c>
      <c r="AJ1312" s="7" t="inlineStr">
        <is>
          <t>CBSP AP for FY25 Ships</t>
        </is>
      </c>
    </row>
    <row r="1313" ht="10" customHeight="1">
      <c r="A1313" s="7" t="inlineStr">
        <is>
          <t>SCN</t>
        </is>
      </c>
      <c r="B1313" s="7" t="inlineStr">
        <is>
          <t>Procurement</t>
        </is>
      </c>
      <c r="D1313" s="7" t="inlineStr">
        <is>
          <t>DDG-51 - P-10 - AWS EOQ - CBSP AP for FY26 Ships                                                                      06    VARIOUS</t>
        </is>
      </c>
      <c r="E1313" s="13" t="inlineStr">
        <is>
          <t>[SUB]</t>
        </is>
      </c>
      <c r="F1313" s="7" t="inlineStr">
        <is>
          <t>2122 / DDG-51 AP</t>
        </is>
      </c>
      <c r="I1313" s="14" t="n">
        <v>1</v>
      </c>
      <c r="J1313" s="7" t="inlineStr">
        <is>
          <t>Advance procurement / LLTM</t>
        </is>
      </c>
      <c r="K1313" s="13" t="inlineStr">
        <is>
          <t>USN</t>
        </is>
      </c>
      <c r="L1313" s="7" t="inlineStr">
        <is>
          <t>Combatant Ships</t>
        </is>
      </c>
      <c r="M1313" s="7" t="inlineStr">
        <is>
          <t>Surface Combatants</t>
        </is>
      </c>
      <c r="N1313" s="7" t="inlineStr">
        <is>
          <t>DDG</t>
        </is>
      </c>
      <c r="O1313" s="15" t="n"/>
      <c r="P1313" s="16" t="n">
        <v>2659</v>
      </c>
      <c r="S1313" s="16" t="n">
        <v>0</v>
      </c>
      <c r="U1313" s="16" t="n">
        <v>0</v>
      </c>
      <c r="AC1313" s="23">
        <f>IF(OR(E1313="",E1313="[PARENT]"),"ADD",IF(E1313="[ALT_VIEW]","ALT",""))</f>
        <v/>
      </c>
      <c r="AD1313" s="21">
        <f>IF(Y1313&lt;&gt;"",Y1313,IF(U1313&lt;&gt;"",U1313,S1313))</f>
        <v/>
      </c>
      <c r="AE1313" s="21">
        <f>IF(AB1313&lt;&gt;"",AB1313,Z1313)</f>
        <v/>
      </c>
      <c r="AF1313" s="13" t="inlineStr">
        <is>
          <t>P-10 &gt; DDG-51 &gt; AWS EOQ - CBSP AP for FY26 Ships                                                                      06    VARIOUS</t>
        </is>
      </c>
      <c r="AG1313" s="7" t="inlineStr">
        <is>
          <t>265</t>
        </is>
      </c>
      <c r="AH1313" s="7" t="inlineStr">
        <is>
          <t>2122</t>
        </is>
      </c>
      <c r="AJ1313" s="7" t="inlineStr">
        <is>
          <t>CBSP AP for FY26 Ships</t>
        </is>
      </c>
    </row>
    <row r="1314" ht="10" customHeight="1">
      <c r="A1314" s="7" t="inlineStr">
        <is>
          <t>SCN</t>
        </is>
      </c>
      <c r="B1314" s="7" t="inlineStr">
        <is>
          <t>Procurement</t>
        </is>
      </c>
      <c r="D1314" s="7" t="inlineStr">
        <is>
          <t>DDG-51 - P-10 - AWS EOQ - CBSP AP for FY27 Ships                                                                      06    VARIOUS</t>
        </is>
      </c>
      <c r="E1314" s="13" t="inlineStr">
        <is>
          <t>[SUB]</t>
        </is>
      </c>
      <c r="F1314" s="7" t="inlineStr">
        <is>
          <t>2122 / DDG-51 AP</t>
        </is>
      </c>
      <c r="I1314" s="14" t="n">
        <v>1</v>
      </c>
      <c r="J1314" s="7" t="inlineStr">
        <is>
          <t>Advance procurement / LLTM</t>
        </is>
      </c>
      <c r="K1314" s="13" t="inlineStr">
        <is>
          <t>USN</t>
        </is>
      </c>
      <c r="L1314" s="7" t="inlineStr">
        <is>
          <t>Combatant Ships</t>
        </is>
      </c>
      <c r="M1314" s="7" t="inlineStr">
        <is>
          <t>Surface Combatants</t>
        </is>
      </c>
      <c r="N1314" s="7" t="inlineStr">
        <is>
          <t>DDG</t>
        </is>
      </c>
      <c r="O1314" s="15" t="n"/>
      <c r="P1314" s="16" t="n">
        <v>2659</v>
      </c>
      <c r="S1314" s="16" t="n">
        <v>0</v>
      </c>
      <c r="U1314" s="16" t="n">
        <v>0</v>
      </c>
      <c r="AC1314" s="23">
        <f>IF(OR(E1314="",E1314="[PARENT]"),"ADD",IF(E1314="[ALT_VIEW]","ALT",""))</f>
        <v/>
      </c>
      <c r="AD1314" s="21">
        <f>IF(Y1314&lt;&gt;"",Y1314,IF(U1314&lt;&gt;"",U1314,S1314))</f>
        <v/>
      </c>
      <c r="AE1314" s="21">
        <f>IF(AB1314&lt;&gt;"",AB1314,Z1314)</f>
        <v/>
      </c>
      <c r="AF1314" s="13" t="inlineStr">
        <is>
          <t>P-10 &gt; DDG-51 &gt; AWS EOQ - CBSP AP for FY27 Ships                                                                      06    VARIOUS</t>
        </is>
      </c>
      <c r="AG1314" s="7" t="inlineStr">
        <is>
          <t>265</t>
        </is>
      </c>
      <c r="AH1314" s="7" t="inlineStr">
        <is>
          <t>2122</t>
        </is>
      </c>
      <c r="AJ1314" s="7" t="inlineStr">
        <is>
          <t>CBSP AP for FY27 Ships</t>
        </is>
      </c>
    </row>
    <row r="1315" ht="10" customHeight="1">
      <c r="A1315" s="7" t="inlineStr">
        <is>
          <t>SCN</t>
        </is>
      </c>
      <c r="B1315" s="7" t="inlineStr">
        <is>
          <t>Procurement</t>
        </is>
      </c>
      <c r="D1315" s="7" t="inlineStr">
        <is>
          <t>DDG-51 - P-10 - AWS EOQ - (8)                                                                                              -</t>
        </is>
      </c>
      <c r="E1315" s="13" t="inlineStr">
        <is>
          <t>[SUB]</t>
        </is>
      </c>
      <c r="F1315" s="7" t="inlineStr">
        <is>
          <t>2122 / DDG-51 AP</t>
        </is>
      </c>
      <c r="I1315" s="14" t="n">
        <v>1</v>
      </c>
      <c r="J1315" s="7" t="inlineStr">
        <is>
          <t>Advance procurement / LLTM</t>
        </is>
      </c>
      <c r="K1315" s="13" t="inlineStr">
        <is>
          <t>USN</t>
        </is>
      </c>
      <c r="L1315" s="7" t="inlineStr">
        <is>
          <t>Combatant Ships</t>
        </is>
      </c>
      <c r="M1315" s="7" t="inlineStr">
        <is>
          <t>Surface Combatants</t>
        </is>
      </c>
      <c r="N1315" s="7" t="inlineStr">
        <is>
          <t>DDG</t>
        </is>
      </c>
      <c r="O1315" s="15" t="n"/>
      <c r="P1315" s="16" t="n">
        <v>20862</v>
      </c>
      <c r="Q1315" s="16" t="n">
        <v>0</v>
      </c>
      <c r="AC1315" s="23">
        <f>IF(OR(E1315="",E1315="[PARENT]"),"ADD",IF(E1315="[ALT_VIEW]","ALT",""))</f>
        <v/>
      </c>
      <c r="AD1315" s="21">
        <f>IF(Y1315&lt;&gt;"",Y1315,IF(U1315&lt;&gt;"",U1315,S1315))</f>
        <v/>
      </c>
      <c r="AE1315" s="21">
        <f>IF(AB1315&lt;&gt;"",AB1315,Z1315)</f>
        <v/>
      </c>
      <c r="AF1315" s="13" t="inlineStr">
        <is>
          <t>P-10 &gt; DDG-51 &gt; AWS EOQ - (8)                                                                                              -</t>
        </is>
      </c>
      <c r="AG1315" s="7" t="inlineStr">
        <is>
          <t>265</t>
        </is>
      </c>
      <c r="AH1315" s="7" t="inlineStr">
        <is>
          <t>2122</t>
        </is>
      </c>
    </row>
    <row r="1316" ht="10" customHeight="1">
      <c r="A1316" s="7" t="inlineStr">
        <is>
          <t>SCN</t>
        </is>
      </c>
      <c r="B1316" s="7" t="inlineStr">
        <is>
          <t>Procurement</t>
        </is>
      </c>
      <c r="D1316" s="7" t="inlineStr">
        <is>
          <t>DDG-51 - P-10 - AWS EOQ - NMT AP for FY27 Ships                                                                       18    VARIOUS                -</t>
        </is>
      </c>
      <c r="E1316" s="13" t="inlineStr">
        <is>
          <t>[SUB]</t>
        </is>
      </c>
      <c r="F1316" s="7" t="inlineStr">
        <is>
          <t>2122 / DDG-51 AP</t>
        </is>
      </c>
      <c r="I1316" s="14" t="n">
        <v>1</v>
      </c>
      <c r="J1316" s="7" t="inlineStr">
        <is>
          <t>Advance procurement / LLTM</t>
        </is>
      </c>
      <c r="K1316" s="13" t="inlineStr">
        <is>
          <t>USN</t>
        </is>
      </c>
      <c r="L1316" s="7" t="inlineStr">
        <is>
          <t>Combatant Ships</t>
        </is>
      </c>
      <c r="M1316" s="7" t="inlineStr">
        <is>
          <t>Surface Combatants</t>
        </is>
      </c>
      <c r="N1316" s="7" t="inlineStr">
        <is>
          <t>DDG</t>
        </is>
      </c>
      <c r="O1316" s="15" t="n"/>
      <c r="P1316" s="16" t="n">
        <v>20862</v>
      </c>
      <c r="Q1316" s="16" t="n">
        <v>0</v>
      </c>
      <c r="AC1316" s="23">
        <f>IF(OR(E1316="",E1316="[PARENT]"),"ADD",IF(E1316="[ALT_VIEW]","ALT",""))</f>
        <v/>
      </c>
      <c r="AD1316" s="21">
        <f>IF(Y1316&lt;&gt;"",Y1316,IF(U1316&lt;&gt;"",U1316,S1316))</f>
        <v/>
      </c>
      <c r="AE1316" s="21">
        <f>IF(AB1316&lt;&gt;"",AB1316,Z1316)</f>
        <v/>
      </c>
      <c r="AF1316" s="13" t="inlineStr">
        <is>
          <t>P-10 &gt; DDG-51 &gt; AWS EOQ - NMT AP for FY27 Ships                                                                       18    VARIOUS                -</t>
        </is>
      </c>
      <c r="AG1316" s="7" t="inlineStr">
        <is>
          <t>265</t>
        </is>
      </c>
      <c r="AH1316" s="7" t="inlineStr">
        <is>
          <t>2122</t>
        </is>
      </c>
      <c r="AJ1316" s="7" t="inlineStr">
        <is>
          <t>NMT AP for FY27 Ships</t>
        </is>
      </c>
    </row>
    <row r="1317" ht="10" customHeight="1">
      <c r="A1317" s="7" t="inlineStr">
        <is>
          <t>SCN</t>
        </is>
      </c>
      <c r="B1317" s="7" t="inlineStr">
        <is>
          <t>Procurement</t>
        </is>
      </c>
      <c r="D1317" s="7" t="inlineStr">
        <is>
          <t>DDG-51 - P-10 - SHIP CONSTRUCTION ECONOMIC ORDER QUANTITY (EOQ) - SHIP Construction EOQ FY25 Ships                                                  VARIOUS             VARIOUS                     -                                 -</t>
        </is>
      </c>
      <c r="E1317" s="13" t="inlineStr">
        <is>
          <t>[SUB]</t>
        </is>
      </c>
      <c r="F1317" s="7" t="inlineStr">
        <is>
          <t>2122 / DDG-51 AP</t>
        </is>
      </c>
      <c r="I1317" s="14" t="n">
        <v>1</v>
      </c>
      <c r="J1317" s="7" t="inlineStr">
        <is>
          <t>Advance procurement / LLTM</t>
        </is>
      </c>
      <c r="K1317" s="13" t="inlineStr">
        <is>
          <t>USN</t>
        </is>
      </c>
      <c r="L1317" s="7" t="inlineStr">
        <is>
          <t>Combatant Ships</t>
        </is>
      </c>
      <c r="M1317" s="7" t="inlineStr">
        <is>
          <t>Surface Combatants</t>
        </is>
      </c>
      <c r="N1317" s="7" t="inlineStr">
        <is>
          <t>DDG</t>
        </is>
      </c>
      <c r="O1317" s="15" t="n"/>
      <c r="P1317" s="16" t="n">
        <v>0</v>
      </c>
      <c r="AC1317" s="23">
        <f>IF(OR(E1317="",E1317="[PARENT]"),"ADD",IF(E1317="[ALT_VIEW]","ALT",""))</f>
        <v/>
      </c>
      <c r="AD1317" s="21">
        <f>IF(Y1317&lt;&gt;"",Y1317,IF(U1317&lt;&gt;"",U1317,S1317))</f>
        <v/>
      </c>
      <c r="AE1317" s="21">
        <f>IF(AB1317&lt;&gt;"",AB1317,Z1317)</f>
        <v/>
      </c>
      <c r="AF1317" s="13" t="inlineStr">
        <is>
          <t>P-10 &gt; DDG-51 &gt; SHIP CONSTRUCTION ECONOMIC ORDER QUANTITY (EOQ) - SHIP Construction EOQ FY25 Ships                                                  VARIOUS             VARIOUS                     -                                 -</t>
        </is>
      </c>
      <c r="AG1317" s="7" t="inlineStr">
        <is>
          <t>266</t>
        </is>
      </c>
      <c r="AH1317" s="7" t="inlineStr">
        <is>
          <t>2122</t>
        </is>
      </c>
    </row>
    <row r="1318" ht="10" customHeight="1">
      <c r="A1318" s="7" t="inlineStr">
        <is>
          <t>SCN</t>
        </is>
      </c>
      <c r="B1318" s="7" t="inlineStr">
        <is>
          <t>Procurement</t>
        </is>
      </c>
      <c r="D1318" s="7" t="inlineStr">
        <is>
          <t>DDG-51 - P-10 - SHIP CONSTRUCTION ECONOMIC ORDER QUANTITY (EOQ) - SHIP Construction EOQ FY26 Ships                                                  VARIOUS             VARIOUS                     -                                 -</t>
        </is>
      </c>
      <c r="E1318" s="13" t="inlineStr">
        <is>
          <t>[SUB]</t>
        </is>
      </c>
      <c r="F1318" s="7" t="inlineStr">
        <is>
          <t>2122 / DDG-51 AP</t>
        </is>
      </c>
      <c r="I1318" s="14" t="n">
        <v>1</v>
      </c>
      <c r="J1318" s="7" t="inlineStr">
        <is>
          <t>Advance procurement / LLTM</t>
        </is>
      </c>
      <c r="K1318" s="13" t="inlineStr">
        <is>
          <t>USN</t>
        </is>
      </c>
      <c r="L1318" s="7" t="inlineStr">
        <is>
          <t>Combatant Ships</t>
        </is>
      </c>
      <c r="M1318" s="7" t="inlineStr">
        <is>
          <t>Surface Combatants</t>
        </is>
      </c>
      <c r="N1318" s="7" t="inlineStr">
        <is>
          <t>DDG</t>
        </is>
      </c>
      <c r="O1318" s="15" t="n"/>
      <c r="P1318" s="16" t="n">
        <v>0</v>
      </c>
      <c r="AC1318" s="23">
        <f>IF(OR(E1318="",E1318="[PARENT]"),"ADD",IF(E1318="[ALT_VIEW]","ALT",""))</f>
        <v/>
      </c>
      <c r="AD1318" s="21">
        <f>IF(Y1318&lt;&gt;"",Y1318,IF(U1318&lt;&gt;"",U1318,S1318))</f>
        <v/>
      </c>
      <c r="AE1318" s="21">
        <f>IF(AB1318&lt;&gt;"",AB1318,Z1318)</f>
        <v/>
      </c>
      <c r="AF1318" s="13" t="inlineStr">
        <is>
          <t>P-10 &gt; DDG-51 &gt; SHIP CONSTRUCTION ECONOMIC ORDER QUANTITY (EOQ) - SHIP Construction EOQ FY26 Ships                                                  VARIOUS             VARIOUS                     -                                 -</t>
        </is>
      </c>
      <c r="AG1318" s="7" t="inlineStr">
        <is>
          <t>266</t>
        </is>
      </c>
      <c r="AH1318" s="7" t="inlineStr">
        <is>
          <t>2122</t>
        </is>
      </c>
    </row>
    <row r="1319" ht="10" customHeight="1">
      <c r="A1319" s="7" t="inlineStr">
        <is>
          <t>SCN</t>
        </is>
      </c>
      <c r="B1319" s="7" t="inlineStr">
        <is>
          <t>Procurement</t>
        </is>
      </c>
      <c r="D1319" s="7" t="inlineStr">
        <is>
          <t>DDG-51 - P-10 - SHIP CONSTRUCTION ECONOMIC ORDER QUANTITY (EOQ) - SHIP Construction EOQ FY27 Ships                                                  VARIOUS             VARIOUS                     -                                 -</t>
        </is>
      </c>
      <c r="E1319" s="13" t="inlineStr">
        <is>
          <t>[SUB]</t>
        </is>
      </c>
      <c r="F1319" s="7" t="inlineStr">
        <is>
          <t>2122 / DDG-51 AP</t>
        </is>
      </c>
      <c r="I1319" s="14" t="n">
        <v>1</v>
      </c>
      <c r="J1319" s="7" t="inlineStr">
        <is>
          <t>Advance procurement / LLTM</t>
        </is>
      </c>
      <c r="K1319" s="13" t="inlineStr">
        <is>
          <t>USN</t>
        </is>
      </c>
      <c r="L1319" s="7" t="inlineStr">
        <is>
          <t>Combatant Ships</t>
        </is>
      </c>
      <c r="M1319" s="7" t="inlineStr">
        <is>
          <t>Surface Combatants</t>
        </is>
      </c>
      <c r="N1319" s="7" t="inlineStr">
        <is>
          <t>DDG</t>
        </is>
      </c>
      <c r="O1319" s="15" t="n"/>
      <c r="P1319" s="16" t="n">
        <v>0</v>
      </c>
      <c r="AC1319" s="23">
        <f>IF(OR(E1319="",E1319="[PARENT]"),"ADD",IF(E1319="[ALT_VIEW]","ALT",""))</f>
        <v/>
      </c>
      <c r="AD1319" s="21">
        <f>IF(Y1319&lt;&gt;"",Y1319,IF(U1319&lt;&gt;"",U1319,S1319))</f>
        <v/>
      </c>
      <c r="AE1319" s="21">
        <f>IF(AB1319&lt;&gt;"",AB1319,Z1319)</f>
        <v/>
      </c>
      <c r="AF1319" s="13" t="inlineStr">
        <is>
          <t>P-10 &gt; DDG-51 &gt; SHIP CONSTRUCTION ECONOMIC ORDER QUANTITY (EOQ) - SHIP Construction EOQ FY27 Ships                                                  VARIOUS             VARIOUS                     -                                 -</t>
        </is>
      </c>
      <c r="AG1319" s="7" t="inlineStr">
        <is>
          <t>266</t>
        </is>
      </c>
      <c r="AH1319" s="7" t="inlineStr">
        <is>
          <t>2122</t>
        </is>
      </c>
    </row>
    <row r="1320" ht="10" customHeight="1">
      <c r="A1320" s="7" t="inlineStr">
        <is>
          <t>SCN</t>
        </is>
      </c>
      <c r="B1320" s="7" t="inlineStr">
        <is>
          <t>Procurement</t>
        </is>
      </c>
      <c r="D1320" s="7" t="inlineStr">
        <is>
          <t>DDG-51 - P-10 - SHIP CONSTRUCTION ECONOMIC ORDER QUANTITY (EOQ) - SHIP Construction EOQ FY29 Ships                                                  VARIOUS             VARIOUS                     -                                 -</t>
        </is>
      </c>
      <c r="E1320" s="13" t="inlineStr">
        <is>
          <t>[SUB]</t>
        </is>
      </c>
      <c r="F1320" s="7" t="inlineStr">
        <is>
          <t>2122 / DDG-51 AP</t>
        </is>
      </c>
      <c r="I1320" s="14" t="n">
        <v>1</v>
      </c>
      <c r="J1320" s="7" t="inlineStr">
        <is>
          <t>Advance procurement / LLTM</t>
        </is>
      </c>
      <c r="K1320" s="13" t="inlineStr">
        <is>
          <t>USN</t>
        </is>
      </c>
      <c r="L1320" s="7" t="inlineStr">
        <is>
          <t>Combatant Ships</t>
        </is>
      </c>
      <c r="M1320" s="7" t="inlineStr">
        <is>
          <t>Surface Combatants</t>
        </is>
      </c>
      <c r="N1320" s="7" t="inlineStr">
        <is>
          <t>DDG</t>
        </is>
      </c>
      <c r="O1320" s="15" t="n"/>
      <c r="P1320" s="16" t="n">
        <v>0</v>
      </c>
      <c r="AC1320" s="23">
        <f>IF(OR(E1320="",E1320="[PARENT]"),"ADD",IF(E1320="[ALT_VIEW]","ALT",""))</f>
        <v/>
      </c>
      <c r="AD1320" s="21">
        <f>IF(Y1320&lt;&gt;"",Y1320,IF(U1320&lt;&gt;"",U1320,S1320))</f>
        <v/>
      </c>
      <c r="AE1320" s="21">
        <f>IF(AB1320&lt;&gt;"",AB1320,Z1320)</f>
        <v/>
      </c>
      <c r="AF1320" s="13" t="inlineStr">
        <is>
          <t>P-10 &gt; DDG-51 &gt; SHIP CONSTRUCTION ECONOMIC ORDER QUANTITY (EOQ) - SHIP Construction EOQ FY29 Ships                                                  VARIOUS             VARIOUS                     -                                 -</t>
        </is>
      </c>
      <c r="AG1320" s="7" t="inlineStr">
        <is>
          <t>266</t>
        </is>
      </c>
      <c r="AH1320" s="7" t="inlineStr">
        <is>
          <t>2122</t>
        </is>
      </c>
    </row>
    <row r="1321" ht="10" customHeight="1">
      <c r="A1321" s="7" t="inlineStr">
        <is>
          <t>SCN</t>
        </is>
      </c>
      <c r="B1321" s="7" t="inlineStr">
        <is>
          <t>Procurement</t>
        </is>
      </c>
      <c r="D1321" s="7" t="inlineStr">
        <is>
          <t>DDG-51 - P-10 - SHIP CONSTRUCTION ECONOMIC ORDER QUANTITY (EOQ) - SHIP Construction EOQ FY30 Ships                                                  VARIOUS             VARIOUS                     -                                 -</t>
        </is>
      </c>
      <c r="E1321" s="13" t="inlineStr">
        <is>
          <t>[SUB]</t>
        </is>
      </c>
      <c r="F1321" s="7" t="inlineStr">
        <is>
          <t>2122 / DDG-51 AP</t>
        </is>
      </c>
      <c r="I1321" s="14" t="n">
        <v>1</v>
      </c>
      <c r="J1321" s="7" t="inlineStr">
        <is>
          <t>Advance procurement / LLTM</t>
        </is>
      </c>
      <c r="K1321" s="13" t="inlineStr">
        <is>
          <t>USN</t>
        </is>
      </c>
      <c r="L1321" s="7" t="inlineStr">
        <is>
          <t>Combatant Ships</t>
        </is>
      </c>
      <c r="M1321" s="7" t="inlineStr">
        <is>
          <t>Surface Combatants</t>
        </is>
      </c>
      <c r="N1321" s="7" t="inlineStr">
        <is>
          <t>DDG</t>
        </is>
      </c>
      <c r="O1321" s="15" t="n"/>
      <c r="P1321" s="16" t="n">
        <v>0</v>
      </c>
      <c r="AC1321" s="23">
        <f>IF(OR(E1321="",E1321="[PARENT]"),"ADD",IF(E1321="[ALT_VIEW]","ALT",""))</f>
        <v/>
      </c>
      <c r="AD1321" s="21">
        <f>IF(Y1321&lt;&gt;"",Y1321,IF(U1321&lt;&gt;"",U1321,S1321))</f>
        <v/>
      </c>
      <c r="AE1321" s="21">
        <f>IF(AB1321&lt;&gt;"",AB1321,Z1321)</f>
        <v/>
      </c>
      <c r="AF1321" s="13" t="inlineStr">
        <is>
          <t>P-10 &gt; DDG-51 &gt; SHIP CONSTRUCTION ECONOMIC ORDER QUANTITY (EOQ) - SHIP Construction EOQ FY30 Ships                                                  VARIOUS             VARIOUS                     -                                 -</t>
        </is>
      </c>
      <c r="AG1321" s="7" t="inlineStr">
        <is>
          <t>266</t>
        </is>
      </c>
      <c r="AH1321" s="7" t="inlineStr">
        <is>
          <t>2122</t>
        </is>
      </c>
    </row>
    <row r="1322" ht="10" customHeight="1">
      <c r="A1322" s="7" t="inlineStr">
        <is>
          <t>SCN</t>
        </is>
      </c>
      <c r="B1322" s="7" t="inlineStr">
        <is>
          <t>Procurement</t>
        </is>
      </c>
      <c r="D1322" s="7" t="inlineStr">
        <is>
          <t>DDG-51 - P-10 - SHIP CONSTRUCTION ECONOMIC ORDER QUANTITY (EOQ) - SHIP Construction EOQ FY31 Ships                                                  VARIOUS             VARIOUS                     -                                 -</t>
        </is>
      </c>
      <c r="E1322" s="13" t="inlineStr">
        <is>
          <t>[SUB]</t>
        </is>
      </c>
      <c r="F1322" s="7" t="inlineStr">
        <is>
          <t>2122 / DDG-51 AP</t>
        </is>
      </c>
      <c r="I1322" s="14" t="n">
        <v>1</v>
      </c>
      <c r="J1322" s="7" t="inlineStr">
        <is>
          <t>Advance procurement / LLTM</t>
        </is>
      </c>
      <c r="K1322" s="13" t="inlineStr">
        <is>
          <t>USN</t>
        </is>
      </c>
      <c r="L1322" s="7" t="inlineStr">
        <is>
          <t>Combatant Ships</t>
        </is>
      </c>
      <c r="M1322" s="7" t="inlineStr">
        <is>
          <t>Surface Combatants</t>
        </is>
      </c>
      <c r="N1322" s="7" t="inlineStr">
        <is>
          <t>DDG</t>
        </is>
      </c>
      <c r="O1322" s="15" t="n"/>
      <c r="P1322" s="16" t="n">
        <v>0</v>
      </c>
      <c r="AC1322" s="23">
        <f>IF(OR(E1322="",E1322="[PARENT]"),"ADD",IF(E1322="[ALT_VIEW]","ALT",""))</f>
        <v/>
      </c>
      <c r="AD1322" s="21">
        <f>IF(Y1322&lt;&gt;"",Y1322,IF(U1322&lt;&gt;"",U1322,S1322))</f>
        <v/>
      </c>
      <c r="AE1322" s="21">
        <f>IF(AB1322&lt;&gt;"",AB1322,Z1322)</f>
        <v/>
      </c>
      <c r="AF1322" s="13" t="inlineStr">
        <is>
          <t>P-10 &gt; DDG-51 &gt; SHIP CONSTRUCTION ECONOMIC ORDER QUANTITY (EOQ) - SHIP Construction EOQ FY31 Ships                                                  VARIOUS             VARIOUS                     -                                 -</t>
        </is>
      </c>
      <c r="AG1322" s="7" t="inlineStr">
        <is>
          <t>266</t>
        </is>
      </c>
      <c r="AH1322" s="7" t="inlineStr">
        <is>
          <t>2122</t>
        </is>
      </c>
    </row>
    <row r="1323" ht="10" customHeight="1">
      <c r="A1323" s="7" t="inlineStr">
        <is>
          <t>SCN</t>
        </is>
      </c>
      <c r="B1323" s="7" t="inlineStr">
        <is>
          <t>Procurement</t>
        </is>
      </c>
      <c r="D1323" s="7" t="inlineStr">
        <is>
          <t>DDG-51 - P-10 - SHIP CONSTRUCTION ECONOMIC ORDER QUANTITY (EOQ) - SHIP Construction EOQ FY32 Ships                                                  VARIOUS             VARIOUS                     -                                 -</t>
        </is>
      </c>
      <c r="E1323" s="13" t="inlineStr">
        <is>
          <t>[SUB]</t>
        </is>
      </c>
      <c r="F1323" s="7" t="inlineStr">
        <is>
          <t>2122 / DDG-51 AP</t>
        </is>
      </c>
      <c r="I1323" s="14" t="n">
        <v>1</v>
      </c>
      <c r="J1323" s="7" t="inlineStr">
        <is>
          <t>Advance procurement / LLTM</t>
        </is>
      </c>
      <c r="K1323" s="13" t="inlineStr">
        <is>
          <t>USN</t>
        </is>
      </c>
      <c r="L1323" s="7" t="inlineStr">
        <is>
          <t>Combatant Ships</t>
        </is>
      </c>
      <c r="M1323" s="7" t="inlineStr">
        <is>
          <t>Surface Combatants</t>
        </is>
      </c>
      <c r="N1323" s="7" t="inlineStr">
        <is>
          <t>DDG</t>
        </is>
      </c>
      <c r="O1323" s="15" t="n"/>
      <c r="P1323" s="16" t="n">
        <v>0</v>
      </c>
      <c r="AC1323" s="23">
        <f>IF(OR(E1323="",E1323="[PARENT]"),"ADD",IF(E1323="[ALT_VIEW]","ALT",""))</f>
        <v/>
      </c>
      <c r="AD1323" s="21">
        <f>IF(Y1323&lt;&gt;"",Y1323,IF(U1323&lt;&gt;"",U1323,S1323))</f>
        <v/>
      </c>
      <c r="AE1323" s="21">
        <f>IF(AB1323&lt;&gt;"",AB1323,Z1323)</f>
        <v/>
      </c>
      <c r="AF1323" s="13" t="inlineStr">
        <is>
          <t>P-10 &gt; DDG-51 &gt; SHIP CONSTRUCTION ECONOMIC ORDER QUANTITY (EOQ) - SHIP Construction EOQ FY32 Ships                                                  VARIOUS             VARIOUS                     -                                 -</t>
        </is>
      </c>
      <c r="AG1323" s="7" t="inlineStr">
        <is>
          <t>266</t>
        </is>
      </c>
      <c r="AH1323" s="7" t="inlineStr">
        <is>
          <t>2122</t>
        </is>
      </c>
    </row>
    <row r="1324" ht="10" customHeight="1">
      <c r="A1324" s="7" t="inlineStr">
        <is>
          <t>SCN</t>
        </is>
      </c>
      <c r="B1324" s="7" t="inlineStr">
        <is>
          <t>Procurement</t>
        </is>
      </c>
      <c r="D1324" s="7" t="inlineStr">
        <is>
          <t>DDG-51 - P-10 - AWS EOQ - AWS EOQ FY24 Ships                                                                VARIOUS             VARIOUS                     -                                 -</t>
        </is>
      </c>
      <c r="E1324" s="13" t="inlineStr">
        <is>
          <t>[SUB]</t>
        </is>
      </c>
      <c r="F1324" s="7" t="inlineStr">
        <is>
          <t>2122 / DDG-51 AP</t>
        </is>
      </c>
      <c r="I1324" s="14" t="n">
        <v>1</v>
      </c>
      <c r="J1324" s="7" t="inlineStr">
        <is>
          <t>Advance procurement / LLTM</t>
        </is>
      </c>
      <c r="K1324" s="13" t="inlineStr">
        <is>
          <t>USN</t>
        </is>
      </c>
      <c r="L1324" s="7" t="inlineStr">
        <is>
          <t>Combatant Ships</t>
        </is>
      </c>
      <c r="M1324" s="7" t="inlineStr">
        <is>
          <t>Surface Combatants</t>
        </is>
      </c>
      <c r="N1324" s="7" t="inlineStr">
        <is>
          <t>DDG</t>
        </is>
      </c>
      <c r="O1324" s="15" t="n"/>
      <c r="P1324" s="16" t="n">
        <v>0</v>
      </c>
      <c r="AC1324" s="23">
        <f>IF(OR(E1324="",E1324="[PARENT]"),"ADD",IF(E1324="[ALT_VIEW]","ALT",""))</f>
        <v/>
      </c>
      <c r="AD1324" s="21">
        <f>IF(Y1324&lt;&gt;"",Y1324,IF(U1324&lt;&gt;"",U1324,S1324))</f>
        <v/>
      </c>
      <c r="AE1324" s="21">
        <f>IF(AB1324&lt;&gt;"",AB1324,Z1324)</f>
        <v/>
      </c>
      <c r="AF1324" s="13" t="inlineStr">
        <is>
          <t>P-10 &gt; DDG-51 &gt; AWS EOQ - AWS EOQ FY24 Ships                                                                VARIOUS             VARIOUS                     -                                 -</t>
        </is>
      </c>
      <c r="AG1324" s="7" t="inlineStr">
        <is>
          <t>266</t>
        </is>
      </c>
      <c r="AH1324" s="7" t="inlineStr">
        <is>
          <t>2122</t>
        </is>
      </c>
    </row>
    <row r="1325" ht="10" customHeight="1">
      <c r="A1325" s="7" t="inlineStr">
        <is>
          <t>SCN</t>
        </is>
      </c>
      <c r="B1325" s="7" t="inlineStr">
        <is>
          <t>Procurement</t>
        </is>
      </c>
      <c r="D1325" s="7" t="inlineStr">
        <is>
          <t>DDG-51 - P-10 - AWS EOQ - AWS EOQ FY25 Ships                                                                VARIOUS             VARIOUS                     -                                 -</t>
        </is>
      </c>
      <c r="E1325" s="13" t="inlineStr">
        <is>
          <t>[SUB]</t>
        </is>
      </c>
      <c r="F1325" s="7" t="inlineStr">
        <is>
          <t>2122 / DDG-51 AP</t>
        </is>
      </c>
      <c r="I1325" s="14" t="n">
        <v>1</v>
      </c>
      <c r="J1325" s="7" t="inlineStr">
        <is>
          <t>Advance procurement / LLTM</t>
        </is>
      </c>
      <c r="K1325" s="13" t="inlineStr">
        <is>
          <t>USN</t>
        </is>
      </c>
      <c r="L1325" s="7" t="inlineStr">
        <is>
          <t>Combatant Ships</t>
        </is>
      </c>
      <c r="M1325" s="7" t="inlineStr">
        <is>
          <t>Surface Combatants</t>
        </is>
      </c>
      <c r="N1325" s="7" t="inlineStr">
        <is>
          <t>DDG</t>
        </is>
      </c>
      <c r="O1325" s="15" t="n"/>
      <c r="P1325" s="16" t="n">
        <v>0</v>
      </c>
      <c r="AC1325" s="23">
        <f>IF(OR(E1325="",E1325="[PARENT]"),"ADD",IF(E1325="[ALT_VIEW]","ALT",""))</f>
        <v/>
      </c>
      <c r="AD1325" s="21">
        <f>IF(Y1325&lt;&gt;"",Y1325,IF(U1325&lt;&gt;"",U1325,S1325))</f>
        <v/>
      </c>
      <c r="AE1325" s="21">
        <f>IF(AB1325&lt;&gt;"",AB1325,Z1325)</f>
        <v/>
      </c>
      <c r="AF1325" s="13" t="inlineStr">
        <is>
          <t>P-10 &gt; DDG-51 &gt; AWS EOQ - AWS EOQ FY25 Ships                                                                VARIOUS             VARIOUS                     -                                 -</t>
        </is>
      </c>
      <c r="AG1325" s="7" t="inlineStr">
        <is>
          <t>266</t>
        </is>
      </c>
      <c r="AH1325" s="7" t="inlineStr">
        <is>
          <t>2122</t>
        </is>
      </c>
    </row>
    <row r="1326" ht="10" customHeight="1">
      <c r="A1326" s="7" t="inlineStr">
        <is>
          <t>SCN</t>
        </is>
      </c>
      <c r="B1326" s="7" t="inlineStr">
        <is>
          <t>Procurement</t>
        </is>
      </c>
      <c r="D1326" s="7" t="inlineStr">
        <is>
          <t>DDG-51 - P-10 - AWS EOQ - AWS EOQ FY26 Ships                                                                VARIOUS             VARIOUS                     -                                 -</t>
        </is>
      </c>
      <c r="E1326" s="13" t="inlineStr">
        <is>
          <t>[SUB]</t>
        </is>
      </c>
      <c r="F1326" s="7" t="inlineStr">
        <is>
          <t>2122 / DDG-51 AP</t>
        </is>
      </c>
      <c r="I1326" s="14" t="n">
        <v>1</v>
      </c>
      <c r="J1326" s="7" t="inlineStr">
        <is>
          <t>Advance procurement / LLTM</t>
        </is>
      </c>
      <c r="K1326" s="13" t="inlineStr">
        <is>
          <t>USN</t>
        </is>
      </c>
      <c r="L1326" s="7" t="inlineStr">
        <is>
          <t>Combatant Ships</t>
        </is>
      </c>
      <c r="M1326" s="7" t="inlineStr">
        <is>
          <t>Surface Combatants</t>
        </is>
      </c>
      <c r="N1326" s="7" t="inlineStr">
        <is>
          <t>DDG</t>
        </is>
      </c>
      <c r="O1326" s="15" t="n"/>
      <c r="P1326" s="16" t="n">
        <v>0</v>
      </c>
      <c r="AC1326" s="23">
        <f>IF(OR(E1326="",E1326="[PARENT]"),"ADD",IF(E1326="[ALT_VIEW]","ALT",""))</f>
        <v/>
      </c>
      <c r="AD1326" s="21">
        <f>IF(Y1326&lt;&gt;"",Y1326,IF(U1326&lt;&gt;"",U1326,S1326))</f>
        <v/>
      </c>
      <c r="AE1326" s="21">
        <f>IF(AB1326&lt;&gt;"",AB1326,Z1326)</f>
        <v/>
      </c>
      <c r="AF1326" s="13" t="inlineStr">
        <is>
          <t>P-10 &gt; DDG-51 &gt; AWS EOQ - AWS EOQ FY26 Ships                                                                VARIOUS             VARIOUS                     -                                 -</t>
        </is>
      </c>
      <c r="AG1326" s="7" t="inlineStr">
        <is>
          <t>266</t>
        </is>
      </c>
      <c r="AH1326" s="7" t="inlineStr">
        <is>
          <t>2122</t>
        </is>
      </c>
    </row>
    <row r="1327" ht="10" customHeight="1">
      <c r="A1327" s="7" t="inlineStr">
        <is>
          <t>SCN</t>
        </is>
      </c>
      <c r="B1327" s="7" t="inlineStr">
        <is>
          <t>Procurement</t>
        </is>
      </c>
      <c r="D1327" s="7" t="inlineStr">
        <is>
          <t>DDG-51 - P-10 - AWS EOQ - AWS EOQ FY27 Ships                                                                VARIOUS             VARIOUS                     -                                 -</t>
        </is>
      </c>
      <c r="E1327" s="13" t="inlineStr">
        <is>
          <t>[SUB]</t>
        </is>
      </c>
      <c r="F1327" s="7" t="inlineStr">
        <is>
          <t>2122 / DDG-51 AP</t>
        </is>
      </c>
      <c r="I1327" s="14" t="n">
        <v>1</v>
      </c>
      <c r="J1327" s="7" t="inlineStr">
        <is>
          <t>Advance procurement / LLTM</t>
        </is>
      </c>
      <c r="K1327" s="13" t="inlineStr">
        <is>
          <t>USN</t>
        </is>
      </c>
      <c r="L1327" s="7" t="inlineStr">
        <is>
          <t>Combatant Ships</t>
        </is>
      </c>
      <c r="M1327" s="7" t="inlineStr">
        <is>
          <t>Surface Combatants</t>
        </is>
      </c>
      <c r="N1327" s="7" t="inlineStr">
        <is>
          <t>DDG</t>
        </is>
      </c>
      <c r="O1327" s="15" t="n"/>
      <c r="P1327" s="16" t="n">
        <v>0</v>
      </c>
      <c r="AC1327" s="23">
        <f>IF(OR(E1327="",E1327="[PARENT]"),"ADD",IF(E1327="[ALT_VIEW]","ALT",""))</f>
        <v/>
      </c>
      <c r="AD1327" s="21">
        <f>IF(Y1327&lt;&gt;"",Y1327,IF(U1327&lt;&gt;"",U1327,S1327))</f>
        <v/>
      </c>
      <c r="AE1327" s="21">
        <f>IF(AB1327&lt;&gt;"",AB1327,Z1327)</f>
        <v/>
      </c>
      <c r="AF1327" s="13" t="inlineStr">
        <is>
          <t>P-10 &gt; DDG-51 &gt; AWS EOQ - AWS EOQ FY27 Ships                                                                VARIOUS             VARIOUS                     -                                 -</t>
        </is>
      </c>
      <c r="AG1327" s="7" t="inlineStr">
        <is>
          <t>266</t>
        </is>
      </c>
      <c r="AH1327" s="7" t="inlineStr">
        <is>
          <t>2122</t>
        </is>
      </c>
    </row>
    <row r="1328" ht="10" customHeight="1">
      <c r="A1328" s="7" t="inlineStr">
        <is>
          <t>SCN</t>
        </is>
      </c>
      <c r="B1328" s="7" t="inlineStr">
        <is>
          <t>Procurement</t>
        </is>
      </c>
      <c r="D1328" s="7" t="inlineStr">
        <is>
          <t>DDG-51 - P-10 - AWS EOQ - (7)</t>
        </is>
      </c>
      <c r="E1328" s="13" t="inlineStr">
        <is>
          <t>[SUB]</t>
        </is>
      </c>
      <c r="F1328" s="7" t="inlineStr">
        <is>
          <t>2122 / DDG-51 AP</t>
        </is>
      </c>
      <c r="I1328" s="14" t="n">
        <v>1</v>
      </c>
      <c r="J1328" s="7" t="inlineStr">
        <is>
          <t>Advance procurement / LLTM</t>
        </is>
      </c>
      <c r="K1328" s="13" t="inlineStr">
        <is>
          <t>USN</t>
        </is>
      </c>
      <c r="L1328" s="7" t="inlineStr">
        <is>
          <t>Combatant Ships</t>
        </is>
      </c>
      <c r="M1328" s="7" t="inlineStr">
        <is>
          <t>Surface Combatants</t>
        </is>
      </c>
      <c r="N1328" s="7" t="inlineStr">
        <is>
          <t>DDG</t>
        </is>
      </c>
      <c r="O1328" s="15" t="n"/>
      <c r="P1328" s="16" t="n">
        <v>0</v>
      </c>
      <c r="AC1328" s="23">
        <f>IF(OR(E1328="",E1328="[PARENT]"),"ADD",IF(E1328="[ALT_VIEW]","ALT",""))</f>
        <v/>
      </c>
      <c r="AD1328" s="21">
        <f>IF(Y1328&lt;&gt;"",Y1328,IF(U1328&lt;&gt;"",U1328,S1328))</f>
        <v/>
      </c>
      <c r="AE1328" s="21">
        <f>IF(AB1328&lt;&gt;"",AB1328,Z1328)</f>
        <v/>
      </c>
      <c r="AF1328" s="13" t="inlineStr">
        <is>
          <t>P-10 &gt; DDG-51 &gt; AWS EOQ - (7)</t>
        </is>
      </c>
      <c r="AG1328" s="7" t="inlineStr">
        <is>
          <t>266</t>
        </is>
      </c>
      <c r="AH1328" s="7" t="inlineStr">
        <is>
          <t>2122</t>
        </is>
      </c>
    </row>
    <row r="1329" ht="10" customHeight="1">
      <c r="A1329" s="7" t="inlineStr">
        <is>
          <t>SCN</t>
        </is>
      </c>
      <c r="B1329" s="7" t="inlineStr">
        <is>
          <t>Procurement</t>
        </is>
      </c>
      <c r="D1329" s="7" t="inlineStr">
        <is>
          <t>DDG-51 - P-10 - AWS EOQ - CBSP AP for FY26 Ships                                                                     06         VARIOUS                     -                                 -</t>
        </is>
      </c>
      <c r="E1329" s="13" t="inlineStr">
        <is>
          <t>[SUB]</t>
        </is>
      </c>
      <c r="F1329" s="7" t="inlineStr">
        <is>
          <t>2122 / DDG-51 AP</t>
        </is>
      </c>
      <c r="I1329" s="14" t="n">
        <v>1</v>
      </c>
      <c r="J1329" s="7" t="inlineStr">
        <is>
          <t>Advance procurement / LLTM</t>
        </is>
      </c>
      <c r="K1329" s="13" t="inlineStr">
        <is>
          <t>USN</t>
        </is>
      </c>
      <c r="L1329" s="7" t="inlineStr">
        <is>
          <t>Combatant Ships</t>
        </is>
      </c>
      <c r="M1329" s="7" t="inlineStr">
        <is>
          <t>Surface Combatants</t>
        </is>
      </c>
      <c r="N1329" s="7" t="inlineStr">
        <is>
          <t>DDG</t>
        </is>
      </c>
      <c r="O1329" s="15" t="n"/>
      <c r="P1329" s="16" t="n">
        <v>0</v>
      </c>
      <c r="AC1329" s="23">
        <f>IF(OR(E1329="",E1329="[PARENT]"),"ADD",IF(E1329="[ALT_VIEW]","ALT",""))</f>
        <v/>
      </c>
      <c r="AD1329" s="21">
        <f>IF(Y1329&lt;&gt;"",Y1329,IF(U1329&lt;&gt;"",U1329,S1329))</f>
        <v/>
      </c>
      <c r="AE1329" s="21">
        <f>IF(AB1329&lt;&gt;"",AB1329,Z1329)</f>
        <v/>
      </c>
      <c r="AF1329" s="13" t="inlineStr">
        <is>
          <t>P-10 &gt; DDG-51 &gt; AWS EOQ - CBSP AP for FY26 Ships                                                                     06         VARIOUS                     -                                 -</t>
        </is>
      </c>
      <c r="AG1329" s="7" t="inlineStr">
        <is>
          <t>266</t>
        </is>
      </c>
      <c r="AH1329" s="7" t="inlineStr">
        <is>
          <t>2122</t>
        </is>
      </c>
    </row>
    <row r="1330" ht="10" customHeight="1">
      <c r="A1330" s="7" t="inlineStr">
        <is>
          <t>SCN</t>
        </is>
      </c>
      <c r="B1330" s="7" t="inlineStr">
        <is>
          <t>Procurement</t>
        </is>
      </c>
      <c r="D1330" s="7" t="inlineStr">
        <is>
          <t>DDG-51 - P-10 - AWS EOQ - CBSP AP for FY27 Ships                                                                     06         VARIOUS                     -                                 -</t>
        </is>
      </c>
      <c r="E1330" s="13" t="inlineStr">
        <is>
          <t>[SUB]</t>
        </is>
      </c>
      <c r="F1330" s="7" t="inlineStr">
        <is>
          <t>2122 / DDG-51 AP</t>
        </is>
      </c>
      <c r="I1330" s="14" t="n">
        <v>1</v>
      </c>
      <c r="J1330" s="7" t="inlineStr">
        <is>
          <t>Advance procurement / LLTM</t>
        </is>
      </c>
      <c r="K1330" s="13" t="inlineStr">
        <is>
          <t>USN</t>
        </is>
      </c>
      <c r="L1330" s="7" t="inlineStr">
        <is>
          <t>Combatant Ships</t>
        </is>
      </c>
      <c r="M1330" s="7" t="inlineStr">
        <is>
          <t>Surface Combatants</t>
        </is>
      </c>
      <c r="N1330" s="7" t="inlineStr">
        <is>
          <t>DDG</t>
        </is>
      </c>
      <c r="O1330" s="15" t="n"/>
      <c r="P1330" s="16" t="n">
        <v>0</v>
      </c>
      <c r="AC1330" s="23">
        <f>IF(OR(E1330="",E1330="[PARENT]"),"ADD",IF(E1330="[ALT_VIEW]","ALT",""))</f>
        <v/>
      </c>
      <c r="AD1330" s="21">
        <f>IF(Y1330&lt;&gt;"",Y1330,IF(U1330&lt;&gt;"",U1330,S1330))</f>
        <v/>
      </c>
      <c r="AE1330" s="21">
        <f>IF(AB1330&lt;&gt;"",AB1330,Z1330)</f>
        <v/>
      </c>
      <c r="AF1330" s="13" t="inlineStr">
        <is>
          <t>P-10 &gt; DDG-51 &gt; AWS EOQ - CBSP AP for FY27 Ships                                                                     06         VARIOUS                     -                                 -</t>
        </is>
      </c>
      <c r="AG1330" s="7" t="inlineStr">
        <is>
          <t>266</t>
        </is>
      </c>
      <c r="AH1330" s="7" t="inlineStr">
        <is>
          <t>2122</t>
        </is>
      </c>
    </row>
    <row r="1331" ht="10" customHeight="1">
      <c r="A1331" s="7" t="inlineStr">
        <is>
          <t>SCN</t>
        </is>
      </c>
      <c r="B1331" s="7" t="inlineStr">
        <is>
          <t>Procurement</t>
        </is>
      </c>
      <c r="D1331" s="7" t="inlineStr">
        <is>
          <t>DDG-51 - P-10 - AWS EOQ - (8)</t>
        </is>
      </c>
      <c r="E1331" s="13" t="inlineStr">
        <is>
          <t>[SUB]</t>
        </is>
      </c>
      <c r="F1331" s="7" t="inlineStr">
        <is>
          <t>2122 / DDG-51 AP</t>
        </is>
      </c>
      <c r="I1331" s="14" t="n">
        <v>1</v>
      </c>
      <c r="J1331" s="7" t="inlineStr">
        <is>
          <t>Advance procurement / LLTM</t>
        </is>
      </c>
      <c r="K1331" s="13" t="inlineStr">
        <is>
          <t>USN</t>
        </is>
      </c>
      <c r="L1331" s="7" t="inlineStr">
        <is>
          <t>Combatant Ships</t>
        </is>
      </c>
      <c r="M1331" s="7" t="inlineStr">
        <is>
          <t>Surface Combatants</t>
        </is>
      </c>
      <c r="N1331" s="7" t="inlineStr">
        <is>
          <t>DDG</t>
        </is>
      </c>
      <c r="O1331" s="15" t="n"/>
      <c r="P1331" s="16" t="n">
        <v>0</v>
      </c>
      <c r="AC1331" s="23">
        <f>IF(OR(E1331="",E1331="[PARENT]"),"ADD",IF(E1331="[ALT_VIEW]","ALT",""))</f>
        <v/>
      </c>
      <c r="AD1331" s="21">
        <f>IF(Y1331&lt;&gt;"",Y1331,IF(U1331&lt;&gt;"",U1331,S1331))</f>
        <v/>
      </c>
      <c r="AE1331" s="21">
        <f>IF(AB1331&lt;&gt;"",AB1331,Z1331)</f>
        <v/>
      </c>
      <c r="AF1331" s="13" t="inlineStr">
        <is>
          <t>P-10 &gt; DDG-51 &gt; AWS EOQ - (8)</t>
        </is>
      </c>
      <c r="AG1331" s="7" t="inlineStr">
        <is>
          <t>266</t>
        </is>
      </c>
      <c r="AH1331" s="7" t="inlineStr">
        <is>
          <t>2122</t>
        </is>
      </c>
    </row>
    <row r="1332" ht="10" customHeight="1">
      <c r="A1332" s="7" t="inlineStr">
        <is>
          <t>SCN</t>
        </is>
      </c>
      <c r="B1332" s="7" t="inlineStr">
        <is>
          <t>Procurement</t>
        </is>
      </c>
      <c r="D1332" s="7" t="inlineStr">
        <is>
          <t>DDG-51 - P-10 - AWS EOQ - NMT AP for FY27 Ships                                                                      18         VARIOUS                     -                                 -</t>
        </is>
      </c>
      <c r="E1332" s="13" t="inlineStr">
        <is>
          <t>[SUB]</t>
        </is>
      </c>
      <c r="F1332" s="7" t="inlineStr">
        <is>
          <t>2122 / DDG-51 AP</t>
        </is>
      </c>
      <c r="I1332" s="14" t="n">
        <v>1</v>
      </c>
      <c r="J1332" s="7" t="inlineStr">
        <is>
          <t>Advance procurement / LLTM</t>
        </is>
      </c>
      <c r="K1332" s="13" t="inlineStr">
        <is>
          <t>USN</t>
        </is>
      </c>
      <c r="L1332" s="7" t="inlineStr">
        <is>
          <t>Combatant Ships</t>
        </is>
      </c>
      <c r="M1332" s="7" t="inlineStr">
        <is>
          <t>Surface Combatants</t>
        </is>
      </c>
      <c r="N1332" s="7" t="inlineStr">
        <is>
          <t>DDG</t>
        </is>
      </c>
      <c r="O1332" s="15" t="n"/>
      <c r="P1332" s="16" t="n">
        <v>0</v>
      </c>
      <c r="AC1332" s="23">
        <f>IF(OR(E1332="",E1332="[PARENT]"),"ADD",IF(E1332="[ALT_VIEW]","ALT",""))</f>
        <v/>
      </c>
      <c r="AD1332" s="21">
        <f>IF(Y1332&lt;&gt;"",Y1332,IF(U1332&lt;&gt;"",U1332,S1332))</f>
        <v/>
      </c>
      <c r="AE1332" s="21">
        <f>IF(AB1332&lt;&gt;"",AB1332,Z1332)</f>
        <v/>
      </c>
      <c r="AF1332" s="13" t="inlineStr">
        <is>
          <t>P-10 &gt; DDG-51 &gt; AWS EOQ - NMT AP for FY27 Ships                                                                      18         VARIOUS                     -                                 -</t>
        </is>
      </c>
      <c r="AG1332" s="7" t="inlineStr">
        <is>
          <t>266</t>
        </is>
      </c>
      <c r="AH1332" s="7" t="inlineStr">
        <is>
          <t>2122</t>
        </is>
      </c>
    </row>
    <row r="1333" ht="10" customHeight="1">
      <c r="A1333" s="7" t="inlineStr">
        <is>
          <t>SCN</t>
        </is>
      </c>
      <c r="B1333" s="7" t="inlineStr">
        <is>
          <t>Procurement</t>
        </is>
      </c>
      <c r="D1333" s="7" t="inlineStr">
        <is>
          <t>Littoral Combat Ship (LCS) - P-5c - Plan Costs</t>
        </is>
      </c>
      <c r="E1333" s="13" t="inlineStr">
        <is>
          <t>[ALT_VIEW]</t>
        </is>
      </c>
      <c r="F1333" s="7" t="inlineStr">
        <is>
          <t>2127 / LCS</t>
        </is>
      </c>
      <c r="G1333" s="7" t="inlineStr">
        <is>
          <t>P-5c</t>
        </is>
      </c>
      <c r="H1333" s="7" t="inlineStr">
        <is>
          <t>Plan Costs</t>
        </is>
      </c>
      <c r="I1333" s="14" t="n">
        <v>1</v>
      </c>
      <c r="J1333" s="7" t="inlineStr">
        <is>
          <t>Full ship DD&amp;C</t>
        </is>
      </c>
      <c r="K1333" s="13" t="inlineStr">
        <is>
          <t>USN</t>
        </is>
      </c>
      <c r="L1333" s="7" t="inlineStr">
        <is>
          <t>Combatant Ships</t>
        </is>
      </c>
      <c r="M1333" s="7" t="inlineStr">
        <is>
          <t>Surface Combatants</t>
        </is>
      </c>
      <c r="N1333" s="7" t="inlineStr">
        <is>
          <t>LCS</t>
        </is>
      </c>
      <c r="O1333" s="15" t="n"/>
      <c r="AC1333" s="23">
        <f>IF(OR(E1333="",E1333="[PARENT]"),"ADD",IF(E1333="[ALT_VIEW]","ALT",""))</f>
        <v/>
      </c>
      <c r="AD1333" s="21">
        <f>IF(Y1333&lt;&gt;"",Y1333,IF(U1333&lt;&gt;"",U1333,S1333))</f>
        <v/>
      </c>
      <c r="AE1333" s="21">
        <f>IF(AB1333&lt;&gt;"",AB1333,Z1333)</f>
        <v/>
      </c>
      <c r="AF1333" s="13" t="inlineStr">
        <is>
          <t>P-5c &gt; Littoral Combat Ship (LCS) &gt; Plan Costs</t>
        </is>
      </c>
      <c r="AG1333" s="7" t="inlineStr">
        <is>
          <t>271</t>
        </is>
      </c>
      <c r="AH1333" s="7" t="inlineStr">
        <is>
          <t>2127</t>
        </is>
      </c>
      <c r="AJ1333" s="7" t="inlineStr">
        <is>
          <t>Plan</t>
        </is>
      </c>
    </row>
    <row r="1334" ht="10" customHeight="1">
      <c r="A1334" s="7" t="inlineStr">
        <is>
          <t>SCN</t>
        </is>
      </c>
      <c r="B1334" s="7" t="inlineStr">
        <is>
          <t>Procurement</t>
        </is>
      </c>
      <c r="D1334" s="7" t="inlineStr">
        <is>
          <t>Littoral Combat Ship (LCS) - P-5c - Basic Construction</t>
        </is>
      </c>
      <c r="E1334" s="13" t="inlineStr">
        <is>
          <t>[ALT_VIEW]</t>
        </is>
      </c>
      <c r="F1334" s="7" t="inlineStr">
        <is>
          <t>2127 / LCS</t>
        </is>
      </c>
      <c r="G1334" s="7" t="inlineStr">
        <is>
          <t>P-5c</t>
        </is>
      </c>
      <c r="H1334" s="7" t="inlineStr">
        <is>
          <t>Basic Construction</t>
        </is>
      </c>
      <c r="I1334" s="14" t="n">
        <v>1</v>
      </c>
      <c r="J1334" s="7" t="inlineStr">
        <is>
          <t>Full ship DD&amp;C</t>
        </is>
      </c>
      <c r="K1334" s="13" t="inlineStr">
        <is>
          <t>USN</t>
        </is>
      </c>
      <c r="L1334" s="7" t="inlineStr">
        <is>
          <t>Combatant Ships</t>
        </is>
      </c>
      <c r="M1334" s="7" t="inlineStr">
        <is>
          <t>Surface Combatants</t>
        </is>
      </c>
      <c r="N1334" s="7" t="inlineStr">
        <is>
          <t>LCS</t>
        </is>
      </c>
      <c r="O1334" s="15" t="n"/>
      <c r="AC1334" s="23">
        <f>IF(OR(E1334="",E1334="[PARENT]"),"ADD",IF(E1334="[ALT_VIEW]","ALT",""))</f>
        <v/>
      </c>
      <c r="AD1334" s="21">
        <f>IF(Y1334&lt;&gt;"",Y1334,IF(U1334&lt;&gt;"",U1334,S1334))</f>
        <v/>
      </c>
      <c r="AE1334" s="21">
        <f>IF(AB1334&lt;&gt;"",AB1334,Z1334)</f>
        <v/>
      </c>
      <c r="AF1334" s="13" t="inlineStr">
        <is>
          <t>P-5c &gt; Littoral Combat Ship (LCS) &gt; Basic Construction</t>
        </is>
      </c>
      <c r="AG1334" s="7" t="inlineStr">
        <is>
          <t>271</t>
        </is>
      </c>
      <c r="AH1334" s="7" t="inlineStr">
        <is>
          <t>2127</t>
        </is>
      </c>
      <c r="AJ1334" s="7" t="inlineStr">
        <is>
          <t>Basic Construction</t>
        </is>
      </c>
    </row>
    <row r="1335" ht="10" customHeight="1">
      <c r="A1335" s="7" t="inlineStr">
        <is>
          <t>SCN</t>
        </is>
      </c>
      <c r="B1335" s="7" t="inlineStr">
        <is>
          <t>Procurement</t>
        </is>
      </c>
      <c r="D1335" s="7" t="inlineStr">
        <is>
          <t>Littoral Combat Ship (LCS) - P-5c - Change Orders</t>
        </is>
      </c>
      <c r="E1335" s="13" t="inlineStr">
        <is>
          <t>[ALT_VIEW]</t>
        </is>
      </c>
      <c r="F1335" s="7" t="inlineStr">
        <is>
          <t>2127 / LCS</t>
        </is>
      </c>
      <c r="G1335" s="7" t="inlineStr">
        <is>
          <t>P-5c</t>
        </is>
      </c>
      <c r="H1335" s="7" t="inlineStr">
        <is>
          <t>Change Orders</t>
        </is>
      </c>
      <c r="I1335" s="14" t="n">
        <v>1</v>
      </c>
      <c r="J1335" s="7" t="inlineStr">
        <is>
          <t>Full ship DD&amp;C</t>
        </is>
      </c>
      <c r="K1335" s="13" t="inlineStr">
        <is>
          <t>USN</t>
        </is>
      </c>
      <c r="L1335" s="7" t="inlineStr">
        <is>
          <t>Combatant Ships</t>
        </is>
      </c>
      <c r="M1335" s="7" t="inlineStr">
        <is>
          <t>Surface Combatants</t>
        </is>
      </c>
      <c r="N1335" s="7" t="inlineStr">
        <is>
          <t>LCS</t>
        </is>
      </c>
      <c r="O1335" s="15" t="n"/>
      <c r="AC1335" s="23">
        <f>IF(OR(E1335="",E1335="[PARENT]"),"ADD",IF(E1335="[ALT_VIEW]","ALT",""))</f>
        <v/>
      </c>
      <c r="AD1335" s="21">
        <f>IF(Y1335&lt;&gt;"",Y1335,IF(U1335&lt;&gt;"",U1335,S1335))</f>
        <v/>
      </c>
      <c r="AE1335" s="21">
        <f>IF(AB1335&lt;&gt;"",AB1335,Z1335)</f>
        <v/>
      </c>
      <c r="AF1335" s="13" t="inlineStr">
        <is>
          <t>P-5c &gt; Littoral Combat Ship (LCS) &gt; Change Orders</t>
        </is>
      </c>
      <c r="AG1335" s="7" t="inlineStr">
        <is>
          <t>271</t>
        </is>
      </c>
      <c r="AH1335" s="7" t="inlineStr">
        <is>
          <t>2127</t>
        </is>
      </c>
      <c r="AJ1335" s="7" t="inlineStr">
        <is>
          <t>Change Orders</t>
        </is>
      </c>
    </row>
    <row r="1336" ht="10" customHeight="1">
      <c r="A1336" s="7" t="inlineStr">
        <is>
          <t>SCN</t>
        </is>
      </c>
      <c r="B1336" s="7" t="inlineStr">
        <is>
          <t>Procurement</t>
        </is>
      </c>
      <c r="D1336" s="7" t="inlineStr">
        <is>
          <t>Littoral Combat Ship (LCS) - P-5c - Electronics</t>
        </is>
      </c>
      <c r="E1336" s="13" t="inlineStr">
        <is>
          <t>[ALT_VIEW]</t>
        </is>
      </c>
      <c r="F1336" s="7" t="inlineStr">
        <is>
          <t>2127 / LCS</t>
        </is>
      </c>
      <c r="G1336" s="7" t="inlineStr">
        <is>
          <t>P-5c</t>
        </is>
      </c>
      <c r="H1336" s="7" t="inlineStr">
        <is>
          <t>Electronics</t>
        </is>
      </c>
      <c r="I1336" s="14" t="n">
        <v>1</v>
      </c>
      <c r="J1336" s="7" t="inlineStr">
        <is>
          <t>Full ship DD&amp;C</t>
        </is>
      </c>
      <c r="K1336" s="13" t="inlineStr">
        <is>
          <t>USN</t>
        </is>
      </c>
      <c r="L1336" s="7" t="inlineStr">
        <is>
          <t>Combatant Ships</t>
        </is>
      </c>
      <c r="M1336" s="7" t="inlineStr">
        <is>
          <t>Surface Combatants</t>
        </is>
      </c>
      <c r="N1336" s="7" t="inlineStr">
        <is>
          <t>LCS</t>
        </is>
      </c>
      <c r="O1336" s="15" t="n"/>
      <c r="AC1336" s="23">
        <f>IF(OR(E1336="",E1336="[PARENT]"),"ADD",IF(E1336="[ALT_VIEW]","ALT",""))</f>
        <v/>
      </c>
      <c r="AD1336" s="21">
        <f>IF(Y1336&lt;&gt;"",Y1336,IF(U1336&lt;&gt;"",U1336,S1336))</f>
        <v/>
      </c>
      <c r="AE1336" s="21">
        <f>IF(AB1336&lt;&gt;"",AB1336,Z1336)</f>
        <v/>
      </c>
      <c r="AF1336" s="13" t="inlineStr">
        <is>
          <t>P-5c &gt; Littoral Combat Ship (LCS) &gt; Electronics</t>
        </is>
      </c>
      <c r="AG1336" s="7" t="inlineStr">
        <is>
          <t>271</t>
        </is>
      </c>
      <c r="AH1336" s="7" t="inlineStr">
        <is>
          <t>2127</t>
        </is>
      </c>
      <c r="AJ1336" s="7" t="inlineStr">
        <is>
          <t>Electronics</t>
        </is>
      </c>
    </row>
    <row r="1337" ht="10" customHeight="1">
      <c r="A1337" s="7" t="inlineStr">
        <is>
          <t>SCN</t>
        </is>
      </c>
      <c r="B1337" s="7" t="inlineStr">
        <is>
          <t>Procurement</t>
        </is>
      </c>
      <c r="D1337" s="7" t="inlineStr">
        <is>
          <t>Littoral Combat Ship (LCS) - P-5c - Hull, Mechanical, and Electrical</t>
        </is>
      </c>
      <c r="E1337" s="13" t="inlineStr">
        <is>
          <t>[ALT_VIEW]</t>
        </is>
      </c>
      <c r="F1337" s="7" t="inlineStr">
        <is>
          <t>2127 / LCS</t>
        </is>
      </c>
      <c r="G1337" s="7" t="inlineStr">
        <is>
          <t>P-5c</t>
        </is>
      </c>
      <c r="H1337" s="7" t="inlineStr">
        <is>
          <t>Hull, Mechanical, and Electrical</t>
        </is>
      </c>
      <c r="I1337" s="14" t="n">
        <v>1</v>
      </c>
      <c r="J1337" s="7" t="inlineStr">
        <is>
          <t>Full ship DD&amp;C</t>
        </is>
      </c>
      <c r="K1337" s="13" t="inlineStr">
        <is>
          <t>USN</t>
        </is>
      </c>
      <c r="L1337" s="7" t="inlineStr">
        <is>
          <t>Combatant Ships</t>
        </is>
      </c>
      <c r="M1337" s="7" t="inlineStr">
        <is>
          <t>Surface Combatants</t>
        </is>
      </c>
      <c r="N1337" s="7" t="inlineStr">
        <is>
          <t>LCS</t>
        </is>
      </c>
      <c r="O1337" s="15" t="n"/>
      <c r="AC1337" s="23">
        <f>IF(OR(E1337="",E1337="[PARENT]"),"ADD",IF(E1337="[ALT_VIEW]","ALT",""))</f>
        <v/>
      </c>
      <c r="AD1337" s="21">
        <f>IF(Y1337&lt;&gt;"",Y1337,IF(U1337&lt;&gt;"",U1337,S1337))</f>
        <v/>
      </c>
      <c r="AE1337" s="21">
        <f>IF(AB1337&lt;&gt;"",AB1337,Z1337)</f>
        <v/>
      </c>
      <c r="AF1337" s="13" t="inlineStr">
        <is>
          <t>P-5c &gt; Littoral Combat Ship (LCS) &gt; Hull, Mechanical, and Electrical</t>
        </is>
      </c>
      <c r="AG1337" s="7" t="inlineStr">
        <is>
          <t>271</t>
        </is>
      </c>
      <c r="AH1337" s="7" t="inlineStr">
        <is>
          <t>2127</t>
        </is>
      </c>
    </row>
    <row r="1338" ht="10" customHeight="1">
      <c r="A1338" s="7" t="inlineStr">
        <is>
          <t>SCN</t>
        </is>
      </c>
      <c r="B1338" s="7" t="inlineStr">
        <is>
          <t>Procurement</t>
        </is>
      </c>
      <c r="D1338" s="7" t="inlineStr">
        <is>
          <t>Littoral Combat Ship (LCS) - P-5c - Ordnance</t>
        </is>
      </c>
      <c r="E1338" s="13" t="inlineStr">
        <is>
          <t>[ALT_VIEW]</t>
        </is>
      </c>
      <c r="F1338" s="7" t="inlineStr">
        <is>
          <t>2127 / LCS</t>
        </is>
      </c>
      <c r="G1338" s="7" t="inlineStr">
        <is>
          <t>P-5c</t>
        </is>
      </c>
      <c r="H1338" s="7" t="inlineStr">
        <is>
          <t>Ordnance</t>
        </is>
      </c>
      <c r="I1338" s="14" t="n">
        <v>1</v>
      </c>
      <c r="J1338" s="7" t="inlineStr">
        <is>
          <t>Full ship DD&amp;C</t>
        </is>
      </c>
      <c r="K1338" s="13" t="inlineStr">
        <is>
          <t>USN</t>
        </is>
      </c>
      <c r="L1338" s="7" t="inlineStr">
        <is>
          <t>Combatant Ships</t>
        </is>
      </c>
      <c r="M1338" s="7" t="inlineStr">
        <is>
          <t>Surface Combatants</t>
        </is>
      </c>
      <c r="N1338" s="7" t="inlineStr">
        <is>
          <t>LCS</t>
        </is>
      </c>
      <c r="O1338" s="15" t="n"/>
      <c r="AC1338" s="23">
        <f>IF(OR(E1338="",E1338="[PARENT]"),"ADD",IF(E1338="[ALT_VIEW]","ALT",""))</f>
        <v/>
      </c>
      <c r="AD1338" s="21">
        <f>IF(Y1338&lt;&gt;"",Y1338,IF(U1338&lt;&gt;"",U1338,S1338))</f>
        <v/>
      </c>
      <c r="AE1338" s="21">
        <f>IF(AB1338&lt;&gt;"",AB1338,Z1338)</f>
        <v/>
      </c>
      <c r="AF1338" s="13" t="inlineStr">
        <is>
          <t>P-5c &gt; Littoral Combat Ship (LCS) &gt; Ordnance</t>
        </is>
      </c>
      <c r="AG1338" s="7" t="inlineStr">
        <is>
          <t>271</t>
        </is>
      </c>
      <c r="AH1338" s="7" t="inlineStr">
        <is>
          <t>2127</t>
        </is>
      </c>
      <c r="AJ1338" s="7" t="inlineStr">
        <is>
          <t>Ordnance</t>
        </is>
      </c>
    </row>
    <row r="1339" ht="10" customHeight="1">
      <c r="A1339" s="7" t="inlineStr">
        <is>
          <t>SCN</t>
        </is>
      </c>
      <c r="B1339" s="7" t="inlineStr">
        <is>
          <t>Procurement</t>
        </is>
      </c>
      <c r="D1339" s="7" t="inlineStr">
        <is>
          <t>Littoral Combat Ship (LCS) - P-5c - Other Cost</t>
        </is>
      </c>
      <c r="E1339" s="13" t="inlineStr">
        <is>
          <t>[ALT_VIEW]</t>
        </is>
      </c>
      <c r="F1339" s="7" t="inlineStr">
        <is>
          <t>2127 / LCS</t>
        </is>
      </c>
      <c r="G1339" s="7" t="inlineStr">
        <is>
          <t>P-5c</t>
        </is>
      </c>
      <c r="H1339" s="7" t="inlineStr">
        <is>
          <t>Other Cost</t>
        </is>
      </c>
      <c r="I1339" s="14" t="n">
        <v>1</v>
      </c>
      <c r="J1339" s="7" t="inlineStr">
        <is>
          <t>Full ship DD&amp;C</t>
        </is>
      </c>
      <c r="K1339" s="13" t="inlineStr">
        <is>
          <t>USN</t>
        </is>
      </c>
      <c r="L1339" s="7" t="inlineStr">
        <is>
          <t>Combatant Ships</t>
        </is>
      </c>
      <c r="M1339" s="7" t="inlineStr">
        <is>
          <t>Surface Combatants</t>
        </is>
      </c>
      <c r="N1339" s="7" t="inlineStr">
        <is>
          <t>LCS</t>
        </is>
      </c>
      <c r="O1339" s="15" t="n"/>
      <c r="AC1339" s="23">
        <f>IF(OR(E1339="",E1339="[PARENT]"),"ADD",IF(E1339="[ALT_VIEW]","ALT",""))</f>
        <v/>
      </c>
      <c r="AD1339" s="21">
        <f>IF(Y1339&lt;&gt;"",Y1339,IF(U1339&lt;&gt;"",U1339,S1339))</f>
        <v/>
      </c>
      <c r="AE1339" s="21">
        <f>IF(AB1339&lt;&gt;"",AB1339,Z1339)</f>
        <v/>
      </c>
      <c r="AF1339" s="13" t="inlineStr">
        <is>
          <t>P-5c &gt; Littoral Combat Ship (LCS) &gt; Other Cost</t>
        </is>
      </c>
      <c r="AG1339" s="7" t="inlineStr">
        <is>
          <t>271</t>
        </is>
      </c>
      <c r="AH1339" s="7" t="inlineStr">
        <is>
          <t>2127</t>
        </is>
      </c>
    </row>
    <row r="1340" ht="10" customHeight="1">
      <c r="A1340" s="7" t="inlineStr">
        <is>
          <t>SCN</t>
        </is>
      </c>
      <c r="B1340" s="7" t="inlineStr">
        <is>
          <t>Procurement</t>
        </is>
      </c>
      <c r="D1340" s="7" t="inlineStr">
        <is>
          <t>FFG-Frigate - P-5c - Plan Costs</t>
        </is>
      </c>
      <c r="E1340" s="13" t="inlineStr">
        <is>
          <t>[ALT_VIEW]</t>
        </is>
      </c>
      <c r="F1340" s="7" t="inlineStr">
        <is>
          <t>2128 / FFG-Frigate</t>
        </is>
      </c>
      <c r="G1340" s="7" t="inlineStr">
        <is>
          <t>P-5c</t>
        </is>
      </c>
      <c r="H1340" s="7" t="inlineStr">
        <is>
          <t>Plan Costs</t>
        </is>
      </c>
      <c r="I1340" s="14" t="n">
        <v>1</v>
      </c>
      <c r="J1340" s="7" t="inlineStr">
        <is>
          <t>Full ship DD&amp;C</t>
        </is>
      </c>
      <c r="K1340" s="13" t="inlineStr">
        <is>
          <t>USN</t>
        </is>
      </c>
      <c r="L1340" s="7" t="inlineStr">
        <is>
          <t>Combatant Ships</t>
        </is>
      </c>
      <c r="M1340" s="7" t="inlineStr">
        <is>
          <t>Surface Combatants</t>
        </is>
      </c>
      <c r="N1340" s="7" t="inlineStr">
        <is>
          <t>FFG</t>
        </is>
      </c>
      <c r="O1340" s="15" t="n"/>
      <c r="P1340" s="16" t="n">
        <v>145257</v>
      </c>
      <c r="S1340" s="16" t="n">
        <v>227249</v>
      </c>
      <c r="U1340" s="16" t="n">
        <v>227249</v>
      </c>
      <c r="AC1340" s="23">
        <f>IF(OR(E1340="",E1340="[PARENT]"),"ADD",IF(E1340="[ALT_VIEW]","ALT",""))</f>
        <v/>
      </c>
      <c r="AD1340" s="21">
        <f>IF(Y1340&lt;&gt;"",Y1340,IF(U1340&lt;&gt;"",U1340,S1340))</f>
        <v/>
      </c>
      <c r="AE1340" s="21">
        <f>IF(AB1340&lt;&gt;"",AB1340,Z1340)</f>
        <v/>
      </c>
      <c r="AF1340" s="13" t="inlineStr">
        <is>
          <t>P-5c &gt; FFG-Frigate &gt; Plan Costs</t>
        </is>
      </c>
      <c r="AG1340" s="7" t="inlineStr">
        <is>
          <t>275</t>
        </is>
      </c>
      <c r="AH1340" s="7" t="inlineStr">
        <is>
          <t>2128</t>
        </is>
      </c>
      <c r="AJ1340" s="7" t="inlineStr">
        <is>
          <t>Plan</t>
        </is>
      </c>
    </row>
    <row r="1341" ht="10" customHeight="1">
      <c r="A1341" s="7" t="inlineStr">
        <is>
          <t>SCN</t>
        </is>
      </c>
      <c r="B1341" s="7" t="inlineStr">
        <is>
          <t>Procurement</t>
        </is>
      </c>
      <c r="D1341" s="7" t="inlineStr">
        <is>
          <t>FFG-Frigate - P-5c - Basic Construction</t>
        </is>
      </c>
      <c r="E1341" s="13" t="inlineStr">
        <is>
          <t>[ALT_VIEW]</t>
        </is>
      </c>
      <c r="F1341" s="7" t="inlineStr">
        <is>
          <t>2128 / FFG-Frigate</t>
        </is>
      </c>
      <c r="G1341" s="7" t="inlineStr">
        <is>
          <t>P-5c</t>
        </is>
      </c>
      <c r="H1341" s="7" t="inlineStr">
        <is>
          <t>Basic Construction</t>
        </is>
      </c>
      <c r="I1341" s="14" t="n">
        <v>1</v>
      </c>
      <c r="J1341" s="7" t="inlineStr">
        <is>
          <t>Full ship DD&amp;C</t>
        </is>
      </c>
      <c r="K1341" s="13" t="inlineStr">
        <is>
          <t>USN</t>
        </is>
      </c>
      <c r="L1341" s="7" t="inlineStr">
        <is>
          <t>Combatant Ships</t>
        </is>
      </c>
      <c r="M1341" s="7" t="inlineStr">
        <is>
          <t>Surface Combatants</t>
        </is>
      </c>
      <c r="N1341" s="7" t="inlineStr">
        <is>
          <t>FFG</t>
        </is>
      </c>
      <c r="O1341" s="15" t="n"/>
      <c r="P1341" s="16" t="n">
        <v>683205</v>
      </c>
      <c r="S1341" s="16" t="n">
        <v>1362749</v>
      </c>
      <c r="U1341" s="16" t="n">
        <v>1362749</v>
      </c>
      <c r="AC1341" s="23">
        <f>IF(OR(E1341="",E1341="[PARENT]"),"ADD",IF(E1341="[ALT_VIEW]","ALT",""))</f>
        <v/>
      </c>
      <c r="AD1341" s="21">
        <f>IF(Y1341&lt;&gt;"",Y1341,IF(U1341&lt;&gt;"",U1341,S1341))</f>
        <v/>
      </c>
      <c r="AE1341" s="21">
        <f>IF(AB1341&lt;&gt;"",AB1341,Z1341)</f>
        <v/>
      </c>
      <c r="AF1341" s="13" t="inlineStr">
        <is>
          <t>P-5c &gt; FFG-Frigate &gt; Basic Construction</t>
        </is>
      </c>
      <c r="AG1341" s="7" t="inlineStr">
        <is>
          <t>275</t>
        </is>
      </c>
      <c r="AH1341" s="7" t="inlineStr">
        <is>
          <t>2128</t>
        </is>
      </c>
      <c r="AJ1341" s="7" t="inlineStr">
        <is>
          <t>Basic Construction</t>
        </is>
      </c>
    </row>
    <row r="1342" ht="10" customHeight="1">
      <c r="A1342" s="7" t="inlineStr">
        <is>
          <t>SCN</t>
        </is>
      </c>
      <c r="B1342" s="7" t="inlineStr">
        <is>
          <t>Procurement</t>
        </is>
      </c>
      <c r="D1342" s="7" t="inlineStr">
        <is>
          <t>FFG-Frigate - P-5c - Change Orders</t>
        </is>
      </c>
      <c r="E1342" s="13" t="inlineStr">
        <is>
          <t>[ALT_VIEW]</t>
        </is>
      </c>
      <c r="F1342" s="7" t="inlineStr">
        <is>
          <t>2128 / FFG-Frigate</t>
        </is>
      </c>
      <c r="G1342" s="7" t="inlineStr">
        <is>
          <t>P-5c</t>
        </is>
      </c>
      <c r="H1342" s="7" t="inlineStr">
        <is>
          <t>Change Orders</t>
        </is>
      </c>
      <c r="I1342" s="14" t="n">
        <v>1</v>
      </c>
      <c r="J1342" s="7" t="inlineStr">
        <is>
          <t>Full ship DD&amp;C</t>
        </is>
      </c>
      <c r="K1342" s="13" t="inlineStr">
        <is>
          <t>USN</t>
        </is>
      </c>
      <c r="L1342" s="7" t="inlineStr">
        <is>
          <t>Combatant Ships</t>
        </is>
      </c>
      <c r="M1342" s="7" t="inlineStr">
        <is>
          <t>Surface Combatants</t>
        </is>
      </c>
      <c r="N1342" s="7" t="inlineStr">
        <is>
          <t>FFG</t>
        </is>
      </c>
      <c r="O1342" s="15" t="n"/>
      <c r="P1342" s="16" t="n">
        <v>21617</v>
      </c>
      <c r="S1342" s="16" t="n">
        <v>31119</v>
      </c>
      <c r="U1342" s="16" t="n">
        <v>31119</v>
      </c>
      <c r="AC1342" s="23">
        <f>IF(OR(E1342="",E1342="[PARENT]"),"ADD",IF(E1342="[ALT_VIEW]","ALT",""))</f>
        <v/>
      </c>
      <c r="AD1342" s="21">
        <f>IF(Y1342&lt;&gt;"",Y1342,IF(U1342&lt;&gt;"",U1342,S1342))</f>
        <v/>
      </c>
      <c r="AE1342" s="21">
        <f>IF(AB1342&lt;&gt;"",AB1342,Z1342)</f>
        <v/>
      </c>
      <c r="AF1342" s="13" t="inlineStr">
        <is>
          <t>P-5c &gt; FFG-Frigate &gt; Change Orders</t>
        </is>
      </c>
      <c r="AG1342" s="7" t="inlineStr">
        <is>
          <t>275</t>
        </is>
      </c>
      <c r="AH1342" s="7" t="inlineStr">
        <is>
          <t>2128</t>
        </is>
      </c>
      <c r="AJ1342" s="7" t="inlineStr">
        <is>
          <t>Change Orders</t>
        </is>
      </c>
    </row>
    <row r="1343" ht="10" customHeight="1">
      <c r="A1343" s="7" t="inlineStr">
        <is>
          <t>SCN</t>
        </is>
      </c>
      <c r="B1343" s="7" t="inlineStr">
        <is>
          <t>Procurement</t>
        </is>
      </c>
      <c r="D1343" s="7" t="inlineStr">
        <is>
          <t>FFG-Frigate - P-5c - Electronics</t>
        </is>
      </c>
      <c r="E1343" s="13" t="inlineStr">
        <is>
          <t>[ALT_VIEW]</t>
        </is>
      </c>
      <c r="F1343" s="7" t="inlineStr">
        <is>
          <t>2128 / FFG-Frigate</t>
        </is>
      </c>
      <c r="G1343" s="7" t="inlineStr">
        <is>
          <t>P-5c</t>
        </is>
      </c>
      <c r="H1343" s="7" t="inlineStr">
        <is>
          <t>Electronics</t>
        </is>
      </c>
      <c r="I1343" s="14" t="n">
        <v>1</v>
      </c>
      <c r="J1343" s="7" t="inlineStr">
        <is>
          <t>Full ship DD&amp;C</t>
        </is>
      </c>
      <c r="K1343" s="13" t="inlineStr">
        <is>
          <t>USN</t>
        </is>
      </c>
      <c r="L1343" s="7" t="inlineStr">
        <is>
          <t>Combatant Ships</t>
        </is>
      </c>
      <c r="M1343" s="7" t="inlineStr">
        <is>
          <t>Surface Combatants</t>
        </is>
      </c>
      <c r="N1343" s="7" t="inlineStr">
        <is>
          <t>FFG</t>
        </is>
      </c>
      <c r="O1343" s="15" t="n"/>
      <c r="P1343" s="16" t="n">
        <v>338546</v>
      </c>
      <c r="S1343" s="16" t="n">
        <v>614217</v>
      </c>
      <c r="U1343" s="16" t="n">
        <v>614217</v>
      </c>
      <c r="AC1343" s="23">
        <f>IF(OR(E1343="",E1343="[PARENT]"),"ADD",IF(E1343="[ALT_VIEW]","ALT",""))</f>
        <v/>
      </c>
      <c r="AD1343" s="21">
        <f>IF(Y1343&lt;&gt;"",Y1343,IF(U1343&lt;&gt;"",U1343,S1343))</f>
        <v/>
      </c>
      <c r="AE1343" s="21">
        <f>IF(AB1343&lt;&gt;"",AB1343,Z1343)</f>
        <v/>
      </c>
      <c r="AF1343" s="13" t="inlineStr">
        <is>
          <t>P-5c &gt; FFG-Frigate &gt; Electronics</t>
        </is>
      </c>
      <c r="AG1343" s="7" t="inlineStr">
        <is>
          <t>275</t>
        </is>
      </c>
      <c r="AH1343" s="7" t="inlineStr">
        <is>
          <t>2128</t>
        </is>
      </c>
    </row>
    <row r="1344" ht="10" customHeight="1">
      <c r="A1344" s="7" t="inlineStr">
        <is>
          <t>SCN</t>
        </is>
      </c>
      <c r="B1344" s="7" t="inlineStr">
        <is>
          <t>Procurement</t>
        </is>
      </c>
      <c r="D1344" s="7" t="inlineStr">
        <is>
          <t>FFG-Frigate - P-5c - Ordnance</t>
        </is>
      </c>
      <c r="E1344" s="13" t="inlineStr">
        <is>
          <t>[ALT_VIEW]</t>
        </is>
      </c>
      <c r="F1344" s="7" t="inlineStr">
        <is>
          <t>2128 / FFG-Frigate</t>
        </is>
      </c>
      <c r="G1344" s="7" t="inlineStr">
        <is>
          <t>P-5c</t>
        </is>
      </c>
      <c r="H1344" s="7" t="inlineStr">
        <is>
          <t>Ordnance</t>
        </is>
      </c>
      <c r="I1344" s="14" t="n">
        <v>1</v>
      </c>
      <c r="J1344" s="7" t="inlineStr">
        <is>
          <t>Full ship DD&amp;C</t>
        </is>
      </c>
      <c r="K1344" s="13" t="inlineStr">
        <is>
          <t>USN</t>
        </is>
      </c>
      <c r="L1344" s="7" t="inlineStr">
        <is>
          <t>Combatant Ships</t>
        </is>
      </c>
      <c r="M1344" s="7" t="inlineStr">
        <is>
          <t>Surface Combatants</t>
        </is>
      </c>
      <c r="N1344" s="7" t="inlineStr">
        <is>
          <t>FFG</t>
        </is>
      </c>
      <c r="O1344" s="15" t="n"/>
      <c r="P1344" s="16" t="n">
        <v>58298</v>
      </c>
      <c r="S1344" s="16" t="n">
        <v>121197</v>
      </c>
      <c r="U1344" s="16" t="n">
        <v>121197</v>
      </c>
      <c r="AC1344" s="23">
        <f>IF(OR(E1344="",E1344="[PARENT]"),"ADD",IF(E1344="[ALT_VIEW]","ALT",""))</f>
        <v/>
      </c>
      <c r="AD1344" s="21">
        <f>IF(Y1344&lt;&gt;"",Y1344,IF(U1344&lt;&gt;"",U1344,S1344))</f>
        <v/>
      </c>
      <c r="AE1344" s="21">
        <f>IF(AB1344&lt;&gt;"",AB1344,Z1344)</f>
        <v/>
      </c>
      <c r="AF1344" s="13" t="inlineStr">
        <is>
          <t>P-5c &gt; FFG-Frigate &gt; Ordnance</t>
        </is>
      </c>
      <c r="AG1344" s="7" t="inlineStr">
        <is>
          <t>275</t>
        </is>
      </c>
      <c r="AH1344" s="7" t="inlineStr">
        <is>
          <t>2128</t>
        </is>
      </c>
    </row>
    <row r="1345" ht="10" customHeight="1">
      <c r="A1345" s="7" t="inlineStr">
        <is>
          <t>SCN</t>
        </is>
      </c>
      <c r="B1345" s="7" t="inlineStr">
        <is>
          <t>Procurement</t>
        </is>
      </c>
      <c r="D1345" s="7" t="inlineStr">
        <is>
          <t>FFG-Frigate - P-5c - Other Cost</t>
        </is>
      </c>
      <c r="E1345" s="13" t="inlineStr">
        <is>
          <t>[ALT_VIEW]</t>
        </is>
      </c>
      <c r="F1345" s="7" t="inlineStr">
        <is>
          <t>2128 / FFG-Frigate</t>
        </is>
      </c>
      <c r="G1345" s="7" t="inlineStr">
        <is>
          <t>P-5c</t>
        </is>
      </c>
      <c r="H1345" s="7" t="inlineStr">
        <is>
          <t>Other Cost</t>
        </is>
      </c>
      <c r="I1345" s="14" t="n">
        <v>1</v>
      </c>
      <c r="J1345" s="7" t="inlineStr">
        <is>
          <t>Full ship DD&amp;C</t>
        </is>
      </c>
      <c r="K1345" s="13" t="inlineStr">
        <is>
          <t>USN</t>
        </is>
      </c>
      <c r="L1345" s="7" t="inlineStr">
        <is>
          <t>Combatant Ships</t>
        </is>
      </c>
      <c r="M1345" s="7" t="inlineStr">
        <is>
          <t>Surface Combatants</t>
        </is>
      </c>
      <c r="N1345" s="7" t="inlineStr">
        <is>
          <t>FFG</t>
        </is>
      </c>
      <c r="O1345" s="15" t="n"/>
      <c r="P1345" s="16" t="n">
        <v>54102</v>
      </c>
      <c r="S1345" s="16" t="n">
        <v>99993</v>
      </c>
      <c r="U1345" s="16" t="n">
        <v>99993</v>
      </c>
      <c r="AC1345" s="23">
        <f>IF(OR(E1345="",E1345="[PARENT]"),"ADD",IF(E1345="[ALT_VIEW]","ALT",""))</f>
        <v/>
      </c>
      <c r="AD1345" s="21">
        <f>IF(Y1345&lt;&gt;"",Y1345,IF(U1345&lt;&gt;"",U1345,S1345))</f>
        <v/>
      </c>
      <c r="AE1345" s="21">
        <f>IF(AB1345&lt;&gt;"",AB1345,Z1345)</f>
        <v/>
      </c>
      <c r="AF1345" s="13" t="inlineStr">
        <is>
          <t>P-5c &gt; FFG-Frigate &gt; Other Cost</t>
        </is>
      </c>
      <c r="AG1345" s="7" t="inlineStr">
        <is>
          <t>275</t>
        </is>
      </c>
      <c r="AH1345" s="7" t="inlineStr">
        <is>
          <t>2128</t>
        </is>
      </c>
      <c r="AJ1345" s="7" t="inlineStr">
        <is>
          <t>Other</t>
        </is>
      </c>
    </row>
    <row r="1346" ht="10" customHeight="1">
      <c r="A1346" s="7" t="inlineStr">
        <is>
          <t>SCN</t>
        </is>
      </c>
      <c r="B1346" s="7" t="inlineStr">
        <is>
          <t>Procurement</t>
        </is>
      </c>
      <c r="D1346" s="7" t="inlineStr">
        <is>
          <t>FFG-Frigate - P-5c - 2020                                                                 -                            -                            -</t>
        </is>
      </c>
      <c r="E1346" s="13" t="inlineStr">
        <is>
          <t>[ALT_VIEW]</t>
        </is>
      </c>
      <c r="F1346" s="7" t="inlineStr">
        <is>
          <t>2128 / FFG-Frigate</t>
        </is>
      </c>
      <c r="G1346" s="7" t="inlineStr">
        <is>
          <t>P-5c</t>
        </is>
      </c>
      <c r="I1346" s="14" t="n">
        <v>1</v>
      </c>
      <c r="J1346" s="7" t="inlineStr">
        <is>
          <t>Full ship DD&amp;C</t>
        </is>
      </c>
      <c r="K1346" s="13" t="inlineStr">
        <is>
          <t>USN</t>
        </is>
      </c>
      <c r="L1346" s="7" t="inlineStr">
        <is>
          <t>Combatant Ships</t>
        </is>
      </c>
      <c r="M1346" s="7" t="inlineStr">
        <is>
          <t>Surface Combatants</t>
        </is>
      </c>
      <c r="N1346" s="7" t="inlineStr">
        <is>
          <t>FFG</t>
        </is>
      </c>
      <c r="O1346" s="15" t="n"/>
      <c r="S1346" s="16" t="n">
        <v>6000</v>
      </c>
      <c r="U1346" s="16" t="n">
        <v>6000</v>
      </c>
      <c r="AC1346" s="23">
        <f>IF(OR(E1346="",E1346="[PARENT]"),"ADD",IF(E1346="[ALT_VIEW]","ALT",""))</f>
        <v/>
      </c>
      <c r="AD1346" s="21">
        <f>IF(Y1346&lt;&gt;"",Y1346,IF(U1346&lt;&gt;"",U1346,S1346))</f>
        <v/>
      </c>
      <c r="AE1346" s="21">
        <f>IF(AB1346&lt;&gt;"",AB1346,Z1346)</f>
        <v/>
      </c>
      <c r="AF1346" s="13" t="inlineStr">
        <is>
          <t>P-5c &gt; FFG-Frigate &gt; 2020                                                                 -                            -                            -</t>
        </is>
      </c>
      <c r="AG1346" s="7" t="inlineStr">
        <is>
          <t>275</t>
        </is>
      </c>
      <c r="AH1346" s="7" t="inlineStr">
        <is>
          <t>2128</t>
        </is>
      </c>
    </row>
    <row r="1347" ht="10" customHeight="1">
      <c r="A1347" s="7" t="inlineStr">
        <is>
          <t>SCN</t>
        </is>
      </c>
      <c r="B1347" s="7" t="inlineStr">
        <is>
          <t>Procurement</t>
        </is>
      </c>
      <c r="D1347" s="7" t="inlineStr">
        <is>
          <t>FFG-Frigate - P-5c - 2025                                                                 -                            -                            -                             -</t>
        </is>
      </c>
      <c r="E1347" s="13" t="inlineStr">
        <is>
          <t>[ALT_VIEW]</t>
        </is>
      </c>
      <c r="F1347" s="7" t="inlineStr">
        <is>
          <t>2128 / FFG-Frigate</t>
        </is>
      </c>
      <c r="G1347" s="7" t="inlineStr">
        <is>
          <t>P-5c</t>
        </is>
      </c>
      <c r="I1347" s="14" t="n">
        <v>1</v>
      </c>
      <c r="J1347" s="7" t="inlineStr">
        <is>
          <t>Full ship DD&amp;C</t>
        </is>
      </c>
      <c r="K1347" s="13" t="inlineStr">
        <is>
          <t>USN</t>
        </is>
      </c>
      <c r="L1347" s="7" t="inlineStr">
        <is>
          <t>Combatant Ships</t>
        </is>
      </c>
      <c r="M1347" s="7" t="inlineStr">
        <is>
          <t>Surface Combatants</t>
        </is>
      </c>
      <c r="N1347" s="7" t="inlineStr">
        <is>
          <t>FFG</t>
        </is>
      </c>
      <c r="O1347" s="15" t="n"/>
      <c r="S1347" s="16" t="n">
        <v>233200</v>
      </c>
      <c r="U1347" s="16" t="n">
        <v>233200</v>
      </c>
      <c r="AC1347" s="23">
        <f>IF(OR(E1347="",E1347="[PARENT]"),"ADD",IF(E1347="[ALT_VIEW]","ALT",""))</f>
        <v/>
      </c>
      <c r="AD1347" s="21">
        <f>IF(Y1347&lt;&gt;"",Y1347,IF(U1347&lt;&gt;"",U1347,S1347))</f>
        <v/>
      </c>
      <c r="AE1347" s="21">
        <f>IF(AB1347&lt;&gt;"",AB1347,Z1347)</f>
        <v/>
      </c>
      <c r="AF1347" s="13" t="inlineStr">
        <is>
          <t>P-5c &gt; FFG-Frigate &gt; 2025                                                                 -                            -                            -                             -</t>
        </is>
      </c>
      <c r="AG1347" s="7" t="inlineStr">
        <is>
          <t>275</t>
        </is>
      </c>
      <c r="AH1347" s="7" t="inlineStr">
        <is>
          <t>2128</t>
        </is>
      </c>
    </row>
    <row r="1348" ht="10" customHeight="1">
      <c r="A1348" s="7" t="inlineStr">
        <is>
          <t>SCN</t>
        </is>
      </c>
      <c r="B1348" s="7" t="inlineStr">
        <is>
          <t>Procurement</t>
        </is>
      </c>
      <c r="D1348" s="7" t="inlineStr">
        <is>
          <t>FFG-Frigate - P-8a Electronics - Enterprise Air Surveillance Radar (EASR) 2</t>
        </is>
      </c>
      <c r="E1348" s="13" t="inlineStr">
        <is>
          <t>[ALT_VIEW]</t>
        </is>
      </c>
      <c r="F1348" s="7" t="inlineStr">
        <is>
          <t>2128 / FFG-Frigate</t>
        </is>
      </c>
      <c r="G1348" s="7" t="inlineStr">
        <is>
          <t>P-8a</t>
        </is>
      </c>
      <c r="H1348" s="7" t="inlineStr">
        <is>
          <t>Electronics</t>
        </is>
      </c>
      <c r="I1348" s="14" t="n">
        <v>1</v>
      </c>
      <c r="J1348" s="7" t="inlineStr">
        <is>
          <t>Full ship DD&amp;C</t>
        </is>
      </c>
      <c r="K1348" s="13" t="inlineStr">
        <is>
          <t>USN</t>
        </is>
      </c>
      <c r="L1348" s="7" t="inlineStr">
        <is>
          <t>Combatant Ships</t>
        </is>
      </c>
      <c r="M1348" s="7" t="inlineStr">
        <is>
          <t>Surface Combatants</t>
        </is>
      </c>
      <c r="N1348" s="7" t="inlineStr">
        <is>
          <t>FFG</t>
        </is>
      </c>
      <c r="O1348" s="15" t="n"/>
      <c r="S1348" s="16" t="n">
        <v>122605</v>
      </c>
      <c r="U1348" s="16" t="n">
        <v>122605</v>
      </c>
      <c r="AC1348" s="23">
        <f>IF(OR(E1348="",E1348="[PARENT]"),"ADD",IF(E1348="[ALT_VIEW]","ALT",""))</f>
        <v/>
      </c>
      <c r="AD1348" s="21">
        <f>IF(Y1348&lt;&gt;"",Y1348,IF(U1348&lt;&gt;"",U1348,S1348))</f>
        <v/>
      </c>
      <c r="AE1348" s="21">
        <f>IF(AB1348&lt;&gt;"",AB1348,Z1348)</f>
        <v/>
      </c>
      <c r="AF1348" s="13" t="inlineStr">
        <is>
          <t>P-8a &gt; FFG-Frigate &gt; Electronics &gt; Enterprise Air Surveillance Radar (EASR) 2</t>
        </is>
      </c>
      <c r="AG1348" s="7" t="inlineStr">
        <is>
          <t>277</t>
        </is>
      </c>
      <c r="AH1348" s="7" t="inlineStr">
        <is>
          <t>2128</t>
        </is>
      </c>
      <c r="AJ1348" s="7" t="inlineStr">
        <is>
          <t>Enterprise Air Surveillance Radar (EASR)</t>
        </is>
      </c>
    </row>
    <row r="1349" ht="10" customHeight="1">
      <c r="A1349" s="7" t="inlineStr">
        <is>
          <t>SCN</t>
        </is>
      </c>
      <c r="B1349" s="7" t="inlineStr">
        <is>
          <t>Procurement</t>
        </is>
      </c>
      <c r="D1349" s="7" t="inlineStr">
        <is>
          <t>FFG-Frigate - P-8a Electronics - AEGIS Weapon System (AWS) 2</t>
        </is>
      </c>
      <c r="E1349" s="13" t="inlineStr">
        <is>
          <t>[ALT_VIEW]</t>
        </is>
      </c>
      <c r="F1349" s="7" t="inlineStr">
        <is>
          <t>2128 / FFG-Frigate</t>
        </is>
      </c>
      <c r="G1349" s="7" t="inlineStr">
        <is>
          <t>P-8a</t>
        </is>
      </c>
      <c r="H1349" s="7" t="inlineStr">
        <is>
          <t>Electronics</t>
        </is>
      </c>
      <c r="I1349" s="14" t="n">
        <v>1</v>
      </c>
      <c r="J1349" s="7" t="inlineStr">
        <is>
          <t>Full ship DD&amp;C</t>
        </is>
      </c>
      <c r="K1349" s="13" t="inlineStr">
        <is>
          <t>USN</t>
        </is>
      </c>
      <c r="L1349" s="7" t="inlineStr">
        <is>
          <t>Combatant Ships</t>
        </is>
      </c>
      <c r="M1349" s="7" t="inlineStr">
        <is>
          <t>Surface Combatants</t>
        </is>
      </c>
      <c r="N1349" s="7" t="inlineStr">
        <is>
          <t>FFG</t>
        </is>
      </c>
      <c r="O1349" s="15" t="n"/>
      <c r="S1349" s="16" t="n">
        <v>92392</v>
      </c>
      <c r="U1349" s="16" t="n">
        <v>92392</v>
      </c>
      <c r="AC1349" s="23">
        <f>IF(OR(E1349="",E1349="[PARENT]"),"ADD",IF(E1349="[ALT_VIEW]","ALT",""))</f>
        <v/>
      </c>
      <c r="AD1349" s="21">
        <f>IF(Y1349&lt;&gt;"",Y1349,IF(U1349&lt;&gt;"",U1349,S1349))</f>
        <v/>
      </c>
      <c r="AE1349" s="21">
        <f>IF(AB1349&lt;&gt;"",AB1349,Z1349)</f>
        <v/>
      </c>
      <c r="AF1349" s="13" t="inlineStr">
        <is>
          <t>P-8a &gt; FFG-Frigate &gt; Electronics &gt; AEGIS Weapon System (AWS) 2</t>
        </is>
      </c>
      <c r="AG1349" s="7" t="inlineStr">
        <is>
          <t>277</t>
        </is>
      </c>
      <c r="AH1349" s="7" t="inlineStr">
        <is>
          <t>2128</t>
        </is>
      </c>
      <c r="AJ1349" s="7" t="inlineStr">
        <is>
          <t>AEGIS Weapon System (AWS)</t>
        </is>
      </c>
    </row>
    <row r="1350" ht="10" customHeight="1">
      <c r="A1350" s="7" t="inlineStr">
        <is>
          <t>SCN</t>
        </is>
      </c>
      <c r="B1350" s="7" t="inlineStr">
        <is>
          <t>Procurement</t>
        </is>
      </c>
      <c r="D1350" s="7" t="inlineStr">
        <is>
          <t>FFG-Frigate - P-8a Electronics - Anti-Submarine Warfare (ASW) Combat Suite 2</t>
        </is>
      </c>
      <c r="E1350" s="13" t="inlineStr">
        <is>
          <t>[ALT_VIEW]</t>
        </is>
      </c>
      <c r="F1350" s="7" t="inlineStr">
        <is>
          <t>2128 / FFG-Frigate</t>
        </is>
      </c>
      <c r="G1350" s="7" t="inlineStr">
        <is>
          <t>P-8a</t>
        </is>
      </c>
      <c r="H1350" s="7" t="inlineStr">
        <is>
          <t>Electronics</t>
        </is>
      </c>
      <c r="I1350" s="14" t="n">
        <v>1</v>
      </c>
      <c r="J1350" s="7" t="inlineStr">
        <is>
          <t>Full ship DD&amp;C</t>
        </is>
      </c>
      <c r="K1350" s="13" t="inlineStr">
        <is>
          <t>USN</t>
        </is>
      </c>
      <c r="L1350" s="7" t="inlineStr">
        <is>
          <t>Combatant Ships</t>
        </is>
      </c>
      <c r="M1350" s="7" t="inlineStr">
        <is>
          <t>Surface Combatants</t>
        </is>
      </c>
      <c r="N1350" s="7" t="inlineStr">
        <is>
          <t>FFG</t>
        </is>
      </c>
      <c r="O1350" s="15" t="n"/>
      <c r="S1350" s="16" t="n">
        <v>62571</v>
      </c>
      <c r="U1350" s="16" t="n">
        <v>62571</v>
      </c>
      <c r="AC1350" s="23">
        <f>IF(OR(E1350="",E1350="[PARENT]"),"ADD",IF(E1350="[ALT_VIEW]","ALT",""))</f>
        <v/>
      </c>
      <c r="AD1350" s="21">
        <f>IF(Y1350&lt;&gt;"",Y1350,IF(U1350&lt;&gt;"",U1350,S1350))</f>
        <v/>
      </c>
      <c r="AE1350" s="21">
        <f>IF(AB1350&lt;&gt;"",AB1350,Z1350)</f>
        <v/>
      </c>
      <c r="AF1350" s="13" t="inlineStr">
        <is>
          <t>P-8a &gt; FFG-Frigate &gt; Electronics &gt; Anti-Submarine Warfare (ASW) Combat Suite 2</t>
        </is>
      </c>
      <c r="AG1350" s="7" t="inlineStr">
        <is>
          <t>277</t>
        </is>
      </c>
      <c r="AH1350" s="7" t="inlineStr">
        <is>
          <t>2128</t>
        </is>
      </c>
      <c r="AJ1350" s="7" t="inlineStr">
        <is>
          <t>Anti-Submarine Warfare (ASW) Combat Suite</t>
        </is>
      </c>
    </row>
    <row r="1351" ht="10" customHeight="1">
      <c r="A1351" s="7" t="inlineStr">
        <is>
          <t>SCN</t>
        </is>
      </c>
      <c r="B1351" s="7" t="inlineStr">
        <is>
          <t>Procurement</t>
        </is>
      </c>
      <c r="D1351" s="7" t="inlineStr">
        <is>
          <t>FFG-Frigate - P-8a Electronics - SLQ-32(V)6) 2</t>
        </is>
      </c>
      <c r="E1351" s="13" t="inlineStr">
        <is>
          <t>[ALT_VIEW]</t>
        </is>
      </c>
      <c r="F1351" s="7" t="inlineStr">
        <is>
          <t>2128 / FFG-Frigate</t>
        </is>
      </c>
      <c r="G1351" s="7" t="inlineStr">
        <is>
          <t>P-8a</t>
        </is>
      </c>
      <c r="H1351" s="7" t="inlineStr">
        <is>
          <t>Electronics</t>
        </is>
      </c>
      <c r="I1351" s="14" t="n">
        <v>1</v>
      </c>
      <c r="J1351" s="7" t="inlineStr">
        <is>
          <t>Full ship DD&amp;C</t>
        </is>
      </c>
      <c r="K1351" s="13" t="inlineStr">
        <is>
          <t>USN</t>
        </is>
      </c>
      <c r="L1351" s="7" t="inlineStr">
        <is>
          <t>Combatant Ships</t>
        </is>
      </c>
      <c r="M1351" s="7" t="inlineStr">
        <is>
          <t>Surface Combatants</t>
        </is>
      </c>
      <c r="N1351" s="7" t="inlineStr">
        <is>
          <t>FFG</t>
        </is>
      </c>
      <c r="O1351" s="15" t="n"/>
      <c r="S1351" s="16" t="n">
        <v>25102</v>
      </c>
      <c r="U1351" s="16" t="n">
        <v>25102</v>
      </c>
      <c r="AC1351" s="23">
        <f>IF(OR(E1351="",E1351="[PARENT]"),"ADD",IF(E1351="[ALT_VIEW]","ALT",""))</f>
        <v/>
      </c>
      <c r="AD1351" s="21">
        <f>IF(Y1351&lt;&gt;"",Y1351,IF(U1351&lt;&gt;"",U1351,S1351))</f>
        <v/>
      </c>
      <c r="AE1351" s="21">
        <f>IF(AB1351&lt;&gt;"",AB1351,Z1351)</f>
        <v/>
      </c>
      <c r="AF1351" s="13" t="inlineStr">
        <is>
          <t>P-8a &gt; FFG-Frigate &gt; Electronics &gt; SLQ-32(V)6) 2</t>
        </is>
      </c>
      <c r="AG1351" s="7" t="inlineStr">
        <is>
          <t>277</t>
        </is>
      </c>
      <c r="AH1351" s="7" t="inlineStr">
        <is>
          <t>2128</t>
        </is>
      </c>
    </row>
    <row r="1352" ht="10" customHeight="1">
      <c r="A1352" s="7" t="inlineStr">
        <is>
          <t>SCN</t>
        </is>
      </c>
      <c r="B1352" s="7" t="inlineStr">
        <is>
          <t>Procurement</t>
        </is>
      </c>
      <c r="D1352" s="7" t="inlineStr">
        <is>
          <t>FFG-Frigate - P-8a Electronics - Tactical COMINT System- Spectral 2</t>
        </is>
      </c>
      <c r="E1352" s="13" t="inlineStr">
        <is>
          <t>[ALT_VIEW]</t>
        </is>
      </c>
      <c r="F1352" s="7" t="inlineStr">
        <is>
          <t>2128 / FFG-Frigate</t>
        </is>
      </c>
      <c r="G1352" s="7" t="inlineStr">
        <is>
          <t>P-8a</t>
        </is>
      </c>
      <c r="H1352" s="7" t="inlineStr">
        <is>
          <t>Electronics</t>
        </is>
      </c>
      <c r="I1352" s="14" t="n">
        <v>1</v>
      </c>
      <c r="J1352" s="7" t="inlineStr">
        <is>
          <t>Full ship DD&amp;C</t>
        </is>
      </c>
      <c r="K1352" s="13" t="inlineStr">
        <is>
          <t>USN</t>
        </is>
      </c>
      <c r="L1352" s="7" t="inlineStr">
        <is>
          <t>Combatant Ships</t>
        </is>
      </c>
      <c r="M1352" s="7" t="inlineStr">
        <is>
          <t>Surface Combatants</t>
        </is>
      </c>
      <c r="N1352" s="7" t="inlineStr">
        <is>
          <t>FFG</t>
        </is>
      </c>
      <c r="O1352" s="15" t="n"/>
      <c r="S1352" s="16" t="n">
        <v>39622</v>
      </c>
      <c r="U1352" s="16" t="n">
        <v>39622</v>
      </c>
      <c r="AC1352" s="23">
        <f>IF(OR(E1352="",E1352="[PARENT]"),"ADD",IF(E1352="[ALT_VIEW]","ALT",""))</f>
        <v/>
      </c>
      <c r="AD1352" s="21">
        <f>IF(Y1352&lt;&gt;"",Y1352,IF(U1352&lt;&gt;"",U1352,S1352))</f>
        <v/>
      </c>
      <c r="AE1352" s="21">
        <f>IF(AB1352&lt;&gt;"",AB1352,Z1352)</f>
        <v/>
      </c>
      <c r="AF1352" s="13" t="inlineStr">
        <is>
          <t>P-8a &gt; FFG-Frigate &gt; Electronics &gt; Tactical COMINT System- Spectral 2</t>
        </is>
      </c>
      <c r="AG1352" s="7" t="inlineStr">
        <is>
          <t>277</t>
        </is>
      </c>
      <c r="AH1352" s="7" t="inlineStr">
        <is>
          <t>2128</t>
        </is>
      </c>
      <c r="AJ1352" s="7" t="inlineStr">
        <is>
          <t>Tactical COMINT System- Spectral</t>
        </is>
      </c>
    </row>
    <row r="1353" ht="10" customHeight="1">
      <c r="A1353" s="7" t="inlineStr">
        <is>
          <t>SCN</t>
        </is>
      </c>
      <c r="B1353" s="7" t="inlineStr">
        <is>
          <t>Procurement</t>
        </is>
      </c>
      <c r="D1353" s="7" t="inlineStr">
        <is>
          <t>FFG-Frigate - P-8a Electronics - Cooperative Engagement Capability (CEC) 2</t>
        </is>
      </c>
      <c r="E1353" s="13" t="inlineStr">
        <is>
          <t>[ALT_VIEW]</t>
        </is>
      </c>
      <c r="F1353" s="7" t="inlineStr">
        <is>
          <t>2128 / FFG-Frigate</t>
        </is>
      </c>
      <c r="G1353" s="7" t="inlineStr">
        <is>
          <t>P-8a</t>
        </is>
      </c>
      <c r="H1353" s="7" t="inlineStr">
        <is>
          <t>Electronics</t>
        </is>
      </c>
      <c r="I1353" s="14" t="n">
        <v>1</v>
      </c>
      <c r="J1353" s="7" t="inlineStr">
        <is>
          <t>Full ship DD&amp;C</t>
        </is>
      </c>
      <c r="K1353" s="13" t="inlineStr">
        <is>
          <t>USN</t>
        </is>
      </c>
      <c r="L1353" s="7" t="inlineStr">
        <is>
          <t>Combatant Ships</t>
        </is>
      </c>
      <c r="M1353" s="7" t="inlineStr">
        <is>
          <t>Surface Combatants</t>
        </is>
      </c>
      <c r="N1353" s="7" t="inlineStr">
        <is>
          <t>FFG</t>
        </is>
      </c>
      <c r="O1353" s="15" t="n"/>
      <c r="S1353" s="16" t="n">
        <v>14764</v>
      </c>
      <c r="U1353" s="16" t="n">
        <v>14764</v>
      </c>
      <c r="AC1353" s="23">
        <f>IF(OR(E1353="",E1353="[PARENT]"),"ADD",IF(E1353="[ALT_VIEW]","ALT",""))</f>
        <v/>
      </c>
      <c r="AD1353" s="21">
        <f>IF(Y1353&lt;&gt;"",Y1353,IF(U1353&lt;&gt;"",U1353,S1353))</f>
        <v/>
      </c>
      <c r="AE1353" s="21">
        <f>IF(AB1353&lt;&gt;"",AB1353,Z1353)</f>
        <v/>
      </c>
      <c r="AF1353" s="13" t="inlineStr">
        <is>
          <t>P-8a &gt; FFG-Frigate &gt; Electronics &gt; Cooperative Engagement Capability (CEC) 2</t>
        </is>
      </c>
      <c r="AG1353" s="7" t="inlineStr">
        <is>
          <t>277</t>
        </is>
      </c>
      <c r="AH1353" s="7" t="inlineStr">
        <is>
          <t>2128</t>
        </is>
      </c>
      <c r="AJ1353" s="7" t="inlineStr">
        <is>
          <t>Cooperative Engagement Capability (CEC)</t>
        </is>
      </c>
    </row>
    <row r="1354" ht="10" customHeight="1">
      <c r="A1354" s="7" t="inlineStr">
        <is>
          <t>SCN</t>
        </is>
      </c>
      <c r="B1354" s="7" t="inlineStr">
        <is>
          <t>Procurement</t>
        </is>
      </c>
      <c r="D1354" s="7" t="inlineStr">
        <is>
          <t>FFG-Frigate - P-8a Electronics - Identification Friend or Foe (IFF) UPX-29 2</t>
        </is>
      </c>
      <c r="E1354" s="13" t="inlineStr">
        <is>
          <t>[ALT_VIEW]</t>
        </is>
      </c>
      <c r="F1354" s="7" t="inlineStr">
        <is>
          <t>2128 / FFG-Frigate</t>
        </is>
      </c>
      <c r="G1354" s="7" t="inlineStr">
        <is>
          <t>P-8a</t>
        </is>
      </c>
      <c r="H1354" s="7" t="inlineStr">
        <is>
          <t>Electronics</t>
        </is>
      </c>
      <c r="I1354" s="14" t="n">
        <v>1</v>
      </c>
      <c r="J1354" s="7" t="inlineStr">
        <is>
          <t>Full ship DD&amp;C</t>
        </is>
      </c>
      <c r="K1354" s="13" t="inlineStr">
        <is>
          <t>USN</t>
        </is>
      </c>
      <c r="L1354" s="7" t="inlineStr">
        <is>
          <t>Combatant Ships</t>
        </is>
      </c>
      <c r="M1354" s="7" t="inlineStr">
        <is>
          <t>Surface Combatants</t>
        </is>
      </c>
      <c r="N1354" s="7" t="inlineStr">
        <is>
          <t>FFG</t>
        </is>
      </c>
      <c r="O1354" s="15" t="n"/>
      <c r="S1354" s="16" t="n">
        <v>11447</v>
      </c>
      <c r="U1354" s="16" t="n">
        <v>11447</v>
      </c>
      <c r="AC1354" s="23">
        <f>IF(OR(E1354="",E1354="[PARENT]"),"ADD",IF(E1354="[ALT_VIEW]","ALT",""))</f>
        <v/>
      </c>
      <c r="AD1354" s="21">
        <f>IF(Y1354&lt;&gt;"",Y1354,IF(U1354&lt;&gt;"",U1354,S1354))</f>
        <v/>
      </c>
      <c r="AE1354" s="21">
        <f>IF(AB1354&lt;&gt;"",AB1354,Z1354)</f>
        <v/>
      </c>
      <c r="AF1354" s="13" t="inlineStr">
        <is>
          <t>P-8a &gt; FFG-Frigate &gt; Electronics &gt; Identification Friend or Foe (IFF) UPX-29 2</t>
        </is>
      </c>
      <c r="AG1354" s="7" t="inlineStr">
        <is>
          <t>277</t>
        </is>
      </c>
      <c r="AH1354" s="7" t="inlineStr">
        <is>
          <t>2128</t>
        </is>
      </c>
      <c r="AJ1354" s="7" t="inlineStr">
        <is>
          <t>Identification Friend or Foe (IFF) UPX-29</t>
        </is>
      </c>
    </row>
    <row r="1355" ht="10" customHeight="1">
      <c r="A1355" s="7" t="inlineStr">
        <is>
          <t>SCN</t>
        </is>
      </c>
      <c r="B1355" s="7" t="inlineStr">
        <is>
          <t>Procurement</t>
        </is>
      </c>
      <c r="D1355" s="7" t="inlineStr">
        <is>
          <t>FFG-Frigate - P-8a Electronics - External Communication Suite (EXCOMM) 2</t>
        </is>
      </c>
      <c r="E1355" s="13" t="inlineStr">
        <is>
          <t>[ALT_VIEW]</t>
        </is>
      </c>
      <c r="F1355" s="7" t="inlineStr">
        <is>
          <t>2128 / FFG-Frigate</t>
        </is>
      </c>
      <c r="G1355" s="7" t="inlineStr">
        <is>
          <t>P-8a</t>
        </is>
      </c>
      <c r="H1355" s="7" t="inlineStr">
        <is>
          <t>Electronics</t>
        </is>
      </c>
      <c r="I1355" s="14" t="n">
        <v>1</v>
      </c>
      <c r="J1355" s="7" t="inlineStr">
        <is>
          <t>Full ship DD&amp;C</t>
        </is>
      </c>
      <c r="K1355" s="13" t="inlineStr">
        <is>
          <t>USN</t>
        </is>
      </c>
      <c r="L1355" s="7" t="inlineStr">
        <is>
          <t>Combatant Ships</t>
        </is>
      </c>
      <c r="M1355" s="7" t="inlineStr">
        <is>
          <t>Surface Combatants</t>
        </is>
      </c>
      <c r="N1355" s="7" t="inlineStr">
        <is>
          <t>FFG</t>
        </is>
      </c>
      <c r="O1355" s="15" t="n"/>
      <c r="S1355" s="16" t="n">
        <v>17197</v>
      </c>
      <c r="U1355" s="16" t="n">
        <v>17197</v>
      </c>
      <c r="AC1355" s="23">
        <f>IF(OR(E1355="",E1355="[PARENT]"),"ADD",IF(E1355="[ALT_VIEW]","ALT",""))</f>
        <v/>
      </c>
      <c r="AD1355" s="21">
        <f>IF(Y1355&lt;&gt;"",Y1355,IF(U1355&lt;&gt;"",U1355,S1355))</f>
        <v/>
      </c>
      <c r="AE1355" s="21">
        <f>IF(AB1355&lt;&gt;"",AB1355,Z1355)</f>
        <v/>
      </c>
      <c r="AF1355" s="13" t="inlineStr">
        <is>
          <t>P-8a &gt; FFG-Frigate &gt; Electronics &gt; External Communication Suite (EXCOMM) 2</t>
        </is>
      </c>
      <c r="AG1355" s="7" t="inlineStr">
        <is>
          <t>277</t>
        </is>
      </c>
      <c r="AH1355" s="7" t="inlineStr">
        <is>
          <t>2128</t>
        </is>
      </c>
      <c r="AJ1355" s="7" t="inlineStr">
        <is>
          <t>External Communication Suite (EXCOMM)</t>
        </is>
      </c>
    </row>
    <row r="1356" ht="10" customHeight="1">
      <c r="A1356" s="7" t="inlineStr">
        <is>
          <t>SCN</t>
        </is>
      </c>
      <c r="B1356" s="7" t="inlineStr">
        <is>
          <t>Procurement</t>
        </is>
      </c>
      <c r="D1356" s="7" t="inlineStr">
        <is>
          <t>FFG-Frigate - P-8a Hull, Mechanical, and Electrical - Aircraft Ship Integrated Securing and Traversing System (ASIST) 2</t>
        </is>
      </c>
      <c r="E1356" s="13" t="inlineStr">
        <is>
          <t>[ALT_VIEW]</t>
        </is>
      </c>
      <c r="F1356" s="7" t="inlineStr">
        <is>
          <t>2128 / FFG-Frigate</t>
        </is>
      </c>
      <c r="G1356" s="7" t="inlineStr">
        <is>
          <t>P-8a</t>
        </is>
      </c>
      <c r="H1356" s="7" t="inlineStr">
        <is>
          <t>Hull, Mechanical, and Electrical</t>
        </is>
      </c>
      <c r="I1356" s="14" t="n">
        <v>1</v>
      </c>
      <c r="J1356" s="7" t="inlineStr">
        <is>
          <t>Full ship DD&amp;C</t>
        </is>
      </c>
      <c r="K1356" s="13" t="inlineStr">
        <is>
          <t>USN</t>
        </is>
      </c>
      <c r="L1356" s="7" t="inlineStr">
        <is>
          <t>Combatant Ships</t>
        </is>
      </c>
      <c r="M1356" s="7" t="inlineStr">
        <is>
          <t>Surface Combatants</t>
        </is>
      </c>
      <c r="N1356" s="7" t="inlineStr">
        <is>
          <t>FFG</t>
        </is>
      </c>
      <c r="O1356" s="15" t="n"/>
      <c r="S1356" s="16" t="n">
        <v>17349</v>
      </c>
      <c r="U1356" s="16" t="n">
        <v>17349</v>
      </c>
      <c r="AC1356" s="23">
        <f>IF(OR(E1356="",E1356="[PARENT]"),"ADD",IF(E1356="[ALT_VIEW]","ALT",""))</f>
        <v/>
      </c>
      <c r="AD1356" s="21">
        <f>IF(Y1356&lt;&gt;"",Y1356,IF(U1356&lt;&gt;"",U1356,S1356))</f>
        <v/>
      </c>
      <c r="AE1356" s="21">
        <f>IF(AB1356&lt;&gt;"",AB1356,Z1356)</f>
        <v/>
      </c>
      <c r="AF1356" s="13" t="inlineStr">
        <is>
          <t>P-8a &gt; FFG-Frigate &gt; Hull, Mechanical, and Electrical &gt; Aircraft Ship Integrated Securing and Traversing System (ASIST) 2</t>
        </is>
      </c>
      <c r="AG1356" s="7" t="inlineStr">
        <is>
          <t>279</t>
        </is>
      </c>
      <c r="AH1356" s="7" t="inlineStr">
        <is>
          <t>2128</t>
        </is>
      </c>
      <c r="AJ1356" s="7" t="inlineStr">
        <is>
          <t>Aircraft Ship Integrated Securing and Traversing System (ASIST)</t>
        </is>
      </c>
    </row>
    <row r="1357" ht="10" customHeight="1">
      <c r="A1357" s="7" t="inlineStr">
        <is>
          <t>SCN</t>
        </is>
      </c>
      <c r="B1357" s="7" t="inlineStr">
        <is>
          <t>Procurement</t>
        </is>
      </c>
      <c r="D1357" s="7" t="inlineStr">
        <is>
          <t>FFG-Frigate - P-8a Hull, Mechanical, and Electrical - Internal Communication (IC) Voice 2</t>
        </is>
      </c>
      <c r="E1357" s="13" t="inlineStr">
        <is>
          <t>[ALT_VIEW]</t>
        </is>
      </c>
      <c r="F1357" s="7" t="inlineStr">
        <is>
          <t>2128 / FFG-Frigate</t>
        </is>
      </c>
      <c r="G1357" s="7" t="inlineStr">
        <is>
          <t>P-8a</t>
        </is>
      </c>
      <c r="H1357" s="7" t="inlineStr">
        <is>
          <t>Hull, Mechanical, and Electrical</t>
        </is>
      </c>
      <c r="I1357" s="14" t="n">
        <v>1</v>
      </c>
      <c r="J1357" s="7" t="inlineStr">
        <is>
          <t>Full ship DD&amp;C</t>
        </is>
      </c>
      <c r="K1357" s="13" t="inlineStr">
        <is>
          <t>USN</t>
        </is>
      </c>
      <c r="L1357" s="7" t="inlineStr">
        <is>
          <t>Combatant Ships</t>
        </is>
      </c>
      <c r="M1357" s="7" t="inlineStr">
        <is>
          <t>Surface Combatants</t>
        </is>
      </c>
      <c r="N1357" s="7" t="inlineStr">
        <is>
          <t>FFG</t>
        </is>
      </c>
      <c r="O1357" s="15" t="n"/>
      <c r="S1357" s="16" t="n">
        <v>7168</v>
      </c>
      <c r="U1357" s="16" t="n">
        <v>7168</v>
      </c>
      <c r="AC1357" s="23">
        <f>IF(OR(E1357="",E1357="[PARENT]"),"ADD",IF(E1357="[ALT_VIEW]","ALT",""))</f>
        <v/>
      </c>
      <c r="AD1357" s="21">
        <f>IF(Y1357&lt;&gt;"",Y1357,IF(U1357&lt;&gt;"",U1357,S1357))</f>
        <v/>
      </c>
      <c r="AE1357" s="21">
        <f>IF(AB1357&lt;&gt;"",AB1357,Z1357)</f>
        <v/>
      </c>
      <c r="AF1357" s="13" t="inlineStr">
        <is>
          <t>P-8a &gt; FFG-Frigate &gt; Hull, Mechanical, and Electrical &gt; Internal Communication (IC) Voice 2</t>
        </is>
      </c>
      <c r="AG1357" s="7" t="inlineStr">
        <is>
          <t>279</t>
        </is>
      </c>
      <c r="AH1357" s="7" t="inlineStr">
        <is>
          <t>2128</t>
        </is>
      </c>
      <c r="AJ1357" s="7" t="inlineStr">
        <is>
          <t>Internal Communication (IC) Voice</t>
        </is>
      </c>
    </row>
    <row r="1358" ht="10" customHeight="1">
      <c r="A1358" s="7" t="inlineStr">
        <is>
          <t>SCN</t>
        </is>
      </c>
      <c r="B1358" s="7" t="inlineStr">
        <is>
          <t>Procurement</t>
        </is>
      </c>
      <c r="D1358" s="7" t="inlineStr">
        <is>
          <t>FFG-Frigate - P-8a Hull, Mechanical, and Electrical - Advanced Flight Deck Lighting System (AFDLS) 2</t>
        </is>
      </c>
      <c r="E1358" s="13" t="inlineStr">
        <is>
          <t>[ALT_VIEW]</t>
        </is>
      </c>
      <c r="F1358" s="7" t="inlineStr">
        <is>
          <t>2128 / FFG-Frigate</t>
        </is>
      </c>
      <c r="G1358" s="7" t="inlineStr">
        <is>
          <t>P-8a</t>
        </is>
      </c>
      <c r="H1358" s="7" t="inlineStr">
        <is>
          <t>Hull, Mechanical, and Electrical</t>
        </is>
      </c>
      <c r="I1358" s="14" t="n">
        <v>1</v>
      </c>
      <c r="J1358" s="7" t="inlineStr">
        <is>
          <t>Full ship DD&amp;C</t>
        </is>
      </c>
      <c r="K1358" s="13" t="inlineStr">
        <is>
          <t>USN</t>
        </is>
      </c>
      <c r="L1358" s="7" t="inlineStr">
        <is>
          <t>Combatant Ships</t>
        </is>
      </c>
      <c r="M1358" s="7" t="inlineStr">
        <is>
          <t>Surface Combatants</t>
        </is>
      </c>
      <c r="N1358" s="7" t="inlineStr">
        <is>
          <t>FFG</t>
        </is>
      </c>
      <c r="O1358" s="15" t="n"/>
      <c r="S1358" s="16" t="n">
        <v>4423</v>
      </c>
      <c r="U1358" s="16" t="n">
        <v>4423</v>
      </c>
      <c r="AC1358" s="23">
        <f>IF(OR(E1358="",E1358="[PARENT]"),"ADD",IF(E1358="[ALT_VIEW]","ALT",""))</f>
        <v/>
      </c>
      <c r="AD1358" s="21">
        <f>IF(Y1358&lt;&gt;"",Y1358,IF(U1358&lt;&gt;"",U1358,S1358))</f>
        <v/>
      </c>
      <c r="AE1358" s="21">
        <f>IF(AB1358&lt;&gt;"",AB1358,Z1358)</f>
        <v/>
      </c>
      <c r="AF1358" s="13" t="inlineStr">
        <is>
          <t>P-8a &gt; FFG-Frigate &gt; Hull, Mechanical, and Electrical &gt; Advanced Flight Deck Lighting System (AFDLS) 2</t>
        </is>
      </c>
      <c r="AG1358" s="7" t="inlineStr">
        <is>
          <t>279</t>
        </is>
      </c>
      <c r="AH1358" s="7" t="inlineStr">
        <is>
          <t>2128</t>
        </is>
      </c>
      <c r="AJ1358" s="7" t="inlineStr">
        <is>
          <t>Advanced Flight Deck Lighting System (AFDLS)</t>
        </is>
      </c>
    </row>
    <row r="1359" ht="10" customHeight="1">
      <c r="A1359" s="7" t="inlineStr">
        <is>
          <t>SCN</t>
        </is>
      </c>
      <c r="B1359" s="7" t="inlineStr">
        <is>
          <t>Procurement</t>
        </is>
      </c>
      <c r="D1359" s="7" t="inlineStr">
        <is>
          <t>FFG-Frigate - P-8a Hull, Mechanical, and Electrical - Unclassified Video System (UVS) 2</t>
        </is>
      </c>
      <c r="E1359" s="13" t="inlineStr">
        <is>
          <t>[ALT_VIEW]</t>
        </is>
      </c>
      <c r="F1359" s="7" t="inlineStr">
        <is>
          <t>2128 / FFG-Frigate</t>
        </is>
      </c>
      <c r="G1359" s="7" t="inlineStr">
        <is>
          <t>P-8a</t>
        </is>
      </c>
      <c r="H1359" s="7" t="inlineStr">
        <is>
          <t>Hull, Mechanical, and Electrical</t>
        </is>
      </c>
      <c r="I1359" s="14" t="n">
        <v>1</v>
      </c>
      <c r="J1359" s="7" t="inlineStr">
        <is>
          <t>Full ship DD&amp;C</t>
        </is>
      </c>
      <c r="K1359" s="13" t="inlineStr">
        <is>
          <t>USN</t>
        </is>
      </c>
      <c r="L1359" s="7" t="inlineStr">
        <is>
          <t>Combatant Ships</t>
        </is>
      </c>
      <c r="M1359" s="7" t="inlineStr">
        <is>
          <t>Surface Combatants</t>
        </is>
      </c>
      <c r="N1359" s="7" t="inlineStr">
        <is>
          <t>FFG</t>
        </is>
      </c>
      <c r="O1359" s="15" t="n"/>
      <c r="S1359" s="16" t="n">
        <v>4853</v>
      </c>
      <c r="U1359" s="16" t="n">
        <v>4853</v>
      </c>
      <c r="AC1359" s="23">
        <f>IF(OR(E1359="",E1359="[PARENT]"),"ADD",IF(E1359="[ALT_VIEW]","ALT",""))</f>
        <v/>
      </c>
      <c r="AD1359" s="21">
        <f>IF(Y1359&lt;&gt;"",Y1359,IF(U1359&lt;&gt;"",U1359,S1359))</f>
        <v/>
      </c>
      <c r="AE1359" s="21">
        <f>IF(AB1359&lt;&gt;"",AB1359,Z1359)</f>
        <v/>
      </c>
      <c r="AF1359" s="13" t="inlineStr">
        <is>
          <t>P-8a &gt; FFG-Frigate &gt; Hull, Mechanical, and Electrical &gt; Unclassified Video System (UVS) 2</t>
        </is>
      </c>
      <c r="AG1359" s="7" t="inlineStr">
        <is>
          <t>279</t>
        </is>
      </c>
      <c r="AH1359" s="7" t="inlineStr">
        <is>
          <t>2128</t>
        </is>
      </c>
      <c r="AJ1359" s="7" t="inlineStr">
        <is>
          <t>Unclassified Video System (UVS)</t>
        </is>
      </c>
    </row>
    <row r="1360" ht="10" customHeight="1">
      <c r="A1360" s="7" t="inlineStr">
        <is>
          <t>SCN</t>
        </is>
      </c>
      <c r="B1360" s="7" t="inlineStr">
        <is>
          <t>Procurement</t>
        </is>
      </c>
      <c r="D1360" s="7" t="inlineStr">
        <is>
          <t>FFG-Frigate - P-8a Hull, Mechanical, and Electrical - Interior Wireless Communication System (IWCS) 2</t>
        </is>
      </c>
      <c r="E1360" s="13" t="inlineStr">
        <is>
          <t>[ALT_VIEW]</t>
        </is>
      </c>
      <c r="F1360" s="7" t="inlineStr">
        <is>
          <t>2128 / FFG-Frigate</t>
        </is>
      </c>
      <c r="G1360" s="7" t="inlineStr">
        <is>
          <t>P-8a</t>
        </is>
      </c>
      <c r="H1360" s="7" t="inlineStr">
        <is>
          <t>Hull, Mechanical, and Electrical</t>
        </is>
      </c>
      <c r="I1360" s="14" t="n">
        <v>1</v>
      </c>
      <c r="J1360" s="7" t="inlineStr">
        <is>
          <t>Full ship DD&amp;C</t>
        </is>
      </c>
      <c r="K1360" s="13" t="inlineStr">
        <is>
          <t>USN</t>
        </is>
      </c>
      <c r="L1360" s="7" t="inlineStr">
        <is>
          <t>Combatant Ships</t>
        </is>
      </c>
      <c r="M1360" s="7" t="inlineStr">
        <is>
          <t>Surface Combatants</t>
        </is>
      </c>
      <c r="N1360" s="7" t="inlineStr">
        <is>
          <t>FFG</t>
        </is>
      </c>
      <c r="O1360" s="15" t="n"/>
      <c r="S1360" s="16" t="n">
        <v>5761</v>
      </c>
      <c r="U1360" s="16" t="n">
        <v>5761</v>
      </c>
      <c r="AC1360" s="23">
        <f>IF(OR(E1360="",E1360="[PARENT]"),"ADD",IF(E1360="[ALT_VIEW]","ALT",""))</f>
        <v/>
      </c>
      <c r="AD1360" s="21">
        <f>IF(Y1360&lt;&gt;"",Y1360,IF(U1360&lt;&gt;"",U1360,S1360))</f>
        <v/>
      </c>
      <c r="AE1360" s="21">
        <f>IF(AB1360&lt;&gt;"",AB1360,Z1360)</f>
        <v/>
      </c>
      <c r="AF1360" s="13" t="inlineStr">
        <is>
          <t>P-8a &gt; FFG-Frigate &gt; Hull, Mechanical, and Electrical &gt; Interior Wireless Communication System (IWCS) 2</t>
        </is>
      </c>
      <c r="AG1360" s="7" t="inlineStr">
        <is>
          <t>279</t>
        </is>
      </c>
      <c r="AH1360" s="7" t="inlineStr">
        <is>
          <t>2128</t>
        </is>
      </c>
      <c r="AJ1360" s="7" t="inlineStr">
        <is>
          <t>Interior Wireless Communication System (IWCS)</t>
        </is>
      </c>
    </row>
    <row r="1361" ht="10" customHeight="1">
      <c r="A1361" s="7" t="inlineStr">
        <is>
          <t>SCN</t>
        </is>
      </c>
      <c r="B1361" s="7" t="inlineStr">
        <is>
          <t>Procurement</t>
        </is>
      </c>
      <c r="D1361" s="7" t="inlineStr">
        <is>
          <t>FFG-Frigate - P-8a Hull, Mechanical, and Electrical - Response (SABER) 2</t>
        </is>
      </c>
      <c r="E1361" s="13" t="inlineStr">
        <is>
          <t>[ALT_VIEW]</t>
        </is>
      </c>
      <c r="F1361" s="7" t="inlineStr">
        <is>
          <t>2128 / FFG-Frigate</t>
        </is>
      </c>
      <c r="G1361" s="7" t="inlineStr">
        <is>
          <t>P-8a</t>
        </is>
      </c>
      <c r="H1361" s="7" t="inlineStr">
        <is>
          <t>Hull, Mechanical, and Electrical</t>
        </is>
      </c>
      <c r="I1361" s="14" t="n">
        <v>1</v>
      </c>
      <c r="J1361" s="7" t="inlineStr">
        <is>
          <t>Full ship DD&amp;C</t>
        </is>
      </c>
      <c r="K1361" s="13" t="inlineStr">
        <is>
          <t>USN</t>
        </is>
      </c>
      <c r="L1361" s="7" t="inlineStr">
        <is>
          <t>Combatant Ships</t>
        </is>
      </c>
      <c r="M1361" s="7" t="inlineStr">
        <is>
          <t>Surface Combatants</t>
        </is>
      </c>
      <c r="N1361" s="7" t="inlineStr">
        <is>
          <t>FFG</t>
        </is>
      </c>
      <c r="O1361" s="15" t="n"/>
      <c r="S1361" s="16" t="n">
        <v>3545</v>
      </c>
      <c r="U1361" s="16" t="n">
        <v>3545</v>
      </c>
      <c r="AC1361" s="23">
        <f>IF(OR(E1361="",E1361="[PARENT]"),"ADD",IF(E1361="[ALT_VIEW]","ALT",""))</f>
        <v/>
      </c>
      <c r="AD1361" s="21">
        <f>IF(Y1361&lt;&gt;"",Y1361,IF(U1361&lt;&gt;"",U1361,S1361))</f>
        <v/>
      </c>
      <c r="AE1361" s="21">
        <f>IF(AB1361&lt;&gt;"",AB1361,Z1361)</f>
        <v/>
      </c>
      <c r="AF1361" s="13" t="inlineStr">
        <is>
          <t>P-8a &gt; FFG-Frigate &gt; Hull, Mechanical, and Electrical &gt; Response (SABER) 2</t>
        </is>
      </c>
      <c r="AG1361" s="7" t="inlineStr">
        <is>
          <t>279</t>
        </is>
      </c>
      <c r="AH1361" s="7" t="inlineStr">
        <is>
          <t>2128</t>
        </is>
      </c>
    </row>
    <row r="1362" ht="10" customHeight="1">
      <c r="A1362" s="7" t="inlineStr">
        <is>
          <t>SCN</t>
        </is>
      </c>
      <c r="B1362" s="7" t="inlineStr">
        <is>
          <t>Procurement</t>
        </is>
      </c>
      <c r="D1362" s="7" t="inlineStr">
        <is>
          <t>FFG-Frigate - P-8a Hull, Mechanical, and Electrical - Ship Control System-Government (SCS GOV) 2</t>
        </is>
      </c>
      <c r="E1362" s="13" t="inlineStr">
        <is>
          <t>[ALT_VIEW]</t>
        </is>
      </c>
      <c r="F1362" s="7" t="inlineStr">
        <is>
          <t>2128 / FFG-Frigate</t>
        </is>
      </c>
      <c r="G1362" s="7" t="inlineStr">
        <is>
          <t>P-8a</t>
        </is>
      </c>
      <c r="H1362" s="7" t="inlineStr">
        <is>
          <t>Hull, Mechanical, and Electrical</t>
        </is>
      </c>
      <c r="I1362" s="14" t="n">
        <v>1</v>
      </c>
      <c r="J1362" s="7" t="inlineStr">
        <is>
          <t>Full ship DD&amp;C</t>
        </is>
      </c>
      <c r="K1362" s="13" t="inlineStr">
        <is>
          <t>USN</t>
        </is>
      </c>
      <c r="L1362" s="7" t="inlineStr">
        <is>
          <t>Combatant Ships</t>
        </is>
      </c>
      <c r="M1362" s="7" t="inlineStr">
        <is>
          <t>Surface Combatants</t>
        </is>
      </c>
      <c r="N1362" s="7" t="inlineStr">
        <is>
          <t>FFG</t>
        </is>
      </c>
      <c r="O1362" s="15" t="n"/>
      <c r="S1362" s="16" t="n">
        <v>4425</v>
      </c>
      <c r="U1362" s="16" t="n">
        <v>4425</v>
      </c>
      <c r="AC1362" s="23">
        <f>IF(OR(E1362="",E1362="[PARENT]"),"ADD",IF(E1362="[ALT_VIEW]","ALT",""))</f>
        <v/>
      </c>
      <c r="AD1362" s="21">
        <f>IF(Y1362&lt;&gt;"",Y1362,IF(U1362&lt;&gt;"",U1362,S1362))</f>
        <v/>
      </c>
      <c r="AE1362" s="21">
        <f>IF(AB1362&lt;&gt;"",AB1362,Z1362)</f>
        <v/>
      </c>
      <c r="AF1362" s="13" t="inlineStr">
        <is>
          <t>P-8a &gt; FFG-Frigate &gt; Hull, Mechanical, and Electrical &gt; Ship Control System-Government (SCS GOV) 2</t>
        </is>
      </c>
      <c r="AG1362" s="7" t="inlineStr">
        <is>
          <t>279</t>
        </is>
      </c>
      <c r="AH1362" s="7" t="inlineStr">
        <is>
          <t>2128</t>
        </is>
      </c>
      <c r="AJ1362" s="7" t="inlineStr">
        <is>
          <t>Ship Control System-Government (SCS GOV)</t>
        </is>
      </c>
    </row>
    <row r="1363" ht="10" customHeight="1">
      <c r="A1363" s="7" t="inlineStr">
        <is>
          <t>SCN</t>
        </is>
      </c>
      <c r="B1363" s="7" t="inlineStr">
        <is>
          <t>Procurement</t>
        </is>
      </c>
      <c r="D1363" s="7" t="inlineStr">
        <is>
          <t>FFG-Frigate - P-8a Hull, Mechanical, and Electrical - Other HM&amp;E 2</t>
        </is>
      </c>
      <c r="E1363" s="13" t="inlineStr">
        <is>
          <t>[ALT_VIEW]</t>
        </is>
      </c>
      <c r="F1363" s="7" t="inlineStr">
        <is>
          <t>2128 / FFG-Frigate</t>
        </is>
      </c>
      <c r="G1363" s="7" t="inlineStr">
        <is>
          <t>P-8a</t>
        </is>
      </c>
      <c r="H1363" s="7" t="inlineStr">
        <is>
          <t>Hull, Mechanical, and Electrical</t>
        </is>
      </c>
      <c r="I1363" s="14" t="n">
        <v>1</v>
      </c>
      <c r="J1363" s="7" t="inlineStr">
        <is>
          <t>Full ship DD&amp;C</t>
        </is>
      </c>
      <c r="K1363" s="13" t="inlineStr">
        <is>
          <t>USN</t>
        </is>
      </c>
      <c r="L1363" s="7" t="inlineStr">
        <is>
          <t>Combatant Ships</t>
        </is>
      </c>
      <c r="M1363" s="7" t="inlineStr">
        <is>
          <t>Surface Combatants</t>
        </is>
      </c>
      <c r="N1363" s="7" t="inlineStr">
        <is>
          <t>FFG</t>
        </is>
      </c>
      <c r="O1363" s="15" t="n"/>
      <c r="S1363" s="16" t="n">
        <v>11772</v>
      </c>
      <c r="U1363" s="16" t="n">
        <v>11772</v>
      </c>
      <c r="AC1363" s="23">
        <f>IF(OR(E1363="",E1363="[PARENT]"),"ADD",IF(E1363="[ALT_VIEW]","ALT",""))</f>
        <v/>
      </c>
      <c r="AD1363" s="21">
        <f>IF(Y1363&lt;&gt;"",Y1363,IF(U1363&lt;&gt;"",U1363,S1363))</f>
        <v/>
      </c>
      <c r="AE1363" s="21">
        <f>IF(AB1363&lt;&gt;"",AB1363,Z1363)</f>
        <v/>
      </c>
      <c r="AF1363" s="13" t="inlineStr">
        <is>
          <t>P-8a &gt; FFG-Frigate &gt; Hull, Mechanical, and Electrical &gt; Other HM&amp;E 2</t>
        </is>
      </c>
      <c r="AG1363" s="7" t="inlineStr">
        <is>
          <t>279</t>
        </is>
      </c>
      <c r="AH1363" s="7" t="inlineStr">
        <is>
          <t>2128</t>
        </is>
      </c>
      <c r="AJ1363" s="7" t="inlineStr">
        <is>
          <t>Other HM&amp;E</t>
        </is>
      </c>
    </row>
    <row r="1364" ht="10" customHeight="1">
      <c r="A1364" s="7" t="inlineStr">
        <is>
          <t>SCN</t>
        </is>
      </c>
      <c r="B1364" s="7" t="inlineStr">
        <is>
          <t>Procurement</t>
        </is>
      </c>
      <c r="D1364" s="7" t="inlineStr">
        <is>
          <t>FFG-Frigate - P-8a Ordnance - MK 41 Vertical Launch System (VLS)- 32 Cell 2</t>
        </is>
      </c>
      <c r="E1364" s="13" t="inlineStr">
        <is>
          <t>[ALT_VIEW]</t>
        </is>
      </c>
      <c r="F1364" s="7" t="inlineStr">
        <is>
          <t>2128 / FFG-Frigate</t>
        </is>
      </c>
      <c r="G1364" s="7" t="inlineStr">
        <is>
          <t>P-8a</t>
        </is>
      </c>
      <c r="H1364" s="7" t="inlineStr">
        <is>
          <t>Ordnance</t>
        </is>
      </c>
      <c r="I1364" s="14" t="n">
        <v>1</v>
      </c>
      <c r="J1364" s="7" t="inlineStr">
        <is>
          <t>Full ship DD&amp;C</t>
        </is>
      </c>
      <c r="K1364" s="13" t="inlineStr">
        <is>
          <t>USN</t>
        </is>
      </c>
      <c r="L1364" s="7" t="inlineStr">
        <is>
          <t>Combatant Ships</t>
        </is>
      </c>
      <c r="M1364" s="7" t="inlineStr">
        <is>
          <t>Surface Combatants</t>
        </is>
      </c>
      <c r="N1364" s="7" t="inlineStr">
        <is>
          <t>FFG</t>
        </is>
      </c>
      <c r="O1364" s="15" t="n"/>
      <c r="S1364" s="16" t="n">
        <v>53315</v>
      </c>
      <c r="U1364" s="16" t="n">
        <v>53315</v>
      </c>
      <c r="AC1364" s="23">
        <f>IF(OR(E1364="",E1364="[PARENT]"),"ADD",IF(E1364="[ALT_VIEW]","ALT",""))</f>
        <v/>
      </c>
      <c r="AD1364" s="21">
        <f>IF(Y1364&lt;&gt;"",Y1364,IF(U1364&lt;&gt;"",U1364,S1364))</f>
        <v/>
      </c>
      <c r="AE1364" s="21">
        <f>IF(AB1364&lt;&gt;"",AB1364,Z1364)</f>
        <v/>
      </c>
      <c r="AF1364" s="13" t="inlineStr">
        <is>
          <t>P-8a &gt; FFG-Frigate &gt; Ordnance &gt; MK 41 Vertical Launch System (VLS)- 32 Cell 2</t>
        </is>
      </c>
      <c r="AG1364" s="7" t="inlineStr">
        <is>
          <t>280</t>
        </is>
      </c>
      <c r="AH1364" s="7" t="inlineStr">
        <is>
          <t>2128</t>
        </is>
      </c>
      <c r="AJ1364" s="7" t="inlineStr">
        <is>
          <t>MK 41 Vertical Launch System (VLS)- 32 Cell</t>
        </is>
      </c>
    </row>
    <row r="1365" ht="10" customHeight="1">
      <c r="A1365" s="7" t="inlineStr">
        <is>
          <t>SCN</t>
        </is>
      </c>
      <c r="B1365" s="7" t="inlineStr">
        <is>
          <t>Procurement</t>
        </is>
      </c>
      <c r="D1365" s="7" t="inlineStr">
        <is>
          <t>FFG-Frigate - P-8a Ordnance - MK 48 Gun Weapon System (GWS) 2</t>
        </is>
      </c>
      <c r="E1365" s="13" t="inlineStr">
        <is>
          <t>[ALT_VIEW]</t>
        </is>
      </c>
      <c r="F1365" s="7" t="inlineStr">
        <is>
          <t>2128 / FFG-Frigate</t>
        </is>
      </c>
      <c r="G1365" s="7" t="inlineStr">
        <is>
          <t>P-8a</t>
        </is>
      </c>
      <c r="H1365" s="7" t="inlineStr">
        <is>
          <t>Ordnance</t>
        </is>
      </c>
      <c r="I1365" s="14" t="n">
        <v>1</v>
      </c>
      <c r="J1365" s="7" t="inlineStr">
        <is>
          <t>Full ship DD&amp;C</t>
        </is>
      </c>
      <c r="K1365" s="13" t="inlineStr">
        <is>
          <t>USN</t>
        </is>
      </c>
      <c r="L1365" s="7" t="inlineStr">
        <is>
          <t>Combatant Ships</t>
        </is>
      </c>
      <c r="M1365" s="7" t="inlineStr">
        <is>
          <t>Surface Combatants</t>
        </is>
      </c>
      <c r="N1365" s="7" t="inlineStr">
        <is>
          <t>FFG</t>
        </is>
      </c>
      <c r="O1365" s="15" t="n"/>
      <c r="S1365" s="16" t="n">
        <v>30918</v>
      </c>
      <c r="U1365" s="16" t="n">
        <v>30918</v>
      </c>
      <c r="AC1365" s="23">
        <f>IF(OR(E1365="",E1365="[PARENT]"),"ADD",IF(E1365="[ALT_VIEW]","ALT",""))</f>
        <v/>
      </c>
      <c r="AD1365" s="21">
        <f>IF(Y1365&lt;&gt;"",Y1365,IF(U1365&lt;&gt;"",U1365,S1365))</f>
        <v/>
      </c>
      <c r="AE1365" s="21">
        <f>IF(AB1365&lt;&gt;"",AB1365,Z1365)</f>
        <v/>
      </c>
      <c r="AF1365" s="13" t="inlineStr">
        <is>
          <t>P-8a &gt; FFG-Frigate &gt; Ordnance &gt; MK 48 Gun Weapon System (GWS) 2</t>
        </is>
      </c>
      <c r="AG1365" s="7" t="inlineStr">
        <is>
          <t>280</t>
        </is>
      </c>
      <c r="AH1365" s="7" t="inlineStr">
        <is>
          <t>2128</t>
        </is>
      </c>
      <c r="AJ1365" s="7" t="inlineStr">
        <is>
          <t>MK 48 Gun Weapon System (GWS)</t>
        </is>
      </c>
    </row>
    <row r="1366" ht="10" customHeight="1">
      <c r="A1366" s="7" t="inlineStr">
        <is>
          <t>SCN</t>
        </is>
      </c>
      <c r="B1366" s="7" t="inlineStr">
        <is>
          <t>Procurement</t>
        </is>
      </c>
      <c r="D1366" s="7" t="inlineStr">
        <is>
          <t>FFG-Frigate - P-8a Ordnance - 21 Cell 2</t>
        </is>
      </c>
      <c r="E1366" s="13" t="inlineStr">
        <is>
          <t>[ALT_VIEW]</t>
        </is>
      </c>
      <c r="F1366" s="7" t="inlineStr">
        <is>
          <t>2128 / FFG-Frigate</t>
        </is>
      </c>
      <c r="G1366" s="7" t="inlineStr">
        <is>
          <t>P-8a</t>
        </is>
      </c>
      <c r="H1366" s="7" t="inlineStr">
        <is>
          <t>Ordnance</t>
        </is>
      </c>
      <c r="I1366" s="14" t="n">
        <v>1</v>
      </c>
      <c r="J1366" s="7" t="inlineStr">
        <is>
          <t>Full ship DD&amp;C</t>
        </is>
      </c>
      <c r="K1366" s="13" t="inlineStr">
        <is>
          <t>USN</t>
        </is>
      </c>
      <c r="L1366" s="7" t="inlineStr">
        <is>
          <t>Combatant Ships</t>
        </is>
      </c>
      <c r="M1366" s="7" t="inlineStr">
        <is>
          <t>Surface Combatants</t>
        </is>
      </c>
      <c r="N1366" s="7" t="inlineStr">
        <is>
          <t>FFG</t>
        </is>
      </c>
      <c r="O1366" s="15" t="n"/>
      <c r="S1366" s="16" t="n">
        <v>27115</v>
      </c>
      <c r="U1366" s="16" t="n">
        <v>27115</v>
      </c>
      <c r="AC1366" s="23">
        <f>IF(OR(E1366="",E1366="[PARENT]"),"ADD",IF(E1366="[ALT_VIEW]","ALT",""))</f>
        <v/>
      </c>
      <c r="AD1366" s="21">
        <f>IF(Y1366&lt;&gt;"",Y1366,IF(U1366&lt;&gt;"",U1366,S1366))</f>
        <v/>
      </c>
      <c r="AE1366" s="21">
        <f>IF(AB1366&lt;&gt;"",AB1366,Z1366)</f>
        <v/>
      </c>
      <c r="AF1366" s="13" t="inlineStr">
        <is>
          <t>P-8a &gt; FFG-Frigate &gt; Ordnance &gt; 21 Cell 2</t>
        </is>
      </c>
      <c r="AG1366" s="7" t="inlineStr">
        <is>
          <t>280</t>
        </is>
      </c>
      <c r="AH1366" s="7" t="inlineStr">
        <is>
          <t>2128</t>
        </is>
      </c>
    </row>
    <row r="1367" ht="10" customHeight="1">
      <c r="A1367" s="7" t="inlineStr">
        <is>
          <t>SCN</t>
        </is>
      </c>
      <c r="B1367" s="7" t="inlineStr">
        <is>
          <t>Procurement</t>
        </is>
      </c>
      <c r="D1367" s="7" t="inlineStr">
        <is>
          <t>FFG-Frigate - P-8a Ordnance - MK 53 Decoy Launching System (DLS) (Nulka)- 4 Launcher 2</t>
        </is>
      </c>
      <c r="E1367" s="13" t="inlineStr">
        <is>
          <t>[ALT_VIEW]</t>
        </is>
      </c>
      <c r="F1367" s="7" t="inlineStr">
        <is>
          <t>2128 / FFG-Frigate</t>
        </is>
      </c>
      <c r="G1367" s="7" t="inlineStr">
        <is>
          <t>P-8a</t>
        </is>
      </c>
      <c r="H1367" s="7" t="inlineStr">
        <is>
          <t>Ordnance</t>
        </is>
      </c>
      <c r="I1367" s="14" t="n">
        <v>1</v>
      </c>
      <c r="J1367" s="7" t="inlineStr">
        <is>
          <t>Full ship DD&amp;C</t>
        </is>
      </c>
      <c r="K1367" s="13" t="inlineStr">
        <is>
          <t>USN</t>
        </is>
      </c>
      <c r="L1367" s="7" t="inlineStr">
        <is>
          <t>Combatant Ships</t>
        </is>
      </c>
      <c r="M1367" s="7" t="inlineStr">
        <is>
          <t>Surface Combatants</t>
        </is>
      </c>
      <c r="N1367" s="7" t="inlineStr">
        <is>
          <t>FFG</t>
        </is>
      </c>
      <c r="O1367" s="15" t="n"/>
      <c r="S1367" s="16" t="n">
        <v>3098</v>
      </c>
      <c r="U1367" s="16" t="n">
        <v>3098</v>
      </c>
      <c r="AC1367" s="23">
        <f>IF(OR(E1367="",E1367="[PARENT]"),"ADD",IF(E1367="[ALT_VIEW]","ALT",""))</f>
        <v/>
      </c>
      <c r="AD1367" s="21">
        <f>IF(Y1367&lt;&gt;"",Y1367,IF(U1367&lt;&gt;"",U1367,S1367))</f>
        <v/>
      </c>
      <c r="AE1367" s="21">
        <f>IF(AB1367&lt;&gt;"",AB1367,Z1367)</f>
        <v/>
      </c>
      <c r="AF1367" s="13" t="inlineStr">
        <is>
          <t>P-8a &gt; FFG-Frigate &gt; Ordnance &gt; MK 53 Decoy Launching System (DLS) (Nulka)- 4 Launcher 2</t>
        </is>
      </c>
      <c r="AG1367" s="7" t="inlineStr">
        <is>
          <t>280</t>
        </is>
      </c>
      <c r="AH1367" s="7" t="inlineStr">
        <is>
          <t>2128</t>
        </is>
      </c>
      <c r="AJ1367" s="7" t="inlineStr">
        <is>
          <t>MK 53 Decoy Launching System (DLS) (Nulka)- 4 Launcher</t>
        </is>
      </c>
    </row>
    <row r="1368" ht="10" customHeight="1">
      <c r="A1368" s="7" t="inlineStr">
        <is>
          <t>SCN</t>
        </is>
      </c>
      <c r="B1368" s="7" t="inlineStr">
        <is>
          <t>Procurement</t>
        </is>
      </c>
      <c r="D1368" s="7" t="inlineStr">
        <is>
          <t>FFG-Frigate - P-8a Ordnance - Other Ordnance 2</t>
        </is>
      </c>
      <c r="E1368" s="13" t="inlineStr">
        <is>
          <t>[ALT_VIEW]</t>
        </is>
      </c>
      <c r="F1368" s="7" t="inlineStr">
        <is>
          <t>2128 / FFG-Frigate</t>
        </is>
      </c>
      <c r="G1368" s="7" t="inlineStr">
        <is>
          <t>P-8a</t>
        </is>
      </c>
      <c r="H1368" s="7" t="inlineStr">
        <is>
          <t>Ordnance</t>
        </is>
      </c>
      <c r="I1368" s="14" t="n">
        <v>1</v>
      </c>
      <c r="J1368" s="7" t="inlineStr">
        <is>
          <t>Full ship DD&amp;C</t>
        </is>
      </c>
      <c r="K1368" s="13" t="inlineStr">
        <is>
          <t>USN</t>
        </is>
      </c>
      <c r="L1368" s="7" t="inlineStr">
        <is>
          <t>Combatant Ships</t>
        </is>
      </c>
      <c r="M1368" s="7" t="inlineStr">
        <is>
          <t>Surface Combatants</t>
        </is>
      </c>
      <c r="N1368" s="7" t="inlineStr">
        <is>
          <t>FFG</t>
        </is>
      </c>
      <c r="O1368" s="15" t="n"/>
      <c r="S1368" s="16" t="n">
        <v>6751</v>
      </c>
      <c r="U1368" s="16" t="n">
        <v>6751</v>
      </c>
      <c r="AC1368" s="23">
        <f>IF(OR(E1368="",E1368="[PARENT]"),"ADD",IF(E1368="[ALT_VIEW]","ALT",""))</f>
        <v/>
      </c>
      <c r="AD1368" s="21">
        <f>IF(Y1368&lt;&gt;"",Y1368,IF(U1368&lt;&gt;"",U1368,S1368))</f>
        <v/>
      </c>
      <c r="AE1368" s="21">
        <f>IF(AB1368&lt;&gt;"",AB1368,Z1368)</f>
        <v/>
      </c>
      <c r="AF1368" s="13" t="inlineStr">
        <is>
          <t>P-8a &gt; FFG-Frigate &gt; Ordnance &gt; Other Ordnance 2</t>
        </is>
      </c>
      <c r="AG1368" s="7" t="inlineStr">
        <is>
          <t>280</t>
        </is>
      </c>
      <c r="AH1368" s="7" t="inlineStr">
        <is>
          <t>2128</t>
        </is>
      </c>
      <c r="AJ1368" s="7" t="inlineStr">
        <is>
          <t>Other Ordnance</t>
        </is>
      </c>
    </row>
    <row r="1369" ht="10" customHeight="1">
      <c r="A1369" s="7" t="inlineStr">
        <is>
          <t>SCN</t>
        </is>
      </c>
      <c r="B1369" s="7" t="inlineStr">
        <is>
          <t>Procurement</t>
        </is>
      </c>
      <c r="D1369" s="7" t="inlineStr">
        <is>
          <t>FFG-Frigate - P-35 Enterprise Air Surveillance Radar (EASR) - Major Hardware                                                                           2</t>
        </is>
      </c>
      <c r="E1369" s="13" t="inlineStr">
        <is>
          <t>[ALT_VIEW]</t>
        </is>
      </c>
      <c r="F1369" s="7" t="inlineStr">
        <is>
          <t>2128 / FFG-Frigate</t>
        </is>
      </c>
      <c r="G1369" s="7" t="inlineStr">
        <is>
          <t>P-35</t>
        </is>
      </c>
      <c r="I1369" s="14" t="n">
        <v>1</v>
      </c>
      <c r="J1369" s="7" t="inlineStr">
        <is>
          <t>Full ship DD&amp;C</t>
        </is>
      </c>
      <c r="K1369" s="13" t="inlineStr">
        <is>
          <t>USN</t>
        </is>
      </c>
      <c r="L1369" s="7" t="inlineStr">
        <is>
          <t>Combatant Ships</t>
        </is>
      </c>
      <c r="M1369" s="7" t="inlineStr">
        <is>
          <t>Surface Combatants</t>
        </is>
      </c>
      <c r="N1369" s="7" t="inlineStr">
        <is>
          <t>FFG</t>
        </is>
      </c>
      <c r="O1369" s="15" t="n"/>
      <c r="S1369" s="16" t="n">
        <v>98758</v>
      </c>
      <c r="U1369" s="16" t="n">
        <v>98758</v>
      </c>
      <c r="AC1369" s="23">
        <f>IF(OR(E1369="",E1369="[PARENT]"),"ADD",IF(E1369="[ALT_VIEW]","ALT",""))</f>
        <v/>
      </c>
      <c r="AD1369" s="21">
        <f>IF(Y1369&lt;&gt;"",Y1369,IF(U1369&lt;&gt;"",U1369,S1369))</f>
        <v/>
      </c>
      <c r="AE1369" s="21">
        <f>IF(AB1369&lt;&gt;"",AB1369,Z1369)</f>
        <v/>
      </c>
      <c r="AF1369" s="13" t="inlineStr">
        <is>
          <t>P-35 &gt; FFG-Frigate &gt; Enterprise Air Surveillance Radar (EASR) &gt; Major Hardware                                                                           2</t>
        </is>
      </c>
      <c r="AG1369" s="7" t="inlineStr">
        <is>
          <t>281</t>
        </is>
      </c>
      <c r="AH1369" s="7" t="inlineStr">
        <is>
          <t>2128</t>
        </is>
      </c>
    </row>
    <row r="1370" ht="10" customHeight="1">
      <c r="A1370" s="7" t="inlineStr">
        <is>
          <t>SCN</t>
        </is>
      </c>
      <c r="B1370" s="7" t="inlineStr">
        <is>
          <t>Procurement</t>
        </is>
      </c>
      <c r="D1370" s="7" t="inlineStr">
        <is>
          <t>FFG-Frigate - P-35 Enterprise Air Surveillance Radar (EASR) - System Engineering</t>
        </is>
      </c>
      <c r="E1370" s="13" t="inlineStr">
        <is>
          <t>[ALT_VIEW]</t>
        </is>
      </c>
      <c r="F1370" s="7" t="inlineStr">
        <is>
          <t>2128 / FFG-Frigate</t>
        </is>
      </c>
      <c r="G1370" s="7" t="inlineStr">
        <is>
          <t>P-35</t>
        </is>
      </c>
      <c r="I1370" s="14" t="n">
        <v>1</v>
      </c>
      <c r="J1370" s="7" t="inlineStr">
        <is>
          <t>Full ship DD&amp;C</t>
        </is>
      </c>
      <c r="K1370" s="13" t="inlineStr">
        <is>
          <t>USN</t>
        </is>
      </c>
      <c r="L1370" s="7" t="inlineStr">
        <is>
          <t>Combatant Ships</t>
        </is>
      </c>
      <c r="M1370" s="7" t="inlineStr">
        <is>
          <t>Surface Combatants</t>
        </is>
      </c>
      <c r="N1370" s="7" t="inlineStr">
        <is>
          <t>FFG</t>
        </is>
      </c>
      <c r="O1370" s="15" t="n"/>
      <c r="S1370" s="16" t="n">
        <v>4305</v>
      </c>
      <c r="U1370" s="16" t="n">
        <v>4305</v>
      </c>
      <c r="AC1370" s="23">
        <f>IF(OR(E1370="",E1370="[PARENT]"),"ADD",IF(E1370="[ALT_VIEW]","ALT",""))</f>
        <v/>
      </c>
      <c r="AD1370" s="21">
        <f>IF(Y1370&lt;&gt;"",Y1370,IF(U1370&lt;&gt;"",U1370,S1370))</f>
        <v/>
      </c>
      <c r="AE1370" s="21">
        <f>IF(AB1370&lt;&gt;"",AB1370,Z1370)</f>
        <v/>
      </c>
      <c r="AF1370" s="13" t="inlineStr">
        <is>
          <t>P-35 &gt; FFG-Frigate &gt; Enterprise Air Surveillance Radar (EASR) &gt; System Engineering</t>
        </is>
      </c>
      <c r="AG1370" s="7" t="inlineStr">
        <is>
          <t>281</t>
        </is>
      </c>
      <c r="AH1370" s="7" t="inlineStr">
        <is>
          <t>2128</t>
        </is>
      </c>
    </row>
    <row r="1371" ht="10" customHeight="1">
      <c r="A1371" s="7" t="inlineStr">
        <is>
          <t>SCN</t>
        </is>
      </c>
      <c r="B1371" s="7" t="inlineStr">
        <is>
          <t>Procurement</t>
        </is>
      </c>
      <c r="D1371" s="7" t="inlineStr">
        <is>
          <t>FFG-Frigate - P-35 Enterprise Air Surveillance Radar (EASR) - Technical Engineering Services</t>
        </is>
      </c>
      <c r="E1371" s="13" t="inlineStr">
        <is>
          <t>[ALT_VIEW]</t>
        </is>
      </c>
      <c r="F1371" s="7" t="inlineStr">
        <is>
          <t>2128 / FFG-Frigate</t>
        </is>
      </c>
      <c r="G1371" s="7" t="inlineStr">
        <is>
          <t>P-35</t>
        </is>
      </c>
      <c r="I1371" s="14" t="n">
        <v>1</v>
      </c>
      <c r="J1371" s="7" t="inlineStr">
        <is>
          <t>Full ship DD&amp;C</t>
        </is>
      </c>
      <c r="K1371" s="13" t="inlineStr">
        <is>
          <t>USN</t>
        </is>
      </c>
      <c r="L1371" s="7" t="inlineStr">
        <is>
          <t>Combatant Ships</t>
        </is>
      </c>
      <c r="M1371" s="7" t="inlineStr">
        <is>
          <t>Surface Combatants</t>
        </is>
      </c>
      <c r="N1371" s="7" t="inlineStr">
        <is>
          <t>FFG</t>
        </is>
      </c>
      <c r="O1371" s="15" t="n"/>
      <c r="S1371" s="16" t="n">
        <v>3928</v>
      </c>
      <c r="U1371" s="16" t="n">
        <v>3928</v>
      </c>
      <c r="AC1371" s="23">
        <f>IF(OR(E1371="",E1371="[PARENT]"),"ADD",IF(E1371="[ALT_VIEW]","ALT",""))</f>
        <v/>
      </c>
      <c r="AD1371" s="21">
        <f>IF(Y1371&lt;&gt;"",Y1371,IF(U1371&lt;&gt;"",U1371,S1371))</f>
        <v/>
      </c>
      <c r="AE1371" s="21">
        <f>IF(AB1371&lt;&gt;"",AB1371,Z1371)</f>
        <v/>
      </c>
      <c r="AF1371" s="13" t="inlineStr">
        <is>
          <t>P-35 &gt; FFG-Frigate &gt; Enterprise Air Surveillance Radar (EASR) &gt; Technical Engineering Services</t>
        </is>
      </c>
      <c r="AG1371" s="7" t="inlineStr">
        <is>
          <t>281</t>
        </is>
      </c>
      <c r="AH1371" s="7" t="inlineStr">
        <is>
          <t>2128</t>
        </is>
      </c>
    </row>
    <row r="1372" ht="10" customHeight="1">
      <c r="A1372" s="7" t="inlineStr">
        <is>
          <t>SCN</t>
        </is>
      </c>
      <c r="B1372" s="7" t="inlineStr">
        <is>
          <t>Procurement</t>
        </is>
      </c>
      <c r="D1372" s="7" t="inlineStr">
        <is>
          <t>FFG-Frigate - P-35 Enterprise Air Surveillance Radar (EASR) - Other Costs</t>
        </is>
      </c>
      <c r="E1372" s="13" t="inlineStr">
        <is>
          <t>[ALT_VIEW]</t>
        </is>
      </c>
      <c r="F1372" s="7" t="inlineStr">
        <is>
          <t>2128 / FFG-Frigate</t>
        </is>
      </c>
      <c r="G1372" s="7" t="inlineStr">
        <is>
          <t>P-35</t>
        </is>
      </c>
      <c r="I1372" s="14" t="n">
        <v>1</v>
      </c>
      <c r="J1372" s="7" t="inlineStr">
        <is>
          <t>Full ship DD&amp;C</t>
        </is>
      </c>
      <c r="K1372" s="13" t="inlineStr">
        <is>
          <t>USN</t>
        </is>
      </c>
      <c r="L1372" s="7" t="inlineStr">
        <is>
          <t>Combatant Ships</t>
        </is>
      </c>
      <c r="M1372" s="7" t="inlineStr">
        <is>
          <t>Surface Combatants</t>
        </is>
      </c>
      <c r="N1372" s="7" t="inlineStr">
        <is>
          <t>FFG</t>
        </is>
      </c>
      <c r="O1372" s="15" t="n"/>
      <c r="S1372" s="16" t="n">
        <v>15614</v>
      </c>
      <c r="U1372" s="16" t="n">
        <v>15614</v>
      </c>
      <c r="AC1372" s="23">
        <f>IF(OR(E1372="",E1372="[PARENT]"),"ADD",IF(E1372="[ALT_VIEW]","ALT",""))</f>
        <v/>
      </c>
      <c r="AD1372" s="21">
        <f>IF(Y1372&lt;&gt;"",Y1372,IF(U1372&lt;&gt;"",U1372,S1372))</f>
        <v/>
      </c>
      <c r="AE1372" s="21">
        <f>IF(AB1372&lt;&gt;"",AB1372,Z1372)</f>
        <v/>
      </c>
      <c r="AF1372" s="13" t="inlineStr">
        <is>
          <t>P-35 &gt; FFG-Frigate &gt; Enterprise Air Surveillance Radar (EASR) &gt; Other Costs</t>
        </is>
      </c>
      <c r="AG1372" s="7" t="inlineStr">
        <is>
          <t>281</t>
        </is>
      </c>
      <c r="AH1372" s="7" t="inlineStr">
        <is>
          <t>2128</t>
        </is>
      </c>
      <c r="AJ1372" s="7" t="inlineStr">
        <is>
          <t>Other Costs</t>
        </is>
      </c>
    </row>
    <row r="1373" ht="10" customHeight="1">
      <c r="A1373" s="7" t="inlineStr">
        <is>
          <t>SCN</t>
        </is>
      </c>
      <c r="B1373" s="7" t="inlineStr">
        <is>
          <t>Procurement</t>
        </is>
      </c>
      <c r="D1373" s="7" t="inlineStr">
        <is>
          <t>FFG-Frigate - P-35 AEGIS Weapon System (AWS) - Major Hardware                                                                        2</t>
        </is>
      </c>
      <c r="E1373" s="13" t="inlineStr">
        <is>
          <t>[ALT_VIEW]</t>
        </is>
      </c>
      <c r="F1373" s="7" t="inlineStr">
        <is>
          <t>2128 / FFG-Frigate</t>
        </is>
      </c>
      <c r="G1373" s="7" t="inlineStr">
        <is>
          <t>P-35</t>
        </is>
      </c>
      <c r="I1373" s="14" t="n">
        <v>1</v>
      </c>
      <c r="J1373" s="7" t="inlineStr">
        <is>
          <t>Full ship DD&amp;C</t>
        </is>
      </c>
      <c r="K1373" s="13" t="inlineStr">
        <is>
          <t>USN</t>
        </is>
      </c>
      <c r="L1373" s="7" t="inlineStr">
        <is>
          <t>Combatant Ships</t>
        </is>
      </c>
      <c r="M1373" s="7" t="inlineStr">
        <is>
          <t>Surface Combatants</t>
        </is>
      </c>
      <c r="N1373" s="7" t="inlineStr">
        <is>
          <t>FFG</t>
        </is>
      </c>
      <c r="O1373" s="15" t="n"/>
      <c r="S1373" s="16" t="n">
        <v>36194</v>
      </c>
      <c r="U1373" s="16" t="n">
        <v>36194</v>
      </c>
      <c r="AC1373" s="23">
        <f>IF(OR(E1373="",E1373="[PARENT]"),"ADD",IF(E1373="[ALT_VIEW]","ALT",""))</f>
        <v/>
      </c>
      <c r="AD1373" s="21">
        <f>IF(Y1373&lt;&gt;"",Y1373,IF(U1373&lt;&gt;"",U1373,S1373))</f>
        <v/>
      </c>
      <c r="AE1373" s="21">
        <f>IF(AB1373&lt;&gt;"",AB1373,Z1373)</f>
        <v/>
      </c>
      <c r="AF1373" s="13" t="inlineStr">
        <is>
          <t>P-35 &gt; FFG-Frigate &gt; AEGIS Weapon System (AWS) &gt; Major Hardware                                                                        2</t>
        </is>
      </c>
      <c r="AG1373" s="7" t="inlineStr">
        <is>
          <t>282</t>
        </is>
      </c>
      <c r="AH1373" s="7" t="inlineStr">
        <is>
          <t>2128</t>
        </is>
      </c>
    </row>
    <row r="1374" ht="10" customHeight="1">
      <c r="A1374" s="7" t="inlineStr">
        <is>
          <t>SCN</t>
        </is>
      </c>
      <c r="B1374" s="7" t="inlineStr">
        <is>
          <t>Procurement</t>
        </is>
      </c>
      <c r="D1374" s="7" t="inlineStr">
        <is>
          <t>FFG-Frigate - P-35 AEGIS Weapon System (AWS) - System Engineering</t>
        </is>
      </c>
      <c r="E1374" s="13" t="inlineStr">
        <is>
          <t>[ALT_VIEW]</t>
        </is>
      </c>
      <c r="F1374" s="7" t="inlineStr">
        <is>
          <t>2128 / FFG-Frigate</t>
        </is>
      </c>
      <c r="G1374" s="7" t="inlineStr">
        <is>
          <t>P-35</t>
        </is>
      </c>
      <c r="I1374" s="14" t="n">
        <v>1</v>
      </c>
      <c r="J1374" s="7" t="inlineStr">
        <is>
          <t>Full ship DD&amp;C</t>
        </is>
      </c>
      <c r="K1374" s="13" t="inlineStr">
        <is>
          <t>USN</t>
        </is>
      </c>
      <c r="L1374" s="7" t="inlineStr">
        <is>
          <t>Combatant Ships</t>
        </is>
      </c>
      <c r="M1374" s="7" t="inlineStr">
        <is>
          <t>Surface Combatants</t>
        </is>
      </c>
      <c r="N1374" s="7" t="inlineStr">
        <is>
          <t>FFG</t>
        </is>
      </c>
      <c r="O1374" s="15" t="n"/>
      <c r="S1374" s="16" t="n">
        <v>1725</v>
      </c>
      <c r="U1374" s="16" t="n">
        <v>1725</v>
      </c>
      <c r="AC1374" s="23">
        <f>IF(OR(E1374="",E1374="[PARENT]"),"ADD",IF(E1374="[ALT_VIEW]","ALT",""))</f>
        <v/>
      </c>
      <c r="AD1374" s="21">
        <f>IF(Y1374&lt;&gt;"",Y1374,IF(U1374&lt;&gt;"",U1374,S1374))</f>
        <v/>
      </c>
      <c r="AE1374" s="21">
        <f>IF(AB1374&lt;&gt;"",AB1374,Z1374)</f>
        <v/>
      </c>
      <c r="AF1374" s="13" t="inlineStr">
        <is>
          <t>P-35 &gt; FFG-Frigate &gt; AEGIS Weapon System (AWS) &gt; System Engineering</t>
        </is>
      </c>
      <c r="AG1374" s="7" t="inlineStr">
        <is>
          <t>282</t>
        </is>
      </c>
      <c r="AH1374" s="7" t="inlineStr">
        <is>
          <t>2128</t>
        </is>
      </c>
    </row>
    <row r="1375" ht="10" customHeight="1">
      <c r="A1375" s="7" t="inlineStr">
        <is>
          <t>SCN</t>
        </is>
      </c>
      <c r="B1375" s="7" t="inlineStr">
        <is>
          <t>Procurement</t>
        </is>
      </c>
      <c r="D1375" s="7" t="inlineStr">
        <is>
          <t>FFG-Frigate - P-35 AEGIS Weapon System (AWS) - Technical Engineering Services</t>
        </is>
      </c>
      <c r="E1375" s="13" t="inlineStr">
        <is>
          <t>[ALT_VIEW]</t>
        </is>
      </c>
      <c r="F1375" s="7" t="inlineStr">
        <is>
          <t>2128 / FFG-Frigate</t>
        </is>
      </c>
      <c r="G1375" s="7" t="inlineStr">
        <is>
          <t>P-35</t>
        </is>
      </c>
      <c r="I1375" s="14" t="n">
        <v>1</v>
      </c>
      <c r="J1375" s="7" t="inlineStr">
        <is>
          <t>Full ship DD&amp;C</t>
        </is>
      </c>
      <c r="K1375" s="13" t="inlineStr">
        <is>
          <t>USN</t>
        </is>
      </c>
      <c r="L1375" s="7" t="inlineStr">
        <is>
          <t>Combatant Ships</t>
        </is>
      </c>
      <c r="M1375" s="7" t="inlineStr">
        <is>
          <t>Surface Combatants</t>
        </is>
      </c>
      <c r="N1375" s="7" t="inlineStr">
        <is>
          <t>FFG</t>
        </is>
      </c>
      <c r="O1375" s="15" t="n"/>
      <c r="S1375" s="16" t="n">
        <v>2857</v>
      </c>
      <c r="U1375" s="16" t="n">
        <v>2857</v>
      </c>
      <c r="AC1375" s="23">
        <f>IF(OR(E1375="",E1375="[PARENT]"),"ADD",IF(E1375="[ALT_VIEW]","ALT",""))</f>
        <v/>
      </c>
      <c r="AD1375" s="21">
        <f>IF(Y1375&lt;&gt;"",Y1375,IF(U1375&lt;&gt;"",U1375,S1375))</f>
        <v/>
      </c>
      <c r="AE1375" s="21">
        <f>IF(AB1375&lt;&gt;"",AB1375,Z1375)</f>
        <v/>
      </c>
      <c r="AF1375" s="13" t="inlineStr">
        <is>
          <t>P-35 &gt; FFG-Frigate &gt; AEGIS Weapon System (AWS) &gt; Technical Engineering Services</t>
        </is>
      </c>
      <c r="AG1375" s="7" t="inlineStr">
        <is>
          <t>282</t>
        </is>
      </c>
      <c r="AH1375" s="7" t="inlineStr">
        <is>
          <t>2128</t>
        </is>
      </c>
    </row>
    <row r="1376" ht="10" customHeight="1">
      <c r="A1376" s="7" t="inlineStr">
        <is>
          <t>SCN</t>
        </is>
      </c>
      <c r="B1376" s="7" t="inlineStr">
        <is>
          <t>Procurement</t>
        </is>
      </c>
      <c r="D1376" s="7" t="inlineStr">
        <is>
          <t>FFG-Frigate - P-35 AEGIS Weapon System (AWS) - Other Costs</t>
        </is>
      </c>
      <c r="E1376" s="13" t="inlineStr">
        <is>
          <t>[ALT_VIEW]</t>
        </is>
      </c>
      <c r="F1376" s="7" t="inlineStr">
        <is>
          <t>2128 / FFG-Frigate</t>
        </is>
      </c>
      <c r="G1376" s="7" t="inlineStr">
        <is>
          <t>P-35</t>
        </is>
      </c>
      <c r="I1376" s="14" t="n">
        <v>1</v>
      </c>
      <c r="J1376" s="7" t="inlineStr">
        <is>
          <t>Full ship DD&amp;C</t>
        </is>
      </c>
      <c r="K1376" s="13" t="inlineStr">
        <is>
          <t>USN</t>
        </is>
      </c>
      <c r="L1376" s="7" t="inlineStr">
        <is>
          <t>Combatant Ships</t>
        </is>
      </c>
      <c r="M1376" s="7" t="inlineStr">
        <is>
          <t>Surface Combatants</t>
        </is>
      </c>
      <c r="N1376" s="7" t="inlineStr">
        <is>
          <t>FFG</t>
        </is>
      </c>
      <c r="O1376" s="15" t="n"/>
      <c r="S1376" s="16" t="n">
        <v>51616</v>
      </c>
      <c r="U1376" s="16" t="n">
        <v>51616</v>
      </c>
      <c r="AC1376" s="23">
        <f>IF(OR(E1376="",E1376="[PARENT]"),"ADD",IF(E1376="[ALT_VIEW]","ALT",""))</f>
        <v/>
      </c>
      <c r="AD1376" s="21">
        <f>IF(Y1376&lt;&gt;"",Y1376,IF(U1376&lt;&gt;"",U1376,S1376))</f>
        <v/>
      </c>
      <c r="AE1376" s="21">
        <f>IF(AB1376&lt;&gt;"",AB1376,Z1376)</f>
        <v/>
      </c>
      <c r="AF1376" s="13" t="inlineStr">
        <is>
          <t>P-35 &gt; FFG-Frigate &gt; AEGIS Weapon System (AWS) &gt; Other Costs</t>
        </is>
      </c>
      <c r="AG1376" s="7" t="inlineStr">
        <is>
          <t>282</t>
        </is>
      </c>
      <c r="AH1376" s="7" t="inlineStr">
        <is>
          <t>2128</t>
        </is>
      </c>
    </row>
    <row r="1377" ht="10" customHeight="1">
      <c r="A1377" s="7" t="inlineStr">
        <is>
          <t>SCN</t>
        </is>
      </c>
      <c r="B1377" s="7" t="inlineStr">
        <is>
          <t>Procurement</t>
        </is>
      </c>
      <c r="D1377" s="7" t="inlineStr">
        <is>
          <t>FFG-Frigate - P-35 Anti-Submarine Warfare (ASW) Combat Suite - Major Hardware                                                                      2</t>
        </is>
      </c>
      <c r="E1377" s="13" t="inlineStr">
        <is>
          <t>[ALT_VIEW]</t>
        </is>
      </c>
      <c r="F1377" s="7" t="inlineStr">
        <is>
          <t>2128 / FFG-Frigate</t>
        </is>
      </c>
      <c r="G1377" s="7" t="inlineStr">
        <is>
          <t>P-35</t>
        </is>
      </c>
      <c r="I1377" s="14" t="n">
        <v>1</v>
      </c>
      <c r="J1377" s="7" t="inlineStr">
        <is>
          <t>Full ship DD&amp;C</t>
        </is>
      </c>
      <c r="K1377" s="13" t="inlineStr">
        <is>
          <t>USN</t>
        </is>
      </c>
      <c r="L1377" s="7" t="inlineStr">
        <is>
          <t>Combatant Ships</t>
        </is>
      </c>
      <c r="M1377" s="7" t="inlineStr">
        <is>
          <t>Surface Combatants</t>
        </is>
      </c>
      <c r="N1377" s="7" t="inlineStr">
        <is>
          <t>FFG</t>
        </is>
      </c>
      <c r="O1377" s="15" t="n"/>
      <c r="S1377" s="16" t="n">
        <v>42500</v>
      </c>
      <c r="U1377" s="16" t="n">
        <v>42500</v>
      </c>
      <c r="AC1377" s="23">
        <f>IF(OR(E1377="",E1377="[PARENT]"),"ADD",IF(E1377="[ALT_VIEW]","ALT",""))</f>
        <v/>
      </c>
      <c r="AD1377" s="21">
        <f>IF(Y1377&lt;&gt;"",Y1377,IF(U1377&lt;&gt;"",U1377,S1377))</f>
        <v/>
      </c>
      <c r="AE1377" s="21">
        <f>IF(AB1377&lt;&gt;"",AB1377,Z1377)</f>
        <v/>
      </c>
      <c r="AF1377" s="13" t="inlineStr">
        <is>
          <t>P-35 &gt; FFG-Frigate &gt; Anti-Submarine Warfare (ASW) Combat Suite &gt; Major Hardware                                                                      2</t>
        </is>
      </c>
      <c r="AG1377" s="7" t="inlineStr">
        <is>
          <t>283</t>
        </is>
      </c>
      <c r="AH1377" s="7" t="inlineStr">
        <is>
          <t>2128</t>
        </is>
      </c>
    </row>
    <row r="1378" ht="10" customHeight="1">
      <c r="A1378" s="7" t="inlineStr">
        <is>
          <t>SCN</t>
        </is>
      </c>
      <c r="B1378" s="7" t="inlineStr">
        <is>
          <t>Procurement</t>
        </is>
      </c>
      <c r="D1378" s="7" t="inlineStr">
        <is>
          <t>FFG-Frigate - P-35 Anti-Submarine Warfare (ASW) Combat Suite - System Engineering</t>
        </is>
      </c>
      <c r="E1378" s="13" t="inlineStr">
        <is>
          <t>[ALT_VIEW]</t>
        </is>
      </c>
      <c r="F1378" s="7" t="inlineStr">
        <is>
          <t>2128 / FFG-Frigate</t>
        </is>
      </c>
      <c r="G1378" s="7" t="inlineStr">
        <is>
          <t>P-35</t>
        </is>
      </c>
      <c r="I1378" s="14" t="n">
        <v>1</v>
      </c>
      <c r="J1378" s="7" t="inlineStr">
        <is>
          <t>Full ship DD&amp;C</t>
        </is>
      </c>
      <c r="K1378" s="13" t="inlineStr">
        <is>
          <t>USN</t>
        </is>
      </c>
      <c r="L1378" s="7" t="inlineStr">
        <is>
          <t>Combatant Ships</t>
        </is>
      </c>
      <c r="M1378" s="7" t="inlineStr">
        <is>
          <t>Surface Combatants</t>
        </is>
      </c>
      <c r="N1378" s="7" t="inlineStr">
        <is>
          <t>FFG</t>
        </is>
      </c>
      <c r="O1378" s="15" t="n"/>
      <c r="S1378" s="16" t="n">
        <v>7026</v>
      </c>
      <c r="U1378" s="16" t="n">
        <v>7026</v>
      </c>
      <c r="AC1378" s="23">
        <f>IF(OR(E1378="",E1378="[PARENT]"),"ADD",IF(E1378="[ALT_VIEW]","ALT",""))</f>
        <v/>
      </c>
      <c r="AD1378" s="21">
        <f>IF(Y1378&lt;&gt;"",Y1378,IF(U1378&lt;&gt;"",U1378,S1378))</f>
        <v/>
      </c>
      <c r="AE1378" s="21">
        <f>IF(AB1378&lt;&gt;"",AB1378,Z1378)</f>
        <v/>
      </c>
      <c r="AF1378" s="13" t="inlineStr">
        <is>
          <t>P-35 &gt; FFG-Frigate &gt; Anti-Submarine Warfare (ASW) Combat Suite &gt; System Engineering</t>
        </is>
      </c>
      <c r="AG1378" s="7" t="inlineStr">
        <is>
          <t>283</t>
        </is>
      </c>
      <c r="AH1378" s="7" t="inlineStr">
        <is>
          <t>2128</t>
        </is>
      </c>
    </row>
    <row r="1379" ht="10" customHeight="1">
      <c r="A1379" s="7" t="inlineStr">
        <is>
          <t>SCN</t>
        </is>
      </c>
      <c r="B1379" s="7" t="inlineStr">
        <is>
          <t>Procurement</t>
        </is>
      </c>
      <c r="D1379" s="7" t="inlineStr">
        <is>
          <t>FFG-Frigate - P-35 Anti-Submarine Warfare (ASW) Combat Suite - Technical Engineering Services</t>
        </is>
      </c>
      <c r="E1379" s="13" t="inlineStr">
        <is>
          <t>[ALT_VIEW]</t>
        </is>
      </c>
      <c r="F1379" s="7" t="inlineStr">
        <is>
          <t>2128 / FFG-Frigate</t>
        </is>
      </c>
      <c r="G1379" s="7" t="inlineStr">
        <is>
          <t>P-35</t>
        </is>
      </c>
      <c r="I1379" s="14" t="n">
        <v>1</v>
      </c>
      <c r="J1379" s="7" t="inlineStr">
        <is>
          <t>Full ship DD&amp;C</t>
        </is>
      </c>
      <c r="K1379" s="13" t="inlineStr">
        <is>
          <t>USN</t>
        </is>
      </c>
      <c r="L1379" s="7" t="inlineStr">
        <is>
          <t>Combatant Ships</t>
        </is>
      </c>
      <c r="M1379" s="7" t="inlineStr">
        <is>
          <t>Surface Combatants</t>
        </is>
      </c>
      <c r="N1379" s="7" t="inlineStr">
        <is>
          <t>FFG</t>
        </is>
      </c>
      <c r="O1379" s="15" t="n"/>
      <c r="S1379" s="16" t="n">
        <v>4481</v>
      </c>
      <c r="U1379" s="16" t="n">
        <v>4481</v>
      </c>
      <c r="AC1379" s="23">
        <f>IF(OR(E1379="",E1379="[PARENT]"),"ADD",IF(E1379="[ALT_VIEW]","ALT",""))</f>
        <v/>
      </c>
      <c r="AD1379" s="21">
        <f>IF(Y1379&lt;&gt;"",Y1379,IF(U1379&lt;&gt;"",U1379,S1379))</f>
        <v/>
      </c>
      <c r="AE1379" s="21">
        <f>IF(AB1379&lt;&gt;"",AB1379,Z1379)</f>
        <v/>
      </c>
      <c r="AF1379" s="13" t="inlineStr">
        <is>
          <t>P-35 &gt; FFG-Frigate &gt; Anti-Submarine Warfare (ASW) Combat Suite &gt; Technical Engineering Services</t>
        </is>
      </c>
      <c r="AG1379" s="7" t="inlineStr">
        <is>
          <t>283</t>
        </is>
      </c>
      <c r="AH1379" s="7" t="inlineStr">
        <is>
          <t>2128</t>
        </is>
      </c>
    </row>
    <row r="1380" ht="10" customHeight="1">
      <c r="A1380" s="7" t="inlineStr">
        <is>
          <t>SCN</t>
        </is>
      </c>
      <c r="B1380" s="7" t="inlineStr">
        <is>
          <t>Procurement</t>
        </is>
      </c>
      <c r="D1380" s="7" t="inlineStr">
        <is>
          <t>FFG-Frigate - P-35 Anti-Submarine Warfare (ASW) Combat Suite - Other Costs</t>
        </is>
      </c>
      <c r="E1380" s="13" t="inlineStr">
        <is>
          <t>[ALT_VIEW]</t>
        </is>
      </c>
      <c r="F1380" s="7" t="inlineStr">
        <is>
          <t>2128 / FFG-Frigate</t>
        </is>
      </c>
      <c r="G1380" s="7" t="inlineStr">
        <is>
          <t>P-35</t>
        </is>
      </c>
      <c r="I1380" s="14" t="n">
        <v>1</v>
      </c>
      <c r="J1380" s="7" t="inlineStr">
        <is>
          <t>Full ship DD&amp;C</t>
        </is>
      </c>
      <c r="K1380" s="13" t="inlineStr">
        <is>
          <t>USN</t>
        </is>
      </c>
      <c r="L1380" s="7" t="inlineStr">
        <is>
          <t>Combatant Ships</t>
        </is>
      </c>
      <c r="M1380" s="7" t="inlineStr">
        <is>
          <t>Surface Combatants</t>
        </is>
      </c>
      <c r="N1380" s="7" t="inlineStr">
        <is>
          <t>FFG</t>
        </is>
      </c>
      <c r="O1380" s="15" t="n"/>
      <c r="S1380" s="16" t="n">
        <v>8564</v>
      </c>
      <c r="U1380" s="16" t="n">
        <v>8564</v>
      </c>
      <c r="AC1380" s="23">
        <f>IF(OR(E1380="",E1380="[PARENT]"),"ADD",IF(E1380="[ALT_VIEW]","ALT",""))</f>
        <v/>
      </c>
      <c r="AD1380" s="21">
        <f>IF(Y1380&lt;&gt;"",Y1380,IF(U1380&lt;&gt;"",U1380,S1380))</f>
        <v/>
      </c>
      <c r="AE1380" s="21">
        <f>IF(AB1380&lt;&gt;"",AB1380,Z1380)</f>
        <v/>
      </c>
      <c r="AF1380" s="13" t="inlineStr">
        <is>
          <t>P-35 &gt; FFG-Frigate &gt; Anti-Submarine Warfare (ASW) Combat Suite &gt; Other Costs</t>
        </is>
      </c>
      <c r="AG1380" s="7" t="inlineStr">
        <is>
          <t>283</t>
        </is>
      </c>
      <c r="AH1380" s="7" t="inlineStr">
        <is>
          <t>2128</t>
        </is>
      </c>
    </row>
    <row r="1381" ht="10" customHeight="1">
      <c r="A1381" s="7" t="inlineStr">
        <is>
          <t>SCN</t>
        </is>
      </c>
      <c r="B1381" s="7" t="inlineStr">
        <is>
          <t>Procurement</t>
        </is>
      </c>
      <c r="D1381" s="7" t="inlineStr">
        <is>
          <t>FFG-Frigate - P-35 Surface Electronic Warfare Improvement Program (SEWIP) BLK II (SLQ-32(V)6) - Major Hardware                                                                        2</t>
        </is>
      </c>
      <c r="E1381" s="13" t="inlineStr">
        <is>
          <t>[ALT_VIEW]</t>
        </is>
      </c>
      <c r="F1381" s="7" t="inlineStr">
        <is>
          <t>2128 / FFG-Frigate</t>
        </is>
      </c>
      <c r="G1381" s="7" t="inlineStr">
        <is>
          <t>P-35</t>
        </is>
      </c>
      <c r="I1381" s="14" t="n">
        <v>1</v>
      </c>
      <c r="J1381" s="7" t="inlineStr">
        <is>
          <t>Full ship DD&amp;C</t>
        </is>
      </c>
      <c r="K1381" s="13" t="inlineStr">
        <is>
          <t>USN</t>
        </is>
      </c>
      <c r="L1381" s="7" t="inlineStr">
        <is>
          <t>Combatant Ships</t>
        </is>
      </c>
      <c r="M1381" s="7" t="inlineStr">
        <is>
          <t>Surface Combatants</t>
        </is>
      </c>
      <c r="N1381" s="7" t="inlineStr">
        <is>
          <t>FFG</t>
        </is>
      </c>
      <c r="O1381" s="15" t="n"/>
      <c r="S1381" s="16" t="n">
        <v>22014</v>
      </c>
      <c r="U1381" s="16" t="n">
        <v>22014</v>
      </c>
      <c r="AC1381" s="23">
        <f>IF(OR(E1381="",E1381="[PARENT]"),"ADD",IF(E1381="[ALT_VIEW]","ALT",""))</f>
        <v/>
      </c>
      <c r="AD1381" s="21">
        <f>IF(Y1381&lt;&gt;"",Y1381,IF(U1381&lt;&gt;"",U1381,S1381))</f>
        <v/>
      </c>
      <c r="AE1381" s="21">
        <f>IF(AB1381&lt;&gt;"",AB1381,Z1381)</f>
        <v/>
      </c>
      <c r="AF1381" s="13" t="inlineStr">
        <is>
          <t>P-35 &gt; FFG-Frigate &gt; Surface Electronic Warfare Improvement Program (SEWIP) BLK II (SLQ-32(V)6) &gt; Major Hardware                                                                        2</t>
        </is>
      </c>
      <c r="AG1381" s="7" t="inlineStr">
        <is>
          <t>284</t>
        </is>
      </c>
      <c r="AH1381" s="7" t="inlineStr">
        <is>
          <t>2128</t>
        </is>
      </c>
      <c r="AJ1381" s="7" t="inlineStr">
        <is>
          <t>Surface Electronic Warfare Improvement Program (SEWIP) BLK II (SLQ-32(V)6)</t>
        </is>
      </c>
    </row>
    <row r="1382" ht="10" customHeight="1">
      <c r="A1382" s="7" t="inlineStr">
        <is>
          <t>SCN</t>
        </is>
      </c>
      <c r="B1382" s="7" t="inlineStr">
        <is>
          <t>Procurement</t>
        </is>
      </c>
      <c r="D1382" s="7" t="inlineStr">
        <is>
          <t>FFG-Frigate - P-35 Surface Electronic Warfare Improvement Program (SEWIP) BLK II (SLQ-32(V)6) - System Engineering</t>
        </is>
      </c>
      <c r="E1382" s="13" t="inlineStr">
        <is>
          <t>[ALT_VIEW]</t>
        </is>
      </c>
      <c r="F1382" s="7" t="inlineStr">
        <is>
          <t>2128 / FFG-Frigate</t>
        </is>
      </c>
      <c r="G1382" s="7" t="inlineStr">
        <is>
          <t>P-35</t>
        </is>
      </c>
      <c r="I1382" s="14" t="n">
        <v>1</v>
      </c>
      <c r="J1382" s="7" t="inlineStr">
        <is>
          <t>Full ship DD&amp;C</t>
        </is>
      </c>
      <c r="K1382" s="13" t="inlineStr">
        <is>
          <t>USN</t>
        </is>
      </c>
      <c r="L1382" s="7" t="inlineStr">
        <is>
          <t>Combatant Ships</t>
        </is>
      </c>
      <c r="M1382" s="7" t="inlineStr">
        <is>
          <t>Surface Combatants</t>
        </is>
      </c>
      <c r="N1382" s="7" t="inlineStr">
        <is>
          <t>FFG</t>
        </is>
      </c>
      <c r="O1382" s="15" t="n"/>
      <c r="S1382" s="16" t="n">
        <v>778</v>
      </c>
      <c r="U1382" s="16" t="n">
        <v>778</v>
      </c>
      <c r="AC1382" s="23">
        <f>IF(OR(E1382="",E1382="[PARENT]"),"ADD",IF(E1382="[ALT_VIEW]","ALT",""))</f>
        <v/>
      </c>
      <c r="AD1382" s="21">
        <f>IF(Y1382&lt;&gt;"",Y1382,IF(U1382&lt;&gt;"",U1382,S1382))</f>
        <v/>
      </c>
      <c r="AE1382" s="21">
        <f>IF(AB1382&lt;&gt;"",AB1382,Z1382)</f>
        <v/>
      </c>
      <c r="AF1382" s="13" t="inlineStr">
        <is>
          <t>P-35 &gt; FFG-Frigate &gt; Surface Electronic Warfare Improvement Program (SEWIP) BLK II (SLQ-32(V)6) &gt; System Engineering</t>
        </is>
      </c>
      <c r="AG1382" s="7" t="inlineStr">
        <is>
          <t>284</t>
        </is>
      </c>
      <c r="AH1382" s="7" t="inlineStr">
        <is>
          <t>2128</t>
        </is>
      </c>
    </row>
    <row r="1383" ht="10" customHeight="1">
      <c r="A1383" s="7" t="inlineStr">
        <is>
          <t>SCN</t>
        </is>
      </c>
      <c r="B1383" s="7" t="inlineStr">
        <is>
          <t>Procurement</t>
        </is>
      </c>
      <c r="D1383" s="7" t="inlineStr">
        <is>
          <t>FFG-Frigate - P-35 Surface Electronic Warfare Improvement Program (SEWIP) BLK II (SLQ-32(V)6) - Technical Engineering Services</t>
        </is>
      </c>
      <c r="E1383" s="13" t="inlineStr">
        <is>
          <t>[ALT_VIEW]</t>
        </is>
      </c>
      <c r="F1383" s="7" t="inlineStr">
        <is>
          <t>2128 / FFG-Frigate</t>
        </is>
      </c>
      <c r="G1383" s="7" t="inlineStr">
        <is>
          <t>P-35</t>
        </is>
      </c>
      <c r="I1383" s="14" t="n">
        <v>1</v>
      </c>
      <c r="J1383" s="7" t="inlineStr">
        <is>
          <t>Full ship DD&amp;C</t>
        </is>
      </c>
      <c r="K1383" s="13" t="inlineStr">
        <is>
          <t>USN</t>
        </is>
      </c>
      <c r="L1383" s="7" t="inlineStr">
        <is>
          <t>Combatant Ships</t>
        </is>
      </c>
      <c r="M1383" s="7" t="inlineStr">
        <is>
          <t>Surface Combatants</t>
        </is>
      </c>
      <c r="N1383" s="7" t="inlineStr">
        <is>
          <t>FFG</t>
        </is>
      </c>
      <c r="O1383" s="15" t="n"/>
      <c r="S1383" s="16" t="n">
        <v>227</v>
      </c>
      <c r="U1383" s="16" t="n">
        <v>227</v>
      </c>
      <c r="AC1383" s="23">
        <f>IF(OR(E1383="",E1383="[PARENT]"),"ADD",IF(E1383="[ALT_VIEW]","ALT",""))</f>
        <v/>
      </c>
      <c r="AD1383" s="21">
        <f>IF(Y1383&lt;&gt;"",Y1383,IF(U1383&lt;&gt;"",U1383,S1383))</f>
        <v/>
      </c>
      <c r="AE1383" s="21">
        <f>IF(AB1383&lt;&gt;"",AB1383,Z1383)</f>
        <v/>
      </c>
      <c r="AF1383" s="13" t="inlineStr">
        <is>
          <t>P-35 &gt; FFG-Frigate &gt; Surface Electronic Warfare Improvement Program (SEWIP) BLK II (SLQ-32(V)6) &gt; Technical Engineering Services</t>
        </is>
      </c>
      <c r="AG1383" s="7" t="inlineStr">
        <is>
          <t>284</t>
        </is>
      </c>
      <c r="AH1383" s="7" t="inlineStr">
        <is>
          <t>2128</t>
        </is>
      </c>
    </row>
    <row r="1384" ht="10" customHeight="1">
      <c r="A1384" s="7" t="inlineStr">
        <is>
          <t>SCN</t>
        </is>
      </c>
      <c r="B1384" s="7" t="inlineStr">
        <is>
          <t>Procurement</t>
        </is>
      </c>
      <c r="D1384" s="7" t="inlineStr">
        <is>
          <t>FFG-Frigate - P-35 Surface Electronic Warfare Improvement Program (SEWIP) BLK II (SLQ-32(V)6) - Other Costs</t>
        </is>
      </c>
      <c r="E1384" s="13" t="inlineStr">
        <is>
          <t>[ALT_VIEW]</t>
        </is>
      </c>
      <c r="F1384" s="7" t="inlineStr">
        <is>
          <t>2128 / FFG-Frigate</t>
        </is>
      </c>
      <c r="G1384" s="7" t="inlineStr">
        <is>
          <t>P-35</t>
        </is>
      </c>
      <c r="I1384" s="14" t="n">
        <v>1</v>
      </c>
      <c r="J1384" s="7" t="inlineStr">
        <is>
          <t>Full ship DD&amp;C</t>
        </is>
      </c>
      <c r="K1384" s="13" t="inlineStr">
        <is>
          <t>USN</t>
        </is>
      </c>
      <c r="L1384" s="7" t="inlineStr">
        <is>
          <t>Combatant Ships</t>
        </is>
      </c>
      <c r="M1384" s="7" t="inlineStr">
        <is>
          <t>Surface Combatants</t>
        </is>
      </c>
      <c r="N1384" s="7" t="inlineStr">
        <is>
          <t>FFG</t>
        </is>
      </c>
      <c r="O1384" s="15" t="n"/>
      <c r="S1384" s="16" t="n">
        <v>2083</v>
      </c>
      <c r="U1384" s="16" t="n">
        <v>2083</v>
      </c>
      <c r="AC1384" s="23">
        <f>IF(OR(E1384="",E1384="[PARENT]"),"ADD",IF(E1384="[ALT_VIEW]","ALT",""))</f>
        <v/>
      </c>
      <c r="AD1384" s="21">
        <f>IF(Y1384&lt;&gt;"",Y1384,IF(U1384&lt;&gt;"",U1384,S1384))</f>
        <v/>
      </c>
      <c r="AE1384" s="21">
        <f>IF(AB1384&lt;&gt;"",AB1384,Z1384)</f>
        <v/>
      </c>
      <c r="AF1384" s="13" t="inlineStr">
        <is>
          <t>P-35 &gt; FFG-Frigate &gt; Surface Electronic Warfare Improvement Program (SEWIP) BLK II (SLQ-32(V)6) &gt; Other Costs</t>
        </is>
      </c>
      <c r="AG1384" s="7" t="inlineStr">
        <is>
          <t>284</t>
        </is>
      </c>
      <c r="AH1384" s="7" t="inlineStr">
        <is>
          <t>2128</t>
        </is>
      </c>
      <c r="AJ1384" s="7" t="inlineStr">
        <is>
          <t>Surface Electronic Warfare Improvement Program (SEWIP) BLK II (SLQ-32(V)6) [FFG 66]</t>
        </is>
      </c>
    </row>
    <row r="1385" ht="10" customHeight="1">
      <c r="A1385" s="7" t="inlineStr">
        <is>
          <t>SCN</t>
        </is>
      </c>
      <c r="B1385" s="7" t="inlineStr">
        <is>
          <t>Procurement</t>
        </is>
      </c>
      <c r="D1385" s="7" t="inlineStr">
        <is>
          <t>FFG-Frigate - P-35 Tactical COMINT System- Spectral - Major Hardware                                                                          2</t>
        </is>
      </c>
      <c r="E1385" s="13" t="inlineStr">
        <is>
          <t>[ALT_VIEW]</t>
        </is>
      </c>
      <c r="F1385" s="7" t="inlineStr">
        <is>
          <t>2128 / FFG-Frigate</t>
        </is>
      </c>
      <c r="G1385" s="7" t="inlineStr">
        <is>
          <t>P-35</t>
        </is>
      </c>
      <c r="I1385" s="14" t="n">
        <v>1</v>
      </c>
      <c r="J1385" s="7" t="inlineStr">
        <is>
          <t>Full ship DD&amp;C</t>
        </is>
      </c>
      <c r="K1385" s="13" t="inlineStr">
        <is>
          <t>USN</t>
        </is>
      </c>
      <c r="L1385" s="7" t="inlineStr">
        <is>
          <t>Combatant Ships</t>
        </is>
      </c>
      <c r="M1385" s="7" t="inlineStr">
        <is>
          <t>Surface Combatants</t>
        </is>
      </c>
      <c r="N1385" s="7" t="inlineStr">
        <is>
          <t>FFG</t>
        </is>
      </c>
      <c r="O1385" s="15" t="n"/>
      <c r="S1385" s="16" t="n">
        <v>36333</v>
      </c>
      <c r="U1385" s="16" t="n">
        <v>36333</v>
      </c>
      <c r="AC1385" s="23">
        <f>IF(OR(E1385="",E1385="[PARENT]"),"ADD",IF(E1385="[ALT_VIEW]","ALT",""))</f>
        <v/>
      </c>
      <c r="AD1385" s="21">
        <f>IF(Y1385&lt;&gt;"",Y1385,IF(U1385&lt;&gt;"",U1385,S1385))</f>
        <v/>
      </c>
      <c r="AE1385" s="21">
        <f>IF(AB1385&lt;&gt;"",AB1385,Z1385)</f>
        <v/>
      </c>
      <c r="AF1385" s="13" t="inlineStr">
        <is>
          <t>P-35 &gt; FFG-Frigate &gt; Tactical COMINT System- Spectral &gt; Major Hardware                                                                          2</t>
        </is>
      </c>
      <c r="AG1385" s="7" t="inlineStr">
        <is>
          <t>285</t>
        </is>
      </c>
      <c r="AH1385" s="7" t="inlineStr">
        <is>
          <t>2128</t>
        </is>
      </c>
    </row>
    <row r="1386" ht="10" customHeight="1">
      <c r="A1386" s="7" t="inlineStr">
        <is>
          <t>SCN</t>
        </is>
      </c>
      <c r="B1386" s="7" t="inlineStr">
        <is>
          <t>Procurement</t>
        </is>
      </c>
      <c r="D1386" s="7" t="inlineStr">
        <is>
          <t>FFG-Frigate - P-35 Tactical COMINT System- Spectral - Technical Engineering Services</t>
        </is>
      </c>
      <c r="E1386" s="13" t="inlineStr">
        <is>
          <t>[ALT_VIEW]</t>
        </is>
      </c>
      <c r="F1386" s="7" t="inlineStr">
        <is>
          <t>2128 / FFG-Frigate</t>
        </is>
      </c>
      <c r="G1386" s="7" t="inlineStr">
        <is>
          <t>P-35</t>
        </is>
      </c>
      <c r="I1386" s="14" t="n">
        <v>1</v>
      </c>
      <c r="J1386" s="7" t="inlineStr">
        <is>
          <t>Full ship DD&amp;C</t>
        </is>
      </c>
      <c r="K1386" s="13" t="inlineStr">
        <is>
          <t>USN</t>
        </is>
      </c>
      <c r="L1386" s="7" t="inlineStr">
        <is>
          <t>Combatant Ships</t>
        </is>
      </c>
      <c r="M1386" s="7" t="inlineStr">
        <is>
          <t>Surface Combatants</t>
        </is>
      </c>
      <c r="N1386" s="7" t="inlineStr">
        <is>
          <t>FFG</t>
        </is>
      </c>
      <c r="O1386" s="15" t="n"/>
      <c r="S1386" s="16" t="n">
        <v>753</v>
      </c>
      <c r="U1386" s="16" t="n">
        <v>753</v>
      </c>
      <c r="AC1386" s="23">
        <f>IF(OR(E1386="",E1386="[PARENT]"),"ADD",IF(E1386="[ALT_VIEW]","ALT",""))</f>
        <v/>
      </c>
      <c r="AD1386" s="21">
        <f>IF(Y1386&lt;&gt;"",Y1386,IF(U1386&lt;&gt;"",U1386,S1386))</f>
        <v/>
      </c>
      <c r="AE1386" s="21">
        <f>IF(AB1386&lt;&gt;"",AB1386,Z1386)</f>
        <v/>
      </c>
      <c r="AF1386" s="13" t="inlineStr">
        <is>
          <t>P-35 &gt; FFG-Frigate &gt; Tactical COMINT System- Spectral &gt; Technical Engineering Services</t>
        </is>
      </c>
      <c r="AG1386" s="7" t="inlineStr">
        <is>
          <t>285</t>
        </is>
      </c>
      <c r="AH1386" s="7" t="inlineStr">
        <is>
          <t>2128</t>
        </is>
      </c>
    </row>
    <row r="1387" ht="10" customHeight="1">
      <c r="A1387" s="7" t="inlineStr">
        <is>
          <t>SCN</t>
        </is>
      </c>
      <c r="B1387" s="7" t="inlineStr">
        <is>
          <t>Procurement</t>
        </is>
      </c>
      <c r="D1387" s="7" t="inlineStr">
        <is>
          <t>FFG-Frigate - P-35 Tactical COMINT System- Spectral - Other Costs</t>
        </is>
      </c>
      <c r="E1387" s="13" t="inlineStr">
        <is>
          <t>[ALT_VIEW]</t>
        </is>
      </c>
      <c r="F1387" s="7" t="inlineStr">
        <is>
          <t>2128 / FFG-Frigate</t>
        </is>
      </c>
      <c r="G1387" s="7" t="inlineStr">
        <is>
          <t>P-35</t>
        </is>
      </c>
      <c r="I1387" s="14" t="n">
        <v>1</v>
      </c>
      <c r="J1387" s="7" t="inlineStr">
        <is>
          <t>Full ship DD&amp;C</t>
        </is>
      </c>
      <c r="K1387" s="13" t="inlineStr">
        <is>
          <t>USN</t>
        </is>
      </c>
      <c r="L1387" s="7" t="inlineStr">
        <is>
          <t>Combatant Ships</t>
        </is>
      </c>
      <c r="M1387" s="7" t="inlineStr">
        <is>
          <t>Surface Combatants</t>
        </is>
      </c>
      <c r="N1387" s="7" t="inlineStr">
        <is>
          <t>FFG</t>
        </is>
      </c>
      <c r="O1387" s="15" t="n"/>
      <c r="S1387" s="16" t="n">
        <v>1466</v>
      </c>
      <c r="U1387" s="16" t="n">
        <v>1466</v>
      </c>
      <c r="AC1387" s="23">
        <f>IF(OR(E1387="",E1387="[PARENT]"),"ADD",IF(E1387="[ALT_VIEW]","ALT",""))</f>
        <v/>
      </c>
      <c r="AD1387" s="21">
        <f>IF(Y1387&lt;&gt;"",Y1387,IF(U1387&lt;&gt;"",U1387,S1387))</f>
        <v/>
      </c>
      <c r="AE1387" s="21">
        <f>IF(AB1387&lt;&gt;"",AB1387,Z1387)</f>
        <v/>
      </c>
      <c r="AF1387" s="13" t="inlineStr">
        <is>
          <t>P-35 &gt; FFG-Frigate &gt; Tactical COMINT System- Spectral &gt; Other Costs</t>
        </is>
      </c>
      <c r="AG1387" s="7" t="inlineStr">
        <is>
          <t>285</t>
        </is>
      </c>
      <c r="AH1387" s="7" t="inlineStr">
        <is>
          <t>2128</t>
        </is>
      </c>
    </row>
    <row r="1388" ht="10" customHeight="1">
      <c r="A1388" s="7" t="inlineStr">
        <is>
          <t>SCN</t>
        </is>
      </c>
      <c r="B1388" s="7" t="inlineStr">
        <is>
          <t>Procurement</t>
        </is>
      </c>
      <c r="D1388" s="7" t="inlineStr">
        <is>
          <t>FFG-Frigate - P-35 Tactical COMINT System- Spectral - Systems Engineering</t>
        </is>
      </c>
      <c r="E1388" s="13" t="inlineStr">
        <is>
          <t>[ALT_VIEW]</t>
        </is>
      </c>
      <c r="F1388" s="7" t="inlineStr">
        <is>
          <t>2128 / FFG-Frigate</t>
        </is>
      </c>
      <c r="G1388" s="7" t="inlineStr">
        <is>
          <t>P-35</t>
        </is>
      </c>
      <c r="I1388" s="14" t="n">
        <v>1</v>
      </c>
      <c r="J1388" s="7" t="inlineStr">
        <is>
          <t>Full ship DD&amp;C</t>
        </is>
      </c>
      <c r="K1388" s="13" t="inlineStr">
        <is>
          <t>USN</t>
        </is>
      </c>
      <c r="L1388" s="7" t="inlineStr">
        <is>
          <t>Combatant Ships</t>
        </is>
      </c>
      <c r="M1388" s="7" t="inlineStr">
        <is>
          <t>Surface Combatants</t>
        </is>
      </c>
      <c r="N1388" s="7" t="inlineStr">
        <is>
          <t>FFG</t>
        </is>
      </c>
      <c r="O1388" s="15" t="n"/>
      <c r="S1388" s="16" t="n">
        <v>1070</v>
      </c>
      <c r="U1388" s="16" t="n">
        <v>1070</v>
      </c>
      <c r="AC1388" s="23">
        <f>IF(OR(E1388="",E1388="[PARENT]"),"ADD",IF(E1388="[ALT_VIEW]","ALT",""))</f>
        <v/>
      </c>
      <c r="AD1388" s="21">
        <f>IF(Y1388&lt;&gt;"",Y1388,IF(U1388&lt;&gt;"",U1388,S1388))</f>
        <v/>
      </c>
      <c r="AE1388" s="21">
        <f>IF(AB1388&lt;&gt;"",AB1388,Z1388)</f>
        <v/>
      </c>
      <c r="AF1388" s="13" t="inlineStr">
        <is>
          <t>P-35 &gt; FFG-Frigate &gt; Tactical COMINT System- Spectral &gt; Systems Engineering</t>
        </is>
      </c>
      <c r="AG1388" s="7" t="inlineStr">
        <is>
          <t>285</t>
        </is>
      </c>
      <c r="AH1388" s="7" t="inlineStr">
        <is>
          <t>2128</t>
        </is>
      </c>
    </row>
    <row r="1389" ht="10" customHeight="1">
      <c r="A1389" s="7" t="inlineStr">
        <is>
          <t>SCN</t>
        </is>
      </c>
      <c r="B1389" s="7" t="inlineStr">
        <is>
          <t>Procurement</t>
        </is>
      </c>
      <c r="D1389" s="7" t="inlineStr">
        <is>
          <t>FFG-Frigate - P-35 Cooperative Engagement Capability (CEC) - Major Hardware                                                                       2</t>
        </is>
      </c>
      <c r="E1389" s="13" t="inlineStr">
        <is>
          <t>[ALT_VIEW]</t>
        </is>
      </c>
      <c r="F1389" s="7" t="inlineStr">
        <is>
          <t>2128 / FFG-Frigate</t>
        </is>
      </c>
      <c r="G1389" s="7" t="inlineStr">
        <is>
          <t>P-35</t>
        </is>
      </c>
      <c r="I1389" s="14" t="n">
        <v>1</v>
      </c>
      <c r="J1389" s="7" t="inlineStr">
        <is>
          <t>Full ship DD&amp;C</t>
        </is>
      </c>
      <c r="K1389" s="13" t="inlineStr">
        <is>
          <t>USN</t>
        </is>
      </c>
      <c r="L1389" s="7" t="inlineStr">
        <is>
          <t>Combatant Ships</t>
        </is>
      </c>
      <c r="M1389" s="7" t="inlineStr">
        <is>
          <t>Surface Combatants</t>
        </is>
      </c>
      <c r="N1389" s="7" t="inlineStr">
        <is>
          <t>FFG</t>
        </is>
      </c>
      <c r="O1389" s="15" t="n"/>
      <c r="S1389" s="16" t="n">
        <v>10615</v>
      </c>
      <c r="U1389" s="16" t="n">
        <v>10615</v>
      </c>
      <c r="AC1389" s="23">
        <f>IF(OR(E1389="",E1389="[PARENT]"),"ADD",IF(E1389="[ALT_VIEW]","ALT",""))</f>
        <v/>
      </c>
      <c r="AD1389" s="21">
        <f>IF(Y1389&lt;&gt;"",Y1389,IF(U1389&lt;&gt;"",U1389,S1389))</f>
        <v/>
      </c>
      <c r="AE1389" s="21">
        <f>IF(AB1389&lt;&gt;"",AB1389,Z1389)</f>
        <v/>
      </c>
      <c r="AF1389" s="13" t="inlineStr">
        <is>
          <t>P-35 &gt; FFG-Frigate &gt; Cooperative Engagement Capability (CEC) &gt; Major Hardware                                                                       2</t>
        </is>
      </c>
      <c r="AG1389" s="7" t="inlineStr">
        <is>
          <t>286</t>
        </is>
      </c>
      <c r="AH1389" s="7" t="inlineStr">
        <is>
          <t>2128</t>
        </is>
      </c>
    </row>
    <row r="1390" ht="10" customHeight="1">
      <c r="A1390" s="7" t="inlineStr">
        <is>
          <t>SCN</t>
        </is>
      </c>
      <c r="B1390" s="7" t="inlineStr">
        <is>
          <t>Procurement</t>
        </is>
      </c>
      <c r="D1390" s="7" t="inlineStr">
        <is>
          <t>FFG-Frigate - P-35 Cooperative Engagement Capability (CEC) - System Engineering</t>
        </is>
      </c>
      <c r="E1390" s="13" t="inlineStr">
        <is>
          <t>[ALT_VIEW]</t>
        </is>
      </c>
      <c r="F1390" s="7" t="inlineStr">
        <is>
          <t>2128 / FFG-Frigate</t>
        </is>
      </c>
      <c r="G1390" s="7" t="inlineStr">
        <is>
          <t>P-35</t>
        </is>
      </c>
      <c r="I1390" s="14" t="n">
        <v>1</v>
      </c>
      <c r="J1390" s="7" t="inlineStr">
        <is>
          <t>Full ship DD&amp;C</t>
        </is>
      </c>
      <c r="K1390" s="13" t="inlineStr">
        <is>
          <t>USN</t>
        </is>
      </c>
      <c r="L1390" s="7" t="inlineStr">
        <is>
          <t>Combatant Ships</t>
        </is>
      </c>
      <c r="M1390" s="7" t="inlineStr">
        <is>
          <t>Surface Combatants</t>
        </is>
      </c>
      <c r="N1390" s="7" t="inlineStr">
        <is>
          <t>FFG</t>
        </is>
      </c>
      <c r="O1390" s="15" t="n"/>
      <c r="S1390" s="16" t="n">
        <v>915</v>
      </c>
      <c r="U1390" s="16" t="n">
        <v>915</v>
      </c>
      <c r="AC1390" s="23">
        <f>IF(OR(E1390="",E1390="[PARENT]"),"ADD",IF(E1390="[ALT_VIEW]","ALT",""))</f>
        <v/>
      </c>
      <c r="AD1390" s="21">
        <f>IF(Y1390&lt;&gt;"",Y1390,IF(U1390&lt;&gt;"",U1390,S1390))</f>
        <v/>
      </c>
      <c r="AE1390" s="21">
        <f>IF(AB1390&lt;&gt;"",AB1390,Z1390)</f>
        <v/>
      </c>
      <c r="AF1390" s="13" t="inlineStr">
        <is>
          <t>P-35 &gt; FFG-Frigate &gt; Cooperative Engagement Capability (CEC) &gt; System Engineering</t>
        </is>
      </c>
      <c r="AG1390" s="7" t="inlineStr">
        <is>
          <t>286</t>
        </is>
      </c>
      <c r="AH1390" s="7" t="inlineStr">
        <is>
          <t>2128</t>
        </is>
      </c>
    </row>
    <row r="1391" ht="10" customHeight="1">
      <c r="A1391" s="7" t="inlineStr">
        <is>
          <t>SCN</t>
        </is>
      </c>
      <c r="B1391" s="7" t="inlineStr">
        <is>
          <t>Procurement</t>
        </is>
      </c>
      <c r="D1391" s="7" t="inlineStr">
        <is>
          <t>FFG-Frigate - P-35 Cooperative Engagement Capability (CEC) - Technical Engineering Services</t>
        </is>
      </c>
      <c r="E1391" s="13" t="inlineStr">
        <is>
          <t>[ALT_VIEW]</t>
        </is>
      </c>
      <c r="F1391" s="7" t="inlineStr">
        <is>
          <t>2128 / FFG-Frigate</t>
        </is>
      </c>
      <c r="G1391" s="7" t="inlineStr">
        <is>
          <t>P-35</t>
        </is>
      </c>
      <c r="I1391" s="14" t="n">
        <v>1</v>
      </c>
      <c r="J1391" s="7" t="inlineStr">
        <is>
          <t>Full ship DD&amp;C</t>
        </is>
      </c>
      <c r="K1391" s="13" t="inlineStr">
        <is>
          <t>USN</t>
        </is>
      </c>
      <c r="L1391" s="7" t="inlineStr">
        <is>
          <t>Combatant Ships</t>
        </is>
      </c>
      <c r="M1391" s="7" t="inlineStr">
        <is>
          <t>Surface Combatants</t>
        </is>
      </c>
      <c r="N1391" s="7" t="inlineStr">
        <is>
          <t>FFG</t>
        </is>
      </c>
      <c r="O1391" s="15" t="n"/>
      <c r="S1391" s="16" t="n">
        <v>1211</v>
      </c>
      <c r="U1391" s="16" t="n">
        <v>1211</v>
      </c>
      <c r="AC1391" s="23">
        <f>IF(OR(E1391="",E1391="[PARENT]"),"ADD",IF(E1391="[ALT_VIEW]","ALT",""))</f>
        <v/>
      </c>
      <c r="AD1391" s="21">
        <f>IF(Y1391&lt;&gt;"",Y1391,IF(U1391&lt;&gt;"",U1391,S1391))</f>
        <v/>
      </c>
      <c r="AE1391" s="21">
        <f>IF(AB1391&lt;&gt;"",AB1391,Z1391)</f>
        <v/>
      </c>
      <c r="AF1391" s="13" t="inlineStr">
        <is>
          <t>P-35 &gt; FFG-Frigate &gt; Cooperative Engagement Capability (CEC) &gt; Technical Engineering Services</t>
        </is>
      </c>
      <c r="AG1391" s="7" t="inlineStr">
        <is>
          <t>286</t>
        </is>
      </c>
      <c r="AH1391" s="7" t="inlineStr">
        <is>
          <t>2128</t>
        </is>
      </c>
    </row>
    <row r="1392" ht="10" customHeight="1">
      <c r="A1392" s="7" t="inlineStr">
        <is>
          <t>SCN</t>
        </is>
      </c>
      <c r="B1392" s="7" t="inlineStr">
        <is>
          <t>Procurement</t>
        </is>
      </c>
      <c r="D1392" s="7" t="inlineStr">
        <is>
          <t>FFG-Frigate - P-35 Cooperative Engagement Capability (CEC) - Other Costs</t>
        </is>
      </c>
      <c r="E1392" s="13" t="inlineStr">
        <is>
          <t>[ALT_VIEW]</t>
        </is>
      </c>
      <c r="F1392" s="7" t="inlineStr">
        <is>
          <t>2128 / FFG-Frigate</t>
        </is>
      </c>
      <c r="G1392" s="7" t="inlineStr">
        <is>
          <t>P-35</t>
        </is>
      </c>
      <c r="I1392" s="14" t="n">
        <v>1</v>
      </c>
      <c r="J1392" s="7" t="inlineStr">
        <is>
          <t>Full ship DD&amp;C</t>
        </is>
      </c>
      <c r="K1392" s="13" t="inlineStr">
        <is>
          <t>USN</t>
        </is>
      </c>
      <c r="L1392" s="7" t="inlineStr">
        <is>
          <t>Combatant Ships</t>
        </is>
      </c>
      <c r="M1392" s="7" t="inlineStr">
        <is>
          <t>Surface Combatants</t>
        </is>
      </c>
      <c r="N1392" s="7" t="inlineStr">
        <is>
          <t>FFG</t>
        </is>
      </c>
      <c r="O1392" s="15" t="n"/>
      <c r="S1392" s="16" t="n">
        <v>2023</v>
      </c>
      <c r="U1392" s="16" t="n">
        <v>2023</v>
      </c>
      <c r="AC1392" s="23">
        <f>IF(OR(E1392="",E1392="[PARENT]"),"ADD",IF(E1392="[ALT_VIEW]","ALT",""))</f>
        <v/>
      </c>
      <c r="AD1392" s="21">
        <f>IF(Y1392&lt;&gt;"",Y1392,IF(U1392&lt;&gt;"",U1392,S1392))</f>
        <v/>
      </c>
      <c r="AE1392" s="21">
        <f>IF(AB1392&lt;&gt;"",AB1392,Z1392)</f>
        <v/>
      </c>
      <c r="AF1392" s="13" t="inlineStr">
        <is>
          <t>P-35 &gt; FFG-Frigate &gt; Cooperative Engagement Capability (CEC) &gt; Other Costs</t>
        </is>
      </c>
      <c r="AG1392" s="7" t="inlineStr">
        <is>
          <t>286</t>
        </is>
      </c>
      <c r="AH1392" s="7" t="inlineStr">
        <is>
          <t>2128</t>
        </is>
      </c>
    </row>
    <row r="1393" ht="10" customHeight="1">
      <c r="A1393" s="7" t="inlineStr">
        <is>
          <t>SCN</t>
        </is>
      </c>
      <c r="B1393" s="7" t="inlineStr">
        <is>
          <t>Procurement</t>
        </is>
      </c>
      <c r="D1393" s="7" t="inlineStr">
        <is>
          <t>FFG-Frigate - P-35 Identification Friend or Foe (IFF) UPX-29 - Major Hardware                                                                              2</t>
        </is>
      </c>
      <c r="E1393" s="13" t="inlineStr">
        <is>
          <t>[ALT_VIEW]</t>
        </is>
      </c>
      <c r="F1393" s="7" t="inlineStr">
        <is>
          <t>2128 / FFG-Frigate</t>
        </is>
      </c>
      <c r="G1393" s="7" t="inlineStr">
        <is>
          <t>P-35</t>
        </is>
      </c>
      <c r="I1393" s="14" t="n">
        <v>1</v>
      </c>
      <c r="J1393" s="7" t="inlineStr">
        <is>
          <t>Full ship DD&amp;C</t>
        </is>
      </c>
      <c r="K1393" s="13" t="inlineStr">
        <is>
          <t>USN</t>
        </is>
      </c>
      <c r="L1393" s="7" t="inlineStr">
        <is>
          <t>Combatant Ships</t>
        </is>
      </c>
      <c r="M1393" s="7" t="inlineStr">
        <is>
          <t>Surface Combatants</t>
        </is>
      </c>
      <c r="N1393" s="7" t="inlineStr">
        <is>
          <t>FFG</t>
        </is>
      </c>
      <c r="O1393" s="15" t="n"/>
      <c r="S1393" s="16" t="n">
        <v>10577</v>
      </c>
      <c r="U1393" s="16" t="n">
        <v>10577</v>
      </c>
      <c r="AC1393" s="23">
        <f>IF(OR(E1393="",E1393="[PARENT]"),"ADD",IF(E1393="[ALT_VIEW]","ALT",""))</f>
        <v/>
      </c>
      <c r="AD1393" s="21">
        <f>IF(Y1393&lt;&gt;"",Y1393,IF(U1393&lt;&gt;"",U1393,S1393))</f>
        <v/>
      </c>
      <c r="AE1393" s="21">
        <f>IF(AB1393&lt;&gt;"",AB1393,Z1393)</f>
        <v/>
      </c>
      <c r="AF1393" s="13" t="inlineStr">
        <is>
          <t>P-35 &gt; FFG-Frigate &gt; Identification Friend or Foe (IFF) UPX-29 &gt; Major Hardware                                                                              2</t>
        </is>
      </c>
      <c r="AG1393" s="7" t="inlineStr">
        <is>
          <t>287</t>
        </is>
      </c>
      <c r="AH1393" s="7" t="inlineStr">
        <is>
          <t>2128</t>
        </is>
      </c>
    </row>
    <row r="1394" ht="10" customHeight="1">
      <c r="A1394" s="7" t="inlineStr">
        <is>
          <t>SCN</t>
        </is>
      </c>
      <c r="B1394" s="7" t="inlineStr">
        <is>
          <t>Procurement</t>
        </is>
      </c>
      <c r="D1394" s="7" t="inlineStr">
        <is>
          <t>FFG-Frigate - P-35 Identification Friend or Foe (IFF) UPX-29 - System Engineering</t>
        </is>
      </c>
      <c r="E1394" s="13" t="inlineStr">
        <is>
          <t>[ALT_VIEW]</t>
        </is>
      </c>
      <c r="F1394" s="7" t="inlineStr">
        <is>
          <t>2128 / FFG-Frigate</t>
        </is>
      </c>
      <c r="G1394" s="7" t="inlineStr">
        <is>
          <t>P-35</t>
        </is>
      </c>
      <c r="I1394" s="14" t="n">
        <v>1</v>
      </c>
      <c r="J1394" s="7" t="inlineStr">
        <is>
          <t>Full ship DD&amp;C</t>
        </is>
      </c>
      <c r="K1394" s="13" t="inlineStr">
        <is>
          <t>USN</t>
        </is>
      </c>
      <c r="L1394" s="7" t="inlineStr">
        <is>
          <t>Combatant Ships</t>
        </is>
      </c>
      <c r="M1394" s="7" t="inlineStr">
        <is>
          <t>Surface Combatants</t>
        </is>
      </c>
      <c r="N1394" s="7" t="inlineStr">
        <is>
          <t>FFG</t>
        </is>
      </c>
      <c r="O1394" s="15" t="n"/>
      <c r="S1394" s="16" t="n">
        <v>435</v>
      </c>
      <c r="U1394" s="16" t="n">
        <v>435</v>
      </c>
      <c r="AC1394" s="23">
        <f>IF(OR(E1394="",E1394="[PARENT]"),"ADD",IF(E1394="[ALT_VIEW]","ALT",""))</f>
        <v/>
      </c>
      <c r="AD1394" s="21">
        <f>IF(Y1394&lt;&gt;"",Y1394,IF(U1394&lt;&gt;"",U1394,S1394))</f>
        <v/>
      </c>
      <c r="AE1394" s="21">
        <f>IF(AB1394&lt;&gt;"",AB1394,Z1394)</f>
        <v/>
      </c>
      <c r="AF1394" s="13" t="inlineStr">
        <is>
          <t>P-35 &gt; FFG-Frigate &gt; Identification Friend or Foe (IFF) UPX-29 &gt; System Engineering</t>
        </is>
      </c>
      <c r="AG1394" s="7" t="inlineStr">
        <is>
          <t>287</t>
        </is>
      </c>
      <c r="AH1394" s="7" t="inlineStr">
        <is>
          <t>2128</t>
        </is>
      </c>
    </row>
    <row r="1395" ht="10" customHeight="1">
      <c r="A1395" s="7" t="inlineStr">
        <is>
          <t>SCN</t>
        </is>
      </c>
      <c r="B1395" s="7" t="inlineStr">
        <is>
          <t>Procurement</t>
        </is>
      </c>
      <c r="D1395" s="7" t="inlineStr">
        <is>
          <t>FFG-Frigate - P-35 Identification Friend or Foe (IFF) UPX-29 - Technical Engineering Services</t>
        </is>
      </c>
      <c r="E1395" s="13" t="inlineStr">
        <is>
          <t>[ALT_VIEW]</t>
        </is>
      </c>
      <c r="F1395" s="7" t="inlineStr">
        <is>
          <t>2128 / FFG-Frigate</t>
        </is>
      </c>
      <c r="G1395" s="7" t="inlineStr">
        <is>
          <t>P-35</t>
        </is>
      </c>
      <c r="I1395" s="14" t="n">
        <v>1</v>
      </c>
      <c r="J1395" s="7" t="inlineStr">
        <is>
          <t>Full ship DD&amp;C</t>
        </is>
      </c>
      <c r="K1395" s="13" t="inlineStr">
        <is>
          <t>USN</t>
        </is>
      </c>
      <c r="L1395" s="7" t="inlineStr">
        <is>
          <t>Combatant Ships</t>
        </is>
      </c>
      <c r="M1395" s="7" t="inlineStr">
        <is>
          <t>Surface Combatants</t>
        </is>
      </c>
      <c r="N1395" s="7" t="inlineStr">
        <is>
          <t>FFG</t>
        </is>
      </c>
      <c r="O1395" s="15" t="n"/>
      <c r="S1395" s="16" t="n">
        <v>332</v>
      </c>
      <c r="U1395" s="16" t="n">
        <v>332</v>
      </c>
      <c r="AC1395" s="23">
        <f>IF(OR(E1395="",E1395="[PARENT]"),"ADD",IF(E1395="[ALT_VIEW]","ALT",""))</f>
        <v/>
      </c>
      <c r="AD1395" s="21">
        <f>IF(Y1395&lt;&gt;"",Y1395,IF(U1395&lt;&gt;"",U1395,S1395))</f>
        <v/>
      </c>
      <c r="AE1395" s="21">
        <f>IF(AB1395&lt;&gt;"",AB1395,Z1395)</f>
        <v/>
      </c>
      <c r="AF1395" s="13" t="inlineStr">
        <is>
          <t>P-35 &gt; FFG-Frigate &gt; Identification Friend or Foe (IFF) UPX-29 &gt; Technical Engineering Services</t>
        </is>
      </c>
      <c r="AG1395" s="7" t="inlineStr">
        <is>
          <t>287</t>
        </is>
      </c>
      <c r="AH1395" s="7" t="inlineStr">
        <is>
          <t>2128</t>
        </is>
      </c>
    </row>
    <row r="1396" ht="10" customHeight="1">
      <c r="A1396" s="7" t="inlineStr">
        <is>
          <t>SCN</t>
        </is>
      </c>
      <c r="B1396" s="7" t="inlineStr">
        <is>
          <t>Procurement</t>
        </is>
      </c>
      <c r="D1396" s="7" t="inlineStr">
        <is>
          <t>FFG-Frigate - P-35 Identification Friend or Foe (IFF) UPX-29 - Other Costs</t>
        </is>
      </c>
      <c r="E1396" s="13" t="inlineStr">
        <is>
          <t>[ALT_VIEW]</t>
        </is>
      </c>
      <c r="F1396" s="7" t="inlineStr">
        <is>
          <t>2128 / FFG-Frigate</t>
        </is>
      </c>
      <c r="G1396" s="7" t="inlineStr">
        <is>
          <t>P-35</t>
        </is>
      </c>
      <c r="I1396" s="14" t="n">
        <v>1</v>
      </c>
      <c r="J1396" s="7" t="inlineStr">
        <is>
          <t>Full ship DD&amp;C</t>
        </is>
      </c>
      <c r="K1396" s="13" t="inlineStr">
        <is>
          <t>USN</t>
        </is>
      </c>
      <c r="L1396" s="7" t="inlineStr">
        <is>
          <t>Combatant Ships</t>
        </is>
      </c>
      <c r="M1396" s="7" t="inlineStr">
        <is>
          <t>Surface Combatants</t>
        </is>
      </c>
      <c r="N1396" s="7" t="inlineStr">
        <is>
          <t>FFG</t>
        </is>
      </c>
      <c r="O1396" s="15" t="n"/>
      <c r="S1396" s="16" t="n">
        <v>103</v>
      </c>
      <c r="U1396" s="16" t="n">
        <v>103</v>
      </c>
      <c r="AC1396" s="23">
        <f>IF(OR(E1396="",E1396="[PARENT]"),"ADD",IF(E1396="[ALT_VIEW]","ALT",""))</f>
        <v/>
      </c>
      <c r="AD1396" s="21">
        <f>IF(Y1396&lt;&gt;"",Y1396,IF(U1396&lt;&gt;"",U1396,S1396))</f>
        <v/>
      </c>
      <c r="AE1396" s="21">
        <f>IF(AB1396&lt;&gt;"",AB1396,Z1396)</f>
        <v/>
      </c>
      <c r="AF1396" s="13" t="inlineStr">
        <is>
          <t>P-35 &gt; FFG-Frigate &gt; Identification Friend or Foe (IFF) UPX-29 &gt; Other Costs</t>
        </is>
      </c>
      <c r="AG1396" s="7" t="inlineStr">
        <is>
          <t>287</t>
        </is>
      </c>
      <c r="AH1396" s="7" t="inlineStr">
        <is>
          <t>2128</t>
        </is>
      </c>
    </row>
    <row r="1397" ht="10" customHeight="1">
      <c r="A1397" s="7" t="inlineStr">
        <is>
          <t>SCN</t>
        </is>
      </c>
      <c r="B1397" s="7" t="inlineStr">
        <is>
          <t>Procurement</t>
        </is>
      </c>
      <c r="D1397" s="7" t="inlineStr">
        <is>
          <t>FFG-Frigate - P-35 External Communication Suite (EXCOMM) - Major Hardware                                                                     2</t>
        </is>
      </c>
      <c r="E1397" s="13" t="inlineStr">
        <is>
          <t>[ALT_VIEW]</t>
        </is>
      </c>
      <c r="F1397" s="7" t="inlineStr">
        <is>
          <t>2128 / FFG-Frigate</t>
        </is>
      </c>
      <c r="G1397" s="7" t="inlineStr">
        <is>
          <t>P-35</t>
        </is>
      </c>
      <c r="I1397" s="14" t="n">
        <v>1</v>
      </c>
      <c r="J1397" s="7" t="inlineStr">
        <is>
          <t>Full ship DD&amp;C</t>
        </is>
      </c>
      <c r="K1397" s="13" t="inlineStr">
        <is>
          <t>USN</t>
        </is>
      </c>
      <c r="L1397" s="7" t="inlineStr">
        <is>
          <t>Combatant Ships</t>
        </is>
      </c>
      <c r="M1397" s="7" t="inlineStr">
        <is>
          <t>Surface Combatants</t>
        </is>
      </c>
      <c r="N1397" s="7" t="inlineStr">
        <is>
          <t>FFG</t>
        </is>
      </c>
      <c r="O1397" s="15" t="n"/>
      <c r="S1397" s="16" t="n">
        <v>15666</v>
      </c>
      <c r="U1397" s="16" t="n">
        <v>15666</v>
      </c>
      <c r="AC1397" s="23">
        <f>IF(OR(E1397="",E1397="[PARENT]"),"ADD",IF(E1397="[ALT_VIEW]","ALT",""))</f>
        <v/>
      </c>
      <c r="AD1397" s="21">
        <f>IF(Y1397&lt;&gt;"",Y1397,IF(U1397&lt;&gt;"",U1397,S1397))</f>
        <v/>
      </c>
      <c r="AE1397" s="21">
        <f>IF(AB1397&lt;&gt;"",AB1397,Z1397)</f>
        <v/>
      </c>
      <c r="AF1397" s="13" t="inlineStr">
        <is>
          <t>P-35 &gt; FFG-Frigate &gt; External Communication Suite (EXCOMM) &gt; Major Hardware                                                                     2</t>
        </is>
      </c>
      <c r="AG1397" s="7" t="inlineStr">
        <is>
          <t>288</t>
        </is>
      </c>
      <c r="AH1397" s="7" t="inlineStr">
        <is>
          <t>2128</t>
        </is>
      </c>
    </row>
    <row r="1398" ht="10" customHeight="1">
      <c r="A1398" s="7" t="inlineStr">
        <is>
          <t>SCN</t>
        </is>
      </c>
      <c r="B1398" s="7" t="inlineStr">
        <is>
          <t>Procurement</t>
        </is>
      </c>
      <c r="D1398" s="7" t="inlineStr">
        <is>
          <t>FFG-Frigate - P-35 External Communication Suite (EXCOMM) - System Engineering</t>
        </is>
      </c>
      <c r="E1398" s="13" t="inlineStr">
        <is>
          <t>[ALT_VIEW]</t>
        </is>
      </c>
      <c r="F1398" s="7" t="inlineStr">
        <is>
          <t>2128 / FFG-Frigate</t>
        </is>
      </c>
      <c r="G1398" s="7" t="inlineStr">
        <is>
          <t>P-35</t>
        </is>
      </c>
      <c r="I1398" s="14" t="n">
        <v>1</v>
      </c>
      <c r="J1398" s="7" t="inlineStr">
        <is>
          <t>Full ship DD&amp;C</t>
        </is>
      </c>
      <c r="K1398" s="13" t="inlineStr">
        <is>
          <t>USN</t>
        </is>
      </c>
      <c r="L1398" s="7" t="inlineStr">
        <is>
          <t>Combatant Ships</t>
        </is>
      </c>
      <c r="M1398" s="7" t="inlineStr">
        <is>
          <t>Surface Combatants</t>
        </is>
      </c>
      <c r="N1398" s="7" t="inlineStr">
        <is>
          <t>FFG</t>
        </is>
      </c>
      <c r="O1398" s="15" t="n"/>
      <c r="S1398" s="16" t="n">
        <v>327</v>
      </c>
      <c r="U1398" s="16" t="n">
        <v>327</v>
      </c>
      <c r="AC1398" s="23">
        <f>IF(OR(E1398="",E1398="[PARENT]"),"ADD",IF(E1398="[ALT_VIEW]","ALT",""))</f>
        <v/>
      </c>
      <c r="AD1398" s="21">
        <f>IF(Y1398&lt;&gt;"",Y1398,IF(U1398&lt;&gt;"",U1398,S1398))</f>
        <v/>
      </c>
      <c r="AE1398" s="21">
        <f>IF(AB1398&lt;&gt;"",AB1398,Z1398)</f>
        <v/>
      </c>
      <c r="AF1398" s="13" t="inlineStr">
        <is>
          <t>P-35 &gt; FFG-Frigate &gt; External Communication Suite (EXCOMM) &gt; System Engineering</t>
        </is>
      </c>
      <c r="AG1398" s="7" t="inlineStr">
        <is>
          <t>288</t>
        </is>
      </c>
      <c r="AH1398" s="7" t="inlineStr">
        <is>
          <t>2128</t>
        </is>
      </c>
    </row>
    <row r="1399" ht="10" customHeight="1">
      <c r="A1399" s="7" t="inlineStr">
        <is>
          <t>SCN</t>
        </is>
      </c>
      <c r="B1399" s="7" t="inlineStr">
        <is>
          <t>Procurement</t>
        </is>
      </c>
      <c r="D1399" s="7" t="inlineStr">
        <is>
          <t>FFG-Frigate - P-35 External Communication Suite (EXCOMM) - Technical Engineering Services</t>
        </is>
      </c>
      <c r="E1399" s="13" t="inlineStr">
        <is>
          <t>[ALT_VIEW]</t>
        </is>
      </c>
      <c r="F1399" s="7" t="inlineStr">
        <is>
          <t>2128 / FFG-Frigate</t>
        </is>
      </c>
      <c r="G1399" s="7" t="inlineStr">
        <is>
          <t>P-35</t>
        </is>
      </c>
      <c r="I1399" s="14" t="n">
        <v>1</v>
      </c>
      <c r="J1399" s="7" t="inlineStr">
        <is>
          <t>Full ship DD&amp;C</t>
        </is>
      </c>
      <c r="K1399" s="13" t="inlineStr">
        <is>
          <t>USN</t>
        </is>
      </c>
      <c r="L1399" s="7" t="inlineStr">
        <is>
          <t>Combatant Ships</t>
        </is>
      </c>
      <c r="M1399" s="7" t="inlineStr">
        <is>
          <t>Surface Combatants</t>
        </is>
      </c>
      <c r="N1399" s="7" t="inlineStr">
        <is>
          <t>FFG</t>
        </is>
      </c>
      <c r="O1399" s="15" t="n"/>
      <c r="S1399" s="16" t="n">
        <v>722</v>
      </c>
      <c r="U1399" s="16" t="n">
        <v>722</v>
      </c>
      <c r="AC1399" s="23">
        <f>IF(OR(E1399="",E1399="[PARENT]"),"ADD",IF(E1399="[ALT_VIEW]","ALT",""))</f>
        <v/>
      </c>
      <c r="AD1399" s="21">
        <f>IF(Y1399&lt;&gt;"",Y1399,IF(U1399&lt;&gt;"",U1399,S1399))</f>
        <v/>
      </c>
      <c r="AE1399" s="21">
        <f>IF(AB1399&lt;&gt;"",AB1399,Z1399)</f>
        <v/>
      </c>
      <c r="AF1399" s="13" t="inlineStr">
        <is>
          <t>P-35 &gt; FFG-Frigate &gt; External Communication Suite (EXCOMM) &gt; Technical Engineering Services</t>
        </is>
      </c>
      <c r="AG1399" s="7" t="inlineStr">
        <is>
          <t>288</t>
        </is>
      </c>
      <c r="AH1399" s="7" t="inlineStr">
        <is>
          <t>2128</t>
        </is>
      </c>
    </row>
    <row r="1400" ht="10" customHeight="1">
      <c r="A1400" s="7" t="inlineStr">
        <is>
          <t>SCN</t>
        </is>
      </c>
      <c r="B1400" s="7" t="inlineStr">
        <is>
          <t>Procurement</t>
        </is>
      </c>
      <c r="D1400" s="7" t="inlineStr">
        <is>
          <t>FFG-Frigate - P-35 External Communication Suite (EXCOMM) - Other Costs</t>
        </is>
      </c>
      <c r="E1400" s="13" t="inlineStr">
        <is>
          <t>[ALT_VIEW]</t>
        </is>
      </c>
      <c r="F1400" s="7" t="inlineStr">
        <is>
          <t>2128 / FFG-Frigate</t>
        </is>
      </c>
      <c r="G1400" s="7" t="inlineStr">
        <is>
          <t>P-35</t>
        </is>
      </c>
      <c r="I1400" s="14" t="n">
        <v>1</v>
      </c>
      <c r="J1400" s="7" t="inlineStr">
        <is>
          <t>Full ship DD&amp;C</t>
        </is>
      </c>
      <c r="K1400" s="13" t="inlineStr">
        <is>
          <t>USN</t>
        </is>
      </c>
      <c r="L1400" s="7" t="inlineStr">
        <is>
          <t>Combatant Ships</t>
        </is>
      </c>
      <c r="M1400" s="7" t="inlineStr">
        <is>
          <t>Surface Combatants</t>
        </is>
      </c>
      <c r="N1400" s="7" t="inlineStr">
        <is>
          <t>FFG</t>
        </is>
      </c>
      <c r="O1400" s="15" t="n"/>
      <c r="S1400" s="16" t="n">
        <v>482</v>
      </c>
      <c r="U1400" s="16" t="n">
        <v>482</v>
      </c>
      <c r="AC1400" s="23">
        <f>IF(OR(E1400="",E1400="[PARENT]"),"ADD",IF(E1400="[ALT_VIEW]","ALT",""))</f>
        <v/>
      </c>
      <c r="AD1400" s="21">
        <f>IF(Y1400&lt;&gt;"",Y1400,IF(U1400&lt;&gt;"",U1400,S1400))</f>
        <v/>
      </c>
      <c r="AE1400" s="21">
        <f>IF(AB1400&lt;&gt;"",AB1400,Z1400)</f>
        <v/>
      </c>
      <c r="AF1400" s="13" t="inlineStr">
        <is>
          <t>P-35 &gt; FFG-Frigate &gt; External Communication Suite (EXCOMM) &gt; Other Costs</t>
        </is>
      </c>
      <c r="AG1400" s="7" t="inlineStr">
        <is>
          <t>288</t>
        </is>
      </c>
      <c r="AH1400" s="7" t="inlineStr">
        <is>
          <t>2128</t>
        </is>
      </c>
    </row>
    <row r="1401" ht="10" customHeight="1">
      <c r="A1401" s="7" t="inlineStr">
        <is>
          <t>SCN</t>
        </is>
      </c>
      <c r="B1401" s="7" t="inlineStr">
        <is>
          <t>Procurement</t>
        </is>
      </c>
      <c r="D1401" s="7" t="inlineStr">
        <is>
          <t>FFG-Frigate - P-35 Navy Advanced Extremely High Frequency (AEHF) Multiband Terminal (NMT)(AN/WSC-9(V)1)) - Major Hardware                                                                           2</t>
        </is>
      </c>
      <c r="E1401" s="13" t="inlineStr">
        <is>
          <t>[ALT_VIEW]</t>
        </is>
      </c>
      <c r="F1401" s="7" t="inlineStr">
        <is>
          <t>2128 / FFG-Frigate</t>
        </is>
      </c>
      <c r="G1401" s="7" t="inlineStr">
        <is>
          <t>P-35</t>
        </is>
      </c>
      <c r="I1401" s="14" t="n">
        <v>1</v>
      </c>
      <c r="J1401" s="7" t="inlineStr">
        <is>
          <t>Full ship DD&amp;C</t>
        </is>
      </c>
      <c r="K1401" s="13" t="inlineStr">
        <is>
          <t>USN</t>
        </is>
      </c>
      <c r="L1401" s="7" t="inlineStr">
        <is>
          <t>Combatant Ships</t>
        </is>
      </c>
      <c r="M1401" s="7" t="inlineStr">
        <is>
          <t>Surface Combatants</t>
        </is>
      </c>
      <c r="N1401" s="7" t="inlineStr">
        <is>
          <t>FFG</t>
        </is>
      </c>
      <c r="O1401" s="15" t="n"/>
      <c r="S1401" s="16" t="n">
        <v>27829</v>
      </c>
      <c r="U1401" s="16" t="n">
        <v>27829</v>
      </c>
      <c r="AC1401" s="23">
        <f>IF(OR(E1401="",E1401="[PARENT]"),"ADD",IF(E1401="[ALT_VIEW]","ALT",""))</f>
        <v/>
      </c>
      <c r="AD1401" s="21">
        <f>IF(Y1401&lt;&gt;"",Y1401,IF(U1401&lt;&gt;"",U1401,S1401))</f>
        <v/>
      </c>
      <c r="AE1401" s="21">
        <f>IF(AB1401&lt;&gt;"",AB1401,Z1401)</f>
        <v/>
      </c>
      <c r="AF1401" s="13" t="inlineStr">
        <is>
          <t>P-35 &gt; FFG-Frigate &gt; Navy Advanced Extremely High Frequency (AEHF) Multiband Terminal (NMT)(AN/WSC-9(V)1)) &gt; Major Hardware                                                                           2</t>
        </is>
      </c>
      <c r="AG1401" s="7" t="inlineStr">
        <is>
          <t>289</t>
        </is>
      </c>
      <c r="AH1401" s="7" t="inlineStr">
        <is>
          <t>2128</t>
        </is>
      </c>
      <c r="AJ1401" s="7" t="inlineStr">
        <is>
          <t>Navy Advanced Extremely High Frequency (AEHF) Multiband Terminal (NMT)(AN/WSC-9(V)1))</t>
        </is>
      </c>
    </row>
    <row r="1402" ht="10" customHeight="1">
      <c r="A1402" s="7" t="inlineStr">
        <is>
          <t>SCN</t>
        </is>
      </c>
      <c r="B1402" s="7" t="inlineStr">
        <is>
          <t>Procurement</t>
        </is>
      </c>
      <c r="D1402" s="7" t="inlineStr">
        <is>
          <t>FFG-Frigate - P-35 Navy Advanced Extremely High Frequency (AEHF) Multiband Terminal (NMT)(AN/WSC-9(V)1)) - System Engineering</t>
        </is>
      </c>
      <c r="E1402" s="13" t="inlineStr">
        <is>
          <t>[ALT_VIEW]</t>
        </is>
      </c>
      <c r="F1402" s="7" t="inlineStr">
        <is>
          <t>2128 / FFG-Frigate</t>
        </is>
      </c>
      <c r="G1402" s="7" t="inlineStr">
        <is>
          <t>P-35</t>
        </is>
      </c>
      <c r="I1402" s="14" t="n">
        <v>1</v>
      </c>
      <c r="J1402" s="7" t="inlineStr">
        <is>
          <t>Full ship DD&amp;C</t>
        </is>
      </c>
      <c r="K1402" s="13" t="inlineStr">
        <is>
          <t>USN</t>
        </is>
      </c>
      <c r="L1402" s="7" t="inlineStr">
        <is>
          <t>Combatant Ships</t>
        </is>
      </c>
      <c r="M1402" s="7" t="inlineStr">
        <is>
          <t>Surface Combatants</t>
        </is>
      </c>
      <c r="N1402" s="7" t="inlineStr">
        <is>
          <t>FFG</t>
        </is>
      </c>
      <c r="O1402" s="15" t="n"/>
      <c r="S1402" s="16" t="n">
        <v>182</v>
      </c>
      <c r="U1402" s="16" t="n">
        <v>182</v>
      </c>
      <c r="AC1402" s="23">
        <f>IF(OR(E1402="",E1402="[PARENT]"),"ADD",IF(E1402="[ALT_VIEW]","ALT",""))</f>
        <v/>
      </c>
      <c r="AD1402" s="21">
        <f>IF(Y1402&lt;&gt;"",Y1402,IF(U1402&lt;&gt;"",U1402,S1402))</f>
        <v/>
      </c>
      <c r="AE1402" s="21">
        <f>IF(AB1402&lt;&gt;"",AB1402,Z1402)</f>
        <v/>
      </c>
      <c r="AF1402" s="13" t="inlineStr">
        <is>
          <t>P-35 &gt; FFG-Frigate &gt; Navy Advanced Extremely High Frequency (AEHF) Multiband Terminal (NMT)(AN/WSC-9(V)1)) &gt; System Engineering</t>
        </is>
      </c>
      <c r="AG1402" s="7" t="inlineStr">
        <is>
          <t>289</t>
        </is>
      </c>
      <c r="AH1402" s="7" t="inlineStr">
        <is>
          <t>2128</t>
        </is>
      </c>
    </row>
    <row r="1403" ht="10" customHeight="1">
      <c r="A1403" s="7" t="inlineStr">
        <is>
          <t>SCN</t>
        </is>
      </c>
      <c r="B1403" s="7" t="inlineStr">
        <is>
          <t>Procurement</t>
        </is>
      </c>
      <c r="D1403" s="7" t="inlineStr">
        <is>
          <t>FFG-Frigate - P-35 Navy Advanced Extremely High Frequency (AEHF) Multiband Terminal (NMT)(AN/WSC-9(V)1)) - Technical Engineering Services</t>
        </is>
      </c>
      <c r="E1403" s="13" t="inlineStr">
        <is>
          <t>[ALT_VIEW]</t>
        </is>
      </c>
      <c r="F1403" s="7" t="inlineStr">
        <is>
          <t>2128 / FFG-Frigate</t>
        </is>
      </c>
      <c r="G1403" s="7" t="inlineStr">
        <is>
          <t>P-35</t>
        </is>
      </c>
      <c r="I1403" s="14" t="n">
        <v>1</v>
      </c>
      <c r="J1403" s="7" t="inlineStr">
        <is>
          <t>Full ship DD&amp;C</t>
        </is>
      </c>
      <c r="K1403" s="13" t="inlineStr">
        <is>
          <t>USN</t>
        </is>
      </c>
      <c r="L1403" s="7" t="inlineStr">
        <is>
          <t>Combatant Ships</t>
        </is>
      </c>
      <c r="M1403" s="7" t="inlineStr">
        <is>
          <t>Surface Combatants</t>
        </is>
      </c>
      <c r="N1403" s="7" t="inlineStr">
        <is>
          <t>FFG</t>
        </is>
      </c>
      <c r="O1403" s="15" t="n"/>
      <c r="S1403" s="16" t="n">
        <v>880</v>
      </c>
      <c r="U1403" s="16" t="n">
        <v>880</v>
      </c>
      <c r="AC1403" s="23">
        <f>IF(OR(E1403="",E1403="[PARENT]"),"ADD",IF(E1403="[ALT_VIEW]","ALT",""))</f>
        <v/>
      </c>
      <c r="AD1403" s="21">
        <f>IF(Y1403&lt;&gt;"",Y1403,IF(U1403&lt;&gt;"",U1403,S1403))</f>
        <v/>
      </c>
      <c r="AE1403" s="21">
        <f>IF(AB1403&lt;&gt;"",AB1403,Z1403)</f>
        <v/>
      </c>
      <c r="AF1403" s="13" t="inlineStr">
        <is>
          <t>P-35 &gt; FFG-Frigate &gt; Navy Advanced Extremely High Frequency (AEHF) Multiband Terminal (NMT)(AN/WSC-9(V)1)) &gt; Technical Engineering Services</t>
        </is>
      </c>
      <c r="AG1403" s="7" t="inlineStr">
        <is>
          <t>289</t>
        </is>
      </c>
      <c r="AH1403" s="7" t="inlineStr">
        <is>
          <t>2128</t>
        </is>
      </c>
    </row>
    <row r="1404" ht="10" customHeight="1">
      <c r="A1404" s="7" t="inlineStr">
        <is>
          <t>SCN</t>
        </is>
      </c>
      <c r="B1404" s="7" t="inlineStr">
        <is>
          <t>Procurement</t>
        </is>
      </c>
      <c r="D1404" s="7" t="inlineStr">
        <is>
          <t>FFG-Frigate - P-35 Navy Advanced Extremely High Frequency (AEHF) Multiband Terminal (NMT)(AN/WSC-9(V)1)) - Other Costs</t>
        </is>
      </c>
      <c r="E1404" s="13" t="inlineStr">
        <is>
          <t>[ALT_VIEW]</t>
        </is>
      </c>
      <c r="F1404" s="7" t="inlineStr">
        <is>
          <t>2128 / FFG-Frigate</t>
        </is>
      </c>
      <c r="G1404" s="7" t="inlineStr">
        <is>
          <t>P-35</t>
        </is>
      </c>
      <c r="I1404" s="14" t="n">
        <v>1</v>
      </c>
      <c r="J1404" s="7" t="inlineStr">
        <is>
          <t>Full ship DD&amp;C</t>
        </is>
      </c>
      <c r="K1404" s="13" t="inlineStr">
        <is>
          <t>USN</t>
        </is>
      </c>
      <c r="L1404" s="7" t="inlineStr">
        <is>
          <t>Combatant Ships</t>
        </is>
      </c>
      <c r="M1404" s="7" t="inlineStr">
        <is>
          <t>Surface Combatants</t>
        </is>
      </c>
      <c r="N1404" s="7" t="inlineStr">
        <is>
          <t>FFG</t>
        </is>
      </c>
      <c r="O1404" s="15" t="n"/>
      <c r="S1404" s="16" t="n">
        <v>1457</v>
      </c>
      <c r="U1404" s="16" t="n">
        <v>1457</v>
      </c>
      <c r="AC1404" s="23">
        <f>IF(OR(E1404="",E1404="[PARENT]"),"ADD",IF(E1404="[ALT_VIEW]","ALT",""))</f>
        <v/>
      </c>
      <c r="AD1404" s="21">
        <f>IF(Y1404&lt;&gt;"",Y1404,IF(U1404&lt;&gt;"",U1404,S1404))</f>
        <v/>
      </c>
      <c r="AE1404" s="21">
        <f>IF(AB1404&lt;&gt;"",AB1404,Z1404)</f>
        <v/>
      </c>
      <c r="AF1404" s="13" t="inlineStr">
        <is>
          <t>P-35 &gt; FFG-Frigate &gt; Navy Advanced Extremely High Frequency (AEHF) Multiband Terminal (NMT)(AN/WSC-9(V)1)) &gt; Other Costs</t>
        </is>
      </c>
      <c r="AG1404" s="7" t="inlineStr">
        <is>
          <t>289</t>
        </is>
      </c>
      <c r="AH1404" s="7" t="inlineStr">
        <is>
          <t>2128</t>
        </is>
      </c>
      <c r="AJ1404" s="7" t="inlineStr">
        <is>
          <t>Navy Advanced Extremely High Frequency (AEHF) Multiband Terminal (NMT)(AN/WSC-9(V)1)) [FFG 66]</t>
        </is>
      </c>
    </row>
    <row r="1405" ht="10" customHeight="1">
      <c r="A1405" s="7" t="inlineStr">
        <is>
          <t>SCN</t>
        </is>
      </c>
      <c r="B1405" s="7" t="inlineStr">
        <is>
          <t>Procurement</t>
        </is>
      </c>
      <c r="D1405" s="7" t="inlineStr">
        <is>
          <t>FFG-Frigate - P-35 Consolidated Afloat Network Enterprise System (CANES) - Major Hardware                                                                         2</t>
        </is>
      </c>
      <c r="E1405" s="13" t="inlineStr">
        <is>
          <t>[ALT_VIEW]</t>
        </is>
      </c>
      <c r="F1405" s="7" t="inlineStr">
        <is>
          <t>2128 / FFG-Frigate</t>
        </is>
      </c>
      <c r="G1405" s="7" t="inlineStr">
        <is>
          <t>P-35</t>
        </is>
      </c>
      <c r="I1405" s="14" t="n">
        <v>1</v>
      </c>
      <c r="J1405" s="7" t="inlineStr">
        <is>
          <t>Full ship DD&amp;C</t>
        </is>
      </c>
      <c r="K1405" s="13" t="inlineStr">
        <is>
          <t>USN</t>
        </is>
      </c>
      <c r="L1405" s="7" t="inlineStr">
        <is>
          <t>Combatant Ships</t>
        </is>
      </c>
      <c r="M1405" s="7" t="inlineStr">
        <is>
          <t>Surface Combatants</t>
        </is>
      </c>
      <c r="N1405" s="7" t="inlineStr">
        <is>
          <t>FFG</t>
        </is>
      </c>
      <c r="O1405" s="15" t="n"/>
      <c r="S1405" s="16" t="n">
        <v>13438</v>
      </c>
      <c r="U1405" s="16" t="n">
        <v>13438</v>
      </c>
      <c r="AC1405" s="23">
        <f>IF(OR(E1405="",E1405="[PARENT]"),"ADD",IF(E1405="[ALT_VIEW]","ALT",""))</f>
        <v/>
      </c>
      <c r="AD1405" s="21">
        <f>IF(Y1405&lt;&gt;"",Y1405,IF(U1405&lt;&gt;"",U1405,S1405))</f>
        <v/>
      </c>
      <c r="AE1405" s="21">
        <f>IF(AB1405&lt;&gt;"",AB1405,Z1405)</f>
        <v/>
      </c>
      <c r="AF1405" s="13" t="inlineStr">
        <is>
          <t>P-35 &gt; FFG-Frigate &gt; Consolidated Afloat Network Enterprise System (CANES) &gt; Major Hardware                                                                         2</t>
        </is>
      </c>
      <c r="AG1405" s="7" t="inlineStr">
        <is>
          <t>290</t>
        </is>
      </c>
      <c r="AH1405" s="7" t="inlineStr">
        <is>
          <t>2128</t>
        </is>
      </c>
      <c r="AJ1405" s="7" t="inlineStr">
        <is>
          <t>Consolidated Afloat Network Enterprise System (CANES)</t>
        </is>
      </c>
    </row>
    <row r="1406" ht="10" customHeight="1">
      <c r="A1406" s="7" t="inlineStr">
        <is>
          <t>SCN</t>
        </is>
      </c>
      <c r="B1406" s="7" t="inlineStr">
        <is>
          <t>Procurement</t>
        </is>
      </c>
      <c r="D1406" s="7" t="inlineStr">
        <is>
          <t>FFG-Frigate - P-35 Consolidated Afloat Network Enterprise System (CANES) - System Engineering</t>
        </is>
      </c>
      <c r="E1406" s="13" t="inlineStr">
        <is>
          <t>[ALT_VIEW]</t>
        </is>
      </c>
      <c r="F1406" s="7" t="inlineStr">
        <is>
          <t>2128 / FFG-Frigate</t>
        </is>
      </c>
      <c r="G1406" s="7" t="inlineStr">
        <is>
          <t>P-35</t>
        </is>
      </c>
      <c r="I1406" s="14" t="n">
        <v>1</v>
      </c>
      <c r="J1406" s="7" t="inlineStr">
        <is>
          <t>Full ship DD&amp;C</t>
        </is>
      </c>
      <c r="K1406" s="13" t="inlineStr">
        <is>
          <t>USN</t>
        </is>
      </c>
      <c r="L1406" s="7" t="inlineStr">
        <is>
          <t>Combatant Ships</t>
        </is>
      </c>
      <c r="M1406" s="7" t="inlineStr">
        <is>
          <t>Surface Combatants</t>
        </is>
      </c>
      <c r="N1406" s="7" t="inlineStr">
        <is>
          <t>FFG</t>
        </is>
      </c>
      <c r="O1406" s="15" t="n"/>
      <c r="S1406" s="16" t="n">
        <v>4510</v>
      </c>
      <c r="U1406" s="16" t="n">
        <v>4510</v>
      </c>
      <c r="AC1406" s="23">
        <f>IF(OR(E1406="",E1406="[PARENT]"),"ADD",IF(E1406="[ALT_VIEW]","ALT",""))</f>
        <v/>
      </c>
      <c r="AD1406" s="21">
        <f>IF(Y1406&lt;&gt;"",Y1406,IF(U1406&lt;&gt;"",U1406,S1406))</f>
        <v/>
      </c>
      <c r="AE1406" s="21">
        <f>IF(AB1406&lt;&gt;"",AB1406,Z1406)</f>
        <v/>
      </c>
      <c r="AF1406" s="13" t="inlineStr">
        <is>
          <t>P-35 &gt; FFG-Frigate &gt; Consolidated Afloat Network Enterprise System (CANES) &gt; System Engineering</t>
        </is>
      </c>
      <c r="AG1406" s="7" t="inlineStr">
        <is>
          <t>290</t>
        </is>
      </c>
      <c r="AH1406" s="7" t="inlineStr">
        <is>
          <t>2128</t>
        </is>
      </c>
    </row>
    <row r="1407" ht="10" customHeight="1">
      <c r="A1407" s="7" t="inlineStr">
        <is>
          <t>SCN</t>
        </is>
      </c>
      <c r="B1407" s="7" t="inlineStr">
        <is>
          <t>Procurement</t>
        </is>
      </c>
      <c r="D1407" s="7" t="inlineStr">
        <is>
          <t>FFG-Frigate - P-35 Consolidated Afloat Network Enterprise System (CANES) - Technical Engineering Services</t>
        </is>
      </c>
      <c r="E1407" s="13" t="inlineStr">
        <is>
          <t>[ALT_VIEW]</t>
        </is>
      </c>
      <c r="F1407" s="7" t="inlineStr">
        <is>
          <t>2128 / FFG-Frigate</t>
        </is>
      </c>
      <c r="G1407" s="7" t="inlineStr">
        <is>
          <t>P-35</t>
        </is>
      </c>
      <c r="I1407" s="14" t="n">
        <v>1</v>
      </c>
      <c r="J1407" s="7" t="inlineStr">
        <is>
          <t>Full ship DD&amp;C</t>
        </is>
      </c>
      <c r="K1407" s="13" t="inlineStr">
        <is>
          <t>USN</t>
        </is>
      </c>
      <c r="L1407" s="7" t="inlineStr">
        <is>
          <t>Combatant Ships</t>
        </is>
      </c>
      <c r="M1407" s="7" t="inlineStr">
        <is>
          <t>Surface Combatants</t>
        </is>
      </c>
      <c r="N1407" s="7" t="inlineStr">
        <is>
          <t>FFG</t>
        </is>
      </c>
      <c r="O1407" s="15" t="n"/>
      <c r="S1407" s="16" t="n">
        <v>582</v>
      </c>
      <c r="U1407" s="16" t="n">
        <v>582</v>
      </c>
      <c r="AC1407" s="23">
        <f>IF(OR(E1407="",E1407="[PARENT]"),"ADD",IF(E1407="[ALT_VIEW]","ALT",""))</f>
        <v/>
      </c>
      <c r="AD1407" s="21">
        <f>IF(Y1407&lt;&gt;"",Y1407,IF(U1407&lt;&gt;"",U1407,S1407))</f>
        <v/>
      </c>
      <c r="AE1407" s="21">
        <f>IF(AB1407&lt;&gt;"",AB1407,Z1407)</f>
        <v/>
      </c>
      <c r="AF1407" s="13" t="inlineStr">
        <is>
          <t>P-35 &gt; FFG-Frigate &gt; Consolidated Afloat Network Enterprise System (CANES) &gt; Technical Engineering Services</t>
        </is>
      </c>
      <c r="AG1407" s="7" t="inlineStr">
        <is>
          <t>290</t>
        </is>
      </c>
      <c r="AH1407" s="7" t="inlineStr">
        <is>
          <t>2128</t>
        </is>
      </c>
    </row>
    <row r="1408" ht="10" customHeight="1">
      <c r="A1408" s="7" t="inlineStr">
        <is>
          <t>SCN</t>
        </is>
      </c>
      <c r="B1408" s="7" t="inlineStr">
        <is>
          <t>Procurement</t>
        </is>
      </c>
      <c r="D1408" s="7" t="inlineStr">
        <is>
          <t>FFG-Frigate - P-35 Consolidated Afloat Network Enterprise System (CANES) - Other Costs</t>
        </is>
      </c>
      <c r="E1408" s="13" t="inlineStr">
        <is>
          <t>[ALT_VIEW]</t>
        </is>
      </c>
      <c r="F1408" s="7" t="inlineStr">
        <is>
          <t>2128 / FFG-Frigate</t>
        </is>
      </c>
      <c r="G1408" s="7" t="inlineStr">
        <is>
          <t>P-35</t>
        </is>
      </c>
      <c r="I1408" s="14" t="n">
        <v>1</v>
      </c>
      <c r="J1408" s="7" t="inlineStr">
        <is>
          <t>Full ship DD&amp;C</t>
        </is>
      </c>
      <c r="K1408" s="13" t="inlineStr">
        <is>
          <t>USN</t>
        </is>
      </c>
      <c r="L1408" s="7" t="inlineStr">
        <is>
          <t>Combatant Ships</t>
        </is>
      </c>
      <c r="M1408" s="7" t="inlineStr">
        <is>
          <t>Surface Combatants</t>
        </is>
      </c>
      <c r="N1408" s="7" t="inlineStr">
        <is>
          <t>FFG</t>
        </is>
      </c>
      <c r="O1408" s="15" t="n"/>
      <c r="S1408" s="16" t="n">
        <v>263</v>
      </c>
      <c r="U1408" s="16" t="n">
        <v>263</v>
      </c>
      <c r="AC1408" s="23">
        <f>IF(OR(E1408="",E1408="[PARENT]"),"ADD",IF(E1408="[ALT_VIEW]","ALT",""))</f>
        <v/>
      </c>
      <c r="AD1408" s="21">
        <f>IF(Y1408&lt;&gt;"",Y1408,IF(U1408&lt;&gt;"",U1408,S1408))</f>
        <v/>
      </c>
      <c r="AE1408" s="21">
        <f>IF(AB1408&lt;&gt;"",AB1408,Z1408)</f>
        <v/>
      </c>
      <c r="AF1408" s="13" t="inlineStr">
        <is>
          <t>P-35 &gt; FFG-Frigate &gt; Consolidated Afloat Network Enterprise System (CANES) &gt; Other Costs</t>
        </is>
      </c>
      <c r="AG1408" s="7" t="inlineStr">
        <is>
          <t>290</t>
        </is>
      </c>
      <c r="AH1408" s="7" t="inlineStr">
        <is>
          <t>2128</t>
        </is>
      </c>
    </row>
    <row r="1409" ht="10" customHeight="1">
      <c r="A1409" s="7" t="inlineStr">
        <is>
          <t>SCN</t>
        </is>
      </c>
      <c r="B1409" s="7" t="inlineStr">
        <is>
          <t>Procurement</t>
        </is>
      </c>
      <c r="D1409" s="7" t="inlineStr">
        <is>
          <t>FFG-Frigate - P-35 Network Tactical Common Data Link (NTCDL) Variant B - Major Hardware                                                                        2</t>
        </is>
      </c>
      <c r="E1409" s="13" t="inlineStr">
        <is>
          <t>[ALT_VIEW]</t>
        </is>
      </c>
      <c r="F1409" s="7" t="inlineStr">
        <is>
          <t>2128 / FFG-Frigate</t>
        </is>
      </c>
      <c r="G1409" s="7" t="inlineStr">
        <is>
          <t>P-35</t>
        </is>
      </c>
      <c r="I1409" s="14" t="n">
        <v>1</v>
      </c>
      <c r="J1409" s="7" t="inlineStr">
        <is>
          <t>Full ship DD&amp;C</t>
        </is>
      </c>
      <c r="K1409" s="13" t="inlineStr">
        <is>
          <t>USN</t>
        </is>
      </c>
      <c r="L1409" s="7" t="inlineStr">
        <is>
          <t>Combatant Ships</t>
        </is>
      </c>
      <c r="M1409" s="7" t="inlineStr">
        <is>
          <t>Surface Combatants</t>
        </is>
      </c>
      <c r="N1409" s="7" t="inlineStr">
        <is>
          <t>FFG</t>
        </is>
      </c>
      <c r="O1409" s="15" t="n"/>
      <c r="S1409" s="16" t="n">
        <v>22252</v>
      </c>
      <c r="U1409" s="16" t="n">
        <v>22252</v>
      </c>
      <c r="AC1409" s="23">
        <f>IF(OR(E1409="",E1409="[PARENT]"),"ADD",IF(E1409="[ALT_VIEW]","ALT",""))</f>
        <v/>
      </c>
      <c r="AD1409" s="21">
        <f>IF(Y1409&lt;&gt;"",Y1409,IF(U1409&lt;&gt;"",U1409,S1409))</f>
        <v/>
      </c>
      <c r="AE1409" s="21">
        <f>IF(AB1409&lt;&gt;"",AB1409,Z1409)</f>
        <v/>
      </c>
      <c r="AF1409" s="13" t="inlineStr">
        <is>
          <t>P-35 &gt; FFG-Frigate &gt; Network Tactical Common Data Link (NTCDL) Variant B &gt; Major Hardware                                                                        2</t>
        </is>
      </c>
      <c r="AG1409" s="7" t="inlineStr">
        <is>
          <t>291</t>
        </is>
      </c>
      <c r="AH1409" s="7" t="inlineStr">
        <is>
          <t>2128</t>
        </is>
      </c>
      <c r="AJ1409" s="7" t="inlineStr">
        <is>
          <t>Network Tactical Common Data Link (NTCDL) Variant B</t>
        </is>
      </c>
    </row>
    <row r="1410" ht="10" customHeight="1">
      <c r="A1410" s="7" t="inlineStr">
        <is>
          <t>SCN</t>
        </is>
      </c>
      <c r="B1410" s="7" t="inlineStr">
        <is>
          <t>Procurement</t>
        </is>
      </c>
      <c r="D1410" s="7" t="inlineStr">
        <is>
          <t>FFG-Frigate - P-35 Network Tactical Common Data Link (NTCDL) Variant B - System Engineering</t>
        </is>
      </c>
      <c r="E1410" s="13" t="inlineStr">
        <is>
          <t>[ALT_VIEW]</t>
        </is>
      </c>
      <c r="F1410" s="7" t="inlineStr">
        <is>
          <t>2128 / FFG-Frigate</t>
        </is>
      </c>
      <c r="G1410" s="7" t="inlineStr">
        <is>
          <t>P-35</t>
        </is>
      </c>
      <c r="I1410" s="14" t="n">
        <v>1</v>
      </c>
      <c r="J1410" s="7" t="inlineStr">
        <is>
          <t>Full ship DD&amp;C</t>
        </is>
      </c>
      <c r="K1410" s="13" t="inlineStr">
        <is>
          <t>USN</t>
        </is>
      </c>
      <c r="L1410" s="7" t="inlineStr">
        <is>
          <t>Combatant Ships</t>
        </is>
      </c>
      <c r="M1410" s="7" t="inlineStr">
        <is>
          <t>Surface Combatants</t>
        </is>
      </c>
      <c r="N1410" s="7" t="inlineStr">
        <is>
          <t>FFG</t>
        </is>
      </c>
      <c r="O1410" s="15" t="n"/>
      <c r="S1410" s="16" t="n">
        <v>575</v>
      </c>
      <c r="U1410" s="16" t="n">
        <v>575</v>
      </c>
      <c r="AC1410" s="23">
        <f>IF(OR(E1410="",E1410="[PARENT]"),"ADD",IF(E1410="[ALT_VIEW]","ALT",""))</f>
        <v/>
      </c>
      <c r="AD1410" s="21">
        <f>IF(Y1410&lt;&gt;"",Y1410,IF(U1410&lt;&gt;"",U1410,S1410))</f>
        <v/>
      </c>
      <c r="AE1410" s="21">
        <f>IF(AB1410&lt;&gt;"",AB1410,Z1410)</f>
        <v/>
      </c>
      <c r="AF1410" s="13" t="inlineStr">
        <is>
          <t>P-35 &gt; FFG-Frigate &gt; Network Tactical Common Data Link (NTCDL) Variant B &gt; System Engineering</t>
        </is>
      </c>
      <c r="AG1410" s="7" t="inlineStr">
        <is>
          <t>291</t>
        </is>
      </c>
      <c r="AH1410" s="7" t="inlineStr">
        <is>
          <t>2128</t>
        </is>
      </c>
    </row>
    <row r="1411" ht="10" customHeight="1">
      <c r="A1411" s="7" t="inlineStr">
        <is>
          <t>SCN</t>
        </is>
      </c>
      <c r="B1411" s="7" t="inlineStr">
        <is>
          <t>Procurement</t>
        </is>
      </c>
      <c r="D1411" s="7" t="inlineStr">
        <is>
          <t>FFG-Frigate - P-35 Network Tactical Common Data Link (NTCDL) Variant B - Technical Engineering Services</t>
        </is>
      </c>
      <c r="E1411" s="13" t="inlineStr">
        <is>
          <t>[ALT_VIEW]</t>
        </is>
      </c>
      <c r="F1411" s="7" t="inlineStr">
        <is>
          <t>2128 / FFG-Frigate</t>
        </is>
      </c>
      <c r="G1411" s="7" t="inlineStr">
        <is>
          <t>P-35</t>
        </is>
      </c>
      <c r="I1411" s="14" t="n">
        <v>1</v>
      </c>
      <c r="J1411" s="7" t="inlineStr">
        <is>
          <t>Full ship DD&amp;C</t>
        </is>
      </c>
      <c r="K1411" s="13" t="inlineStr">
        <is>
          <t>USN</t>
        </is>
      </c>
      <c r="L1411" s="7" t="inlineStr">
        <is>
          <t>Combatant Ships</t>
        </is>
      </c>
      <c r="M1411" s="7" t="inlineStr">
        <is>
          <t>Surface Combatants</t>
        </is>
      </c>
      <c r="N1411" s="7" t="inlineStr">
        <is>
          <t>FFG</t>
        </is>
      </c>
      <c r="O1411" s="15" t="n"/>
      <c r="S1411" s="16" t="n">
        <v>431</v>
      </c>
      <c r="U1411" s="16" t="n">
        <v>431</v>
      </c>
      <c r="AC1411" s="23">
        <f>IF(OR(E1411="",E1411="[PARENT]"),"ADD",IF(E1411="[ALT_VIEW]","ALT",""))</f>
        <v/>
      </c>
      <c r="AD1411" s="21">
        <f>IF(Y1411&lt;&gt;"",Y1411,IF(U1411&lt;&gt;"",U1411,S1411))</f>
        <v/>
      </c>
      <c r="AE1411" s="21">
        <f>IF(AB1411&lt;&gt;"",AB1411,Z1411)</f>
        <v/>
      </c>
      <c r="AF1411" s="13" t="inlineStr">
        <is>
          <t>P-35 &gt; FFG-Frigate &gt; Network Tactical Common Data Link (NTCDL) Variant B &gt; Technical Engineering Services</t>
        </is>
      </c>
      <c r="AG1411" s="7" t="inlineStr">
        <is>
          <t>291</t>
        </is>
      </c>
      <c r="AH1411" s="7" t="inlineStr">
        <is>
          <t>2128</t>
        </is>
      </c>
    </row>
    <row r="1412" ht="10" customHeight="1">
      <c r="A1412" s="7" t="inlineStr">
        <is>
          <t>SCN</t>
        </is>
      </c>
      <c r="B1412" s="7" t="inlineStr">
        <is>
          <t>Procurement</t>
        </is>
      </c>
      <c r="D1412" s="7" t="inlineStr">
        <is>
          <t>FFG-Frigate - P-35 Network Tactical Common Data Link (NTCDL) Variant B - Other Costs</t>
        </is>
      </c>
      <c r="E1412" s="13" t="inlineStr">
        <is>
          <t>[ALT_VIEW]</t>
        </is>
      </c>
      <c r="F1412" s="7" t="inlineStr">
        <is>
          <t>2128 / FFG-Frigate</t>
        </is>
      </c>
      <c r="G1412" s="7" t="inlineStr">
        <is>
          <t>P-35</t>
        </is>
      </c>
      <c r="I1412" s="14" t="n">
        <v>1</v>
      </c>
      <c r="J1412" s="7" t="inlineStr">
        <is>
          <t>Full ship DD&amp;C</t>
        </is>
      </c>
      <c r="K1412" s="13" t="inlineStr">
        <is>
          <t>USN</t>
        </is>
      </c>
      <c r="L1412" s="7" t="inlineStr">
        <is>
          <t>Combatant Ships</t>
        </is>
      </c>
      <c r="M1412" s="7" t="inlineStr">
        <is>
          <t>Surface Combatants</t>
        </is>
      </c>
      <c r="N1412" s="7" t="inlineStr">
        <is>
          <t>FFG</t>
        </is>
      </c>
      <c r="O1412" s="15" t="n"/>
      <c r="S1412" s="16" t="n">
        <v>695</v>
      </c>
      <c r="U1412" s="16" t="n">
        <v>695</v>
      </c>
      <c r="AC1412" s="23">
        <f>IF(OR(E1412="",E1412="[PARENT]"),"ADD",IF(E1412="[ALT_VIEW]","ALT",""))</f>
        <v/>
      </c>
      <c r="AD1412" s="21">
        <f>IF(Y1412&lt;&gt;"",Y1412,IF(U1412&lt;&gt;"",U1412,S1412))</f>
        <v/>
      </c>
      <c r="AE1412" s="21">
        <f>IF(AB1412&lt;&gt;"",AB1412,Z1412)</f>
        <v/>
      </c>
      <c r="AF1412" s="13" t="inlineStr">
        <is>
          <t>P-35 &gt; FFG-Frigate &gt; Network Tactical Common Data Link (NTCDL) Variant B &gt; Other Costs</t>
        </is>
      </c>
      <c r="AG1412" s="7" t="inlineStr">
        <is>
          <t>291</t>
        </is>
      </c>
      <c r="AH1412" s="7" t="inlineStr">
        <is>
          <t>2128</t>
        </is>
      </c>
    </row>
    <row r="1413" ht="10" customHeight="1">
      <c r="A1413" s="7" t="inlineStr">
        <is>
          <t>SCN</t>
        </is>
      </c>
      <c r="B1413" s="7" t="inlineStr">
        <is>
          <t>Procurement</t>
        </is>
      </c>
      <c r="D1413" s="7" t="inlineStr">
        <is>
          <t>FFG-Frigate - P-35 Inertial Navigation System (INS) AN/WSN-7(V)1 - Major Hardware                                                                     2</t>
        </is>
      </c>
      <c r="E1413" s="13" t="inlineStr">
        <is>
          <t>[ALT_VIEW]</t>
        </is>
      </c>
      <c r="F1413" s="7" t="inlineStr">
        <is>
          <t>2128 / FFG-Frigate</t>
        </is>
      </c>
      <c r="G1413" s="7" t="inlineStr">
        <is>
          <t>P-35</t>
        </is>
      </c>
      <c r="I1413" s="14" t="n">
        <v>1</v>
      </c>
      <c r="J1413" s="7" t="inlineStr">
        <is>
          <t>Full ship DD&amp;C</t>
        </is>
      </c>
      <c r="K1413" s="13" t="inlineStr">
        <is>
          <t>USN</t>
        </is>
      </c>
      <c r="L1413" s="7" t="inlineStr">
        <is>
          <t>Combatant Ships</t>
        </is>
      </c>
      <c r="M1413" s="7" t="inlineStr">
        <is>
          <t>Surface Combatants</t>
        </is>
      </c>
      <c r="N1413" s="7" t="inlineStr">
        <is>
          <t>FFG</t>
        </is>
      </c>
      <c r="O1413" s="15" t="n"/>
      <c r="S1413" s="16" t="n">
        <v>9531</v>
      </c>
      <c r="U1413" s="16" t="n">
        <v>9531</v>
      </c>
      <c r="AC1413" s="23">
        <f>IF(OR(E1413="",E1413="[PARENT]"),"ADD",IF(E1413="[ALT_VIEW]","ALT",""))</f>
        <v/>
      </c>
      <c r="AD1413" s="21">
        <f>IF(Y1413&lt;&gt;"",Y1413,IF(U1413&lt;&gt;"",U1413,S1413))</f>
        <v/>
      </c>
      <c r="AE1413" s="21">
        <f>IF(AB1413&lt;&gt;"",AB1413,Z1413)</f>
        <v/>
      </c>
      <c r="AF1413" s="13" t="inlineStr">
        <is>
          <t>P-35 &gt; FFG-Frigate &gt; Inertial Navigation System (INS) AN/WSN-7(V)1 &gt; Major Hardware                                                                     2</t>
        </is>
      </c>
      <c r="AG1413" s="7" t="inlineStr">
        <is>
          <t>292</t>
        </is>
      </c>
      <c r="AH1413" s="7" t="inlineStr">
        <is>
          <t>2128</t>
        </is>
      </c>
      <c r="AJ1413" s="7" t="inlineStr">
        <is>
          <t>Inertial Navigation System (INS) AN/WSN-7(V)1</t>
        </is>
      </c>
    </row>
    <row r="1414" ht="10" customHeight="1">
      <c r="A1414" s="7" t="inlineStr">
        <is>
          <t>SCN</t>
        </is>
      </c>
      <c r="B1414" s="7" t="inlineStr">
        <is>
          <t>Procurement</t>
        </is>
      </c>
      <c r="D1414" s="7" t="inlineStr">
        <is>
          <t>FFG-Frigate - P-35 Inertial Navigation System (INS) AN/WSN-7(V)1 - System Engineering</t>
        </is>
      </c>
      <c r="E1414" s="13" t="inlineStr">
        <is>
          <t>[ALT_VIEW]</t>
        </is>
      </c>
      <c r="F1414" s="7" t="inlineStr">
        <is>
          <t>2128 / FFG-Frigate</t>
        </is>
      </c>
      <c r="G1414" s="7" t="inlineStr">
        <is>
          <t>P-35</t>
        </is>
      </c>
      <c r="I1414" s="14" t="n">
        <v>1</v>
      </c>
      <c r="J1414" s="7" t="inlineStr">
        <is>
          <t>Full ship DD&amp;C</t>
        </is>
      </c>
      <c r="K1414" s="13" t="inlineStr">
        <is>
          <t>USN</t>
        </is>
      </c>
      <c r="L1414" s="7" t="inlineStr">
        <is>
          <t>Combatant Ships</t>
        </is>
      </c>
      <c r="M1414" s="7" t="inlineStr">
        <is>
          <t>Surface Combatants</t>
        </is>
      </c>
      <c r="N1414" s="7" t="inlineStr">
        <is>
          <t>FFG</t>
        </is>
      </c>
      <c r="O1414" s="15" t="n"/>
      <c r="S1414" s="16" t="n">
        <v>232</v>
      </c>
      <c r="U1414" s="16" t="n">
        <v>232</v>
      </c>
      <c r="AC1414" s="23">
        <f>IF(OR(E1414="",E1414="[PARENT]"),"ADD",IF(E1414="[ALT_VIEW]","ALT",""))</f>
        <v/>
      </c>
      <c r="AD1414" s="21">
        <f>IF(Y1414&lt;&gt;"",Y1414,IF(U1414&lt;&gt;"",U1414,S1414))</f>
        <v/>
      </c>
      <c r="AE1414" s="21">
        <f>IF(AB1414&lt;&gt;"",AB1414,Z1414)</f>
        <v/>
      </c>
      <c r="AF1414" s="13" t="inlineStr">
        <is>
          <t>P-35 &gt; FFG-Frigate &gt; Inertial Navigation System (INS) AN/WSN-7(V)1 &gt; System Engineering</t>
        </is>
      </c>
      <c r="AG1414" s="7" t="inlineStr">
        <is>
          <t>292</t>
        </is>
      </c>
      <c r="AH1414" s="7" t="inlineStr">
        <is>
          <t>2128</t>
        </is>
      </c>
    </row>
    <row r="1415" ht="10" customHeight="1">
      <c r="A1415" s="7" t="inlineStr">
        <is>
          <t>SCN</t>
        </is>
      </c>
      <c r="B1415" s="7" t="inlineStr">
        <is>
          <t>Procurement</t>
        </is>
      </c>
      <c r="D1415" s="7" t="inlineStr">
        <is>
          <t>FFG-Frigate - P-35 Inertial Navigation System (INS) AN/WSN-7(V)1 - Technical Engineering Services</t>
        </is>
      </c>
      <c r="E1415" s="13" t="inlineStr">
        <is>
          <t>[ALT_VIEW]</t>
        </is>
      </c>
      <c r="F1415" s="7" t="inlineStr">
        <is>
          <t>2128 / FFG-Frigate</t>
        </is>
      </c>
      <c r="G1415" s="7" t="inlineStr">
        <is>
          <t>P-35</t>
        </is>
      </c>
      <c r="I1415" s="14" t="n">
        <v>1</v>
      </c>
      <c r="J1415" s="7" t="inlineStr">
        <is>
          <t>Full ship DD&amp;C</t>
        </is>
      </c>
      <c r="K1415" s="13" t="inlineStr">
        <is>
          <t>USN</t>
        </is>
      </c>
      <c r="L1415" s="7" t="inlineStr">
        <is>
          <t>Combatant Ships</t>
        </is>
      </c>
      <c r="M1415" s="7" t="inlineStr">
        <is>
          <t>Surface Combatants</t>
        </is>
      </c>
      <c r="N1415" s="7" t="inlineStr">
        <is>
          <t>FFG</t>
        </is>
      </c>
      <c r="O1415" s="15" t="n"/>
      <c r="S1415" s="16" t="n">
        <v>816</v>
      </c>
      <c r="U1415" s="16" t="n">
        <v>816</v>
      </c>
      <c r="AC1415" s="23">
        <f>IF(OR(E1415="",E1415="[PARENT]"),"ADD",IF(E1415="[ALT_VIEW]","ALT",""))</f>
        <v/>
      </c>
      <c r="AD1415" s="21">
        <f>IF(Y1415&lt;&gt;"",Y1415,IF(U1415&lt;&gt;"",U1415,S1415))</f>
        <v/>
      </c>
      <c r="AE1415" s="21">
        <f>IF(AB1415&lt;&gt;"",AB1415,Z1415)</f>
        <v/>
      </c>
      <c r="AF1415" s="13" t="inlineStr">
        <is>
          <t>P-35 &gt; FFG-Frigate &gt; Inertial Navigation System (INS) AN/WSN-7(V)1 &gt; Technical Engineering Services</t>
        </is>
      </c>
      <c r="AG1415" s="7" t="inlineStr">
        <is>
          <t>292</t>
        </is>
      </c>
      <c r="AH1415" s="7" t="inlineStr">
        <is>
          <t>2128</t>
        </is>
      </c>
    </row>
    <row r="1416" ht="10" customHeight="1">
      <c r="A1416" s="7" t="inlineStr">
        <is>
          <t>SCN</t>
        </is>
      </c>
      <c r="B1416" s="7" t="inlineStr">
        <is>
          <t>Procurement</t>
        </is>
      </c>
      <c r="D1416" s="7" t="inlineStr">
        <is>
          <t>FFG-Frigate - P-35 Inertial Navigation System (INS) AN/WSN-7(V)1 - Other Costs</t>
        </is>
      </c>
      <c r="E1416" s="13" t="inlineStr">
        <is>
          <t>[ALT_VIEW]</t>
        </is>
      </c>
      <c r="F1416" s="7" t="inlineStr">
        <is>
          <t>2128 / FFG-Frigate</t>
        </is>
      </c>
      <c r="G1416" s="7" t="inlineStr">
        <is>
          <t>P-35</t>
        </is>
      </c>
      <c r="I1416" s="14" t="n">
        <v>1</v>
      </c>
      <c r="J1416" s="7" t="inlineStr">
        <is>
          <t>Full ship DD&amp;C</t>
        </is>
      </c>
      <c r="K1416" s="13" t="inlineStr">
        <is>
          <t>USN</t>
        </is>
      </c>
      <c r="L1416" s="7" t="inlineStr">
        <is>
          <t>Combatant Ships</t>
        </is>
      </c>
      <c r="M1416" s="7" t="inlineStr">
        <is>
          <t>Surface Combatants</t>
        </is>
      </c>
      <c r="N1416" s="7" t="inlineStr">
        <is>
          <t>FFG</t>
        </is>
      </c>
      <c r="O1416" s="15" t="n"/>
      <c r="S1416" s="16" t="n">
        <v>452</v>
      </c>
      <c r="U1416" s="16" t="n">
        <v>452</v>
      </c>
      <c r="AC1416" s="23">
        <f>IF(OR(E1416="",E1416="[PARENT]"),"ADD",IF(E1416="[ALT_VIEW]","ALT",""))</f>
        <v/>
      </c>
      <c r="AD1416" s="21">
        <f>IF(Y1416&lt;&gt;"",Y1416,IF(U1416&lt;&gt;"",U1416,S1416))</f>
        <v/>
      </c>
      <c r="AE1416" s="21">
        <f>IF(AB1416&lt;&gt;"",AB1416,Z1416)</f>
        <v/>
      </c>
      <c r="AF1416" s="13" t="inlineStr">
        <is>
          <t>P-35 &gt; FFG-Frigate &gt; Inertial Navigation System (INS) AN/WSN-7(V)1 &gt; Other Costs</t>
        </is>
      </c>
      <c r="AG1416" s="7" t="inlineStr">
        <is>
          <t>292</t>
        </is>
      </c>
      <c r="AH1416" s="7" t="inlineStr">
        <is>
          <t>2128</t>
        </is>
      </c>
    </row>
    <row r="1417" ht="10" customHeight="1">
      <c r="A1417" s="7" t="inlineStr">
        <is>
          <t>SCN</t>
        </is>
      </c>
      <c r="B1417" s="7" t="inlineStr">
        <is>
          <t>Procurement</t>
        </is>
      </c>
      <c r="D1417" s="7" t="inlineStr">
        <is>
          <t>FFG-Frigate - P-35 Situation Awareness EO/IR - Major Hardware                                                                       2</t>
        </is>
      </c>
      <c r="E1417" s="13" t="inlineStr">
        <is>
          <t>[ALT_VIEW]</t>
        </is>
      </c>
      <c r="F1417" s="7" t="inlineStr">
        <is>
          <t>2128 / FFG-Frigate</t>
        </is>
      </c>
      <c r="G1417" s="7" t="inlineStr">
        <is>
          <t>P-35</t>
        </is>
      </c>
      <c r="I1417" s="14" t="n">
        <v>1</v>
      </c>
      <c r="J1417" s="7" t="inlineStr">
        <is>
          <t>Full ship DD&amp;C</t>
        </is>
      </c>
      <c r="K1417" s="13" t="inlineStr">
        <is>
          <t>USN</t>
        </is>
      </c>
      <c r="L1417" s="7" t="inlineStr">
        <is>
          <t>Combatant Ships</t>
        </is>
      </c>
      <c r="M1417" s="7" t="inlineStr">
        <is>
          <t>Surface Combatants</t>
        </is>
      </c>
      <c r="N1417" s="7" t="inlineStr">
        <is>
          <t>FFG</t>
        </is>
      </c>
      <c r="O1417" s="15" t="n"/>
      <c r="S1417" s="16" t="n">
        <v>7058</v>
      </c>
      <c r="U1417" s="16" t="n">
        <v>7058</v>
      </c>
      <c r="AC1417" s="23">
        <f>IF(OR(E1417="",E1417="[PARENT]"),"ADD",IF(E1417="[ALT_VIEW]","ALT",""))</f>
        <v/>
      </c>
      <c r="AD1417" s="21">
        <f>IF(Y1417&lt;&gt;"",Y1417,IF(U1417&lt;&gt;"",U1417,S1417))</f>
        <v/>
      </c>
      <c r="AE1417" s="21">
        <f>IF(AB1417&lt;&gt;"",AB1417,Z1417)</f>
        <v/>
      </c>
      <c r="AF1417" s="13" t="inlineStr">
        <is>
          <t>P-35 &gt; FFG-Frigate &gt; Situation Awareness EO/IR &gt; Major Hardware                                                                       2</t>
        </is>
      </c>
      <c r="AG1417" s="7" t="inlineStr">
        <is>
          <t>293</t>
        </is>
      </c>
      <c r="AH1417" s="7" t="inlineStr">
        <is>
          <t>2128</t>
        </is>
      </c>
      <c r="AJ1417" s="7" t="inlineStr">
        <is>
          <t>Situation Awareness EO/IR</t>
        </is>
      </c>
    </row>
    <row r="1418" ht="10" customHeight="1">
      <c r="A1418" s="7" t="inlineStr">
        <is>
          <t>SCN</t>
        </is>
      </c>
      <c r="B1418" s="7" t="inlineStr">
        <is>
          <t>Procurement</t>
        </is>
      </c>
      <c r="D1418" s="7" t="inlineStr">
        <is>
          <t>FFG-Frigate - P-35 Situation Awareness EO/IR - System Engineering</t>
        </is>
      </c>
      <c r="E1418" s="13" t="inlineStr">
        <is>
          <t>[ALT_VIEW]</t>
        </is>
      </c>
      <c r="F1418" s="7" t="inlineStr">
        <is>
          <t>2128 / FFG-Frigate</t>
        </is>
      </c>
      <c r="G1418" s="7" t="inlineStr">
        <is>
          <t>P-35</t>
        </is>
      </c>
      <c r="I1418" s="14" t="n">
        <v>1</v>
      </c>
      <c r="J1418" s="7" t="inlineStr">
        <is>
          <t>Full ship DD&amp;C</t>
        </is>
      </c>
      <c r="K1418" s="13" t="inlineStr">
        <is>
          <t>USN</t>
        </is>
      </c>
      <c r="L1418" s="7" t="inlineStr">
        <is>
          <t>Combatant Ships</t>
        </is>
      </c>
      <c r="M1418" s="7" t="inlineStr">
        <is>
          <t>Surface Combatants</t>
        </is>
      </c>
      <c r="N1418" s="7" t="inlineStr">
        <is>
          <t>FFG</t>
        </is>
      </c>
      <c r="O1418" s="15" t="n"/>
      <c r="S1418" s="16" t="n">
        <v>945</v>
      </c>
      <c r="U1418" s="16" t="n">
        <v>945</v>
      </c>
      <c r="AC1418" s="23">
        <f>IF(OR(E1418="",E1418="[PARENT]"),"ADD",IF(E1418="[ALT_VIEW]","ALT",""))</f>
        <v/>
      </c>
      <c r="AD1418" s="21">
        <f>IF(Y1418&lt;&gt;"",Y1418,IF(U1418&lt;&gt;"",U1418,S1418))</f>
        <v/>
      </c>
      <c r="AE1418" s="21">
        <f>IF(AB1418&lt;&gt;"",AB1418,Z1418)</f>
        <v/>
      </c>
      <c r="AF1418" s="13" t="inlineStr">
        <is>
          <t>P-35 &gt; FFG-Frigate &gt; Situation Awareness EO/IR &gt; System Engineering</t>
        </is>
      </c>
      <c r="AG1418" s="7" t="inlineStr">
        <is>
          <t>293</t>
        </is>
      </c>
      <c r="AH1418" s="7" t="inlineStr">
        <is>
          <t>2128</t>
        </is>
      </c>
    </row>
    <row r="1419" ht="10" customHeight="1">
      <c r="A1419" s="7" t="inlineStr">
        <is>
          <t>SCN</t>
        </is>
      </c>
      <c r="B1419" s="7" t="inlineStr">
        <is>
          <t>Procurement</t>
        </is>
      </c>
      <c r="D1419" s="7" t="inlineStr">
        <is>
          <t>FFG-Frigate - P-35 Situation Awareness EO/IR - Technical Engineering Services</t>
        </is>
      </c>
      <c r="E1419" s="13" t="inlineStr">
        <is>
          <t>[ALT_VIEW]</t>
        </is>
      </c>
      <c r="F1419" s="7" t="inlineStr">
        <is>
          <t>2128 / FFG-Frigate</t>
        </is>
      </c>
      <c r="G1419" s="7" t="inlineStr">
        <is>
          <t>P-35</t>
        </is>
      </c>
      <c r="I1419" s="14" t="n">
        <v>1</v>
      </c>
      <c r="J1419" s="7" t="inlineStr">
        <is>
          <t>Full ship DD&amp;C</t>
        </is>
      </c>
      <c r="K1419" s="13" t="inlineStr">
        <is>
          <t>USN</t>
        </is>
      </c>
      <c r="L1419" s="7" t="inlineStr">
        <is>
          <t>Combatant Ships</t>
        </is>
      </c>
      <c r="M1419" s="7" t="inlineStr">
        <is>
          <t>Surface Combatants</t>
        </is>
      </c>
      <c r="N1419" s="7" t="inlineStr">
        <is>
          <t>FFG</t>
        </is>
      </c>
      <c r="O1419" s="15" t="n"/>
      <c r="S1419" s="16" t="n">
        <v>204</v>
      </c>
      <c r="U1419" s="16" t="n">
        <v>204</v>
      </c>
      <c r="AC1419" s="23">
        <f>IF(OR(E1419="",E1419="[PARENT]"),"ADD",IF(E1419="[ALT_VIEW]","ALT",""))</f>
        <v/>
      </c>
      <c r="AD1419" s="21">
        <f>IF(Y1419&lt;&gt;"",Y1419,IF(U1419&lt;&gt;"",U1419,S1419))</f>
        <v/>
      </c>
      <c r="AE1419" s="21">
        <f>IF(AB1419&lt;&gt;"",AB1419,Z1419)</f>
        <v/>
      </c>
      <c r="AF1419" s="13" t="inlineStr">
        <is>
          <t>P-35 &gt; FFG-Frigate &gt; Situation Awareness EO/IR &gt; Technical Engineering Services</t>
        </is>
      </c>
      <c r="AG1419" s="7" t="inlineStr">
        <is>
          <t>293</t>
        </is>
      </c>
      <c r="AH1419" s="7" t="inlineStr">
        <is>
          <t>2128</t>
        </is>
      </c>
    </row>
    <row r="1420" ht="10" customHeight="1">
      <c r="A1420" s="7" t="inlineStr">
        <is>
          <t>SCN</t>
        </is>
      </c>
      <c r="B1420" s="7" t="inlineStr">
        <is>
          <t>Procurement</t>
        </is>
      </c>
      <c r="D1420" s="7" t="inlineStr">
        <is>
          <t>FFG-Frigate - P-35 Situation Awareness EO/IR - Other Costs</t>
        </is>
      </c>
      <c r="E1420" s="13" t="inlineStr">
        <is>
          <t>[ALT_VIEW]</t>
        </is>
      </c>
      <c r="F1420" s="7" t="inlineStr">
        <is>
          <t>2128 / FFG-Frigate</t>
        </is>
      </c>
      <c r="G1420" s="7" t="inlineStr">
        <is>
          <t>P-35</t>
        </is>
      </c>
      <c r="I1420" s="14" t="n">
        <v>1</v>
      </c>
      <c r="J1420" s="7" t="inlineStr">
        <is>
          <t>Full ship DD&amp;C</t>
        </is>
      </c>
      <c r="K1420" s="13" t="inlineStr">
        <is>
          <t>USN</t>
        </is>
      </c>
      <c r="L1420" s="7" t="inlineStr">
        <is>
          <t>Combatant Ships</t>
        </is>
      </c>
      <c r="M1420" s="7" t="inlineStr">
        <is>
          <t>Surface Combatants</t>
        </is>
      </c>
      <c r="N1420" s="7" t="inlineStr">
        <is>
          <t>FFG</t>
        </is>
      </c>
      <c r="O1420" s="15" t="n"/>
      <c r="S1420" s="16" t="n">
        <v>1056</v>
      </c>
      <c r="U1420" s="16" t="n">
        <v>1056</v>
      </c>
      <c r="AC1420" s="23">
        <f>IF(OR(E1420="",E1420="[PARENT]"),"ADD",IF(E1420="[ALT_VIEW]","ALT",""))</f>
        <v/>
      </c>
      <c r="AD1420" s="21">
        <f>IF(Y1420&lt;&gt;"",Y1420,IF(U1420&lt;&gt;"",U1420,S1420))</f>
        <v/>
      </c>
      <c r="AE1420" s="21">
        <f>IF(AB1420&lt;&gt;"",AB1420,Z1420)</f>
        <v/>
      </c>
      <c r="AF1420" s="13" t="inlineStr">
        <is>
          <t>P-35 &gt; FFG-Frigate &gt; Situation Awareness EO/IR &gt; Other Costs</t>
        </is>
      </c>
      <c r="AG1420" s="7" t="inlineStr">
        <is>
          <t>293</t>
        </is>
      </c>
      <c r="AH1420" s="7" t="inlineStr">
        <is>
          <t>2128</t>
        </is>
      </c>
    </row>
    <row r="1421" ht="10" customHeight="1">
      <c r="A1421" s="7" t="inlineStr">
        <is>
          <t>SCN</t>
        </is>
      </c>
      <c r="B1421" s="7" t="inlineStr">
        <is>
          <t>Procurement</t>
        </is>
      </c>
      <c r="D1421" s="7" t="inlineStr">
        <is>
          <t>FFG-Frigate - P-35 NIXIE AN/SLQ-25E - Major Hardware                                                                     2</t>
        </is>
      </c>
      <c r="E1421" s="13" t="inlineStr">
        <is>
          <t>[ALT_VIEW]</t>
        </is>
      </c>
      <c r="F1421" s="7" t="inlineStr">
        <is>
          <t>2128 / FFG-Frigate</t>
        </is>
      </c>
      <c r="G1421" s="7" t="inlineStr">
        <is>
          <t>P-35</t>
        </is>
      </c>
      <c r="I1421" s="14" t="n">
        <v>1</v>
      </c>
      <c r="J1421" s="7" t="inlineStr">
        <is>
          <t>Full ship DD&amp;C</t>
        </is>
      </c>
      <c r="K1421" s="13" t="inlineStr">
        <is>
          <t>USN</t>
        </is>
      </c>
      <c r="L1421" s="7" t="inlineStr">
        <is>
          <t>Combatant Ships</t>
        </is>
      </c>
      <c r="M1421" s="7" t="inlineStr">
        <is>
          <t>Surface Combatants</t>
        </is>
      </c>
      <c r="N1421" s="7" t="inlineStr">
        <is>
          <t>FFG</t>
        </is>
      </c>
      <c r="O1421" s="15" t="n"/>
      <c r="S1421" s="16" t="n">
        <v>6558</v>
      </c>
      <c r="U1421" s="16" t="n">
        <v>6558</v>
      </c>
      <c r="AC1421" s="23">
        <f>IF(OR(E1421="",E1421="[PARENT]"),"ADD",IF(E1421="[ALT_VIEW]","ALT",""))</f>
        <v/>
      </c>
      <c r="AD1421" s="21">
        <f>IF(Y1421&lt;&gt;"",Y1421,IF(U1421&lt;&gt;"",U1421,S1421))</f>
        <v/>
      </c>
      <c r="AE1421" s="21">
        <f>IF(AB1421&lt;&gt;"",AB1421,Z1421)</f>
        <v/>
      </c>
      <c r="AF1421" s="13" t="inlineStr">
        <is>
          <t>P-35 &gt; FFG-Frigate &gt; NIXIE AN/SLQ-25E &gt; Major Hardware                                                                     2</t>
        </is>
      </c>
      <c r="AG1421" s="7" t="inlineStr">
        <is>
          <t>294</t>
        </is>
      </c>
      <c r="AH1421" s="7" t="inlineStr">
        <is>
          <t>2128</t>
        </is>
      </c>
      <c r="AJ1421" s="7" t="inlineStr">
        <is>
          <t>NIXIE AN/SLQ-25E</t>
        </is>
      </c>
    </row>
    <row r="1422" ht="10" customHeight="1">
      <c r="A1422" s="7" t="inlineStr">
        <is>
          <t>SCN</t>
        </is>
      </c>
      <c r="B1422" s="7" t="inlineStr">
        <is>
          <t>Procurement</t>
        </is>
      </c>
      <c r="D1422" s="7" t="inlineStr">
        <is>
          <t>FFG-Frigate - P-35 NIXIE AN/SLQ-25E - System Engineering</t>
        </is>
      </c>
      <c r="E1422" s="13" t="inlineStr">
        <is>
          <t>[ALT_VIEW]</t>
        </is>
      </c>
      <c r="F1422" s="7" t="inlineStr">
        <is>
          <t>2128 / FFG-Frigate</t>
        </is>
      </c>
      <c r="G1422" s="7" t="inlineStr">
        <is>
          <t>P-35</t>
        </is>
      </c>
      <c r="I1422" s="14" t="n">
        <v>1</v>
      </c>
      <c r="J1422" s="7" t="inlineStr">
        <is>
          <t>Full ship DD&amp;C</t>
        </is>
      </c>
      <c r="K1422" s="13" t="inlineStr">
        <is>
          <t>USN</t>
        </is>
      </c>
      <c r="L1422" s="7" t="inlineStr">
        <is>
          <t>Combatant Ships</t>
        </is>
      </c>
      <c r="M1422" s="7" t="inlineStr">
        <is>
          <t>Surface Combatants</t>
        </is>
      </c>
      <c r="N1422" s="7" t="inlineStr">
        <is>
          <t>FFG</t>
        </is>
      </c>
      <c r="O1422" s="15" t="n"/>
      <c r="S1422" s="16" t="n">
        <v>191</v>
      </c>
      <c r="U1422" s="16" t="n">
        <v>191</v>
      </c>
      <c r="AC1422" s="23">
        <f>IF(OR(E1422="",E1422="[PARENT]"),"ADD",IF(E1422="[ALT_VIEW]","ALT",""))</f>
        <v/>
      </c>
      <c r="AD1422" s="21">
        <f>IF(Y1422&lt;&gt;"",Y1422,IF(U1422&lt;&gt;"",U1422,S1422))</f>
        <v/>
      </c>
      <c r="AE1422" s="21">
        <f>IF(AB1422&lt;&gt;"",AB1422,Z1422)</f>
        <v/>
      </c>
      <c r="AF1422" s="13" t="inlineStr">
        <is>
          <t>P-35 &gt; FFG-Frigate &gt; NIXIE AN/SLQ-25E &gt; System Engineering</t>
        </is>
      </c>
      <c r="AG1422" s="7" t="inlineStr">
        <is>
          <t>294</t>
        </is>
      </c>
      <c r="AH1422" s="7" t="inlineStr">
        <is>
          <t>2128</t>
        </is>
      </c>
    </row>
    <row r="1423" ht="10" customHeight="1">
      <c r="A1423" s="7" t="inlineStr">
        <is>
          <t>SCN</t>
        </is>
      </c>
      <c r="B1423" s="7" t="inlineStr">
        <is>
          <t>Procurement</t>
        </is>
      </c>
      <c r="D1423" s="7" t="inlineStr">
        <is>
          <t>FFG-Frigate - P-35 NIXIE AN/SLQ-25E - Technical Engineering Services</t>
        </is>
      </c>
      <c r="E1423" s="13" t="inlineStr">
        <is>
          <t>[ALT_VIEW]</t>
        </is>
      </c>
      <c r="F1423" s="7" t="inlineStr">
        <is>
          <t>2128 / FFG-Frigate</t>
        </is>
      </c>
      <c r="G1423" s="7" t="inlineStr">
        <is>
          <t>P-35</t>
        </is>
      </c>
      <c r="I1423" s="14" t="n">
        <v>1</v>
      </c>
      <c r="J1423" s="7" t="inlineStr">
        <is>
          <t>Full ship DD&amp;C</t>
        </is>
      </c>
      <c r="K1423" s="13" t="inlineStr">
        <is>
          <t>USN</t>
        </is>
      </c>
      <c r="L1423" s="7" t="inlineStr">
        <is>
          <t>Combatant Ships</t>
        </is>
      </c>
      <c r="M1423" s="7" t="inlineStr">
        <is>
          <t>Surface Combatants</t>
        </is>
      </c>
      <c r="N1423" s="7" t="inlineStr">
        <is>
          <t>FFG</t>
        </is>
      </c>
      <c r="O1423" s="15" t="n"/>
      <c r="S1423" s="16" t="n">
        <v>781</v>
      </c>
      <c r="U1423" s="16" t="n">
        <v>781</v>
      </c>
      <c r="AC1423" s="23">
        <f>IF(OR(E1423="",E1423="[PARENT]"),"ADD",IF(E1423="[ALT_VIEW]","ALT",""))</f>
        <v/>
      </c>
      <c r="AD1423" s="21">
        <f>IF(Y1423&lt;&gt;"",Y1423,IF(U1423&lt;&gt;"",U1423,S1423))</f>
        <v/>
      </c>
      <c r="AE1423" s="21">
        <f>IF(AB1423&lt;&gt;"",AB1423,Z1423)</f>
        <v/>
      </c>
      <c r="AF1423" s="13" t="inlineStr">
        <is>
          <t>P-35 &gt; FFG-Frigate &gt; NIXIE AN/SLQ-25E &gt; Technical Engineering Services</t>
        </is>
      </c>
      <c r="AG1423" s="7" t="inlineStr">
        <is>
          <t>294</t>
        </is>
      </c>
      <c r="AH1423" s="7" t="inlineStr">
        <is>
          <t>2128</t>
        </is>
      </c>
    </row>
    <row r="1424" ht="10" customHeight="1">
      <c r="A1424" s="7" t="inlineStr">
        <is>
          <t>SCN</t>
        </is>
      </c>
      <c r="B1424" s="7" t="inlineStr">
        <is>
          <t>Procurement</t>
        </is>
      </c>
      <c r="D1424" s="7" t="inlineStr">
        <is>
          <t>FFG-Frigate - P-35 NIXIE AN/SLQ-25E - Other Costs</t>
        </is>
      </c>
      <c r="E1424" s="13" t="inlineStr">
        <is>
          <t>[ALT_VIEW]</t>
        </is>
      </c>
      <c r="F1424" s="7" t="inlineStr">
        <is>
          <t>2128 / FFG-Frigate</t>
        </is>
      </c>
      <c r="G1424" s="7" t="inlineStr">
        <is>
          <t>P-35</t>
        </is>
      </c>
      <c r="I1424" s="14" t="n">
        <v>1</v>
      </c>
      <c r="J1424" s="7" t="inlineStr">
        <is>
          <t>Full ship DD&amp;C</t>
        </is>
      </c>
      <c r="K1424" s="13" t="inlineStr">
        <is>
          <t>USN</t>
        </is>
      </c>
      <c r="L1424" s="7" t="inlineStr">
        <is>
          <t>Combatant Ships</t>
        </is>
      </c>
      <c r="M1424" s="7" t="inlineStr">
        <is>
          <t>Surface Combatants</t>
        </is>
      </c>
      <c r="N1424" s="7" t="inlineStr">
        <is>
          <t>FFG</t>
        </is>
      </c>
      <c r="O1424" s="15" t="n"/>
      <c r="S1424" s="16" t="n">
        <v>781</v>
      </c>
      <c r="U1424" s="16" t="n">
        <v>781</v>
      </c>
      <c r="AC1424" s="23">
        <f>IF(OR(E1424="",E1424="[PARENT]"),"ADD",IF(E1424="[ALT_VIEW]","ALT",""))</f>
        <v/>
      </c>
      <c r="AD1424" s="21">
        <f>IF(Y1424&lt;&gt;"",Y1424,IF(U1424&lt;&gt;"",U1424,S1424))</f>
        <v/>
      </c>
      <c r="AE1424" s="21">
        <f>IF(AB1424&lt;&gt;"",AB1424,Z1424)</f>
        <v/>
      </c>
      <c r="AF1424" s="13" t="inlineStr">
        <is>
          <t>P-35 &gt; FFG-Frigate &gt; NIXIE AN/SLQ-25E &gt; Other Costs</t>
        </is>
      </c>
      <c r="AG1424" s="7" t="inlineStr">
        <is>
          <t>294</t>
        </is>
      </c>
      <c r="AH1424" s="7" t="inlineStr">
        <is>
          <t>2128</t>
        </is>
      </c>
    </row>
    <row r="1425" ht="10" customHeight="1">
      <c r="A1425" s="7" t="inlineStr">
        <is>
          <t>SCN</t>
        </is>
      </c>
      <c r="B1425" s="7" t="inlineStr">
        <is>
          <t>Procurement</t>
        </is>
      </c>
      <c r="D1425" s="7" t="inlineStr">
        <is>
          <t>FFG-Frigate - P-35 Situational Awareness Boundary Enforcement Response Navigation (SABER NAV) - Major Hardware                                                                         2</t>
        </is>
      </c>
      <c r="E1425" s="13" t="inlineStr">
        <is>
          <t>[ALT_VIEW]</t>
        </is>
      </c>
      <c r="F1425" s="7" t="inlineStr">
        <is>
          <t>2128 / FFG-Frigate</t>
        </is>
      </c>
      <c r="G1425" s="7" t="inlineStr">
        <is>
          <t>P-35</t>
        </is>
      </c>
      <c r="I1425" s="14" t="n">
        <v>1</v>
      </c>
      <c r="J1425" s="7" t="inlineStr">
        <is>
          <t>Full ship DD&amp;C</t>
        </is>
      </c>
      <c r="K1425" s="13" t="inlineStr">
        <is>
          <t>USN</t>
        </is>
      </c>
      <c r="L1425" s="7" t="inlineStr">
        <is>
          <t>Combatant Ships</t>
        </is>
      </c>
      <c r="M1425" s="7" t="inlineStr">
        <is>
          <t>Surface Combatants</t>
        </is>
      </c>
      <c r="N1425" s="7" t="inlineStr">
        <is>
          <t>FFG</t>
        </is>
      </c>
      <c r="O1425" s="15" t="n"/>
      <c r="S1425" s="16" t="n">
        <v>9240</v>
      </c>
      <c r="U1425" s="16" t="n">
        <v>9240</v>
      </c>
      <c r="AC1425" s="23">
        <f>IF(OR(E1425="",E1425="[PARENT]"),"ADD",IF(E1425="[ALT_VIEW]","ALT",""))</f>
        <v/>
      </c>
      <c r="AD1425" s="21">
        <f>IF(Y1425&lt;&gt;"",Y1425,IF(U1425&lt;&gt;"",U1425,S1425))</f>
        <v/>
      </c>
      <c r="AE1425" s="21">
        <f>IF(AB1425&lt;&gt;"",AB1425,Z1425)</f>
        <v/>
      </c>
      <c r="AF1425" s="13" t="inlineStr">
        <is>
          <t>P-35 &gt; FFG-Frigate &gt; Situational Awareness Boundary Enforcement Response Navigation (SABER NAV) &gt; Major Hardware                                                                         2</t>
        </is>
      </c>
      <c r="AG1425" s="7" t="inlineStr">
        <is>
          <t>295</t>
        </is>
      </c>
      <c r="AH1425" s="7" t="inlineStr">
        <is>
          <t>2128</t>
        </is>
      </c>
      <c r="AJ1425" s="7" t="inlineStr">
        <is>
          <t>Situational Awareness Boundary Enforcement Response Navigation (SABER NAV)</t>
        </is>
      </c>
    </row>
    <row r="1426" ht="10" customHeight="1">
      <c r="A1426" s="7" t="inlineStr">
        <is>
          <t>SCN</t>
        </is>
      </c>
      <c r="B1426" s="7" t="inlineStr">
        <is>
          <t>Procurement</t>
        </is>
      </c>
      <c r="D1426" s="7" t="inlineStr">
        <is>
          <t>FFG-Frigate - P-35 Situational Awareness Boundary Enforcement Response Navigation (SABER NAV) - System Engineering</t>
        </is>
      </c>
      <c r="E1426" s="13" t="inlineStr">
        <is>
          <t>[ALT_VIEW]</t>
        </is>
      </c>
      <c r="F1426" s="7" t="inlineStr">
        <is>
          <t>2128 / FFG-Frigate</t>
        </is>
      </c>
      <c r="G1426" s="7" t="inlineStr">
        <is>
          <t>P-35</t>
        </is>
      </c>
      <c r="I1426" s="14" t="n">
        <v>1</v>
      </c>
      <c r="J1426" s="7" t="inlineStr">
        <is>
          <t>Full ship DD&amp;C</t>
        </is>
      </c>
      <c r="K1426" s="13" t="inlineStr">
        <is>
          <t>USN</t>
        </is>
      </c>
      <c r="L1426" s="7" t="inlineStr">
        <is>
          <t>Combatant Ships</t>
        </is>
      </c>
      <c r="M1426" s="7" t="inlineStr">
        <is>
          <t>Surface Combatants</t>
        </is>
      </c>
      <c r="N1426" s="7" t="inlineStr">
        <is>
          <t>FFG</t>
        </is>
      </c>
      <c r="O1426" s="15" t="n"/>
      <c r="S1426" s="16" t="n">
        <v>642</v>
      </c>
      <c r="U1426" s="16" t="n">
        <v>642</v>
      </c>
      <c r="AC1426" s="23">
        <f>IF(OR(E1426="",E1426="[PARENT]"),"ADD",IF(E1426="[ALT_VIEW]","ALT",""))</f>
        <v/>
      </c>
      <c r="AD1426" s="21">
        <f>IF(Y1426&lt;&gt;"",Y1426,IF(U1426&lt;&gt;"",U1426,S1426))</f>
        <v/>
      </c>
      <c r="AE1426" s="21">
        <f>IF(AB1426&lt;&gt;"",AB1426,Z1426)</f>
        <v/>
      </c>
      <c r="AF1426" s="13" t="inlineStr">
        <is>
          <t>P-35 &gt; FFG-Frigate &gt; Situational Awareness Boundary Enforcement Response Navigation (SABER NAV) &gt; System Engineering</t>
        </is>
      </c>
      <c r="AG1426" s="7" t="inlineStr">
        <is>
          <t>295</t>
        </is>
      </c>
      <c r="AH1426" s="7" t="inlineStr">
        <is>
          <t>2128</t>
        </is>
      </c>
    </row>
    <row r="1427" ht="10" customHeight="1">
      <c r="A1427" s="7" t="inlineStr">
        <is>
          <t>SCN</t>
        </is>
      </c>
      <c r="B1427" s="7" t="inlineStr">
        <is>
          <t>Procurement</t>
        </is>
      </c>
      <c r="D1427" s="7" t="inlineStr">
        <is>
          <t>FFG-Frigate - P-35 Situational Awareness Boundary Enforcement Response Navigation (SABER NAV) - Technical Engineering Services</t>
        </is>
      </c>
      <c r="E1427" s="13" t="inlineStr">
        <is>
          <t>[ALT_VIEW]</t>
        </is>
      </c>
      <c r="F1427" s="7" t="inlineStr">
        <is>
          <t>2128 / FFG-Frigate</t>
        </is>
      </c>
      <c r="G1427" s="7" t="inlineStr">
        <is>
          <t>P-35</t>
        </is>
      </c>
      <c r="I1427" s="14" t="n">
        <v>1</v>
      </c>
      <c r="J1427" s="7" t="inlineStr">
        <is>
          <t>Full ship DD&amp;C</t>
        </is>
      </c>
      <c r="K1427" s="13" t="inlineStr">
        <is>
          <t>USN</t>
        </is>
      </c>
      <c r="L1427" s="7" t="inlineStr">
        <is>
          <t>Combatant Ships</t>
        </is>
      </c>
      <c r="M1427" s="7" t="inlineStr">
        <is>
          <t>Surface Combatants</t>
        </is>
      </c>
      <c r="N1427" s="7" t="inlineStr">
        <is>
          <t>FFG</t>
        </is>
      </c>
      <c r="O1427" s="15" t="n"/>
      <c r="S1427" s="16" t="n">
        <v>83</v>
      </c>
      <c r="U1427" s="16" t="n">
        <v>83</v>
      </c>
      <c r="AC1427" s="23">
        <f>IF(OR(E1427="",E1427="[PARENT]"),"ADD",IF(E1427="[ALT_VIEW]","ALT",""))</f>
        <v/>
      </c>
      <c r="AD1427" s="21">
        <f>IF(Y1427&lt;&gt;"",Y1427,IF(U1427&lt;&gt;"",U1427,S1427))</f>
        <v/>
      </c>
      <c r="AE1427" s="21">
        <f>IF(AB1427&lt;&gt;"",AB1427,Z1427)</f>
        <v/>
      </c>
      <c r="AF1427" s="13" t="inlineStr">
        <is>
          <t>P-35 &gt; FFG-Frigate &gt; Situational Awareness Boundary Enforcement Response Navigation (SABER NAV) &gt; Technical Engineering Services</t>
        </is>
      </c>
      <c r="AG1427" s="7" t="inlineStr">
        <is>
          <t>295</t>
        </is>
      </c>
      <c r="AH1427" s="7" t="inlineStr">
        <is>
          <t>2128</t>
        </is>
      </c>
    </row>
    <row r="1428" ht="10" customHeight="1">
      <c r="A1428" s="7" t="inlineStr">
        <is>
          <t>SCN</t>
        </is>
      </c>
      <c r="B1428" s="7" t="inlineStr">
        <is>
          <t>Procurement</t>
        </is>
      </c>
      <c r="D1428" s="7" t="inlineStr">
        <is>
          <t>FFG-Frigate - P-35 Situational Awareness Boundary Enforcement Response Navigation (SABER NAV) - Other Costs</t>
        </is>
      </c>
      <c r="E1428" s="13" t="inlineStr">
        <is>
          <t>[ALT_VIEW]</t>
        </is>
      </c>
      <c r="F1428" s="7" t="inlineStr">
        <is>
          <t>2128 / FFG-Frigate</t>
        </is>
      </c>
      <c r="G1428" s="7" t="inlineStr">
        <is>
          <t>P-35</t>
        </is>
      </c>
      <c r="I1428" s="14" t="n">
        <v>1</v>
      </c>
      <c r="J1428" s="7" t="inlineStr">
        <is>
          <t>Full ship DD&amp;C</t>
        </is>
      </c>
      <c r="K1428" s="13" t="inlineStr">
        <is>
          <t>USN</t>
        </is>
      </c>
      <c r="L1428" s="7" t="inlineStr">
        <is>
          <t>Combatant Ships</t>
        </is>
      </c>
      <c r="M1428" s="7" t="inlineStr">
        <is>
          <t>Surface Combatants</t>
        </is>
      </c>
      <c r="N1428" s="7" t="inlineStr">
        <is>
          <t>FFG</t>
        </is>
      </c>
      <c r="O1428" s="15" t="n"/>
      <c r="S1428" s="16" t="n">
        <v>1926</v>
      </c>
      <c r="U1428" s="16" t="n">
        <v>1926</v>
      </c>
      <c r="AC1428" s="23">
        <f>IF(OR(E1428="",E1428="[PARENT]"),"ADD",IF(E1428="[ALT_VIEW]","ALT",""))</f>
        <v/>
      </c>
      <c r="AD1428" s="21">
        <f>IF(Y1428&lt;&gt;"",Y1428,IF(U1428&lt;&gt;"",U1428,S1428))</f>
        <v/>
      </c>
      <c r="AE1428" s="21">
        <f>IF(AB1428&lt;&gt;"",AB1428,Z1428)</f>
        <v/>
      </c>
      <c r="AF1428" s="13" t="inlineStr">
        <is>
          <t>P-35 &gt; FFG-Frigate &gt; Situational Awareness Boundary Enforcement Response Navigation (SABER NAV) &gt; Other Costs</t>
        </is>
      </c>
      <c r="AG1428" s="7" t="inlineStr">
        <is>
          <t>295</t>
        </is>
      </c>
      <c r="AH1428" s="7" t="inlineStr">
        <is>
          <t>2128</t>
        </is>
      </c>
      <c r="AJ1428" s="7" t="inlineStr">
        <is>
          <t>Situational Awareness Boundary Enforcement Response Navigation (SABER NAV) [FFG 66]</t>
        </is>
      </c>
    </row>
    <row r="1429" ht="10" customHeight="1">
      <c r="A1429" s="7" t="inlineStr">
        <is>
          <t>SCN</t>
        </is>
      </c>
      <c r="B1429" s="7" t="inlineStr">
        <is>
          <t>Procurement</t>
        </is>
      </c>
      <c r="D1429" s="7" t="inlineStr">
        <is>
          <t>FFG-Frigate - P-35 Platform Boundary Defense (PBD) - Major Hardware                                                                        2</t>
        </is>
      </c>
      <c r="E1429" s="13" t="inlineStr">
        <is>
          <t>[ALT_VIEW]</t>
        </is>
      </c>
      <c r="F1429" s="7" t="inlineStr">
        <is>
          <t>2128 / FFG-Frigate</t>
        </is>
      </c>
      <c r="G1429" s="7" t="inlineStr">
        <is>
          <t>P-35</t>
        </is>
      </c>
      <c r="I1429" s="14" t="n">
        <v>1</v>
      </c>
      <c r="J1429" s="7" t="inlineStr">
        <is>
          <t>Full ship DD&amp;C</t>
        </is>
      </c>
      <c r="K1429" s="13" t="inlineStr">
        <is>
          <t>USN</t>
        </is>
      </c>
      <c r="L1429" s="7" t="inlineStr">
        <is>
          <t>Combatant Ships</t>
        </is>
      </c>
      <c r="M1429" s="7" t="inlineStr">
        <is>
          <t>Surface Combatants</t>
        </is>
      </c>
      <c r="N1429" s="7" t="inlineStr">
        <is>
          <t>FFG</t>
        </is>
      </c>
      <c r="O1429" s="15" t="n"/>
      <c r="S1429" s="16" t="n">
        <v>3112</v>
      </c>
      <c r="U1429" s="16" t="n">
        <v>3112</v>
      </c>
      <c r="AC1429" s="23">
        <f>IF(OR(E1429="",E1429="[PARENT]"),"ADD",IF(E1429="[ALT_VIEW]","ALT",""))</f>
        <v/>
      </c>
      <c r="AD1429" s="21">
        <f>IF(Y1429&lt;&gt;"",Y1429,IF(U1429&lt;&gt;"",U1429,S1429))</f>
        <v/>
      </c>
      <c r="AE1429" s="21">
        <f>IF(AB1429&lt;&gt;"",AB1429,Z1429)</f>
        <v/>
      </c>
      <c r="AF1429" s="13" t="inlineStr">
        <is>
          <t>P-35 &gt; FFG-Frigate &gt; Platform Boundary Defense (PBD) &gt; Major Hardware                                                                        2</t>
        </is>
      </c>
      <c r="AG1429" s="7" t="inlineStr">
        <is>
          <t>296</t>
        </is>
      </c>
      <c r="AH1429" s="7" t="inlineStr">
        <is>
          <t>2128</t>
        </is>
      </c>
      <c r="AJ1429" s="7" t="inlineStr">
        <is>
          <t>Platform Boundary Defense (PBD)</t>
        </is>
      </c>
    </row>
    <row r="1430" ht="10" customHeight="1">
      <c r="A1430" s="7" t="inlineStr">
        <is>
          <t>SCN</t>
        </is>
      </c>
      <c r="B1430" s="7" t="inlineStr">
        <is>
          <t>Procurement</t>
        </is>
      </c>
      <c r="D1430" s="7" t="inlineStr">
        <is>
          <t>FFG-Frigate - P-35 Platform Boundary Defense (PBD) - System Engineering</t>
        </is>
      </c>
      <c r="E1430" s="13" t="inlineStr">
        <is>
          <t>[ALT_VIEW]</t>
        </is>
      </c>
      <c r="F1430" s="7" t="inlineStr">
        <is>
          <t>2128 / FFG-Frigate</t>
        </is>
      </c>
      <c r="G1430" s="7" t="inlineStr">
        <is>
          <t>P-35</t>
        </is>
      </c>
      <c r="I1430" s="14" t="n">
        <v>1</v>
      </c>
      <c r="J1430" s="7" t="inlineStr">
        <is>
          <t>Full ship DD&amp;C</t>
        </is>
      </c>
      <c r="K1430" s="13" t="inlineStr">
        <is>
          <t>USN</t>
        </is>
      </c>
      <c r="L1430" s="7" t="inlineStr">
        <is>
          <t>Combatant Ships</t>
        </is>
      </c>
      <c r="M1430" s="7" t="inlineStr">
        <is>
          <t>Surface Combatants</t>
        </is>
      </c>
      <c r="N1430" s="7" t="inlineStr">
        <is>
          <t>FFG</t>
        </is>
      </c>
      <c r="O1430" s="15" t="n"/>
      <c r="S1430" s="16" t="n">
        <v>14641</v>
      </c>
      <c r="U1430" s="16" t="n">
        <v>14641</v>
      </c>
      <c r="AC1430" s="23">
        <f>IF(OR(E1430="",E1430="[PARENT]"),"ADD",IF(E1430="[ALT_VIEW]","ALT",""))</f>
        <v/>
      </c>
      <c r="AD1430" s="21">
        <f>IF(Y1430&lt;&gt;"",Y1430,IF(U1430&lt;&gt;"",U1430,S1430))</f>
        <v/>
      </c>
      <c r="AE1430" s="21">
        <f>IF(AB1430&lt;&gt;"",AB1430,Z1430)</f>
        <v/>
      </c>
      <c r="AF1430" s="13" t="inlineStr">
        <is>
          <t>P-35 &gt; FFG-Frigate &gt; Platform Boundary Defense (PBD) &gt; System Engineering</t>
        </is>
      </c>
      <c r="AG1430" s="7" t="inlineStr">
        <is>
          <t>296</t>
        </is>
      </c>
      <c r="AH1430" s="7" t="inlineStr">
        <is>
          <t>2128</t>
        </is>
      </c>
    </row>
    <row r="1431" ht="10" customHeight="1">
      <c r="A1431" s="7" t="inlineStr">
        <is>
          <t>SCN</t>
        </is>
      </c>
      <c r="B1431" s="7" t="inlineStr">
        <is>
          <t>Procurement</t>
        </is>
      </c>
      <c r="D1431" s="7" t="inlineStr">
        <is>
          <t>FFG-Frigate - P-35 Platform Boundary Defense (PBD) - Technical Engineering Services</t>
        </is>
      </c>
      <c r="E1431" s="13" t="inlineStr">
        <is>
          <t>[ALT_VIEW]</t>
        </is>
      </c>
      <c r="F1431" s="7" t="inlineStr">
        <is>
          <t>2128 / FFG-Frigate</t>
        </is>
      </c>
      <c r="G1431" s="7" t="inlineStr">
        <is>
          <t>P-35</t>
        </is>
      </c>
      <c r="I1431" s="14" t="n">
        <v>1</v>
      </c>
      <c r="J1431" s="7" t="inlineStr">
        <is>
          <t>Full ship DD&amp;C</t>
        </is>
      </c>
      <c r="K1431" s="13" t="inlineStr">
        <is>
          <t>USN</t>
        </is>
      </c>
      <c r="L1431" s="7" t="inlineStr">
        <is>
          <t>Combatant Ships</t>
        </is>
      </c>
      <c r="M1431" s="7" t="inlineStr">
        <is>
          <t>Surface Combatants</t>
        </is>
      </c>
      <c r="N1431" s="7" t="inlineStr">
        <is>
          <t>FFG</t>
        </is>
      </c>
      <c r="O1431" s="15" t="n"/>
      <c r="S1431" s="16" t="n">
        <v>3020</v>
      </c>
      <c r="U1431" s="16" t="n">
        <v>3020</v>
      </c>
      <c r="AC1431" s="23">
        <f>IF(OR(E1431="",E1431="[PARENT]"),"ADD",IF(E1431="[ALT_VIEW]","ALT",""))</f>
        <v/>
      </c>
      <c r="AD1431" s="21">
        <f>IF(Y1431&lt;&gt;"",Y1431,IF(U1431&lt;&gt;"",U1431,S1431))</f>
        <v/>
      </c>
      <c r="AE1431" s="21">
        <f>IF(AB1431&lt;&gt;"",AB1431,Z1431)</f>
        <v/>
      </c>
      <c r="AF1431" s="13" t="inlineStr">
        <is>
          <t>P-35 &gt; FFG-Frigate &gt; Platform Boundary Defense (PBD) &gt; Technical Engineering Services</t>
        </is>
      </c>
      <c r="AG1431" s="7" t="inlineStr">
        <is>
          <t>296</t>
        </is>
      </c>
      <c r="AH1431" s="7" t="inlineStr">
        <is>
          <t>2128</t>
        </is>
      </c>
    </row>
    <row r="1432" ht="10" customHeight="1">
      <c r="A1432" s="7" t="inlineStr">
        <is>
          <t>SCN</t>
        </is>
      </c>
      <c r="B1432" s="7" t="inlineStr">
        <is>
          <t>Procurement</t>
        </is>
      </c>
      <c r="D1432" s="7" t="inlineStr">
        <is>
          <t>FFG-Frigate - P-35 Platform Boundary Defense (PBD) - Other Costs</t>
        </is>
      </c>
      <c r="E1432" s="13" t="inlineStr">
        <is>
          <t>[ALT_VIEW]</t>
        </is>
      </c>
      <c r="F1432" s="7" t="inlineStr">
        <is>
          <t>2128 / FFG-Frigate</t>
        </is>
      </c>
      <c r="G1432" s="7" t="inlineStr">
        <is>
          <t>P-35</t>
        </is>
      </c>
      <c r="I1432" s="14" t="n">
        <v>1</v>
      </c>
      <c r="J1432" s="7" t="inlineStr">
        <is>
          <t>Full ship DD&amp;C</t>
        </is>
      </c>
      <c r="K1432" s="13" t="inlineStr">
        <is>
          <t>USN</t>
        </is>
      </c>
      <c r="L1432" s="7" t="inlineStr">
        <is>
          <t>Combatant Ships</t>
        </is>
      </c>
      <c r="M1432" s="7" t="inlineStr">
        <is>
          <t>Surface Combatants</t>
        </is>
      </c>
      <c r="N1432" s="7" t="inlineStr">
        <is>
          <t>FFG</t>
        </is>
      </c>
      <c r="O1432" s="15" t="n"/>
      <c r="S1432" s="16" t="n">
        <v>2283</v>
      </c>
      <c r="U1432" s="16" t="n">
        <v>2283</v>
      </c>
      <c r="AC1432" s="23">
        <f>IF(OR(E1432="",E1432="[PARENT]"),"ADD",IF(E1432="[ALT_VIEW]","ALT",""))</f>
        <v/>
      </c>
      <c r="AD1432" s="21">
        <f>IF(Y1432&lt;&gt;"",Y1432,IF(U1432&lt;&gt;"",U1432,S1432))</f>
        <v/>
      </c>
      <c r="AE1432" s="21">
        <f>IF(AB1432&lt;&gt;"",AB1432,Z1432)</f>
        <v/>
      </c>
      <c r="AF1432" s="13" t="inlineStr">
        <is>
          <t>P-35 &gt; FFG-Frigate &gt; Platform Boundary Defense (PBD) &gt; Other Costs</t>
        </is>
      </c>
      <c r="AG1432" s="7" t="inlineStr">
        <is>
          <t>296</t>
        </is>
      </c>
      <c r="AH1432" s="7" t="inlineStr">
        <is>
          <t>2128</t>
        </is>
      </c>
    </row>
    <row r="1433" ht="10" customHeight="1">
      <c r="A1433" s="7" t="inlineStr">
        <is>
          <t>SCN</t>
        </is>
      </c>
      <c r="B1433" s="7" t="inlineStr">
        <is>
          <t>Procurement</t>
        </is>
      </c>
      <c r="D1433" s="7" t="inlineStr">
        <is>
          <t>FFG-Frigate - P-35 Aircraft Ship Integrated Securing and Traversing System (ASIST) - Major Hardware                                                                      2</t>
        </is>
      </c>
      <c r="E1433" s="13" t="inlineStr">
        <is>
          <t>[ALT_VIEW]</t>
        </is>
      </c>
      <c r="F1433" s="7" t="inlineStr">
        <is>
          <t>2128 / FFG-Frigate</t>
        </is>
      </c>
      <c r="G1433" s="7" t="inlineStr">
        <is>
          <t>P-35</t>
        </is>
      </c>
      <c r="I1433" s="14" t="n">
        <v>1</v>
      </c>
      <c r="J1433" s="7" t="inlineStr">
        <is>
          <t>Full ship DD&amp;C</t>
        </is>
      </c>
      <c r="K1433" s="13" t="inlineStr">
        <is>
          <t>USN</t>
        </is>
      </c>
      <c r="L1433" s="7" t="inlineStr">
        <is>
          <t>Combatant Ships</t>
        </is>
      </c>
      <c r="M1433" s="7" t="inlineStr">
        <is>
          <t>Surface Combatants</t>
        </is>
      </c>
      <c r="N1433" s="7" t="inlineStr">
        <is>
          <t>FFG</t>
        </is>
      </c>
      <c r="O1433" s="15" t="n"/>
      <c r="S1433" s="16" t="n">
        <v>15399</v>
      </c>
      <c r="U1433" s="16" t="n">
        <v>15399</v>
      </c>
      <c r="AC1433" s="23">
        <f>IF(OR(E1433="",E1433="[PARENT]"),"ADD",IF(E1433="[ALT_VIEW]","ALT",""))</f>
        <v/>
      </c>
      <c r="AD1433" s="21">
        <f>IF(Y1433&lt;&gt;"",Y1433,IF(U1433&lt;&gt;"",U1433,S1433))</f>
        <v/>
      </c>
      <c r="AE1433" s="21">
        <f>IF(AB1433&lt;&gt;"",AB1433,Z1433)</f>
        <v/>
      </c>
      <c r="AF1433" s="13" t="inlineStr">
        <is>
          <t>P-35 &gt; FFG-Frigate &gt; Aircraft Ship Integrated Securing and Traversing System (ASIST) &gt; Major Hardware                                                                      2</t>
        </is>
      </c>
      <c r="AG1433" s="7" t="inlineStr">
        <is>
          <t>297</t>
        </is>
      </c>
      <c r="AH1433" s="7" t="inlineStr">
        <is>
          <t>2128</t>
        </is>
      </c>
    </row>
    <row r="1434" ht="10" customHeight="1">
      <c r="A1434" s="7" t="inlineStr">
        <is>
          <t>SCN</t>
        </is>
      </c>
      <c r="B1434" s="7" t="inlineStr">
        <is>
          <t>Procurement</t>
        </is>
      </c>
      <c r="D1434" s="7" t="inlineStr">
        <is>
          <t>FFG-Frigate - P-35 Aircraft Ship Integrated Securing and Traversing System (ASIST) - System Engineering</t>
        </is>
      </c>
      <c r="E1434" s="13" t="inlineStr">
        <is>
          <t>[ALT_VIEW]</t>
        </is>
      </c>
      <c r="F1434" s="7" t="inlineStr">
        <is>
          <t>2128 / FFG-Frigate</t>
        </is>
      </c>
      <c r="G1434" s="7" t="inlineStr">
        <is>
          <t>P-35</t>
        </is>
      </c>
      <c r="I1434" s="14" t="n">
        <v>1</v>
      </c>
      <c r="J1434" s="7" t="inlineStr">
        <is>
          <t>Full ship DD&amp;C</t>
        </is>
      </c>
      <c r="K1434" s="13" t="inlineStr">
        <is>
          <t>USN</t>
        </is>
      </c>
      <c r="L1434" s="7" t="inlineStr">
        <is>
          <t>Combatant Ships</t>
        </is>
      </c>
      <c r="M1434" s="7" t="inlineStr">
        <is>
          <t>Surface Combatants</t>
        </is>
      </c>
      <c r="N1434" s="7" t="inlineStr">
        <is>
          <t>FFG</t>
        </is>
      </c>
      <c r="O1434" s="15" t="n"/>
      <c r="S1434" s="16" t="n">
        <v>1093</v>
      </c>
      <c r="U1434" s="16" t="n">
        <v>1093</v>
      </c>
      <c r="AC1434" s="23">
        <f>IF(OR(E1434="",E1434="[PARENT]"),"ADD",IF(E1434="[ALT_VIEW]","ALT",""))</f>
        <v/>
      </c>
      <c r="AD1434" s="21">
        <f>IF(Y1434&lt;&gt;"",Y1434,IF(U1434&lt;&gt;"",U1434,S1434))</f>
        <v/>
      </c>
      <c r="AE1434" s="21">
        <f>IF(AB1434&lt;&gt;"",AB1434,Z1434)</f>
        <v/>
      </c>
      <c r="AF1434" s="13" t="inlineStr">
        <is>
          <t>P-35 &gt; FFG-Frigate &gt; Aircraft Ship Integrated Securing and Traversing System (ASIST) &gt; System Engineering</t>
        </is>
      </c>
      <c r="AG1434" s="7" t="inlineStr">
        <is>
          <t>297</t>
        </is>
      </c>
      <c r="AH1434" s="7" t="inlineStr">
        <is>
          <t>2128</t>
        </is>
      </c>
    </row>
    <row r="1435" ht="10" customHeight="1">
      <c r="A1435" s="7" t="inlineStr">
        <is>
          <t>SCN</t>
        </is>
      </c>
      <c r="B1435" s="7" t="inlineStr">
        <is>
          <t>Procurement</t>
        </is>
      </c>
      <c r="D1435" s="7" t="inlineStr">
        <is>
          <t>FFG-Frigate - P-35 Aircraft Ship Integrated Securing and Traversing System (ASIST) - Technical Engineering Services</t>
        </is>
      </c>
      <c r="E1435" s="13" t="inlineStr">
        <is>
          <t>[ALT_VIEW]</t>
        </is>
      </c>
      <c r="F1435" s="7" t="inlineStr">
        <is>
          <t>2128 / FFG-Frigate</t>
        </is>
      </c>
      <c r="G1435" s="7" t="inlineStr">
        <is>
          <t>P-35</t>
        </is>
      </c>
      <c r="I1435" s="14" t="n">
        <v>1</v>
      </c>
      <c r="J1435" s="7" t="inlineStr">
        <is>
          <t>Full ship DD&amp;C</t>
        </is>
      </c>
      <c r="K1435" s="13" t="inlineStr">
        <is>
          <t>USN</t>
        </is>
      </c>
      <c r="L1435" s="7" t="inlineStr">
        <is>
          <t>Combatant Ships</t>
        </is>
      </c>
      <c r="M1435" s="7" t="inlineStr">
        <is>
          <t>Surface Combatants</t>
        </is>
      </c>
      <c r="N1435" s="7" t="inlineStr">
        <is>
          <t>FFG</t>
        </is>
      </c>
      <c r="O1435" s="15" t="n"/>
      <c r="S1435" s="16" t="n">
        <v>720</v>
      </c>
      <c r="U1435" s="16" t="n">
        <v>720</v>
      </c>
      <c r="AC1435" s="23">
        <f>IF(OR(E1435="",E1435="[PARENT]"),"ADD",IF(E1435="[ALT_VIEW]","ALT",""))</f>
        <v/>
      </c>
      <c r="AD1435" s="21">
        <f>IF(Y1435&lt;&gt;"",Y1435,IF(U1435&lt;&gt;"",U1435,S1435))</f>
        <v/>
      </c>
      <c r="AE1435" s="21">
        <f>IF(AB1435&lt;&gt;"",AB1435,Z1435)</f>
        <v/>
      </c>
      <c r="AF1435" s="13" t="inlineStr">
        <is>
          <t>P-35 &gt; FFG-Frigate &gt; Aircraft Ship Integrated Securing and Traversing System (ASIST) &gt; Technical Engineering Services</t>
        </is>
      </c>
      <c r="AG1435" s="7" t="inlineStr">
        <is>
          <t>297</t>
        </is>
      </c>
      <c r="AH1435" s="7" t="inlineStr">
        <is>
          <t>2128</t>
        </is>
      </c>
    </row>
    <row r="1436" ht="10" customHeight="1">
      <c r="A1436" s="7" t="inlineStr">
        <is>
          <t>SCN</t>
        </is>
      </c>
      <c r="B1436" s="7" t="inlineStr">
        <is>
          <t>Procurement</t>
        </is>
      </c>
      <c r="D1436" s="7" t="inlineStr">
        <is>
          <t>FFG-Frigate - P-35 Aircraft Ship Integrated Securing and Traversing System (ASIST) - Other Costs</t>
        </is>
      </c>
      <c r="E1436" s="13" t="inlineStr">
        <is>
          <t>[ALT_VIEW]</t>
        </is>
      </c>
      <c r="F1436" s="7" t="inlineStr">
        <is>
          <t>2128 / FFG-Frigate</t>
        </is>
      </c>
      <c r="G1436" s="7" t="inlineStr">
        <is>
          <t>P-35</t>
        </is>
      </c>
      <c r="I1436" s="14" t="n">
        <v>1</v>
      </c>
      <c r="J1436" s="7" t="inlineStr">
        <is>
          <t>Full ship DD&amp;C</t>
        </is>
      </c>
      <c r="K1436" s="13" t="inlineStr">
        <is>
          <t>USN</t>
        </is>
      </c>
      <c r="L1436" s="7" t="inlineStr">
        <is>
          <t>Combatant Ships</t>
        </is>
      </c>
      <c r="M1436" s="7" t="inlineStr">
        <is>
          <t>Surface Combatants</t>
        </is>
      </c>
      <c r="N1436" s="7" t="inlineStr">
        <is>
          <t>FFG</t>
        </is>
      </c>
      <c r="O1436" s="15" t="n"/>
      <c r="S1436" s="16" t="n">
        <v>137</v>
      </c>
      <c r="U1436" s="16" t="n">
        <v>137</v>
      </c>
      <c r="AC1436" s="23">
        <f>IF(OR(E1436="",E1436="[PARENT]"),"ADD",IF(E1436="[ALT_VIEW]","ALT",""))</f>
        <v/>
      </c>
      <c r="AD1436" s="21">
        <f>IF(Y1436&lt;&gt;"",Y1436,IF(U1436&lt;&gt;"",U1436,S1436))</f>
        <v/>
      </c>
      <c r="AE1436" s="21">
        <f>IF(AB1436&lt;&gt;"",AB1436,Z1436)</f>
        <v/>
      </c>
      <c r="AF1436" s="13" t="inlineStr">
        <is>
          <t>P-35 &gt; FFG-Frigate &gt; Aircraft Ship Integrated Securing and Traversing System (ASIST) &gt; Other Costs</t>
        </is>
      </c>
      <c r="AG1436" s="7" t="inlineStr">
        <is>
          <t>297</t>
        </is>
      </c>
      <c r="AH1436" s="7" t="inlineStr">
        <is>
          <t>2128</t>
        </is>
      </c>
      <c r="AJ1436" s="7" t="inlineStr">
        <is>
          <t>Aircraft Ship Integrated Securing and Traversing System (ASIST) [FFG 66]</t>
        </is>
      </c>
    </row>
    <row r="1437" ht="10" customHeight="1">
      <c r="A1437" s="7" t="inlineStr">
        <is>
          <t>SCN</t>
        </is>
      </c>
      <c r="B1437" s="7" t="inlineStr">
        <is>
          <t>Procurement</t>
        </is>
      </c>
      <c r="D1437" s="7" t="inlineStr">
        <is>
          <t>FFG-Frigate - P-35 Internal Communication (IC) Voice - Major Hardware                                                                      2</t>
        </is>
      </c>
      <c r="E1437" s="13" t="inlineStr">
        <is>
          <t>[ALT_VIEW]</t>
        </is>
      </c>
      <c r="F1437" s="7" t="inlineStr">
        <is>
          <t>2128 / FFG-Frigate</t>
        </is>
      </c>
      <c r="G1437" s="7" t="inlineStr">
        <is>
          <t>P-35</t>
        </is>
      </c>
      <c r="I1437" s="14" t="n">
        <v>1</v>
      </c>
      <c r="J1437" s="7" t="inlineStr">
        <is>
          <t>Full ship DD&amp;C</t>
        </is>
      </c>
      <c r="K1437" s="13" t="inlineStr">
        <is>
          <t>USN</t>
        </is>
      </c>
      <c r="L1437" s="7" t="inlineStr">
        <is>
          <t>Combatant Ships</t>
        </is>
      </c>
      <c r="M1437" s="7" t="inlineStr">
        <is>
          <t>Surface Combatants</t>
        </is>
      </c>
      <c r="N1437" s="7" t="inlineStr">
        <is>
          <t>FFG</t>
        </is>
      </c>
      <c r="O1437" s="15" t="n"/>
      <c r="S1437" s="16" t="n">
        <v>4175</v>
      </c>
      <c r="U1437" s="16" t="n">
        <v>4175</v>
      </c>
      <c r="AC1437" s="23">
        <f>IF(OR(E1437="",E1437="[PARENT]"),"ADD",IF(E1437="[ALT_VIEW]","ALT",""))</f>
        <v/>
      </c>
      <c r="AD1437" s="21">
        <f>IF(Y1437&lt;&gt;"",Y1437,IF(U1437&lt;&gt;"",U1437,S1437))</f>
        <v/>
      </c>
      <c r="AE1437" s="21">
        <f>IF(AB1437&lt;&gt;"",AB1437,Z1437)</f>
        <v/>
      </c>
      <c r="AF1437" s="13" t="inlineStr">
        <is>
          <t>P-35 &gt; FFG-Frigate &gt; Internal Communication (IC) Voice &gt; Major Hardware                                                                      2</t>
        </is>
      </c>
      <c r="AG1437" s="7" t="inlineStr">
        <is>
          <t>298</t>
        </is>
      </c>
      <c r="AH1437" s="7" t="inlineStr">
        <is>
          <t>2128</t>
        </is>
      </c>
    </row>
    <row r="1438" ht="10" customHeight="1">
      <c r="A1438" s="7" t="inlineStr">
        <is>
          <t>SCN</t>
        </is>
      </c>
      <c r="B1438" s="7" t="inlineStr">
        <is>
          <t>Procurement</t>
        </is>
      </c>
      <c r="D1438" s="7" t="inlineStr">
        <is>
          <t>FFG-Frigate - P-35 Internal Communication (IC) Voice - System Engineering</t>
        </is>
      </c>
      <c r="E1438" s="13" t="inlineStr">
        <is>
          <t>[ALT_VIEW]</t>
        </is>
      </c>
      <c r="F1438" s="7" t="inlineStr">
        <is>
          <t>2128 / FFG-Frigate</t>
        </is>
      </c>
      <c r="G1438" s="7" t="inlineStr">
        <is>
          <t>P-35</t>
        </is>
      </c>
      <c r="I1438" s="14" t="n">
        <v>1</v>
      </c>
      <c r="J1438" s="7" t="inlineStr">
        <is>
          <t>Full ship DD&amp;C</t>
        </is>
      </c>
      <c r="K1438" s="13" t="inlineStr">
        <is>
          <t>USN</t>
        </is>
      </c>
      <c r="L1438" s="7" t="inlineStr">
        <is>
          <t>Combatant Ships</t>
        </is>
      </c>
      <c r="M1438" s="7" t="inlineStr">
        <is>
          <t>Surface Combatants</t>
        </is>
      </c>
      <c r="N1438" s="7" t="inlineStr">
        <is>
          <t>FFG</t>
        </is>
      </c>
      <c r="O1438" s="15" t="n"/>
      <c r="S1438" s="16" t="n">
        <v>404</v>
      </c>
      <c r="U1438" s="16" t="n">
        <v>404</v>
      </c>
      <c r="AC1438" s="23">
        <f>IF(OR(E1438="",E1438="[PARENT]"),"ADD",IF(E1438="[ALT_VIEW]","ALT",""))</f>
        <v/>
      </c>
      <c r="AD1438" s="21">
        <f>IF(Y1438&lt;&gt;"",Y1438,IF(U1438&lt;&gt;"",U1438,S1438))</f>
        <v/>
      </c>
      <c r="AE1438" s="21">
        <f>IF(AB1438&lt;&gt;"",AB1438,Z1438)</f>
        <v/>
      </c>
      <c r="AF1438" s="13" t="inlineStr">
        <is>
          <t>P-35 &gt; FFG-Frigate &gt; Internal Communication (IC) Voice &gt; System Engineering</t>
        </is>
      </c>
      <c r="AG1438" s="7" t="inlineStr">
        <is>
          <t>298</t>
        </is>
      </c>
      <c r="AH1438" s="7" t="inlineStr">
        <is>
          <t>2128</t>
        </is>
      </c>
    </row>
    <row r="1439" ht="10" customHeight="1">
      <c r="A1439" s="7" t="inlineStr">
        <is>
          <t>SCN</t>
        </is>
      </c>
      <c r="B1439" s="7" t="inlineStr">
        <is>
          <t>Procurement</t>
        </is>
      </c>
      <c r="D1439" s="7" t="inlineStr">
        <is>
          <t>FFG-Frigate - P-35 Internal Communication (IC) Voice - Technical Engineering Services</t>
        </is>
      </c>
      <c r="E1439" s="13" t="inlineStr">
        <is>
          <t>[ALT_VIEW]</t>
        </is>
      </c>
      <c r="F1439" s="7" t="inlineStr">
        <is>
          <t>2128 / FFG-Frigate</t>
        </is>
      </c>
      <c r="G1439" s="7" t="inlineStr">
        <is>
          <t>P-35</t>
        </is>
      </c>
      <c r="I1439" s="14" t="n">
        <v>1</v>
      </c>
      <c r="J1439" s="7" t="inlineStr">
        <is>
          <t>Full ship DD&amp;C</t>
        </is>
      </c>
      <c r="K1439" s="13" t="inlineStr">
        <is>
          <t>USN</t>
        </is>
      </c>
      <c r="L1439" s="7" t="inlineStr">
        <is>
          <t>Combatant Ships</t>
        </is>
      </c>
      <c r="M1439" s="7" t="inlineStr">
        <is>
          <t>Surface Combatants</t>
        </is>
      </c>
      <c r="N1439" s="7" t="inlineStr">
        <is>
          <t>FFG</t>
        </is>
      </c>
      <c r="O1439" s="15" t="n"/>
      <c r="S1439" s="16" t="n">
        <v>1450</v>
      </c>
      <c r="U1439" s="16" t="n">
        <v>1450</v>
      </c>
      <c r="AC1439" s="23">
        <f>IF(OR(E1439="",E1439="[PARENT]"),"ADD",IF(E1439="[ALT_VIEW]","ALT",""))</f>
        <v/>
      </c>
      <c r="AD1439" s="21">
        <f>IF(Y1439&lt;&gt;"",Y1439,IF(U1439&lt;&gt;"",U1439,S1439))</f>
        <v/>
      </c>
      <c r="AE1439" s="21">
        <f>IF(AB1439&lt;&gt;"",AB1439,Z1439)</f>
        <v/>
      </c>
      <c r="AF1439" s="13" t="inlineStr">
        <is>
          <t>P-35 &gt; FFG-Frigate &gt; Internal Communication (IC) Voice &gt; Technical Engineering Services</t>
        </is>
      </c>
      <c r="AG1439" s="7" t="inlineStr">
        <is>
          <t>298</t>
        </is>
      </c>
      <c r="AH1439" s="7" t="inlineStr">
        <is>
          <t>2128</t>
        </is>
      </c>
    </row>
    <row r="1440" ht="10" customHeight="1">
      <c r="A1440" s="7" t="inlineStr">
        <is>
          <t>SCN</t>
        </is>
      </c>
      <c r="B1440" s="7" t="inlineStr">
        <is>
          <t>Procurement</t>
        </is>
      </c>
      <c r="D1440" s="7" t="inlineStr">
        <is>
          <t>FFG-Frigate - P-35 Internal Communication (IC) Voice - Other Costs</t>
        </is>
      </c>
      <c r="E1440" s="13" t="inlineStr">
        <is>
          <t>[ALT_VIEW]</t>
        </is>
      </c>
      <c r="F1440" s="7" t="inlineStr">
        <is>
          <t>2128 / FFG-Frigate</t>
        </is>
      </c>
      <c r="G1440" s="7" t="inlineStr">
        <is>
          <t>P-35</t>
        </is>
      </c>
      <c r="I1440" s="14" t="n">
        <v>1</v>
      </c>
      <c r="J1440" s="7" t="inlineStr">
        <is>
          <t>Full ship DD&amp;C</t>
        </is>
      </c>
      <c r="K1440" s="13" t="inlineStr">
        <is>
          <t>USN</t>
        </is>
      </c>
      <c r="L1440" s="7" t="inlineStr">
        <is>
          <t>Combatant Ships</t>
        </is>
      </c>
      <c r="M1440" s="7" t="inlineStr">
        <is>
          <t>Surface Combatants</t>
        </is>
      </c>
      <c r="N1440" s="7" t="inlineStr">
        <is>
          <t>FFG</t>
        </is>
      </c>
      <c r="O1440" s="15" t="n"/>
      <c r="S1440" s="16" t="n">
        <v>1139</v>
      </c>
      <c r="U1440" s="16" t="n">
        <v>1139</v>
      </c>
      <c r="AC1440" s="23">
        <f>IF(OR(E1440="",E1440="[PARENT]"),"ADD",IF(E1440="[ALT_VIEW]","ALT",""))</f>
        <v/>
      </c>
      <c r="AD1440" s="21">
        <f>IF(Y1440&lt;&gt;"",Y1440,IF(U1440&lt;&gt;"",U1440,S1440))</f>
        <v/>
      </c>
      <c r="AE1440" s="21">
        <f>IF(AB1440&lt;&gt;"",AB1440,Z1440)</f>
        <v/>
      </c>
      <c r="AF1440" s="13" t="inlineStr">
        <is>
          <t>P-35 &gt; FFG-Frigate &gt; Internal Communication (IC) Voice &gt; Other Costs</t>
        </is>
      </c>
      <c r="AG1440" s="7" t="inlineStr">
        <is>
          <t>298</t>
        </is>
      </c>
      <c r="AH1440" s="7" t="inlineStr">
        <is>
          <t>2128</t>
        </is>
      </c>
    </row>
    <row r="1441" ht="10" customHeight="1">
      <c r="A1441" s="7" t="inlineStr">
        <is>
          <t>SCN</t>
        </is>
      </c>
      <c r="B1441" s="7" t="inlineStr">
        <is>
          <t>Procurement</t>
        </is>
      </c>
      <c r="D1441" s="7" t="inlineStr">
        <is>
          <t>FFG-Frigate - P-35 MK 41 Vertical Launch System (VLS)- 32 Cell - Major Hardware                                                                       2</t>
        </is>
      </c>
      <c r="E1441" s="13" t="inlineStr">
        <is>
          <t>[ALT_VIEW]</t>
        </is>
      </c>
      <c r="F1441" s="7" t="inlineStr">
        <is>
          <t>2128 / FFG-Frigate</t>
        </is>
      </c>
      <c r="G1441" s="7" t="inlineStr">
        <is>
          <t>P-35</t>
        </is>
      </c>
      <c r="I1441" s="14" t="n">
        <v>1</v>
      </c>
      <c r="J1441" s="7" t="inlineStr">
        <is>
          <t>Full ship DD&amp;C</t>
        </is>
      </c>
      <c r="K1441" s="13" t="inlineStr">
        <is>
          <t>USN</t>
        </is>
      </c>
      <c r="L1441" s="7" t="inlineStr">
        <is>
          <t>Combatant Ships</t>
        </is>
      </c>
      <c r="M1441" s="7" t="inlineStr">
        <is>
          <t>Surface Combatants</t>
        </is>
      </c>
      <c r="N1441" s="7" t="inlineStr">
        <is>
          <t>FFG</t>
        </is>
      </c>
      <c r="O1441" s="15" t="n"/>
      <c r="S1441" s="16" t="n">
        <v>51295</v>
      </c>
      <c r="U1441" s="16" t="n">
        <v>51295</v>
      </c>
      <c r="AC1441" s="23">
        <f>IF(OR(E1441="",E1441="[PARENT]"),"ADD",IF(E1441="[ALT_VIEW]","ALT",""))</f>
        <v/>
      </c>
      <c r="AD1441" s="21">
        <f>IF(Y1441&lt;&gt;"",Y1441,IF(U1441&lt;&gt;"",U1441,S1441))</f>
        <v/>
      </c>
      <c r="AE1441" s="21">
        <f>IF(AB1441&lt;&gt;"",AB1441,Z1441)</f>
        <v/>
      </c>
      <c r="AF1441" s="13" t="inlineStr">
        <is>
          <t>P-35 &gt; FFG-Frigate &gt; MK 41 Vertical Launch System (VLS)- 32 Cell &gt; Major Hardware                                                                       2</t>
        </is>
      </c>
      <c r="AG1441" s="7" t="inlineStr">
        <is>
          <t>299</t>
        </is>
      </c>
      <c r="AH1441" s="7" t="inlineStr">
        <is>
          <t>2128</t>
        </is>
      </c>
    </row>
    <row r="1442" ht="10" customHeight="1">
      <c r="A1442" s="7" t="inlineStr">
        <is>
          <t>SCN</t>
        </is>
      </c>
      <c r="B1442" s="7" t="inlineStr">
        <is>
          <t>Procurement</t>
        </is>
      </c>
      <c r="D1442" s="7" t="inlineStr">
        <is>
          <t>FFG-Frigate - P-35 MK 41 Vertical Launch System (VLS)- 32 Cell - System Engineering</t>
        </is>
      </c>
      <c r="E1442" s="13" t="inlineStr">
        <is>
          <t>[ALT_VIEW]</t>
        </is>
      </c>
      <c r="F1442" s="7" t="inlineStr">
        <is>
          <t>2128 / FFG-Frigate</t>
        </is>
      </c>
      <c r="G1442" s="7" t="inlineStr">
        <is>
          <t>P-35</t>
        </is>
      </c>
      <c r="I1442" s="14" t="n">
        <v>1</v>
      </c>
      <c r="J1442" s="7" t="inlineStr">
        <is>
          <t>Full ship DD&amp;C</t>
        </is>
      </c>
      <c r="K1442" s="13" t="inlineStr">
        <is>
          <t>USN</t>
        </is>
      </c>
      <c r="L1442" s="7" t="inlineStr">
        <is>
          <t>Combatant Ships</t>
        </is>
      </c>
      <c r="M1442" s="7" t="inlineStr">
        <is>
          <t>Surface Combatants</t>
        </is>
      </c>
      <c r="N1442" s="7" t="inlineStr">
        <is>
          <t>FFG</t>
        </is>
      </c>
      <c r="O1442" s="15" t="n"/>
      <c r="S1442" s="16" t="n">
        <v>1253</v>
      </c>
      <c r="U1442" s="16" t="n">
        <v>1253</v>
      </c>
      <c r="AC1442" s="23">
        <f>IF(OR(E1442="",E1442="[PARENT]"),"ADD",IF(E1442="[ALT_VIEW]","ALT",""))</f>
        <v/>
      </c>
      <c r="AD1442" s="21">
        <f>IF(Y1442&lt;&gt;"",Y1442,IF(U1442&lt;&gt;"",U1442,S1442))</f>
        <v/>
      </c>
      <c r="AE1442" s="21">
        <f>IF(AB1442&lt;&gt;"",AB1442,Z1442)</f>
        <v/>
      </c>
      <c r="AF1442" s="13" t="inlineStr">
        <is>
          <t>P-35 &gt; FFG-Frigate &gt; MK 41 Vertical Launch System (VLS)- 32 Cell &gt; System Engineering</t>
        </is>
      </c>
      <c r="AG1442" s="7" t="inlineStr">
        <is>
          <t>299</t>
        </is>
      </c>
      <c r="AH1442" s="7" t="inlineStr">
        <is>
          <t>2128</t>
        </is>
      </c>
    </row>
    <row r="1443" ht="10" customHeight="1">
      <c r="A1443" s="7" t="inlineStr">
        <is>
          <t>SCN</t>
        </is>
      </c>
      <c r="B1443" s="7" t="inlineStr">
        <is>
          <t>Procurement</t>
        </is>
      </c>
      <c r="D1443" s="7" t="inlineStr">
        <is>
          <t>FFG-Frigate - P-35 MK 41 Vertical Launch System (VLS)- 32 Cell - Other Costs</t>
        </is>
      </c>
      <c r="E1443" s="13" t="inlineStr">
        <is>
          <t>[ALT_VIEW]</t>
        </is>
      </c>
      <c r="F1443" s="7" t="inlineStr">
        <is>
          <t>2128 / FFG-Frigate</t>
        </is>
      </c>
      <c r="G1443" s="7" t="inlineStr">
        <is>
          <t>P-35</t>
        </is>
      </c>
      <c r="I1443" s="14" t="n">
        <v>1</v>
      </c>
      <c r="J1443" s="7" t="inlineStr">
        <is>
          <t>Full ship DD&amp;C</t>
        </is>
      </c>
      <c r="K1443" s="13" t="inlineStr">
        <is>
          <t>USN</t>
        </is>
      </c>
      <c r="L1443" s="7" t="inlineStr">
        <is>
          <t>Combatant Ships</t>
        </is>
      </c>
      <c r="M1443" s="7" t="inlineStr">
        <is>
          <t>Surface Combatants</t>
        </is>
      </c>
      <c r="N1443" s="7" t="inlineStr">
        <is>
          <t>FFG</t>
        </is>
      </c>
      <c r="O1443" s="15" t="n"/>
      <c r="S1443" s="16" t="n">
        <v>767</v>
      </c>
      <c r="U1443" s="16" t="n">
        <v>767</v>
      </c>
      <c r="AC1443" s="23">
        <f>IF(OR(E1443="",E1443="[PARENT]"),"ADD",IF(E1443="[ALT_VIEW]","ALT",""))</f>
        <v/>
      </c>
      <c r="AD1443" s="21">
        <f>IF(Y1443&lt;&gt;"",Y1443,IF(U1443&lt;&gt;"",U1443,S1443))</f>
        <v/>
      </c>
      <c r="AE1443" s="21">
        <f>IF(AB1443&lt;&gt;"",AB1443,Z1443)</f>
        <v/>
      </c>
      <c r="AF1443" s="13" t="inlineStr">
        <is>
          <t>P-35 &gt; FFG-Frigate &gt; MK 41 Vertical Launch System (VLS)- 32 Cell &gt; Other Costs</t>
        </is>
      </c>
      <c r="AG1443" s="7" t="inlineStr">
        <is>
          <t>299</t>
        </is>
      </c>
      <c r="AH1443" s="7" t="inlineStr">
        <is>
          <t>2128</t>
        </is>
      </c>
    </row>
    <row r="1444" ht="10" customHeight="1">
      <c r="A1444" s="7" t="inlineStr">
        <is>
          <t>SCN</t>
        </is>
      </c>
      <c r="B1444" s="7" t="inlineStr">
        <is>
          <t>Procurement</t>
        </is>
      </c>
      <c r="D1444" s="7" t="inlineStr">
        <is>
          <t>FFG-Frigate - P-35 MK 48 Gun Weapon System (GWS) - Major Hardware                                                                         2</t>
        </is>
      </c>
      <c r="E1444" s="13" t="inlineStr">
        <is>
          <t>[ALT_VIEW]</t>
        </is>
      </c>
      <c r="F1444" s="7" t="inlineStr">
        <is>
          <t>2128 / FFG-Frigate</t>
        </is>
      </c>
      <c r="G1444" s="7" t="inlineStr">
        <is>
          <t>P-35</t>
        </is>
      </c>
      <c r="I1444" s="14" t="n">
        <v>1</v>
      </c>
      <c r="J1444" s="7" t="inlineStr">
        <is>
          <t>Full ship DD&amp;C</t>
        </is>
      </c>
      <c r="K1444" s="13" t="inlineStr">
        <is>
          <t>USN</t>
        </is>
      </c>
      <c r="L1444" s="7" t="inlineStr">
        <is>
          <t>Combatant Ships</t>
        </is>
      </c>
      <c r="M1444" s="7" t="inlineStr">
        <is>
          <t>Surface Combatants</t>
        </is>
      </c>
      <c r="N1444" s="7" t="inlineStr">
        <is>
          <t>FFG</t>
        </is>
      </c>
      <c r="O1444" s="15" t="n"/>
      <c r="S1444" s="16" t="n">
        <v>26501</v>
      </c>
      <c r="U1444" s="16" t="n">
        <v>26501</v>
      </c>
      <c r="AC1444" s="23">
        <f>IF(OR(E1444="",E1444="[PARENT]"),"ADD",IF(E1444="[ALT_VIEW]","ALT",""))</f>
        <v/>
      </c>
      <c r="AD1444" s="21">
        <f>IF(Y1444&lt;&gt;"",Y1444,IF(U1444&lt;&gt;"",U1444,S1444))</f>
        <v/>
      </c>
      <c r="AE1444" s="21">
        <f>IF(AB1444&lt;&gt;"",AB1444,Z1444)</f>
        <v/>
      </c>
      <c r="AF1444" s="13" t="inlineStr">
        <is>
          <t>P-35 &gt; FFG-Frigate &gt; MK 48 Gun Weapon System (GWS) &gt; Major Hardware                                                                         2</t>
        </is>
      </c>
      <c r="AG1444" s="7" t="inlineStr">
        <is>
          <t>300</t>
        </is>
      </c>
      <c r="AH1444" s="7" t="inlineStr">
        <is>
          <t>2128</t>
        </is>
      </c>
    </row>
    <row r="1445" ht="10" customHeight="1">
      <c r="A1445" s="7" t="inlineStr">
        <is>
          <t>SCN</t>
        </is>
      </c>
      <c r="B1445" s="7" t="inlineStr">
        <is>
          <t>Procurement</t>
        </is>
      </c>
      <c r="D1445" s="7" t="inlineStr">
        <is>
          <t>FFG-Frigate - P-35 MK 48 Gun Weapon System (GWS) - System Engineering</t>
        </is>
      </c>
      <c r="E1445" s="13" t="inlineStr">
        <is>
          <t>[ALT_VIEW]</t>
        </is>
      </c>
      <c r="F1445" s="7" t="inlineStr">
        <is>
          <t>2128 / FFG-Frigate</t>
        </is>
      </c>
      <c r="G1445" s="7" t="inlineStr">
        <is>
          <t>P-35</t>
        </is>
      </c>
      <c r="I1445" s="14" t="n">
        <v>1</v>
      </c>
      <c r="J1445" s="7" t="inlineStr">
        <is>
          <t>Full ship DD&amp;C</t>
        </is>
      </c>
      <c r="K1445" s="13" t="inlineStr">
        <is>
          <t>USN</t>
        </is>
      </c>
      <c r="L1445" s="7" t="inlineStr">
        <is>
          <t>Combatant Ships</t>
        </is>
      </c>
      <c r="M1445" s="7" t="inlineStr">
        <is>
          <t>Surface Combatants</t>
        </is>
      </c>
      <c r="N1445" s="7" t="inlineStr">
        <is>
          <t>FFG</t>
        </is>
      </c>
      <c r="O1445" s="15" t="n"/>
      <c r="S1445" s="16" t="n">
        <v>1835</v>
      </c>
      <c r="U1445" s="16" t="n">
        <v>1835</v>
      </c>
      <c r="AC1445" s="23">
        <f>IF(OR(E1445="",E1445="[PARENT]"),"ADD",IF(E1445="[ALT_VIEW]","ALT",""))</f>
        <v/>
      </c>
      <c r="AD1445" s="21">
        <f>IF(Y1445&lt;&gt;"",Y1445,IF(U1445&lt;&gt;"",U1445,S1445))</f>
        <v/>
      </c>
      <c r="AE1445" s="21">
        <f>IF(AB1445&lt;&gt;"",AB1445,Z1445)</f>
        <v/>
      </c>
      <c r="AF1445" s="13" t="inlineStr">
        <is>
          <t>P-35 &gt; FFG-Frigate &gt; MK 48 Gun Weapon System (GWS) &gt; System Engineering</t>
        </is>
      </c>
      <c r="AG1445" s="7" t="inlineStr">
        <is>
          <t>300</t>
        </is>
      </c>
      <c r="AH1445" s="7" t="inlineStr">
        <is>
          <t>2128</t>
        </is>
      </c>
    </row>
    <row r="1446" ht="10" customHeight="1">
      <c r="A1446" s="7" t="inlineStr">
        <is>
          <t>SCN</t>
        </is>
      </c>
      <c r="B1446" s="7" t="inlineStr">
        <is>
          <t>Procurement</t>
        </is>
      </c>
      <c r="D1446" s="7" t="inlineStr">
        <is>
          <t>FFG-Frigate - P-35 MK 48 Gun Weapon System (GWS) - Technical Engineering Services</t>
        </is>
      </c>
      <c r="E1446" s="13" t="inlineStr">
        <is>
          <t>[ALT_VIEW]</t>
        </is>
      </c>
      <c r="F1446" s="7" t="inlineStr">
        <is>
          <t>2128 / FFG-Frigate</t>
        </is>
      </c>
      <c r="G1446" s="7" t="inlineStr">
        <is>
          <t>P-35</t>
        </is>
      </c>
      <c r="I1446" s="14" t="n">
        <v>1</v>
      </c>
      <c r="J1446" s="7" t="inlineStr">
        <is>
          <t>Full ship DD&amp;C</t>
        </is>
      </c>
      <c r="K1446" s="13" t="inlineStr">
        <is>
          <t>USN</t>
        </is>
      </c>
      <c r="L1446" s="7" t="inlineStr">
        <is>
          <t>Combatant Ships</t>
        </is>
      </c>
      <c r="M1446" s="7" t="inlineStr">
        <is>
          <t>Surface Combatants</t>
        </is>
      </c>
      <c r="N1446" s="7" t="inlineStr">
        <is>
          <t>FFG</t>
        </is>
      </c>
      <c r="O1446" s="15" t="n"/>
      <c r="S1446" s="16" t="n">
        <v>617</v>
      </c>
      <c r="U1446" s="16" t="n">
        <v>617</v>
      </c>
      <c r="AC1446" s="23">
        <f>IF(OR(E1446="",E1446="[PARENT]"),"ADD",IF(E1446="[ALT_VIEW]","ALT",""))</f>
        <v/>
      </c>
      <c r="AD1446" s="21">
        <f>IF(Y1446&lt;&gt;"",Y1446,IF(U1446&lt;&gt;"",U1446,S1446))</f>
        <v/>
      </c>
      <c r="AE1446" s="21">
        <f>IF(AB1446&lt;&gt;"",AB1446,Z1446)</f>
        <v/>
      </c>
      <c r="AF1446" s="13" t="inlineStr">
        <is>
          <t>P-35 &gt; FFG-Frigate &gt; MK 48 Gun Weapon System (GWS) &gt; Technical Engineering Services</t>
        </is>
      </c>
      <c r="AG1446" s="7" t="inlineStr">
        <is>
          <t>300</t>
        </is>
      </c>
      <c r="AH1446" s="7" t="inlineStr">
        <is>
          <t>2128</t>
        </is>
      </c>
    </row>
    <row r="1447" ht="10" customHeight="1">
      <c r="A1447" s="7" t="inlineStr">
        <is>
          <t>SCN</t>
        </is>
      </c>
      <c r="B1447" s="7" t="inlineStr">
        <is>
          <t>Procurement</t>
        </is>
      </c>
      <c r="D1447" s="7" t="inlineStr">
        <is>
          <t>FFG-Frigate - P-35 MK 48 Gun Weapon System (GWS) - Other Costs</t>
        </is>
      </c>
      <c r="E1447" s="13" t="inlineStr">
        <is>
          <t>[ALT_VIEW]</t>
        </is>
      </c>
      <c r="F1447" s="7" t="inlineStr">
        <is>
          <t>2128 / FFG-Frigate</t>
        </is>
      </c>
      <c r="G1447" s="7" t="inlineStr">
        <is>
          <t>P-35</t>
        </is>
      </c>
      <c r="I1447" s="14" t="n">
        <v>1</v>
      </c>
      <c r="J1447" s="7" t="inlineStr">
        <is>
          <t>Full ship DD&amp;C</t>
        </is>
      </c>
      <c r="K1447" s="13" t="inlineStr">
        <is>
          <t>USN</t>
        </is>
      </c>
      <c r="L1447" s="7" t="inlineStr">
        <is>
          <t>Combatant Ships</t>
        </is>
      </c>
      <c r="M1447" s="7" t="inlineStr">
        <is>
          <t>Surface Combatants</t>
        </is>
      </c>
      <c r="N1447" s="7" t="inlineStr">
        <is>
          <t>FFG</t>
        </is>
      </c>
      <c r="O1447" s="15" t="n"/>
      <c r="S1447" s="16" t="n">
        <v>1965</v>
      </c>
      <c r="U1447" s="16" t="n">
        <v>1965</v>
      </c>
      <c r="AC1447" s="23">
        <f>IF(OR(E1447="",E1447="[PARENT]"),"ADD",IF(E1447="[ALT_VIEW]","ALT",""))</f>
        <v/>
      </c>
      <c r="AD1447" s="21">
        <f>IF(Y1447&lt;&gt;"",Y1447,IF(U1447&lt;&gt;"",U1447,S1447))</f>
        <v/>
      </c>
      <c r="AE1447" s="21">
        <f>IF(AB1447&lt;&gt;"",AB1447,Z1447)</f>
        <v/>
      </c>
      <c r="AF1447" s="13" t="inlineStr">
        <is>
          <t>P-35 &gt; FFG-Frigate &gt; MK 48 Gun Weapon System (GWS) &gt; Other Costs</t>
        </is>
      </c>
      <c r="AG1447" s="7" t="inlineStr">
        <is>
          <t>300</t>
        </is>
      </c>
      <c r="AH1447" s="7" t="inlineStr">
        <is>
          <t>2128</t>
        </is>
      </c>
    </row>
    <row r="1448" ht="10" customHeight="1">
      <c r="A1448" s="7" t="inlineStr">
        <is>
          <t>SCN</t>
        </is>
      </c>
      <c r="B1448" s="7" t="inlineStr">
        <is>
          <t>Procurement</t>
        </is>
      </c>
      <c r="D1448" s="7" t="inlineStr">
        <is>
          <t>FFG-Frigate - P-35 Rolling Airframe Missile (RAM) Guided Missile Launching System- 21 Cell - Major Hardware                                                                         2</t>
        </is>
      </c>
      <c r="E1448" s="13" t="inlineStr">
        <is>
          <t>[ALT_VIEW]</t>
        </is>
      </c>
      <c r="F1448" s="7" t="inlineStr">
        <is>
          <t>2128 / FFG-Frigate</t>
        </is>
      </c>
      <c r="G1448" s="7" t="inlineStr">
        <is>
          <t>P-35</t>
        </is>
      </c>
      <c r="I1448" s="14" t="n">
        <v>1</v>
      </c>
      <c r="J1448" s="7" t="inlineStr">
        <is>
          <t>Full ship DD&amp;C</t>
        </is>
      </c>
      <c r="K1448" s="13" t="inlineStr">
        <is>
          <t>USN</t>
        </is>
      </c>
      <c r="L1448" s="7" t="inlineStr">
        <is>
          <t>Combatant Ships</t>
        </is>
      </c>
      <c r="M1448" s="7" t="inlineStr">
        <is>
          <t>Surface Combatants</t>
        </is>
      </c>
      <c r="N1448" s="7" t="inlineStr">
        <is>
          <t>FFG</t>
        </is>
      </c>
      <c r="O1448" s="15" t="n"/>
      <c r="S1448" s="16" t="n">
        <v>22772</v>
      </c>
      <c r="U1448" s="16" t="n">
        <v>22772</v>
      </c>
      <c r="AC1448" s="23">
        <f>IF(OR(E1448="",E1448="[PARENT]"),"ADD",IF(E1448="[ALT_VIEW]","ALT",""))</f>
        <v/>
      </c>
      <c r="AD1448" s="21">
        <f>IF(Y1448&lt;&gt;"",Y1448,IF(U1448&lt;&gt;"",U1448,S1448))</f>
        <v/>
      </c>
      <c r="AE1448" s="21">
        <f>IF(AB1448&lt;&gt;"",AB1448,Z1448)</f>
        <v/>
      </c>
      <c r="AF1448" s="13" t="inlineStr">
        <is>
          <t>P-35 &gt; FFG-Frigate &gt; Rolling Airframe Missile (RAM) Guided Missile Launching System- 21 Cell &gt; Major Hardware                                                                         2</t>
        </is>
      </c>
      <c r="AG1448" s="7" t="inlineStr">
        <is>
          <t>301</t>
        </is>
      </c>
      <c r="AH1448" s="7" t="inlineStr">
        <is>
          <t>2128</t>
        </is>
      </c>
      <c r="AJ1448" s="7" t="inlineStr">
        <is>
          <t>Rolling Airframe Missile (RAM) Guided Missile Launching System- 21 Cell</t>
        </is>
      </c>
    </row>
    <row r="1449" ht="10" customHeight="1">
      <c r="A1449" s="7" t="inlineStr">
        <is>
          <t>SCN</t>
        </is>
      </c>
      <c r="B1449" s="7" t="inlineStr">
        <is>
          <t>Procurement</t>
        </is>
      </c>
      <c r="D1449" s="7" t="inlineStr">
        <is>
          <t>FFG-Frigate - P-35 Rolling Airframe Missile (RAM) Guided Missile Launching System- 21 Cell - System Engineering</t>
        </is>
      </c>
      <c r="E1449" s="13" t="inlineStr">
        <is>
          <t>[ALT_VIEW]</t>
        </is>
      </c>
      <c r="F1449" s="7" t="inlineStr">
        <is>
          <t>2128 / FFG-Frigate</t>
        </is>
      </c>
      <c r="G1449" s="7" t="inlineStr">
        <is>
          <t>P-35</t>
        </is>
      </c>
      <c r="I1449" s="14" t="n">
        <v>1</v>
      </c>
      <c r="J1449" s="7" t="inlineStr">
        <is>
          <t>Full ship DD&amp;C</t>
        </is>
      </c>
      <c r="K1449" s="13" t="inlineStr">
        <is>
          <t>USN</t>
        </is>
      </c>
      <c r="L1449" s="7" t="inlineStr">
        <is>
          <t>Combatant Ships</t>
        </is>
      </c>
      <c r="M1449" s="7" t="inlineStr">
        <is>
          <t>Surface Combatants</t>
        </is>
      </c>
      <c r="N1449" s="7" t="inlineStr">
        <is>
          <t>FFG</t>
        </is>
      </c>
      <c r="O1449" s="15" t="n"/>
      <c r="S1449" s="16" t="n">
        <v>1689</v>
      </c>
      <c r="U1449" s="16" t="n">
        <v>1689</v>
      </c>
      <c r="AC1449" s="23">
        <f>IF(OR(E1449="",E1449="[PARENT]"),"ADD",IF(E1449="[ALT_VIEW]","ALT",""))</f>
        <v/>
      </c>
      <c r="AD1449" s="21">
        <f>IF(Y1449&lt;&gt;"",Y1449,IF(U1449&lt;&gt;"",U1449,S1449))</f>
        <v/>
      </c>
      <c r="AE1449" s="21">
        <f>IF(AB1449&lt;&gt;"",AB1449,Z1449)</f>
        <v/>
      </c>
      <c r="AF1449" s="13" t="inlineStr">
        <is>
          <t>P-35 &gt; FFG-Frigate &gt; Rolling Airframe Missile (RAM) Guided Missile Launching System- 21 Cell &gt; System Engineering</t>
        </is>
      </c>
      <c r="AG1449" s="7" t="inlineStr">
        <is>
          <t>301</t>
        </is>
      </c>
      <c r="AH1449" s="7" t="inlineStr">
        <is>
          <t>2128</t>
        </is>
      </c>
    </row>
    <row r="1450" ht="10" customHeight="1">
      <c r="A1450" s="7" t="inlineStr">
        <is>
          <t>SCN</t>
        </is>
      </c>
      <c r="B1450" s="7" t="inlineStr">
        <is>
          <t>Procurement</t>
        </is>
      </c>
      <c r="D1450" s="7" t="inlineStr">
        <is>
          <t>FFG-Frigate - P-35 Rolling Airframe Missile (RAM) Guided Missile Launching System- 21 Cell - Technical Engineering Services</t>
        </is>
      </c>
      <c r="E1450" s="13" t="inlineStr">
        <is>
          <t>[ALT_VIEW]</t>
        </is>
      </c>
      <c r="F1450" s="7" t="inlineStr">
        <is>
          <t>2128 / FFG-Frigate</t>
        </is>
      </c>
      <c r="G1450" s="7" t="inlineStr">
        <is>
          <t>P-35</t>
        </is>
      </c>
      <c r="I1450" s="14" t="n">
        <v>1</v>
      </c>
      <c r="J1450" s="7" t="inlineStr">
        <is>
          <t>Full ship DD&amp;C</t>
        </is>
      </c>
      <c r="K1450" s="13" t="inlineStr">
        <is>
          <t>USN</t>
        </is>
      </c>
      <c r="L1450" s="7" t="inlineStr">
        <is>
          <t>Combatant Ships</t>
        </is>
      </c>
      <c r="M1450" s="7" t="inlineStr">
        <is>
          <t>Surface Combatants</t>
        </is>
      </c>
      <c r="N1450" s="7" t="inlineStr">
        <is>
          <t>FFG</t>
        </is>
      </c>
      <c r="O1450" s="15" t="n"/>
      <c r="S1450" s="16" t="n">
        <v>638</v>
      </c>
      <c r="U1450" s="16" t="n">
        <v>638</v>
      </c>
      <c r="AC1450" s="23">
        <f>IF(OR(E1450="",E1450="[PARENT]"),"ADD",IF(E1450="[ALT_VIEW]","ALT",""))</f>
        <v/>
      </c>
      <c r="AD1450" s="21">
        <f>IF(Y1450&lt;&gt;"",Y1450,IF(U1450&lt;&gt;"",U1450,S1450))</f>
        <v/>
      </c>
      <c r="AE1450" s="21">
        <f>IF(AB1450&lt;&gt;"",AB1450,Z1450)</f>
        <v/>
      </c>
      <c r="AF1450" s="13" t="inlineStr">
        <is>
          <t>P-35 &gt; FFG-Frigate &gt; Rolling Airframe Missile (RAM) Guided Missile Launching System- 21 Cell &gt; Technical Engineering Services</t>
        </is>
      </c>
      <c r="AG1450" s="7" t="inlineStr">
        <is>
          <t>301</t>
        </is>
      </c>
      <c r="AH1450" s="7" t="inlineStr">
        <is>
          <t>2128</t>
        </is>
      </c>
    </row>
    <row r="1451" ht="10" customHeight="1">
      <c r="A1451" s="7" t="inlineStr">
        <is>
          <t>SCN</t>
        </is>
      </c>
      <c r="B1451" s="7" t="inlineStr">
        <is>
          <t>Procurement</t>
        </is>
      </c>
      <c r="D1451" s="7" t="inlineStr">
        <is>
          <t>FFG-Frigate - P-35 Rolling Airframe Missile (RAM) Guided Missile Launching System- 21 Cell - Other Costs</t>
        </is>
      </c>
      <c r="E1451" s="13" t="inlineStr">
        <is>
          <t>[ALT_VIEW]</t>
        </is>
      </c>
      <c r="F1451" s="7" t="inlineStr">
        <is>
          <t>2128 / FFG-Frigate</t>
        </is>
      </c>
      <c r="G1451" s="7" t="inlineStr">
        <is>
          <t>P-35</t>
        </is>
      </c>
      <c r="I1451" s="14" t="n">
        <v>1</v>
      </c>
      <c r="J1451" s="7" t="inlineStr">
        <is>
          <t>Full ship DD&amp;C</t>
        </is>
      </c>
      <c r="K1451" s="13" t="inlineStr">
        <is>
          <t>USN</t>
        </is>
      </c>
      <c r="L1451" s="7" t="inlineStr">
        <is>
          <t>Combatant Ships</t>
        </is>
      </c>
      <c r="M1451" s="7" t="inlineStr">
        <is>
          <t>Surface Combatants</t>
        </is>
      </c>
      <c r="N1451" s="7" t="inlineStr">
        <is>
          <t>FFG</t>
        </is>
      </c>
      <c r="O1451" s="15" t="n"/>
      <c r="S1451" s="16" t="n">
        <v>2016</v>
      </c>
      <c r="U1451" s="16" t="n">
        <v>2016</v>
      </c>
      <c r="AC1451" s="23">
        <f>IF(OR(E1451="",E1451="[PARENT]"),"ADD",IF(E1451="[ALT_VIEW]","ALT",""))</f>
        <v/>
      </c>
      <c r="AD1451" s="21">
        <f>IF(Y1451&lt;&gt;"",Y1451,IF(U1451&lt;&gt;"",U1451,S1451))</f>
        <v/>
      </c>
      <c r="AE1451" s="21">
        <f>IF(AB1451&lt;&gt;"",AB1451,Z1451)</f>
        <v/>
      </c>
      <c r="AF1451" s="13" t="inlineStr">
        <is>
          <t>P-35 &gt; FFG-Frigate &gt; Rolling Airframe Missile (RAM) Guided Missile Launching System- 21 Cell &gt; Other Costs</t>
        </is>
      </c>
      <c r="AG1451" s="7" t="inlineStr">
        <is>
          <t>301</t>
        </is>
      </c>
      <c r="AH1451" s="7" t="inlineStr">
        <is>
          <t>2128</t>
        </is>
      </c>
      <c r="AJ1451" s="7" t="inlineStr">
        <is>
          <t>Rolling Airframe Missile (RAM) Guided Missile Launching System- 21 Cell [FFG 66]</t>
        </is>
      </c>
    </row>
    <row r="1452" ht="10" customHeight="1">
      <c r="A1452" s="7" t="inlineStr">
        <is>
          <t>SCN</t>
        </is>
      </c>
      <c r="B1452" s="7" t="inlineStr">
        <is>
          <t>Procurement</t>
        </is>
      </c>
      <c r="D1452" s="7" t="inlineStr">
        <is>
          <t>LPD Flight II - P-5c - Basic Construction</t>
        </is>
      </c>
      <c r="E1452" s="13" t="inlineStr">
        <is>
          <t>[ALT_VIEW]</t>
        </is>
      </c>
      <c r="F1452" s="7" t="inlineStr">
        <is>
          <t>3010 / LPD Flight II</t>
        </is>
      </c>
      <c r="G1452" s="7" t="inlineStr">
        <is>
          <t>P-5c</t>
        </is>
      </c>
      <c r="H1452" s="7" t="inlineStr">
        <is>
          <t>Basic Construction</t>
        </is>
      </c>
      <c r="I1452" s="14" t="n">
        <v>1</v>
      </c>
      <c r="J1452" s="7" t="inlineStr">
        <is>
          <t>Full ship DD&amp;C</t>
        </is>
      </c>
      <c r="K1452" s="13" t="inlineStr">
        <is>
          <t>USN</t>
        </is>
      </c>
      <c r="L1452" s="7" t="inlineStr">
        <is>
          <t>Combatant Ships</t>
        </is>
      </c>
      <c r="M1452" s="7" t="inlineStr">
        <is>
          <t>Amphibious Warfare Ships</t>
        </is>
      </c>
      <c r="N1452" s="7" t="inlineStr">
        <is>
          <t>LPD</t>
        </is>
      </c>
      <c r="O1452" s="15" t="n"/>
      <c r="P1452" s="16" t="n">
        <v>1560000</v>
      </c>
      <c r="S1452" s="16" t="n">
        <v>1661620</v>
      </c>
      <c r="U1452" s="16" t="n">
        <v>1661620</v>
      </c>
      <c r="AC1452" s="23">
        <f>IF(OR(E1452="",E1452="[PARENT]"),"ADD",IF(E1452="[ALT_VIEW]","ALT",""))</f>
        <v/>
      </c>
      <c r="AD1452" s="21">
        <f>IF(Y1452&lt;&gt;"",Y1452,IF(U1452&lt;&gt;"",U1452,S1452))</f>
        <v/>
      </c>
      <c r="AE1452" s="21">
        <f>IF(AB1452&lt;&gt;"",AB1452,Z1452)</f>
        <v/>
      </c>
      <c r="AF1452" s="13" t="inlineStr">
        <is>
          <t>P-5c &gt; LPD Flight II &gt; Basic Construction</t>
        </is>
      </c>
      <c r="AG1452" s="7" t="inlineStr">
        <is>
          <t>306</t>
        </is>
      </c>
      <c r="AH1452" s="7" t="inlineStr">
        <is>
          <t>3010</t>
        </is>
      </c>
      <c r="AJ1452" s="7" t="inlineStr">
        <is>
          <t>Basic Construction</t>
        </is>
      </c>
    </row>
    <row r="1453" ht="10" customHeight="1">
      <c r="A1453" s="7" t="inlineStr">
        <is>
          <t>SCN</t>
        </is>
      </c>
      <c r="B1453" s="7" t="inlineStr">
        <is>
          <t>Procurement</t>
        </is>
      </c>
      <c r="D1453" s="7" t="inlineStr">
        <is>
          <t>LPD Flight II - P-5c - Change Orders</t>
        </is>
      </c>
      <c r="E1453" s="13" t="inlineStr">
        <is>
          <t>[ALT_VIEW]</t>
        </is>
      </c>
      <c r="F1453" s="7" t="inlineStr">
        <is>
          <t>3010 / LPD Flight II</t>
        </is>
      </c>
      <c r="G1453" s="7" t="inlineStr">
        <is>
          <t>P-5c</t>
        </is>
      </c>
      <c r="H1453" s="7" t="inlineStr">
        <is>
          <t>Change Orders</t>
        </is>
      </c>
      <c r="I1453" s="14" t="n">
        <v>1</v>
      </c>
      <c r="J1453" s="7" t="inlineStr">
        <is>
          <t>Full ship DD&amp;C</t>
        </is>
      </c>
      <c r="K1453" s="13" t="inlineStr">
        <is>
          <t>USN</t>
        </is>
      </c>
      <c r="L1453" s="7" t="inlineStr">
        <is>
          <t>Combatant Ships</t>
        </is>
      </c>
      <c r="M1453" s="7" t="inlineStr">
        <is>
          <t>Amphibious Warfare Ships</t>
        </is>
      </c>
      <c r="N1453" s="7" t="inlineStr">
        <is>
          <t>LPD</t>
        </is>
      </c>
      <c r="O1453" s="15" t="n"/>
      <c r="P1453" s="16" t="n">
        <v>30000</v>
      </c>
      <c r="S1453" s="16" t="n">
        <v>35000</v>
      </c>
      <c r="U1453" s="16" t="n">
        <v>35000</v>
      </c>
      <c r="AC1453" s="23">
        <f>IF(OR(E1453="",E1453="[PARENT]"),"ADD",IF(E1453="[ALT_VIEW]","ALT",""))</f>
        <v/>
      </c>
      <c r="AD1453" s="21">
        <f>IF(Y1453&lt;&gt;"",Y1453,IF(U1453&lt;&gt;"",U1453,S1453))</f>
        <v/>
      </c>
      <c r="AE1453" s="21">
        <f>IF(AB1453&lt;&gt;"",AB1453,Z1453)</f>
        <v/>
      </c>
      <c r="AF1453" s="13" t="inlineStr">
        <is>
          <t>P-5c &gt; LPD Flight II &gt; Change Orders</t>
        </is>
      </c>
      <c r="AG1453" s="7" t="inlineStr">
        <is>
          <t>306</t>
        </is>
      </c>
      <c r="AH1453" s="7" t="inlineStr">
        <is>
          <t>3010</t>
        </is>
      </c>
      <c r="AJ1453" s="7" t="inlineStr">
        <is>
          <t>Change Orders</t>
        </is>
      </c>
    </row>
    <row r="1454" ht="10" customHeight="1">
      <c r="A1454" s="7" t="inlineStr">
        <is>
          <t>SCN</t>
        </is>
      </c>
      <c r="B1454" s="7" t="inlineStr">
        <is>
          <t>Procurement</t>
        </is>
      </c>
      <c r="D1454" s="7" t="inlineStr">
        <is>
          <t>LPD Flight II - P-5c - Electronics</t>
        </is>
      </c>
      <c r="E1454" s="13" t="inlineStr">
        <is>
          <t>[ALT_VIEW]</t>
        </is>
      </c>
      <c r="F1454" s="7" t="inlineStr">
        <is>
          <t>3010 / LPD Flight II</t>
        </is>
      </c>
      <c r="G1454" s="7" t="inlineStr">
        <is>
          <t>P-5c</t>
        </is>
      </c>
      <c r="H1454" s="7" t="inlineStr">
        <is>
          <t>Electronics</t>
        </is>
      </c>
      <c r="I1454" s="14" t="n">
        <v>1</v>
      </c>
      <c r="J1454" s="7" t="inlineStr">
        <is>
          <t>Full ship DD&amp;C</t>
        </is>
      </c>
      <c r="K1454" s="13" t="inlineStr">
        <is>
          <t>USN</t>
        </is>
      </c>
      <c r="L1454" s="7" t="inlineStr">
        <is>
          <t>Combatant Ships</t>
        </is>
      </c>
      <c r="M1454" s="7" t="inlineStr">
        <is>
          <t>Amphibious Warfare Ships</t>
        </is>
      </c>
      <c r="N1454" s="7" t="inlineStr">
        <is>
          <t>LPD</t>
        </is>
      </c>
      <c r="O1454" s="15" t="n"/>
      <c r="P1454" s="16" t="n">
        <v>252539</v>
      </c>
      <c r="S1454" s="16" t="n">
        <v>244582</v>
      </c>
      <c r="U1454" s="16" t="n">
        <v>244582</v>
      </c>
      <c r="AC1454" s="23">
        <f>IF(OR(E1454="",E1454="[PARENT]"),"ADD",IF(E1454="[ALT_VIEW]","ALT",""))</f>
        <v/>
      </c>
      <c r="AD1454" s="21">
        <f>IF(Y1454&lt;&gt;"",Y1454,IF(U1454&lt;&gt;"",U1454,S1454))</f>
        <v/>
      </c>
      <c r="AE1454" s="21">
        <f>IF(AB1454&lt;&gt;"",AB1454,Z1454)</f>
        <v/>
      </c>
      <c r="AF1454" s="13" t="inlineStr">
        <is>
          <t>P-5c &gt; LPD Flight II &gt; Electronics</t>
        </is>
      </c>
      <c r="AG1454" s="7" t="inlineStr">
        <is>
          <t>306</t>
        </is>
      </c>
      <c r="AH1454" s="7" t="inlineStr">
        <is>
          <t>3010</t>
        </is>
      </c>
    </row>
    <row r="1455" ht="10" customHeight="1">
      <c r="A1455" s="7" t="inlineStr">
        <is>
          <t>SCN</t>
        </is>
      </c>
      <c r="B1455" s="7" t="inlineStr">
        <is>
          <t>Procurement</t>
        </is>
      </c>
      <c r="D1455" s="7" t="inlineStr">
        <is>
          <t>LPD Flight II - P-5c - Hull, Mechanical, and Electrical</t>
        </is>
      </c>
      <c r="E1455" s="13" t="inlineStr">
        <is>
          <t>[ALT_VIEW]</t>
        </is>
      </c>
      <c r="F1455" s="7" t="inlineStr">
        <is>
          <t>3010 / LPD Flight II</t>
        </is>
      </c>
      <c r="G1455" s="7" t="inlineStr">
        <is>
          <t>P-5c</t>
        </is>
      </c>
      <c r="H1455" s="7" t="inlineStr">
        <is>
          <t>Hull, Mechanical, and Electrical</t>
        </is>
      </c>
      <c r="I1455" s="14" t="n">
        <v>1</v>
      </c>
      <c r="J1455" s="7" t="inlineStr">
        <is>
          <t>Full ship DD&amp;C</t>
        </is>
      </c>
      <c r="K1455" s="13" t="inlineStr">
        <is>
          <t>USN</t>
        </is>
      </c>
      <c r="L1455" s="7" t="inlineStr">
        <is>
          <t>Combatant Ships</t>
        </is>
      </c>
      <c r="M1455" s="7" t="inlineStr">
        <is>
          <t>Amphibious Warfare Ships</t>
        </is>
      </c>
      <c r="N1455" s="7" t="inlineStr">
        <is>
          <t>LPD</t>
        </is>
      </c>
      <c r="O1455" s="15" t="n"/>
      <c r="P1455" s="16" t="n">
        <v>18655</v>
      </c>
      <c r="S1455" s="16" t="n">
        <v>20289</v>
      </c>
      <c r="U1455" s="16" t="n">
        <v>20289</v>
      </c>
      <c r="AC1455" s="23">
        <f>IF(OR(E1455="",E1455="[PARENT]"),"ADD",IF(E1455="[ALT_VIEW]","ALT",""))</f>
        <v/>
      </c>
      <c r="AD1455" s="21">
        <f>IF(Y1455&lt;&gt;"",Y1455,IF(U1455&lt;&gt;"",U1455,S1455))</f>
        <v/>
      </c>
      <c r="AE1455" s="21">
        <f>IF(AB1455&lt;&gt;"",AB1455,Z1455)</f>
        <v/>
      </c>
      <c r="AF1455" s="13" t="inlineStr">
        <is>
          <t>P-5c &gt; LPD Flight II &gt; Hull, Mechanical, and Electrical</t>
        </is>
      </c>
      <c r="AG1455" s="7" t="inlineStr">
        <is>
          <t>306</t>
        </is>
      </c>
      <c r="AH1455" s="7" t="inlineStr">
        <is>
          <t>3010</t>
        </is>
      </c>
    </row>
    <row r="1456" ht="10" customHeight="1">
      <c r="A1456" s="7" t="inlineStr">
        <is>
          <t>SCN</t>
        </is>
      </c>
      <c r="B1456" s="7" t="inlineStr">
        <is>
          <t>Procurement</t>
        </is>
      </c>
      <c r="D1456" s="7" t="inlineStr">
        <is>
          <t>LPD Flight II - P-5c - Ordnance</t>
        </is>
      </c>
      <c r="E1456" s="13" t="inlineStr">
        <is>
          <t>[ALT_VIEW]</t>
        </is>
      </c>
      <c r="F1456" s="7" t="inlineStr">
        <is>
          <t>3010 / LPD Flight II</t>
        </is>
      </c>
      <c r="G1456" s="7" t="inlineStr">
        <is>
          <t>P-5c</t>
        </is>
      </c>
      <c r="H1456" s="7" t="inlineStr">
        <is>
          <t>Ordnance</t>
        </is>
      </c>
      <c r="I1456" s="14" t="n">
        <v>1</v>
      </c>
      <c r="J1456" s="7" t="inlineStr">
        <is>
          <t>Full ship DD&amp;C</t>
        </is>
      </c>
      <c r="K1456" s="13" t="inlineStr">
        <is>
          <t>USN</t>
        </is>
      </c>
      <c r="L1456" s="7" t="inlineStr">
        <is>
          <t>Combatant Ships</t>
        </is>
      </c>
      <c r="M1456" s="7" t="inlineStr">
        <is>
          <t>Amphibious Warfare Ships</t>
        </is>
      </c>
      <c r="N1456" s="7" t="inlineStr">
        <is>
          <t>LPD</t>
        </is>
      </c>
      <c r="O1456" s="15" t="n"/>
      <c r="P1456" s="16" t="n">
        <v>117032</v>
      </c>
      <c r="S1456" s="16" t="n">
        <v>101472</v>
      </c>
      <c r="U1456" s="16" t="n">
        <v>101472</v>
      </c>
      <c r="AC1456" s="23">
        <f>IF(OR(E1456="",E1456="[PARENT]"),"ADD",IF(E1456="[ALT_VIEW]","ALT",""))</f>
        <v/>
      </c>
      <c r="AD1456" s="21">
        <f>IF(Y1456&lt;&gt;"",Y1456,IF(U1456&lt;&gt;"",U1456,S1456))</f>
        <v/>
      </c>
      <c r="AE1456" s="21">
        <f>IF(AB1456&lt;&gt;"",AB1456,Z1456)</f>
        <v/>
      </c>
      <c r="AF1456" s="13" t="inlineStr">
        <is>
          <t>P-5c &gt; LPD Flight II &gt; Ordnance</t>
        </is>
      </c>
      <c r="AG1456" s="7" t="inlineStr">
        <is>
          <t>306</t>
        </is>
      </c>
      <c r="AH1456" s="7" t="inlineStr">
        <is>
          <t>3010</t>
        </is>
      </c>
    </row>
    <row r="1457" ht="10" customHeight="1">
      <c r="A1457" s="7" t="inlineStr">
        <is>
          <t>SCN</t>
        </is>
      </c>
      <c r="B1457" s="7" t="inlineStr">
        <is>
          <t>Procurement</t>
        </is>
      </c>
      <c r="D1457" s="7" t="inlineStr">
        <is>
          <t>LPD Flight II - P-5c - Other Cost</t>
        </is>
      </c>
      <c r="E1457" s="13" t="inlineStr">
        <is>
          <t>[ALT_VIEW]</t>
        </is>
      </c>
      <c r="F1457" s="7" t="inlineStr">
        <is>
          <t>3010 / LPD Flight II</t>
        </is>
      </c>
      <c r="G1457" s="7" t="inlineStr">
        <is>
          <t>P-5c</t>
        </is>
      </c>
      <c r="H1457" s="7" t="inlineStr">
        <is>
          <t>Other Cost</t>
        </is>
      </c>
      <c r="I1457" s="14" t="n">
        <v>1</v>
      </c>
      <c r="J1457" s="7" t="inlineStr">
        <is>
          <t>Full ship DD&amp;C</t>
        </is>
      </c>
      <c r="K1457" s="13" t="inlineStr">
        <is>
          <t>USN</t>
        </is>
      </c>
      <c r="L1457" s="7" t="inlineStr">
        <is>
          <t>Combatant Ships</t>
        </is>
      </c>
      <c r="M1457" s="7" t="inlineStr">
        <is>
          <t>Amphibious Warfare Ships</t>
        </is>
      </c>
      <c r="N1457" s="7" t="inlineStr">
        <is>
          <t>LPD</t>
        </is>
      </c>
      <c r="O1457" s="15" t="n"/>
      <c r="P1457" s="16" t="n">
        <v>10801</v>
      </c>
      <c r="S1457" s="16" t="n">
        <v>7674</v>
      </c>
      <c r="U1457" s="16" t="n">
        <v>7674</v>
      </c>
      <c r="AC1457" s="23">
        <f>IF(OR(E1457="",E1457="[PARENT]"),"ADD",IF(E1457="[ALT_VIEW]","ALT",""))</f>
        <v/>
      </c>
      <c r="AD1457" s="21">
        <f>IF(Y1457&lt;&gt;"",Y1457,IF(U1457&lt;&gt;"",U1457,S1457))</f>
        <v/>
      </c>
      <c r="AE1457" s="21">
        <f>IF(AB1457&lt;&gt;"",AB1457,Z1457)</f>
        <v/>
      </c>
      <c r="AF1457" s="13" t="inlineStr">
        <is>
          <t>P-5c &gt; LPD Flight II &gt; Other Cost</t>
        </is>
      </c>
      <c r="AG1457" s="7" t="inlineStr">
        <is>
          <t>306</t>
        </is>
      </c>
      <c r="AH1457" s="7" t="inlineStr">
        <is>
          <t>3010</t>
        </is>
      </c>
    </row>
    <row r="1458" ht="10" customHeight="1">
      <c r="A1458" s="7" t="inlineStr">
        <is>
          <t>SCN</t>
        </is>
      </c>
      <c r="B1458" s="7" t="inlineStr">
        <is>
          <t>Procurement</t>
        </is>
      </c>
      <c r="D1458" s="7" t="inlineStr">
        <is>
          <t>LPD Flight II - P-8a Electronics - Mission Systems 1</t>
        </is>
      </c>
      <c r="E1458" s="13" t="inlineStr">
        <is>
          <t>[ALT_VIEW]</t>
        </is>
      </c>
      <c r="F1458" s="7" t="inlineStr">
        <is>
          <t>3010 / LPD Flight II</t>
        </is>
      </c>
      <c r="G1458" s="7" t="inlineStr">
        <is>
          <t>P-8a</t>
        </is>
      </c>
      <c r="H1458" s="7" t="inlineStr">
        <is>
          <t>Electronics</t>
        </is>
      </c>
      <c r="I1458" s="14" t="n">
        <v>1</v>
      </c>
      <c r="J1458" s="7" t="inlineStr">
        <is>
          <t>Full ship DD&amp;C</t>
        </is>
      </c>
      <c r="K1458" s="13" t="inlineStr">
        <is>
          <t>USN</t>
        </is>
      </c>
      <c r="L1458" s="7" t="inlineStr">
        <is>
          <t>Combatant Ships</t>
        </is>
      </c>
      <c r="M1458" s="7" t="inlineStr">
        <is>
          <t>Amphibious Warfare Ships</t>
        </is>
      </c>
      <c r="N1458" s="7" t="inlineStr">
        <is>
          <t>LPD</t>
        </is>
      </c>
      <c r="O1458" s="15" t="n"/>
      <c r="S1458" s="16" t="n">
        <v>48271</v>
      </c>
      <c r="U1458" s="16" t="n">
        <v>48271</v>
      </c>
      <c r="AC1458" s="23">
        <f>IF(OR(E1458="",E1458="[PARENT]"),"ADD",IF(E1458="[ALT_VIEW]","ALT",""))</f>
        <v/>
      </c>
      <c r="AD1458" s="21">
        <f>IF(Y1458&lt;&gt;"",Y1458,IF(U1458&lt;&gt;"",U1458,S1458))</f>
        <v/>
      </c>
      <c r="AE1458" s="21">
        <f>IF(AB1458&lt;&gt;"",AB1458,Z1458)</f>
        <v/>
      </c>
      <c r="AF1458" s="13" t="inlineStr">
        <is>
          <t>P-8a &gt; LPD Flight II &gt; Electronics &gt; Mission Systems 1</t>
        </is>
      </c>
      <c r="AG1458" s="7" t="inlineStr">
        <is>
          <t>308</t>
        </is>
      </c>
      <c r="AH1458" s="7" t="inlineStr">
        <is>
          <t>3010</t>
        </is>
      </c>
      <c r="AJ1458" s="7" t="inlineStr">
        <is>
          <t>Mission Systems</t>
        </is>
      </c>
    </row>
    <row r="1459" ht="10" customHeight="1">
      <c r="A1459" s="7" t="inlineStr">
        <is>
          <t>SCN</t>
        </is>
      </c>
      <c r="B1459" s="7" t="inlineStr">
        <is>
          <t>Procurement</t>
        </is>
      </c>
      <c r="D1459" s="7" t="inlineStr">
        <is>
          <t>LPD Flight II - P-8a Electronics - C4ISR 1</t>
        </is>
      </c>
      <c r="E1459" s="13" t="inlineStr">
        <is>
          <t>[ALT_VIEW]</t>
        </is>
      </c>
      <c r="F1459" s="7" t="inlineStr">
        <is>
          <t>3010 / LPD Flight II</t>
        </is>
      </c>
      <c r="G1459" s="7" t="inlineStr">
        <is>
          <t>P-8a</t>
        </is>
      </c>
      <c r="H1459" s="7" t="inlineStr">
        <is>
          <t>Electronics</t>
        </is>
      </c>
      <c r="I1459" s="14" t="n">
        <v>1</v>
      </c>
      <c r="J1459" s="7" t="inlineStr">
        <is>
          <t>Full ship DD&amp;C</t>
        </is>
      </c>
      <c r="K1459" s="13" t="inlineStr">
        <is>
          <t>USN</t>
        </is>
      </c>
      <c r="L1459" s="7" t="inlineStr">
        <is>
          <t>Combatant Ships</t>
        </is>
      </c>
      <c r="M1459" s="7" t="inlineStr">
        <is>
          <t>Amphibious Warfare Ships</t>
        </is>
      </c>
      <c r="N1459" s="7" t="inlineStr">
        <is>
          <t>LPD</t>
        </is>
      </c>
      <c r="O1459" s="15" t="n"/>
      <c r="S1459" s="16" t="n">
        <v>83497</v>
      </c>
      <c r="U1459" s="16" t="n">
        <v>83497</v>
      </c>
      <c r="AC1459" s="23">
        <f>IF(OR(E1459="",E1459="[PARENT]"),"ADD",IF(E1459="[ALT_VIEW]","ALT",""))</f>
        <v/>
      </c>
      <c r="AD1459" s="21">
        <f>IF(Y1459&lt;&gt;"",Y1459,IF(U1459&lt;&gt;"",U1459,S1459))</f>
        <v/>
      </c>
      <c r="AE1459" s="21">
        <f>IF(AB1459&lt;&gt;"",AB1459,Z1459)</f>
        <v/>
      </c>
      <c r="AF1459" s="13" t="inlineStr">
        <is>
          <t>P-8a &gt; LPD Flight II &gt; Electronics &gt; C4ISR 1</t>
        </is>
      </c>
      <c r="AG1459" s="7" t="inlineStr">
        <is>
          <t>308</t>
        </is>
      </c>
      <c r="AH1459" s="7" t="inlineStr">
        <is>
          <t>3010</t>
        </is>
      </c>
      <c r="AJ1459" s="7" t="inlineStr">
        <is>
          <t>C4ISR</t>
        </is>
      </c>
    </row>
    <row r="1460" ht="10" customHeight="1">
      <c r="A1460" s="7" t="inlineStr">
        <is>
          <t>SCN</t>
        </is>
      </c>
      <c r="B1460" s="7" t="inlineStr">
        <is>
          <t>Procurement</t>
        </is>
      </c>
      <c r="D1460" s="7" t="inlineStr">
        <is>
          <t>LPD Flight II - P-8a Electronics - Ship Self Defense System (SSDS) 1</t>
        </is>
      </c>
      <c r="E1460" s="13" t="inlineStr">
        <is>
          <t>[ALT_VIEW]</t>
        </is>
      </c>
      <c r="F1460" s="7" t="inlineStr">
        <is>
          <t>3010 / LPD Flight II</t>
        </is>
      </c>
      <c r="G1460" s="7" t="inlineStr">
        <is>
          <t>P-8a</t>
        </is>
      </c>
      <c r="H1460" s="7" t="inlineStr">
        <is>
          <t>Electronics</t>
        </is>
      </c>
      <c r="I1460" s="14" t="n">
        <v>1</v>
      </c>
      <c r="J1460" s="7" t="inlineStr">
        <is>
          <t>Full ship DD&amp;C</t>
        </is>
      </c>
      <c r="K1460" s="13" t="inlineStr">
        <is>
          <t>USN</t>
        </is>
      </c>
      <c r="L1460" s="7" t="inlineStr">
        <is>
          <t>Combatant Ships</t>
        </is>
      </c>
      <c r="M1460" s="7" t="inlineStr">
        <is>
          <t>Amphibious Warfare Ships</t>
        </is>
      </c>
      <c r="N1460" s="7" t="inlineStr">
        <is>
          <t>LPD</t>
        </is>
      </c>
      <c r="O1460" s="15" t="n"/>
      <c r="S1460" s="16" t="n">
        <v>25090</v>
      </c>
      <c r="U1460" s="16" t="n">
        <v>25090</v>
      </c>
      <c r="AC1460" s="23">
        <f>IF(OR(E1460="",E1460="[PARENT]"),"ADD",IF(E1460="[ALT_VIEW]","ALT",""))</f>
        <v/>
      </c>
      <c r="AD1460" s="21">
        <f>IF(Y1460&lt;&gt;"",Y1460,IF(U1460&lt;&gt;"",U1460,S1460))</f>
        <v/>
      </c>
      <c r="AE1460" s="21">
        <f>IF(AB1460&lt;&gt;"",AB1460,Z1460)</f>
        <v/>
      </c>
      <c r="AF1460" s="13" t="inlineStr">
        <is>
          <t>P-8a &gt; LPD Flight II &gt; Electronics &gt; Ship Self Defense System (SSDS) 1</t>
        </is>
      </c>
      <c r="AG1460" s="7" t="inlineStr">
        <is>
          <t>308</t>
        </is>
      </c>
      <c r="AH1460" s="7" t="inlineStr">
        <is>
          <t>3010</t>
        </is>
      </c>
      <c r="AJ1460" s="7" t="inlineStr">
        <is>
          <t>Ship Self Defense System (SSDS)</t>
        </is>
      </c>
    </row>
    <row r="1461" ht="10" customHeight="1">
      <c r="A1461" s="7" t="inlineStr">
        <is>
          <t>SCN</t>
        </is>
      </c>
      <c r="B1461" s="7" t="inlineStr">
        <is>
          <t>Procurement</t>
        </is>
      </c>
      <c r="D1461" s="7" t="inlineStr">
        <is>
          <t>LPD Flight II - P-8a Electronics - Cooperative Engagement Capability (CEC) 1</t>
        </is>
      </c>
      <c r="E1461" s="13" t="inlineStr">
        <is>
          <t>[ALT_VIEW]</t>
        </is>
      </c>
      <c r="F1461" s="7" t="inlineStr">
        <is>
          <t>3010 / LPD Flight II</t>
        </is>
      </c>
      <c r="G1461" s="7" t="inlineStr">
        <is>
          <t>P-8a</t>
        </is>
      </c>
      <c r="H1461" s="7" t="inlineStr">
        <is>
          <t>Electronics</t>
        </is>
      </c>
      <c r="I1461" s="14" t="n">
        <v>1</v>
      </c>
      <c r="J1461" s="7" t="inlineStr">
        <is>
          <t>Full ship DD&amp;C</t>
        </is>
      </c>
      <c r="K1461" s="13" t="inlineStr">
        <is>
          <t>USN</t>
        </is>
      </c>
      <c r="L1461" s="7" t="inlineStr">
        <is>
          <t>Combatant Ships</t>
        </is>
      </c>
      <c r="M1461" s="7" t="inlineStr">
        <is>
          <t>Amphibious Warfare Ships</t>
        </is>
      </c>
      <c r="N1461" s="7" t="inlineStr">
        <is>
          <t>LPD</t>
        </is>
      </c>
      <c r="O1461" s="15" t="n"/>
      <c r="S1461" s="16" t="n">
        <v>12200</v>
      </c>
      <c r="U1461" s="16" t="n">
        <v>12200</v>
      </c>
      <c r="AC1461" s="23">
        <f>IF(OR(E1461="",E1461="[PARENT]"),"ADD",IF(E1461="[ALT_VIEW]","ALT",""))</f>
        <v/>
      </c>
      <c r="AD1461" s="21">
        <f>IF(Y1461&lt;&gt;"",Y1461,IF(U1461&lt;&gt;"",U1461,S1461))</f>
        <v/>
      </c>
      <c r="AE1461" s="21">
        <f>IF(AB1461&lt;&gt;"",AB1461,Z1461)</f>
        <v/>
      </c>
      <c r="AF1461" s="13" t="inlineStr">
        <is>
          <t>P-8a &gt; LPD Flight II &gt; Electronics &gt; Cooperative Engagement Capability (CEC) 1</t>
        </is>
      </c>
      <c r="AG1461" s="7" t="inlineStr">
        <is>
          <t>308</t>
        </is>
      </c>
      <c r="AH1461" s="7" t="inlineStr">
        <is>
          <t>3010</t>
        </is>
      </c>
      <c r="AJ1461" s="7" t="inlineStr">
        <is>
          <t>Cooperative Engagement Capability (CEC)</t>
        </is>
      </c>
    </row>
    <row r="1462" ht="10" customHeight="1">
      <c r="A1462" s="7" t="inlineStr">
        <is>
          <t>SCN</t>
        </is>
      </c>
      <c r="B1462" s="7" t="inlineStr">
        <is>
          <t>Procurement</t>
        </is>
      </c>
      <c r="D1462" s="7" t="inlineStr">
        <is>
          <t>LPD Flight II - P-8a Electronics - Interrogator System IFF (Identification Friend or Foe) 1</t>
        </is>
      </c>
      <c r="E1462" s="13" t="inlineStr">
        <is>
          <t>[ALT_VIEW]</t>
        </is>
      </c>
      <c r="F1462" s="7" t="inlineStr">
        <is>
          <t>3010 / LPD Flight II</t>
        </is>
      </c>
      <c r="G1462" s="7" t="inlineStr">
        <is>
          <t>P-8a</t>
        </is>
      </c>
      <c r="H1462" s="7" t="inlineStr">
        <is>
          <t>Electronics</t>
        </is>
      </c>
      <c r="I1462" s="14" t="n">
        <v>1</v>
      </c>
      <c r="J1462" s="7" t="inlineStr">
        <is>
          <t>Full ship DD&amp;C</t>
        </is>
      </c>
      <c r="K1462" s="13" t="inlineStr">
        <is>
          <t>USN</t>
        </is>
      </c>
      <c r="L1462" s="7" t="inlineStr">
        <is>
          <t>Combatant Ships</t>
        </is>
      </c>
      <c r="M1462" s="7" t="inlineStr">
        <is>
          <t>Amphibious Warfare Ships</t>
        </is>
      </c>
      <c r="N1462" s="7" t="inlineStr">
        <is>
          <t>LPD</t>
        </is>
      </c>
      <c r="O1462" s="15" t="n"/>
      <c r="S1462" s="16" t="n">
        <v>6649</v>
      </c>
      <c r="U1462" s="16" t="n">
        <v>6649</v>
      </c>
      <c r="AC1462" s="23">
        <f>IF(OR(E1462="",E1462="[PARENT]"),"ADD",IF(E1462="[ALT_VIEW]","ALT",""))</f>
        <v/>
      </c>
      <c r="AD1462" s="21">
        <f>IF(Y1462&lt;&gt;"",Y1462,IF(U1462&lt;&gt;"",U1462,S1462))</f>
        <v/>
      </c>
      <c r="AE1462" s="21">
        <f>IF(AB1462&lt;&gt;"",AB1462,Z1462)</f>
        <v/>
      </c>
      <c r="AF1462" s="13" t="inlineStr">
        <is>
          <t>P-8a &gt; LPD Flight II &gt; Electronics &gt; Interrogator System IFF (Identification Friend or Foe) 1</t>
        </is>
      </c>
      <c r="AG1462" s="7" t="inlineStr">
        <is>
          <t>308</t>
        </is>
      </c>
      <c r="AH1462" s="7" t="inlineStr">
        <is>
          <t>3010</t>
        </is>
      </c>
      <c r="AJ1462" s="7" t="inlineStr">
        <is>
          <t>Interrogator System IFF (Identification Friend or Foe)</t>
        </is>
      </c>
    </row>
    <row r="1463" ht="10" customHeight="1">
      <c r="A1463" s="7" t="inlineStr">
        <is>
          <t>SCN</t>
        </is>
      </c>
      <c r="B1463" s="7" t="inlineStr">
        <is>
          <t>Procurement</t>
        </is>
      </c>
      <c r="D1463" s="7" t="inlineStr">
        <is>
          <t>LPD Flight II - P-8a Electronics - AN/SLQ-32(V)6 Surface Electronic Warfare Improvement Program (SEWIP) 1</t>
        </is>
      </c>
      <c r="E1463" s="13" t="inlineStr">
        <is>
          <t>[ALT_VIEW]</t>
        </is>
      </c>
      <c r="F1463" s="7" t="inlineStr">
        <is>
          <t>3010 / LPD Flight II</t>
        </is>
      </c>
      <c r="G1463" s="7" t="inlineStr">
        <is>
          <t>P-8a</t>
        </is>
      </c>
      <c r="H1463" s="7" t="inlineStr">
        <is>
          <t>Electronics</t>
        </is>
      </c>
      <c r="I1463" s="14" t="n">
        <v>1</v>
      </c>
      <c r="J1463" s="7" t="inlineStr">
        <is>
          <t>Full ship DD&amp;C</t>
        </is>
      </c>
      <c r="K1463" s="13" t="inlineStr">
        <is>
          <t>USN</t>
        </is>
      </c>
      <c r="L1463" s="7" t="inlineStr">
        <is>
          <t>Combatant Ships</t>
        </is>
      </c>
      <c r="M1463" s="7" t="inlineStr">
        <is>
          <t>Amphibious Warfare Ships</t>
        </is>
      </c>
      <c r="N1463" s="7" t="inlineStr">
        <is>
          <t>LPD</t>
        </is>
      </c>
      <c r="O1463" s="15" t="n"/>
      <c r="S1463" s="16" t="n">
        <v>14358</v>
      </c>
      <c r="U1463" s="16" t="n">
        <v>14358</v>
      </c>
      <c r="AC1463" s="23">
        <f>IF(OR(E1463="",E1463="[PARENT]"),"ADD",IF(E1463="[ALT_VIEW]","ALT",""))</f>
        <v/>
      </c>
      <c r="AD1463" s="21">
        <f>IF(Y1463&lt;&gt;"",Y1463,IF(U1463&lt;&gt;"",U1463,S1463))</f>
        <v/>
      </c>
      <c r="AE1463" s="21">
        <f>IF(AB1463&lt;&gt;"",AB1463,Z1463)</f>
        <v/>
      </c>
      <c r="AF1463" s="13" t="inlineStr">
        <is>
          <t>P-8a &gt; LPD Flight II &gt; Electronics &gt; AN/SLQ-32(V)6 Surface Electronic Warfare Improvement Program (SEWIP) 1</t>
        </is>
      </c>
      <c r="AG1463" s="7" t="inlineStr">
        <is>
          <t>308</t>
        </is>
      </c>
      <c r="AH1463" s="7" t="inlineStr">
        <is>
          <t>3010</t>
        </is>
      </c>
      <c r="AJ1463" s="7" t="inlineStr">
        <is>
          <t>AN/SLQ-32(V)6 Surface Electronic Warfare Improvement Program (SEWIP)</t>
        </is>
      </c>
    </row>
    <row r="1464" ht="10" customHeight="1">
      <c r="A1464" s="7" t="inlineStr">
        <is>
          <t>SCN</t>
        </is>
      </c>
      <c r="B1464" s="7" t="inlineStr">
        <is>
          <t>Procurement</t>
        </is>
      </c>
      <c r="D1464" s="7" t="inlineStr">
        <is>
          <t>LPD Flight II - P-8a Electronics - HM&amp;E Condition System (HMECS) 1</t>
        </is>
      </c>
      <c r="E1464" s="13" t="inlineStr">
        <is>
          <t>[ALT_VIEW]</t>
        </is>
      </c>
      <c r="F1464" s="7" t="inlineStr">
        <is>
          <t>3010 / LPD Flight II</t>
        </is>
      </c>
      <c r="G1464" s="7" t="inlineStr">
        <is>
          <t>P-8a</t>
        </is>
      </c>
      <c r="H1464" s="7" t="inlineStr">
        <is>
          <t>Electronics</t>
        </is>
      </c>
      <c r="I1464" s="14" t="n">
        <v>1</v>
      </c>
      <c r="J1464" s="7" t="inlineStr">
        <is>
          <t>Full ship DD&amp;C</t>
        </is>
      </c>
      <c r="K1464" s="13" t="inlineStr">
        <is>
          <t>USN</t>
        </is>
      </c>
      <c r="L1464" s="7" t="inlineStr">
        <is>
          <t>Combatant Ships</t>
        </is>
      </c>
      <c r="M1464" s="7" t="inlineStr">
        <is>
          <t>Amphibious Warfare Ships</t>
        </is>
      </c>
      <c r="N1464" s="7" t="inlineStr">
        <is>
          <t>LPD</t>
        </is>
      </c>
      <c r="O1464" s="15" t="n"/>
      <c r="S1464" s="16" t="n">
        <v>3900</v>
      </c>
      <c r="U1464" s="16" t="n">
        <v>3900</v>
      </c>
      <c r="AC1464" s="23">
        <f>IF(OR(E1464="",E1464="[PARENT]"),"ADD",IF(E1464="[ALT_VIEW]","ALT",""))</f>
        <v/>
      </c>
      <c r="AD1464" s="21">
        <f>IF(Y1464&lt;&gt;"",Y1464,IF(U1464&lt;&gt;"",U1464,S1464))</f>
        <v/>
      </c>
      <c r="AE1464" s="21">
        <f>IF(AB1464&lt;&gt;"",AB1464,Z1464)</f>
        <v/>
      </c>
      <c r="AF1464" s="13" t="inlineStr">
        <is>
          <t>P-8a &gt; LPD Flight II &gt; Electronics &gt; HM&amp;E Condition System (HMECS) 1</t>
        </is>
      </c>
      <c r="AG1464" s="7" t="inlineStr">
        <is>
          <t>308</t>
        </is>
      </c>
      <c r="AH1464" s="7" t="inlineStr">
        <is>
          <t>3010</t>
        </is>
      </c>
      <c r="AJ1464" s="7" t="inlineStr">
        <is>
          <t>HM&amp;E Condition System (HMECS)</t>
        </is>
      </c>
    </row>
    <row r="1465" ht="10" customHeight="1">
      <c r="A1465" s="7" t="inlineStr">
        <is>
          <t>SCN</t>
        </is>
      </c>
      <c r="B1465" s="7" t="inlineStr">
        <is>
          <t>Procurement</t>
        </is>
      </c>
      <c r="D1465" s="7" t="inlineStr">
        <is>
          <t>LPD Flight II - P-8a Electronics - Advanced Training Domain (ATD) 1</t>
        </is>
      </c>
      <c r="E1465" s="13" t="inlineStr">
        <is>
          <t>[ALT_VIEW]</t>
        </is>
      </c>
      <c r="F1465" s="7" t="inlineStr">
        <is>
          <t>3010 / LPD Flight II</t>
        </is>
      </c>
      <c r="G1465" s="7" t="inlineStr">
        <is>
          <t>P-8a</t>
        </is>
      </c>
      <c r="H1465" s="7" t="inlineStr">
        <is>
          <t>Electronics</t>
        </is>
      </c>
      <c r="I1465" s="14" t="n">
        <v>1</v>
      </c>
      <c r="J1465" s="7" t="inlineStr">
        <is>
          <t>Full ship DD&amp;C</t>
        </is>
      </c>
      <c r="K1465" s="13" t="inlineStr">
        <is>
          <t>USN</t>
        </is>
      </c>
      <c r="L1465" s="7" t="inlineStr">
        <is>
          <t>Combatant Ships</t>
        </is>
      </c>
      <c r="M1465" s="7" t="inlineStr">
        <is>
          <t>Amphibious Warfare Ships</t>
        </is>
      </c>
      <c r="N1465" s="7" t="inlineStr">
        <is>
          <t>LPD</t>
        </is>
      </c>
      <c r="O1465" s="15" t="n"/>
      <c r="S1465" s="16" t="n">
        <v>1407</v>
      </c>
      <c r="U1465" s="16" t="n">
        <v>1407</v>
      </c>
      <c r="AC1465" s="23">
        <f>IF(OR(E1465="",E1465="[PARENT]"),"ADD",IF(E1465="[ALT_VIEW]","ALT",""))</f>
        <v/>
      </c>
      <c r="AD1465" s="21">
        <f>IF(Y1465&lt;&gt;"",Y1465,IF(U1465&lt;&gt;"",U1465,S1465))</f>
        <v/>
      </c>
      <c r="AE1465" s="21">
        <f>IF(AB1465&lt;&gt;"",AB1465,Z1465)</f>
        <v/>
      </c>
      <c r="AF1465" s="13" t="inlineStr">
        <is>
          <t>P-8a &gt; LPD Flight II &gt; Electronics &gt; Advanced Training Domain (ATD) 1</t>
        </is>
      </c>
      <c r="AG1465" s="7" t="inlineStr">
        <is>
          <t>308</t>
        </is>
      </c>
      <c r="AH1465" s="7" t="inlineStr">
        <is>
          <t>3010</t>
        </is>
      </c>
      <c r="AJ1465" s="7" t="inlineStr">
        <is>
          <t>Advanced Training Domain (ATD)</t>
        </is>
      </c>
    </row>
    <row r="1466" ht="10" customHeight="1">
      <c r="A1466" s="7" t="inlineStr">
        <is>
          <t>SCN</t>
        </is>
      </c>
      <c r="B1466" s="7" t="inlineStr">
        <is>
          <t>Procurement</t>
        </is>
      </c>
      <c r="D1466" s="7" t="inlineStr">
        <is>
          <t>LPD Flight II - P-8a Electronics - AN/WSN-7(RLGN) 1</t>
        </is>
      </c>
      <c r="E1466" s="13" t="inlineStr">
        <is>
          <t>[ALT_VIEW]</t>
        </is>
      </c>
      <c r="F1466" s="7" t="inlineStr">
        <is>
          <t>3010 / LPD Flight II</t>
        </is>
      </c>
      <c r="G1466" s="7" t="inlineStr">
        <is>
          <t>P-8a</t>
        </is>
      </c>
      <c r="H1466" s="7" t="inlineStr">
        <is>
          <t>Electronics</t>
        </is>
      </c>
      <c r="I1466" s="14" t="n">
        <v>1</v>
      </c>
      <c r="J1466" s="7" t="inlineStr">
        <is>
          <t>Full ship DD&amp;C</t>
        </is>
      </c>
      <c r="K1466" s="13" t="inlineStr">
        <is>
          <t>USN</t>
        </is>
      </c>
      <c r="L1466" s="7" t="inlineStr">
        <is>
          <t>Combatant Ships</t>
        </is>
      </c>
      <c r="M1466" s="7" t="inlineStr">
        <is>
          <t>Amphibious Warfare Ships</t>
        </is>
      </c>
      <c r="N1466" s="7" t="inlineStr">
        <is>
          <t>LPD</t>
        </is>
      </c>
      <c r="O1466" s="15" t="n"/>
      <c r="S1466" s="16" t="n">
        <v>4365</v>
      </c>
      <c r="U1466" s="16" t="n">
        <v>4365</v>
      </c>
      <c r="AC1466" s="23">
        <f>IF(OR(E1466="",E1466="[PARENT]"),"ADD",IF(E1466="[ALT_VIEW]","ALT",""))</f>
        <v/>
      </c>
      <c r="AD1466" s="21">
        <f>IF(Y1466&lt;&gt;"",Y1466,IF(U1466&lt;&gt;"",U1466,S1466))</f>
        <v/>
      </c>
      <c r="AE1466" s="21">
        <f>IF(AB1466&lt;&gt;"",AB1466,Z1466)</f>
        <v/>
      </c>
      <c r="AF1466" s="13" t="inlineStr">
        <is>
          <t>P-8a &gt; LPD Flight II &gt; Electronics &gt; AN/WSN-7(RLGN) 1</t>
        </is>
      </c>
      <c r="AG1466" s="7" t="inlineStr">
        <is>
          <t>308</t>
        </is>
      </c>
      <c r="AH1466" s="7" t="inlineStr">
        <is>
          <t>3010</t>
        </is>
      </c>
      <c r="AJ1466" s="7" t="inlineStr">
        <is>
          <t>AN/WSN-7(RLGN)</t>
        </is>
      </c>
    </row>
    <row r="1467" ht="10" customHeight="1">
      <c r="A1467" s="7" t="inlineStr">
        <is>
          <t>SCN</t>
        </is>
      </c>
      <c r="B1467" s="7" t="inlineStr">
        <is>
          <t>Procurement</t>
        </is>
      </c>
      <c r="D1467" s="7" t="inlineStr">
        <is>
          <t>LPD Flight II - P-8a Electronics - Nulka Decoy Launching System (DLS) 1</t>
        </is>
      </c>
      <c r="E1467" s="13" t="inlineStr">
        <is>
          <t>[ALT_VIEW]</t>
        </is>
      </c>
      <c r="F1467" s="7" t="inlineStr">
        <is>
          <t>3010 / LPD Flight II</t>
        </is>
      </c>
      <c r="G1467" s="7" t="inlineStr">
        <is>
          <t>P-8a</t>
        </is>
      </c>
      <c r="H1467" s="7" t="inlineStr">
        <is>
          <t>Electronics</t>
        </is>
      </c>
      <c r="I1467" s="14" t="n">
        <v>1</v>
      </c>
      <c r="J1467" s="7" t="inlineStr">
        <is>
          <t>Full ship DD&amp;C</t>
        </is>
      </c>
      <c r="K1467" s="13" t="inlineStr">
        <is>
          <t>USN</t>
        </is>
      </c>
      <c r="L1467" s="7" t="inlineStr">
        <is>
          <t>Combatant Ships</t>
        </is>
      </c>
      <c r="M1467" s="7" t="inlineStr">
        <is>
          <t>Amphibious Warfare Ships</t>
        </is>
      </c>
      <c r="N1467" s="7" t="inlineStr">
        <is>
          <t>LPD</t>
        </is>
      </c>
      <c r="O1467" s="15" t="n"/>
      <c r="S1467" s="16" t="n">
        <v>1596</v>
      </c>
      <c r="U1467" s="16" t="n">
        <v>1596</v>
      </c>
      <c r="AC1467" s="23">
        <f>IF(OR(E1467="",E1467="[PARENT]"),"ADD",IF(E1467="[ALT_VIEW]","ALT",""))</f>
        <v/>
      </c>
      <c r="AD1467" s="21">
        <f>IF(Y1467&lt;&gt;"",Y1467,IF(U1467&lt;&gt;"",U1467,S1467))</f>
        <v/>
      </c>
      <c r="AE1467" s="21">
        <f>IF(AB1467&lt;&gt;"",AB1467,Z1467)</f>
        <v/>
      </c>
      <c r="AF1467" s="13" t="inlineStr">
        <is>
          <t>P-8a &gt; LPD Flight II &gt; Electronics &gt; Nulka Decoy Launching System (DLS) 1</t>
        </is>
      </c>
      <c r="AG1467" s="7" t="inlineStr">
        <is>
          <t>308</t>
        </is>
      </c>
      <c r="AH1467" s="7" t="inlineStr">
        <is>
          <t>3010</t>
        </is>
      </c>
      <c r="AJ1467" s="7" t="inlineStr">
        <is>
          <t>Nulka Decoy Launching System (DLS)</t>
        </is>
      </c>
    </row>
    <row r="1468" ht="10" customHeight="1">
      <c r="A1468" s="7" t="inlineStr">
        <is>
          <t>SCN</t>
        </is>
      </c>
      <c r="B1468" s="7" t="inlineStr">
        <is>
          <t>Procurement</t>
        </is>
      </c>
      <c r="D1468" s="7" t="inlineStr">
        <is>
          <t>LPD Flight II - P-8a Electronics - Amphibious Assault Direction System (AADS) 1</t>
        </is>
      </c>
      <c r="E1468" s="13" t="inlineStr">
        <is>
          <t>[ALT_VIEW]</t>
        </is>
      </c>
      <c r="F1468" s="7" t="inlineStr">
        <is>
          <t>3010 / LPD Flight II</t>
        </is>
      </c>
      <c r="G1468" s="7" t="inlineStr">
        <is>
          <t>P-8a</t>
        </is>
      </c>
      <c r="H1468" s="7" t="inlineStr">
        <is>
          <t>Electronics</t>
        </is>
      </c>
      <c r="I1468" s="14" t="n">
        <v>1</v>
      </c>
      <c r="J1468" s="7" t="inlineStr">
        <is>
          <t>Full ship DD&amp;C</t>
        </is>
      </c>
      <c r="K1468" s="13" t="inlineStr">
        <is>
          <t>USN</t>
        </is>
      </c>
      <c r="L1468" s="7" t="inlineStr">
        <is>
          <t>Combatant Ships</t>
        </is>
      </c>
      <c r="M1468" s="7" t="inlineStr">
        <is>
          <t>Amphibious Warfare Ships</t>
        </is>
      </c>
      <c r="N1468" s="7" t="inlineStr">
        <is>
          <t>LPD</t>
        </is>
      </c>
      <c r="O1468" s="15" t="n"/>
      <c r="S1468" s="16" t="n">
        <v>1168</v>
      </c>
      <c r="U1468" s="16" t="n">
        <v>1168</v>
      </c>
      <c r="AC1468" s="23">
        <f>IF(OR(E1468="",E1468="[PARENT]"),"ADD",IF(E1468="[ALT_VIEW]","ALT",""))</f>
        <v/>
      </c>
      <c r="AD1468" s="21">
        <f>IF(Y1468&lt;&gt;"",Y1468,IF(U1468&lt;&gt;"",U1468,S1468))</f>
        <v/>
      </c>
      <c r="AE1468" s="21">
        <f>IF(AB1468&lt;&gt;"",AB1468,Z1468)</f>
        <v/>
      </c>
      <c r="AF1468" s="13" t="inlineStr">
        <is>
          <t>P-8a &gt; LPD Flight II &gt; Electronics &gt; Amphibious Assault Direction System (AADS) 1</t>
        </is>
      </c>
      <c r="AG1468" s="7" t="inlineStr">
        <is>
          <t>308</t>
        </is>
      </c>
      <c r="AH1468" s="7" t="inlineStr">
        <is>
          <t>3010</t>
        </is>
      </c>
      <c r="AJ1468" s="7" t="inlineStr">
        <is>
          <t>Amphibious Assault Direction System (AADS)</t>
        </is>
      </c>
    </row>
    <row r="1469" ht="10" customHeight="1">
      <c r="A1469" s="7" t="inlineStr">
        <is>
          <t>SCN</t>
        </is>
      </c>
      <c r="B1469" s="7" t="inlineStr">
        <is>
          <t>Procurement</t>
        </is>
      </c>
      <c r="D1469" s="7" t="inlineStr">
        <is>
          <t>LPD Flight II - P-8a Electronics - RADIAC 1</t>
        </is>
      </c>
      <c r="E1469" s="13" t="inlineStr">
        <is>
          <t>[ALT_VIEW]</t>
        </is>
      </c>
      <c r="F1469" s="7" t="inlineStr">
        <is>
          <t>3010 / LPD Flight II</t>
        </is>
      </c>
      <c r="G1469" s="7" t="inlineStr">
        <is>
          <t>P-8a</t>
        </is>
      </c>
      <c r="H1469" s="7" t="inlineStr">
        <is>
          <t>Electronics</t>
        </is>
      </c>
      <c r="I1469" s="14" t="n">
        <v>1</v>
      </c>
      <c r="J1469" s="7" t="inlineStr">
        <is>
          <t>Full ship DD&amp;C</t>
        </is>
      </c>
      <c r="K1469" s="13" t="inlineStr">
        <is>
          <t>USN</t>
        </is>
      </c>
      <c r="L1469" s="7" t="inlineStr">
        <is>
          <t>Combatant Ships</t>
        </is>
      </c>
      <c r="M1469" s="7" t="inlineStr">
        <is>
          <t>Amphibious Warfare Ships</t>
        </is>
      </c>
      <c r="N1469" s="7" t="inlineStr">
        <is>
          <t>LPD</t>
        </is>
      </c>
      <c r="O1469" s="15" t="n"/>
      <c r="S1469" s="16" t="n">
        <v>115</v>
      </c>
      <c r="U1469" s="16" t="n">
        <v>115</v>
      </c>
      <c r="AC1469" s="23">
        <f>IF(OR(E1469="",E1469="[PARENT]"),"ADD",IF(E1469="[ALT_VIEW]","ALT",""))</f>
        <v/>
      </c>
      <c r="AD1469" s="21">
        <f>IF(Y1469&lt;&gt;"",Y1469,IF(U1469&lt;&gt;"",U1469,S1469))</f>
        <v/>
      </c>
      <c r="AE1469" s="21">
        <f>IF(AB1469&lt;&gt;"",AB1469,Z1469)</f>
        <v/>
      </c>
      <c r="AF1469" s="13" t="inlineStr">
        <is>
          <t>P-8a &gt; LPD Flight II &gt; Electronics &gt; RADIAC 1</t>
        </is>
      </c>
      <c r="AG1469" s="7" t="inlineStr">
        <is>
          <t>308</t>
        </is>
      </c>
      <c r="AH1469" s="7" t="inlineStr">
        <is>
          <t>3010</t>
        </is>
      </c>
      <c r="AJ1469" s="7" t="inlineStr">
        <is>
          <t>RADIAC</t>
        </is>
      </c>
    </row>
    <row r="1470" ht="10" customHeight="1">
      <c r="A1470" s="7" t="inlineStr">
        <is>
          <t>SCN</t>
        </is>
      </c>
      <c r="B1470" s="7" t="inlineStr">
        <is>
          <t>Procurement</t>
        </is>
      </c>
      <c r="D1470" s="7" t="inlineStr">
        <is>
          <t>LPD Flight II - P-8a Electronics - AN/UQN-10 1</t>
        </is>
      </c>
      <c r="E1470" s="13" t="inlineStr">
        <is>
          <t>[ALT_VIEW]</t>
        </is>
      </c>
      <c r="F1470" s="7" t="inlineStr">
        <is>
          <t>3010 / LPD Flight II</t>
        </is>
      </c>
      <c r="G1470" s="7" t="inlineStr">
        <is>
          <t>P-8a</t>
        </is>
      </c>
      <c r="H1470" s="7" t="inlineStr">
        <is>
          <t>Electronics</t>
        </is>
      </c>
      <c r="I1470" s="14" t="n">
        <v>1</v>
      </c>
      <c r="J1470" s="7" t="inlineStr">
        <is>
          <t>Full ship DD&amp;C</t>
        </is>
      </c>
      <c r="K1470" s="13" t="inlineStr">
        <is>
          <t>USN</t>
        </is>
      </c>
      <c r="L1470" s="7" t="inlineStr">
        <is>
          <t>Combatant Ships</t>
        </is>
      </c>
      <c r="M1470" s="7" t="inlineStr">
        <is>
          <t>Amphibious Warfare Ships</t>
        </is>
      </c>
      <c r="N1470" s="7" t="inlineStr">
        <is>
          <t>LPD</t>
        </is>
      </c>
      <c r="O1470" s="15" t="n"/>
      <c r="S1470" s="16" t="n">
        <v>229</v>
      </c>
      <c r="U1470" s="16" t="n">
        <v>229</v>
      </c>
      <c r="AC1470" s="23">
        <f>IF(OR(E1470="",E1470="[PARENT]"),"ADD",IF(E1470="[ALT_VIEW]","ALT",""))</f>
        <v/>
      </c>
      <c r="AD1470" s="21">
        <f>IF(Y1470&lt;&gt;"",Y1470,IF(U1470&lt;&gt;"",U1470,S1470))</f>
        <v/>
      </c>
      <c r="AE1470" s="21">
        <f>IF(AB1470&lt;&gt;"",AB1470,Z1470)</f>
        <v/>
      </c>
      <c r="AF1470" s="13" t="inlineStr">
        <is>
          <t>P-8a &gt; LPD Flight II &gt; Electronics &gt; AN/UQN-10 1</t>
        </is>
      </c>
      <c r="AG1470" s="7" t="inlineStr">
        <is>
          <t>308</t>
        </is>
      </c>
      <c r="AH1470" s="7" t="inlineStr">
        <is>
          <t>3010</t>
        </is>
      </c>
      <c r="AJ1470" s="7" t="inlineStr">
        <is>
          <t>AN/UQN-10</t>
        </is>
      </c>
    </row>
    <row r="1471" ht="10" customHeight="1">
      <c r="A1471" s="7" t="inlineStr">
        <is>
          <t>SCN</t>
        </is>
      </c>
      <c r="B1471" s="7" t="inlineStr">
        <is>
          <t>Procurement</t>
        </is>
      </c>
      <c r="D1471" s="7" t="inlineStr">
        <is>
          <t>LPD Flight II - P-8a Electronics - DHYSL 1</t>
        </is>
      </c>
      <c r="E1471" s="13" t="inlineStr">
        <is>
          <t>[ALT_VIEW]</t>
        </is>
      </c>
      <c r="F1471" s="7" t="inlineStr">
        <is>
          <t>3010 / LPD Flight II</t>
        </is>
      </c>
      <c r="G1471" s="7" t="inlineStr">
        <is>
          <t>P-8a</t>
        </is>
      </c>
      <c r="H1471" s="7" t="inlineStr">
        <is>
          <t>Electronics</t>
        </is>
      </c>
      <c r="I1471" s="14" t="n">
        <v>1</v>
      </c>
      <c r="J1471" s="7" t="inlineStr">
        <is>
          <t>Full ship DD&amp;C</t>
        </is>
      </c>
      <c r="K1471" s="13" t="inlineStr">
        <is>
          <t>USN</t>
        </is>
      </c>
      <c r="L1471" s="7" t="inlineStr">
        <is>
          <t>Combatant Ships</t>
        </is>
      </c>
      <c r="M1471" s="7" t="inlineStr">
        <is>
          <t>Amphibious Warfare Ships</t>
        </is>
      </c>
      <c r="N1471" s="7" t="inlineStr">
        <is>
          <t>LPD</t>
        </is>
      </c>
      <c r="O1471" s="15" t="n"/>
      <c r="S1471" s="16" t="n">
        <v>420</v>
      </c>
      <c r="U1471" s="16" t="n">
        <v>420</v>
      </c>
      <c r="AC1471" s="23">
        <f>IF(OR(E1471="",E1471="[PARENT]"),"ADD",IF(E1471="[ALT_VIEW]","ALT",""))</f>
        <v/>
      </c>
      <c r="AD1471" s="21">
        <f>IF(Y1471&lt;&gt;"",Y1471,IF(U1471&lt;&gt;"",U1471,S1471))</f>
        <v/>
      </c>
      <c r="AE1471" s="21">
        <f>IF(AB1471&lt;&gt;"",AB1471,Z1471)</f>
        <v/>
      </c>
      <c r="AF1471" s="13" t="inlineStr">
        <is>
          <t>P-8a &gt; LPD Flight II &gt; Electronics &gt; DHYSL 1</t>
        </is>
      </c>
      <c r="AG1471" s="7" t="inlineStr">
        <is>
          <t>308</t>
        </is>
      </c>
      <c r="AH1471" s="7" t="inlineStr">
        <is>
          <t>3010</t>
        </is>
      </c>
      <c r="AJ1471" s="7" t="inlineStr">
        <is>
          <t>DHYSL</t>
        </is>
      </c>
    </row>
    <row r="1472" ht="10" customHeight="1">
      <c r="A1472" s="7" t="inlineStr">
        <is>
          <t>SCN</t>
        </is>
      </c>
      <c r="B1472" s="7" t="inlineStr">
        <is>
          <t>Procurement</t>
        </is>
      </c>
      <c r="D1472" s="7" t="inlineStr">
        <is>
          <t>LPD Flight II - P-8a Electronics - Electronic Charting Display and Information Systems-Navy (ECDIS-N) 1</t>
        </is>
      </c>
      <c r="E1472" s="13" t="inlineStr">
        <is>
          <t>[ALT_VIEW]</t>
        </is>
      </c>
      <c r="F1472" s="7" t="inlineStr">
        <is>
          <t>3010 / LPD Flight II</t>
        </is>
      </c>
      <c r="G1472" s="7" t="inlineStr">
        <is>
          <t>P-8a</t>
        </is>
      </c>
      <c r="H1472" s="7" t="inlineStr">
        <is>
          <t>Electronics</t>
        </is>
      </c>
      <c r="I1472" s="14" t="n">
        <v>1</v>
      </c>
      <c r="J1472" s="7" t="inlineStr">
        <is>
          <t>Full ship DD&amp;C</t>
        </is>
      </c>
      <c r="K1472" s="13" t="inlineStr">
        <is>
          <t>USN</t>
        </is>
      </c>
      <c r="L1472" s="7" t="inlineStr">
        <is>
          <t>Combatant Ships</t>
        </is>
      </c>
      <c r="M1472" s="7" t="inlineStr">
        <is>
          <t>Amphibious Warfare Ships</t>
        </is>
      </c>
      <c r="N1472" s="7" t="inlineStr">
        <is>
          <t>LPD</t>
        </is>
      </c>
      <c r="O1472" s="15" t="n"/>
      <c r="S1472" s="16" t="n">
        <v>1970</v>
      </c>
      <c r="U1472" s="16" t="n">
        <v>1970</v>
      </c>
      <c r="AC1472" s="23">
        <f>IF(OR(E1472="",E1472="[PARENT]"),"ADD",IF(E1472="[ALT_VIEW]","ALT",""))</f>
        <v/>
      </c>
      <c r="AD1472" s="21">
        <f>IF(Y1472&lt;&gt;"",Y1472,IF(U1472&lt;&gt;"",U1472,S1472))</f>
        <v/>
      </c>
      <c r="AE1472" s="21">
        <f>IF(AB1472&lt;&gt;"",AB1472,Z1472)</f>
        <v/>
      </c>
      <c r="AF1472" s="13" t="inlineStr">
        <is>
          <t>P-8a &gt; LPD Flight II &gt; Electronics &gt; Electronic Charting Display and Information Systems-Navy (ECDIS-N) 1</t>
        </is>
      </c>
      <c r="AG1472" s="7" t="inlineStr">
        <is>
          <t>308</t>
        </is>
      </c>
      <c r="AH1472" s="7" t="inlineStr">
        <is>
          <t>3010</t>
        </is>
      </c>
      <c r="AJ1472" s="7" t="inlineStr">
        <is>
          <t>Electronic Charting Display and Information Systems-Navy (ECDIS-N)</t>
        </is>
      </c>
    </row>
    <row r="1473" ht="10" customHeight="1">
      <c r="A1473" s="7" t="inlineStr">
        <is>
          <t>SCN</t>
        </is>
      </c>
      <c r="B1473" s="7" t="inlineStr">
        <is>
          <t>Procurement</t>
        </is>
      </c>
      <c r="D1473" s="7" t="inlineStr">
        <is>
          <t>LPD Flight II - P-8a Electronics - Miscellaneous Electronics</t>
        </is>
      </c>
      <c r="E1473" s="13" t="inlineStr">
        <is>
          <t>[ALT_VIEW]</t>
        </is>
      </c>
      <c r="F1473" s="7" t="inlineStr">
        <is>
          <t>3010 / LPD Flight II</t>
        </is>
      </c>
      <c r="G1473" s="7" t="inlineStr">
        <is>
          <t>P-8a</t>
        </is>
      </c>
      <c r="H1473" s="7" t="inlineStr">
        <is>
          <t>Electronics</t>
        </is>
      </c>
      <c r="I1473" s="14" t="n">
        <v>1</v>
      </c>
      <c r="J1473" s="7" t="inlineStr">
        <is>
          <t>Full ship DD&amp;C</t>
        </is>
      </c>
      <c r="K1473" s="13" t="inlineStr">
        <is>
          <t>USN</t>
        </is>
      </c>
      <c r="L1473" s="7" t="inlineStr">
        <is>
          <t>Combatant Ships</t>
        </is>
      </c>
      <c r="M1473" s="7" t="inlineStr">
        <is>
          <t>Amphibious Warfare Ships</t>
        </is>
      </c>
      <c r="N1473" s="7" t="inlineStr">
        <is>
          <t>LPD</t>
        </is>
      </c>
      <c r="O1473" s="15" t="n"/>
      <c r="S1473" s="16" t="n">
        <v>34698</v>
      </c>
      <c r="U1473" s="16" t="n">
        <v>34698</v>
      </c>
      <c r="AC1473" s="23">
        <f>IF(OR(E1473="",E1473="[PARENT]"),"ADD",IF(E1473="[ALT_VIEW]","ALT",""))</f>
        <v/>
      </c>
      <c r="AD1473" s="21">
        <f>IF(Y1473&lt;&gt;"",Y1473,IF(U1473&lt;&gt;"",U1473,S1473))</f>
        <v/>
      </c>
      <c r="AE1473" s="21">
        <f>IF(AB1473&lt;&gt;"",AB1473,Z1473)</f>
        <v/>
      </c>
      <c r="AF1473" s="13" t="inlineStr">
        <is>
          <t>P-8a &gt; LPD Flight II &gt; Electronics &gt; Miscellaneous Electronics</t>
        </is>
      </c>
      <c r="AG1473" s="7" t="inlineStr">
        <is>
          <t>308</t>
        </is>
      </c>
      <c r="AH1473" s="7" t="inlineStr">
        <is>
          <t>3010</t>
        </is>
      </c>
      <c r="AJ1473" s="7" t="inlineStr">
        <is>
          <t>Miscellaneous Electronics</t>
        </is>
      </c>
    </row>
    <row r="1474" ht="10" customHeight="1">
      <c r="A1474" s="7" t="inlineStr">
        <is>
          <t>SCN</t>
        </is>
      </c>
      <c r="B1474" s="7" t="inlineStr">
        <is>
          <t>Procurement</t>
        </is>
      </c>
      <c r="D1474" s="7" t="inlineStr">
        <is>
          <t>LPD Flight II - P-8a Electronics - IWS CSI</t>
        </is>
      </c>
      <c r="E1474" s="13" t="inlineStr">
        <is>
          <t>[ALT_VIEW]</t>
        </is>
      </c>
      <c r="F1474" s="7" t="inlineStr">
        <is>
          <t>3010 / LPD Flight II</t>
        </is>
      </c>
      <c r="G1474" s="7" t="inlineStr">
        <is>
          <t>P-8a</t>
        </is>
      </c>
      <c r="H1474" s="7" t="inlineStr">
        <is>
          <t>Electronics</t>
        </is>
      </c>
      <c r="I1474" s="14" t="n">
        <v>1</v>
      </c>
      <c r="J1474" s="7" t="inlineStr">
        <is>
          <t>Full ship DD&amp;C</t>
        </is>
      </c>
      <c r="K1474" s="13" t="inlineStr">
        <is>
          <t>USN</t>
        </is>
      </c>
      <c r="L1474" s="7" t="inlineStr">
        <is>
          <t>Combatant Ships</t>
        </is>
      </c>
      <c r="M1474" s="7" t="inlineStr">
        <is>
          <t>Amphibious Warfare Ships</t>
        </is>
      </c>
      <c r="N1474" s="7" t="inlineStr">
        <is>
          <t>LPD</t>
        </is>
      </c>
      <c r="O1474" s="15" t="n"/>
      <c r="S1474" s="16" t="n">
        <v>4649</v>
      </c>
      <c r="U1474" s="16" t="n">
        <v>4649</v>
      </c>
      <c r="AC1474" s="23">
        <f>IF(OR(E1474="",E1474="[PARENT]"),"ADD",IF(E1474="[ALT_VIEW]","ALT",""))</f>
        <v/>
      </c>
      <c r="AD1474" s="21">
        <f>IF(Y1474&lt;&gt;"",Y1474,IF(U1474&lt;&gt;"",U1474,S1474))</f>
        <v/>
      </c>
      <c r="AE1474" s="21">
        <f>IF(AB1474&lt;&gt;"",AB1474,Z1474)</f>
        <v/>
      </c>
      <c r="AF1474" s="13" t="inlineStr">
        <is>
          <t>P-8a &gt; LPD Flight II &gt; Electronics &gt; IWS CSI</t>
        </is>
      </c>
      <c r="AG1474" s="7" t="inlineStr">
        <is>
          <t>308</t>
        </is>
      </c>
      <c r="AH1474" s="7" t="inlineStr">
        <is>
          <t>3010</t>
        </is>
      </c>
      <c r="AJ1474" s="7" t="inlineStr">
        <is>
          <t>IWS CSI</t>
        </is>
      </c>
    </row>
    <row r="1475" ht="10" customHeight="1">
      <c r="A1475" s="7" t="inlineStr">
        <is>
          <t>SCN</t>
        </is>
      </c>
      <c r="B1475" s="7" t="inlineStr">
        <is>
          <t>Procurement</t>
        </is>
      </c>
      <c r="D1475" s="7" t="inlineStr">
        <is>
          <t>LPD Flight II - P-8a Hull, Mechanical, and Electrical - Boats (Rigid Inflatable Boat, 7 meter) 1</t>
        </is>
      </c>
      <c r="E1475" s="13" t="inlineStr">
        <is>
          <t>[ALT_VIEW]</t>
        </is>
      </c>
      <c r="F1475" s="7" t="inlineStr">
        <is>
          <t>3010 / LPD Flight II</t>
        </is>
      </c>
      <c r="G1475" s="7" t="inlineStr">
        <is>
          <t>P-8a</t>
        </is>
      </c>
      <c r="H1475" s="7" t="inlineStr">
        <is>
          <t>Hull, Mechanical, and Electrical</t>
        </is>
      </c>
      <c r="I1475" s="14" t="n">
        <v>1</v>
      </c>
      <c r="J1475" s="7" t="inlineStr">
        <is>
          <t>Full ship DD&amp;C</t>
        </is>
      </c>
      <c r="K1475" s="13" t="inlineStr">
        <is>
          <t>USN</t>
        </is>
      </c>
      <c r="L1475" s="7" t="inlineStr">
        <is>
          <t>Combatant Ships</t>
        </is>
      </c>
      <c r="M1475" s="7" t="inlineStr">
        <is>
          <t>Amphibious Warfare Ships</t>
        </is>
      </c>
      <c r="N1475" s="7" t="inlineStr">
        <is>
          <t>LPD</t>
        </is>
      </c>
      <c r="O1475" s="15" t="n"/>
      <c r="S1475" s="16" t="n">
        <v>722</v>
      </c>
      <c r="U1475" s="16" t="n">
        <v>722</v>
      </c>
      <c r="AC1475" s="23">
        <f>IF(OR(E1475="",E1475="[PARENT]"),"ADD",IF(E1475="[ALT_VIEW]","ALT",""))</f>
        <v/>
      </c>
      <c r="AD1475" s="21">
        <f>IF(Y1475&lt;&gt;"",Y1475,IF(U1475&lt;&gt;"",U1475,S1475))</f>
        <v/>
      </c>
      <c r="AE1475" s="21">
        <f>IF(AB1475&lt;&gt;"",AB1475,Z1475)</f>
        <v/>
      </c>
      <c r="AF1475" s="13" t="inlineStr">
        <is>
          <t>P-8a &gt; LPD Flight II &gt; Hull, Mechanical, and Electrical &gt; Boats (Rigid Inflatable Boat, 7 meter) 1</t>
        </is>
      </c>
      <c r="AG1475" s="7" t="inlineStr">
        <is>
          <t>309</t>
        </is>
      </c>
      <c r="AH1475" s="7" t="inlineStr">
        <is>
          <t>3010</t>
        </is>
      </c>
      <c r="AJ1475" s="7" t="inlineStr">
        <is>
          <t>Boats (Rigid Inflatable Boat, 7 meter)</t>
        </is>
      </c>
    </row>
    <row r="1476" ht="10" customHeight="1">
      <c r="A1476" s="7" t="inlineStr">
        <is>
          <t>SCN</t>
        </is>
      </c>
      <c r="B1476" s="7" t="inlineStr">
        <is>
          <t>Procurement</t>
        </is>
      </c>
      <c r="D1476" s="7" t="inlineStr">
        <is>
          <t>LPD Flight II - P-8a Hull, Mechanical, and Electrical - Forklift Trucks 7</t>
        </is>
      </c>
      <c r="E1476" s="13" t="inlineStr">
        <is>
          <t>[ALT_VIEW]</t>
        </is>
      </c>
      <c r="F1476" s="7" t="inlineStr">
        <is>
          <t>3010 / LPD Flight II</t>
        </is>
      </c>
      <c r="G1476" s="7" t="inlineStr">
        <is>
          <t>P-8a</t>
        </is>
      </c>
      <c r="H1476" s="7" t="inlineStr">
        <is>
          <t>Hull, Mechanical, and Electrical</t>
        </is>
      </c>
      <c r="I1476" s="14" t="n">
        <v>1</v>
      </c>
      <c r="J1476" s="7" t="inlineStr">
        <is>
          <t>Full ship DD&amp;C</t>
        </is>
      </c>
      <c r="K1476" s="13" t="inlineStr">
        <is>
          <t>USN</t>
        </is>
      </c>
      <c r="L1476" s="7" t="inlineStr">
        <is>
          <t>Combatant Ships</t>
        </is>
      </c>
      <c r="M1476" s="7" t="inlineStr">
        <is>
          <t>Amphibious Warfare Ships</t>
        </is>
      </c>
      <c r="N1476" s="7" t="inlineStr">
        <is>
          <t>LPD</t>
        </is>
      </c>
      <c r="O1476" s="15" t="n"/>
      <c r="S1476" s="16" t="n">
        <v>2424</v>
      </c>
      <c r="U1476" s="16" t="n">
        <v>2424</v>
      </c>
      <c r="AC1476" s="23">
        <f>IF(OR(E1476="",E1476="[PARENT]"),"ADD",IF(E1476="[ALT_VIEW]","ALT",""))</f>
        <v/>
      </c>
      <c r="AD1476" s="21">
        <f>IF(Y1476&lt;&gt;"",Y1476,IF(U1476&lt;&gt;"",U1476,S1476))</f>
        <v/>
      </c>
      <c r="AE1476" s="21">
        <f>IF(AB1476&lt;&gt;"",AB1476,Z1476)</f>
        <v/>
      </c>
      <c r="AF1476" s="13" t="inlineStr">
        <is>
          <t>P-8a &gt; LPD Flight II &gt; Hull, Mechanical, and Electrical &gt; Forklift Trucks 7</t>
        </is>
      </c>
      <c r="AG1476" s="7" t="inlineStr">
        <is>
          <t>309</t>
        </is>
      </c>
      <c r="AH1476" s="7" t="inlineStr">
        <is>
          <t>3010</t>
        </is>
      </c>
      <c r="AJ1476" s="7" t="inlineStr">
        <is>
          <t>Forklift Trucks</t>
        </is>
      </c>
    </row>
    <row r="1477" ht="10" customHeight="1">
      <c r="A1477" s="7" t="inlineStr">
        <is>
          <t>SCN</t>
        </is>
      </c>
      <c r="B1477" s="7" t="inlineStr">
        <is>
          <t>Procurement</t>
        </is>
      </c>
      <c r="D1477" s="7" t="inlineStr">
        <is>
          <t>LPD Flight II - P-8a Hull, Mechanical, and Electrical - Chemical Warfare Detectors 1</t>
        </is>
      </c>
      <c r="E1477" s="13" t="inlineStr">
        <is>
          <t>[ALT_VIEW]</t>
        </is>
      </c>
      <c r="F1477" s="7" t="inlineStr">
        <is>
          <t>3010 / LPD Flight II</t>
        </is>
      </c>
      <c r="G1477" s="7" t="inlineStr">
        <is>
          <t>P-8a</t>
        </is>
      </c>
      <c r="H1477" s="7" t="inlineStr">
        <is>
          <t>Hull, Mechanical, and Electrical</t>
        </is>
      </c>
      <c r="I1477" s="14" t="n">
        <v>1</v>
      </c>
      <c r="J1477" s="7" t="inlineStr">
        <is>
          <t>Full ship DD&amp;C</t>
        </is>
      </c>
      <c r="K1477" s="13" t="inlineStr">
        <is>
          <t>USN</t>
        </is>
      </c>
      <c r="L1477" s="7" t="inlineStr">
        <is>
          <t>Combatant Ships</t>
        </is>
      </c>
      <c r="M1477" s="7" t="inlineStr">
        <is>
          <t>Amphibious Warfare Ships</t>
        </is>
      </c>
      <c r="N1477" s="7" t="inlineStr">
        <is>
          <t>LPD</t>
        </is>
      </c>
      <c r="O1477" s="15" t="n"/>
      <c r="S1477" s="16" t="n">
        <v>1016</v>
      </c>
      <c r="U1477" s="16" t="n">
        <v>1016</v>
      </c>
      <c r="AC1477" s="23">
        <f>IF(OR(E1477="",E1477="[PARENT]"),"ADD",IF(E1477="[ALT_VIEW]","ALT",""))</f>
        <v/>
      </c>
      <c r="AD1477" s="21">
        <f>IF(Y1477&lt;&gt;"",Y1477,IF(U1477&lt;&gt;"",U1477,S1477))</f>
        <v/>
      </c>
      <c r="AE1477" s="21">
        <f>IF(AB1477&lt;&gt;"",AB1477,Z1477)</f>
        <v/>
      </c>
      <c r="AF1477" s="13" t="inlineStr">
        <is>
          <t>P-8a &gt; LPD Flight II &gt; Hull, Mechanical, and Electrical &gt; Chemical Warfare Detectors 1</t>
        </is>
      </c>
      <c r="AG1477" s="7" t="inlineStr">
        <is>
          <t>309</t>
        </is>
      </c>
      <c r="AH1477" s="7" t="inlineStr">
        <is>
          <t>3010</t>
        </is>
      </c>
      <c r="AJ1477" s="7" t="inlineStr">
        <is>
          <t>Chemical Warfare Detectors</t>
        </is>
      </c>
    </row>
    <row r="1478" ht="10" customHeight="1">
      <c r="A1478" s="7" t="inlineStr">
        <is>
          <t>SCN</t>
        </is>
      </c>
      <c r="B1478" s="7" t="inlineStr">
        <is>
          <t>Procurement</t>
        </is>
      </c>
      <c r="D1478" s="7" t="inlineStr">
        <is>
          <t>LPD Flight II - P-8a Hull, Mechanical, and Electrical - Military Payroll System 1</t>
        </is>
      </c>
      <c r="E1478" s="13" t="inlineStr">
        <is>
          <t>[ALT_VIEW]</t>
        </is>
      </c>
      <c r="F1478" s="7" t="inlineStr">
        <is>
          <t>3010 / LPD Flight II</t>
        </is>
      </c>
      <c r="G1478" s="7" t="inlineStr">
        <is>
          <t>P-8a</t>
        </is>
      </c>
      <c r="H1478" s="7" t="inlineStr">
        <is>
          <t>Hull, Mechanical, and Electrical</t>
        </is>
      </c>
      <c r="I1478" s="14" t="n">
        <v>1</v>
      </c>
      <c r="J1478" s="7" t="inlineStr">
        <is>
          <t>Full ship DD&amp;C</t>
        </is>
      </c>
      <c r="K1478" s="13" t="inlineStr">
        <is>
          <t>USN</t>
        </is>
      </c>
      <c r="L1478" s="7" t="inlineStr">
        <is>
          <t>Combatant Ships</t>
        </is>
      </c>
      <c r="M1478" s="7" t="inlineStr">
        <is>
          <t>Amphibious Warfare Ships</t>
        </is>
      </c>
      <c r="N1478" s="7" t="inlineStr">
        <is>
          <t>LPD</t>
        </is>
      </c>
      <c r="O1478" s="15" t="n"/>
      <c r="S1478" s="16" t="n">
        <v>686</v>
      </c>
      <c r="U1478" s="16" t="n">
        <v>686</v>
      </c>
      <c r="AC1478" s="23">
        <f>IF(OR(E1478="",E1478="[PARENT]"),"ADD",IF(E1478="[ALT_VIEW]","ALT",""))</f>
        <v/>
      </c>
      <c r="AD1478" s="21">
        <f>IF(Y1478&lt;&gt;"",Y1478,IF(U1478&lt;&gt;"",U1478,S1478))</f>
        <v/>
      </c>
      <c r="AE1478" s="21">
        <f>IF(AB1478&lt;&gt;"",AB1478,Z1478)</f>
        <v/>
      </c>
      <c r="AF1478" s="13" t="inlineStr">
        <is>
          <t>P-8a &gt; LPD Flight II &gt; Hull, Mechanical, and Electrical &gt; Military Payroll System 1</t>
        </is>
      </c>
      <c r="AG1478" s="7" t="inlineStr">
        <is>
          <t>309</t>
        </is>
      </c>
      <c r="AH1478" s="7" t="inlineStr">
        <is>
          <t>3010</t>
        </is>
      </c>
      <c r="AJ1478" s="7" t="inlineStr">
        <is>
          <t>Military Payroll System</t>
        </is>
      </c>
    </row>
    <row r="1479" ht="10" customHeight="1">
      <c r="A1479" s="7" t="inlineStr">
        <is>
          <t>SCN</t>
        </is>
      </c>
      <c r="B1479" s="7" t="inlineStr">
        <is>
          <t>Procurement</t>
        </is>
      </c>
      <c r="D1479" s="7" t="inlineStr">
        <is>
          <t>LPD Flight II - P-8a Hull, Mechanical, and Electrical - Motor Operated Pilot Valve (MOPV) 1</t>
        </is>
      </c>
      <c r="E1479" s="13" t="inlineStr">
        <is>
          <t>[ALT_VIEW]</t>
        </is>
      </c>
      <c r="F1479" s="7" t="inlineStr">
        <is>
          <t>3010 / LPD Flight II</t>
        </is>
      </c>
      <c r="G1479" s="7" t="inlineStr">
        <is>
          <t>P-8a</t>
        </is>
      </c>
      <c r="H1479" s="7" t="inlineStr">
        <is>
          <t>Hull, Mechanical, and Electrical</t>
        </is>
      </c>
      <c r="I1479" s="14" t="n">
        <v>1</v>
      </c>
      <c r="J1479" s="7" t="inlineStr">
        <is>
          <t>Full ship DD&amp;C</t>
        </is>
      </c>
      <c r="K1479" s="13" t="inlineStr">
        <is>
          <t>USN</t>
        </is>
      </c>
      <c r="L1479" s="7" t="inlineStr">
        <is>
          <t>Combatant Ships</t>
        </is>
      </c>
      <c r="M1479" s="7" t="inlineStr">
        <is>
          <t>Amphibious Warfare Ships</t>
        </is>
      </c>
      <c r="N1479" s="7" t="inlineStr">
        <is>
          <t>LPD</t>
        </is>
      </c>
      <c r="O1479" s="15" t="n"/>
      <c r="S1479" s="16" t="n">
        <v>839</v>
      </c>
      <c r="U1479" s="16" t="n">
        <v>839</v>
      </c>
      <c r="AC1479" s="23">
        <f>IF(OR(E1479="",E1479="[PARENT]"),"ADD",IF(E1479="[ALT_VIEW]","ALT",""))</f>
        <v/>
      </c>
      <c r="AD1479" s="21">
        <f>IF(Y1479&lt;&gt;"",Y1479,IF(U1479&lt;&gt;"",U1479,S1479))</f>
        <v/>
      </c>
      <c r="AE1479" s="21">
        <f>IF(AB1479&lt;&gt;"",AB1479,Z1479)</f>
        <v/>
      </c>
      <c r="AF1479" s="13" t="inlineStr">
        <is>
          <t>P-8a &gt; LPD Flight II &gt; Hull, Mechanical, and Electrical &gt; Motor Operated Pilot Valve (MOPV) 1</t>
        </is>
      </c>
      <c r="AG1479" s="7" t="inlineStr">
        <is>
          <t>309</t>
        </is>
      </c>
      <c r="AH1479" s="7" t="inlineStr">
        <is>
          <t>3010</t>
        </is>
      </c>
      <c r="AJ1479" s="7" t="inlineStr">
        <is>
          <t>Motor Operated Pilot Valve (MOPV)</t>
        </is>
      </c>
    </row>
    <row r="1480" ht="10" customHeight="1">
      <c r="A1480" s="7" t="inlineStr">
        <is>
          <t>SCN</t>
        </is>
      </c>
      <c r="B1480" s="7" t="inlineStr">
        <is>
          <t>Procurement</t>
        </is>
      </c>
      <c r="D1480" s="7" t="inlineStr">
        <is>
          <t>LPD Flight II - P-8a Hull, Mechanical, and Electrical - Oily Water Separator 1</t>
        </is>
      </c>
      <c r="E1480" s="13" t="inlineStr">
        <is>
          <t>[ALT_VIEW]</t>
        </is>
      </c>
      <c r="F1480" s="7" t="inlineStr">
        <is>
          <t>3010 / LPD Flight II</t>
        </is>
      </c>
      <c r="G1480" s="7" t="inlineStr">
        <is>
          <t>P-8a</t>
        </is>
      </c>
      <c r="H1480" s="7" t="inlineStr">
        <is>
          <t>Hull, Mechanical, and Electrical</t>
        </is>
      </c>
      <c r="I1480" s="14" t="n">
        <v>1</v>
      </c>
      <c r="J1480" s="7" t="inlineStr">
        <is>
          <t>Full ship DD&amp;C</t>
        </is>
      </c>
      <c r="K1480" s="13" t="inlineStr">
        <is>
          <t>USN</t>
        </is>
      </c>
      <c r="L1480" s="7" t="inlineStr">
        <is>
          <t>Combatant Ships</t>
        </is>
      </c>
      <c r="M1480" s="7" t="inlineStr">
        <is>
          <t>Amphibious Warfare Ships</t>
        </is>
      </c>
      <c r="N1480" s="7" t="inlineStr">
        <is>
          <t>LPD</t>
        </is>
      </c>
      <c r="O1480" s="15" t="n"/>
      <c r="S1480" s="16" t="n">
        <v>345</v>
      </c>
      <c r="U1480" s="16" t="n">
        <v>345</v>
      </c>
      <c r="AC1480" s="23">
        <f>IF(OR(E1480="",E1480="[PARENT]"),"ADD",IF(E1480="[ALT_VIEW]","ALT",""))</f>
        <v/>
      </c>
      <c r="AD1480" s="21">
        <f>IF(Y1480&lt;&gt;"",Y1480,IF(U1480&lt;&gt;"",U1480,S1480))</f>
        <v/>
      </c>
      <c r="AE1480" s="21">
        <f>IF(AB1480&lt;&gt;"",AB1480,Z1480)</f>
        <v/>
      </c>
      <c r="AF1480" s="13" t="inlineStr">
        <is>
          <t>P-8a &gt; LPD Flight II &gt; Hull, Mechanical, and Electrical &gt; Oily Water Separator 1</t>
        </is>
      </c>
      <c r="AG1480" s="7" t="inlineStr">
        <is>
          <t>309</t>
        </is>
      </c>
      <c r="AH1480" s="7" t="inlineStr">
        <is>
          <t>3010</t>
        </is>
      </c>
      <c r="AJ1480" s="7" t="inlineStr">
        <is>
          <t>Oily Water Separator</t>
        </is>
      </c>
    </row>
    <row r="1481" ht="10" customHeight="1">
      <c r="A1481" s="7" t="inlineStr">
        <is>
          <t>SCN</t>
        </is>
      </c>
      <c r="B1481" s="7" t="inlineStr">
        <is>
          <t>Procurement</t>
        </is>
      </c>
      <c r="D1481" s="7" t="inlineStr">
        <is>
          <t>LPD Flight II - P-8a Hull, Mechanical, and Electrical - Plastic Waste Processing EQP 1</t>
        </is>
      </c>
      <c r="E1481" s="13" t="inlineStr">
        <is>
          <t>[ALT_VIEW]</t>
        </is>
      </c>
      <c r="F1481" s="7" t="inlineStr">
        <is>
          <t>3010 / LPD Flight II</t>
        </is>
      </c>
      <c r="G1481" s="7" t="inlineStr">
        <is>
          <t>P-8a</t>
        </is>
      </c>
      <c r="H1481" s="7" t="inlineStr">
        <is>
          <t>Hull, Mechanical, and Electrical</t>
        </is>
      </c>
      <c r="I1481" s="14" t="n">
        <v>1</v>
      </c>
      <c r="J1481" s="7" t="inlineStr">
        <is>
          <t>Full ship DD&amp;C</t>
        </is>
      </c>
      <c r="K1481" s="13" t="inlineStr">
        <is>
          <t>USN</t>
        </is>
      </c>
      <c r="L1481" s="7" t="inlineStr">
        <is>
          <t>Combatant Ships</t>
        </is>
      </c>
      <c r="M1481" s="7" t="inlineStr">
        <is>
          <t>Amphibious Warfare Ships</t>
        </is>
      </c>
      <c r="N1481" s="7" t="inlineStr">
        <is>
          <t>LPD</t>
        </is>
      </c>
      <c r="O1481" s="15" t="n"/>
      <c r="S1481" s="16" t="n">
        <v>836</v>
      </c>
      <c r="U1481" s="16" t="n">
        <v>836</v>
      </c>
      <c r="AC1481" s="23">
        <f>IF(OR(E1481="",E1481="[PARENT]"),"ADD",IF(E1481="[ALT_VIEW]","ALT",""))</f>
        <v/>
      </c>
      <c r="AD1481" s="21">
        <f>IF(Y1481&lt;&gt;"",Y1481,IF(U1481&lt;&gt;"",U1481,S1481))</f>
        <v/>
      </c>
      <c r="AE1481" s="21">
        <f>IF(AB1481&lt;&gt;"",AB1481,Z1481)</f>
        <v/>
      </c>
      <c r="AF1481" s="13" t="inlineStr">
        <is>
          <t>P-8a &gt; LPD Flight II &gt; Hull, Mechanical, and Electrical &gt; Plastic Waste Processing EQP 1</t>
        </is>
      </c>
      <c r="AG1481" s="7" t="inlineStr">
        <is>
          <t>309</t>
        </is>
      </c>
      <c r="AH1481" s="7" t="inlineStr">
        <is>
          <t>3010</t>
        </is>
      </c>
      <c r="AJ1481" s="7" t="inlineStr">
        <is>
          <t>Plastic Waste Processing EQP</t>
        </is>
      </c>
    </row>
    <row r="1482" ht="10" customHeight="1">
      <c r="A1482" s="7" t="inlineStr">
        <is>
          <t>SCN</t>
        </is>
      </c>
      <c r="B1482" s="7" t="inlineStr">
        <is>
          <t>Procurement</t>
        </is>
      </c>
      <c r="D1482" s="7" t="inlineStr">
        <is>
          <t>LPD Flight II - P-8a Hull, Mechanical, and Electrical - Unclassified Video System (UVS) 1</t>
        </is>
      </c>
      <c r="E1482" s="13" t="inlineStr">
        <is>
          <t>[ALT_VIEW]</t>
        </is>
      </c>
      <c r="F1482" s="7" t="inlineStr">
        <is>
          <t>3010 / LPD Flight II</t>
        </is>
      </c>
      <c r="G1482" s="7" t="inlineStr">
        <is>
          <t>P-8a</t>
        </is>
      </c>
      <c r="H1482" s="7" t="inlineStr">
        <is>
          <t>Hull, Mechanical, and Electrical</t>
        </is>
      </c>
      <c r="I1482" s="14" t="n">
        <v>1</v>
      </c>
      <c r="J1482" s="7" t="inlineStr">
        <is>
          <t>Full ship DD&amp;C</t>
        </is>
      </c>
      <c r="K1482" s="13" t="inlineStr">
        <is>
          <t>USN</t>
        </is>
      </c>
      <c r="L1482" s="7" t="inlineStr">
        <is>
          <t>Combatant Ships</t>
        </is>
      </c>
      <c r="M1482" s="7" t="inlineStr">
        <is>
          <t>Amphibious Warfare Ships</t>
        </is>
      </c>
      <c r="N1482" s="7" t="inlineStr">
        <is>
          <t>LPD</t>
        </is>
      </c>
      <c r="O1482" s="15" t="n"/>
      <c r="S1482" s="16" t="n">
        <v>2801</v>
      </c>
      <c r="U1482" s="16" t="n">
        <v>2801</v>
      </c>
      <c r="AC1482" s="23">
        <f>IF(OR(E1482="",E1482="[PARENT]"),"ADD",IF(E1482="[ALT_VIEW]","ALT",""))</f>
        <v/>
      </c>
      <c r="AD1482" s="21">
        <f>IF(Y1482&lt;&gt;"",Y1482,IF(U1482&lt;&gt;"",U1482,S1482))</f>
        <v/>
      </c>
      <c r="AE1482" s="21">
        <f>IF(AB1482&lt;&gt;"",AB1482,Z1482)</f>
        <v/>
      </c>
      <c r="AF1482" s="13" t="inlineStr">
        <is>
          <t>P-8a &gt; LPD Flight II &gt; Hull, Mechanical, and Electrical &gt; Unclassified Video System (UVS) 1</t>
        </is>
      </c>
      <c r="AG1482" s="7" t="inlineStr">
        <is>
          <t>309</t>
        </is>
      </c>
      <c r="AH1482" s="7" t="inlineStr">
        <is>
          <t>3010</t>
        </is>
      </c>
      <c r="AJ1482" s="7" t="inlineStr">
        <is>
          <t>Unclassified Video System (UVS)</t>
        </is>
      </c>
    </row>
    <row r="1483" ht="10" customHeight="1">
      <c r="A1483" s="7" t="inlineStr">
        <is>
          <t>SCN</t>
        </is>
      </c>
      <c r="B1483" s="7" t="inlineStr">
        <is>
          <t>Procurement</t>
        </is>
      </c>
      <c r="D1483" s="7" t="inlineStr">
        <is>
          <t>LPD Flight II - P-8a Ordnance - RAM BLOCK II 2</t>
        </is>
      </c>
      <c r="E1483" s="13" t="inlineStr">
        <is>
          <t>[ALT_VIEW]</t>
        </is>
      </c>
      <c r="F1483" s="7" t="inlineStr">
        <is>
          <t>3010 / LPD Flight II</t>
        </is>
      </c>
      <c r="G1483" s="7" t="inlineStr">
        <is>
          <t>P-8a</t>
        </is>
      </c>
      <c r="H1483" s="7" t="inlineStr">
        <is>
          <t>Ordnance</t>
        </is>
      </c>
      <c r="I1483" s="14" t="n">
        <v>1</v>
      </c>
      <c r="J1483" s="7" t="inlineStr">
        <is>
          <t>Full ship DD&amp;C</t>
        </is>
      </c>
      <c r="K1483" s="13" t="inlineStr">
        <is>
          <t>USN</t>
        </is>
      </c>
      <c r="L1483" s="7" t="inlineStr">
        <is>
          <t>Combatant Ships</t>
        </is>
      </c>
      <c r="M1483" s="7" t="inlineStr">
        <is>
          <t>Amphibious Warfare Ships</t>
        </is>
      </c>
      <c r="N1483" s="7" t="inlineStr">
        <is>
          <t>LPD</t>
        </is>
      </c>
      <c r="O1483" s="15" t="n"/>
      <c r="S1483" s="16" t="n">
        <v>19956</v>
      </c>
      <c r="U1483" s="16" t="n">
        <v>19956</v>
      </c>
      <c r="AC1483" s="23">
        <f>IF(OR(E1483="",E1483="[PARENT]"),"ADD",IF(E1483="[ALT_VIEW]","ALT",""))</f>
        <v/>
      </c>
      <c r="AD1483" s="21">
        <f>IF(Y1483&lt;&gt;"",Y1483,IF(U1483&lt;&gt;"",U1483,S1483))</f>
        <v/>
      </c>
      <c r="AE1483" s="21">
        <f>IF(AB1483&lt;&gt;"",AB1483,Z1483)</f>
        <v/>
      </c>
      <c r="AF1483" s="13" t="inlineStr">
        <is>
          <t>P-8a &gt; LPD Flight II &gt; Ordnance &gt; RAM BLOCK II 2</t>
        </is>
      </c>
      <c r="AG1483" s="7" t="inlineStr">
        <is>
          <t>310</t>
        </is>
      </c>
      <c r="AH1483" s="7" t="inlineStr">
        <is>
          <t>3010</t>
        </is>
      </c>
      <c r="AJ1483" s="7" t="inlineStr">
        <is>
          <t>RAM BLOCK II</t>
        </is>
      </c>
    </row>
    <row r="1484" ht="10" customHeight="1">
      <c r="A1484" s="7" t="inlineStr">
        <is>
          <t>SCN</t>
        </is>
      </c>
      <c r="B1484" s="7" t="inlineStr">
        <is>
          <t>Procurement</t>
        </is>
      </c>
      <c r="D1484" s="7" t="inlineStr">
        <is>
          <t>LPD Flight II - P-8a Ordnance - MK 46 GUN 2</t>
        </is>
      </c>
      <c r="E1484" s="13" t="inlineStr">
        <is>
          <t>[ALT_VIEW]</t>
        </is>
      </c>
      <c r="F1484" s="7" t="inlineStr">
        <is>
          <t>3010 / LPD Flight II</t>
        </is>
      </c>
      <c r="G1484" s="7" t="inlineStr">
        <is>
          <t>P-8a</t>
        </is>
      </c>
      <c r="H1484" s="7" t="inlineStr">
        <is>
          <t>Ordnance</t>
        </is>
      </c>
      <c r="I1484" s="14" t="n">
        <v>1</v>
      </c>
      <c r="J1484" s="7" t="inlineStr">
        <is>
          <t>Full ship DD&amp;C</t>
        </is>
      </c>
      <c r="K1484" s="13" t="inlineStr">
        <is>
          <t>USN</t>
        </is>
      </c>
      <c r="L1484" s="7" t="inlineStr">
        <is>
          <t>Combatant Ships</t>
        </is>
      </c>
      <c r="M1484" s="7" t="inlineStr">
        <is>
          <t>Amphibious Warfare Ships</t>
        </is>
      </c>
      <c r="N1484" s="7" t="inlineStr">
        <is>
          <t>LPD</t>
        </is>
      </c>
      <c r="O1484" s="15" t="n"/>
      <c r="S1484" s="16" t="n">
        <v>9778</v>
      </c>
      <c r="U1484" s="16" t="n">
        <v>9778</v>
      </c>
      <c r="AC1484" s="23">
        <f>IF(OR(E1484="",E1484="[PARENT]"),"ADD",IF(E1484="[ALT_VIEW]","ALT",""))</f>
        <v/>
      </c>
      <c r="AD1484" s="21">
        <f>IF(Y1484&lt;&gt;"",Y1484,IF(U1484&lt;&gt;"",U1484,S1484))</f>
        <v/>
      </c>
      <c r="AE1484" s="21">
        <f>IF(AB1484&lt;&gt;"",AB1484,Z1484)</f>
        <v/>
      </c>
      <c r="AF1484" s="13" t="inlineStr">
        <is>
          <t>P-8a &gt; LPD Flight II &gt; Ordnance &gt; MK 46 GUN 2</t>
        </is>
      </c>
      <c r="AG1484" s="7" t="inlineStr">
        <is>
          <t>310</t>
        </is>
      </c>
      <c r="AH1484" s="7" t="inlineStr">
        <is>
          <t>3010</t>
        </is>
      </c>
      <c r="AJ1484" s="7" t="inlineStr">
        <is>
          <t>MK 46 GUN</t>
        </is>
      </c>
    </row>
    <row r="1485" ht="10" customHeight="1">
      <c r="A1485" s="7" t="inlineStr">
        <is>
          <t>SCN</t>
        </is>
      </c>
      <c r="B1485" s="7" t="inlineStr">
        <is>
          <t>Procurement</t>
        </is>
      </c>
      <c r="D1485" s="7" t="inlineStr">
        <is>
          <t>LPD Flight II - P-8a Ordnance - AN/SPQ-9B Radar Set 1</t>
        </is>
      </c>
      <c r="E1485" s="13" t="inlineStr">
        <is>
          <t>[ALT_VIEW]</t>
        </is>
      </c>
      <c r="F1485" s="7" t="inlineStr">
        <is>
          <t>3010 / LPD Flight II</t>
        </is>
      </c>
      <c r="G1485" s="7" t="inlineStr">
        <is>
          <t>P-8a</t>
        </is>
      </c>
      <c r="H1485" s="7" t="inlineStr">
        <is>
          <t>Ordnance</t>
        </is>
      </c>
      <c r="I1485" s="14" t="n">
        <v>1</v>
      </c>
      <c r="J1485" s="7" t="inlineStr">
        <is>
          <t>Full ship DD&amp;C</t>
        </is>
      </c>
      <c r="K1485" s="13" t="inlineStr">
        <is>
          <t>USN</t>
        </is>
      </c>
      <c r="L1485" s="7" t="inlineStr">
        <is>
          <t>Combatant Ships</t>
        </is>
      </c>
      <c r="M1485" s="7" t="inlineStr">
        <is>
          <t>Amphibious Warfare Ships</t>
        </is>
      </c>
      <c r="N1485" s="7" t="inlineStr">
        <is>
          <t>LPD</t>
        </is>
      </c>
      <c r="O1485" s="15" t="n"/>
      <c r="S1485" s="16" t="n">
        <v>7693</v>
      </c>
      <c r="U1485" s="16" t="n">
        <v>7693</v>
      </c>
      <c r="AC1485" s="23">
        <f>IF(OR(E1485="",E1485="[PARENT]"),"ADD",IF(E1485="[ALT_VIEW]","ALT",""))</f>
        <v/>
      </c>
      <c r="AD1485" s="21">
        <f>IF(Y1485&lt;&gt;"",Y1485,IF(U1485&lt;&gt;"",U1485,S1485))</f>
        <v/>
      </c>
      <c r="AE1485" s="21">
        <f>IF(AB1485&lt;&gt;"",AB1485,Z1485)</f>
        <v/>
      </c>
      <c r="AF1485" s="13" t="inlineStr">
        <is>
          <t>P-8a &gt; LPD Flight II &gt; Ordnance &gt; AN/SPQ-9B Radar Set 1</t>
        </is>
      </c>
      <c r="AG1485" s="7" t="inlineStr">
        <is>
          <t>310</t>
        </is>
      </c>
      <c r="AH1485" s="7" t="inlineStr">
        <is>
          <t>3010</t>
        </is>
      </c>
      <c r="AJ1485" s="7" t="inlineStr">
        <is>
          <t>AN/SPQ-9B Radar Set</t>
        </is>
      </c>
    </row>
    <row r="1486" ht="10" customHeight="1">
      <c r="A1486" s="7" t="inlineStr">
        <is>
          <t>SCN</t>
        </is>
      </c>
      <c r="B1486" s="7" t="inlineStr">
        <is>
          <t>Procurement</t>
        </is>
      </c>
      <c r="D1486" s="7" t="inlineStr">
        <is>
          <t>LPD Flight II - P-8a Ordnance - EASR 1</t>
        </is>
      </c>
      <c r="E1486" s="13" t="inlineStr">
        <is>
          <t>[ALT_VIEW]</t>
        </is>
      </c>
      <c r="F1486" s="7" t="inlineStr">
        <is>
          <t>3010 / LPD Flight II</t>
        </is>
      </c>
      <c r="G1486" s="7" t="inlineStr">
        <is>
          <t>P-8a</t>
        </is>
      </c>
      <c r="H1486" s="7" t="inlineStr">
        <is>
          <t>Ordnance</t>
        </is>
      </c>
      <c r="I1486" s="14" t="n">
        <v>1</v>
      </c>
      <c r="J1486" s="7" t="inlineStr">
        <is>
          <t>Full ship DD&amp;C</t>
        </is>
      </c>
      <c r="K1486" s="13" t="inlineStr">
        <is>
          <t>USN</t>
        </is>
      </c>
      <c r="L1486" s="7" t="inlineStr">
        <is>
          <t>Combatant Ships</t>
        </is>
      </c>
      <c r="M1486" s="7" t="inlineStr">
        <is>
          <t>Amphibious Warfare Ships</t>
        </is>
      </c>
      <c r="N1486" s="7" t="inlineStr">
        <is>
          <t>LPD</t>
        </is>
      </c>
      <c r="O1486" s="15" t="n"/>
      <c r="S1486" s="16" t="n">
        <v>41004</v>
      </c>
      <c r="U1486" s="16" t="n">
        <v>41004</v>
      </c>
      <c r="AC1486" s="23">
        <f>IF(OR(E1486="",E1486="[PARENT]"),"ADD",IF(E1486="[ALT_VIEW]","ALT",""))</f>
        <v/>
      </c>
      <c r="AD1486" s="21">
        <f>IF(Y1486&lt;&gt;"",Y1486,IF(U1486&lt;&gt;"",U1486,S1486))</f>
        <v/>
      </c>
      <c r="AE1486" s="21">
        <f>IF(AB1486&lt;&gt;"",AB1486,Z1486)</f>
        <v/>
      </c>
      <c r="AF1486" s="13" t="inlineStr">
        <is>
          <t>P-8a &gt; LPD Flight II &gt; Ordnance &gt; EASR 1</t>
        </is>
      </c>
      <c r="AG1486" s="7" t="inlineStr">
        <is>
          <t>310</t>
        </is>
      </c>
      <c r="AH1486" s="7" t="inlineStr">
        <is>
          <t>3010</t>
        </is>
      </c>
      <c r="AJ1486" s="7" t="inlineStr">
        <is>
          <t>EASR</t>
        </is>
      </c>
    </row>
    <row r="1487" ht="10" customHeight="1">
      <c r="A1487" s="7" t="inlineStr">
        <is>
          <t>SCN</t>
        </is>
      </c>
      <c r="B1487" s="7" t="inlineStr">
        <is>
          <t>Procurement</t>
        </is>
      </c>
      <c r="D1487" s="7" t="inlineStr">
        <is>
          <t>LPD Flight II - P-8a Ordnance - ASGSI/HOSS/MWS Fit Control &amp; Inst Land Sys 1</t>
        </is>
      </c>
      <c r="E1487" s="13" t="inlineStr">
        <is>
          <t>[ALT_VIEW]</t>
        </is>
      </c>
      <c r="F1487" s="7" t="inlineStr">
        <is>
          <t>3010 / LPD Flight II</t>
        </is>
      </c>
      <c r="G1487" s="7" t="inlineStr">
        <is>
          <t>P-8a</t>
        </is>
      </c>
      <c r="H1487" s="7" t="inlineStr">
        <is>
          <t>Ordnance</t>
        </is>
      </c>
      <c r="I1487" s="14" t="n">
        <v>1</v>
      </c>
      <c r="J1487" s="7" t="inlineStr">
        <is>
          <t>Full ship DD&amp;C</t>
        </is>
      </c>
      <c r="K1487" s="13" t="inlineStr">
        <is>
          <t>USN</t>
        </is>
      </c>
      <c r="L1487" s="7" t="inlineStr">
        <is>
          <t>Combatant Ships</t>
        </is>
      </c>
      <c r="M1487" s="7" t="inlineStr">
        <is>
          <t>Amphibious Warfare Ships</t>
        </is>
      </c>
      <c r="N1487" s="7" t="inlineStr">
        <is>
          <t>LPD</t>
        </is>
      </c>
      <c r="O1487" s="15" t="n"/>
      <c r="S1487" s="16" t="n">
        <v>3808</v>
      </c>
      <c r="U1487" s="16" t="n">
        <v>3808</v>
      </c>
      <c r="AC1487" s="23">
        <f>IF(OR(E1487="",E1487="[PARENT]"),"ADD",IF(E1487="[ALT_VIEW]","ALT",""))</f>
        <v/>
      </c>
      <c r="AD1487" s="21">
        <f>IF(Y1487&lt;&gt;"",Y1487,IF(U1487&lt;&gt;"",U1487,S1487))</f>
        <v/>
      </c>
      <c r="AE1487" s="21">
        <f>IF(AB1487&lt;&gt;"",AB1487,Z1487)</f>
        <v/>
      </c>
      <c r="AF1487" s="13" t="inlineStr">
        <is>
          <t>P-8a &gt; LPD Flight II &gt; Ordnance &gt; ASGSI/HOSS/MWS Fit Control &amp; Inst Land Sys 1</t>
        </is>
      </c>
      <c r="AG1487" s="7" t="inlineStr">
        <is>
          <t>310</t>
        </is>
      </c>
      <c r="AH1487" s="7" t="inlineStr">
        <is>
          <t>3010</t>
        </is>
      </c>
      <c r="AJ1487" s="7" t="inlineStr">
        <is>
          <t>ASGSI/HOSS/MWS Fit Control &amp; Inst Land Sys</t>
        </is>
      </c>
    </row>
    <row r="1488" ht="10" customHeight="1">
      <c r="A1488" s="7" t="inlineStr">
        <is>
          <t>SCN</t>
        </is>
      </c>
      <c r="B1488" s="7" t="inlineStr">
        <is>
          <t>Procurement</t>
        </is>
      </c>
      <c r="D1488" s="7" t="inlineStr">
        <is>
          <t>LPD Flight II - P-8a Ordnance - ORDNANCE HANDLING EQUIPMENT 1</t>
        </is>
      </c>
      <c r="E1488" s="13" t="inlineStr">
        <is>
          <t>[ALT_VIEW]</t>
        </is>
      </c>
      <c r="F1488" s="7" t="inlineStr">
        <is>
          <t>3010 / LPD Flight II</t>
        </is>
      </c>
      <c r="G1488" s="7" t="inlineStr">
        <is>
          <t>P-8a</t>
        </is>
      </c>
      <c r="H1488" s="7" t="inlineStr">
        <is>
          <t>Ordnance</t>
        </is>
      </c>
      <c r="I1488" s="14" t="n">
        <v>1</v>
      </c>
      <c r="J1488" s="7" t="inlineStr">
        <is>
          <t>Full ship DD&amp;C</t>
        </is>
      </c>
      <c r="K1488" s="13" t="inlineStr">
        <is>
          <t>USN</t>
        </is>
      </c>
      <c r="L1488" s="7" t="inlineStr">
        <is>
          <t>Combatant Ships</t>
        </is>
      </c>
      <c r="M1488" s="7" t="inlineStr">
        <is>
          <t>Amphibious Warfare Ships</t>
        </is>
      </c>
      <c r="N1488" s="7" t="inlineStr">
        <is>
          <t>LPD</t>
        </is>
      </c>
      <c r="O1488" s="15" t="n"/>
      <c r="S1488" s="16" t="n">
        <v>496</v>
      </c>
      <c r="U1488" s="16" t="n">
        <v>496</v>
      </c>
      <c r="AC1488" s="23">
        <f>IF(OR(E1488="",E1488="[PARENT]"),"ADD",IF(E1488="[ALT_VIEW]","ALT",""))</f>
        <v/>
      </c>
      <c r="AD1488" s="21">
        <f>IF(Y1488&lt;&gt;"",Y1488,IF(U1488&lt;&gt;"",U1488,S1488))</f>
        <v/>
      </c>
      <c r="AE1488" s="21">
        <f>IF(AB1488&lt;&gt;"",AB1488,Z1488)</f>
        <v/>
      </c>
      <c r="AF1488" s="13" t="inlineStr">
        <is>
          <t>P-8a &gt; LPD Flight II &gt; Ordnance &gt; ORDNANCE HANDLING EQUIPMENT 1</t>
        </is>
      </c>
      <c r="AG1488" s="7" t="inlineStr">
        <is>
          <t>310</t>
        </is>
      </c>
      <c r="AH1488" s="7" t="inlineStr">
        <is>
          <t>3010</t>
        </is>
      </c>
      <c r="AJ1488" s="7" t="inlineStr">
        <is>
          <t>ORDNANCE HANDLING EQUIPMENT</t>
        </is>
      </c>
    </row>
    <row r="1489" ht="10" customHeight="1">
      <c r="A1489" s="7" t="inlineStr">
        <is>
          <t>SCN</t>
        </is>
      </c>
      <c r="B1489" s="7" t="inlineStr">
        <is>
          <t>Procurement</t>
        </is>
      </c>
      <c r="D1489" s="7" t="inlineStr">
        <is>
          <t>LPD Flight II - P-8a Ordnance - Next Generation Surface Search Radar (NGSSR) 1</t>
        </is>
      </c>
      <c r="E1489" s="13" t="inlineStr">
        <is>
          <t>[ALT_VIEW]</t>
        </is>
      </c>
      <c r="F1489" s="7" t="inlineStr">
        <is>
          <t>3010 / LPD Flight II</t>
        </is>
      </c>
      <c r="G1489" s="7" t="inlineStr">
        <is>
          <t>P-8a</t>
        </is>
      </c>
      <c r="H1489" s="7" t="inlineStr">
        <is>
          <t>Ordnance</t>
        </is>
      </c>
      <c r="I1489" s="14" t="n">
        <v>1</v>
      </c>
      <c r="J1489" s="7" t="inlineStr">
        <is>
          <t>Full ship DD&amp;C</t>
        </is>
      </c>
      <c r="K1489" s="13" t="inlineStr">
        <is>
          <t>USN</t>
        </is>
      </c>
      <c r="L1489" s="7" t="inlineStr">
        <is>
          <t>Combatant Ships</t>
        </is>
      </c>
      <c r="M1489" s="7" t="inlineStr">
        <is>
          <t>Amphibious Warfare Ships</t>
        </is>
      </c>
      <c r="N1489" s="7" t="inlineStr">
        <is>
          <t>LPD</t>
        </is>
      </c>
      <c r="O1489" s="15" t="n"/>
      <c r="S1489" s="16" t="n">
        <v>3228</v>
      </c>
      <c r="U1489" s="16" t="n">
        <v>3228</v>
      </c>
      <c r="AC1489" s="23">
        <f>IF(OR(E1489="",E1489="[PARENT]"),"ADD",IF(E1489="[ALT_VIEW]","ALT",""))</f>
        <v/>
      </c>
      <c r="AD1489" s="21">
        <f>IF(Y1489&lt;&gt;"",Y1489,IF(U1489&lt;&gt;"",U1489,S1489))</f>
        <v/>
      </c>
      <c r="AE1489" s="21">
        <f>IF(AB1489&lt;&gt;"",AB1489,Z1489)</f>
        <v/>
      </c>
      <c r="AF1489" s="13" t="inlineStr">
        <is>
          <t>P-8a &gt; LPD Flight II &gt; Ordnance &gt; Next Generation Surface Search Radar (NGSSR) 1</t>
        </is>
      </c>
      <c r="AG1489" s="7" t="inlineStr">
        <is>
          <t>310</t>
        </is>
      </c>
      <c r="AH1489" s="7" t="inlineStr">
        <is>
          <t>3010</t>
        </is>
      </c>
      <c r="AJ1489" s="7" t="inlineStr">
        <is>
          <t>Next Generation Surface Search Radar (NGSSR)</t>
        </is>
      </c>
    </row>
    <row r="1490" ht="10" customHeight="1">
      <c r="A1490" s="7" t="inlineStr">
        <is>
          <t>SCN</t>
        </is>
      </c>
      <c r="B1490" s="7" t="inlineStr">
        <is>
          <t>Procurement</t>
        </is>
      </c>
      <c r="D1490" s="7" t="inlineStr">
        <is>
          <t>LPD Flight II - P-8a Ordnance - MISCELLANEOUS ORDNANCE</t>
        </is>
      </c>
      <c r="E1490" s="13" t="inlineStr">
        <is>
          <t>[ALT_VIEW]</t>
        </is>
      </c>
      <c r="F1490" s="7" t="inlineStr">
        <is>
          <t>3010 / LPD Flight II</t>
        </is>
      </c>
      <c r="G1490" s="7" t="inlineStr">
        <is>
          <t>P-8a</t>
        </is>
      </c>
      <c r="H1490" s="7" t="inlineStr">
        <is>
          <t>Ordnance</t>
        </is>
      </c>
      <c r="I1490" s="14" t="n">
        <v>1</v>
      </c>
      <c r="J1490" s="7" t="inlineStr">
        <is>
          <t>Full ship DD&amp;C</t>
        </is>
      </c>
      <c r="K1490" s="13" t="inlineStr">
        <is>
          <t>USN</t>
        </is>
      </c>
      <c r="L1490" s="7" t="inlineStr">
        <is>
          <t>Combatant Ships</t>
        </is>
      </c>
      <c r="M1490" s="7" t="inlineStr">
        <is>
          <t>Amphibious Warfare Ships</t>
        </is>
      </c>
      <c r="N1490" s="7" t="inlineStr">
        <is>
          <t>LPD</t>
        </is>
      </c>
      <c r="O1490" s="15" t="n"/>
      <c r="S1490" s="16" t="n">
        <v>15509</v>
      </c>
      <c r="U1490" s="16" t="n">
        <v>15509</v>
      </c>
      <c r="AC1490" s="23">
        <f>IF(OR(E1490="",E1490="[PARENT]"),"ADD",IF(E1490="[ALT_VIEW]","ALT",""))</f>
        <v/>
      </c>
      <c r="AD1490" s="21">
        <f>IF(Y1490&lt;&gt;"",Y1490,IF(U1490&lt;&gt;"",U1490,S1490))</f>
        <v/>
      </c>
      <c r="AE1490" s="21">
        <f>IF(AB1490&lt;&gt;"",AB1490,Z1490)</f>
        <v/>
      </c>
      <c r="AF1490" s="13" t="inlineStr">
        <is>
          <t>P-8a &gt; LPD Flight II &gt; Ordnance &gt; MISCELLANEOUS ORDNANCE</t>
        </is>
      </c>
      <c r="AG1490" s="7" t="inlineStr">
        <is>
          <t>310</t>
        </is>
      </c>
      <c r="AH1490" s="7" t="inlineStr">
        <is>
          <t>3010</t>
        </is>
      </c>
      <c r="AJ1490" s="7" t="inlineStr">
        <is>
          <t>MISCELLANEOUS ORDNANCE</t>
        </is>
      </c>
    </row>
    <row r="1491" ht="10" customHeight="1">
      <c r="A1491" s="7" t="inlineStr">
        <is>
          <t>SCN</t>
        </is>
      </c>
      <c r="B1491" s="7" t="inlineStr">
        <is>
          <t>Procurement</t>
        </is>
      </c>
      <c r="D1491" s="7" t="inlineStr">
        <is>
          <t>LPD Flight II - P-35 Mission Systems - Major Hardware                                                                                                                                                 1</t>
        </is>
      </c>
      <c r="E1491" s="13" t="inlineStr">
        <is>
          <t>[ALT_VIEW]</t>
        </is>
      </c>
      <c r="F1491" s="7" t="inlineStr">
        <is>
          <t>3010 / LPD Flight II</t>
        </is>
      </c>
      <c r="G1491" s="7" t="inlineStr">
        <is>
          <t>P-35</t>
        </is>
      </c>
      <c r="I1491" s="14" t="n">
        <v>1</v>
      </c>
      <c r="J1491" s="7" t="inlineStr">
        <is>
          <t>Full ship DD&amp;C</t>
        </is>
      </c>
      <c r="K1491" s="13" t="inlineStr">
        <is>
          <t>USN</t>
        </is>
      </c>
      <c r="L1491" s="7" t="inlineStr">
        <is>
          <t>Combatant Ships</t>
        </is>
      </c>
      <c r="M1491" s="7" t="inlineStr">
        <is>
          <t>Amphibious Warfare Ships</t>
        </is>
      </c>
      <c r="N1491" s="7" t="inlineStr">
        <is>
          <t>LPD</t>
        </is>
      </c>
      <c r="O1491" s="15" t="n"/>
      <c r="S1491" s="16" t="n">
        <v>45983</v>
      </c>
      <c r="U1491" s="16" t="n">
        <v>45983</v>
      </c>
      <c r="AC1491" s="23">
        <f>IF(OR(E1491="",E1491="[PARENT]"),"ADD",IF(E1491="[ALT_VIEW]","ALT",""))</f>
        <v/>
      </c>
      <c r="AD1491" s="21">
        <f>IF(Y1491&lt;&gt;"",Y1491,IF(U1491&lt;&gt;"",U1491,S1491))</f>
        <v/>
      </c>
      <c r="AE1491" s="21">
        <f>IF(AB1491&lt;&gt;"",AB1491,Z1491)</f>
        <v/>
      </c>
      <c r="AF1491" s="13" t="inlineStr">
        <is>
          <t>P-35 &gt; LPD Flight II &gt; Mission Systems &gt; Major Hardware                                                                                                                                                 1</t>
        </is>
      </c>
      <c r="AG1491" s="7" t="inlineStr">
        <is>
          <t>311</t>
        </is>
      </c>
      <c r="AH1491" s="7" t="inlineStr">
        <is>
          <t>3010</t>
        </is>
      </c>
    </row>
    <row r="1492" ht="10" customHeight="1">
      <c r="A1492" s="7" t="inlineStr">
        <is>
          <t>SCN</t>
        </is>
      </c>
      <c r="B1492" s="7" t="inlineStr">
        <is>
          <t>Procurement</t>
        </is>
      </c>
      <c r="D1492" s="7" t="inlineStr">
        <is>
          <t>LPD Flight II - P-35 Mission Systems - Other Costs</t>
        </is>
      </c>
      <c r="E1492" s="13" t="inlineStr">
        <is>
          <t>[ALT_VIEW]</t>
        </is>
      </c>
      <c r="F1492" s="7" t="inlineStr">
        <is>
          <t>3010 / LPD Flight II</t>
        </is>
      </c>
      <c r="G1492" s="7" t="inlineStr">
        <is>
          <t>P-35</t>
        </is>
      </c>
      <c r="I1492" s="14" t="n">
        <v>1</v>
      </c>
      <c r="J1492" s="7" t="inlineStr">
        <is>
          <t>Full ship DD&amp;C</t>
        </is>
      </c>
      <c r="K1492" s="13" t="inlineStr">
        <is>
          <t>USN</t>
        </is>
      </c>
      <c r="L1492" s="7" t="inlineStr">
        <is>
          <t>Combatant Ships</t>
        </is>
      </c>
      <c r="M1492" s="7" t="inlineStr">
        <is>
          <t>Amphibious Warfare Ships</t>
        </is>
      </c>
      <c r="N1492" s="7" t="inlineStr">
        <is>
          <t>LPD</t>
        </is>
      </c>
      <c r="O1492" s="15" t="n"/>
      <c r="S1492" s="16" t="n">
        <v>2288</v>
      </c>
      <c r="U1492" s="16" t="n">
        <v>2288</v>
      </c>
      <c r="AC1492" s="23">
        <f>IF(OR(E1492="",E1492="[PARENT]"),"ADD",IF(E1492="[ALT_VIEW]","ALT",""))</f>
        <v/>
      </c>
      <c r="AD1492" s="21">
        <f>IF(Y1492&lt;&gt;"",Y1492,IF(U1492&lt;&gt;"",U1492,S1492))</f>
        <v/>
      </c>
      <c r="AE1492" s="21">
        <f>IF(AB1492&lt;&gt;"",AB1492,Z1492)</f>
        <v/>
      </c>
      <c r="AF1492" s="13" t="inlineStr">
        <is>
          <t>P-35 &gt; LPD Flight II &gt; Mission Systems &gt; Other Costs</t>
        </is>
      </c>
      <c r="AG1492" s="7" t="inlineStr">
        <is>
          <t>311</t>
        </is>
      </c>
      <c r="AH1492" s="7" t="inlineStr">
        <is>
          <t>3010</t>
        </is>
      </c>
      <c r="AJ1492" s="7" t="inlineStr">
        <is>
          <t>Other Costs</t>
        </is>
      </c>
    </row>
    <row r="1493" ht="10" customHeight="1">
      <c r="A1493" s="7" t="inlineStr">
        <is>
          <t>SCN</t>
        </is>
      </c>
      <c r="B1493" s="7" t="inlineStr">
        <is>
          <t>Procurement</t>
        </is>
      </c>
      <c r="D1493" s="7" t="inlineStr">
        <is>
          <t>LPD Flight II - P-35 C4ISR - Major Hardware                                                                                                                                                    1</t>
        </is>
      </c>
      <c r="E1493" s="13" t="inlineStr">
        <is>
          <t>[ALT_VIEW]</t>
        </is>
      </c>
      <c r="F1493" s="7" t="inlineStr">
        <is>
          <t>3010 / LPD Flight II</t>
        </is>
      </c>
      <c r="G1493" s="7" t="inlineStr">
        <is>
          <t>P-35</t>
        </is>
      </c>
      <c r="I1493" s="14" t="n">
        <v>1</v>
      </c>
      <c r="J1493" s="7" t="inlineStr">
        <is>
          <t>Full ship DD&amp;C</t>
        </is>
      </c>
      <c r="K1493" s="13" t="inlineStr">
        <is>
          <t>USN</t>
        </is>
      </c>
      <c r="L1493" s="7" t="inlineStr">
        <is>
          <t>Combatant Ships</t>
        </is>
      </c>
      <c r="M1493" s="7" t="inlineStr">
        <is>
          <t>Amphibious Warfare Ships</t>
        </is>
      </c>
      <c r="N1493" s="7" t="inlineStr">
        <is>
          <t>LPD</t>
        </is>
      </c>
      <c r="O1493" s="15" t="n"/>
      <c r="S1493" s="16" t="n">
        <v>40291</v>
      </c>
      <c r="U1493" s="16" t="n">
        <v>40291</v>
      </c>
      <c r="AC1493" s="23">
        <f>IF(OR(E1493="",E1493="[PARENT]"),"ADD",IF(E1493="[ALT_VIEW]","ALT",""))</f>
        <v/>
      </c>
      <c r="AD1493" s="21">
        <f>IF(Y1493&lt;&gt;"",Y1493,IF(U1493&lt;&gt;"",U1493,S1493))</f>
        <v/>
      </c>
      <c r="AE1493" s="21">
        <f>IF(AB1493&lt;&gt;"",AB1493,Z1493)</f>
        <v/>
      </c>
      <c r="AF1493" s="13" t="inlineStr">
        <is>
          <t>P-35 &gt; LPD Flight II &gt; C4ISR &gt; Major Hardware                                                                                                                                                    1</t>
        </is>
      </c>
      <c r="AG1493" s="7" t="inlineStr">
        <is>
          <t>312</t>
        </is>
      </c>
      <c r="AH1493" s="7" t="inlineStr">
        <is>
          <t>3010</t>
        </is>
      </c>
    </row>
    <row r="1494" ht="10" customHeight="1">
      <c r="A1494" s="7" t="inlineStr">
        <is>
          <t>SCN</t>
        </is>
      </c>
      <c r="B1494" s="7" t="inlineStr">
        <is>
          <t>Procurement</t>
        </is>
      </c>
      <c r="D1494" s="7" t="inlineStr">
        <is>
          <t>LPD Flight II - P-35 C4ISR - Spares</t>
        </is>
      </c>
      <c r="E1494" s="13" t="inlineStr">
        <is>
          <t>[ALT_VIEW]</t>
        </is>
      </c>
      <c r="F1494" s="7" t="inlineStr">
        <is>
          <t>3010 / LPD Flight II</t>
        </is>
      </c>
      <c r="G1494" s="7" t="inlineStr">
        <is>
          <t>P-35</t>
        </is>
      </c>
      <c r="I1494" s="14" t="n">
        <v>1</v>
      </c>
      <c r="J1494" s="7" t="inlineStr">
        <is>
          <t>Full ship DD&amp;C</t>
        </is>
      </c>
      <c r="K1494" s="13" t="inlineStr">
        <is>
          <t>USN</t>
        </is>
      </c>
      <c r="L1494" s="7" t="inlineStr">
        <is>
          <t>Combatant Ships</t>
        </is>
      </c>
      <c r="M1494" s="7" t="inlineStr">
        <is>
          <t>Amphibious Warfare Ships</t>
        </is>
      </c>
      <c r="N1494" s="7" t="inlineStr">
        <is>
          <t>LPD</t>
        </is>
      </c>
      <c r="O1494" s="15" t="n"/>
      <c r="S1494" s="16" t="n">
        <v>2118</v>
      </c>
      <c r="U1494" s="16" t="n">
        <v>2118</v>
      </c>
      <c r="AC1494" s="23">
        <f>IF(OR(E1494="",E1494="[PARENT]"),"ADD",IF(E1494="[ALT_VIEW]","ALT",""))</f>
        <v/>
      </c>
      <c r="AD1494" s="21">
        <f>IF(Y1494&lt;&gt;"",Y1494,IF(U1494&lt;&gt;"",U1494,S1494))</f>
        <v/>
      </c>
      <c r="AE1494" s="21">
        <f>IF(AB1494&lt;&gt;"",AB1494,Z1494)</f>
        <v/>
      </c>
      <c r="AF1494" s="13" t="inlineStr">
        <is>
          <t>P-35 &gt; LPD Flight II &gt; C4ISR &gt; Spares</t>
        </is>
      </c>
      <c r="AG1494" s="7" t="inlineStr">
        <is>
          <t>312</t>
        </is>
      </c>
      <c r="AH1494" s="7" t="inlineStr">
        <is>
          <t>3010</t>
        </is>
      </c>
    </row>
    <row r="1495" ht="10" customHeight="1">
      <c r="A1495" s="7" t="inlineStr">
        <is>
          <t>SCN</t>
        </is>
      </c>
      <c r="B1495" s="7" t="inlineStr">
        <is>
          <t>Procurement</t>
        </is>
      </c>
      <c r="D1495" s="7" t="inlineStr">
        <is>
          <t>LPD Flight II - P-35 C4ISR - Technical Engineering Services</t>
        </is>
      </c>
      <c r="E1495" s="13" t="inlineStr">
        <is>
          <t>[ALT_VIEW]</t>
        </is>
      </c>
      <c r="F1495" s="7" t="inlineStr">
        <is>
          <t>3010 / LPD Flight II</t>
        </is>
      </c>
      <c r="G1495" s="7" t="inlineStr">
        <is>
          <t>P-35</t>
        </is>
      </c>
      <c r="I1495" s="14" t="n">
        <v>1</v>
      </c>
      <c r="J1495" s="7" t="inlineStr">
        <is>
          <t>Full ship DD&amp;C</t>
        </is>
      </c>
      <c r="K1495" s="13" t="inlineStr">
        <is>
          <t>USN</t>
        </is>
      </c>
      <c r="L1495" s="7" t="inlineStr">
        <is>
          <t>Combatant Ships</t>
        </is>
      </c>
      <c r="M1495" s="7" t="inlineStr">
        <is>
          <t>Amphibious Warfare Ships</t>
        </is>
      </c>
      <c r="N1495" s="7" t="inlineStr">
        <is>
          <t>LPD</t>
        </is>
      </c>
      <c r="O1495" s="15" t="n"/>
      <c r="S1495" s="16" t="n">
        <v>7592</v>
      </c>
      <c r="U1495" s="16" t="n">
        <v>7592</v>
      </c>
      <c r="AC1495" s="23">
        <f>IF(OR(E1495="",E1495="[PARENT]"),"ADD",IF(E1495="[ALT_VIEW]","ALT",""))</f>
        <v/>
      </c>
      <c r="AD1495" s="21">
        <f>IF(Y1495&lt;&gt;"",Y1495,IF(U1495&lt;&gt;"",U1495,S1495))</f>
        <v/>
      </c>
      <c r="AE1495" s="21">
        <f>IF(AB1495&lt;&gt;"",AB1495,Z1495)</f>
        <v/>
      </c>
      <c r="AF1495" s="13" t="inlineStr">
        <is>
          <t>P-35 &gt; LPD Flight II &gt; C4ISR &gt; Technical Engineering Services</t>
        </is>
      </c>
      <c r="AG1495" s="7" t="inlineStr">
        <is>
          <t>312</t>
        </is>
      </c>
      <c r="AH1495" s="7" t="inlineStr">
        <is>
          <t>3010</t>
        </is>
      </c>
    </row>
    <row r="1496" ht="10" customHeight="1">
      <c r="A1496" s="7" t="inlineStr">
        <is>
          <t>SCN</t>
        </is>
      </c>
      <c r="B1496" s="7" t="inlineStr">
        <is>
          <t>Procurement</t>
        </is>
      </c>
      <c r="D1496" s="7" t="inlineStr">
        <is>
          <t>LPD Flight II - P-35 C4ISR - Ancillary Equipment</t>
        </is>
      </c>
      <c r="E1496" s="13" t="inlineStr">
        <is>
          <t>[ALT_VIEW]</t>
        </is>
      </c>
      <c r="F1496" s="7" t="inlineStr">
        <is>
          <t>3010 / LPD Flight II</t>
        </is>
      </c>
      <c r="G1496" s="7" t="inlineStr">
        <is>
          <t>P-35</t>
        </is>
      </c>
      <c r="I1496" s="14" t="n">
        <v>1</v>
      </c>
      <c r="J1496" s="7" t="inlineStr">
        <is>
          <t>Full ship DD&amp;C</t>
        </is>
      </c>
      <c r="K1496" s="13" t="inlineStr">
        <is>
          <t>USN</t>
        </is>
      </c>
      <c r="L1496" s="7" t="inlineStr">
        <is>
          <t>Combatant Ships</t>
        </is>
      </c>
      <c r="M1496" s="7" t="inlineStr">
        <is>
          <t>Amphibious Warfare Ships</t>
        </is>
      </c>
      <c r="N1496" s="7" t="inlineStr">
        <is>
          <t>LPD</t>
        </is>
      </c>
      <c r="O1496" s="15" t="n"/>
      <c r="S1496" s="16" t="n">
        <v>276</v>
      </c>
      <c r="U1496" s="16" t="n">
        <v>276</v>
      </c>
      <c r="AC1496" s="23">
        <f>IF(OR(E1496="",E1496="[PARENT]"),"ADD",IF(E1496="[ALT_VIEW]","ALT",""))</f>
        <v/>
      </c>
      <c r="AD1496" s="21">
        <f>IF(Y1496&lt;&gt;"",Y1496,IF(U1496&lt;&gt;"",U1496,S1496))</f>
        <v/>
      </c>
      <c r="AE1496" s="21">
        <f>IF(AB1496&lt;&gt;"",AB1496,Z1496)</f>
        <v/>
      </c>
      <c r="AF1496" s="13" t="inlineStr">
        <is>
          <t>P-35 &gt; LPD Flight II &gt; C4ISR &gt; Ancillary Equipment</t>
        </is>
      </c>
      <c r="AG1496" s="7" t="inlineStr">
        <is>
          <t>312</t>
        </is>
      </c>
      <c r="AH1496" s="7" t="inlineStr">
        <is>
          <t>3010</t>
        </is>
      </c>
    </row>
    <row r="1497" ht="10" customHeight="1">
      <c r="A1497" s="7" t="inlineStr">
        <is>
          <t>SCN</t>
        </is>
      </c>
      <c r="B1497" s="7" t="inlineStr">
        <is>
          <t>Procurement</t>
        </is>
      </c>
      <c r="D1497" s="7" t="inlineStr">
        <is>
          <t>LPD Flight II - P-35 C4ISR - Documentation and Systems Engineering</t>
        </is>
      </c>
      <c r="E1497" s="13" t="inlineStr">
        <is>
          <t>[ALT_VIEW]</t>
        </is>
      </c>
      <c r="F1497" s="7" t="inlineStr">
        <is>
          <t>3010 / LPD Flight II</t>
        </is>
      </c>
      <c r="G1497" s="7" t="inlineStr">
        <is>
          <t>P-35</t>
        </is>
      </c>
      <c r="I1497" s="14" t="n">
        <v>1</v>
      </c>
      <c r="J1497" s="7" t="inlineStr">
        <is>
          <t>Full ship DD&amp;C</t>
        </is>
      </c>
      <c r="K1497" s="13" t="inlineStr">
        <is>
          <t>USN</t>
        </is>
      </c>
      <c r="L1497" s="7" t="inlineStr">
        <is>
          <t>Combatant Ships</t>
        </is>
      </c>
      <c r="M1497" s="7" t="inlineStr">
        <is>
          <t>Amphibious Warfare Ships</t>
        </is>
      </c>
      <c r="N1497" s="7" t="inlineStr">
        <is>
          <t>LPD</t>
        </is>
      </c>
      <c r="O1497" s="15" t="n"/>
      <c r="S1497" s="16" t="n">
        <v>5649</v>
      </c>
      <c r="U1497" s="16" t="n">
        <v>5649</v>
      </c>
      <c r="AC1497" s="23">
        <f>IF(OR(E1497="",E1497="[PARENT]"),"ADD",IF(E1497="[ALT_VIEW]","ALT",""))</f>
        <v/>
      </c>
      <c r="AD1497" s="21">
        <f>IF(Y1497&lt;&gt;"",Y1497,IF(U1497&lt;&gt;"",U1497,S1497))</f>
        <v/>
      </c>
      <c r="AE1497" s="21">
        <f>IF(AB1497&lt;&gt;"",AB1497,Z1497)</f>
        <v/>
      </c>
      <c r="AF1497" s="13" t="inlineStr">
        <is>
          <t>P-35 &gt; LPD Flight II &gt; C4ISR &gt; Documentation and Systems Engineering</t>
        </is>
      </c>
      <c r="AG1497" s="7" t="inlineStr">
        <is>
          <t>312</t>
        </is>
      </c>
      <c r="AH1497" s="7" t="inlineStr">
        <is>
          <t>3010</t>
        </is>
      </c>
    </row>
    <row r="1498" ht="10" customHeight="1">
      <c r="A1498" s="7" t="inlineStr">
        <is>
          <t>SCN</t>
        </is>
      </c>
      <c r="B1498" s="7" t="inlineStr">
        <is>
          <t>Procurement</t>
        </is>
      </c>
      <c r="D1498" s="7" t="inlineStr">
        <is>
          <t>LPD Flight II - P-35 C4ISR - Other Appropriate Costs</t>
        </is>
      </c>
      <c r="E1498" s="13" t="inlineStr">
        <is>
          <t>[ALT_VIEW]</t>
        </is>
      </c>
      <c r="F1498" s="7" t="inlineStr">
        <is>
          <t>3010 / LPD Flight II</t>
        </is>
      </c>
      <c r="G1498" s="7" t="inlineStr">
        <is>
          <t>P-35</t>
        </is>
      </c>
      <c r="I1498" s="14" t="n">
        <v>1</v>
      </c>
      <c r="J1498" s="7" t="inlineStr">
        <is>
          <t>Full ship DD&amp;C</t>
        </is>
      </c>
      <c r="K1498" s="13" t="inlineStr">
        <is>
          <t>USN</t>
        </is>
      </c>
      <c r="L1498" s="7" t="inlineStr">
        <is>
          <t>Combatant Ships</t>
        </is>
      </c>
      <c r="M1498" s="7" t="inlineStr">
        <is>
          <t>Amphibious Warfare Ships</t>
        </is>
      </c>
      <c r="N1498" s="7" t="inlineStr">
        <is>
          <t>LPD</t>
        </is>
      </c>
      <c r="O1498" s="15" t="n"/>
      <c r="S1498" s="16" t="n">
        <v>10706</v>
      </c>
      <c r="U1498" s="16" t="n">
        <v>10706</v>
      </c>
      <c r="AC1498" s="23">
        <f>IF(OR(E1498="",E1498="[PARENT]"),"ADD",IF(E1498="[ALT_VIEW]","ALT",""))</f>
        <v/>
      </c>
      <c r="AD1498" s="21">
        <f>IF(Y1498&lt;&gt;"",Y1498,IF(U1498&lt;&gt;"",U1498,S1498))</f>
        <v/>
      </c>
      <c r="AE1498" s="21">
        <f>IF(AB1498&lt;&gt;"",AB1498,Z1498)</f>
        <v/>
      </c>
      <c r="AF1498" s="13" t="inlineStr">
        <is>
          <t>P-35 &gt; LPD Flight II &gt; C4ISR &gt; Other Appropriate Costs</t>
        </is>
      </c>
      <c r="AG1498" s="7" t="inlineStr">
        <is>
          <t>312</t>
        </is>
      </c>
      <c r="AH1498" s="7" t="inlineStr">
        <is>
          <t>3010</t>
        </is>
      </c>
    </row>
    <row r="1499" ht="10" customHeight="1">
      <c r="A1499" s="7" t="inlineStr">
        <is>
          <t>SCN</t>
        </is>
      </c>
      <c r="B1499" s="7" t="inlineStr">
        <is>
          <t>Procurement</t>
        </is>
      </c>
      <c r="D1499" s="7" t="inlineStr">
        <is>
          <t>LPD Flight II - P-35 C4ISR - Turnkey</t>
        </is>
      </c>
      <c r="E1499" s="13" t="inlineStr">
        <is>
          <t>[ALT_VIEW]</t>
        </is>
      </c>
      <c r="F1499" s="7" t="inlineStr">
        <is>
          <t>3010 / LPD Flight II</t>
        </is>
      </c>
      <c r="G1499" s="7" t="inlineStr">
        <is>
          <t>P-35</t>
        </is>
      </c>
      <c r="I1499" s="14" t="n">
        <v>1</v>
      </c>
      <c r="J1499" s="7" t="inlineStr">
        <is>
          <t>Full ship DD&amp;C</t>
        </is>
      </c>
      <c r="K1499" s="13" t="inlineStr">
        <is>
          <t>USN</t>
        </is>
      </c>
      <c r="L1499" s="7" t="inlineStr">
        <is>
          <t>Combatant Ships</t>
        </is>
      </c>
      <c r="M1499" s="7" t="inlineStr">
        <is>
          <t>Amphibious Warfare Ships</t>
        </is>
      </c>
      <c r="N1499" s="7" t="inlineStr">
        <is>
          <t>LPD</t>
        </is>
      </c>
      <c r="O1499" s="15" t="n"/>
      <c r="S1499" s="16" t="n">
        <v>16865</v>
      </c>
      <c r="U1499" s="16" t="n">
        <v>16865</v>
      </c>
      <c r="AC1499" s="23">
        <f>IF(OR(E1499="",E1499="[PARENT]"),"ADD",IF(E1499="[ALT_VIEW]","ALT",""))</f>
        <v/>
      </c>
      <c r="AD1499" s="21">
        <f>IF(Y1499&lt;&gt;"",Y1499,IF(U1499&lt;&gt;"",U1499,S1499))</f>
        <v/>
      </c>
      <c r="AE1499" s="21">
        <f>IF(AB1499&lt;&gt;"",AB1499,Z1499)</f>
        <v/>
      </c>
      <c r="AF1499" s="13" t="inlineStr">
        <is>
          <t>P-35 &gt; LPD Flight II &gt; C4ISR &gt; Turnkey</t>
        </is>
      </c>
      <c r="AG1499" s="7" t="inlineStr">
        <is>
          <t>312</t>
        </is>
      </c>
      <c r="AH1499" s="7" t="inlineStr">
        <is>
          <t>3010</t>
        </is>
      </c>
    </row>
    <row r="1500" ht="10" customHeight="1">
      <c r="A1500" s="7" t="inlineStr">
        <is>
          <t>SCN</t>
        </is>
      </c>
      <c r="B1500" s="7" t="inlineStr">
        <is>
          <t>Procurement</t>
        </is>
      </c>
      <c r="D1500" s="7" t="inlineStr">
        <is>
          <t>LPD Flight II - P-35 Ship Self Defense System (SSDS) - Major Hardware                                                                                                                                                 1</t>
        </is>
      </c>
      <c r="E1500" s="13" t="inlineStr">
        <is>
          <t>[ALT_VIEW]</t>
        </is>
      </c>
      <c r="F1500" s="7" t="inlineStr">
        <is>
          <t>3010 / LPD Flight II</t>
        </is>
      </c>
      <c r="G1500" s="7" t="inlineStr">
        <is>
          <t>P-35</t>
        </is>
      </c>
      <c r="I1500" s="14" t="n">
        <v>1</v>
      </c>
      <c r="J1500" s="7" t="inlineStr">
        <is>
          <t>Full ship DD&amp;C</t>
        </is>
      </c>
      <c r="K1500" s="13" t="inlineStr">
        <is>
          <t>USN</t>
        </is>
      </c>
      <c r="L1500" s="7" t="inlineStr">
        <is>
          <t>Combatant Ships</t>
        </is>
      </c>
      <c r="M1500" s="7" t="inlineStr">
        <is>
          <t>Amphibious Warfare Ships</t>
        </is>
      </c>
      <c r="N1500" s="7" t="inlineStr">
        <is>
          <t>LPD</t>
        </is>
      </c>
      <c r="O1500" s="15" t="n"/>
      <c r="S1500" s="16" t="n">
        <v>16849</v>
      </c>
      <c r="U1500" s="16" t="n">
        <v>16849</v>
      </c>
      <c r="AC1500" s="23">
        <f>IF(OR(E1500="",E1500="[PARENT]"),"ADD",IF(E1500="[ALT_VIEW]","ALT",""))</f>
        <v/>
      </c>
      <c r="AD1500" s="21">
        <f>IF(Y1500&lt;&gt;"",Y1500,IF(U1500&lt;&gt;"",U1500,S1500))</f>
        <v/>
      </c>
      <c r="AE1500" s="21">
        <f>IF(AB1500&lt;&gt;"",AB1500,Z1500)</f>
        <v/>
      </c>
      <c r="AF1500" s="13" t="inlineStr">
        <is>
          <t>P-35 &gt; LPD Flight II &gt; Ship Self Defense System (SSDS) &gt; Major Hardware                                                                                                                                                 1</t>
        </is>
      </c>
      <c r="AG1500" s="7" t="inlineStr">
        <is>
          <t>313</t>
        </is>
      </c>
      <c r="AH1500" s="7" t="inlineStr">
        <is>
          <t>3010</t>
        </is>
      </c>
    </row>
    <row r="1501" ht="10" customHeight="1">
      <c r="A1501" s="7" t="inlineStr">
        <is>
          <t>SCN</t>
        </is>
      </c>
      <c r="B1501" s="7" t="inlineStr">
        <is>
          <t>Procurement</t>
        </is>
      </c>
      <c r="D1501" s="7" t="inlineStr">
        <is>
          <t>LPD Flight II - P-35 Ship Self Defense System (SSDS) - Spares</t>
        </is>
      </c>
      <c r="E1501" s="13" t="inlineStr">
        <is>
          <t>[ALT_VIEW]</t>
        </is>
      </c>
      <c r="F1501" s="7" t="inlineStr">
        <is>
          <t>3010 / LPD Flight II</t>
        </is>
      </c>
      <c r="G1501" s="7" t="inlineStr">
        <is>
          <t>P-35</t>
        </is>
      </c>
      <c r="I1501" s="14" t="n">
        <v>1</v>
      </c>
      <c r="J1501" s="7" t="inlineStr">
        <is>
          <t>Full ship DD&amp;C</t>
        </is>
      </c>
      <c r="K1501" s="13" t="inlineStr">
        <is>
          <t>USN</t>
        </is>
      </c>
      <c r="L1501" s="7" t="inlineStr">
        <is>
          <t>Combatant Ships</t>
        </is>
      </c>
      <c r="M1501" s="7" t="inlineStr">
        <is>
          <t>Amphibious Warfare Ships</t>
        </is>
      </c>
      <c r="N1501" s="7" t="inlineStr">
        <is>
          <t>LPD</t>
        </is>
      </c>
      <c r="O1501" s="15" t="n"/>
      <c r="S1501" s="16" t="n">
        <v>1552</v>
      </c>
      <c r="U1501" s="16" t="n">
        <v>1552</v>
      </c>
      <c r="AC1501" s="23">
        <f>IF(OR(E1501="",E1501="[PARENT]"),"ADD",IF(E1501="[ALT_VIEW]","ALT",""))</f>
        <v/>
      </c>
      <c r="AD1501" s="21">
        <f>IF(Y1501&lt;&gt;"",Y1501,IF(U1501&lt;&gt;"",U1501,S1501))</f>
        <v/>
      </c>
      <c r="AE1501" s="21">
        <f>IF(AB1501&lt;&gt;"",AB1501,Z1501)</f>
        <v/>
      </c>
      <c r="AF1501" s="13" t="inlineStr">
        <is>
          <t>P-35 &gt; LPD Flight II &gt; Ship Self Defense System (SSDS) &gt; Spares</t>
        </is>
      </c>
      <c r="AG1501" s="7" t="inlineStr">
        <is>
          <t>313</t>
        </is>
      </c>
      <c r="AH1501" s="7" t="inlineStr">
        <is>
          <t>3010</t>
        </is>
      </c>
    </row>
    <row r="1502" ht="10" customHeight="1">
      <c r="A1502" s="7" t="inlineStr">
        <is>
          <t>SCN</t>
        </is>
      </c>
      <c r="B1502" s="7" t="inlineStr">
        <is>
          <t>Procurement</t>
        </is>
      </c>
      <c r="D1502" s="7" t="inlineStr">
        <is>
          <t>LPD Flight II - P-35 Ship Self Defense System (SSDS) - Technical Engineering Services</t>
        </is>
      </c>
      <c r="E1502" s="13" t="inlineStr">
        <is>
          <t>[ALT_VIEW]</t>
        </is>
      </c>
      <c r="F1502" s="7" t="inlineStr">
        <is>
          <t>3010 / LPD Flight II</t>
        </is>
      </c>
      <c r="G1502" s="7" t="inlineStr">
        <is>
          <t>P-35</t>
        </is>
      </c>
      <c r="I1502" s="14" t="n">
        <v>1</v>
      </c>
      <c r="J1502" s="7" t="inlineStr">
        <is>
          <t>Full ship DD&amp;C</t>
        </is>
      </c>
      <c r="K1502" s="13" t="inlineStr">
        <is>
          <t>USN</t>
        </is>
      </c>
      <c r="L1502" s="7" t="inlineStr">
        <is>
          <t>Combatant Ships</t>
        </is>
      </c>
      <c r="M1502" s="7" t="inlineStr">
        <is>
          <t>Amphibious Warfare Ships</t>
        </is>
      </c>
      <c r="N1502" s="7" t="inlineStr">
        <is>
          <t>LPD</t>
        </is>
      </c>
      <c r="O1502" s="15" t="n"/>
      <c r="S1502" s="16" t="n">
        <v>634</v>
      </c>
      <c r="U1502" s="16" t="n">
        <v>634</v>
      </c>
      <c r="AC1502" s="23">
        <f>IF(OR(E1502="",E1502="[PARENT]"),"ADD",IF(E1502="[ALT_VIEW]","ALT",""))</f>
        <v/>
      </c>
      <c r="AD1502" s="21">
        <f>IF(Y1502&lt;&gt;"",Y1502,IF(U1502&lt;&gt;"",U1502,S1502))</f>
        <v/>
      </c>
      <c r="AE1502" s="21">
        <f>IF(AB1502&lt;&gt;"",AB1502,Z1502)</f>
        <v/>
      </c>
      <c r="AF1502" s="13" t="inlineStr">
        <is>
          <t>P-35 &gt; LPD Flight II &gt; Ship Self Defense System (SSDS) &gt; Technical Engineering Services</t>
        </is>
      </c>
      <c r="AG1502" s="7" t="inlineStr">
        <is>
          <t>313</t>
        </is>
      </c>
      <c r="AH1502" s="7" t="inlineStr">
        <is>
          <t>3010</t>
        </is>
      </c>
    </row>
    <row r="1503" ht="10" customHeight="1">
      <c r="A1503" s="7" t="inlineStr">
        <is>
          <t>SCN</t>
        </is>
      </c>
      <c r="B1503" s="7" t="inlineStr">
        <is>
          <t>Procurement</t>
        </is>
      </c>
      <c r="D1503" s="7" t="inlineStr">
        <is>
          <t>LPD Flight II - P-35 Ship Self Defense System (SSDS) - Other Costs</t>
        </is>
      </c>
      <c r="E1503" s="13" t="inlineStr">
        <is>
          <t>[ALT_VIEW]</t>
        </is>
      </c>
      <c r="F1503" s="7" t="inlineStr">
        <is>
          <t>3010 / LPD Flight II</t>
        </is>
      </c>
      <c r="G1503" s="7" t="inlineStr">
        <is>
          <t>P-35</t>
        </is>
      </c>
      <c r="I1503" s="14" t="n">
        <v>1</v>
      </c>
      <c r="J1503" s="7" t="inlineStr">
        <is>
          <t>Full ship DD&amp;C</t>
        </is>
      </c>
      <c r="K1503" s="13" t="inlineStr">
        <is>
          <t>USN</t>
        </is>
      </c>
      <c r="L1503" s="7" t="inlineStr">
        <is>
          <t>Combatant Ships</t>
        </is>
      </c>
      <c r="M1503" s="7" t="inlineStr">
        <is>
          <t>Amphibious Warfare Ships</t>
        </is>
      </c>
      <c r="N1503" s="7" t="inlineStr">
        <is>
          <t>LPD</t>
        </is>
      </c>
      <c r="O1503" s="15" t="n"/>
      <c r="S1503" s="16" t="n">
        <v>3105</v>
      </c>
      <c r="U1503" s="16" t="n">
        <v>3105</v>
      </c>
      <c r="AC1503" s="23">
        <f>IF(OR(E1503="",E1503="[PARENT]"),"ADD",IF(E1503="[ALT_VIEW]","ALT",""))</f>
        <v/>
      </c>
      <c r="AD1503" s="21">
        <f>IF(Y1503&lt;&gt;"",Y1503,IF(U1503&lt;&gt;"",U1503,S1503))</f>
        <v/>
      </c>
      <c r="AE1503" s="21">
        <f>IF(AB1503&lt;&gt;"",AB1503,Z1503)</f>
        <v/>
      </c>
      <c r="AF1503" s="13" t="inlineStr">
        <is>
          <t>P-35 &gt; LPD Flight II &gt; Ship Self Defense System (SSDS) &gt; Other Costs</t>
        </is>
      </c>
      <c r="AG1503" s="7" t="inlineStr">
        <is>
          <t>313</t>
        </is>
      </c>
      <c r="AH1503" s="7" t="inlineStr">
        <is>
          <t>3010</t>
        </is>
      </c>
    </row>
    <row r="1504" ht="10" customHeight="1">
      <c r="A1504" s="7" t="inlineStr">
        <is>
          <t>SCN</t>
        </is>
      </c>
      <c r="B1504" s="7" t="inlineStr">
        <is>
          <t>Procurement</t>
        </is>
      </c>
      <c r="D1504" s="7" t="inlineStr">
        <is>
          <t>LPD Flight II - P-35 Ship Self Defense System (SSDS) - Documentation and Systems Engineering</t>
        </is>
      </c>
      <c r="E1504" s="13" t="inlineStr">
        <is>
          <t>[ALT_VIEW]</t>
        </is>
      </c>
      <c r="F1504" s="7" t="inlineStr">
        <is>
          <t>3010 / LPD Flight II</t>
        </is>
      </c>
      <c r="G1504" s="7" t="inlineStr">
        <is>
          <t>P-35</t>
        </is>
      </c>
      <c r="I1504" s="14" t="n">
        <v>1</v>
      </c>
      <c r="J1504" s="7" t="inlineStr">
        <is>
          <t>Full ship DD&amp;C</t>
        </is>
      </c>
      <c r="K1504" s="13" t="inlineStr">
        <is>
          <t>USN</t>
        </is>
      </c>
      <c r="L1504" s="7" t="inlineStr">
        <is>
          <t>Combatant Ships</t>
        </is>
      </c>
      <c r="M1504" s="7" t="inlineStr">
        <is>
          <t>Amphibious Warfare Ships</t>
        </is>
      </c>
      <c r="N1504" s="7" t="inlineStr">
        <is>
          <t>LPD</t>
        </is>
      </c>
      <c r="O1504" s="15" t="n"/>
      <c r="S1504" s="16" t="n">
        <v>2950</v>
      </c>
      <c r="U1504" s="16" t="n">
        <v>2950</v>
      </c>
      <c r="AC1504" s="23">
        <f>IF(OR(E1504="",E1504="[PARENT]"),"ADD",IF(E1504="[ALT_VIEW]","ALT",""))</f>
        <v/>
      </c>
      <c r="AD1504" s="21">
        <f>IF(Y1504&lt;&gt;"",Y1504,IF(U1504&lt;&gt;"",U1504,S1504))</f>
        <v/>
      </c>
      <c r="AE1504" s="21">
        <f>IF(AB1504&lt;&gt;"",AB1504,Z1504)</f>
        <v/>
      </c>
      <c r="AF1504" s="13" t="inlineStr">
        <is>
          <t>P-35 &gt; LPD Flight II &gt; Ship Self Defense System (SSDS) &gt; Documentation and Systems Engineering</t>
        </is>
      </c>
      <c r="AG1504" s="7" t="inlineStr">
        <is>
          <t>313</t>
        </is>
      </c>
      <c r="AH1504" s="7" t="inlineStr">
        <is>
          <t>3010</t>
        </is>
      </c>
    </row>
    <row r="1505" ht="10" customHeight="1">
      <c r="A1505" s="7" t="inlineStr">
        <is>
          <t>SCN</t>
        </is>
      </c>
      <c r="B1505" s="7" t="inlineStr">
        <is>
          <t>Procurement</t>
        </is>
      </c>
      <c r="D1505" s="7" t="inlineStr">
        <is>
          <t>LPD Flight II - P-35 Cooperative Engagement Capability (CEC) - Major Hardware                                                                                                                                                       1</t>
        </is>
      </c>
      <c r="E1505" s="13" t="inlineStr">
        <is>
          <t>[ALT_VIEW]</t>
        </is>
      </c>
      <c r="F1505" s="7" t="inlineStr">
        <is>
          <t>3010 / LPD Flight II</t>
        </is>
      </c>
      <c r="G1505" s="7" t="inlineStr">
        <is>
          <t>P-35</t>
        </is>
      </c>
      <c r="I1505" s="14" t="n">
        <v>1</v>
      </c>
      <c r="J1505" s="7" t="inlineStr">
        <is>
          <t>Full ship DD&amp;C</t>
        </is>
      </c>
      <c r="K1505" s="13" t="inlineStr">
        <is>
          <t>USN</t>
        </is>
      </c>
      <c r="L1505" s="7" t="inlineStr">
        <is>
          <t>Combatant Ships</t>
        </is>
      </c>
      <c r="M1505" s="7" t="inlineStr">
        <is>
          <t>Amphibious Warfare Ships</t>
        </is>
      </c>
      <c r="N1505" s="7" t="inlineStr">
        <is>
          <t>LPD</t>
        </is>
      </c>
      <c r="O1505" s="15" t="n"/>
      <c r="S1505" s="16" t="n">
        <v>9192</v>
      </c>
      <c r="U1505" s="16" t="n">
        <v>9192</v>
      </c>
      <c r="AC1505" s="23">
        <f>IF(OR(E1505="",E1505="[PARENT]"),"ADD",IF(E1505="[ALT_VIEW]","ALT",""))</f>
        <v/>
      </c>
      <c r="AD1505" s="21">
        <f>IF(Y1505&lt;&gt;"",Y1505,IF(U1505&lt;&gt;"",U1505,S1505))</f>
        <v/>
      </c>
      <c r="AE1505" s="21">
        <f>IF(AB1505&lt;&gt;"",AB1505,Z1505)</f>
        <v/>
      </c>
      <c r="AF1505" s="13" t="inlineStr">
        <is>
          <t>P-35 &gt; LPD Flight II &gt; Cooperative Engagement Capability (CEC) &gt; Major Hardware                                                                                                                                                       1</t>
        </is>
      </c>
      <c r="AG1505" s="7" t="inlineStr">
        <is>
          <t>314</t>
        </is>
      </c>
      <c r="AH1505" s="7" t="inlineStr">
        <is>
          <t>3010</t>
        </is>
      </c>
    </row>
    <row r="1506" ht="10" customHeight="1">
      <c r="A1506" s="7" t="inlineStr">
        <is>
          <t>SCN</t>
        </is>
      </c>
      <c r="B1506" s="7" t="inlineStr">
        <is>
          <t>Procurement</t>
        </is>
      </c>
      <c r="D1506" s="7" t="inlineStr">
        <is>
          <t>LPD Flight II - P-35 Cooperative Engagement Capability (CEC) - Technical Engineering Services</t>
        </is>
      </c>
      <c r="E1506" s="13" t="inlineStr">
        <is>
          <t>[ALT_VIEW]</t>
        </is>
      </c>
      <c r="F1506" s="7" t="inlineStr">
        <is>
          <t>3010 / LPD Flight II</t>
        </is>
      </c>
      <c r="G1506" s="7" t="inlineStr">
        <is>
          <t>P-35</t>
        </is>
      </c>
      <c r="I1506" s="14" t="n">
        <v>1</v>
      </c>
      <c r="J1506" s="7" t="inlineStr">
        <is>
          <t>Full ship DD&amp;C</t>
        </is>
      </c>
      <c r="K1506" s="13" t="inlineStr">
        <is>
          <t>USN</t>
        </is>
      </c>
      <c r="L1506" s="7" t="inlineStr">
        <is>
          <t>Combatant Ships</t>
        </is>
      </c>
      <c r="M1506" s="7" t="inlineStr">
        <is>
          <t>Amphibious Warfare Ships</t>
        </is>
      </c>
      <c r="N1506" s="7" t="inlineStr">
        <is>
          <t>LPD</t>
        </is>
      </c>
      <c r="O1506" s="15" t="n"/>
      <c r="S1506" s="16" t="n">
        <v>489</v>
      </c>
      <c r="U1506" s="16" t="n">
        <v>489</v>
      </c>
      <c r="AC1506" s="23">
        <f>IF(OR(E1506="",E1506="[PARENT]"),"ADD",IF(E1506="[ALT_VIEW]","ALT",""))</f>
        <v/>
      </c>
      <c r="AD1506" s="21">
        <f>IF(Y1506&lt;&gt;"",Y1506,IF(U1506&lt;&gt;"",U1506,S1506))</f>
        <v/>
      </c>
      <c r="AE1506" s="21">
        <f>IF(AB1506&lt;&gt;"",AB1506,Z1506)</f>
        <v/>
      </c>
      <c r="AF1506" s="13" t="inlineStr">
        <is>
          <t>P-35 &gt; LPD Flight II &gt; Cooperative Engagement Capability (CEC) &gt; Technical Engineering Services</t>
        </is>
      </c>
      <c r="AG1506" s="7" t="inlineStr">
        <is>
          <t>314</t>
        </is>
      </c>
      <c r="AH1506" s="7" t="inlineStr">
        <is>
          <t>3010</t>
        </is>
      </c>
    </row>
    <row r="1507" ht="10" customHeight="1">
      <c r="A1507" s="7" t="inlineStr">
        <is>
          <t>SCN</t>
        </is>
      </c>
      <c r="B1507" s="7" t="inlineStr">
        <is>
          <t>Procurement</t>
        </is>
      </c>
      <c r="D1507" s="7" t="inlineStr">
        <is>
          <t>LPD Flight II - P-35 Cooperative Engagement Capability (CEC) - Documentation and Systems Engineering</t>
        </is>
      </c>
      <c r="E1507" s="13" t="inlineStr">
        <is>
          <t>[ALT_VIEW]</t>
        </is>
      </c>
      <c r="F1507" s="7" t="inlineStr">
        <is>
          <t>3010 / LPD Flight II</t>
        </is>
      </c>
      <c r="G1507" s="7" t="inlineStr">
        <is>
          <t>P-35</t>
        </is>
      </c>
      <c r="I1507" s="14" t="n">
        <v>1</v>
      </c>
      <c r="J1507" s="7" t="inlineStr">
        <is>
          <t>Full ship DD&amp;C</t>
        </is>
      </c>
      <c r="K1507" s="13" t="inlineStr">
        <is>
          <t>USN</t>
        </is>
      </c>
      <c r="L1507" s="7" t="inlineStr">
        <is>
          <t>Combatant Ships</t>
        </is>
      </c>
      <c r="M1507" s="7" t="inlineStr">
        <is>
          <t>Amphibious Warfare Ships</t>
        </is>
      </c>
      <c r="N1507" s="7" t="inlineStr">
        <is>
          <t>LPD</t>
        </is>
      </c>
      <c r="O1507" s="15" t="n"/>
      <c r="S1507" s="16" t="n">
        <v>560</v>
      </c>
      <c r="U1507" s="16" t="n">
        <v>560</v>
      </c>
      <c r="AC1507" s="23">
        <f>IF(OR(E1507="",E1507="[PARENT]"),"ADD",IF(E1507="[ALT_VIEW]","ALT",""))</f>
        <v/>
      </c>
      <c r="AD1507" s="21">
        <f>IF(Y1507&lt;&gt;"",Y1507,IF(U1507&lt;&gt;"",U1507,S1507))</f>
        <v/>
      </c>
      <c r="AE1507" s="21">
        <f>IF(AB1507&lt;&gt;"",AB1507,Z1507)</f>
        <v/>
      </c>
      <c r="AF1507" s="13" t="inlineStr">
        <is>
          <t>P-35 &gt; LPD Flight II &gt; Cooperative Engagement Capability (CEC) &gt; Documentation and Systems Engineering</t>
        </is>
      </c>
      <c r="AG1507" s="7" t="inlineStr">
        <is>
          <t>314</t>
        </is>
      </c>
      <c r="AH1507" s="7" t="inlineStr">
        <is>
          <t>3010</t>
        </is>
      </c>
    </row>
    <row r="1508" ht="10" customHeight="1">
      <c r="A1508" s="7" t="inlineStr">
        <is>
          <t>SCN</t>
        </is>
      </c>
      <c r="B1508" s="7" t="inlineStr">
        <is>
          <t>Procurement</t>
        </is>
      </c>
      <c r="D1508" s="7" t="inlineStr">
        <is>
          <t>LPD Flight II - P-35 Cooperative Engagement Capability (CEC) - Other Costs</t>
        </is>
      </c>
      <c r="E1508" s="13" t="inlineStr">
        <is>
          <t>[ALT_VIEW]</t>
        </is>
      </c>
      <c r="F1508" s="7" t="inlineStr">
        <is>
          <t>3010 / LPD Flight II</t>
        </is>
      </c>
      <c r="G1508" s="7" t="inlineStr">
        <is>
          <t>P-35</t>
        </is>
      </c>
      <c r="I1508" s="14" t="n">
        <v>1</v>
      </c>
      <c r="J1508" s="7" t="inlineStr">
        <is>
          <t>Full ship DD&amp;C</t>
        </is>
      </c>
      <c r="K1508" s="13" t="inlineStr">
        <is>
          <t>USN</t>
        </is>
      </c>
      <c r="L1508" s="7" t="inlineStr">
        <is>
          <t>Combatant Ships</t>
        </is>
      </c>
      <c r="M1508" s="7" t="inlineStr">
        <is>
          <t>Amphibious Warfare Ships</t>
        </is>
      </c>
      <c r="N1508" s="7" t="inlineStr">
        <is>
          <t>LPD</t>
        </is>
      </c>
      <c r="O1508" s="15" t="n"/>
      <c r="S1508" s="16" t="n">
        <v>1959</v>
      </c>
      <c r="U1508" s="16" t="n">
        <v>1959</v>
      </c>
      <c r="AC1508" s="23">
        <f>IF(OR(E1508="",E1508="[PARENT]"),"ADD",IF(E1508="[ALT_VIEW]","ALT",""))</f>
        <v/>
      </c>
      <c r="AD1508" s="21">
        <f>IF(Y1508&lt;&gt;"",Y1508,IF(U1508&lt;&gt;"",U1508,S1508))</f>
        <v/>
      </c>
      <c r="AE1508" s="21">
        <f>IF(AB1508&lt;&gt;"",AB1508,Z1508)</f>
        <v/>
      </c>
      <c r="AF1508" s="13" t="inlineStr">
        <is>
          <t>P-35 &gt; LPD Flight II &gt; Cooperative Engagement Capability (CEC) &gt; Other Costs</t>
        </is>
      </c>
      <c r="AG1508" s="7" t="inlineStr">
        <is>
          <t>314</t>
        </is>
      </c>
      <c r="AH1508" s="7" t="inlineStr">
        <is>
          <t>3010</t>
        </is>
      </c>
    </row>
    <row r="1509" ht="10" customHeight="1">
      <c r="A1509" s="7" t="inlineStr">
        <is>
          <t>SCN</t>
        </is>
      </c>
      <c r="B1509" s="7" t="inlineStr">
        <is>
          <t>Procurement</t>
        </is>
      </c>
      <c r="D1509" s="7" t="inlineStr">
        <is>
          <t>LPD Flight II - P-35 Interrogator System IFF (Identification Friend or Foe) - Major Hardware                                                                                                                                                       1</t>
        </is>
      </c>
      <c r="E1509" s="13" t="inlineStr">
        <is>
          <t>[ALT_VIEW]</t>
        </is>
      </c>
      <c r="F1509" s="7" t="inlineStr">
        <is>
          <t>3010 / LPD Flight II</t>
        </is>
      </c>
      <c r="G1509" s="7" t="inlineStr">
        <is>
          <t>P-35</t>
        </is>
      </c>
      <c r="I1509" s="14" t="n">
        <v>1</v>
      </c>
      <c r="J1509" s="7" t="inlineStr">
        <is>
          <t>Full ship DD&amp;C</t>
        </is>
      </c>
      <c r="K1509" s="13" t="inlineStr">
        <is>
          <t>USN</t>
        </is>
      </c>
      <c r="L1509" s="7" t="inlineStr">
        <is>
          <t>Combatant Ships</t>
        </is>
      </c>
      <c r="M1509" s="7" t="inlineStr">
        <is>
          <t>Amphibious Warfare Ships</t>
        </is>
      </c>
      <c r="N1509" s="7" t="inlineStr">
        <is>
          <t>LPD</t>
        </is>
      </c>
      <c r="O1509" s="15" t="n"/>
      <c r="S1509" s="16" t="n">
        <v>5881</v>
      </c>
      <c r="U1509" s="16" t="n">
        <v>5881</v>
      </c>
      <c r="AC1509" s="23">
        <f>IF(OR(E1509="",E1509="[PARENT]"),"ADD",IF(E1509="[ALT_VIEW]","ALT",""))</f>
        <v/>
      </c>
      <c r="AD1509" s="21">
        <f>IF(Y1509&lt;&gt;"",Y1509,IF(U1509&lt;&gt;"",U1509,S1509))</f>
        <v/>
      </c>
      <c r="AE1509" s="21">
        <f>IF(AB1509&lt;&gt;"",AB1509,Z1509)</f>
        <v/>
      </c>
      <c r="AF1509" s="13" t="inlineStr">
        <is>
          <t>P-35 &gt; LPD Flight II &gt; Interrogator System IFF (Identification Friend or Foe) &gt; Major Hardware                                                                                                                                                       1</t>
        </is>
      </c>
      <c r="AG1509" s="7" t="inlineStr">
        <is>
          <t>315</t>
        </is>
      </c>
      <c r="AH1509" s="7" t="inlineStr">
        <is>
          <t>3010</t>
        </is>
      </c>
    </row>
    <row r="1510" ht="10" customHeight="1">
      <c r="A1510" s="7" t="inlineStr">
        <is>
          <t>SCN</t>
        </is>
      </c>
      <c r="B1510" s="7" t="inlineStr">
        <is>
          <t>Procurement</t>
        </is>
      </c>
      <c r="D1510" s="7" t="inlineStr">
        <is>
          <t>LPD Flight II - P-35 Interrogator System IFF (Identification Friend or Foe) - Spares</t>
        </is>
      </c>
      <c r="E1510" s="13" t="inlineStr">
        <is>
          <t>[ALT_VIEW]</t>
        </is>
      </c>
      <c r="F1510" s="7" t="inlineStr">
        <is>
          <t>3010 / LPD Flight II</t>
        </is>
      </c>
      <c r="G1510" s="7" t="inlineStr">
        <is>
          <t>P-35</t>
        </is>
      </c>
      <c r="I1510" s="14" t="n">
        <v>1</v>
      </c>
      <c r="J1510" s="7" t="inlineStr">
        <is>
          <t>Full ship DD&amp;C</t>
        </is>
      </c>
      <c r="K1510" s="13" t="inlineStr">
        <is>
          <t>USN</t>
        </is>
      </c>
      <c r="L1510" s="7" t="inlineStr">
        <is>
          <t>Combatant Ships</t>
        </is>
      </c>
      <c r="M1510" s="7" t="inlineStr">
        <is>
          <t>Amphibious Warfare Ships</t>
        </is>
      </c>
      <c r="N1510" s="7" t="inlineStr">
        <is>
          <t>LPD</t>
        </is>
      </c>
      <c r="O1510" s="15" t="n"/>
      <c r="S1510" s="16" t="n">
        <v>164</v>
      </c>
      <c r="U1510" s="16" t="n">
        <v>164</v>
      </c>
      <c r="AC1510" s="23">
        <f>IF(OR(E1510="",E1510="[PARENT]"),"ADD",IF(E1510="[ALT_VIEW]","ALT",""))</f>
        <v/>
      </c>
      <c r="AD1510" s="21">
        <f>IF(Y1510&lt;&gt;"",Y1510,IF(U1510&lt;&gt;"",U1510,S1510))</f>
        <v/>
      </c>
      <c r="AE1510" s="21">
        <f>IF(AB1510&lt;&gt;"",AB1510,Z1510)</f>
        <v/>
      </c>
      <c r="AF1510" s="13" t="inlineStr">
        <is>
          <t>P-35 &gt; LPD Flight II &gt; Interrogator System IFF (Identification Friend or Foe) &gt; Spares</t>
        </is>
      </c>
      <c r="AG1510" s="7" t="inlineStr">
        <is>
          <t>315</t>
        </is>
      </c>
      <c r="AH1510" s="7" t="inlineStr">
        <is>
          <t>3010</t>
        </is>
      </c>
    </row>
    <row r="1511" ht="10" customHeight="1">
      <c r="A1511" s="7" t="inlineStr">
        <is>
          <t>SCN</t>
        </is>
      </c>
      <c r="B1511" s="7" t="inlineStr">
        <is>
          <t>Procurement</t>
        </is>
      </c>
      <c r="D1511" s="7" t="inlineStr">
        <is>
          <t>LPD Flight II - P-35 Interrogator System IFF (Identification Friend or Foe) - Technical Engineering Services</t>
        </is>
      </c>
      <c r="E1511" s="13" t="inlineStr">
        <is>
          <t>[ALT_VIEW]</t>
        </is>
      </c>
      <c r="F1511" s="7" t="inlineStr">
        <is>
          <t>3010 / LPD Flight II</t>
        </is>
      </c>
      <c r="G1511" s="7" t="inlineStr">
        <is>
          <t>P-35</t>
        </is>
      </c>
      <c r="I1511" s="14" t="n">
        <v>1</v>
      </c>
      <c r="J1511" s="7" t="inlineStr">
        <is>
          <t>Full ship DD&amp;C</t>
        </is>
      </c>
      <c r="K1511" s="13" t="inlineStr">
        <is>
          <t>USN</t>
        </is>
      </c>
      <c r="L1511" s="7" t="inlineStr">
        <is>
          <t>Combatant Ships</t>
        </is>
      </c>
      <c r="M1511" s="7" t="inlineStr">
        <is>
          <t>Amphibious Warfare Ships</t>
        </is>
      </c>
      <c r="N1511" s="7" t="inlineStr">
        <is>
          <t>LPD</t>
        </is>
      </c>
      <c r="O1511" s="15" t="n"/>
      <c r="S1511" s="16" t="n">
        <v>131</v>
      </c>
      <c r="U1511" s="16" t="n">
        <v>131</v>
      </c>
      <c r="AC1511" s="23">
        <f>IF(OR(E1511="",E1511="[PARENT]"),"ADD",IF(E1511="[ALT_VIEW]","ALT",""))</f>
        <v/>
      </c>
      <c r="AD1511" s="21">
        <f>IF(Y1511&lt;&gt;"",Y1511,IF(U1511&lt;&gt;"",U1511,S1511))</f>
        <v/>
      </c>
      <c r="AE1511" s="21">
        <f>IF(AB1511&lt;&gt;"",AB1511,Z1511)</f>
        <v/>
      </c>
      <c r="AF1511" s="13" t="inlineStr">
        <is>
          <t>P-35 &gt; LPD Flight II &gt; Interrogator System IFF (Identification Friend or Foe) &gt; Technical Engineering Services</t>
        </is>
      </c>
      <c r="AG1511" s="7" t="inlineStr">
        <is>
          <t>315</t>
        </is>
      </c>
      <c r="AH1511" s="7" t="inlineStr">
        <is>
          <t>3010</t>
        </is>
      </c>
    </row>
    <row r="1512" ht="10" customHeight="1">
      <c r="A1512" s="7" t="inlineStr">
        <is>
          <t>SCN</t>
        </is>
      </c>
      <c r="B1512" s="7" t="inlineStr">
        <is>
          <t>Procurement</t>
        </is>
      </c>
      <c r="D1512" s="7" t="inlineStr">
        <is>
          <t>LPD Flight II - P-35 Interrogator System IFF (Identification Friend or Foe) - Other Costs</t>
        </is>
      </c>
      <c r="E1512" s="13" t="inlineStr">
        <is>
          <t>[ALT_VIEW]</t>
        </is>
      </c>
      <c r="F1512" s="7" t="inlineStr">
        <is>
          <t>3010 / LPD Flight II</t>
        </is>
      </c>
      <c r="G1512" s="7" t="inlineStr">
        <is>
          <t>P-35</t>
        </is>
      </c>
      <c r="I1512" s="14" t="n">
        <v>1</v>
      </c>
      <c r="J1512" s="7" t="inlineStr">
        <is>
          <t>Full ship DD&amp;C</t>
        </is>
      </c>
      <c r="K1512" s="13" t="inlineStr">
        <is>
          <t>USN</t>
        </is>
      </c>
      <c r="L1512" s="7" t="inlineStr">
        <is>
          <t>Combatant Ships</t>
        </is>
      </c>
      <c r="M1512" s="7" t="inlineStr">
        <is>
          <t>Amphibious Warfare Ships</t>
        </is>
      </c>
      <c r="N1512" s="7" t="inlineStr">
        <is>
          <t>LPD</t>
        </is>
      </c>
      <c r="O1512" s="15" t="n"/>
      <c r="S1512" s="16" t="n">
        <v>306</v>
      </c>
      <c r="U1512" s="16" t="n">
        <v>306</v>
      </c>
      <c r="AC1512" s="23">
        <f>IF(OR(E1512="",E1512="[PARENT]"),"ADD",IF(E1512="[ALT_VIEW]","ALT",""))</f>
        <v/>
      </c>
      <c r="AD1512" s="21">
        <f>IF(Y1512&lt;&gt;"",Y1512,IF(U1512&lt;&gt;"",U1512,S1512))</f>
        <v/>
      </c>
      <c r="AE1512" s="21">
        <f>IF(AB1512&lt;&gt;"",AB1512,Z1512)</f>
        <v/>
      </c>
      <c r="AF1512" s="13" t="inlineStr">
        <is>
          <t>P-35 &gt; LPD Flight II &gt; Interrogator System IFF (Identification Friend or Foe) &gt; Other Costs</t>
        </is>
      </c>
      <c r="AG1512" s="7" t="inlineStr">
        <is>
          <t>315</t>
        </is>
      </c>
      <c r="AH1512" s="7" t="inlineStr">
        <is>
          <t>3010</t>
        </is>
      </c>
    </row>
    <row r="1513" ht="10" customHeight="1">
      <c r="A1513" s="7" t="inlineStr">
        <is>
          <t>SCN</t>
        </is>
      </c>
      <c r="B1513" s="7" t="inlineStr">
        <is>
          <t>Procurement</t>
        </is>
      </c>
      <c r="D1513" s="7" t="inlineStr">
        <is>
          <t>LPD Flight II - P-35 Interrogator System IFF (Identification Friend or Foe) - Documentation and Systems Engineering</t>
        </is>
      </c>
      <c r="E1513" s="13" t="inlineStr">
        <is>
          <t>[ALT_VIEW]</t>
        </is>
      </c>
      <c r="F1513" s="7" t="inlineStr">
        <is>
          <t>3010 / LPD Flight II</t>
        </is>
      </c>
      <c r="G1513" s="7" t="inlineStr">
        <is>
          <t>P-35</t>
        </is>
      </c>
      <c r="I1513" s="14" t="n">
        <v>1</v>
      </c>
      <c r="J1513" s="7" t="inlineStr">
        <is>
          <t>Full ship DD&amp;C</t>
        </is>
      </c>
      <c r="K1513" s="13" t="inlineStr">
        <is>
          <t>USN</t>
        </is>
      </c>
      <c r="L1513" s="7" t="inlineStr">
        <is>
          <t>Combatant Ships</t>
        </is>
      </c>
      <c r="M1513" s="7" t="inlineStr">
        <is>
          <t>Amphibious Warfare Ships</t>
        </is>
      </c>
      <c r="N1513" s="7" t="inlineStr">
        <is>
          <t>LPD</t>
        </is>
      </c>
      <c r="O1513" s="15" t="n"/>
      <c r="S1513" s="16" t="n">
        <v>167</v>
      </c>
      <c r="U1513" s="16" t="n">
        <v>167</v>
      </c>
      <c r="AC1513" s="23">
        <f>IF(OR(E1513="",E1513="[PARENT]"),"ADD",IF(E1513="[ALT_VIEW]","ALT",""))</f>
        <v/>
      </c>
      <c r="AD1513" s="21">
        <f>IF(Y1513&lt;&gt;"",Y1513,IF(U1513&lt;&gt;"",U1513,S1513))</f>
        <v/>
      </c>
      <c r="AE1513" s="21">
        <f>IF(AB1513&lt;&gt;"",AB1513,Z1513)</f>
        <v/>
      </c>
      <c r="AF1513" s="13" t="inlineStr">
        <is>
          <t>P-35 &gt; LPD Flight II &gt; Interrogator System IFF (Identification Friend or Foe) &gt; Documentation and Systems Engineering</t>
        </is>
      </c>
      <c r="AG1513" s="7" t="inlineStr">
        <is>
          <t>315</t>
        </is>
      </c>
      <c r="AH1513" s="7" t="inlineStr">
        <is>
          <t>3010</t>
        </is>
      </c>
    </row>
    <row r="1514" ht="10" customHeight="1">
      <c r="A1514" s="7" t="inlineStr">
        <is>
          <t>SCN</t>
        </is>
      </c>
      <c r="B1514" s="7" t="inlineStr">
        <is>
          <t>Procurement</t>
        </is>
      </c>
      <c r="D1514" s="7" t="inlineStr">
        <is>
          <t>LPD Flight II - P-35 AN/SLQ-32(V)6 Surface Electronic Warfare Improvement Program (SEWIP) - Major Hardware                                                                                                                                                   1</t>
        </is>
      </c>
      <c r="E1514" s="13" t="inlineStr">
        <is>
          <t>[ALT_VIEW]</t>
        </is>
      </c>
      <c r="F1514" s="7" t="inlineStr">
        <is>
          <t>3010 / LPD Flight II</t>
        </is>
      </c>
      <c r="G1514" s="7" t="inlineStr">
        <is>
          <t>P-35</t>
        </is>
      </c>
      <c r="I1514" s="14" t="n">
        <v>1</v>
      </c>
      <c r="J1514" s="7" t="inlineStr">
        <is>
          <t>Full ship DD&amp;C</t>
        </is>
      </c>
      <c r="K1514" s="13" t="inlineStr">
        <is>
          <t>USN</t>
        </is>
      </c>
      <c r="L1514" s="7" t="inlineStr">
        <is>
          <t>Combatant Ships</t>
        </is>
      </c>
      <c r="M1514" s="7" t="inlineStr">
        <is>
          <t>Amphibious Warfare Ships</t>
        </is>
      </c>
      <c r="N1514" s="7" t="inlineStr">
        <is>
          <t>LPD</t>
        </is>
      </c>
      <c r="O1514" s="15" t="n"/>
      <c r="S1514" s="16" t="n">
        <v>12105</v>
      </c>
      <c r="U1514" s="16" t="n">
        <v>12105</v>
      </c>
      <c r="AC1514" s="23">
        <f>IF(OR(E1514="",E1514="[PARENT]"),"ADD",IF(E1514="[ALT_VIEW]","ALT",""))</f>
        <v/>
      </c>
      <c r="AD1514" s="21">
        <f>IF(Y1514&lt;&gt;"",Y1514,IF(U1514&lt;&gt;"",U1514,S1514))</f>
        <v/>
      </c>
      <c r="AE1514" s="21">
        <f>IF(AB1514&lt;&gt;"",AB1514,Z1514)</f>
        <v/>
      </c>
      <c r="AF1514" s="13" t="inlineStr">
        <is>
          <t>P-35 &gt; LPD Flight II &gt; AN/SLQ-32(V)6 Surface Electronic Warfare Improvement Program (SEWIP) &gt; Major Hardware                                                                                                                                                   1</t>
        </is>
      </c>
      <c r="AG1514" s="7" t="inlineStr">
        <is>
          <t>316</t>
        </is>
      </c>
      <c r="AH1514" s="7" t="inlineStr">
        <is>
          <t>3010</t>
        </is>
      </c>
    </row>
    <row r="1515" ht="10" customHeight="1">
      <c r="A1515" s="7" t="inlineStr">
        <is>
          <t>SCN</t>
        </is>
      </c>
      <c r="B1515" s="7" t="inlineStr">
        <is>
          <t>Procurement</t>
        </is>
      </c>
      <c r="D1515" s="7" t="inlineStr">
        <is>
          <t>LPD Flight II - P-35 AN/SLQ-32(V)6 Surface Electronic Warfare Improvement Program (SEWIP) - Spares</t>
        </is>
      </c>
      <c r="E1515" s="13" t="inlineStr">
        <is>
          <t>[ALT_VIEW]</t>
        </is>
      </c>
      <c r="F1515" s="7" t="inlineStr">
        <is>
          <t>3010 / LPD Flight II</t>
        </is>
      </c>
      <c r="G1515" s="7" t="inlineStr">
        <is>
          <t>P-35</t>
        </is>
      </c>
      <c r="I1515" s="14" t="n">
        <v>1</v>
      </c>
      <c r="J1515" s="7" t="inlineStr">
        <is>
          <t>Full ship DD&amp;C</t>
        </is>
      </c>
      <c r="K1515" s="13" t="inlineStr">
        <is>
          <t>USN</t>
        </is>
      </c>
      <c r="L1515" s="7" t="inlineStr">
        <is>
          <t>Combatant Ships</t>
        </is>
      </c>
      <c r="M1515" s="7" t="inlineStr">
        <is>
          <t>Amphibious Warfare Ships</t>
        </is>
      </c>
      <c r="N1515" s="7" t="inlineStr">
        <is>
          <t>LPD</t>
        </is>
      </c>
      <c r="O1515" s="15" t="n"/>
      <c r="S1515" s="16" t="n">
        <v>429</v>
      </c>
      <c r="U1515" s="16" t="n">
        <v>429</v>
      </c>
      <c r="AC1515" s="23">
        <f>IF(OR(E1515="",E1515="[PARENT]"),"ADD",IF(E1515="[ALT_VIEW]","ALT",""))</f>
        <v/>
      </c>
      <c r="AD1515" s="21">
        <f>IF(Y1515&lt;&gt;"",Y1515,IF(U1515&lt;&gt;"",U1515,S1515))</f>
        <v/>
      </c>
      <c r="AE1515" s="21">
        <f>IF(AB1515&lt;&gt;"",AB1515,Z1515)</f>
        <v/>
      </c>
      <c r="AF1515" s="13" t="inlineStr">
        <is>
          <t>P-35 &gt; LPD Flight II &gt; AN/SLQ-32(V)6 Surface Electronic Warfare Improvement Program (SEWIP) &gt; Spares</t>
        </is>
      </c>
      <c r="AG1515" s="7" t="inlineStr">
        <is>
          <t>316</t>
        </is>
      </c>
      <c r="AH1515" s="7" t="inlineStr">
        <is>
          <t>3010</t>
        </is>
      </c>
    </row>
    <row r="1516" ht="10" customHeight="1">
      <c r="A1516" s="7" t="inlineStr">
        <is>
          <t>SCN</t>
        </is>
      </c>
      <c r="B1516" s="7" t="inlineStr">
        <is>
          <t>Procurement</t>
        </is>
      </c>
      <c r="D1516" s="7" t="inlineStr">
        <is>
          <t>LPD Flight II - P-35 AN/SLQ-32(V)6 Surface Electronic Warfare Improvement Program (SEWIP) - Technical Engineering Services</t>
        </is>
      </c>
      <c r="E1516" s="13" t="inlineStr">
        <is>
          <t>[ALT_VIEW]</t>
        </is>
      </c>
      <c r="F1516" s="7" t="inlineStr">
        <is>
          <t>3010 / LPD Flight II</t>
        </is>
      </c>
      <c r="G1516" s="7" t="inlineStr">
        <is>
          <t>P-35</t>
        </is>
      </c>
      <c r="I1516" s="14" t="n">
        <v>1</v>
      </c>
      <c r="J1516" s="7" t="inlineStr">
        <is>
          <t>Full ship DD&amp;C</t>
        </is>
      </c>
      <c r="K1516" s="13" t="inlineStr">
        <is>
          <t>USN</t>
        </is>
      </c>
      <c r="L1516" s="7" t="inlineStr">
        <is>
          <t>Combatant Ships</t>
        </is>
      </c>
      <c r="M1516" s="7" t="inlineStr">
        <is>
          <t>Amphibious Warfare Ships</t>
        </is>
      </c>
      <c r="N1516" s="7" t="inlineStr">
        <is>
          <t>LPD</t>
        </is>
      </c>
      <c r="O1516" s="15" t="n"/>
      <c r="S1516" s="16" t="n">
        <v>160</v>
      </c>
      <c r="U1516" s="16" t="n">
        <v>160</v>
      </c>
      <c r="AC1516" s="23">
        <f>IF(OR(E1516="",E1516="[PARENT]"),"ADD",IF(E1516="[ALT_VIEW]","ALT",""))</f>
        <v/>
      </c>
      <c r="AD1516" s="21">
        <f>IF(Y1516&lt;&gt;"",Y1516,IF(U1516&lt;&gt;"",U1516,S1516))</f>
        <v/>
      </c>
      <c r="AE1516" s="21">
        <f>IF(AB1516&lt;&gt;"",AB1516,Z1516)</f>
        <v/>
      </c>
      <c r="AF1516" s="13" t="inlineStr">
        <is>
          <t>P-35 &gt; LPD Flight II &gt; AN/SLQ-32(V)6 Surface Electronic Warfare Improvement Program (SEWIP) &gt; Technical Engineering Services</t>
        </is>
      </c>
      <c r="AG1516" s="7" t="inlineStr">
        <is>
          <t>316</t>
        </is>
      </c>
      <c r="AH1516" s="7" t="inlineStr">
        <is>
          <t>3010</t>
        </is>
      </c>
    </row>
    <row r="1517" ht="10" customHeight="1">
      <c r="A1517" s="7" t="inlineStr">
        <is>
          <t>SCN</t>
        </is>
      </c>
      <c r="B1517" s="7" t="inlineStr">
        <is>
          <t>Procurement</t>
        </is>
      </c>
      <c r="D1517" s="7" t="inlineStr">
        <is>
          <t>LPD Flight II - P-35 AN/SLQ-32(V)6 Surface Electronic Warfare Improvement Program (SEWIP) - Other Costs</t>
        </is>
      </c>
      <c r="E1517" s="13" t="inlineStr">
        <is>
          <t>[ALT_VIEW]</t>
        </is>
      </c>
      <c r="F1517" s="7" t="inlineStr">
        <is>
          <t>3010 / LPD Flight II</t>
        </is>
      </c>
      <c r="G1517" s="7" t="inlineStr">
        <is>
          <t>P-35</t>
        </is>
      </c>
      <c r="I1517" s="14" t="n">
        <v>1</v>
      </c>
      <c r="J1517" s="7" t="inlineStr">
        <is>
          <t>Full ship DD&amp;C</t>
        </is>
      </c>
      <c r="K1517" s="13" t="inlineStr">
        <is>
          <t>USN</t>
        </is>
      </c>
      <c r="L1517" s="7" t="inlineStr">
        <is>
          <t>Combatant Ships</t>
        </is>
      </c>
      <c r="M1517" s="7" t="inlineStr">
        <is>
          <t>Amphibious Warfare Ships</t>
        </is>
      </c>
      <c r="N1517" s="7" t="inlineStr">
        <is>
          <t>LPD</t>
        </is>
      </c>
      <c r="O1517" s="15" t="n"/>
      <c r="S1517" s="16" t="n">
        <v>720</v>
      </c>
      <c r="U1517" s="16" t="n">
        <v>720</v>
      </c>
      <c r="AC1517" s="23">
        <f>IF(OR(E1517="",E1517="[PARENT]"),"ADD",IF(E1517="[ALT_VIEW]","ALT",""))</f>
        <v/>
      </c>
      <c r="AD1517" s="21">
        <f>IF(Y1517&lt;&gt;"",Y1517,IF(U1517&lt;&gt;"",U1517,S1517))</f>
        <v/>
      </c>
      <c r="AE1517" s="21">
        <f>IF(AB1517&lt;&gt;"",AB1517,Z1517)</f>
        <v/>
      </c>
      <c r="AF1517" s="13" t="inlineStr">
        <is>
          <t>P-35 &gt; LPD Flight II &gt; AN/SLQ-32(V)6 Surface Electronic Warfare Improvement Program (SEWIP) &gt; Other Costs</t>
        </is>
      </c>
      <c r="AG1517" s="7" t="inlineStr">
        <is>
          <t>316</t>
        </is>
      </c>
      <c r="AH1517" s="7" t="inlineStr">
        <is>
          <t>3010</t>
        </is>
      </c>
      <c r="AJ1517" s="7" t="inlineStr">
        <is>
          <t>AN/SLQ-32(V)6 Surface Electronic Warfare Improvement Program (SEWIP) [LPD FLT II 33]</t>
        </is>
      </c>
    </row>
    <row r="1518" ht="10" customHeight="1">
      <c r="A1518" s="7" t="inlineStr">
        <is>
          <t>SCN</t>
        </is>
      </c>
      <c r="B1518" s="7" t="inlineStr">
        <is>
          <t>Procurement</t>
        </is>
      </c>
      <c r="D1518" s="7" t="inlineStr">
        <is>
          <t>LPD Flight II - P-35 AN/SLQ-32(V)6 Surface Electronic Warfare Improvement Program (SEWIP) - Documentation and Systems Engineering</t>
        </is>
      </c>
      <c r="E1518" s="13" t="inlineStr">
        <is>
          <t>[ALT_VIEW]</t>
        </is>
      </c>
      <c r="F1518" s="7" t="inlineStr">
        <is>
          <t>3010 / LPD Flight II</t>
        </is>
      </c>
      <c r="G1518" s="7" t="inlineStr">
        <is>
          <t>P-35</t>
        </is>
      </c>
      <c r="I1518" s="14" t="n">
        <v>1</v>
      </c>
      <c r="J1518" s="7" t="inlineStr">
        <is>
          <t>Full ship DD&amp;C</t>
        </is>
      </c>
      <c r="K1518" s="13" t="inlineStr">
        <is>
          <t>USN</t>
        </is>
      </c>
      <c r="L1518" s="7" t="inlineStr">
        <is>
          <t>Combatant Ships</t>
        </is>
      </c>
      <c r="M1518" s="7" t="inlineStr">
        <is>
          <t>Amphibious Warfare Ships</t>
        </is>
      </c>
      <c r="N1518" s="7" t="inlineStr">
        <is>
          <t>LPD</t>
        </is>
      </c>
      <c r="O1518" s="15" t="n"/>
      <c r="S1518" s="16" t="n">
        <v>944</v>
      </c>
      <c r="U1518" s="16" t="n">
        <v>944</v>
      </c>
      <c r="AC1518" s="23">
        <f>IF(OR(E1518="",E1518="[PARENT]"),"ADD",IF(E1518="[ALT_VIEW]","ALT",""))</f>
        <v/>
      </c>
      <c r="AD1518" s="21">
        <f>IF(Y1518&lt;&gt;"",Y1518,IF(U1518&lt;&gt;"",U1518,S1518))</f>
        <v/>
      </c>
      <c r="AE1518" s="21">
        <f>IF(AB1518&lt;&gt;"",AB1518,Z1518)</f>
        <v/>
      </c>
      <c r="AF1518" s="13" t="inlineStr">
        <is>
          <t>P-35 &gt; LPD Flight II &gt; AN/SLQ-32(V)6 Surface Electronic Warfare Improvement Program (SEWIP) &gt; Documentation and Systems Engineering</t>
        </is>
      </c>
      <c r="AG1518" s="7" t="inlineStr">
        <is>
          <t>316</t>
        </is>
      </c>
      <c r="AH1518" s="7" t="inlineStr">
        <is>
          <t>3010</t>
        </is>
      </c>
    </row>
    <row r="1519" ht="10" customHeight="1">
      <c r="A1519" s="7" t="inlineStr">
        <is>
          <t>SCN</t>
        </is>
      </c>
      <c r="B1519" s="7" t="inlineStr">
        <is>
          <t>Procurement</t>
        </is>
      </c>
      <c r="D1519" s="7" t="inlineStr">
        <is>
          <t>LPD Flight II - P-35 RAM BLOCK II - Major Hardware                                                                                                                                                      2</t>
        </is>
      </c>
      <c r="E1519" s="13" t="inlineStr">
        <is>
          <t>[ALT_VIEW]</t>
        </is>
      </c>
      <c r="F1519" s="7" t="inlineStr">
        <is>
          <t>3010 / LPD Flight II</t>
        </is>
      </c>
      <c r="G1519" s="7" t="inlineStr">
        <is>
          <t>P-35</t>
        </is>
      </c>
      <c r="I1519" s="14" t="n">
        <v>1</v>
      </c>
      <c r="J1519" s="7" t="inlineStr">
        <is>
          <t>Full ship DD&amp;C</t>
        </is>
      </c>
      <c r="K1519" s="13" t="inlineStr">
        <is>
          <t>USN</t>
        </is>
      </c>
      <c r="L1519" s="7" t="inlineStr">
        <is>
          <t>Combatant Ships</t>
        </is>
      </c>
      <c r="M1519" s="7" t="inlineStr">
        <is>
          <t>Amphibious Warfare Ships</t>
        </is>
      </c>
      <c r="N1519" s="7" t="inlineStr">
        <is>
          <t>LPD</t>
        </is>
      </c>
      <c r="O1519" s="15" t="n"/>
      <c r="S1519" s="16" t="n">
        <v>16940</v>
      </c>
      <c r="U1519" s="16" t="n">
        <v>16940</v>
      </c>
      <c r="AC1519" s="23">
        <f>IF(OR(E1519="",E1519="[PARENT]"),"ADD",IF(E1519="[ALT_VIEW]","ALT",""))</f>
        <v/>
      </c>
      <c r="AD1519" s="21">
        <f>IF(Y1519&lt;&gt;"",Y1519,IF(U1519&lt;&gt;"",U1519,S1519))</f>
        <v/>
      </c>
      <c r="AE1519" s="21">
        <f>IF(AB1519&lt;&gt;"",AB1519,Z1519)</f>
        <v/>
      </c>
      <c r="AF1519" s="13" t="inlineStr">
        <is>
          <t>P-35 &gt; LPD Flight II &gt; RAM BLOCK II &gt; Major Hardware                                                                                                                                                      2</t>
        </is>
      </c>
      <c r="AG1519" s="7" t="inlineStr">
        <is>
          <t>317</t>
        </is>
      </c>
      <c r="AH1519" s="7" t="inlineStr">
        <is>
          <t>3010</t>
        </is>
      </c>
    </row>
    <row r="1520" ht="10" customHeight="1">
      <c r="A1520" s="7" t="inlineStr">
        <is>
          <t>SCN</t>
        </is>
      </c>
      <c r="B1520" s="7" t="inlineStr">
        <is>
          <t>Procurement</t>
        </is>
      </c>
      <c r="D1520" s="7" t="inlineStr">
        <is>
          <t>LPD Flight II - P-35 RAM BLOCK II - Spares</t>
        </is>
      </c>
      <c r="E1520" s="13" t="inlineStr">
        <is>
          <t>[ALT_VIEW]</t>
        </is>
      </c>
      <c r="F1520" s="7" t="inlineStr">
        <is>
          <t>3010 / LPD Flight II</t>
        </is>
      </c>
      <c r="G1520" s="7" t="inlineStr">
        <is>
          <t>P-35</t>
        </is>
      </c>
      <c r="I1520" s="14" t="n">
        <v>1</v>
      </c>
      <c r="J1520" s="7" t="inlineStr">
        <is>
          <t>Full ship DD&amp;C</t>
        </is>
      </c>
      <c r="K1520" s="13" t="inlineStr">
        <is>
          <t>USN</t>
        </is>
      </c>
      <c r="L1520" s="7" t="inlineStr">
        <is>
          <t>Combatant Ships</t>
        </is>
      </c>
      <c r="M1520" s="7" t="inlineStr">
        <is>
          <t>Amphibious Warfare Ships</t>
        </is>
      </c>
      <c r="N1520" s="7" t="inlineStr">
        <is>
          <t>LPD</t>
        </is>
      </c>
      <c r="O1520" s="15" t="n"/>
      <c r="S1520" s="16" t="n">
        <v>151</v>
      </c>
      <c r="U1520" s="16" t="n">
        <v>151</v>
      </c>
      <c r="AC1520" s="23">
        <f>IF(OR(E1520="",E1520="[PARENT]"),"ADD",IF(E1520="[ALT_VIEW]","ALT",""))</f>
        <v/>
      </c>
      <c r="AD1520" s="21">
        <f>IF(Y1520&lt;&gt;"",Y1520,IF(U1520&lt;&gt;"",U1520,S1520))</f>
        <v/>
      </c>
      <c r="AE1520" s="21">
        <f>IF(AB1520&lt;&gt;"",AB1520,Z1520)</f>
        <v/>
      </c>
      <c r="AF1520" s="13" t="inlineStr">
        <is>
          <t>P-35 &gt; LPD Flight II &gt; RAM BLOCK II &gt; Spares</t>
        </is>
      </c>
      <c r="AG1520" s="7" t="inlineStr">
        <is>
          <t>317</t>
        </is>
      </c>
      <c r="AH1520" s="7" t="inlineStr">
        <is>
          <t>3010</t>
        </is>
      </c>
    </row>
    <row r="1521" ht="10" customHeight="1">
      <c r="A1521" s="7" t="inlineStr">
        <is>
          <t>SCN</t>
        </is>
      </c>
      <c r="B1521" s="7" t="inlineStr">
        <is>
          <t>Procurement</t>
        </is>
      </c>
      <c r="D1521" s="7" t="inlineStr">
        <is>
          <t>LPD Flight II - P-35 RAM BLOCK II - Technical Engineering Services</t>
        </is>
      </c>
      <c r="E1521" s="13" t="inlineStr">
        <is>
          <t>[ALT_VIEW]</t>
        </is>
      </c>
      <c r="F1521" s="7" t="inlineStr">
        <is>
          <t>3010 / LPD Flight II</t>
        </is>
      </c>
      <c r="G1521" s="7" t="inlineStr">
        <is>
          <t>P-35</t>
        </is>
      </c>
      <c r="I1521" s="14" t="n">
        <v>1</v>
      </c>
      <c r="J1521" s="7" t="inlineStr">
        <is>
          <t>Full ship DD&amp;C</t>
        </is>
      </c>
      <c r="K1521" s="13" t="inlineStr">
        <is>
          <t>USN</t>
        </is>
      </c>
      <c r="L1521" s="7" t="inlineStr">
        <is>
          <t>Combatant Ships</t>
        </is>
      </c>
      <c r="M1521" s="7" t="inlineStr">
        <is>
          <t>Amphibious Warfare Ships</t>
        </is>
      </c>
      <c r="N1521" s="7" t="inlineStr">
        <is>
          <t>LPD</t>
        </is>
      </c>
      <c r="O1521" s="15" t="n"/>
      <c r="S1521" s="16" t="n">
        <v>353</v>
      </c>
      <c r="U1521" s="16" t="n">
        <v>353</v>
      </c>
      <c r="AC1521" s="23">
        <f>IF(OR(E1521="",E1521="[PARENT]"),"ADD",IF(E1521="[ALT_VIEW]","ALT",""))</f>
        <v/>
      </c>
      <c r="AD1521" s="21">
        <f>IF(Y1521&lt;&gt;"",Y1521,IF(U1521&lt;&gt;"",U1521,S1521))</f>
        <v/>
      </c>
      <c r="AE1521" s="21">
        <f>IF(AB1521&lt;&gt;"",AB1521,Z1521)</f>
        <v/>
      </c>
      <c r="AF1521" s="13" t="inlineStr">
        <is>
          <t>P-35 &gt; LPD Flight II &gt; RAM BLOCK II &gt; Technical Engineering Services</t>
        </is>
      </c>
      <c r="AG1521" s="7" t="inlineStr">
        <is>
          <t>317</t>
        </is>
      </c>
      <c r="AH1521" s="7" t="inlineStr">
        <is>
          <t>3010</t>
        </is>
      </c>
    </row>
    <row r="1522" ht="10" customHeight="1">
      <c r="A1522" s="7" t="inlineStr">
        <is>
          <t>SCN</t>
        </is>
      </c>
      <c r="B1522" s="7" t="inlineStr">
        <is>
          <t>Procurement</t>
        </is>
      </c>
      <c r="D1522" s="7" t="inlineStr">
        <is>
          <t>LPD Flight II - P-35 RAM BLOCK II - Other Costs</t>
        </is>
      </c>
      <c r="E1522" s="13" t="inlineStr">
        <is>
          <t>[ALT_VIEW]</t>
        </is>
      </c>
      <c r="F1522" s="7" t="inlineStr">
        <is>
          <t>3010 / LPD Flight II</t>
        </is>
      </c>
      <c r="G1522" s="7" t="inlineStr">
        <is>
          <t>P-35</t>
        </is>
      </c>
      <c r="I1522" s="14" t="n">
        <v>1</v>
      </c>
      <c r="J1522" s="7" t="inlineStr">
        <is>
          <t>Full ship DD&amp;C</t>
        </is>
      </c>
      <c r="K1522" s="13" t="inlineStr">
        <is>
          <t>USN</t>
        </is>
      </c>
      <c r="L1522" s="7" t="inlineStr">
        <is>
          <t>Combatant Ships</t>
        </is>
      </c>
      <c r="M1522" s="7" t="inlineStr">
        <is>
          <t>Amphibious Warfare Ships</t>
        </is>
      </c>
      <c r="N1522" s="7" t="inlineStr">
        <is>
          <t>LPD</t>
        </is>
      </c>
      <c r="O1522" s="15" t="n"/>
      <c r="S1522" s="16" t="n">
        <v>1195</v>
      </c>
      <c r="U1522" s="16" t="n">
        <v>1195</v>
      </c>
      <c r="AC1522" s="23">
        <f>IF(OR(E1522="",E1522="[PARENT]"),"ADD",IF(E1522="[ALT_VIEW]","ALT",""))</f>
        <v/>
      </c>
      <c r="AD1522" s="21">
        <f>IF(Y1522&lt;&gt;"",Y1522,IF(U1522&lt;&gt;"",U1522,S1522))</f>
        <v/>
      </c>
      <c r="AE1522" s="21">
        <f>IF(AB1522&lt;&gt;"",AB1522,Z1522)</f>
        <v/>
      </c>
      <c r="AF1522" s="13" t="inlineStr">
        <is>
          <t>P-35 &gt; LPD Flight II &gt; RAM BLOCK II &gt; Other Costs</t>
        </is>
      </c>
      <c r="AG1522" s="7" t="inlineStr">
        <is>
          <t>317</t>
        </is>
      </c>
      <c r="AH1522" s="7" t="inlineStr">
        <is>
          <t>3010</t>
        </is>
      </c>
    </row>
    <row r="1523" ht="10" customHeight="1">
      <c r="A1523" s="7" t="inlineStr">
        <is>
          <t>SCN</t>
        </is>
      </c>
      <c r="B1523" s="7" t="inlineStr">
        <is>
          <t>Procurement</t>
        </is>
      </c>
      <c r="D1523" s="7" t="inlineStr">
        <is>
          <t>LPD Flight II - P-35 RAM BLOCK II - Documentation and Systems Engineering</t>
        </is>
      </c>
      <c r="E1523" s="13" t="inlineStr">
        <is>
          <t>[ALT_VIEW]</t>
        </is>
      </c>
      <c r="F1523" s="7" t="inlineStr">
        <is>
          <t>3010 / LPD Flight II</t>
        </is>
      </c>
      <c r="G1523" s="7" t="inlineStr">
        <is>
          <t>P-35</t>
        </is>
      </c>
      <c r="I1523" s="14" t="n">
        <v>1</v>
      </c>
      <c r="J1523" s="7" t="inlineStr">
        <is>
          <t>Full ship DD&amp;C</t>
        </is>
      </c>
      <c r="K1523" s="13" t="inlineStr">
        <is>
          <t>USN</t>
        </is>
      </c>
      <c r="L1523" s="7" t="inlineStr">
        <is>
          <t>Combatant Ships</t>
        </is>
      </c>
      <c r="M1523" s="7" t="inlineStr">
        <is>
          <t>Amphibious Warfare Ships</t>
        </is>
      </c>
      <c r="N1523" s="7" t="inlineStr">
        <is>
          <t>LPD</t>
        </is>
      </c>
      <c r="O1523" s="15" t="n"/>
      <c r="S1523" s="16" t="n">
        <v>1317</v>
      </c>
      <c r="U1523" s="16" t="n">
        <v>1317</v>
      </c>
      <c r="AC1523" s="23">
        <f>IF(OR(E1523="",E1523="[PARENT]"),"ADD",IF(E1523="[ALT_VIEW]","ALT",""))</f>
        <v/>
      </c>
      <c r="AD1523" s="21">
        <f>IF(Y1523&lt;&gt;"",Y1523,IF(U1523&lt;&gt;"",U1523,S1523))</f>
        <v/>
      </c>
      <c r="AE1523" s="21">
        <f>IF(AB1523&lt;&gt;"",AB1523,Z1523)</f>
        <v/>
      </c>
      <c r="AF1523" s="13" t="inlineStr">
        <is>
          <t>P-35 &gt; LPD Flight II &gt; RAM BLOCK II &gt; Documentation and Systems Engineering</t>
        </is>
      </c>
      <c r="AG1523" s="7" t="inlineStr">
        <is>
          <t>317</t>
        </is>
      </c>
      <c r="AH1523" s="7" t="inlineStr">
        <is>
          <t>3010</t>
        </is>
      </c>
    </row>
    <row r="1524" ht="10" customHeight="1">
      <c r="A1524" s="7" t="inlineStr">
        <is>
          <t>SCN</t>
        </is>
      </c>
      <c r="B1524" s="7" t="inlineStr">
        <is>
          <t>Procurement</t>
        </is>
      </c>
      <c r="D1524" s="7" t="inlineStr">
        <is>
          <t>LPD Flight II - P-35 MK 46 GUN - Major Hardware                                                                                                                                                      2</t>
        </is>
      </c>
      <c r="E1524" s="13" t="inlineStr">
        <is>
          <t>[ALT_VIEW]</t>
        </is>
      </c>
      <c r="F1524" s="7" t="inlineStr">
        <is>
          <t>3010 / LPD Flight II</t>
        </is>
      </c>
      <c r="G1524" s="7" t="inlineStr">
        <is>
          <t>P-35</t>
        </is>
      </c>
      <c r="I1524" s="14" t="n">
        <v>1</v>
      </c>
      <c r="J1524" s="7" t="inlineStr">
        <is>
          <t>Full ship DD&amp;C</t>
        </is>
      </c>
      <c r="K1524" s="13" t="inlineStr">
        <is>
          <t>USN</t>
        </is>
      </c>
      <c r="L1524" s="7" t="inlineStr">
        <is>
          <t>Combatant Ships</t>
        </is>
      </c>
      <c r="M1524" s="7" t="inlineStr">
        <is>
          <t>Amphibious Warfare Ships</t>
        </is>
      </c>
      <c r="N1524" s="7" t="inlineStr">
        <is>
          <t>LPD</t>
        </is>
      </c>
      <c r="O1524" s="15" t="n"/>
      <c r="S1524" s="16" t="n">
        <v>9520</v>
      </c>
      <c r="U1524" s="16" t="n">
        <v>9520</v>
      </c>
      <c r="AC1524" s="23">
        <f>IF(OR(E1524="",E1524="[PARENT]"),"ADD",IF(E1524="[ALT_VIEW]","ALT",""))</f>
        <v/>
      </c>
      <c r="AD1524" s="21">
        <f>IF(Y1524&lt;&gt;"",Y1524,IF(U1524&lt;&gt;"",U1524,S1524))</f>
        <v/>
      </c>
      <c r="AE1524" s="21">
        <f>IF(AB1524&lt;&gt;"",AB1524,Z1524)</f>
        <v/>
      </c>
      <c r="AF1524" s="13" t="inlineStr">
        <is>
          <t>P-35 &gt; LPD Flight II &gt; MK 46 GUN &gt; Major Hardware                                                                                                                                                      2</t>
        </is>
      </c>
      <c r="AG1524" s="7" t="inlineStr">
        <is>
          <t>318</t>
        </is>
      </c>
      <c r="AH1524" s="7" t="inlineStr">
        <is>
          <t>3010</t>
        </is>
      </c>
    </row>
    <row r="1525" ht="10" customHeight="1">
      <c r="A1525" s="7" t="inlineStr">
        <is>
          <t>SCN</t>
        </is>
      </c>
      <c r="B1525" s="7" t="inlineStr">
        <is>
          <t>Procurement</t>
        </is>
      </c>
      <c r="D1525" s="7" t="inlineStr">
        <is>
          <t>LPD Flight II - P-35 MK 46 GUN - Technical Engineering Services</t>
        </is>
      </c>
      <c r="E1525" s="13" t="inlineStr">
        <is>
          <t>[ALT_VIEW]</t>
        </is>
      </c>
      <c r="F1525" s="7" t="inlineStr">
        <is>
          <t>3010 / LPD Flight II</t>
        </is>
      </c>
      <c r="G1525" s="7" t="inlineStr">
        <is>
          <t>P-35</t>
        </is>
      </c>
      <c r="I1525" s="14" t="n">
        <v>1</v>
      </c>
      <c r="J1525" s="7" t="inlineStr">
        <is>
          <t>Full ship DD&amp;C</t>
        </is>
      </c>
      <c r="K1525" s="13" t="inlineStr">
        <is>
          <t>USN</t>
        </is>
      </c>
      <c r="L1525" s="7" t="inlineStr">
        <is>
          <t>Combatant Ships</t>
        </is>
      </c>
      <c r="M1525" s="7" t="inlineStr">
        <is>
          <t>Amphibious Warfare Ships</t>
        </is>
      </c>
      <c r="N1525" s="7" t="inlineStr">
        <is>
          <t>LPD</t>
        </is>
      </c>
      <c r="O1525" s="15" t="n"/>
      <c r="S1525" s="16" t="n">
        <v>258</v>
      </c>
      <c r="U1525" s="16" t="n">
        <v>258</v>
      </c>
      <c r="AC1525" s="23">
        <f>IF(OR(E1525="",E1525="[PARENT]"),"ADD",IF(E1525="[ALT_VIEW]","ALT",""))</f>
        <v/>
      </c>
      <c r="AD1525" s="21">
        <f>IF(Y1525&lt;&gt;"",Y1525,IF(U1525&lt;&gt;"",U1525,S1525))</f>
        <v/>
      </c>
      <c r="AE1525" s="21">
        <f>IF(AB1525&lt;&gt;"",AB1525,Z1525)</f>
        <v/>
      </c>
      <c r="AF1525" s="13" t="inlineStr">
        <is>
          <t>P-35 &gt; LPD Flight II &gt; MK 46 GUN &gt; Technical Engineering Services</t>
        </is>
      </c>
      <c r="AG1525" s="7" t="inlineStr">
        <is>
          <t>318</t>
        </is>
      </c>
      <c r="AH1525" s="7" t="inlineStr">
        <is>
          <t>3010</t>
        </is>
      </c>
    </row>
    <row r="1526" ht="10" customHeight="1">
      <c r="A1526" s="7" t="inlineStr">
        <is>
          <t>SCN</t>
        </is>
      </c>
      <c r="B1526" s="7" t="inlineStr">
        <is>
          <t>Procurement</t>
        </is>
      </c>
      <c r="D1526" s="7" t="inlineStr">
        <is>
          <t>LPD Flight II - P-35 AN/SPQ-9B Radar Set - Major Hardware                                                                                                                                                 1</t>
        </is>
      </c>
      <c r="E1526" s="13" t="inlineStr">
        <is>
          <t>[ALT_VIEW]</t>
        </is>
      </c>
      <c r="F1526" s="7" t="inlineStr">
        <is>
          <t>3010 / LPD Flight II</t>
        </is>
      </c>
      <c r="G1526" s="7" t="inlineStr">
        <is>
          <t>P-35</t>
        </is>
      </c>
      <c r="I1526" s="14" t="n">
        <v>1</v>
      </c>
      <c r="J1526" s="7" t="inlineStr">
        <is>
          <t>Full ship DD&amp;C</t>
        </is>
      </c>
      <c r="K1526" s="13" t="inlineStr">
        <is>
          <t>USN</t>
        </is>
      </c>
      <c r="L1526" s="7" t="inlineStr">
        <is>
          <t>Combatant Ships</t>
        </is>
      </c>
      <c r="M1526" s="7" t="inlineStr">
        <is>
          <t>Amphibious Warfare Ships</t>
        </is>
      </c>
      <c r="N1526" s="7" t="inlineStr">
        <is>
          <t>LPD</t>
        </is>
      </c>
      <c r="O1526" s="15" t="n"/>
      <c r="S1526" s="16" t="n">
        <v>4916</v>
      </c>
      <c r="U1526" s="16" t="n">
        <v>4916</v>
      </c>
      <c r="AC1526" s="23">
        <f>IF(OR(E1526="",E1526="[PARENT]"),"ADD",IF(E1526="[ALT_VIEW]","ALT",""))</f>
        <v/>
      </c>
      <c r="AD1526" s="21">
        <f>IF(Y1526&lt;&gt;"",Y1526,IF(U1526&lt;&gt;"",U1526,S1526))</f>
        <v/>
      </c>
      <c r="AE1526" s="21">
        <f>IF(AB1526&lt;&gt;"",AB1526,Z1526)</f>
        <v/>
      </c>
      <c r="AF1526" s="13" t="inlineStr">
        <is>
          <t>P-35 &gt; LPD Flight II &gt; AN/SPQ-9B Radar Set &gt; Major Hardware                                                                                                                                                 1</t>
        </is>
      </c>
      <c r="AG1526" s="7" t="inlineStr">
        <is>
          <t>319</t>
        </is>
      </c>
      <c r="AH1526" s="7" t="inlineStr">
        <is>
          <t>3010</t>
        </is>
      </c>
    </row>
    <row r="1527" ht="10" customHeight="1">
      <c r="A1527" s="7" t="inlineStr">
        <is>
          <t>SCN</t>
        </is>
      </c>
      <c r="B1527" s="7" t="inlineStr">
        <is>
          <t>Procurement</t>
        </is>
      </c>
      <c r="D1527" s="7" t="inlineStr">
        <is>
          <t>LPD Flight II - P-35 AN/SPQ-9B Radar Set - Spares</t>
        </is>
      </c>
      <c r="E1527" s="13" t="inlineStr">
        <is>
          <t>[ALT_VIEW]</t>
        </is>
      </c>
      <c r="F1527" s="7" t="inlineStr">
        <is>
          <t>3010 / LPD Flight II</t>
        </is>
      </c>
      <c r="G1527" s="7" t="inlineStr">
        <is>
          <t>P-35</t>
        </is>
      </c>
      <c r="I1527" s="14" t="n">
        <v>1</v>
      </c>
      <c r="J1527" s="7" t="inlineStr">
        <is>
          <t>Full ship DD&amp;C</t>
        </is>
      </c>
      <c r="K1527" s="13" t="inlineStr">
        <is>
          <t>USN</t>
        </is>
      </c>
      <c r="L1527" s="7" t="inlineStr">
        <is>
          <t>Combatant Ships</t>
        </is>
      </c>
      <c r="M1527" s="7" t="inlineStr">
        <is>
          <t>Amphibious Warfare Ships</t>
        </is>
      </c>
      <c r="N1527" s="7" t="inlineStr">
        <is>
          <t>LPD</t>
        </is>
      </c>
      <c r="O1527" s="15" t="n"/>
      <c r="S1527" s="16" t="n">
        <v>455</v>
      </c>
      <c r="U1527" s="16" t="n">
        <v>455</v>
      </c>
      <c r="AC1527" s="23">
        <f>IF(OR(E1527="",E1527="[PARENT]"),"ADD",IF(E1527="[ALT_VIEW]","ALT",""))</f>
        <v/>
      </c>
      <c r="AD1527" s="21">
        <f>IF(Y1527&lt;&gt;"",Y1527,IF(U1527&lt;&gt;"",U1527,S1527))</f>
        <v/>
      </c>
      <c r="AE1527" s="21">
        <f>IF(AB1527&lt;&gt;"",AB1527,Z1527)</f>
        <v/>
      </c>
      <c r="AF1527" s="13" t="inlineStr">
        <is>
          <t>P-35 &gt; LPD Flight II &gt; AN/SPQ-9B Radar Set &gt; Spares</t>
        </is>
      </c>
      <c r="AG1527" s="7" t="inlineStr">
        <is>
          <t>319</t>
        </is>
      </c>
      <c r="AH1527" s="7" t="inlineStr">
        <is>
          <t>3010</t>
        </is>
      </c>
    </row>
    <row r="1528" ht="10" customHeight="1">
      <c r="A1528" s="7" t="inlineStr">
        <is>
          <t>SCN</t>
        </is>
      </c>
      <c r="B1528" s="7" t="inlineStr">
        <is>
          <t>Procurement</t>
        </is>
      </c>
      <c r="D1528" s="7" t="inlineStr">
        <is>
          <t>LPD Flight II - P-35 AN/SPQ-9B Radar Set - Technical Engineering Services</t>
        </is>
      </c>
      <c r="E1528" s="13" t="inlineStr">
        <is>
          <t>[ALT_VIEW]</t>
        </is>
      </c>
      <c r="F1528" s="7" t="inlineStr">
        <is>
          <t>3010 / LPD Flight II</t>
        </is>
      </c>
      <c r="G1528" s="7" t="inlineStr">
        <is>
          <t>P-35</t>
        </is>
      </c>
      <c r="I1528" s="14" t="n">
        <v>1</v>
      </c>
      <c r="J1528" s="7" t="inlineStr">
        <is>
          <t>Full ship DD&amp;C</t>
        </is>
      </c>
      <c r="K1528" s="13" t="inlineStr">
        <is>
          <t>USN</t>
        </is>
      </c>
      <c r="L1528" s="7" t="inlineStr">
        <is>
          <t>Combatant Ships</t>
        </is>
      </c>
      <c r="M1528" s="7" t="inlineStr">
        <is>
          <t>Amphibious Warfare Ships</t>
        </is>
      </c>
      <c r="N1528" s="7" t="inlineStr">
        <is>
          <t>LPD</t>
        </is>
      </c>
      <c r="O1528" s="15" t="n"/>
      <c r="S1528" s="16" t="n">
        <v>829</v>
      </c>
      <c r="U1528" s="16" t="n">
        <v>829</v>
      </c>
      <c r="AC1528" s="23">
        <f>IF(OR(E1528="",E1528="[PARENT]"),"ADD",IF(E1528="[ALT_VIEW]","ALT",""))</f>
        <v/>
      </c>
      <c r="AD1528" s="21">
        <f>IF(Y1528&lt;&gt;"",Y1528,IF(U1528&lt;&gt;"",U1528,S1528))</f>
        <v/>
      </c>
      <c r="AE1528" s="21">
        <f>IF(AB1528&lt;&gt;"",AB1528,Z1528)</f>
        <v/>
      </c>
      <c r="AF1528" s="13" t="inlineStr">
        <is>
          <t>P-35 &gt; LPD Flight II &gt; AN/SPQ-9B Radar Set &gt; Technical Engineering Services</t>
        </is>
      </c>
      <c r="AG1528" s="7" t="inlineStr">
        <is>
          <t>319</t>
        </is>
      </c>
      <c r="AH1528" s="7" t="inlineStr">
        <is>
          <t>3010</t>
        </is>
      </c>
    </row>
    <row r="1529" ht="10" customHeight="1">
      <c r="A1529" s="7" t="inlineStr">
        <is>
          <t>SCN</t>
        </is>
      </c>
      <c r="B1529" s="7" t="inlineStr">
        <is>
          <t>Procurement</t>
        </is>
      </c>
      <c r="D1529" s="7" t="inlineStr">
        <is>
          <t>LPD Flight II - P-35 AN/SPQ-9B Radar Set - Other Costs</t>
        </is>
      </c>
      <c r="E1529" s="13" t="inlineStr">
        <is>
          <t>[ALT_VIEW]</t>
        </is>
      </c>
      <c r="F1529" s="7" t="inlineStr">
        <is>
          <t>3010 / LPD Flight II</t>
        </is>
      </c>
      <c r="G1529" s="7" t="inlineStr">
        <is>
          <t>P-35</t>
        </is>
      </c>
      <c r="I1529" s="14" t="n">
        <v>1</v>
      </c>
      <c r="J1529" s="7" t="inlineStr">
        <is>
          <t>Full ship DD&amp;C</t>
        </is>
      </c>
      <c r="K1529" s="13" t="inlineStr">
        <is>
          <t>USN</t>
        </is>
      </c>
      <c r="L1529" s="7" t="inlineStr">
        <is>
          <t>Combatant Ships</t>
        </is>
      </c>
      <c r="M1529" s="7" t="inlineStr">
        <is>
          <t>Amphibious Warfare Ships</t>
        </is>
      </c>
      <c r="N1529" s="7" t="inlineStr">
        <is>
          <t>LPD</t>
        </is>
      </c>
      <c r="O1529" s="15" t="n"/>
      <c r="S1529" s="16" t="n">
        <v>907</v>
      </c>
      <c r="U1529" s="16" t="n">
        <v>907</v>
      </c>
      <c r="AC1529" s="23">
        <f>IF(OR(E1529="",E1529="[PARENT]"),"ADD",IF(E1529="[ALT_VIEW]","ALT",""))</f>
        <v/>
      </c>
      <c r="AD1529" s="21">
        <f>IF(Y1529&lt;&gt;"",Y1529,IF(U1529&lt;&gt;"",U1529,S1529))</f>
        <v/>
      </c>
      <c r="AE1529" s="21">
        <f>IF(AB1529&lt;&gt;"",AB1529,Z1529)</f>
        <v/>
      </c>
      <c r="AF1529" s="13" t="inlineStr">
        <is>
          <t>P-35 &gt; LPD Flight II &gt; AN/SPQ-9B Radar Set &gt; Other Costs</t>
        </is>
      </c>
      <c r="AG1529" s="7" t="inlineStr">
        <is>
          <t>319</t>
        </is>
      </c>
      <c r="AH1529" s="7" t="inlineStr">
        <is>
          <t>3010</t>
        </is>
      </c>
    </row>
    <row r="1530" ht="10" customHeight="1">
      <c r="A1530" s="7" t="inlineStr">
        <is>
          <t>SCN</t>
        </is>
      </c>
      <c r="B1530" s="7" t="inlineStr">
        <is>
          <t>Procurement</t>
        </is>
      </c>
      <c r="D1530" s="7" t="inlineStr">
        <is>
          <t>LPD Flight II - P-35 AN/SPQ-9B Radar Set - Documentation and Systems Engineering</t>
        </is>
      </c>
      <c r="E1530" s="13" t="inlineStr">
        <is>
          <t>[ALT_VIEW]</t>
        </is>
      </c>
      <c r="F1530" s="7" t="inlineStr">
        <is>
          <t>3010 / LPD Flight II</t>
        </is>
      </c>
      <c r="G1530" s="7" t="inlineStr">
        <is>
          <t>P-35</t>
        </is>
      </c>
      <c r="I1530" s="14" t="n">
        <v>1</v>
      </c>
      <c r="J1530" s="7" t="inlineStr">
        <is>
          <t>Full ship DD&amp;C</t>
        </is>
      </c>
      <c r="K1530" s="13" t="inlineStr">
        <is>
          <t>USN</t>
        </is>
      </c>
      <c r="L1530" s="7" t="inlineStr">
        <is>
          <t>Combatant Ships</t>
        </is>
      </c>
      <c r="M1530" s="7" t="inlineStr">
        <is>
          <t>Amphibious Warfare Ships</t>
        </is>
      </c>
      <c r="N1530" s="7" t="inlineStr">
        <is>
          <t>LPD</t>
        </is>
      </c>
      <c r="O1530" s="15" t="n"/>
      <c r="S1530" s="16" t="n">
        <v>586</v>
      </c>
      <c r="U1530" s="16" t="n">
        <v>586</v>
      </c>
      <c r="AC1530" s="23">
        <f>IF(OR(E1530="",E1530="[PARENT]"),"ADD",IF(E1530="[ALT_VIEW]","ALT",""))</f>
        <v/>
      </c>
      <c r="AD1530" s="21">
        <f>IF(Y1530&lt;&gt;"",Y1530,IF(U1530&lt;&gt;"",U1530,S1530))</f>
        <v/>
      </c>
      <c r="AE1530" s="21">
        <f>IF(AB1530&lt;&gt;"",AB1530,Z1530)</f>
        <v/>
      </c>
      <c r="AF1530" s="13" t="inlineStr">
        <is>
          <t>P-35 &gt; LPD Flight II &gt; AN/SPQ-9B Radar Set &gt; Documentation and Systems Engineering</t>
        </is>
      </c>
      <c r="AG1530" s="7" t="inlineStr">
        <is>
          <t>319</t>
        </is>
      </c>
      <c r="AH1530" s="7" t="inlineStr">
        <is>
          <t>3010</t>
        </is>
      </c>
    </row>
    <row r="1531" ht="10" customHeight="1">
      <c r="A1531" s="7" t="inlineStr">
        <is>
          <t>SCN</t>
        </is>
      </c>
      <c r="B1531" s="7" t="inlineStr">
        <is>
          <t>Procurement</t>
        </is>
      </c>
      <c r="D1531" s="7" t="inlineStr">
        <is>
          <t>LPD Flight II - P-35 EASR - Major Hardware                                                                                                                                              1</t>
        </is>
      </c>
      <c r="E1531" s="13" t="inlineStr">
        <is>
          <t>[ALT_VIEW]</t>
        </is>
      </c>
      <c r="F1531" s="7" t="inlineStr">
        <is>
          <t>3010 / LPD Flight II</t>
        </is>
      </c>
      <c r="G1531" s="7" t="inlineStr">
        <is>
          <t>P-35</t>
        </is>
      </c>
      <c r="I1531" s="14" t="n">
        <v>1</v>
      </c>
      <c r="J1531" s="7" t="inlineStr">
        <is>
          <t>Full ship DD&amp;C</t>
        </is>
      </c>
      <c r="K1531" s="13" t="inlineStr">
        <is>
          <t>USN</t>
        </is>
      </c>
      <c r="L1531" s="7" t="inlineStr">
        <is>
          <t>Combatant Ships</t>
        </is>
      </c>
      <c r="M1531" s="7" t="inlineStr">
        <is>
          <t>Amphibious Warfare Ships</t>
        </is>
      </c>
      <c r="N1531" s="7" t="inlineStr">
        <is>
          <t>LPD</t>
        </is>
      </c>
      <c r="O1531" s="15" t="n"/>
      <c r="S1531" s="16" t="n">
        <v>26879</v>
      </c>
      <c r="U1531" s="16" t="n">
        <v>26879</v>
      </c>
      <c r="AC1531" s="23">
        <f>IF(OR(E1531="",E1531="[PARENT]"),"ADD",IF(E1531="[ALT_VIEW]","ALT",""))</f>
        <v/>
      </c>
      <c r="AD1531" s="21">
        <f>IF(Y1531&lt;&gt;"",Y1531,IF(U1531&lt;&gt;"",U1531,S1531))</f>
        <v/>
      </c>
      <c r="AE1531" s="21">
        <f>IF(AB1531&lt;&gt;"",AB1531,Z1531)</f>
        <v/>
      </c>
      <c r="AF1531" s="13" t="inlineStr">
        <is>
          <t>P-35 &gt; LPD Flight II &gt; EASR &gt; Major Hardware                                                                                                                                              1</t>
        </is>
      </c>
      <c r="AG1531" s="7" t="inlineStr">
        <is>
          <t>320</t>
        </is>
      </c>
      <c r="AH1531" s="7" t="inlineStr">
        <is>
          <t>3010</t>
        </is>
      </c>
    </row>
    <row r="1532" ht="10" customHeight="1">
      <c r="A1532" s="7" t="inlineStr">
        <is>
          <t>SCN</t>
        </is>
      </c>
      <c r="B1532" s="7" t="inlineStr">
        <is>
          <t>Procurement</t>
        </is>
      </c>
      <c r="D1532" s="7" t="inlineStr">
        <is>
          <t>LPD Flight II - P-35 EASR - Spares</t>
        </is>
      </c>
      <c r="E1532" s="13" t="inlineStr">
        <is>
          <t>[ALT_VIEW]</t>
        </is>
      </c>
      <c r="F1532" s="7" t="inlineStr">
        <is>
          <t>3010 / LPD Flight II</t>
        </is>
      </c>
      <c r="G1532" s="7" t="inlineStr">
        <is>
          <t>P-35</t>
        </is>
      </c>
      <c r="I1532" s="14" t="n">
        <v>1</v>
      </c>
      <c r="J1532" s="7" t="inlineStr">
        <is>
          <t>Full ship DD&amp;C</t>
        </is>
      </c>
      <c r="K1532" s="13" t="inlineStr">
        <is>
          <t>USN</t>
        </is>
      </c>
      <c r="L1532" s="7" t="inlineStr">
        <is>
          <t>Combatant Ships</t>
        </is>
      </c>
      <c r="M1532" s="7" t="inlineStr">
        <is>
          <t>Amphibious Warfare Ships</t>
        </is>
      </c>
      <c r="N1532" s="7" t="inlineStr">
        <is>
          <t>LPD</t>
        </is>
      </c>
      <c r="O1532" s="15" t="n"/>
      <c r="S1532" s="16" t="n">
        <v>1279</v>
      </c>
      <c r="U1532" s="16" t="n">
        <v>1279</v>
      </c>
      <c r="AC1532" s="23">
        <f>IF(OR(E1532="",E1532="[PARENT]"),"ADD",IF(E1532="[ALT_VIEW]","ALT",""))</f>
        <v/>
      </c>
      <c r="AD1532" s="21">
        <f>IF(Y1532&lt;&gt;"",Y1532,IF(U1532&lt;&gt;"",U1532,S1532))</f>
        <v/>
      </c>
      <c r="AE1532" s="21">
        <f>IF(AB1532&lt;&gt;"",AB1532,Z1532)</f>
        <v/>
      </c>
      <c r="AF1532" s="13" t="inlineStr">
        <is>
          <t>P-35 &gt; LPD Flight II &gt; EASR &gt; Spares</t>
        </is>
      </c>
      <c r="AG1532" s="7" t="inlineStr">
        <is>
          <t>320</t>
        </is>
      </c>
      <c r="AH1532" s="7" t="inlineStr">
        <is>
          <t>3010</t>
        </is>
      </c>
    </row>
    <row r="1533" ht="10" customHeight="1">
      <c r="A1533" s="7" t="inlineStr">
        <is>
          <t>SCN</t>
        </is>
      </c>
      <c r="B1533" s="7" t="inlineStr">
        <is>
          <t>Procurement</t>
        </is>
      </c>
      <c r="D1533" s="7" t="inlineStr">
        <is>
          <t>LPD Flight II - P-35 EASR - Technical Engineering Services</t>
        </is>
      </c>
      <c r="E1533" s="13" t="inlineStr">
        <is>
          <t>[ALT_VIEW]</t>
        </is>
      </c>
      <c r="F1533" s="7" t="inlineStr">
        <is>
          <t>3010 / LPD Flight II</t>
        </is>
      </c>
      <c r="G1533" s="7" t="inlineStr">
        <is>
          <t>P-35</t>
        </is>
      </c>
      <c r="I1533" s="14" t="n">
        <v>1</v>
      </c>
      <c r="J1533" s="7" t="inlineStr">
        <is>
          <t>Full ship DD&amp;C</t>
        </is>
      </c>
      <c r="K1533" s="13" t="inlineStr">
        <is>
          <t>USN</t>
        </is>
      </c>
      <c r="L1533" s="7" t="inlineStr">
        <is>
          <t>Combatant Ships</t>
        </is>
      </c>
      <c r="M1533" s="7" t="inlineStr">
        <is>
          <t>Amphibious Warfare Ships</t>
        </is>
      </c>
      <c r="N1533" s="7" t="inlineStr">
        <is>
          <t>LPD</t>
        </is>
      </c>
      <c r="O1533" s="15" t="n"/>
      <c r="S1533" s="16" t="n">
        <v>3815</v>
      </c>
      <c r="U1533" s="16" t="n">
        <v>3815</v>
      </c>
      <c r="AC1533" s="23">
        <f>IF(OR(E1533="",E1533="[PARENT]"),"ADD",IF(E1533="[ALT_VIEW]","ALT",""))</f>
        <v/>
      </c>
      <c r="AD1533" s="21">
        <f>IF(Y1533&lt;&gt;"",Y1533,IF(U1533&lt;&gt;"",U1533,S1533))</f>
        <v/>
      </c>
      <c r="AE1533" s="21">
        <f>IF(AB1533&lt;&gt;"",AB1533,Z1533)</f>
        <v/>
      </c>
      <c r="AF1533" s="13" t="inlineStr">
        <is>
          <t>P-35 &gt; LPD Flight II &gt; EASR &gt; Technical Engineering Services</t>
        </is>
      </c>
      <c r="AG1533" s="7" t="inlineStr">
        <is>
          <t>320</t>
        </is>
      </c>
      <c r="AH1533" s="7" t="inlineStr">
        <is>
          <t>3010</t>
        </is>
      </c>
    </row>
    <row r="1534" ht="10" customHeight="1">
      <c r="A1534" s="7" t="inlineStr">
        <is>
          <t>SCN</t>
        </is>
      </c>
      <c r="B1534" s="7" t="inlineStr">
        <is>
          <t>Procurement</t>
        </is>
      </c>
      <c r="D1534" s="7" t="inlineStr">
        <is>
          <t>LPD Flight II - P-35 EASR - Other Costs</t>
        </is>
      </c>
      <c r="E1534" s="13" t="inlineStr">
        <is>
          <t>[ALT_VIEW]</t>
        </is>
      </c>
      <c r="F1534" s="7" t="inlineStr">
        <is>
          <t>3010 / LPD Flight II</t>
        </is>
      </c>
      <c r="G1534" s="7" t="inlineStr">
        <is>
          <t>P-35</t>
        </is>
      </c>
      <c r="I1534" s="14" t="n">
        <v>1</v>
      </c>
      <c r="J1534" s="7" t="inlineStr">
        <is>
          <t>Full ship DD&amp;C</t>
        </is>
      </c>
      <c r="K1534" s="13" t="inlineStr">
        <is>
          <t>USN</t>
        </is>
      </c>
      <c r="L1534" s="7" t="inlineStr">
        <is>
          <t>Combatant Ships</t>
        </is>
      </c>
      <c r="M1534" s="7" t="inlineStr">
        <is>
          <t>Amphibious Warfare Ships</t>
        </is>
      </c>
      <c r="N1534" s="7" t="inlineStr">
        <is>
          <t>LPD</t>
        </is>
      </c>
      <c r="O1534" s="15" t="n"/>
      <c r="S1534" s="16" t="n">
        <v>7533</v>
      </c>
      <c r="U1534" s="16" t="n">
        <v>7533</v>
      </c>
      <c r="AC1534" s="23">
        <f>IF(OR(E1534="",E1534="[PARENT]"),"ADD",IF(E1534="[ALT_VIEW]","ALT",""))</f>
        <v/>
      </c>
      <c r="AD1534" s="21">
        <f>IF(Y1534&lt;&gt;"",Y1534,IF(U1534&lt;&gt;"",U1534,S1534))</f>
        <v/>
      </c>
      <c r="AE1534" s="21">
        <f>IF(AB1534&lt;&gt;"",AB1534,Z1534)</f>
        <v/>
      </c>
      <c r="AF1534" s="13" t="inlineStr">
        <is>
          <t>P-35 &gt; LPD Flight II &gt; EASR &gt; Other Costs</t>
        </is>
      </c>
      <c r="AG1534" s="7" t="inlineStr">
        <is>
          <t>320</t>
        </is>
      </c>
      <c r="AH1534" s="7" t="inlineStr">
        <is>
          <t>3010</t>
        </is>
      </c>
    </row>
    <row r="1535" ht="10" customHeight="1">
      <c r="A1535" s="7" t="inlineStr">
        <is>
          <t>SCN</t>
        </is>
      </c>
      <c r="B1535" s="7" t="inlineStr">
        <is>
          <t>Procurement</t>
        </is>
      </c>
      <c r="D1535" s="7" t="inlineStr">
        <is>
          <t>LPD Flight II - P-35 EASR - Documentation and Systems Engineering</t>
        </is>
      </c>
      <c r="E1535" s="13" t="inlineStr">
        <is>
          <t>[ALT_VIEW]</t>
        </is>
      </c>
      <c r="F1535" s="7" t="inlineStr">
        <is>
          <t>3010 / LPD Flight II</t>
        </is>
      </c>
      <c r="G1535" s="7" t="inlineStr">
        <is>
          <t>P-35</t>
        </is>
      </c>
      <c r="I1535" s="14" t="n">
        <v>1</v>
      </c>
      <c r="J1535" s="7" t="inlineStr">
        <is>
          <t>Full ship DD&amp;C</t>
        </is>
      </c>
      <c r="K1535" s="13" t="inlineStr">
        <is>
          <t>USN</t>
        </is>
      </c>
      <c r="L1535" s="7" t="inlineStr">
        <is>
          <t>Combatant Ships</t>
        </is>
      </c>
      <c r="M1535" s="7" t="inlineStr">
        <is>
          <t>Amphibious Warfare Ships</t>
        </is>
      </c>
      <c r="N1535" s="7" t="inlineStr">
        <is>
          <t>LPD</t>
        </is>
      </c>
      <c r="O1535" s="15" t="n"/>
      <c r="S1535" s="16" t="n">
        <v>1498</v>
      </c>
      <c r="U1535" s="16" t="n">
        <v>1498</v>
      </c>
      <c r="AC1535" s="23">
        <f>IF(OR(E1535="",E1535="[PARENT]"),"ADD",IF(E1535="[ALT_VIEW]","ALT",""))</f>
        <v/>
      </c>
      <c r="AD1535" s="21">
        <f>IF(Y1535&lt;&gt;"",Y1535,IF(U1535&lt;&gt;"",U1535,S1535))</f>
        <v/>
      </c>
      <c r="AE1535" s="21">
        <f>IF(AB1535&lt;&gt;"",AB1535,Z1535)</f>
        <v/>
      </c>
      <c r="AF1535" s="13" t="inlineStr">
        <is>
          <t>P-35 &gt; LPD Flight II &gt; EASR &gt; Documentation and Systems Engineering</t>
        </is>
      </c>
      <c r="AG1535" s="7" t="inlineStr">
        <is>
          <t>320</t>
        </is>
      </c>
      <c r="AH1535" s="7" t="inlineStr">
        <is>
          <t>3010</t>
        </is>
      </c>
    </row>
    <row r="1536" ht="10" customHeight="1">
      <c r="A1536" s="7" t="inlineStr">
        <is>
          <t>SCN</t>
        </is>
      </c>
      <c r="B1536" s="7" t="inlineStr">
        <is>
          <t>Procurement</t>
        </is>
      </c>
      <c r="D1536" s="7" t="inlineStr">
        <is>
          <t>LPD Flight II - P-10 - Ordnance                                                                                    -               -</t>
        </is>
      </c>
      <c r="E1536" s="13" t="inlineStr">
        <is>
          <t>[SUB]</t>
        </is>
      </c>
      <c r="F1536" s="7" t="inlineStr">
        <is>
          <t>3010 / LPD Flight II AP</t>
        </is>
      </c>
      <c r="I1536" s="14" t="n">
        <v>1</v>
      </c>
      <c r="J1536" s="7" t="inlineStr">
        <is>
          <t>Advance procurement / LLTM</t>
        </is>
      </c>
      <c r="K1536" s="13" t="inlineStr">
        <is>
          <t>USN</t>
        </is>
      </c>
      <c r="L1536" s="7" t="inlineStr">
        <is>
          <t>Combatant Ships</t>
        </is>
      </c>
      <c r="M1536" s="7" t="inlineStr">
        <is>
          <t>Amphibious Warfare Ships</t>
        </is>
      </c>
      <c r="N1536" s="7" t="inlineStr">
        <is>
          <t>LPD</t>
        </is>
      </c>
      <c r="O1536" s="15" t="n"/>
      <c r="P1536" s="16" t="n">
        <v>34000</v>
      </c>
      <c r="S1536" s="16" t="n">
        <v>0</v>
      </c>
      <c r="U1536" s="16" t="n">
        <v>0</v>
      </c>
      <c r="AC1536" s="23">
        <f>IF(OR(E1536="",E1536="[PARENT]"),"ADD",IF(E1536="[ALT_VIEW]","ALT",""))</f>
        <v/>
      </c>
      <c r="AD1536" s="21">
        <f>IF(Y1536&lt;&gt;"",Y1536,IF(U1536&lt;&gt;"",U1536,S1536))</f>
        <v/>
      </c>
      <c r="AE1536" s="21">
        <f>IF(AB1536&lt;&gt;"",AB1536,Z1536)</f>
        <v/>
      </c>
      <c r="AF1536" s="13" t="inlineStr">
        <is>
          <t>P-10 &gt; LPD Flight II &gt; Ordnance                                                                                    -               -</t>
        </is>
      </c>
      <c r="AG1536" s="7" t="inlineStr">
        <is>
          <t>321</t>
        </is>
      </c>
      <c r="AH1536" s="7" t="inlineStr">
        <is>
          <t>3010</t>
        </is>
      </c>
      <c r="AJ1536" s="7" t="inlineStr">
        <is>
          <t>Ordnance</t>
        </is>
      </c>
    </row>
    <row r="1537" ht="10" customHeight="1">
      <c r="A1537" s="7" t="inlineStr">
        <is>
          <t>SCN</t>
        </is>
      </c>
      <c r="B1537" s="7" t="inlineStr">
        <is>
          <t>Procurement</t>
        </is>
      </c>
      <c r="D1537" s="7" t="inlineStr">
        <is>
          <t>LPD Flight II - P-10 - HM&amp;E                                                                                        -               -</t>
        </is>
      </c>
      <c r="E1537" s="13" t="inlineStr">
        <is>
          <t>[SUB]</t>
        </is>
      </c>
      <c r="F1537" s="7" t="inlineStr">
        <is>
          <t>3010 / LPD Flight II AP</t>
        </is>
      </c>
      <c r="I1537" s="14" t="n">
        <v>1</v>
      </c>
      <c r="J1537" s="7" t="inlineStr">
        <is>
          <t>Advance procurement / LLTM</t>
        </is>
      </c>
      <c r="K1537" s="13" t="inlineStr">
        <is>
          <t>USN</t>
        </is>
      </c>
      <c r="L1537" s="7" t="inlineStr">
        <is>
          <t>Combatant Ships</t>
        </is>
      </c>
      <c r="M1537" s="7" t="inlineStr">
        <is>
          <t>Amphibious Warfare Ships</t>
        </is>
      </c>
      <c r="N1537" s="7" t="inlineStr">
        <is>
          <t>LPD</t>
        </is>
      </c>
      <c r="O1537" s="15" t="n"/>
      <c r="P1537" s="16" t="n">
        <v>473</v>
      </c>
      <c r="S1537" s="16" t="n">
        <v>0</v>
      </c>
      <c r="U1537" s="16" t="n">
        <v>0</v>
      </c>
      <c r="AC1537" s="23">
        <f>IF(OR(E1537="",E1537="[PARENT]"),"ADD",IF(E1537="[ALT_VIEW]","ALT",""))</f>
        <v/>
      </c>
      <c r="AD1537" s="21">
        <f>IF(Y1537&lt;&gt;"",Y1537,IF(U1537&lt;&gt;"",U1537,S1537))</f>
        <v/>
      </c>
      <c r="AE1537" s="21">
        <f>IF(AB1537&lt;&gt;"",AB1537,Z1537)</f>
        <v/>
      </c>
      <c r="AF1537" s="13" t="inlineStr">
        <is>
          <t>P-10 &gt; LPD Flight II &gt; HM&amp;E                                                                                        -               -</t>
        </is>
      </c>
      <c r="AG1537" s="7" t="inlineStr">
        <is>
          <t>321</t>
        </is>
      </c>
      <c r="AH1537" s="7" t="inlineStr">
        <is>
          <t>3010</t>
        </is>
      </c>
      <c r="AJ1537" s="7" t="inlineStr">
        <is>
          <t>HM&amp;E</t>
        </is>
      </c>
    </row>
    <row r="1538" ht="10" customHeight="1">
      <c r="A1538" s="7" t="inlineStr">
        <is>
          <t>SCN</t>
        </is>
      </c>
      <c r="B1538" s="7" t="inlineStr">
        <is>
          <t>Procurement</t>
        </is>
      </c>
      <c r="D1538" s="7" t="inlineStr">
        <is>
          <t>LPD Flight II - P-10 - Electronics                                                                                 -               -</t>
        </is>
      </c>
      <c r="E1538" s="13" t="inlineStr">
        <is>
          <t>[SUB]</t>
        </is>
      </c>
      <c r="F1538" s="7" t="inlineStr">
        <is>
          <t>3010 / LPD Flight II AP</t>
        </is>
      </c>
      <c r="I1538" s="14" t="n">
        <v>1</v>
      </c>
      <c r="J1538" s="7" t="inlineStr">
        <is>
          <t>Advance procurement / LLTM</t>
        </is>
      </c>
      <c r="K1538" s="13" t="inlineStr">
        <is>
          <t>USN</t>
        </is>
      </c>
      <c r="L1538" s="7" t="inlineStr">
        <is>
          <t>Combatant Ships</t>
        </is>
      </c>
      <c r="M1538" s="7" t="inlineStr">
        <is>
          <t>Amphibious Warfare Ships</t>
        </is>
      </c>
      <c r="N1538" s="7" t="inlineStr">
        <is>
          <t>LPD</t>
        </is>
      </c>
      <c r="O1538" s="15" t="n"/>
      <c r="P1538" s="16" t="n">
        <v>15527</v>
      </c>
      <c r="S1538" s="16" t="n">
        <v>0</v>
      </c>
      <c r="U1538" s="16" t="n">
        <v>0</v>
      </c>
      <c r="AC1538" s="23">
        <f>IF(OR(E1538="",E1538="[PARENT]"),"ADD",IF(E1538="[ALT_VIEW]","ALT",""))</f>
        <v/>
      </c>
      <c r="AD1538" s="21">
        <f>IF(Y1538&lt;&gt;"",Y1538,IF(U1538&lt;&gt;"",U1538,S1538))</f>
        <v/>
      </c>
      <c r="AE1538" s="21">
        <f>IF(AB1538&lt;&gt;"",AB1538,Z1538)</f>
        <v/>
      </c>
      <c r="AF1538" s="13" t="inlineStr">
        <is>
          <t>P-10 &gt; LPD Flight II &gt; Electronics                                                                                 -               -</t>
        </is>
      </c>
      <c r="AG1538" s="7" t="inlineStr">
        <is>
          <t>321</t>
        </is>
      </c>
      <c r="AH1538" s="7" t="inlineStr">
        <is>
          <t>3010</t>
        </is>
      </c>
      <c r="AJ1538" s="7" t="inlineStr">
        <is>
          <t>Electronics</t>
        </is>
      </c>
    </row>
    <row r="1539" ht="10" customHeight="1">
      <c r="A1539" s="7" t="inlineStr">
        <is>
          <t>SCN</t>
        </is>
      </c>
      <c r="B1539" s="7" t="inlineStr">
        <is>
          <t>Procurement</t>
        </is>
      </c>
      <c r="D1539" s="7" t="inlineStr">
        <is>
          <t>LPD Flight II - P-10 - Basic Construction                                                                          -               -</t>
        </is>
      </c>
      <c r="E1539" s="13" t="inlineStr">
        <is>
          <t>[SUB]</t>
        </is>
      </c>
      <c r="F1539" s="7" t="inlineStr">
        <is>
          <t>3010 / LPD Flight II AP</t>
        </is>
      </c>
      <c r="I1539" s="14" t="n">
        <v>1</v>
      </c>
      <c r="J1539" s="7" t="inlineStr">
        <is>
          <t>Advance procurement / LLTM</t>
        </is>
      </c>
      <c r="K1539" s="13" t="inlineStr">
        <is>
          <t>USN</t>
        </is>
      </c>
      <c r="L1539" s="7" t="inlineStr">
        <is>
          <t>Combatant Ships</t>
        </is>
      </c>
      <c r="M1539" s="7" t="inlineStr">
        <is>
          <t>Amphibious Warfare Ships</t>
        </is>
      </c>
      <c r="N1539" s="7" t="inlineStr">
        <is>
          <t>LPD</t>
        </is>
      </c>
      <c r="O1539" s="15" t="n"/>
      <c r="P1539" s="16" t="n">
        <v>450000</v>
      </c>
      <c r="S1539" s="16" t="n">
        <v>0</v>
      </c>
      <c r="U1539" s="16" t="n">
        <v>0</v>
      </c>
      <c r="AC1539" s="23">
        <f>IF(OR(E1539="",E1539="[PARENT]"),"ADD",IF(E1539="[ALT_VIEW]","ALT",""))</f>
        <v/>
      </c>
      <c r="AD1539" s="21">
        <f>IF(Y1539&lt;&gt;"",Y1539,IF(U1539&lt;&gt;"",U1539,S1539))</f>
        <v/>
      </c>
      <c r="AE1539" s="21">
        <f>IF(AB1539&lt;&gt;"",AB1539,Z1539)</f>
        <v/>
      </c>
      <c r="AF1539" s="13" t="inlineStr">
        <is>
          <t>P-10 &gt; LPD Flight II &gt; Basic Construction                                                                          -               -</t>
        </is>
      </c>
      <c r="AG1539" s="7" t="inlineStr">
        <is>
          <t>321</t>
        </is>
      </c>
      <c r="AH1539" s="7" t="inlineStr">
        <is>
          <t>3010</t>
        </is>
      </c>
      <c r="AJ1539" s="7" t="inlineStr">
        <is>
          <t>Basic Construction</t>
        </is>
      </c>
    </row>
    <row r="1540" ht="10" customHeight="1">
      <c r="A1540" s="7" t="inlineStr">
        <is>
          <t>SCN</t>
        </is>
      </c>
      <c r="B1540" s="7" t="inlineStr">
        <is>
          <t>Procurement</t>
        </is>
      </c>
      <c r="D1540" s="7" t="inlineStr">
        <is>
          <t>LPD Flight II - P-10 - Ordnance                                                                                      -                  -                -                                    -</t>
        </is>
      </c>
      <c r="E1540" s="13" t="inlineStr">
        <is>
          <t>[SUB]</t>
        </is>
      </c>
      <c r="F1540" s="7" t="inlineStr">
        <is>
          <t>3010 / LPD Flight II AP</t>
        </is>
      </c>
      <c r="I1540" s="14" t="n">
        <v>1</v>
      </c>
      <c r="J1540" s="7" t="inlineStr">
        <is>
          <t>Advance procurement / LLTM</t>
        </is>
      </c>
      <c r="K1540" s="13" t="inlineStr">
        <is>
          <t>USN</t>
        </is>
      </c>
      <c r="L1540" s="7" t="inlineStr">
        <is>
          <t>Combatant Ships</t>
        </is>
      </c>
      <c r="M1540" s="7" t="inlineStr">
        <is>
          <t>Amphibious Warfare Ships</t>
        </is>
      </c>
      <c r="N1540" s="7" t="inlineStr">
        <is>
          <t>LPD</t>
        </is>
      </c>
      <c r="O1540" s="15" t="n"/>
      <c r="P1540" s="16" t="n">
        <v>0</v>
      </c>
      <c r="AC1540" s="23">
        <f>IF(OR(E1540="",E1540="[PARENT]"),"ADD",IF(E1540="[ALT_VIEW]","ALT",""))</f>
        <v/>
      </c>
      <c r="AD1540" s="21">
        <f>IF(Y1540&lt;&gt;"",Y1540,IF(U1540&lt;&gt;"",U1540,S1540))</f>
        <v/>
      </c>
      <c r="AE1540" s="21">
        <f>IF(AB1540&lt;&gt;"",AB1540,Z1540)</f>
        <v/>
      </c>
      <c r="AF1540" s="13" t="inlineStr">
        <is>
          <t>P-10 &gt; LPD Flight II &gt; Ordnance                                                                                      -                  -                -                                    -</t>
        </is>
      </c>
      <c r="AG1540" s="7" t="inlineStr">
        <is>
          <t>322</t>
        </is>
      </c>
      <c r="AH1540" s="7" t="inlineStr">
        <is>
          <t>3010</t>
        </is>
      </c>
    </row>
    <row r="1541" ht="10" customHeight="1">
      <c r="A1541" s="7" t="inlineStr">
        <is>
          <t>SCN</t>
        </is>
      </c>
      <c r="B1541" s="7" t="inlineStr">
        <is>
          <t>Procurement</t>
        </is>
      </c>
      <c r="D1541" s="7" t="inlineStr">
        <is>
          <t>LPD Flight II - P-10 - HM&amp;E                                                                                          -                  -                -                                    -</t>
        </is>
      </c>
      <c r="E1541" s="13" t="inlineStr">
        <is>
          <t>[SUB]</t>
        </is>
      </c>
      <c r="F1541" s="7" t="inlineStr">
        <is>
          <t>3010 / LPD Flight II AP</t>
        </is>
      </c>
      <c r="I1541" s="14" t="n">
        <v>1</v>
      </c>
      <c r="J1541" s="7" t="inlineStr">
        <is>
          <t>Advance procurement / LLTM</t>
        </is>
      </c>
      <c r="K1541" s="13" t="inlineStr">
        <is>
          <t>USN</t>
        </is>
      </c>
      <c r="L1541" s="7" t="inlineStr">
        <is>
          <t>Combatant Ships</t>
        </is>
      </c>
      <c r="M1541" s="7" t="inlineStr">
        <is>
          <t>Amphibious Warfare Ships</t>
        </is>
      </c>
      <c r="N1541" s="7" t="inlineStr">
        <is>
          <t>LPD</t>
        </is>
      </c>
      <c r="O1541" s="15" t="n"/>
      <c r="P1541" s="16" t="n">
        <v>0</v>
      </c>
      <c r="AC1541" s="23">
        <f>IF(OR(E1541="",E1541="[PARENT]"),"ADD",IF(E1541="[ALT_VIEW]","ALT",""))</f>
        <v/>
      </c>
      <c r="AD1541" s="21">
        <f>IF(Y1541&lt;&gt;"",Y1541,IF(U1541&lt;&gt;"",U1541,S1541))</f>
        <v/>
      </c>
      <c r="AE1541" s="21">
        <f>IF(AB1541&lt;&gt;"",AB1541,Z1541)</f>
        <v/>
      </c>
      <c r="AF1541" s="13" t="inlineStr">
        <is>
          <t>P-10 &gt; LPD Flight II &gt; HM&amp;E                                                                                          -                  -                -                                    -</t>
        </is>
      </c>
      <c r="AG1541" s="7" t="inlineStr">
        <is>
          <t>322</t>
        </is>
      </c>
      <c r="AH1541" s="7" t="inlineStr">
        <is>
          <t>3010</t>
        </is>
      </c>
    </row>
    <row r="1542" ht="10" customHeight="1">
      <c r="A1542" s="7" t="inlineStr">
        <is>
          <t>SCN</t>
        </is>
      </c>
      <c r="B1542" s="7" t="inlineStr">
        <is>
          <t>Procurement</t>
        </is>
      </c>
      <c r="D1542" s="7" t="inlineStr">
        <is>
          <t>LPD Flight II - P-10 - Electronics                                                                                   -                  -                -                                    -</t>
        </is>
      </c>
      <c r="E1542" s="13" t="inlineStr">
        <is>
          <t>[SUB]</t>
        </is>
      </c>
      <c r="F1542" s="7" t="inlineStr">
        <is>
          <t>3010 / LPD Flight II AP</t>
        </is>
      </c>
      <c r="I1542" s="14" t="n">
        <v>1</v>
      </c>
      <c r="J1542" s="7" t="inlineStr">
        <is>
          <t>Advance procurement / LLTM</t>
        </is>
      </c>
      <c r="K1542" s="13" t="inlineStr">
        <is>
          <t>USN</t>
        </is>
      </c>
      <c r="L1542" s="7" t="inlineStr">
        <is>
          <t>Combatant Ships</t>
        </is>
      </c>
      <c r="M1542" s="7" t="inlineStr">
        <is>
          <t>Amphibious Warfare Ships</t>
        </is>
      </c>
      <c r="N1542" s="7" t="inlineStr">
        <is>
          <t>LPD</t>
        </is>
      </c>
      <c r="O1542" s="15" t="n"/>
      <c r="P1542" s="16" t="n">
        <v>0</v>
      </c>
      <c r="AC1542" s="23">
        <f>IF(OR(E1542="",E1542="[PARENT]"),"ADD",IF(E1542="[ALT_VIEW]","ALT",""))</f>
        <v/>
      </c>
      <c r="AD1542" s="21">
        <f>IF(Y1542&lt;&gt;"",Y1542,IF(U1542&lt;&gt;"",U1542,S1542))</f>
        <v/>
      </c>
      <c r="AE1542" s="21">
        <f>IF(AB1542&lt;&gt;"",AB1542,Z1542)</f>
        <v/>
      </c>
      <c r="AF1542" s="13" t="inlineStr">
        <is>
          <t>P-10 &gt; LPD Flight II &gt; Electronics                                                                                   -                  -                -                                    -</t>
        </is>
      </c>
      <c r="AG1542" s="7" t="inlineStr">
        <is>
          <t>322</t>
        </is>
      </c>
      <c r="AH1542" s="7" t="inlineStr">
        <is>
          <t>3010</t>
        </is>
      </c>
    </row>
    <row r="1543" ht="10" customHeight="1">
      <c r="A1543" s="7" t="inlineStr">
        <is>
          <t>SCN</t>
        </is>
      </c>
      <c r="B1543" s="7" t="inlineStr">
        <is>
          <t>Procurement</t>
        </is>
      </c>
      <c r="D1543" s="7" t="inlineStr">
        <is>
          <t>LPD Flight II - P-10 - Basic Construction                                                                            -                  -                -                                    -</t>
        </is>
      </c>
      <c r="E1543" s="13" t="inlineStr">
        <is>
          <t>[SUB]</t>
        </is>
      </c>
      <c r="F1543" s="7" t="inlineStr">
        <is>
          <t>3010 / LPD Flight II AP</t>
        </is>
      </c>
      <c r="I1543" s="14" t="n">
        <v>1</v>
      </c>
      <c r="J1543" s="7" t="inlineStr">
        <is>
          <t>Advance procurement / LLTM</t>
        </is>
      </c>
      <c r="K1543" s="13" t="inlineStr">
        <is>
          <t>USN</t>
        </is>
      </c>
      <c r="L1543" s="7" t="inlineStr">
        <is>
          <t>Combatant Ships</t>
        </is>
      </c>
      <c r="M1543" s="7" t="inlineStr">
        <is>
          <t>Amphibious Warfare Ships</t>
        </is>
      </c>
      <c r="N1543" s="7" t="inlineStr">
        <is>
          <t>LPD</t>
        </is>
      </c>
      <c r="O1543" s="15" t="n"/>
      <c r="P1543" s="16" t="n">
        <v>0</v>
      </c>
      <c r="AC1543" s="23">
        <f>IF(OR(E1543="",E1543="[PARENT]"),"ADD",IF(E1543="[ALT_VIEW]","ALT",""))</f>
        <v/>
      </c>
      <c r="AD1543" s="21">
        <f>IF(Y1543&lt;&gt;"",Y1543,IF(U1543&lt;&gt;"",U1543,S1543))</f>
        <v/>
      </c>
      <c r="AE1543" s="21">
        <f>IF(AB1543&lt;&gt;"",AB1543,Z1543)</f>
        <v/>
      </c>
      <c r="AF1543" s="13" t="inlineStr">
        <is>
          <t>P-10 &gt; LPD Flight II &gt; Basic Construction                                                                            -                  -                -                                    -</t>
        </is>
      </c>
      <c r="AG1543" s="7" t="inlineStr">
        <is>
          <t>322</t>
        </is>
      </c>
      <c r="AH1543" s="7" t="inlineStr">
        <is>
          <t>3010</t>
        </is>
      </c>
    </row>
    <row r="1544" ht="10" customHeight="1">
      <c r="A1544" s="7" t="inlineStr">
        <is>
          <t>SCN</t>
        </is>
      </c>
      <c r="B1544" s="7" t="inlineStr">
        <is>
          <t>Procurement</t>
        </is>
      </c>
      <c r="D1544" s="7" t="inlineStr">
        <is>
          <t>LHA Replacement - P-5c - Plan Costs</t>
        </is>
      </c>
      <c r="E1544" s="13" t="inlineStr">
        <is>
          <t>[ALT_VIEW]</t>
        </is>
      </c>
      <c r="F1544" s="7" t="inlineStr">
        <is>
          <t>3041 / LHA Replacement AP</t>
        </is>
      </c>
      <c r="G1544" s="7" t="inlineStr">
        <is>
          <t>P-5c</t>
        </is>
      </c>
      <c r="H1544" s="7" t="inlineStr">
        <is>
          <t>Plan Costs</t>
        </is>
      </c>
      <c r="I1544" s="14" t="n">
        <v>1</v>
      </c>
      <c r="J1544" s="7" t="inlineStr">
        <is>
          <t>Advance procurement / LLTM</t>
        </is>
      </c>
      <c r="K1544" s="13" t="inlineStr">
        <is>
          <t>USN</t>
        </is>
      </c>
      <c r="L1544" s="7" t="inlineStr">
        <is>
          <t>Combatant Ships</t>
        </is>
      </c>
      <c r="M1544" s="7" t="inlineStr">
        <is>
          <t>Amphibious Warfare Ships</t>
        </is>
      </c>
      <c r="N1544" s="7" t="inlineStr">
        <is>
          <t>LHA</t>
        </is>
      </c>
      <c r="O1544" s="15" t="n"/>
      <c r="P1544" s="16" t="n">
        <v>329093</v>
      </c>
      <c r="S1544" s="16" t="n">
        <v>125000</v>
      </c>
      <c r="U1544" s="16" t="n">
        <v>125000</v>
      </c>
      <c r="AC1544" s="23">
        <f>IF(OR(E1544="",E1544="[PARENT]"),"ADD",IF(E1544="[ALT_VIEW]","ALT",""))</f>
        <v/>
      </c>
      <c r="AD1544" s="21">
        <f>IF(Y1544&lt;&gt;"",Y1544,IF(U1544&lt;&gt;"",U1544,S1544))</f>
        <v/>
      </c>
      <c r="AE1544" s="21">
        <f>IF(AB1544&lt;&gt;"",AB1544,Z1544)</f>
        <v/>
      </c>
      <c r="AF1544" s="13" t="inlineStr">
        <is>
          <t>P-5c &gt; LHA Replacement &gt; Plan Costs</t>
        </is>
      </c>
      <c r="AG1544" s="7" t="inlineStr">
        <is>
          <t>326</t>
        </is>
      </c>
      <c r="AH1544" s="7" t="inlineStr">
        <is>
          <t>3041</t>
        </is>
      </c>
      <c r="AJ1544" s="7" t="inlineStr">
        <is>
          <t>Plan</t>
        </is>
      </c>
    </row>
    <row r="1545" ht="10" customHeight="1">
      <c r="A1545" s="7" t="inlineStr">
        <is>
          <t>SCN</t>
        </is>
      </c>
      <c r="B1545" s="7" t="inlineStr">
        <is>
          <t>Procurement</t>
        </is>
      </c>
      <c r="D1545" s="7" t="inlineStr">
        <is>
          <t>LHA Replacement - P-5c - Basic Construction</t>
        </is>
      </c>
      <c r="E1545" s="13" t="inlineStr">
        <is>
          <t>[ALT_VIEW]</t>
        </is>
      </c>
      <c r="F1545" s="7" t="inlineStr">
        <is>
          <t>3041 / LHA Replacement AP</t>
        </is>
      </c>
      <c r="G1545" s="7" t="inlineStr">
        <is>
          <t>P-5c</t>
        </is>
      </c>
      <c r="H1545" s="7" t="inlineStr">
        <is>
          <t>Basic Construction</t>
        </is>
      </c>
      <c r="I1545" s="14" t="n">
        <v>1</v>
      </c>
      <c r="J1545" s="7" t="inlineStr">
        <is>
          <t>Advance procurement / LLTM</t>
        </is>
      </c>
      <c r="K1545" s="13" t="inlineStr">
        <is>
          <t>USN</t>
        </is>
      </c>
      <c r="L1545" s="7" t="inlineStr">
        <is>
          <t>Combatant Ships</t>
        </is>
      </c>
      <c r="M1545" s="7" t="inlineStr">
        <is>
          <t>Amphibious Warfare Ships</t>
        </is>
      </c>
      <c r="N1545" s="7" t="inlineStr">
        <is>
          <t>LHA</t>
        </is>
      </c>
      <c r="O1545" s="15" t="n"/>
      <c r="P1545" s="16" t="n">
        <v>3050900</v>
      </c>
      <c r="S1545" s="16" t="n">
        <v>350118</v>
      </c>
      <c r="U1545" s="16" t="n">
        <v>350118</v>
      </c>
      <c r="AC1545" s="23">
        <f>IF(OR(E1545="",E1545="[PARENT]"),"ADD",IF(E1545="[ALT_VIEW]","ALT",""))</f>
        <v/>
      </c>
      <c r="AD1545" s="21">
        <f>IF(Y1545&lt;&gt;"",Y1545,IF(U1545&lt;&gt;"",U1545,S1545))</f>
        <v/>
      </c>
      <c r="AE1545" s="21">
        <f>IF(AB1545&lt;&gt;"",AB1545,Z1545)</f>
        <v/>
      </c>
      <c r="AF1545" s="13" t="inlineStr">
        <is>
          <t>P-5c &gt; LHA Replacement &gt; Basic Construction</t>
        </is>
      </c>
      <c r="AG1545" s="7" t="inlineStr">
        <is>
          <t>326</t>
        </is>
      </c>
      <c r="AH1545" s="7" t="inlineStr">
        <is>
          <t>3041</t>
        </is>
      </c>
      <c r="AJ1545" s="7" t="inlineStr">
        <is>
          <t>Basic Construction</t>
        </is>
      </c>
    </row>
    <row r="1546" ht="10" customHeight="1">
      <c r="A1546" s="7" t="inlineStr">
        <is>
          <t>SCN</t>
        </is>
      </c>
      <c r="B1546" s="7" t="inlineStr">
        <is>
          <t>Procurement</t>
        </is>
      </c>
      <c r="D1546" s="7" t="inlineStr">
        <is>
          <t>LHA Replacement - P-5c - Change Orders</t>
        </is>
      </c>
      <c r="E1546" s="13" t="inlineStr">
        <is>
          <t>[ALT_VIEW]</t>
        </is>
      </c>
      <c r="F1546" s="7" t="inlineStr">
        <is>
          <t>3041 / LHA Replacement AP</t>
        </is>
      </c>
      <c r="G1546" s="7" t="inlineStr">
        <is>
          <t>P-5c</t>
        </is>
      </c>
      <c r="H1546" s="7" t="inlineStr">
        <is>
          <t>Change Orders</t>
        </is>
      </c>
      <c r="I1546" s="14" t="n">
        <v>1</v>
      </c>
      <c r="J1546" s="7" t="inlineStr">
        <is>
          <t>Advance procurement / LLTM</t>
        </is>
      </c>
      <c r="K1546" s="13" t="inlineStr">
        <is>
          <t>USN</t>
        </is>
      </c>
      <c r="L1546" s="7" t="inlineStr">
        <is>
          <t>Combatant Ships</t>
        </is>
      </c>
      <c r="M1546" s="7" t="inlineStr">
        <is>
          <t>Amphibious Warfare Ships</t>
        </is>
      </c>
      <c r="N1546" s="7" t="inlineStr">
        <is>
          <t>LHA</t>
        </is>
      </c>
      <c r="O1546" s="15" t="n"/>
      <c r="P1546" s="16" t="n">
        <v>108490</v>
      </c>
      <c r="S1546" s="16" t="n">
        <v>70183</v>
      </c>
      <c r="U1546" s="16" t="n">
        <v>70183</v>
      </c>
      <c r="AC1546" s="23">
        <f>IF(OR(E1546="",E1546="[PARENT]"),"ADD",IF(E1546="[ALT_VIEW]","ALT",""))</f>
        <v/>
      </c>
      <c r="AD1546" s="21">
        <f>IF(Y1546&lt;&gt;"",Y1546,IF(U1546&lt;&gt;"",U1546,S1546))</f>
        <v/>
      </c>
      <c r="AE1546" s="21">
        <f>IF(AB1546&lt;&gt;"",AB1546,Z1546)</f>
        <v/>
      </c>
      <c r="AF1546" s="13" t="inlineStr">
        <is>
          <t>P-5c &gt; LHA Replacement &gt; Change Orders</t>
        </is>
      </c>
      <c r="AG1546" s="7" t="inlineStr">
        <is>
          <t>326</t>
        </is>
      </c>
      <c r="AH1546" s="7" t="inlineStr">
        <is>
          <t>3041</t>
        </is>
      </c>
      <c r="AJ1546" s="7" t="inlineStr">
        <is>
          <t>Change Orders</t>
        </is>
      </c>
    </row>
    <row r="1547" ht="10" customHeight="1">
      <c r="A1547" s="7" t="inlineStr">
        <is>
          <t>SCN</t>
        </is>
      </c>
      <c r="B1547" s="7" t="inlineStr">
        <is>
          <t>Procurement</t>
        </is>
      </c>
      <c r="D1547" s="7" t="inlineStr">
        <is>
          <t>LHA Replacement - P-5c - Electronics</t>
        </is>
      </c>
      <c r="E1547" s="13" t="inlineStr">
        <is>
          <t>[ALT_VIEW]</t>
        </is>
      </c>
      <c r="F1547" s="7" t="inlineStr">
        <is>
          <t>3041 / LHA Replacement AP</t>
        </is>
      </c>
      <c r="G1547" s="7" t="inlineStr">
        <is>
          <t>P-5c</t>
        </is>
      </c>
      <c r="H1547" s="7" t="inlineStr">
        <is>
          <t>Electronics</t>
        </is>
      </c>
      <c r="I1547" s="14" t="n">
        <v>1</v>
      </c>
      <c r="J1547" s="7" t="inlineStr">
        <is>
          <t>Advance procurement / LLTM</t>
        </is>
      </c>
      <c r="K1547" s="13" t="inlineStr">
        <is>
          <t>USN</t>
        </is>
      </c>
      <c r="L1547" s="7" t="inlineStr">
        <is>
          <t>Combatant Ships</t>
        </is>
      </c>
      <c r="M1547" s="7" t="inlineStr">
        <is>
          <t>Amphibious Warfare Ships</t>
        </is>
      </c>
      <c r="N1547" s="7" t="inlineStr">
        <is>
          <t>LHA</t>
        </is>
      </c>
      <c r="O1547" s="15" t="n"/>
      <c r="P1547" s="16" t="n">
        <v>323554</v>
      </c>
      <c r="S1547" s="16" t="n">
        <v>335010</v>
      </c>
      <c r="U1547" s="16" t="n">
        <v>335010</v>
      </c>
      <c r="AC1547" s="23">
        <f>IF(OR(E1547="",E1547="[PARENT]"),"ADD",IF(E1547="[ALT_VIEW]","ALT",""))</f>
        <v/>
      </c>
      <c r="AD1547" s="21">
        <f>IF(Y1547&lt;&gt;"",Y1547,IF(U1547&lt;&gt;"",U1547,S1547))</f>
        <v/>
      </c>
      <c r="AE1547" s="21">
        <f>IF(AB1547&lt;&gt;"",AB1547,Z1547)</f>
        <v/>
      </c>
      <c r="AF1547" s="13" t="inlineStr">
        <is>
          <t>P-5c &gt; LHA Replacement &gt; Electronics</t>
        </is>
      </c>
      <c r="AG1547" s="7" t="inlineStr">
        <is>
          <t>326</t>
        </is>
      </c>
      <c r="AH1547" s="7" t="inlineStr">
        <is>
          <t>3041</t>
        </is>
      </c>
    </row>
    <row r="1548" ht="10" customHeight="1">
      <c r="A1548" s="7" t="inlineStr">
        <is>
          <t>SCN</t>
        </is>
      </c>
      <c r="B1548" s="7" t="inlineStr">
        <is>
          <t>Procurement</t>
        </is>
      </c>
      <c r="D1548" s="7" t="inlineStr">
        <is>
          <t>LHA Replacement - P-5c - Hull, Mechanical, and Electrical</t>
        </is>
      </c>
      <c r="E1548" s="13" t="inlineStr">
        <is>
          <t>[ALT_VIEW]</t>
        </is>
      </c>
      <c r="F1548" s="7" t="inlineStr">
        <is>
          <t>3041 / LHA Replacement AP</t>
        </is>
      </c>
      <c r="G1548" s="7" t="inlineStr">
        <is>
          <t>P-5c</t>
        </is>
      </c>
      <c r="H1548" s="7" t="inlineStr">
        <is>
          <t>Hull, Mechanical, and Electrical</t>
        </is>
      </c>
      <c r="I1548" s="14" t="n">
        <v>1</v>
      </c>
      <c r="J1548" s="7" t="inlineStr">
        <is>
          <t>Advance procurement / LLTM</t>
        </is>
      </c>
      <c r="K1548" s="13" t="inlineStr">
        <is>
          <t>USN</t>
        </is>
      </c>
      <c r="L1548" s="7" t="inlineStr">
        <is>
          <t>Combatant Ships</t>
        </is>
      </c>
      <c r="M1548" s="7" t="inlineStr">
        <is>
          <t>Amphibious Warfare Ships</t>
        </is>
      </c>
      <c r="N1548" s="7" t="inlineStr">
        <is>
          <t>LHA</t>
        </is>
      </c>
      <c r="O1548" s="15" t="n"/>
      <c r="P1548" s="16" t="n">
        <v>63183</v>
      </c>
      <c r="S1548" s="16" t="n">
        <v>61882</v>
      </c>
      <c r="U1548" s="16" t="n">
        <v>61882</v>
      </c>
      <c r="AC1548" s="23">
        <f>IF(OR(E1548="",E1548="[PARENT]"),"ADD",IF(E1548="[ALT_VIEW]","ALT",""))</f>
        <v/>
      </c>
      <c r="AD1548" s="21">
        <f>IF(Y1548&lt;&gt;"",Y1548,IF(U1548&lt;&gt;"",U1548,S1548))</f>
        <v/>
      </c>
      <c r="AE1548" s="21">
        <f>IF(AB1548&lt;&gt;"",AB1548,Z1548)</f>
        <v/>
      </c>
      <c r="AF1548" s="13" t="inlineStr">
        <is>
          <t>P-5c &gt; LHA Replacement &gt; Hull, Mechanical, and Electrical</t>
        </is>
      </c>
      <c r="AG1548" s="7" t="inlineStr">
        <is>
          <t>326</t>
        </is>
      </c>
      <c r="AH1548" s="7" t="inlineStr">
        <is>
          <t>3041</t>
        </is>
      </c>
    </row>
    <row r="1549" ht="10" customHeight="1">
      <c r="A1549" s="7" t="inlineStr">
        <is>
          <t>SCN</t>
        </is>
      </c>
      <c r="B1549" s="7" t="inlineStr">
        <is>
          <t>Procurement</t>
        </is>
      </c>
      <c r="D1549" s="7" t="inlineStr">
        <is>
          <t>LHA Replacement - P-5c - Ordnance</t>
        </is>
      </c>
      <c r="E1549" s="13" t="inlineStr">
        <is>
          <t>[ALT_VIEW]</t>
        </is>
      </c>
      <c r="F1549" s="7" t="inlineStr">
        <is>
          <t>3041 / LHA Replacement AP</t>
        </is>
      </c>
      <c r="G1549" s="7" t="inlineStr">
        <is>
          <t>P-5c</t>
        </is>
      </c>
      <c r="H1549" s="7" t="inlineStr">
        <is>
          <t>Ordnance</t>
        </is>
      </c>
      <c r="I1549" s="14" t="n">
        <v>1</v>
      </c>
      <c r="J1549" s="7" t="inlineStr">
        <is>
          <t>Advance procurement / LLTM</t>
        </is>
      </c>
      <c r="K1549" s="13" t="inlineStr">
        <is>
          <t>USN</t>
        </is>
      </c>
      <c r="L1549" s="7" t="inlineStr">
        <is>
          <t>Combatant Ships</t>
        </is>
      </c>
      <c r="M1549" s="7" t="inlineStr">
        <is>
          <t>Amphibious Warfare Ships</t>
        </is>
      </c>
      <c r="N1549" s="7" t="inlineStr">
        <is>
          <t>LHA</t>
        </is>
      </c>
      <c r="O1549" s="15" t="n"/>
      <c r="P1549" s="16" t="n">
        <v>158708</v>
      </c>
      <c r="S1549" s="16" t="n">
        <v>168742</v>
      </c>
      <c r="U1549" s="16" t="n">
        <v>168742</v>
      </c>
      <c r="AC1549" s="23">
        <f>IF(OR(E1549="",E1549="[PARENT]"),"ADD",IF(E1549="[ALT_VIEW]","ALT",""))</f>
        <v/>
      </c>
      <c r="AD1549" s="21">
        <f>IF(Y1549&lt;&gt;"",Y1549,IF(U1549&lt;&gt;"",U1549,S1549))</f>
        <v/>
      </c>
      <c r="AE1549" s="21">
        <f>IF(AB1549&lt;&gt;"",AB1549,Z1549)</f>
        <v/>
      </c>
      <c r="AF1549" s="13" t="inlineStr">
        <is>
          <t>P-5c &gt; LHA Replacement &gt; Ordnance</t>
        </is>
      </c>
      <c r="AG1549" s="7" t="inlineStr">
        <is>
          <t>326</t>
        </is>
      </c>
      <c r="AH1549" s="7" t="inlineStr">
        <is>
          <t>3041</t>
        </is>
      </c>
    </row>
    <row r="1550" ht="10" customHeight="1">
      <c r="A1550" s="7" t="inlineStr">
        <is>
          <t>SCN</t>
        </is>
      </c>
      <c r="B1550" s="7" t="inlineStr">
        <is>
          <t>Procurement</t>
        </is>
      </c>
      <c r="D1550" s="7" t="inlineStr">
        <is>
          <t>LHA Replacement - P-5c - Other Cost</t>
        </is>
      </c>
      <c r="E1550" s="13" t="inlineStr">
        <is>
          <t>[ALT_VIEW]</t>
        </is>
      </c>
      <c r="F1550" s="7" t="inlineStr">
        <is>
          <t>3041 / LHA Replacement AP</t>
        </is>
      </c>
      <c r="G1550" s="7" t="inlineStr">
        <is>
          <t>P-5c</t>
        </is>
      </c>
      <c r="H1550" s="7" t="inlineStr">
        <is>
          <t>Other Cost</t>
        </is>
      </c>
      <c r="I1550" s="14" t="n">
        <v>1</v>
      </c>
      <c r="J1550" s="7" t="inlineStr">
        <is>
          <t>Advance procurement / LLTM</t>
        </is>
      </c>
      <c r="K1550" s="13" t="inlineStr">
        <is>
          <t>USN</t>
        </is>
      </c>
      <c r="L1550" s="7" t="inlineStr">
        <is>
          <t>Combatant Ships</t>
        </is>
      </c>
      <c r="M1550" s="7" t="inlineStr">
        <is>
          <t>Amphibious Warfare Ships</t>
        </is>
      </c>
      <c r="N1550" s="7" t="inlineStr">
        <is>
          <t>LHA</t>
        </is>
      </c>
      <c r="O1550" s="15" t="n"/>
      <c r="P1550" s="16" t="n">
        <v>95178</v>
      </c>
      <c r="S1550" s="16" t="n">
        <v>69439</v>
      </c>
      <c r="U1550" s="16" t="n">
        <v>69439</v>
      </c>
      <c r="AC1550" s="23">
        <f>IF(OR(E1550="",E1550="[PARENT]"),"ADD",IF(E1550="[ALT_VIEW]","ALT",""))</f>
        <v/>
      </c>
      <c r="AD1550" s="21">
        <f>IF(Y1550&lt;&gt;"",Y1550,IF(U1550&lt;&gt;"",U1550,S1550))</f>
        <v/>
      </c>
      <c r="AE1550" s="21">
        <f>IF(AB1550&lt;&gt;"",AB1550,Z1550)</f>
        <v/>
      </c>
      <c r="AF1550" s="13" t="inlineStr">
        <is>
          <t>P-5c &gt; LHA Replacement &gt; Other Cost</t>
        </is>
      </c>
      <c r="AG1550" s="7" t="inlineStr">
        <is>
          <t>326</t>
        </is>
      </c>
      <c r="AH1550" s="7" t="inlineStr">
        <is>
          <t>3041</t>
        </is>
      </c>
    </row>
    <row r="1551" ht="10" customHeight="1">
      <c r="A1551" s="7" t="inlineStr">
        <is>
          <t>SCN</t>
        </is>
      </c>
      <c r="B1551" s="7" t="inlineStr">
        <is>
          <t>Procurement</t>
        </is>
      </c>
      <c r="D1551" s="7" t="inlineStr">
        <is>
          <t>LHA Replacement - P-8a Electronics - Command, Control, Communication, Computer Intelligence Surveillance and Reconnaissance (C4ISR) 1</t>
        </is>
      </c>
      <c r="E1551" s="13" t="inlineStr">
        <is>
          <t>[ALT_VIEW]</t>
        </is>
      </c>
      <c r="F1551" s="7" t="inlineStr">
        <is>
          <t>3041 / LHA Replacement AP</t>
        </is>
      </c>
      <c r="G1551" s="7" t="inlineStr">
        <is>
          <t>P-8a</t>
        </is>
      </c>
      <c r="H1551" s="7" t="inlineStr">
        <is>
          <t>Electronics</t>
        </is>
      </c>
      <c r="I1551" s="14" t="n">
        <v>1</v>
      </c>
      <c r="J1551" s="7" t="inlineStr">
        <is>
          <t>Advance procurement / LLTM</t>
        </is>
      </c>
      <c r="K1551" s="13" t="inlineStr">
        <is>
          <t>USN</t>
        </is>
      </c>
      <c r="L1551" s="7" t="inlineStr">
        <is>
          <t>Combatant Ships</t>
        </is>
      </c>
      <c r="M1551" s="7" t="inlineStr">
        <is>
          <t>Amphibious Warfare Ships</t>
        </is>
      </c>
      <c r="N1551" s="7" t="inlineStr">
        <is>
          <t>LHA</t>
        </is>
      </c>
      <c r="O1551" s="15" t="n"/>
      <c r="S1551" s="16" t="n">
        <v>169701</v>
      </c>
      <c r="U1551" s="16" t="n">
        <v>169701</v>
      </c>
      <c r="AC1551" s="23">
        <f>IF(OR(E1551="",E1551="[PARENT]"),"ADD",IF(E1551="[ALT_VIEW]","ALT",""))</f>
        <v/>
      </c>
      <c r="AD1551" s="21">
        <f>IF(Y1551&lt;&gt;"",Y1551,IF(U1551&lt;&gt;"",U1551,S1551))</f>
        <v/>
      </c>
      <c r="AE1551" s="21">
        <f>IF(AB1551&lt;&gt;"",AB1551,Z1551)</f>
        <v/>
      </c>
      <c r="AF1551" s="13" t="inlineStr">
        <is>
          <t>P-8a &gt; LHA Replacement &gt; Electronics &gt; Command, Control, Communication, Computer Intelligence Surveillance and Reconnaissance (C4ISR) 1</t>
        </is>
      </c>
      <c r="AG1551" s="7" t="inlineStr">
        <is>
          <t>328</t>
        </is>
      </c>
      <c r="AH1551" s="7" t="inlineStr">
        <is>
          <t>3041</t>
        </is>
      </c>
      <c r="AJ1551" s="7" t="inlineStr">
        <is>
          <t>Command, Control, Communication, Computer Intelligence Surveillance and Reconnaissance (C4ISR)</t>
        </is>
      </c>
    </row>
    <row r="1552" ht="10" customHeight="1">
      <c r="A1552" s="7" t="inlineStr">
        <is>
          <t>SCN</t>
        </is>
      </c>
      <c r="B1552" s="7" t="inlineStr">
        <is>
          <t>Procurement</t>
        </is>
      </c>
      <c r="D1552" s="7" t="inlineStr">
        <is>
          <t>LHA Replacement - P-8a Electronics - MK 2 MOD 4E Ship Self Defense System (SSDS) 1</t>
        </is>
      </c>
      <c r="E1552" s="13" t="inlineStr">
        <is>
          <t>[ALT_VIEW]</t>
        </is>
      </c>
      <c r="F1552" s="7" t="inlineStr">
        <is>
          <t>3041 / LHA Replacement AP</t>
        </is>
      </c>
      <c r="G1552" s="7" t="inlineStr">
        <is>
          <t>P-8a</t>
        </is>
      </c>
      <c r="H1552" s="7" t="inlineStr">
        <is>
          <t>Electronics</t>
        </is>
      </c>
      <c r="I1552" s="14" t="n">
        <v>1</v>
      </c>
      <c r="J1552" s="7" t="inlineStr">
        <is>
          <t>Advance procurement / LLTM</t>
        </is>
      </c>
      <c r="K1552" s="13" t="inlineStr">
        <is>
          <t>USN</t>
        </is>
      </c>
      <c r="L1552" s="7" t="inlineStr">
        <is>
          <t>Combatant Ships</t>
        </is>
      </c>
      <c r="M1552" s="7" t="inlineStr">
        <is>
          <t>Amphibious Warfare Ships</t>
        </is>
      </c>
      <c r="N1552" s="7" t="inlineStr">
        <is>
          <t>LHA</t>
        </is>
      </c>
      <c r="O1552" s="15" t="n"/>
      <c r="S1552" s="16" t="n">
        <v>35308</v>
      </c>
      <c r="U1552" s="16" t="n">
        <v>35308</v>
      </c>
      <c r="AC1552" s="23">
        <f>IF(OR(E1552="",E1552="[PARENT]"),"ADD",IF(E1552="[ALT_VIEW]","ALT",""))</f>
        <v/>
      </c>
      <c r="AD1552" s="21">
        <f>IF(Y1552&lt;&gt;"",Y1552,IF(U1552&lt;&gt;"",U1552,S1552))</f>
        <v/>
      </c>
      <c r="AE1552" s="21">
        <f>IF(AB1552&lt;&gt;"",AB1552,Z1552)</f>
        <v/>
      </c>
      <c r="AF1552" s="13" t="inlineStr">
        <is>
          <t>P-8a &gt; LHA Replacement &gt; Electronics &gt; MK 2 MOD 4E Ship Self Defense System (SSDS) 1</t>
        </is>
      </c>
      <c r="AG1552" s="7" t="inlineStr">
        <is>
          <t>328</t>
        </is>
      </c>
      <c r="AH1552" s="7" t="inlineStr">
        <is>
          <t>3041</t>
        </is>
      </c>
      <c r="AJ1552" s="7" t="inlineStr">
        <is>
          <t>MK 2 MOD 4E Ship Self Defense System (SSDS)</t>
        </is>
      </c>
    </row>
    <row r="1553" ht="10" customHeight="1">
      <c r="A1553" s="7" t="inlineStr">
        <is>
          <t>SCN</t>
        </is>
      </c>
      <c r="B1553" s="7" t="inlineStr">
        <is>
          <t>Procurement</t>
        </is>
      </c>
      <c r="D1553" s="7" t="inlineStr">
        <is>
          <t>LHA Replacement - P-8a Electronics - Integrated Voice Network (IVN) 1</t>
        </is>
      </c>
      <c r="E1553" s="13" t="inlineStr">
        <is>
          <t>[ALT_VIEW]</t>
        </is>
      </c>
      <c r="F1553" s="7" t="inlineStr">
        <is>
          <t>3041 / LHA Replacement AP</t>
        </is>
      </c>
      <c r="G1553" s="7" t="inlineStr">
        <is>
          <t>P-8a</t>
        </is>
      </c>
      <c r="H1553" s="7" t="inlineStr">
        <is>
          <t>Electronics</t>
        </is>
      </c>
      <c r="I1553" s="14" t="n">
        <v>1</v>
      </c>
      <c r="J1553" s="7" t="inlineStr">
        <is>
          <t>Advance procurement / LLTM</t>
        </is>
      </c>
      <c r="K1553" s="13" t="inlineStr">
        <is>
          <t>USN</t>
        </is>
      </c>
      <c r="L1553" s="7" t="inlineStr">
        <is>
          <t>Combatant Ships</t>
        </is>
      </c>
      <c r="M1553" s="7" t="inlineStr">
        <is>
          <t>Amphibious Warfare Ships</t>
        </is>
      </c>
      <c r="N1553" s="7" t="inlineStr">
        <is>
          <t>LHA</t>
        </is>
      </c>
      <c r="O1553" s="15" t="n"/>
      <c r="S1553" s="16" t="n">
        <v>10218</v>
      </c>
      <c r="U1553" s="16" t="n">
        <v>10218</v>
      </c>
      <c r="AC1553" s="23">
        <f>IF(OR(E1553="",E1553="[PARENT]"),"ADD",IF(E1553="[ALT_VIEW]","ALT",""))</f>
        <v/>
      </c>
      <c r="AD1553" s="21">
        <f>IF(Y1553&lt;&gt;"",Y1553,IF(U1553&lt;&gt;"",U1553,S1553))</f>
        <v/>
      </c>
      <c r="AE1553" s="21">
        <f>IF(AB1553&lt;&gt;"",AB1553,Z1553)</f>
        <v/>
      </c>
      <c r="AF1553" s="13" t="inlineStr">
        <is>
          <t>P-8a &gt; LHA Replacement &gt; Electronics &gt; Integrated Voice Network (IVN) 1</t>
        </is>
      </c>
      <c r="AG1553" s="7" t="inlineStr">
        <is>
          <t>328</t>
        </is>
      </c>
      <c r="AH1553" s="7" t="inlineStr">
        <is>
          <t>3041</t>
        </is>
      </c>
      <c r="AJ1553" s="7" t="inlineStr">
        <is>
          <t>Integrated Voice Network (IVN)</t>
        </is>
      </c>
    </row>
    <row r="1554" ht="10" customHeight="1">
      <c r="A1554" s="7" t="inlineStr">
        <is>
          <t>SCN</t>
        </is>
      </c>
      <c r="B1554" s="7" t="inlineStr">
        <is>
          <t>Procurement</t>
        </is>
      </c>
      <c r="D1554" s="7" t="inlineStr">
        <is>
          <t>LHA Replacement - P-8a Electronics - AN/SLQ-32(V), Surface Warfare Improvement Program (SEWIP) 1</t>
        </is>
      </c>
      <c r="E1554" s="13" t="inlineStr">
        <is>
          <t>[ALT_VIEW]</t>
        </is>
      </c>
      <c r="F1554" s="7" t="inlineStr">
        <is>
          <t>3041 / LHA Replacement AP</t>
        </is>
      </c>
      <c r="G1554" s="7" t="inlineStr">
        <is>
          <t>P-8a</t>
        </is>
      </c>
      <c r="H1554" s="7" t="inlineStr">
        <is>
          <t>Electronics</t>
        </is>
      </c>
      <c r="I1554" s="14" t="n">
        <v>1</v>
      </c>
      <c r="J1554" s="7" t="inlineStr">
        <is>
          <t>Advance procurement / LLTM</t>
        </is>
      </c>
      <c r="K1554" s="13" t="inlineStr">
        <is>
          <t>USN</t>
        </is>
      </c>
      <c r="L1554" s="7" t="inlineStr">
        <is>
          <t>Combatant Ships</t>
        </is>
      </c>
      <c r="M1554" s="7" t="inlineStr">
        <is>
          <t>Amphibious Warfare Ships</t>
        </is>
      </c>
      <c r="N1554" s="7" t="inlineStr">
        <is>
          <t>LHA</t>
        </is>
      </c>
      <c r="O1554" s="15" t="n"/>
      <c r="S1554" s="16" t="n">
        <v>14904</v>
      </c>
      <c r="U1554" s="16" t="n">
        <v>14904</v>
      </c>
      <c r="AC1554" s="23">
        <f>IF(OR(E1554="",E1554="[PARENT]"),"ADD",IF(E1554="[ALT_VIEW]","ALT",""))</f>
        <v/>
      </c>
      <c r="AD1554" s="21">
        <f>IF(Y1554&lt;&gt;"",Y1554,IF(U1554&lt;&gt;"",U1554,S1554))</f>
        <v/>
      </c>
      <c r="AE1554" s="21">
        <f>IF(AB1554&lt;&gt;"",AB1554,Z1554)</f>
        <v/>
      </c>
      <c r="AF1554" s="13" t="inlineStr">
        <is>
          <t>P-8a &gt; LHA Replacement &gt; Electronics &gt; AN/SLQ-32(V), Surface Warfare Improvement Program (SEWIP) 1</t>
        </is>
      </c>
      <c r="AG1554" s="7" t="inlineStr">
        <is>
          <t>328</t>
        </is>
      </c>
      <c r="AH1554" s="7" t="inlineStr">
        <is>
          <t>3041</t>
        </is>
      </c>
      <c r="AJ1554" s="7" t="inlineStr">
        <is>
          <t>AN/SLQ-32(V), Surface Warfare Improvement Program (SEWIP)</t>
        </is>
      </c>
    </row>
    <row r="1555" ht="10" customHeight="1">
      <c r="A1555" s="7" t="inlineStr">
        <is>
          <t>SCN</t>
        </is>
      </c>
      <c r="B1555" s="7" t="inlineStr">
        <is>
          <t>Procurement</t>
        </is>
      </c>
      <c r="D1555" s="7" t="inlineStr">
        <is>
          <t>LHA Replacement - P-8a Electronics - AN/SPN-50 (V)1 1</t>
        </is>
      </c>
      <c r="E1555" s="13" t="inlineStr">
        <is>
          <t>[ALT_VIEW]</t>
        </is>
      </c>
      <c r="F1555" s="7" t="inlineStr">
        <is>
          <t>3041 / LHA Replacement AP</t>
        </is>
      </c>
      <c r="G1555" s="7" t="inlineStr">
        <is>
          <t>P-8a</t>
        </is>
      </c>
      <c r="H1555" s="7" t="inlineStr">
        <is>
          <t>Electronics</t>
        </is>
      </c>
      <c r="I1555" s="14" t="n">
        <v>1</v>
      </c>
      <c r="J1555" s="7" t="inlineStr">
        <is>
          <t>Advance procurement / LLTM</t>
        </is>
      </c>
      <c r="K1555" s="13" t="inlineStr">
        <is>
          <t>USN</t>
        </is>
      </c>
      <c r="L1555" s="7" t="inlineStr">
        <is>
          <t>Combatant Ships</t>
        </is>
      </c>
      <c r="M1555" s="7" t="inlineStr">
        <is>
          <t>Amphibious Warfare Ships</t>
        </is>
      </c>
      <c r="N1555" s="7" t="inlineStr">
        <is>
          <t>LHA</t>
        </is>
      </c>
      <c r="O1555" s="15" t="n"/>
      <c r="S1555" s="16" t="n">
        <v>16643</v>
      </c>
      <c r="U1555" s="16" t="n">
        <v>16643</v>
      </c>
      <c r="AC1555" s="23">
        <f>IF(OR(E1555="",E1555="[PARENT]"),"ADD",IF(E1555="[ALT_VIEW]","ALT",""))</f>
        <v/>
      </c>
      <c r="AD1555" s="21">
        <f>IF(Y1555&lt;&gt;"",Y1555,IF(U1555&lt;&gt;"",U1555,S1555))</f>
        <v/>
      </c>
      <c r="AE1555" s="21">
        <f>IF(AB1555&lt;&gt;"",AB1555,Z1555)</f>
        <v/>
      </c>
      <c r="AF1555" s="13" t="inlineStr">
        <is>
          <t>P-8a &gt; LHA Replacement &gt; Electronics &gt; AN/SPN-50 (V)1 1</t>
        </is>
      </c>
      <c r="AG1555" s="7" t="inlineStr">
        <is>
          <t>328</t>
        </is>
      </c>
      <c r="AH1555" s="7" t="inlineStr">
        <is>
          <t>3041</t>
        </is>
      </c>
      <c r="AJ1555" s="7" t="inlineStr">
        <is>
          <t>AN/SPN-50 (V)1</t>
        </is>
      </c>
    </row>
    <row r="1556" ht="10" customHeight="1">
      <c r="A1556" s="7" t="inlineStr">
        <is>
          <t>SCN</t>
        </is>
      </c>
      <c r="B1556" s="7" t="inlineStr">
        <is>
          <t>Procurement</t>
        </is>
      </c>
      <c r="D1556" s="7" t="inlineStr">
        <is>
          <t>LHA Replacement - P-8a Electronics - Joint Precision Approach and Landing System (JPALS) (AN/USN-3(V)1, SSLS) 1</t>
        </is>
      </c>
      <c r="E1556" s="13" t="inlineStr">
        <is>
          <t>[ALT_VIEW]</t>
        </is>
      </c>
      <c r="F1556" s="7" t="inlineStr">
        <is>
          <t>3041 / LHA Replacement AP</t>
        </is>
      </c>
      <c r="G1556" s="7" t="inlineStr">
        <is>
          <t>P-8a</t>
        </is>
      </c>
      <c r="H1556" s="7" t="inlineStr">
        <is>
          <t>Electronics</t>
        </is>
      </c>
      <c r="I1556" s="14" t="n">
        <v>1</v>
      </c>
      <c r="J1556" s="7" t="inlineStr">
        <is>
          <t>Advance procurement / LLTM</t>
        </is>
      </c>
      <c r="K1556" s="13" t="inlineStr">
        <is>
          <t>USN</t>
        </is>
      </c>
      <c r="L1556" s="7" t="inlineStr">
        <is>
          <t>Combatant Ships</t>
        </is>
      </c>
      <c r="M1556" s="7" t="inlineStr">
        <is>
          <t>Amphibious Warfare Ships</t>
        </is>
      </c>
      <c r="N1556" s="7" t="inlineStr">
        <is>
          <t>LHA</t>
        </is>
      </c>
      <c r="O1556" s="15" t="n"/>
      <c r="S1556" s="16" t="n">
        <v>6885</v>
      </c>
      <c r="U1556" s="16" t="n">
        <v>6885</v>
      </c>
      <c r="AC1556" s="23">
        <f>IF(OR(E1556="",E1556="[PARENT]"),"ADD",IF(E1556="[ALT_VIEW]","ALT",""))</f>
        <v/>
      </c>
      <c r="AD1556" s="21">
        <f>IF(Y1556&lt;&gt;"",Y1556,IF(U1556&lt;&gt;"",U1556,S1556))</f>
        <v/>
      </c>
      <c r="AE1556" s="21">
        <f>IF(AB1556&lt;&gt;"",AB1556,Z1556)</f>
        <v/>
      </c>
      <c r="AF1556" s="13" t="inlineStr">
        <is>
          <t>P-8a &gt; LHA Replacement &gt; Electronics &gt; Joint Precision Approach and Landing System (JPALS) (AN/USN-3(V)1, SSLS) 1</t>
        </is>
      </c>
      <c r="AG1556" s="7" t="inlineStr">
        <is>
          <t>328</t>
        </is>
      </c>
      <c r="AH1556" s="7" t="inlineStr">
        <is>
          <t>3041</t>
        </is>
      </c>
      <c r="AJ1556" s="7" t="inlineStr">
        <is>
          <t>Joint Precision Approach and Landing System (JPALS) (AN/USN-3(V)1, SSLS)</t>
        </is>
      </c>
    </row>
    <row r="1557" ht="10" customHeight="1">
      <c r="A1557" s="7" t="inlineStr">
        <is>
          <t>SCN</t>
        </is>
      </c>
      <c r="B1557" s="7" t="inlineStr">
        <is>
          <t>Procurement</t>
        </is>
      </c>
      <c r="D1557" s="7" t="inlineStr">
        <is>
          <t>LHA Replacement - P-8a Electronics - Hierarchical Yet Dynamically Reprogrammable Architecture (HYDRA) AN/SRC-55 1</t>
        </is>
      </c>
      <c r="E1557" s="13" t="inlineStr">
        <is>
          <t>[ALT_VIEW]</t>
        </is>
      </c>
      <c r="F1557" s="7" t="inlineStr">
        <is>
          <t>3041 / LHA Replacement AP</t>
        </is>
      </c>
      <c r="G1557" s="7" t="inlineStr">
        <is>
          <t>P-8a</t>
        </is>
      </c>
      <c r="H1557" s="7" t="inlineStr">
        <is>
          <t>Electronics</t>
        </is>
      </c>
      <c r="I1557" s="14" t="n">
        <v>1</v>
      </c>
      <c r="J1557" s="7" t="inlineStr">
        <is>
          <t>Advance procurement / LLTM</t>
        </is>
      </c>
      <c r="K1557" s="13" t="inlineStr">
        <is>
          <t>USN</t>
        </is>
      </c>
      <c r="L1557" s="7" t="inlineStr">
        <is>
          <t>Combatant Ships</t>
        </is>
      </c>
      <c r="M1557" s="7" t="inlineStr">
        <is>
          <t>Amphibious Warfare Ships</t>
        </is>
      </c>
      <c r="N1557" s="7" t="inlineStr">
        <is>
          <t>LHA</t>
        </is>
      </c>
      <c r="O1557" s="15" t="n"/>
      <c r="S1557" s="16" t="n">
        <v>6025</v>
      </c>
      <c r="U1557" s="16" t="n">
        <v>6025</v>
      </c>
      <c r="AC1557" s="23">
        <f>IF(OR(E1557="",E1557="[PARENT]"),"ADD",IF(E1557="[ALT_VIEW]","ALT",""))</f>
        <v/>
      </c>
      <c r="AD1557" s="21">
        <f>IF(Y1557&lt;&gt;"",Y1557,IF(U1557&lt;&gt;"",U1557,S1557))</f>
        <v/>
      </c>
      <c r="AE1557" s="21">
        <f>IF(AB1557&lt;&gt;"",AB1557,Z1557)</f>
        <v/>
      </c>
      <c r="AF1557" s="13" t="inlineStr">
        <is>
          <t>P-8a &gt; LHA Replacement &gt; Electronics &gt; Hierarchical Yet Dynamically Reprogrammable Architecture (HYDRA) AN/SRC-55 1</t>
        </is>
      </c>
      <c r="AG1557" s="7" t="inlineStr">
        <is>
          <t>328</t>
        </is>
      </c>
      <c r="AH1557" s="7" t="inlineStr">
        <is>
          <t>3041</t>
        </is>
      </c>
      <c r="AJ1557" s="7" t="inlineStr">
        <is>
          <t>Hierarchical Yet Dynamically Reprogrammable Architecture (HYDRA) AN/SRC-55</t>
        </is>
      </c>
    </row>
    <row r="1558" ht="10" customHeight="1">
      <c r="A1558" s="7" t="inlineStr">
        <is>
          <t>SCN</t>
        </is>
      </c>
      <c r="B1558" s="7" t="inlineStr">
        <is>
          <t>Procurement</t>
        </is>
      </c>
      <c r="D1558" s="7" t="inlineStr">
        <is>
          <t>LHA Replacement - P-8a Electronics - AN/UPX-29(V), Identification Friend or Foe (IFF) MK12 1</t>
        </is>
      </c>
      <c r="E1558" s="13" t="inlineStr">
        <is>
          <t>[ALT_VIEW]</t>
        </is>
      </c>
      <c r="F1558" s="7" t="inlineStr">
        <is>
          <t>3041 / LHA Replacement AP</t>
        </is>
      </c>
      <c r="G1558" s="7" t="inlineStr">
        <is>
          <t>P-8a</t>
        </is>
      </c>
      <c r="H1558" s="7" t="inlineStr">
        <is>
          <t>Electronics</t>
        </is>
      </c>
      <c r="I1558" s="14" t="n">
        <v>1</v>
      </c>
      <c r="J1558" s="7" t="inlineStr">
        <is>
          <t>Advance procurement / LLTM</t>
        </is>
      </c>
      <c r="K1558" s="13" t="inlineStr">
        <is>
          <t>USN</t>
        </is>
      </c>
      <c r="L1558" s="7" t="inlineStr">
        <is>
          <t>Combatant Ships</t>
        </is>
      </c>
      <c r="M1558" s="7" t="inlineStr">
        <is>
          <t>Amphibious Warfare Ships</t>
        </is>
      </c>
      <c r="N1558" s="7" t="inlineStr">
        <is>
          <t>LHA</t>
        </is>
      </c>
      <c r="O1558" s="15" t="n"/>
      <c r="S1558" s="16" t="n">
        <v>7802</v>
      </c>
      <c r="U1558" s="16" t="n">
        <v>7802</v>
      </c>
      <c r="AC1558" s="23">
        <f>IF(OR(E1558="",E1558="[PARENT]"),"ADD",IF(E1558="[ALT_VIEW]","ALT",""))</f>
        <v/>
      </c>
      <c r="AD1558" s="21">
        <f>IF(Y1558&lt;&gt;"",Y1558,IF(U1558&lt;&gt;"",U1558,S1558))</f>
        <v/>
      </c>
      <c r="AE1558" s="21">
        <f>IF(AB1558&lt;&gt;"",AB1558,Z1558)</f>
        <v/>
      </c>
      <c r="AF1558" s="13" t="inlineStr">
        <is>
          <t>P-8a &gt; LHA Replacement &gt; Electronics &gt; AN/UPX-29(V), Identification Friend or Foe (IFF) MK12 1</t>
        </is>
      </c>
      <c r="AG1558" s="7" t="inlineStr">
        <is>
          <t>328</t>
        </is>
      </c>
      <c r="AH1558" s="7" t="inlineStr">
        <is>
          <t>3041</t>
        </is>
      </c>
      <c r="AJ1558" s="7" t="inlineStr">
        <is>
          <t>AN/UPX-29(V), Identification Friend or Foe (IFF) MK12</t>
        </is>
      </c>
    </row>
    <row r="1559" ht="10" customHeight="1">
      <c r="A1559" s="7" t="inlineStr">
        <is>
          <t>SCN</t>
        </is>
      </c>
      <c r="B1559" s="7" t="inlineStr">
        <is>
          <t>Procurement</t>
        </is>
      </c>
      <c r="D1559" s="7" t="inlineStr">
        <is>
          <t>LHA Replacement - P-8a Electronics - Ring Laser Gyro Navigator (RLGN) AN/WSN-7 1</t>
        </is>
      </c>
      <c r="E1559" s="13" t="inlineStr">
        <is>
          <t>[ALT_VIEW]</t>
        </is>
      </c>
      <c r="F1559" s="7" t="inlineStr">
        <is>
          <t>3041 / LHA Replacement AP</t>
        </is>
      </c>
      <c r="G1559" s="7" t="inlineStr">
        <is>
          <t>P-8a</t>
        </is>
      </c>
      <c r="H1559" s="7" t="inlineStr">
        <is>
          <t>Electronics</t>
        </is>
      </c>
      <c r="I1559" s="14" t="n">
        <v>1</v>
      </c>
      <c r="J1559" s="7" t="inlineStr">
        <is>
          <t>Advance procurement / LLTM</t>
        </is>
      </c>
      <c r="K1559" s="13" t="inlineStr">
        <is>
          <t>USN</t>
        </is>
      </c>
      <c r="L1559" s="7" t="inlineStr">
        <is>
          <t>Combatant Ships</t>
        </is>
      </c>
      <c r="M1559" s="7" t="inlineStr">
        <is>
          <t>Amphibious Warfare Ships</t>
        </is>
      </c>
      <c r="N1559" s="7" t="inlineStr">
        <is>
          <t>LHA</t>
        </is>
      </c>
      <c r="O1559" s="15" t="n"/>
      <c r="S1559" s="16" t="n">
        <v>5516</v>
      </c>
      <c r="U1559" s="16" t="n">
        <v>5516</v>
      </c>
      <c r="AC1559" s="23">
        <f>IF(OR(E1559="",E1559="[PARENT]"),"ADD",IF(E1559="[ALT_VIEW]","ALT",""))</f>
        <v/>
      </c>
      <c r="AD1559" s="21">
        <f>IF(Y1559&lt;&gt;"",Y1559,IF(U1559&lt;&gt;"",U1559,S1559))</f>
        <v/>
      </c>
      <c r="AE1559" s="21">
        <f>IF(AB1559&lt;&gt;"",AB1559,Z1559)</f>
        <v/>
      </c>
      <c r="AF1559" s="13" t="inlineStr">
        <is>
          <t>P-8a &gt; LHA Replacement &gt; Electronics &gt; Ring Laser Gyro Navigator (RLGN) AN/WSN-7 1</t>
        </is>
      </c>
      <c r="AG1559" s="7" t="inlineStr">
        <is>
          <t>328</t>
        </is>
      </c>
      <c r="AH1559" s="7" t="inlineStr">
        <is>
          <t>3041</t>
        </is>
      </c>
      <c r="AJ1559" s="7" t="inlineStr">
        <is>
          <t>Ring Laser Gyro Navigator (RLGN) AN/WSN-7</t>
        </is>
      </c>
    </row>
    <row r="1560" ht="10" customHeight="1">
      <c r="A1560" s="7" t="inlineStr">
        <is>
          <t>SCN</t>
        </is>
      </c>
      <c r="B1560" s="7" t="inlineStr">
        <is>
          <t>Procurement</t>
        </is>
      </c>
      <c r="D1560" s="7" t="inlineStr">
        <is>
          <t>LHA Replacement - P-8a Electronics - Amphibious Air Traffic Control Direct Altitude and Identity Readout (AATC-DAIR) 1</t>
        </is>
      </c>
      <c r="E1560" s="13" t="inlineStr">
        <is>
          <t>[ALT_VIEW]</t>
        </is>
      </c>
      <c r="F1560" s="7" t="inlineStr">
        <is>
          <t>3041 / LHA Replacement AP</t>
        </is>
      </c>
      <c r="G1560" s="7" t="inlineStr">
        <is>
          <t>P-8a</t>
        </is>
      </c>
      <c r="H1560" s="7" t="inlineStr">
        <is>
          <t>Electronics</t>
        </is>
      </c>
      <c r="I1560" s="14" t="n">
        <v>1</v>
      </c>
      <c r="J1560" s="7" t="inlineStr">
        <is>
          <t>Advance procurement / LLTM</t>
        </is>
      </c>
      <c r="K1560" s="13" t="inlineStr">
        <is>
          <t>USN</t>
        </is>
      </c>
      <c r="L1560" s="7" t="inlineStr">
        <is>
          <t>Combatant Ships</t>
        </is>
      </c>
      <c r="M1560" s="7" t="inlineStr">
        <is>
          <t>Amphibious Warfare Ships</t>
        </is>
      </c>
      <c r="N1560" s="7" t="inlineStr">
        <is>
          <t>LHA</t>
        </is>
      </c>
      <c r="O1560" s="15" t="n"/>
      <c r="S1560" s="16" t="n">
        <v>5333</v>
      </c>
      <c r="U1560" s="16" t="n">
        <v>5333</v>
      </c>
      <c r="AC1560" s="23">
        <f>IF(OR(E1560="",E1560="[PARENT]"),"ADD",IF(E1560="[ALT_VIEW]","ALT",""))</f>
        <v/>
      </c>
      <c r="AD1560" s="21">
        <f>IF(Y1560&lt;&gt;"",Y1560,IF(U1560&lt;&gt;"",U1560,S1560))</f>
        <v/>
      </c>
      <c r="AE1560" s="21">
        <f>IF(AB1560&lt;&gt;"",AB1560,Z1560)</f>
        <v/>
      </c>
      <c r="AF1560" s="13" t="inlineStr">
        <is>
          <t>P-8a &gt; LHA Replacement &gt; Electronics &gt; Amphibious Air Traffic Control Direct Altitude and Identity Readout (AATC-DAIR) 1</t>
        </is>
      </c>
      <c r="AG1560" s="7" t="inlineStr">
        <is>
          <t>328</t>
        </is>
      </c>
      <c r="AH1560" s="7" t="inlineStr">
        <is>
          <t>3041</t>
        </is>
      </c>
      <c r="AJ1560" s="7" t="inlineStr">
        <is>
          <t>Amphibious Air Traffic Control Direct Altitude and Identity Readout (AATC-DAIR)</t>
        </is>
      </c>
    </row>
    <row r="1561" ht="10" customHeight="1">
      <c r="A1561" s="7" t="inlineStr">
        <is>
          <t>SCN</t>
        </is>
      </c>
      <c r="B1561" s="7" t="inlineStr">
        <is>
          <t>Procurement</t>
        </is>
      </c>
      <c r="D1561" s="7" t="inlineStr">
        <is>
          <t>LHA Replacement - P-8a Electronics - Aircraft Control Approach Central AN/SPN-35C 1</t>
        </is>
      </c>
      <c r="E1561" s="13" t="inlineStr">
        <is>
          <t>[ALT_VIEW]</t>
        </is>
      </c>
      <c r="F1561" s="7" t="inlineStr">
        <is>
          <t>3041 / LHA Replacement AP</t>
        </is>
      </c>
      <c r="G1561" s="7" t="inlineStr">
        <is>
          <t>P-8a</t>
        </is>
      </c>
      <c r="H1561" s="7" t="inlineStr">
        <is>
          <t>Electronics</t>
        </is>
      </c>
      <c r="I1561" s="14" t="n">
        <v>1</v>
      </c>
      <c r="J1561" s="7" t="inlineStr">
        <is>
          <t>Advance procurement / LLTM</t>
        </is>
      </c>
      <c r="K1561" s="13" t="inlineStr">
        <is>
          <t>USN</t>
        </is>
      </c>
      <c r="L1561" s="7" t="inlineStr">
        <is>
          <t>Combatant Ships</t>
        </is>
      </c>
      <c r="M1561" s="7" t="inlineStr">
        <is>
          <t>Amphibious Warfare Ships</t>
        </is>
      </c>
      <c r="N1561" s="7" t="inlineStr">
        <is>
          <t>LHA</t>
        </is>
      </c>
      <c r="O1561" s="15" t="n"/>
      <c r="S1561" s="16" t="n">
        <v>6273</v>
      </c>
      <c r="U1561" s="16" t="n">
        <v>6273</v>
      </c>
      <c r="AC1561" s="23">
        <f>IF(OR(E1561="",E1561="[PARENT]"),"ADD",IF(E1561="[ALT_VIEW]","ALT",""))</f>
        <v/>
      </c>
      <c r="AD1561" s="21">
        <f>IF(Y1561&lt;&gt;"",Y1561,IF(U1561&lt;&gt;"",U1561,S1561))</f>
        <v/>
      </c>
      <c r="AE1561" s="21">
        <f>IF(AB1561&lt;&gt;"",AB1561,Z1561)</f>
        <v/>
      </c>
      <c r="AF1561" s="13" t="inlineStr">
        <is>
          <t>P-8a &gt; LHA Replacement &gt; Electronics &gt; Aircraft Control Approach Central AN/SPN-35C 1</t>
        </is>
      </c>
      <c r="AG1561" s="7" t="inlineStr">
        <is>
          <t>328</t>
        </is>
      </c>
      <c r="AH1561" s="7" t="inlineStr">
        <is>
          <t>3041</t>
        </is>
      </c>
      <c r="AJ1561" s="7" t="inlineStr">
        <is>
          <t>Aircraft Control Approach Central AN/SPN-35C</t>
        </is>
      </c>
    </row>
    <row r="1562" ht="10" customHeight="1">
      <c r="A1562" s="7" t="inlineStr">
        <is>
          <t>SCN</t>
        </is>
      </c>
      <c r="B1562" s="7" t="inlineStr">
        <is>
          <t>Procurement</t>
        </is>
      </c>
      <c r="D1562" s="7" t="inlineStr">
        <is>
          <t>LHA Replacement - P-8a Electronics - Aircraft Approach Control Transmitting Set (AACTS) AN/SPN-41B 1</t>
        </is>
      </c>
      <c r="E1562" s="13" t="inlineStr">
        <is>
          <t>[ALT_VIEW]</t>
        </is>
      </c>
      <c r="F1562" s="7" t="inlineStr">
        <is>
          <t>3041 / LHA Replacement AP</t>
        </is>
      </c>
      <c r="G1562" s="7" t="inlineStr">
        <is>
          <t>P-8a</t>
        </is>
      </c>
      <c r="H1562" s="7" t="inlineStr">
        <is>
          <t>Electronics</t>
        </is>
      </c>
      <c r="I1562" s="14" t="n">
        <v>1</v>
      </c>
      <c r="J1562" s="7" t="inlineStr">
        <is>
          <t>Advance procurement / LLTM</t>
        </is>
      </c>
      <c r="K1562" s="13" t="inlineStr">
        <is>
          <t>USN</t>
        </is>
      </c>
      <c r="L1562" s="7" t="inlineStr">
        <is>
          <t>Combatant Ships</t>
        </is>
      </c>
      <c r="M1562" s="7" t="inlineStr">
        <is>
          <t>Amphibious Warfare Ships</t>
        </is>
      </c>
      <c r="N1562" s="7" t="inlineStr">
        <is>
          <t>LHA</t>
        </is>
      </c>
      <c r="O1562" s="15" t="n"/>
      <c r="S1562" s="16" t="n">
        <v>4617</v>
      </c>
      <c r="U1562" s="16" t="n">
        <v>4617</v>
      </c>
      <c r="AC1562" s="23">
        <f>IF(OR(E1562="",E1562="[PARENT]"),"ADD",IF(E1562="[ALT_VIEW]","ALT",""))</f>
        <v/>
      </c>
      <c r="AD1562" s="21">
        <f>IF(Y1562&lt;&gt;"",Y1562,IF(U1562&lt;&gt;"",U1562,S1562))</f>
        <v/>
      </c>
      <c r="AE1562" s="21">
        <f>IF(AB1562&lt;&gt;"",AB1562,Z1562)</f>
        <v/>
      </c>
      <c r="AF1562" s="13" t="inlineStr">
        <is>
          <t>P-8a &gt; LHA Replacement &gt; Electronics &gt; Aircraft Approach Control Transmitting Set (AACTS) AN/SPN-41B 1</t>
        </is>
      </c>
      <c r="AG1562" s="7" t="inlineStr">
        <is>
          <t>328</t>
        </is>
      </c>
      <c r="AH1562" s="7" t="inlineStr">
        <is>
          <t>3041</t>
        </is>
      </c>
      <c r="AJ1562" s="7" t="inlineStr">
        <is>
          <t>Aircraft Approach Control Transmitting Set (AACTS) AN/SPN-41B</t>
        </is>
      </c>
    </row>
    <row r="1563" ht="10" customHeight="1">
      <c r="A1563" s="7" t="inlineStr">
        <is>
          <t>SCN</t>
        </is>
      </c>
      <c r="B1563" s="7" t="inlineStr">
        <is>
          <t>Procurement</t>
        </is>
      </c>
      <c r="D1563" s="7" t="inlineStr">
        <is>
          <t>LHA Replacement - P-8a Electronics - AN/USG-2, Cooperative Engagement Transmission Processing Set (CETPS) 1</t>
        </is>
      </c>
      <c r="E1563" s="13" t="inlineStr">
        <is>
          <t>[ALT_VIEW]</t>
        </is>
      </c>
      <c r="F1563" s="7" t="inlineStr">
        <is>
          <t>3041 / LHA Replacement AP</t>
        </is>
      </c>
      <c r="G1563" s="7" t="inlineStr">
        <is>
          <t>P-8a</t>
        </is>
      </c>
      <c r="H1563" s="7" t="inlineStr">
        <is>
          <t>Electronics</t>
        </is>
      </c>
      <c r="I1563" s="14" t="n">
        <v>1</v>
      </c>
      <c r="J1563" s="7" t="inlineStr">
        <is>
          <t>Advance procurement / LLTM</t>
        </is>
      </c>
      <c r="K1563" s="13" t="inlineStr">
        <is>
          <t>USN</t>
        </is>
      </c>
      <c r="L1563" s="7" t="inlineStr">
        <is>
          <t>Combatant Ships</t>
        </is>
      </c>
      <c r="M1563" s="7" t="inlineStr">
        <is>
          <t>Amphibious Warfare Ships</t>
        </is>
      </c>
      <c r="N1563" s="7" t="inlineStr">
        <is>
          <t>LHA</t>
        </is>
      </c>
      <c r="O1563" s="15" t="n"/>
      <c r="S1563" s="16" t="n">
        <v>7380</v>
      </c>
      <c r="U1563" s="16" t="n">
        <v>7380</v>
      </c>
      <c r="AC1563" s="23">
        <f>IF(OR(E1563="",E1563="[PARENT]"),"ADD",IF(E1563="[ALT_VIEW]","ALT",""))</f>
        <v/>
      </c>
      <c r="AD1563" s="21">
        <f>IF(Y1563&lt;&gt;"",Y1563,IF(U1563&lt;&gt;"",U1563,S1563))</f>
        <v/>
      </c>
      <c r="AE1563" s="21">
        <f>IF(AB1563&lt;&gt;"",AB1563,Z1563)</f>
        <v/>
      </c>
      <c r="AF1563" s="13" t="inlineStr">
        <is>
          <t>P-8a &gt; LHA Replacement &gt; Electronics &gt; AN/USG-2, Cooperative Engagement Transmission Processing Set (CETPS) 1</t>
        </is>
      </c>
      <c r="AG1563" s="7" t="inlineStr">
        <is>
          <t>328</t>
        </is>
      </c>
      <c r="AH1563" s="7" t="inlineStr">
        <is>
          <t>3041</t>
        </is>
      </c>
      <c r="AJ1563" s="7" t="inlineStr">
        <is>
          <t>AN/USG-2, Cooperative Engagement Transmission Processing Set (CETPS)</t>
        </is>
      </c>
    </row>
    <row r="1564" ht="10" customHeight="1">
      <c r="A1564" s="7" t="inlineStr">
        <is>
          <t>SCN</t>
        </is>
      </c>
      <c r="B1564" s="7" t="inlineStr">
        <is>
          <t>Procurement</t>
        </is>
      </c>
      <c r="D1564" s="7" t="inlineStr">
        <is>
          <t>LHA Replacement - P-8a Electronics - USQ-82, Gigabit Ethernet Data Multiplex System (GEDMS) 1</t>
        </is>
      </c>
      <c r="E1564" s="13" t="inlineStr">
        <is>
          <t>[ALT_VIEW]</t>
        </is>
      </c>
      <c r="F1564" s="7" t="inlineStr">
        <is>
          <t>3041 / LHA Replacement AP</t>
        </is>
      </c>
      <c r="G1564" s="7" t="inlineStr">
        <is>
          <t>P-8a</t>
        </is>
      </c>
      <c r="H1564" s="7" t="inlineStr">
        <is>
          <t>Electronics</t>
        </is>
      </c>
      <c r="I1564" s="14" t="n">
        <v>1</v>
      </c>
      <c r="J1564" s="7" t="inlineStr">
        <is>
          <t>Advance procurement / LLTM</t>
        </is>
      </c>
      <c r="K1564" s="13" t="inlineStr">
        <is>
          <t>USN</t>
        </is>
      </c>
      <c r="L1564" s="7" t="inlineStr">
        <is>
          <t>Combatant Ships</t>
        </is>
      </c>
      <c r="M1564" s="7" t="inlineStr">
        <is>
          <t>Amphibious Warfare Ships</t>
        </is>
      </c>
      <c r="N1564" s="7" t="inlineStr">
        <is>
          <t>LHA</t>
        </is>
      </c>
      <c r="O1564" s="15" t="n"/>
      <c r="S1564" s="16" t="n">
        <v>6851</v>
      </c>
      <c r="U1564" s="16" t="n">
        <v>6851</v>
      </c>
      <c r="AC1564" s="23">
        <f>IF(OR(E1564="",E1564="[PARENT]"),"ADD",IF(E1564="[ALT_VIEW]","ALT",""))</f>
        <v/>
      </c>
      <c r="AD1564" s="21">
        <f>IF(Y1564&lt;&gt;"",Y1564,IF(U1564&lt;&gt;"",U1564,S1564))</f>
        <v/>
      </c>
      <c r="AE1564" s="21">
        <f>IF(AB1564&lt;&gt;"",AB1564,Z1564)</f>
        <v/>
      </c>
      <c r="AF1564" s="13" t="inlineStr">
        <is>
          <t>P-8a &gt; LHA Replacement &gt; Electronics &gt; USQ-82, Gigabit Ethernet Data Multiplex System (GEDMS) 1</t>
        </is>
      </c>
      <c r="AG1564" s="7" t="inlineStr">
        <is>
          <t>328</t>
        </is>
      </c>
      <c r="AH1564" s="7" t="inlineStr">
        <is>
          <t>3041</t>
        </is>
      </c>
      <c r="AJ1564" s="7" t="inlineStr">
        <is>
          <t>USQ-82, Gigabit Ethernet Data Multiplex System (GEDMS)</t>
        </is>
      </c>
    </row>
    <row r="1565" ht="10" customHeight="1">
      <c r="A1565" s="7" t="inlineStr">
        <is>
          <t>SCN</t>
        </is>
      </c>
      <c r="B1565" s="7" t="inlineStr">
        <is>
          <t>Procurement</t>
        </is>
      </c>
      <c r="D1565" s="7" t="inlineStr">
        <is>
          <t>LHA Replacement - P-8a Electronics - AN/SLQ-25C, Torpedo Countermeasures Transmitting Set (NIXIE) 2</t>
        </is>
      </c>
      <c r="E1565" s="13" t="inlineStr">
        <is>
          <t>[ALT_VIEW]</t>
        </is>
      </c>
      <c r="F1565" s="7" t="inlineStr">
        <is>
          <t>3041 / LHA Replacement AP</t>
        </is>
      </c>
      <c r="G1565" s="7" t="inlineStr">
        <is>
          <t>P-8a</t>
        </is>
      </c>
      <c r="H1565" s="7" t="inlineStr">
        <is>
          <t>Electronics</t>
        </is>
      </c>
      <c r="I1565" s="14" t="n">
        <v>1</v>
      </c>
      <c r="J1565" s="7" t="inlineStr">
        <is>
          <t>Advance procurement / LLTM</t>
        </is>
      </c>
      <c r="K1565" s="13" t="inlineStr">
        <is>
          <t>USN</t>
        </is>
      </c>
      <c r="L1565" s="7" t="inlineStr">
        <is>
          <t>Combatant Ships</t>
        </is>
      </c>
      <c r="M1565" s="7" t="inlineStr">
        <is>
          <t>Amphibious Warfare Ships</t>
        </is>
      </c>
      <c r="N1565" s="7" t="inlineStr">
        <is>
          <t>LHA</t>
        </is>
      </c>
      <c r="O1565" s="15" t="n"/>
      <c r="S1565" s="16" t="n">
        <v>5993</v>
      </c>
      <c r="U1565" s="16" t="n">
        <v>5993</v>
      </c>
      <c r="AC1565" s="23">
        <f>IF(OR(E1565="",E1565="[PARENT]"),"ADD",IF(E1565="[ALT_VIEW]","ALT",""))</f>
        <v/>
      </c>
      <c r="AD1565" s="21">
        <f>IF(Y1565&lt;&gt;"",Y1565,IF(U1565&lt;&gt;"",U1565,S1565))</f>
        <v/>
      </c>
      <c r="AE1565" s="21">
        <f>IF(AB1565&lt;&gt;"",AB1565,Z1565)</f>
        <v/>
      </c>
      <c r="AF1565" s="13" t="inlineStr">
        <is>
          <t>P-8a &gt; LHA Replacement &gt; Electronics &gt; AN/SLQ-25C, Torpedo Countermeasures Transmitting Set (NIXIE) 2</t>
        </is>
      </c>
      <c r="AG1565" s="7" t="inlineStr">
        <is>
          <t>328</t>
        </is>
      </c>
      <c r="AH1565" s="7" t="inlineStr">
        <is>
          <t>3041</t>
        </is>
      </c>
      <c r="AJ1565" s="7" t="inlineStr">
        <is>
          <t>AN/SLQ-25C, Torpedo Countermeasures Transmitting Set (NIXIE)</t>
        </is>
      </c>
    </row>
    <row r="1566" ht="10" customHeight="1">
      <c r="A1566" s="7" t="inlineStr">
        <is>
          <t>SCN</t>
        </is>
      </c>
      <c r="B1566" s="7" t="inlineStr">
        <is>
          <t>Procurement</t>
        </is>
      </c>
      <c r="D1566" s="7" t="inlineStr">
        <is>
          <t>LHA Replacement - P-8a Electronics - AN/USQ-T46(V), Battle Force Tactical Training (BFTT) 1</t>
        </is>
      </c>
      <c r="E1566" s="13" t="inlineStr">
        <is>
          <t>[ALT_VIEW]</t>
        </is>
      </c>
      <c r="F1566" s="7" t="inlineStr">
        <is>
          <t>3041 / LHA Replacement AP</t>
        </is>
      </c>
      <c r="G1566" s="7" t="inlineStr">
        <is>
          <t>P-8a</t>
        </is>
      </c>
      <c r="H1566" s="7" t="inlineStr">
        <is>
          <t>Electronics</t>
        </is>
      </c>
      <c r="I1566" s="14" t="n">
        <v>1</v>
      </c>
      <c r="J1566" s="7" t="inlineStr">
        <is>
          <t>Advance procurement / LLTM</t>
        </is>
      </c>
      <c r="K1566" s="13" t="inlineStr">
        <is>
          <t>USN</t>
        </is>
      </c>
      <c r="L1566" s="7" t="inlineStr">
        <is>
          <t>Combatant Ships</t>
        </is>
      </c>
      <c r="M1566" s="7" t="inlineStr">
        <is>
          <t>Amphibious Warfare Ships</t>
        </is>
      </c>
      <c r="N1566" s="7" t="inlineStr">
        <is>
          <t>LHA</t>
        </is>
      </c>
      <c r="O1566" s="15" t="n"/>
      <c r="S1566" s="16" t="n">
        <v>1103</v>
      </c>
      <c r="U1566" s="16" t="n">
        <v>1103</v>
      </c>
      <c r="AC1566" s="23">
        <f>IF(OR(E1566="",E1566="[PARENT]"),"ADD",IF(E1566="[ALT_VIEW]","ALT",""))</f>
        <v/>
      </c>
      <c r="AD1566" s="21">
        <f>IF(Y1566&lt;&gt;"",Y1566,IF(U1566&lt;&gt;"",U1566,S1566))</f>
        <v/>
      </c>
      <c r="AE1566" s="21">
        <f>IF(AB1566&lt;&gt;"",AB1566,Z1566)</f>
        <v/>
      </c>
      <c r="AF1566" s="13" t="inlineStr">
        <is>
          <t>P-8a &gt; LHA Replacement &gt; Electronics &gt; AN/USQ-T46(V), Battle Force Tactical Training (BFTT) 1</t>
        </is>
      </c>
      <c r="AG1566" s="7" t="inlineStr">
        <is>
          <t>328</t>
        </is>
      </c>
      <c r="AH1566" s="7" t="inlineStr">
        <is>
          <t>3041</t>
        </is>
      </c>
      <c r="AJ1566" s="7" t="inlineStr">
        <is>
          <t>AN/USQ-T46(V), Battle Force Tactical Training (BFTT)</t>
        </is>
      </c>
    </row>
    <row r="1567" ht="10" customHeight="1">
      <c r="A1567" s="7" t="inlineStr">
        <is>
          <t>SCN</t>
        </is>
      </c>
      <c r="B1567" s="7" t="inlineStr">
        <is>
          <t>Procurement</t>
        </is>
      </c>
      <c r="D1567" s="7" t="inlineStr">
        <is>
          <t>LHA Replacement - P-8a Electronics - Announcing Systems AN/SIA-127H 1</t>
        </is>
      </c>
      <c r="E1567" s="13" t="inlineStr">
        <is>
          <t>[ALT_VIEW]</t>
        </is>
      </c>
      <c r="F1567" s="7" t="inlineStr">
        <is>
          <t>3041 / LHA Replacement AP</t>
        </is>
      </c>
      <c r="G1567" s="7" t="inlineStr">
        <is>
          <t>P-8a</t>
        </is>
      </c>
      <c r="H1567" s="7" t="inlineStr">
        <is>
          <t>Electronics</t>
        </is>
      </c>
      <c r="I1567" s="14" t="n">
        <v>1</v>
      </c>
      <c r="J1567" s="7" t="inlineStr">
        <is>
          <t>Advance procurement / LLTM</t>
        </is>
      </c>
      <c r="K1567" s="13" t="inlineStr">
        <is>
          <t>USN</t>
        </is>
      </c>
      <c r="L1567" s="7" t="inlineStr">
        <is>
          <t>Combatant Ships</t>
        </is>
      </c>
      <c r="M1567" s="7" t="inlineStr">
        <is>
          <t>Amphibious Warfare Ships</t>
        </is>
      </c>
      <c r="N1567" s="7" t="inlineStr">
        <is>
          <t>LHA</t>
        </is>
      </c>
      <c r="O1567" s="15" t="n"/>
      <c r="S1567" s="16" t="n">
        <v>2656</v>
      </c>
      <c r="U1567" s="16" t="n">
        <v>2656</v>
      </c>
      <c r="AC1567" s="23">
        <f>IF(OR(E1567="",E1567="[PARENT]"),"ADD",IF(E1567="[ALT_VIEW]","ALT",""))</f>
        <v/>
      </c>
      <c r="AD1567" s="21">
        <f>IF(Y1567&lt;&gt;"",Y1567,IF(U1567&lt;&gt;"",U1567,S1567))</f>
        <v/>
      </c>
      <c r="AE1567" s="21">
        <f>IF(AB1567&lt;&gt;"",AB1567,Z1567)</f>
        <v/>
      </c>
      <c r="AF1567" s="13" t="inlineStr">
        <is>
          <t>P-8a &gt; LHA Replacement &gt; Electronics &gt; Announcing Systems AN/SIA-127H 1</t>
        </is>
      </c>
      <c r="AG1567" s="7" t="inlineStr">
        <is>
          <t>328</t>
        </is>
      </c>
      <c r="AH1567" s="7" t="inlineStr">
        <is>
          <t>3041</t>
        </is>
      </c>
      <c r="AJ1567" s="7" t="inlineStr">
        <is>
          <t>Announcing Systems AN/SIA-127H</t>
        </is>
      </c>
    </row>
    <row r="1568" ht="10" customHeight="1">
      <c r="A1568" s="7" t="inlineStr">
        <is>
          <t>SCN</t>
        </is>
      </c>
      <c r="B1568" s="7" t="inlineStr">
        <is>
          <t>Procurement</t>
        </is>
      </c>
      <c r="D1568" s="7" t="inlineStr">
        <is>
          <t>LHA Replacement - P-8a Electronics - SATCC 1</t>
        </is>
      </c>
      <c r="E1568" s="13" t="inlineStr">
        <is>
          <t>[ALT_VIEW]</t>
        </is>
      </c>
      <c r="F1568" s="7" t="inlineStr">
        <is>
          <t>3041 / LHA Replacement AP</t>
        </is>
      </c>
      <c r="G1568" s="7" t="inlineStr">
        <is>
          <t>P-8a</t>
        </is>
      </c>
      <c r="H1568" s="7" t="inlineStr">
        <is>
          <t>Electronics</t>
        </is>
      </c>
      <c r="I1568" s="14" t="n">
        <v>1</v>
      </c>
      <c r="J1568" s="7" t="inlineStr">
        <is>
          <t>Advance procurement / LLTM</t>
        </is>
      </c>
      <c r="K1568" s="13" t="inlineStr">
        <is>
          <t>USN</t>
        </is>
      </c>
      <c r="L1568" s="7" t="inlineStr">
        <is>
          <t>Combatant Ships</t>
        </is>
      </c>
      <c r="M1568" s="7" t="inlineStr">
        <is>
          <t>Amphibious Warfare Ships</t>
        </is>
      </c>
      <c r="N1568" s="7" t="inlineStr">
        <is>
          <t>LHA</t>
        </is>
      </c>
      <c r="O1568" s="15" t="n"/>
      <c r="S1568" s="16" t="n">
        <v>2106</v>
      </c>
      <c r="U1568" s="16" t="n">
        <v>2106</v>
      </c>
      <c r="AC1568" s="23">
        <f>IF(OR(E1568="",E1568="[PARENT]"),"ADD",IF(E1568="[ALT_VIEW]","ALT",""))</f>
        <v/>
      </c>
      <c r="AD1568" s="21">
        <f>IF(Y1568&lt;&gt;"",Y1568,IF(U1568&lt;&gt;"",U1568,S1568))</f>
        <v/>
      </c>
      <c r="AE1568" s="21">
        <f>IF(AB1568&lt;&gt;"",AB1568,Z1568)</f>
        <v/>
      </c>
      <c r="AF1568" s="13" t="inlineStr">
        <is>
          <t>P-8a &gt; LHA Replacement &gt; Electronics &gt; SATCC 1</t>
        </is>
      </c>
      <c r="AG1568" s="7" t="inlineStr">
        <is>
          <t>328</t>
        </is>
      </c>
      <c r="AH1568" s="7" t="inlineStr">
        <is>
          <t>3041</t>
        </is>
      </c>
      <c r="AJ1568" s="7" t="inlineStr">
        <is>
          <t>SATCC</t>
        </is>
      </c>
    </row>
    <row r="1569" ht="10" customHeight="1">
      <c r="A1569" s="7" t="inlineStr">
        <is>
          <t>SCN</t>
        </is>
      </c>
      <c r="B1569" s="7" t="inlineStr">
        <is>
          <t>Procurement</t>
        </is>
      </c>
      <c r="D1569" s="7" t="inlineStr">
        <is>
          <t>LHA Replacement - P-8a Electronics - Amphibious Assault Direction System (AADS) 1</t>
        </is>
      </c>
      <c r="E1569" s="13" t="inlineStr">
        <is>
          <t>[ALT_VIEW]</t>
        </is>
      </c>
      <c r="F1569" s="7" t="inlineStr">
        <is>
          <t>3041 / LHA Replacement AP</t>
        </is>
      </c>
      <c r="G1569" s="7" t="inlineStr">
        <is>
          <t>P-8a</t>
        </is>
      </c>
      <c r="H1569" s="7" t="inlineStr">
        <is>
          <t>Electronics</t>
        </is>
      </c>
      <c r="I1569" s="14" t="n">
        <v>1</v>
      </c>
      <c r="J1569" s="7" t="inlineStr">
        <is>
          <t>Advance procurement / LLTM</t>
        </is>
      </c>
      <c r="K1569" s="13" t="inlineStr">
        <is>
          <t>USN</t>
        </is>
      </c>
      <c r="L1569" s="7" t="inlineStr">
        <is>
          <t>Combatant Ships</t>
        </is>
      </c>
      <c r="M1569" s="7" t="inlineStr">
        <is>
          <t>Amphibious Warfare Ships</t>
        </is>
      </c>
      <c r="N1569" s="7" t="inlineStr">
        <is>
          <t>LHA</t>
        </is>
      </c>
      <c r="O1569" s="15" t="n"/>
      <c r="S1569" s="16" t="n">
        <v>1448</v>
      </c>
      <c r="U1569" s="16" t="n">
        <v>1448</v>
      </c>
      <c r="AC1569" s="23">
        <f>IF(OR(E1569="",E1569="[PARENT]"),"ADD",IF(E1569="[ALT_VIEW]","ALT",""))</f>
        <v/>
      </c>
      <c r="AD1569" s="21">
        <f>IF(Y1569&lt;&gt;"",Y1569,IF(U1569&lt;&gt;"",U1569,S1569))</f>
        <v/>
      </c>
      <c r="AE1569" s="21">
        <f>IF(AB1569&lt;&gt;"",AB1569,Z1569)</f>
        <v/>
      </c>
      <c r="AF1569" s="13" t="inlineStr">
        <is>
          <t>P-8a &gt; LHA Replacement &gt; Electronics &gt; Amphibious Assault Direction System (AADS) 1</t>
        </is>
      </c>
      <c r="AG1569" s="7" t="inlineStr">
        <is>
          <t>328</t>
        </is>
      </c>
      <c r="AH1569" s="7" t="inlineStr">
        <is>
          <t>3041</t>
        </is>
      </c>
      <c r="AJ1569" s="7" t="inlineStr">
        <is>
          <t>Amphibious Assault Direction System (AADS)</t>
        </is>
      </c>
    </row>
    <row r="1570" ht="10" customHeight="1">
      <c r="A1570" s="7" t="inlineStr">
        <is>
          <t>SCN</t>
        </is>
      </c>
      <c r="B1570" s="7" t="inlineStr">
        <is>
          <t>Procurement</t>
        </is>
      </c>
      <c r="D1570" s="7" t="inlineStr">
        <is>
          <t>LHA Replacement - P-8a Electronics - Digital Photo Lab 1</t>
        </is>
      </c>
      <c r="E1570" s="13" t="inlineStr">
        <is>
          <t>[ALT_VIEW]</t>
        </is>
      </c>
      <c r="F1570" s="7" t="inlineStr">
        <is>
          <t>3041 / LHA Replacement AP</t>
        </is>
      </c>
      <c r="G1570" s="7" t="inlineStr">
        <is>
          <t>P-8a</t>
        </is>
      </c>
      <c r="H1570" s="7" t="inlineStr">
        <is>
          <t>Electronics</t>
        </is>
      </c>
      <c r="I1570" s="14" t="n">
        <v>1</v>
      </c>
      <c r="J1570" s="7" t="inlineStr">
        <is>
          <t>Advance procurement / LLTM</t>
        </is>
      </c>
      <c r="K1570" s="13" t="inlineStr">
        <is>
          <t>USN</t>
        </is>
      </c>
      <c r="L1570" s="7" t="inlineStr">
        <is>
          <t>Combatant Ships</t>
        </is>
      </c>
      <c r="M1570" s="7" t="inlineStr">
        <is>
          <t>Amphibious Warfare Ships</t>
        </is>
      </c>
      <c r="N1570" s="7" t="inlineStr">
        <is>
          <t>LHA</t>
        </is>
      </c>
      <c r="O1570" s="15" t="n"/>
      <c r="S1570" s="16" t="n">
        <v>623</v>
      </c>
      <c r="U1570" s="16" t="n">
        <v>623</v>
      </c>
      <c r="AC1570" s="23">
        <f>IF(OR(E1570="",E1570="[PARENT]"),"ADD",IF(E1570="[ALT_VIEW]","ALT",""))</f>
        <v/>
      </c>
      <c r="AD1570" s="21">
        <f>IF(Y1570&lt;&gt;"",Y1570,IF(U1570&lt;&gt;"",U1570,S1570))</f>
        <v/>
      </c>
      <c r="AE1570" s="21">
        <f>IF(AB1570&lt;&gt;"",AB1570,Z1570)</f>
        <v/>
      </c>
      <c r="AF1570" s="13" t="inlineStr">
        <is>
          <t>P-8a &gt; LHA Replacement &gt; Electronics &gt; Digital Photo Lab 1</t>
        </is>
      </c>
      <c r="AG1570" s="7" t="inlineStr">
        <is>
          <t>328</t>
        </is>
      </c>
      <c r="AH1570" s="7" t="inlineStr">
        <is>
          <t>3041</t>
        </is>
      </c>
      <c r="AJ1570" s="7" t="inlineStr">
        <is>
          <t>Digital Photo Lab</t>
        </is>
      </c>
    </row>
    <row r="1571" ht="10" customHeight="1">
      <c r="A1571" s="7" t="inlineStr">
        <is>
          <t>SCN</t>
        </is>
      </c>
      <c r="B1571" s="7" t="inlineStr">
        <is>
          <t>Procurement</t>
        </is>
      </c>
      <c r="D1571" s="7" t="inlineStr">
        <is>
          <t>LHA Replacement - P-8a Electronics - MK 53 NULKA Decoy Launching System (DLS) Mod 3 1</t>
        </is>
      </c>
      <c r="E1571" s="13" t="inlineStr">
        <is>
          <t>[ALT_VIEW]</t>
        </is>
      </c>
      <c r="F1571" s="7" t="inlineStr">
        <is>
          <t>3041 / LHA Replacement AP</t>
        </is>
      </c>
      <c r="G1571" s="7" t="inlineStr">
        <is>
          <t>P-8a</t>
        </is>
      </c>
      <c r="H1571" s="7" t="inlineStr">
        <is>
          <t>Electronics</t>
        </is>
      </c>
      <c r="I1571" s="14" t="n">
        <v>1</v>
      </c>
      <c r="J1571" s="7" t="inlineStr">
        <is>
          <t>Advance procurement / LLTM</t>
        </is>
      </c>
      <c r="K1571" s="13" t="inlineStr">
        <is>
          <t>USN</t>
        </is>
      </c>
      <c r="L1571" s="7" t="inlineStr">
        <is>
          <t>Combatant Ships</t>
        </is>
      </c>
      <c r="M1571" s="7" t="inlineStr">
        <is>
          <t>Amphibious Warfare Ships</t>
        </is>
      </c>
      <c r="N1571" s="7" t="inlineStr">
        <is>
          <t>LHA</t>
        </is>
      </c>
      <c r="O1571" s="15" t="n"/>
      <c r="S1571" s="16" t="n">
        <v>1264</v>
      </c>
      <c r="U1571" s="16" t="n">
        <v>1264</v>
      </c>
      <c r="AC1571" s="23">
        <f>IF(OR(E1571="",E1571="[PARENT]"),"ADD",IF(E1571="[ALT_VIEW]","ALT",""))</f>
        <v/>
      </c>
      <c r="AD1571" s="21">
        <f>IF(Y1571&lt;&gt;"",Y1571,IF(U1571&lt;&gt;"",U1571,S1571))</f>
        <v/>
      </c>
      <c r="AE1571" s="21">
        <f>IF(AB1571&lt;&gt;"",AB1571,Z1571)</f>
        <v/>
      </c>
      <c r="AF1571" s="13" t="inlineStr">
        <is>
          <t>P-8a &gt; LHA Replacement &gt; Electronics &gt; MK 53 NULKA Decoy Launching System (DLS) Mod 3 1</t>
        </is>
      </c>
      <c r="AG1571" s="7" t="inlineStr">
        <is>
          <t>328</t>
        </is>
      </c>
      <c r="AH1571" s="7" t="inlineStr">
        <is>
          <t>3041</t>
        </is>
      </c>
      <c r="AJ1571" s="7" t="inlineStr">
        <is>
          <t>MK 53 NULKA Decoy Launching System (DLS) Mod 3</t>
        </is>
      </c>
    </row>
    <row r="1572" ht="10" customHeight="1">
      <c r="A1572" s="7" t="inlineStr">
        <is>
          <t>SCN</t>
        </is>
      </c>
      <c r="B1572" s="7" t="inlineStr">
        <is>
          <t>Procurement</t>
        </is>
      </c>
      <c r="D1572" s="7" t="inlineStr">
        <is>
          <t>LHA Replacement - P-8a Electronics - Print Shop 1</t>
        </is>
      </c>
      <c r="E1572" s="13" t="inlineStr">
        <is>
          <t>[ALT_VIEW]</t>
        </is>
      </c>
      <c r="F1572" s="7" t="inlineStr">
        <is>
          <t>3041 / LHA Replacement AP</t>
        </is>
      </c>
      <c r="G1572" s="7" t="inlineStr">
        <is>
          <t>P-8a</t>
        </is>
      </c>
      <c r="H1572" s="7" t="inlineStr">
        <is>
          <t>Electronics</t>
        </is>
      </c>
      <c r="I1572" s="14" t="n">
        <v>1</v>
      </c>
      <c r="J1572" s="7" t="inlineStr">
        <is>
          <t>Advance procurement / LLTM</t>
        </is>
      </c>
      <c r="K1572" s="13" t="inlineStr">
        <is>
          <t>USN</t>
        </is>
      </c>
      <c r="L1572" s="7" t="inlineStr">
        <is>
          <t>Combatant Ships</t>
        </is>
      </c>
      <c r="M1572" s="7" t="inlineStr">
        <is>
          <t>Amphibious Warfare Ships</t>
        </is>
      </c>
      <c r="N1572" s="7" t="inlineStr">
        <is>
          <t>LHA</t>
        </is>
      </c>
      <c r="O1572" s="15" t="n"/>
      <c r="S1572" s="16" t="n">
        <v>566</v>
      </c>
      <c r="U1572" s="16" t="n">
        <v>566</v>
      </c>
      <c r="AC1572" s="23">
        <f>IF(OR(E1572="",E1572="[PARENT]"),"ADD",IF(E1572="[ALT_VIEW]","ALT",""))</f>
        <v/>
      </c>
      <c r="AD1572" s="21">
        <f>IF(Y1572&lt;&gt;"",Y1572,IF(U1572&lt;&gt;"",U1572,S1572))</f>
        <v/>
      </c>
      <c r="AE1572" s="21">
        <f>IF(AB1572&lt;&gt;"",AB1572,Z1572)</f>
        <v/>
      </c>
      <c r="AF1572" s="13" t="inlineStr">
        <is>
          <t>P-8a &gt; LHA Replacement &gt; Electronics &gt; Print Shop 1</t>
        </is>
      </c>
      <c r="AG1572" s="7" t="inlineStr">
        <is>
          <t>328</t>
        </is>
      </c>
      <c r="AH1572" s="7" t="inlineStr">
        <is>
          <t>3041</t>
        </is>
      </c>
      <c r="AJ1572" s="7" t="inlineStr">
        <is>
          <t>Print Shop</t>
        </is>
      </c>
    </row>
    <row r="1573" ht="10" customHeight="1">
      <c r="A1573" s="7" t="inlineStr">
        <is>
          <t>SCN</t>
        </is>
      </c>
      <c r="B1573" s="7" t="inlineStr">
        <is>
          <t>Procurement</t>
        </is>
      </c>
      <c r="D1573" s="7" t="inlineStr">
        <is>
          <t>LHA Replacement - P-8a Electronics - 30 TV 1</t>
        </is>
      </c>
      <c r="E1573" s="13" t="inlineStr">
        <is>
          <t>[ALT_VIEW]</t>
        </is>
      </c>
      <c r="F1573" s="7" t="inlineStr">
        <is>
          <t>3041 / LHA Replacement AP</t>
        </is>
      </c>
      <c r="G1573" s="7" t="inlineStr">
        <is>
          <t>P-8a</t>
        </is>
      </c>
      <c r="H1573" s="7" t="inlineStr">
        <is>
          <t>Electronics</t>
        </is>
      </c>
      <c r="I1573" s="14" t="n">
        <v>1</v>
      </c>
      <c r="J1573" s="7" t="inlineStr">
        <is>
          <t>Advance procurement / LLTM</t>
        </is>
      </c>
      <c r="K1573" s="13" t="inlineStr">
        <is>
          <t>USN</t>
        </is>
      </c>
      <c r="L1573" s="7" t="inlineStr">
        <is>
          <t>Combatant Ships</t>
        </is>
      </c>
      <c r="M1573" s="7" t="inlineStr">
        <is>
          <t>Amphibious Warfare Ships</t>
        </is>
      </c>
      <c r="N1573" s="7" t="inlineStr">
        <is>
          <t>LHA</t>
        </is>
      </c>
      <c r="O1573" s="15" t="n"/>
      <c r="S1573" s="16" t="n">
        <v>1326</v>
      </c>
      <c r="U1573" s="16" t="n">
        <v>1326</v>
      </c>
      <c r="AC1573" s="23">
        <f>IF(OR(E1573="",E1573="[PARENT]"),"ADD",IF(E1573="[ALT_VIEW]","ALT",""))</f>
        <v/>
      </c>
      <c r="AD1573" s="21">
        <f>IF(Y1573&lt;&gt;"",Y1573,IF(U1573&lt;&gt;"",U1573,S1573))</f>
        <v/>
      </c>
      <c r="AE1573" s="21">
        <f>IF(AB1573&lt;&gt;"",AB1573,Z1573)</f>
        <v/>
      </c>
      <c r="AF1573" s="13" t="inlineStr">
        <is>
          <t>P-8a &gt; LHA Replacement &gt; Electronics &gt; 30 TV 1</t>
        </is>
      </c>
      <c r="AG1573" s="7" t="inlineStr">
        <is>
          <t>328</t>
        </is>
      </c>
      <c r="AH1573" s="7" t="inlineStr">
        <is>
          <t>3041</t>
        </is>
      </c>
      <c r="AJ1573" s="7" t="inlineStr">
        <is>
          <t>30 TV</t>
        </is>
      </c>
    </row>
    <row r="1574" ht="10" customHeight="1">
      <c r="A1574" s="7" t="inlineStr">
        <is>
          <t>SCN</t>
        </is>
      </c>
      <c r="B1574" s="7" t="inlineStr">
        <is>
          <t>Procurement</t>
        </is>
      </c>
      <c r="D1574" s="7" t="inlineStr">
        <is>
          <t>LHA Replacement - P-8a Electronics - Next Generation Navigational Radar 1</t>
        </is>
      </c>
      <c r="E1574" s="13" t="inlineStr">
        <is>
          <t>[ALT_VIEW]</t>
        </is>
      </c>
      <c r="F1574" s="7" t="inlineStr">
        <is>
          <t>3041 / LHA Replacement AP</t>
        </is>
      </c>
      <c r="G1574" s="7" t="inlineStr">
        <is>
          <t>P-8a</t>
        </is>
      </c>
      <c r="H1574" s="7" t="inlineStr">
        <is>
          <t>Electronics</t>
        </is>
      </c>
      <c r="I1574" s="14" t="n">
        <v>1</v>
      </c>
      <c r="J1574" s="7" t="inlineStr">
        <is>
          <t>Advance procurement / LLTM</t>
        </is>
      </c>
      <c r="K1574" s="13" t="inlineStr">
        <is>
          <t>USN</t>
        </is>
      </c>
      <c r="L1574" s="7" t="inlineStr">
        <is>
          <t>Combatant Ships</t>
        </is>
      </c>
      <c r="M1574" s="7" t="inlineStr">
        <is>
          <t>Amphibious Warfare Ships</t>
        </is>
      </c>
      <c r="N1574" s="7" t="inlineStr">
        <is>
          <t>LHA</t>
        </is>
      </c>
      <c r="O1574" s="15" t="n"/>
      <c r="S1574" s="16" t="n">
        <v>1232</v>
      </c>
      <c r="U1574" s="16" t="n">
        <v>1232</v>
      </c>
      <c r="AC1574" s="23">
        <f>IF(OR(E1574="",E1574="[PARENT]"),"ADD",IF(E1574="[ALT_VIEW]","ALT",""))</f>
        <v/>
      </c>
      <c r="AD1574" s="21">
        <f>IF(Y1574&lt;&gt;"",Y1574,IF(U1574&lt;&gt;"",U1574,S1574))</f>
        <v/>
      </c>
      <c r="AE1574" s="21">
        <f>IF(AB1574&lt;&gt;"",AB1574,Z1574)</f>
        <v/>
      </c>
      <c r="AF1574" s="13" t="inlineStr">
        <is>
          <t>P-8a &gt; LHA Replacement &gt; Electronics &gt; Next Generation Navigational Radar 1</t>
        </is>
      </c>
      <c r="AG1574" s="7" t="inlineStr">
        <is>
          <t>328</t>
        </is>
      </c>
      <c r="AH1574" s="7" t="inlineStr">
        <is>
          <t>3041</t>
        </is>
      </c>
      <c r="AJ1574" s="7" t="inlineStr">
        <is>
          <t>Next Generation Navigational Radar</t>
        </is>
      </c>
    </row>
    <row r="1575" ht="10" customHeight="1">
      <c r="A1575" s="7" t="inlineStr">
        <is>
          <t>SCN</t>
        </is>
      </c>
      <c r="B1575" s="7" t="inlineStr">
        <is>
          <t>Procurement</t>
        </is>
      </c>
      <c r="D1575" s="7" t="inlineStr">
        <is>
          <t>LHA Replacement - P-8a Electronics - Miscellaneous Electronics</t>
        </is>
      </c>
      <c r="E1575" s="13" t="inlineStr">
        <is>
          <t>[ALT_VIEW]</t>
        </is>
      </c>
      <c r="F1575" s="7" t="inlineStr">
        <is>
          <t>3041 / LHA Replacement AP</t>
        </is>
      </c>
      <c r="G1575" s="7" t="inlineStr">
        <is>
          <t>P-8a</t>
        </is>
      </c>
      <c r="H1575" s="7" t="inlineStr">
        <is>
          <t>Electronics</t>
        </is>
      </c>
      <c r="I1575" s="14" t="n">
        <v>1</v>
      </c>
      <c r="J1575" s="7" t="inlineStr">
        <is>
          <t>Advance procurement / LLTM</t>
        </is>
      </c>
      <c r="K1575" s="13" t="inlineStr">
        <is>
          <t>USN</t>
        </is>
      </c>
      <c r="L1575" s="7" t="inlineStr">
        <is>
          <t>Combatant Ships</t>
        </is>
      </c>
      <c r="M1575" s="7" t="inlineStr">
        <is>
          <t>Amphibious Warfare Ships</t>
        </is>
      </c>
      <c r="N1575" s="7" t="inlineStr">
        <is>
          <t>LHA</t>
        </is>
      </c>
      <c r="O1575" s="15" t="n"/>
      <c r="S1575" s="16" t="n">
        <v>13237</v>
      </c>
      <c r="U1575" s="16" t="n">
        <v>13237</v>
      </c>
      <c r="AC1575" s="23">
        <f>IF(OR(E1575="",E1575="[PARENT]"),"ADD",IF(E1575="[ALT_VIEW]","ALT",""))</f>
        <v/>
      </c>
      <c r="AD1575" s="21">
        <f>IF(Y1575&lt;&gt;"",Y1575,IF(U1575&lt;&gt;"",U1575,S1575))</f>
        <v/>
      </c>
      <c r="AE1575" s="21">
        <f>IF(AB1575&lt;&gt;"",AB1575,Z1575)</f>
        <v/>
      </c>
      <c r="AF1575" s="13" t="inlineStr">
        <is>
          <t>P-8a &gt; LHA Replacement &gt; Electronics &gt; Miscellaneous Electronics</t>
        </is>
      </c>
      <c r="AG1575" s="7" t="inlineStr">
        <is>
          <t>328</t>
        </is>
      </c>
      <c r="AH1575" s="7" t="inlineStr">
        <is>
          <t>3041</t>
        </is>
      </c>
      <c r="AJ1575" s="7" t="inlineStr">
        <is>
          <t>Miscellaneous Electronics</t>
        </is>
      </c>
    </row>
    <row r="1576" ht="10" customHeight="1">
      <c r="A1576" s="7" t="inlineStr">
        <is>
          <t>SCN</t>
        </is>
      </c>
      <c r="B1576" s="7" t="inlineStr">
        <is>
          <t>Procurement</t>
        </is>
      </c>
      <c r="D1576" s="7" t="inlineStr">
        <is>
          <t>LHA Replacement - P-8a Hull, Mechanical, and Electrical - Equipment &amp; Engineering</t>
        </is>
      </c>
      <c r="E1576" s="13" t="inlineStr">
        <is>
          <t>[ALT_VIEW]</t>
        </is>
      </c>
      <c r="F1576" s="7" t="inlineStr">
        <is>
          <t>3041 / LHA Replacement AP</t>
        </is>
      </c>
      <c r="G1576" s="7" t="inlineStr">
        <is>
          <t>P-8a</t>
        </is>
      </c>
      <c r="H1576" s="7" t="inlineStr">
        <is>
          <t>Hull, Mechanical, and Electrical</t>
        </is>
      </c>
      <c r="I1576" s="14" t="n">
        <v>1</v>
      </c>
      <c r="J1576" s="7" t="inlineStr">
        <is>
          <t>Advance procurement / LLTM</t>
        </is>
      </c>
      <c r="K1576" s="13" t="inlineStr">
        <is>
          <t>USN</t>
        </is>
      </c>
      <c r="L1576" s="7" t="inlineStr">
        <is>
          <t>Combatant Ships</t>
        </is>
      </c>
      <c r="M1576" s="7" t="inlineStr">
        <is>
          <t>Amphibious Warfare Ships</t>
        </is>
      </c>
      <c r="N1576" s="7" t="inlineStr">
        <is>
          <t>LHA</t>
        </is>
      </c>
      <c r="O1576" s="15" t="n"/>
      <c r="S1576" s="16" t="n">
        <v>47605</v>
      </c>
      <c r="U1576" s="16" t="n">
        <v>47605</v>
      </c>
      <c r="AC1576" s="23">
        <f>IF(OR(E1576="",E1576="[PARENT]"),"ADD",IF(E1576="[ALT_VIEW]","ALT",""))</f>
        <v/>
      </c>
      <c r="AD1576" s="21">
        <f>IF(Y1576&lt;&gt;"",Y1576,IF(U1576&lt;&gt;"",U1576,S1576))</f>
        <v/>
      </c>
      <c r="AE1576" s="21">
        <f>IF(AB1576&lt;&gt;"",AB1576,Z1576)</f>
        <v/>
      </c>
      <c r="AF1576" s="13" t="inlineStr">
        <is>
          <t>P-8a &gt; LHA Replacement &gt; Hull, Mechanical, and Electrical &gt; Equipment &amp; Engineering</t>
        </is>
      </c>
      <c r="AG1576" s="7" t="inlineStr">
        <is>
          <t>330</t>
        </is>
      </c>
      <c r="AH1576" s="7" t="inlineStr">
        <is>
          <t>3041</t>
        </is>
      </c>
      <c r="AJ1576" s="7" t="inlineStr">
        <is>
          <t>Equipment &amp; Engineering</t>
        </is>
      </c>
    </row>
    <row r="1577" ht="10" customHeight="1">
      <c r="A1577" s="7" t="inlineStr">
        <is>
          <t>SCN</t>
        </is>
      </c>
      <c r="B1577" s="7" t="inlineStr">
        <is>
          <t>Procurement</t>
        </is>
      </c>
      <c r="D1577" s="7" t="inlineStr">
        <is>
          <t>LHA Replacement - P-8a Hull, Mechanical, and Electrical - SUPSHIP Material/Services</t>
        </is>
      </c>
      <c r="E1577" s="13" t="inlineStr">
        <is>
          <t>[ALT_VIEW]</t>
        </is>
      </c>
      <c r="F1577" s="7" t="inlineStr">
        <is>
          <t>3041 / LHA Replacement AP</t>
        </is>
      </c>
      <c r="G1577" s="7" t="inlineStr">
        <is>
          <t>P-8a</t>
        </is>
      </c>
      <c r="H1577" s="7" t="inlineStr">
        <is>
          <t>Hull, Mechanical, and Electrical</t>
        </is>
      </c>
      <c r="I1577" s="14" t="n">
        <v>1</v>
      </c>
      <c r="J1577" s="7" t="inlineStr">
        <is>
          <t>Advance procurement / LLTM</t>
        </is>
      </c>
      <c r="K1577" s="13" t="inlineStr">
        <is>
          <t>USN</t>
        </is>
      </c>
      <c r="L1577" s="7" t="inlineStr">
        <is>
          <t>Combatant Ships</t>
        </is>
      </c>
      <c r="M1577" s="7" t="inlineStr">
        <is>
          <t>Amphibious Warfare Ships</t>
        </is>
      </c>
      <c r="N1577" s="7" t="inlineStr">
        <is>
          <t>LHA</t>
        </is>
      </c>
      <c r="O1577" s="15" t="n"/>
      <c r="S1577" s="16" t="n">
        <v>4813</v>
      </c>
      <c r="U1577" s="16" t="n">
        <v>4813</v>
      </c>
      <c r="AC1577" s="23">
        <f>IF(OR(E1577="",E1577="[PARENT]"),"ADD",IF(E1577="[ALT_VIEW]","ALT",""))</f>
        <v/>
      </c>
      <c r="AD1577" s="21">
        <f>IF(Y1577&lt;&gt;"",Y1577,IF(U1577&lt;&gt;"",U1577,S1577))</f>
        <v/>
      </c>
      <c r="AE1577" s="21">
        <f>IF(AB1577&lt;&gt;"",AB1577,Z1577)</f>
        <v/>
      </c>
      <c r="AF1577" s="13" t="inlineStr">
        <is>
          <t>P-8a &gt; LHA Replacement &gt; Hull, Mechanical, and Electrical &gt; SUPSHIP Material/Services</t>
        </is>
      </c>
      <c r="AG1577" s="7" t="inlineStr">
        <is>
          <t>330</t>
        </is>
      </c>
      <c r="AH1577" s="7" t="inlineStr">
        <is>
          <t>3041</t>
        </is>
      </c>
      <c r="AJ1577" s="7" t="inlineStr">
        <is>
          <t>SUPSHIP Material/Services</t>
        </is>
      </c>
    </row>
    <row r="1578" ht="10" customHeight="1">
      <c r="A1578" s="7" t="inlineStr">
        <is>
          <t>SCN</t>
        </is>
      </c>
      <c r="B1578" s="7" t="inlineStr">
        <is>
          <t>Procurement</t>
        </is>
      </c>
      <c r="D1578" s="7" t="inlineStr">
        <is>
          <t>LHA Replacement - P-8a Hull, Mechanical, and Electrical - Test &amp; Instrumentation</t>
        </is>
      </c>
      <c r="E1578" s="13" t="inlineStr">
        <is>
          <t>[ALT_VIEW]</t>
        </is>
      </c>
      <c r="F1578" s="7" t="inlineStr">
        <is>
          <t>3041 / LHA Replacement AP</t>
        </is>
      </c>
      <c r="G1578" s="7" t="inlineStr">
        <is>
          <t>P-8a</t>
        </is>
      </c>
      <c r="H1578" s="7" t="inlineStr">
        <is>
          <t>Hull, Mechanical, and Electrical</t>
        </is>
      </c>
      <c r="I1578" s="14" t="n">
        <v>1</v>
      </c>
      <c r="J1578" s="7" t="inlineStr">
        <is>
          <t>Advance procurement / LLTM</t>
        </is>
      </c>
      <c r="K1578" s="13" t="inlineStr">
        <is>
          <t>USN</t>
        </is>
      </c>
      <c r="L1578" s="7" t="inlineStr">
        <is>
          <t>Combatant Ships</t>
        </is>
      </c>
      <c r="M1578" s="7" t="inlineStr">
        <is>
          <t>Amphibious Warfare Ships</t>
        </is>
      </c>
      <c r="N1578" s="7" t="inlineStr">
        <is>
          <t>LHA</t>
        </is>
      </c>
      <c r="O1578" s="15" t="n"/>
      <c r="S1578" s="16" t="n">
        <v>9464</v>
      </c>
      <c r="U1578" s="16" t="n">
        <v>9464</v>
      </c>
      <c r="AC1578" s="23">
        <f>IF(OR(E1578="",E1578="[PARENT]"),"ADD",IF(E1578="[ALT_VIEW]","ALT",""))</f>
        <v/>
      </c>
      <c r="AD1578" s="21">
        <f>IF(Y1578&lt;&gt;"",Y1578,IF(U1578&lt;&gt;"",U1578,S1578))</f>
        <v/>
      </c>
      <c r="AE1578" s="21">
        <f>IF(AB1578&lt;&gt;"",AB1578,Z1578)</f>
        <v/>
      </c>
      <c r="AF1578" s="13" t="inlineStr">
        <is>
          <t>P-8a &gt; LHA Replacement &gt; Hull, Mechanical, and Electrical &gt; Test &amp; Instrumentation</t>
        </is>
      </c>
      <c r="AG1578" s="7" t="inlineStr">
        <is>
          <t>330</t>
        </is>
      </c>
      <c r="AH1578" s="7" t="inlineStr">
        <is>
          <t>3041</t>
        </is>
      </c>
      <c r="AJ1578" s="7" t="inlineStr">
        <is>
          <t>Test &amp; Instrumentation</t>
        </is>
      </c>
    </row>
    <row r="1579" ht="10" customHeight="1">
      <c r="A1579" s="7" t="inlineStr">
        <is>
          <t>SCN</t>
        </is>
      </c>
      <c r="B1579" s="7" t="inlineStr">
        <is>
          <t>Procurement</t>
        </is>
      </c>
      <c r="D1579" s="7" t="inlineStr">
        <is>
          <t>LHA Replacement - P-8a Ordnance - Enterprise Air Surveillance Radar (EASR) 1</t>
        </is>
      </c>
      <c r="E1579" s="13" t="inlineStr">
        <is>
          <t>[ALT_VIEW]</t>
        </is>
      </c>
      <c r="F1579" s="7" t="inlineStr">
        <is>
          <t>3041 / LHA Replacement AP</t>
        </is>
      </c>
      <c r="G1579" s="7" t="inlineStr">
        <is>
          <t>P-8a</t>
        </is>
      </c>
      <c r="H1579" s="7" t="inlineStr">
        <is>
          <t>Ordnance</t>
        </is>
      </c>
      <c r="I1579" s="14" t="n">
        <v>1</v>
      </c>
      <c r="J1579" s="7" t="inlineStr">
        <is>
          <t>Advance procurement / LLTM</t>
        </is>
      </c>
      <c r="K1579" s="13" t="inlineStr">
        <is>
          <t>USN</t>
        </is>
      </c>
      <c r="L1579" s="7" t="inlineStr">
        <is>
          <t>Combatant Ships</t>
        </is>
      </c>
      <c r="M1579" s="7" t="inlineStr">
        <is>
          <t>Amphibious Warfare Ships</t>
        </is>
      </c>
      <c r="N1579" s="7" t="inlineStr">
        <is>
          <t>LHA</t>
        </is>
      </c>
      <c r="O1579" s="15" t="n"/>
      <c r="S1579" s="16" t="n">
        <v>38262</v>
      </c>
      <c r="U1579" s="16" t="n">
        <v>38262</v>
      </c>
      <c r="AC1579" s="23">
        <f>IF(OR(E1579="",E1579="[PARENT]"),"ADD",IF(E1579="[ALT_VIEW]","ALT",""))</f>
        <v/>
      </c>
      <c r="AD1579" s="21">
        <f>IF(Y1579&lt;&gt;"",Y1579,IF(U1579&lt;&gt;"",U1579,S1579))</f>
        <v/>
      </c>
      <c r="AE1579" s="21">
        <f>IF(AB1579&lt;&gt;"",AB1579,Z1579)</f>
        <v/>
      </c>
      <c r="AF1579" s="13" t="inlineStr">
        <is>
          <t>P-8a &gt; LHA Replacement &gt; Ordnance &gt; Enterprise Air Surveillance Radar (EASR) 1</t>
        </is>
      </c>
      <c r="AG1579" s="7" t="inlineStr">
        <is>
          <t>331</t>
        </is>
      </c>
      <c r="AH1579" s="7" t="inlineStr">
        <is>
          <t>3041</t>
        </is>
      </c>
      <c r="AJ1579" s="7" t="inlineStr">
        <is>
          <t>Enterprise Air Surveillance Radar (EASR)</t>
        </is>
      </c>
    </row>
    <row r="1580" ht="10" customHeight="1">
      <c r="A1580" s="7" t="inlineStr">
        <is>
          <t>SCN</t>
        </is>
      </c>
      <c r="B1580" s="7" t="inlineStr">
        <is>
          <t>Procurement</t>
        </is>
      </c>
      <c r="D1580" s="7" t="inlineStr">
        <is>
          <t>LHA Replacement - P-8a Ordnance - NATO Sea Sparrow Missile System (NSSMS) MK 57 Mod 14 1</t>
        </is>
      </c>
      <c r="E1580" s="13" t="inlineStr">
        <is>
          <t>[ALT_VIEW]</t>
        </is>
      </c>
      <c r="F1580" s="7" t="inlineStr">
        <is>
          <t>3041 / LHA Replacement AP</t>
        </is>
      </c>
      <c r="G1580" s="7" t="inlineStr">
        <is>
          <t>P-8a</t>
        </is>
      </c>
      <c r="H1580" s="7" t="inlineStr">
        <is>
          <t>Ordnance</t>
        </is>
      </c>
      <c r="I1580" s="14" t="n">
        <v>1</v>
      </c>
      <c r="J1580" s="7" t="inlineStr">
        <is>
          <t>Advance procurement / LLTM</t>
        </is>
      </c>
      <c r="K1580" s="13" t="inlineStr">
        <is>
          <t>USN</t>
        </is>
      </c>
      <c r="L1580" s="7" t="inlineStr">
        <is>
          <t>Combatant Ships</t>
        </is>
      </c>
      <c r="M1580" s="7" t="inlineStr">
        <is>
          <t>Amphibious Warfare Ships</t>
        </is>
      </c>
      <c r="N1580" s="7" t="inlineStr">
        <is>
          <t>LHA</t>
        </is>
      </c>
      <c r="O1580" s="15" t="n"/>
      <c r="S1580" s="16" t="n">
        <v>34125</v>
      </c>
      <c r="U1580" s="16" t="n">
        <v>34125</v>
      </c>
      <c r="AC1580" s="23">
        <f>IF(OR(E1580="",E1580="[PARENT]"),"ADD",IF(E1580="[ALT_VIEW]","ALT",""))</f>
        <v/>
      </c>
      <c r="AD1580" s="21">
        <f>IF(Y1580&lt;&gt;"",Y1580,IF(U1580&lt;&gt;"",U1580,S1580))</f>
        <v/>
      </c>
      <c r="AE1580" s="21">
        <f>IF(AB1580&lt;&gt;"",AB1580,Z1580)</f>
        <v/>
      </c>
      <c r="AF1580" s="13" t="inlineStr">
        <is>
          <t>P-8a &gt; LHA Replacement &gt; Ordnance &gt; NATO Sea Sparrow Missile System (NSSMS) MK 57 Mod 14 1</t>
        </is>
      </c>
      <c r="AG1580" s="7" t="inlineStr">
        <is>
          <t>331</t>
        </is>
      </c>
      <c r="AH1580" s="7" t="inlineStr">
        <is>
          <t>3041</t>
        </is>
      </c>
      <c r="AJ1580" s="7" t="inlineStr">
        <is>
          <t>NATO Sea Sparrow Missile System (NSSMS) MK 57 Mod 14</t>
        </is>
      </c>
    </row>
    <row r="1581" ht="10" customHeight="1">
      <c r="A1581" s="7" t="inlineStr">
        <is>
          <t>SCN</t>
        </is>
      </c>
      <c r="B1581" s="7" t="inlineStr">
        <is>
          <t>Procurement</t>
        </is>
      </c>
      <c r="D1581" s="7" t="inlineStr">
        <is>
          <t>LHA Replacement - P-8a Ordnance - MK31 Mod 3, Rolling Airframe Missile (RAM) (Tech Refresh) 2</t>
        </is>
      </c>
      <c r="E1581" s="13" t="inlineStr">
        <is>
          <t>[ALT_VIEW]</t>
        </is>
      </c>
      <c r="F1581" s="7" t="inlineStr">
        <is>
          <t>3041 / LHA Replacement AP</t>
        </is>
      </c>
      <c r="G1581" s="7" t="inlineStr">
        <is>
          <t>P-8a</t>
        </is>
      </c>
      <c r="H1581" s="7" t="inlineStr">
        <is>
          <t>Ordnance</t>
        </is>
      </c>
      <c r="I1581" s="14" t="n">
        <v>1</v>
      </c>
      <c r="J1581" s="7" t="inlineStr">
        <is>
          <t>Advance procurement / LLTM</t>
        </is>
      </c>
      <c r="K1581" s="13" t="inlineStr">
        <is>
          <t>USN</t>
        </is>
      </c>
      <c r="L1581" s="7" t="inlineStr">
        <is>
          <t>Combatant Ships</t>
        </is>
      </c>
      <c r="M1581" s="7" t="inlineStr">
        <is>
          <t>Amphibious Warfare Ships</t>
        </is>
      </c>
      <c r="N1581" s="7" t="inlineStr">
        <is>
          <t>LHA</t>
        </is>
      </c>
      <c r="O1581" s="15" t="n"/>
      <c r="S1581" s="16" t="n">
        <v>22290</v>
      </c>
      <c r="U1581" s="16" t="n">
        <v>22290</v>
      </c>
      <c r="AC1581" s="23">
        <f>IF(OR(E1581="",E1581="[PARENT]"),"ADD",IF(E1581="[ALT_VIEW]","ALT",""))</f>
        <v/>
      </c>
      <c r="AD1581" s="21">
        <f>IF(Y1581&lt;&gt;"",Y1581,IF(U1581&lt;&gt;"",U1581,S1581))</f>
        <v/>
      </c>
      <c r="AE1581" s="21">
        <f>IF(AB1581&lt;&gt;"",AB1581,Z1581)</f>
        <v/>
      </c>
      <c r="AF1581" s="13" t="inlineStr">
        <is>
          <t>P-8a &gt; LHA Replacement &gt; Ordnance &gt; MK31 Mod 3, Rolling Airframe Missile (RAM) (Tech Refresh) 2</t>
        </is>
      </c>
      <c r="AG1581" s="7" t="inlineStr">
        <is>
          <t>331</t>
        </is>
      </c>
      <c r="AH1581" s="7" t="inlineStr">
        <is>
          <t>3041</t>
        </is>
      </c>
      <c r="AJ1581" s="7" t="inlineStr">
        <is>
          <t>MK31 Mod 3, Rolling Airframe Missile (RAM) (Tech Refresh)</t>
        </is>
      </c>
    </row>
    <row r="1582" ht="10" customHeight="1">
      <c r="A1582" s="7" t="inlineStr">
        <is>
          <t>SCN</t>
        </is>
      </c>
      <c r="B1582" s="7" t="inlineStr">
        <is>
          <t>Procurement</t>
        </is>
      </c>
      <c r="D1582" s="7" t="inlineStr">
        <is>
          <t>LHA Replacement - P-8a Ordnance - PHALANX Block 1B MK15 Mod 21 &amp; 22, Close-in Weapon System (CIWS) 1</t>
        </is>
      </c>
      <c r="E1582" s="13" t="inlineStr">
        <is>
          <t>[ALT_VIEW]</t>
        </is>
      </c>
      <c r="F1582" s="7" t="inlineStr">
        <is>
          <t>3041 / LHA Replacement AP</t>
        </is>
      </c>
      <c r="G1582" s="7" t="inlineStr">
        <is>
          <t>P-8a</t>
        </is>
      </c>
      <c r="H1582" s="7" t="inlineStr">
        <is>
          <t>Ordnance</t>
        </is>
      </c>
      <c r="I1582" s="14" t="n">
        <v>1</v>
      </c>
      <c r="J1582" s="7" t="inlineStr">
        <is>
          <t>Advance procurement / LLTM</t>
        </is>
      </c>
      <c r="K1582" s="13" t="inlineStr">
        <is>
          <t>USN</t>
        </is>
      </c>
      <c r="L1582" s="7" t="inlineStr">
        <is>
          <t>Combatant Ships</t>
        </is>
      </c>
      <c r="M1582" s="7" t="inlineStr">
        <is>
          <t>Amphibious Warfare Ships</t>
        </is>
      </c>
      <c r="N1582" s="7" t="inlineStr">
        <is>
          <t>LHA</t>
        </is>
      </c>
      <c r="O1582" s="15" t="n"/>
      <c r="S1582" s="16" t="n">
        <v>18458</v>
      </c>
      <c r="U1582" s="16" t="n">
        <v>18458</v>
      </c>
      <c r="AC1582" s="23">
        <f>IF(OR(E1582="",E1582="[PARENT]"),"ADD",IF(E1582="[ALT_VIEW]","ALT",""))</f>
        <v/>
      </c>
      <c r="AD1582" s="21">
        <f>IF(Y1582&lt;&gt;"",Y1582,IF(U1582&lt;&gt;"",U1582,S1582))</f>
        <v/>
      </c>
      <c r="AE1582" s="21">
        <f>IF(AB1582&lt;&gt;"",AB1582,Z1582)</f>
        <v/>
      </c>
      <c r="AF1582" s="13" t="inlineStr">
        <is>
          <t>P-8a &gt; LHA Replacement &gt; Ordnance &gt; PHALANX Block 1B MK15 Mod 21 &amp; 22, Close-in Weapon System (CIWS) 1</t>
        </is>
      </c>
      <c r="AG1582" s="7" t="inlineStr">
        <is>
          <t>331</t>
        </is>
      </c>
      <c r="AH1582" s="7" t="inlineStr">
        <is>
          <t>3041</t>
        </is>
      </c>
      <c r="AJ1582" s="7" t="inlineStr">
        <is>
          <t>PHALANX Block 1B MK15 Mod 21 &amp; 22, Close-in Weapon System (CIWS)</t>
        </is>
      </c>
    </row>
    <row r="1583" ht="10" customHeight="1">
      <c r="A1583" s="7" t="inlineStr">
        <is>
          <t>SCN</t>
        </is>
      </c>
      <c r="B1583" s="7" t="inlineStr">
        <is>
          <t>Procurement</t>
        </is>
      </c>
      <c r="D1583" s="7" t="inlineStr">
        <is>
          <t>LHA Replacement - P-8a Ordnance - Vertical/Stationary Take-Off Landing Optical Landing System (VSTOL OLS) 1</t>
        </is>
      </c>
      <c r="E1583" s="13" t="inlineStr">
        <is>
          <t>[ALT_VIEW]</t>
        </is>
      </c>
      <c r="F1583" s="7" t="inlineStr">
        <is>
          <t>3041 / LHA Replacement AP</t>
        </is>
      </c>
      <c r="G1583" s="7" t="inlineStr">
        <is>
          <t>P-8a</t>
        </is>
      </c>
      <c r="H1583" s="7" t="inlineStr">
        <is>
          <t>Ordnance</t>
        </is>
      </c>
      <c r="I1583" s="14" t="n">
        <v>1</v>
      </c>
      <c r="J1583" s="7" t="inlineStr">
        <is>
          <t>Advance procurement / LLTM</t>
        </is>
      </c>
      <c r="K1583" s="13" t="inlineStr">
        <is>
          <t>USN</t>
        </is>
      </c>
      <c r="L1583" s="7" t="inlineStr">
        <is>
          <t>Combatant Ships</t>
        </is>
      </c>
      <c r="M1583" s="7" t="inlineStr">
        <is>
          <t>Amphibious Warfare Ships</t>
        </is>
      </c>
      <c r="N1583" s="7" t="inlineStr">
        <is>
          <t>LHA</t>
        </is>
      </c>
      <c r="O1583" s="15" t="n"/>
      <c r="S1583" s="16" t="n">
        <v>15265</v>
      </c>
      <c r="U1583" s="16" t="n">
        <v>15265</v>
      </c>
      <c r="AC1583" s="23">
        <f>IF(OR(E1583="",E1583="[PARENT]"),"ADD",IF(E1583="[ALT_VIEW]","ALT",""))</f>
        <v/>
      </c>
      <c r="AD1583" s="21">
        <f>IF(Y1583&lt;&gt;"",Y1583,IF(U1583&lt;&gt;"",U1583,S1583))</f>
        <v/>
      </c>
      <c r="AE1583" s="21">
        <f>IF(AB1583&lt;&gt;"",AB1583,Z1583)</f>
        <v/>
      </c>
      <c r="AF1583" s="13" t="inlineStr">
        <is>
          <t>P-8a &gt; LHA Replacement &gt; Ordnance &gt; Vertical/Stationary Take-Off Landing Optical Landing System (VSTOL OLS) 1</t>
        </is>
      </c>
      <c r="AG1583" s="7" t="inlineStr">
        <is>
          <t>331</t>
        </is>
      </c>
      <c r="AH1583" s="7" t="inlineStr">
        <is>
          <t>3041</t>
        </is>
      </c>
      <c r="AJ1583" s="7" t="inlineStr">
        <is>
          <t>Vertical/Stationary Take-Off Landing Optical Landing System (VSTOL OLS)</t>
        </is>
      </c>
    </row>
    <row r="1584" ht="10" customHeight="1">
      <c r="A1584" s="7" t="inlineStr">
        <is>
          <t>SCN</t>
        </is>
      </c>
      <c r="B1584" s="7" t="inlineStr">
        <is>
          <t>Procurement</t>
        </is>
      </c>
      <c r="D1584" s="7" t="inlineStr">
        <is>
          <t>LHA Replacement - P-8a Ordnance - AN/SPQ-9B Radar Set 1</t>
        </is>
      </c>
      <c r="E1584" s="13" t="inlineStr">
        <is>
          <t>[ALT_VIEW]</t>
        </is>
      </c>
      <c r="F1584" s="7" t="inlineStr">
        <is>
          <t>3041 / LHA Replacement AP</t>
        </is>
      </c>
      <c r="G1584" s="7" t="inlineStr">
        <is>
          <t>P-8a</t>
        </is>
      </c>
      <c r="H1584" s="7" t="inlineStr">
        <is>
          <t>Ordnance</t>
        </is>
      </c>
      <c r="I1584" s="14" t="n">
        <v>1</v>
      </c>
      <c r="J1584" s="7" t="inlineStr">
        <is>
          <t>Advance procurement / LLTM</t>
        </is>
      </c>
      <c r="K1584" s="13" t="inlineStr">
        <is>
          <t>USN</t>
        </is>
      </c>
      <c r="L1584" s="7" t="inlineStr">
        <is>
          <t>Combatant Ships</t>
        </is>
      </c>
      <c r="M1584" s="7" t="inlineStr">
        <is>
          <t>Amphibious Warfare Ships</t>
        </is>
      </c>
      <c r="N1584" s="7" t="inlineStr">
        <is>
          <t>LHA</t>
        </is>
      </c>
      <c r="O1584" s="15" t="n"/>
      <c r="S1584" s="16" t="n">
        <v>7628</v>
      </c>
      <c r="U1584" s="16" t="n">
        <v>7628</v>
      </c>
      <c r="AC1584" s="23">
        <f>IF(OR(E1584="",E1584="[PARENT]"),"ADD",IF(E1584="[ALT_VIEW]","ALT",""))</f>
        <v/>
      </c>
      <c r="AD1584" s="21">
        <f>IF(Y1584&lt;&gt;"",Y1584,IF(U1584&lt;&gt;"",U1584,S1584))</f>
        <v/>
      </c>
      <c r="AE1584" s="21">
        <f>IF(AB1584&lt;&gt;"",AB1584,Z1584)</f>
        <v/>
      </c>
      <c r="AF1584" s="13" t="inlineStr">
        <is>
          <t>P-8a &gt; LHA Replacement &gt; Ordnance &gt; AN/SPQ-9B Radar Set 1</t>
        </is>
      </c>
      <c r="AG1584" s="7" t="inlineStr">
        <is>
          <t>331</t>
        </is>
      </c>
      <c r="AH1584" s="7" t="inlineStr">
        <is>
          <t>3041</t>
        </is>
      </c>
      <c r="AJ1584" s="7" t="inlineStr">
        <is>
          <t>AN/SPQ-9B Radar Set</t>
        </is>
      </c>
    </row>
    <row r="1585" ht="10" customHeight="1">
      <c r="A1585" s="7" t="inlineStr">
        <is>
          <t>SCN</t>
        </is>
      </c>
      <c r="B1585" s="7" t="inlineStr">
        <is>
          <t>Procurement</t>
        </is>
      </c>
      <c r="D1585" s="7" t="inlineStr">
        <is>
          <t>LHA Replacement - P-8a Ordnance - MK 38 Mod 2 Stabilized Gun Stand Assembly 3</t>
        </is>
      </c>
      <c r="E1585" s="13" t="inlineStr">
        <is>
          <t>[ALT_VIEW]</t>
        </is>
      </c>
      <c r="F1585" s="7" t="inlineStr">
        <is>
          <t>3041 / LHA Replacement AP</t>
        </is>
      </c>
      <c r="G1585" s="7" t="inlineStr">
        <is>
          <t>P-8a</t>
        </is>
      </c>
      <c r="H1585" s="7" t="inlineStr">
        <is>
          <t>Ordnance</t>
        </is>
      </c>
      <c r="I1585" s="14" t="n">
        <v>1</v>
      </c>
      <c r="J1585" s="7" t="inlineStr">
        <is>
          <t>Advance procurement / LLTM</t>
        </is>
      </c>
      <c r="K1585" s="13" t="inlineStr">
        <is>
          <t>USN</t>
        </is>
      </c>
      <c r="L1585" s="7" t="inlineStr">
        <is>
          <t>Combatant Ships</t>
        </is>
      </c>
      <c r="M1585" s="7" t="inlineStr">
        <is>
          <t>Amphibious Warfare Ships</t>
        </is>
      </c>
      <c r="N1585" s="7" t="inlineStr">
        <is>
          <t>LHA</t>
        </is>
      </c>
      <c r="O1585" s="15" t="n"/>
      <c r="S1585" s="16" t="n">
        <v>7143</v>
      </c>
      <c r="U1585" s="16" t="n">
        <v>7143</v>
      </c>
      <c r="AC1585" s="23">
        <f>IF(OR(E1585="",E1585="[PARENT]"),"ADD",IF(E1585="[ALT_VIEW]","ALT",""))</f>
        <v/>
      </c>
      <c r="AD1585" s="21">
        <f>IF(Y1585&lt;&gt;"",Y1585,IF(U1585&lt;&gt;"",U1585,S1585))</f>
        <v/>
      </c>
      <c r="AE1585" s="21">
        <f>IF(AB1585&lt;&gt;"",AB1585,Z1585)</f>
        <v/>
      </c>
      <c r="AF1585" s="13" t="inlineStr">
        <is>
          <t>P-8a &gt; LHA Replacement &gt; Ordnance &gt; MK 38 Mod 2 Stabilized Gun Stand Assembly 3</t>
        </is>
      </c>
      <c r="AG1585" s="7" t="inlineStr">
        <is>
          <t>331</t>
        </is>
      </c>
      <c r="AH1585" s="7" t="inlineStr">
        <is>
          <t>3041</t>
        </is>
      </c>
      <c r="AJ1585" s="7" t="inlineStr">
        <is>
          <t>MK 38 Mod 2 Stabilized Gun Stand Assembly</t>
        </is>
      </c>
    </row>
    <row r="1586" ht="10" customHeight="1">
      <c r="A1586" s="7" t="inlineStr">
        <is>
          <t>SCN</t>
        </is>
      </c>
      <c r="B1586" s="7" t="inlineStr">
        <is>
          <t>Procurement</t>
        </is>
      </c>
      <c r="D1586" s="7" t="inlineStr">
        <is>
          <t>LHA Replacement - P-8a Ordnance - AN/SPQ-14 4</t>
        </is>
      </c>
      <c r="E1586" s="13" t="inlineStr">
        <is>
          <t>[ALT_VIEW]</t>
        </is>
      </c>
      <c r="F1586" s="7" t="inlineStr">
        <is>
          <t>3041 / LHA Replacement AP</t>
        </is>
      </c>
      <c r="G1586" s="7" t="inlineStr">
        <is>
          <t>P-8a</t>
        </is>
      </c>
      <c r="H1586" s="7" t="inlineStr">
        <is>
          <t>Ordnance</t>
        </is>
      </c>
      <c r="I1586" s="14" t="n">
        <v>1</v>
      </c>
      <c r="J1586" s="7" t="inlineStr">
        <is>
          <t>Advance procurement / LLTM</t>
        </is>
      </c>
      <c r="K1586" s="13" t="inlineStr">
        <is>
          <t>USN</t>
        </is>
      </c>
      <c r="L1586" s="7" t="inlineStr">
        <is>
          <t>Combatant Ships</t>
        </is>
      </c>
      <c r="M1586" s="7" t="inlineStr">
        <is>
          <t>Amphibious Warfare Ships</t>
        </is>
      </c>
      <c r="N1586" s="7" t="inlineStr">
        <is>
          <t>LHA</t>
        </is>
      </c>
      <c r="O1586" s="15" t="n"/>
      <c r="S1586" s="16" t="n">
        <v>947</v>
      </c>
      <c r="U1586" s="16" t="n">
        <v>947</v>
      </c>
      <c r="AC1586" s="23">
        <f>IF(OR(E1586="",E1586="[PARENT]"),"ADD",IF(E1586="[ALT_VIEW]","ALT",""))</f>
        <v/>
      </c>
      <c r="AD1586" s="21">
        <f>IF(Y1586&lt;&gt;"",Y1586,IF(U1586&lt;&gt;"",U1586,S1586))</f>
        <v/>
      </c>
      <c r="AE1586" s="21">
        <f>IF(AB1586&lt;&gt;"",AB1586,Z1586)</f>
        <v/>
      </c>
      <c r="AF1586" s="13" t="inlineStr">
        <is>
          <t>P-8a &gt; LHA Replacement &gt; Ordnance &gt; AN/SPQ-14 4</t>
        </is>
      </c>
      <c r="AG1586" s="7" t="inlineStr">
        <is>
          <t>331</t>
        </is>
      </c>
      <c r="AH1586" s="7" t="inlineStr">
        <is>
          <t>3041</t>
        </is>
      </c>
      <c r="AJ1586" s="7" t="inlineStr">
        <is>
          <t>AN/SPQ-14</t>
        </is>
      </c>
    </row>
    <row r="1587" ht="10" customHeight="1">
      <c r="A1587" s="7" t="inlineStr">
        <is>
          <t>SCN</t>
        </is>
      </c>
      <c r="B1587" s="7" t="inlineStr">
        <is>
          <t>Procurement</t>
        </is>
      </c>
      <c r="D1587" s="7" t="inlineStr">
        <is>
          <t>LHA Replacement - P-8a Ordnance - MORIAH 1</t>
        </is>
      </c>
      <c r="E1587" s="13" t="inlineStr">
        <is>
          <t>[ALT_VIEW]</t>
        </is>
      </c>
      <c r="F1587" s="7" t="inlineStr">
        <is>
          <t>3041 / LHA Replacement AP</t>
        </is>
      </c>
      <c r="G1587" s="7" t="inlineStr">
        <is>
          <t>P-8a</t>
        </is>
      </c>
      <c r="H1587" s="7" t="inlineStr">
        <is>
          <t>Ordnance</t>
        </is>
      </c>
      <c r="I1587" s="14" t="n">
        <v>1</v>
      </c>
      <c r="J1587" s="7" t="inlineStr">
        <is>
          <t>Advance procurement / LLTM</t>
        </is>
      </c>
      <c r="K1587" s="13" t="inlineStr">
        <is>
          <t>USN</t>
        </is>
      </c>
      <c r="L1587" s="7" t="inlineStr">
        <is>
          <t>Combatant Ships</t>
        </is>
      </c>
      <c r="M1587" s="7" t="inlineStr">
        <is>
          <t>Amphibious Warfare Ships</t>
        </is>
      </c>
      <c r="N1587" s="7" t="inlineStr">
        <is>
          <t>LHA</t>
        </is>
      </c>
      <c r="O1587" s="15" t="n"/>
      <c r="S1587" s="16" t="n">
        <v>2395</v>
      </c>
      <c r="U1587" s="16" t="n">
        <v>2395</v>
      </c>
      <c r="AC1587" s="23">
        <f>IF(OR(E1587="",E1587="[PARENT]"),"ADD",IF(E1587="[ALT_VIEW]","ALT",""))</f>
        <v/>
      </c>
      <c r="AD1587" s="21">
        <f>IF(Y1587&lt;&gt;"",Y1587,IF(U1587&lt;&gt;"",U1587,S1587))</f>
        <v/>
      </c>
      <c r="AE1587" s="21">
        <f>IF(AB1587&lt;&gt;"",AB1587,Z1587)</f>
        <v/>
      </c>
      <c r="AF1587" s="13" t="inlineStr">
        <is>
          <t>P-8a &gt; LHA Replacement &gt; Ordnance &gt; MORIAH 1</t>
        </is>
      </c>
      <c r="AG1587" s="7" t="inlineStr">
        <is>
          <t>331</t>
        </is>
      </c>
      <c r="AH1587" s="7" t="inlineStr">
        <is>
          <t>3041</t>
        </is>
      </c>
      <c r="AJ1587" s="7" t="inlineStr">
        <is>
          <t>MORIAH</t>
        </is>
      </c>
    </row>
    <row r="1588" ht="10" customHeight="1">
      <c r="A1588" s="7" t="inlineStr">
        <is>
          <t>SCN</t>
        </is>
      </c>
      <c r="B1588" s="7" t="inlineStr">
        <is>
          <t>Procurement</t>
        </is>
      </c>
      <c r="D1588" s="7" t="inlineStr">
        <is>
          <t>LHA Replacement - P-8a Ordnance - Aviation Support</t>
        </is>
      </c>
      <c r="E1588" s="13" t="inlineStr">
        <is>
          <t>[ALT_VIEW]</t>
        </is>
      </c>
      <c r="F1588" s="7" t="inlineStr">
        <is>
          <t>3041 / LHA Replacement AP</t>
        </is>
      </c>
      <c r="G1588" s="7" t="inlineStr">
        <is>
          <t>P-8a</t>
        </is>
      </c>
      <c r="H1588" s="7" t="inlineStr">
        <is>
          <t>Ordnance</t>
        </is>
      </c>
      <c r="I1588" s="14" t="n">
        <v>1</v>
      </c>
      <c r="J1588" s="7" t="inlineStr">
        <is>
          <t>Advance procurement / LLTM</t>
        </is>
      </c>
      <c r="K1588" s="13" t="inlineStr">
        <is>
          <t>USN</t>
        </is>
      </c>
      <c r="L1588" s="7" t="inlineStr">
        <is>
          <t>Combatant Ships</t>
        </is>
      </c>
      <c r="M1588" s="7" t="inlineStr">
        <is>
          <t>Amphibious Warfare Ships</t>
        </is>
      </c>
      <c r="N1588" s="7" t="inlineStr">
        <is>
          <t>LHA</t>
        </is>
      </c>
      <c r="O1588" s="15" t="n"/>
      <c r="S1588" s="16" t="n">
        <v>8202</v>
      </c>
      <c r="U1588" s="16" t="n">
        <v>8202</v>
      </c>
      <c r="AC1588" s="23">
        <f>IF(OR(E1588="",E1588="[PARENT]"),"ADD",IF(E1588="[ALT_VIEW]","ALT",""))</f>
        <v/>
      </c>
      <c r="AD1588" s="21">
        <f>IF(Y1588&lt;&gt;"",Y1588,IF(U1588&lt;&gt;"",U1588,S1588))</f>
        <v/>
      </c>
      <c r="AE1588" s="21">
        <f>IF(AB1588&lt;&gt;"",AB1588,Z1588)</f>
        <v/>
      </c>
      <c r="AF1588" s="13" t="inlineStr">
        <is>
          <t>P-8a &gt; LHA Replacement &gt; Ordnance &gt; Aviation Support</t>
        </is>
      </c>
      <c r="AG1588" s="7" t="inlineStr">
        <is>
          <t>331</t>
        </is>
      </c>
      <c r="AH1588" s="7" t="inlineStr">
        <is>
          <t>3041</t>
        </is>
      </c>
      <c r="AJ1588" s="7" t="inlineStr">
        <is>
          <t>Aviation Support</t>
        </is>
      </c>
    </row>
    <row r="1589" ht="10" customHeight="1">
      <c r="A1589" s="7" t="inlineStr">
        <is>
          <t>SCN</t>
        </is>
      </c>
      <c r="B1589" s="7" t="inlineStr">
        <is>
          <t>Procurement</t>
        </is>
      </c>
      <c r="D1589" s="7" t="inlineStr">
        <is>
          <t>LHA Replacement - P-8a Ordnance - Miscellaneous Ordnance</t>
        </is>
      </c>
      <c r="E1589" s="13" t="inlineStr">
        <is>
          <t>[ALT_VIEW]</t>
        </is>
      </c>
      <c r="F1589" s="7" t="inlineStr">
        <is>
          <t>3041 / LHA Replacement AP</t>
        </is>
      </c>
      <c r="G1589" s="7" t="inlineStr">
        <is>
          <t>P-8a</t>
        </is>
      </c>
      <c r="H1589" s="7" t="inlineStr">
        <is>
          <t>Ordnance</t>
        </is>
      </c>
      <c r="I1589" s="14" t="n">
        <v>1</v>
      </c>
      <c r="J1589" s="7" t="inlineStr">
        <is>
          <t>Advance procurement / LLTM</t>
        </is>
      </c>
      <c r="K1589" s="13" t="inlineStr">
        <is>
          <t>USN</t>
        </is>
      </c>
      <c r="L1589" s="7" t="inlineStr">
        <is>
          <t>Combatant Ships</t>
        </is>
      </c>
      <c r="M1589" s="7" t="inlineStr">
        <is>
          <t>Amphibious Warfare Ships</t>
        </is>
      </c>
      <c r="N1589" s="7" t="inlineStr">
        <is>
          <t>LHA</t>
        </is>
      </c>
      <c r="O1589" s="15" t="n"/>
      <c r="S1589" s="16" t="n">
        <v>2964</v>
      </c>
      <c r="U1589" s="16" t="n">
        <v>2964</v>
      </c>
      <c r="AC1589" s="23">
        <f>IF(OR(E1589="",E1589="[PARENT]"),"ADD",IF(E1589="[ALT_VIEW]","ALT",""))</f>
        <v/>
      </c>
      <c r="AD1589" s="21">
        <f>IF(Y1589&lt;&gt;"",Y1589,IF(U1589&lt;&gt;"",U1589,S1589))</f>
        <v/>
      </c>
      <c r="AE1589" s="21">
        <f>IF(AB1589&lt;&gt;"",AB1589,Z1589)</f>
        <v/>
      </c>
      <c r="AF1589" s="13" t="inlineStr">
        <is>
          <t>P-8a &gt; LHA Replacement &gt; Ordnance &gt; Miscellaneous Ordnance</t>
        </is>
      </c>
      <c r="AG1589" s="7" t="inlineStr">
        <is>
          <t>331</t>
        </is>
      </c>
      <c r="AH1589" s="7" t="inlineStr">
        <is>
          <t>3041</t>
        </is>
      </c>
      <c r="AJ1589" s="7" t="inlineStr">
        <is>
          <t>Miscellaneous Ordnance</t>
        </is>
      </c>
    </row>
    <row r="1590" ht="10" customHeight="1">
      <c r="A1590" s="7" t="inlineStr">
        <is>
          <t>SCN</t>
        </is>
      </c>
      <c r="B1590" s="7" t="inlineStr">
        <is>
          <t>Procurement</t>
        </is>
      </c>
      <c r="D1590" s="7" t="inlineStr">
        <is>
          <t>LHA Replacement - P-35 Command, Control, Communication, Computer Intelligence Surveillance and Reconnaissance (C4ISR) PARM Code: PEO C4I - Major Hardware                                                                                                                                               1</t>
        </is>
      </c>
      <c r="E1590" s="13" t="inlineStr">
        <is>
          <t>[ALT_VIEW]</t>
        </is>
      </c>
      <c r="F1590" s="7" t="inlineStr">
        <is>
          <t>3041 / LHA Replacement AP</t>
        </is>
      </c>
      <c r="G1590" s="7" t="inlineStr">
        <is>
          <t>P-35</t>
        </is>
      </c>
      <c r="I1590" s="14" t="n">
        <v>1</v>
      </c>
      <c r="J1590" s="7" t="inlineStr">
        <is>
          <t>Advance procurement / LLTM</t>
        </is>
      </c>
      <c r="K1590" s="13" t="inlineStr">
        <is>
          <t>USN</t>
        </is>
      </c>
      <c r="L1590" s="7" t="inlineStr">
        <is>
          <t>Combatant Ships</t>
        </is>
      </c>
      <c r="M1590" s="7" t="inlineStr">
        <is>
          <t>Amphibious Warfare Ships</t>
        </is>
      </c>
      <c r="N1590" s="7" t="inlineStr">
        <is>
          <t>LHA</t>
        </is>
      </c>
      <c r="O1590" s="15" t="n"/>
      <c r="S1590" s="16" t="n">
        <v>93910</v>
      </c>
      <c r="U1590" s="16" t="n">
        <v>93910</v>
      </c>
      <c r="AC1590" s="23">
        <f>IF(OR(E1590="",E1590="[PARENT]"),"ADD",IF(E1590="[ALT_VIEW]","ALT",""))</f>
        <v/>
      </c>
      <c r="AD1590" s="21">
        <f>IF(Y1590&lt;&gt;"",Y1590,IF(U1590&lt;&gt;"",U1590,S1590))</f>
        <v/>
      </c>
      <c r="AE1590" s="21">
        <f>IF(AB1590&lt;&gt;"",AB1590,Z1590)</f>
        <v/>
      </c>
      <c r="AF1590" s="13" t="inlineStr">
        <is>
          <t>P-35 &gt; LHA Replacement &gt; Command, Control, Communication, Computer Intelligence Surveillance and Reconnaissance (C4ISR) PARM Code: PEO C4I &gt; Major Hardware                                                                                                                                               1</t>
        </is>
      </c>
      <c r="AG1590" s="7" t="inlineStr">
        <is>
          <t>332</t>
        </is>
      </c>
      <c r="AH1590" s="7" t="inlineStr">
        <is>
          <t>3041</t>
        </is>
      </c>
    </row>
    <row r="1591" ht="10" customHeight="1">
      <c r="A1591" s="7" t="inlineStr">
        <is>
          <t>SCN</t>
        </is>
      </c>
      <c r="B1591" s="7" t="inlineStr">
        <is>
          <t>Procurement</t>
        </is>
      </c>
      <c r="D1591" s="7" t="inlineStr">
        <is>
          <t>LHA Replacement - P-35 Command, Control, Communication, Computer Intelligence Surveillance and Reconnaissance (C4ISR) PARM Code: PEO C4I - Technical Data and Documentation</t>
        </is>
      </c>
      <c r="E1591" s="13" t="inlineStr">
        <is>
          <t>[ALT_VIEW]</t>
        </is>
      </c>
      <c r="F1591" s="7" t="inlineStr">
        <is>
          <t>3041 / LHA Replacement AP</t>
        </is>
      </c>
      <c r="G1591" s="7" t="inlineStr">
        <is>
          <t>P-35</t>
        </is>
      </c>
      <c r="I1591" s="14" t="n">
        <v>1</v>
      </c>
      <c r="J1591" s="7" t="inlineStr">
        <is>
          <t>Advance procurement / LLTM</t>
        </is>
      </c>
      <c r="K1591" s="13" t="inlineStr">
        <is>
          <t>USN</t>
        </is>
      </c>
      <c r="L1591" s="7" t="inlineStr">
        <is>
          <t>Combatant Ships</t>
        </is>
      </c>
      <c r="M1591" s="7" t="inlineStr">
        <is>
          <t>Amphibious Warfare Ships</t>
        </is>
      </c>
      <c r="N1591" s="7" t="inlineStr">
        <is>
          <t>LHA</t>
        </is>
      </c>
      <c r="O1591" s="15" t="n"/>
      <c r="S1591" s="16" t="n">
        <v>1607</v>
      </c>
      <c r="U1591" s="16" t="n">
        <v>1607</v>
      </c>
      <c r="AC1591" s="23">
        <f>IF(OR(E1591="",E1591="[PARENT]"),"ADD",IF(E1591="[ALT_VIEW]","ALT",""))</f>
        <v/>
      </c>
      <c r="AD1591" s="21">
        <f>IF(Y1591&lt;&gt;"",Y1591,IF(U1591&lt;&gt;"",U1591,S1591))</f>
        <v/>
      </c>
      <c r="AE1591" s="21">
        <f>IF(AB1591&lt;&gt;"",AB1591,Z1591)</f>
        <v/>
      </c>
      <c r="AF1591" s="13" t="inlineStr">
        <is>
          <t>P-35 &gt; LHA Replacement &gt; Command, Control, Communication, Computer Intelligence Surveillance and Reconnaissance (C4ISR) PARM Code: PEO C4I &gt; Technical Data and Documentation</t>
        </is>
      </c>
      <c r="AG1591" s="7" t="inlineStr">
        <is>
          <t>332</t>
        </is>
      </c>
      <c r="AH1591" s="7" t="inlineStr">
        <is>
          <t>3041</t>
        </is>
      </c>
    </row>
    <row r="1592" ht="10" customHeight="1">
      <c r="A1592" s="7" t="inlineStr">
        <is>
          <t>SCN</t>
        </is>
      </c>
      <c r="B1592" s="7" t="inlineStr">
        <is>
          <t>Procurement</t>
        </is>
      </c>
      <c r="D1592" s="7" t="inlineStr">
        <is>
          <t>LHA Replacement - P-35 Command, Control, Communication, Computer Intelligence Surveillance and Reconnaissance (C4ISR) PARM Code: PEO C4I - Spares</t>
        </is>
      </c>
      <c r="E1592" s="13" t="inlineStr">
        <is>
          <t>[ALT_VIEW]</t>
        </is>
      </c>
      <c r="F1592" s="7" t="inlineStr">
        <is>
          <t>3041 / LHA Replacement AP</t>
        </is>
      </c>
      <c r="G1592" s="7" t="inlineStr">
        <is>
          <t>P-35</t>
        </is>
      </c>
      <c r="I1592" s="14" t="n">
        <v>1</v>
      </c>
      <c r="J1592" s="7" t="inlineStr">
        <is>
          <t>Advance procurement / LLTM</t>
        </is>
      </c>
      <c r="K1592" s="13" t="inlineStr">
        <is>
          <t>USN</t>
        </is>
      </c>
      <c r="L1592" s="7" t="inlineStr">
        <is>
          <t>Combatant Ships</t>
        </is>
      </c>
      <c r="M1592" s="7" t="inlineStr">
        <is>
          <t>Amphibious Warfare Ships</t>
        </is>
      </c>
      <c r="N1592" s="7" t="inlineStr">
        <is>
          <t>LHA</t>
        </is>
      </c>
      <c r="O1592" s="15" t="n"/>
      <c r="S1592" s="16" t="n">
        <v>5070</v>
      </c>
      <c r="U1592" s="16" t="n">
        <v>5070</v>
      </c>
      <c r="AC1592" s="23">
        <f>IF(OR(E1592="",E1592="[PARENT]"),"ADD",IF(E1592="[ALT_VIEW]","ALT",""))</f>
        <v/>
      </c>
      <c r="AD1592" s="21">
        <f>IF(Y1592&lt;&gt;"",Y1592,IF(U1592&lt;&gt;"",U1592,S1592))</f>
        <v/>
      </c>
      <c r="AE1592" s="21">
        <f>IF(AB1592&lt;&gt;"",AB1592,Z1592)</f>
        <v/>
      </c>
      <c r="AF1592" s="13" t="inlineStr">
        <is>
          <t>P-35 &gt; LHA Replacement &gt; Command, Control, Communication, Computer Intelligence Surveillance and Reconnaissance (C4ISR) PARM Code: PEO C4I &gt; Spares</t>
        </is>
      </c>
      <c r="AG1592" s="7" t="inlineStr">
        <is>
          <t>332</t>
        </is>
      </c>
      <c r="AH1592" s="7" t="inlineStr">
        <is>
          <t>3041</t>
        </is>
      </c>
    </row>
    <row r="1593" ht="10" customHeight="1">
      <c r="A1593" s="7" t="inlineStr">
        <is>
          <t>SCN</t>
        </is>
      </c>
      <c r="B1593" s="7" t="inlineStr">
        <is>
          <t>Procurement</t>
        </is>
      </c>
      <c r="D1593" s="7" t="inlineStr">
        <is>
          <t>LHA Replacement - P-35 Command, Control, Communication, Computer Intelligence Surveillance and Reconnaissance (C4ISR) PARM Code: PEO C4I - System Engineering</t>
        </is>
      </c>
      <c r="E1593" s="13" t="inlineStr">
        <is>
          <t>[ALT_VIEW]</t>
        </is>
      </c>
      <c r="F1593" s="7" t="inlineStr">
        <is>
          <t>3041 / LHA Replacement AP</t>
        </is>
      </c>
      <c r="G1593" s="7" t="inlineStr">
        <is>
          <t>P-35</t>
        </is>
      </c>
      <c r="I1593" s="14" t="n">
        <v>1</v>
      </c>
      <c r="J1593" s="7" t="inlineStr">
        <is>
          <t>Advance procurement / LLTM</t>
        </is>
      </c>
      <c r="K1593" s="13" t="inlineStr">
        <is>
          <t>USN</t>
        </is>
      </c>
      <c r="L1593" s="7" t="inlineStr">
        <is>
          <t>Combatant Ships</t>
        </is>
      </c>
      <c r="M1593" s="7" t="inlineStr">
        <is>
          <t>Amphibious Warfare Ships</t>
        </is>
      </c>
      <c r="N1593" s="7" t="inlineStr">
        <is>
          <t>LHA</t>
        </is>
      </c>
      <c r="O1593" s="15" t="n"/>
      <c r="S1593" s="16" t="n">
        <v>15493</v>
      </c>
      <c r="U1593" s="16" t="n">
        <v>15493</v>
      </c>
      <c r="AC1593" s="23">
        <f>IF(OR(E1593="",E1593="[PARENT]"),"ADD",IF(E1593="[ALT_VIEW]","ALT",""))</f>
        <v/>
      </c>
      <c r="AD1593" s="21">
        <f>IF(Y1593&lt;&gt;"",Y1593,IF(U1593&lt;&gt;"",U1593,S1593))</f>
        <v/>
      </c>
      <c r="AE1593" s="21">
        <f>IF(AB1593&lt;&gt;"",AB1593,Z1593)</f>
        <v/>
      </c>
      <c r="AF1593" s="13" t="inlineStr">
        <is>
          <t>P-35 &gt; LHA Replacement &gt; Command, Control, Communication, Computer Intelligence Surveillance and Reconnaissance (C4ISR) PARM Code: PEO C4I &gt; System Engineering</t>
        </is>
      </c>
      <c r="AG1593" s="7" t="inlineStr">
        <is>
          <t>332</t>
        </is>
      </c>
      <c r="AH1593" s="7" t="inlineStr">
        <is>
          <t>3041</t>
        </is>
      </c>
    </row>
    <row r="1594" ht="10" customHeight="1">
      <c r="A1594" s="7" t="inlineStr">
        <is>
          <t>SCN</t>
        </is>
      </c>
      <c r="B1594" s="7" t="inlineStr">
        <is>
          <t>Procurement</t>
        </is>
      </c>
      <c r="D1594" s="7" t="inlineStr">
        <is>
          <t>LHA Replacement - P-35 Command, Control, Communication, Computer Intelligence Surveillance and Reconnaissance (C4ISR) PARM Code: PEO C4I - Technical Engineering Services</t>
        </is>
      </c>
      <c r="E1594" s="13" t="inlineStr">
        <is>
          <t>[ALT_VIEW]</t>
        </is>
      </c>
      <c r="F1594" s="7" t="inlineStr">
        <is>
          <t>3041 / LHA Replacement AP</t>
        </is>
      </c>
      <c r="G1594" s="7" t="inlineStr">
        <is>
          <t>P-35</t>
        </is>
      </c>
      <c r="I1594" s="14" t="n">
        <v>1</v>
      </c>
      <c r="J1594" s="7" t="inlineStr">
        <is>
          <t>Advance procurement / LLTM</t>
        </is>
      </c>
      <c r="K1594" s="13" t="inlineStr">
        <is>
          <t>USN</t>
        </is>
      </c>
      <c r="L1594" s="7" t="inlineStr">
        <is>
          <t>Combatant Ships</t>
        </is>
      </c>
      <c r="M1594" s="7" t="inlineStr">
        <is>
          <t>Amphibious Warfare Ships</t>
        </is>
      </c>
      <c r="N1594" s="7" t="inlineStr">
        <is>
          <t>LHA</t>
        </is>
      </c>
      <c r="O1594" s="15" t="n"/>
      <c r="S1594" s="16" t="n">
        <v>28925</v>
      </c>
      <c r="U1594" s="16" t="n">
        <v>28925</v>
      </c>
      <c r="AC1594" s="23">
        <f>IF(OR(E1594="",E1594="[PARENT]"),"ADD",IF(E1594="[ALT_VIEW]","ALT",""))</f>
        <v/>
      </c>
      <c r="AD1594" s="21">
        <f>IF(Y1594&lt;&gt;"",Y1594,IF(U1594&lt;&gt;"",U1594,S1594))</f>
        <v/>
      </c>
      <c r="AE1594" s="21">
        <f>IF(AB1594&lt;&gt;"",AB1594,Z1594)</f>
        <v/>
      </c>
      <c r="AF1594" s="13" t="inlineStr">
        <is>
          <t>P-35 &gt; LHA Replacement &gt; Command, Control, Communication, Computer Intelligence Surveillance and Reconnaissance (C4ISR) PARM Code: PEO C4I &gt; Technical Engineering Services</t>
        </is>
      </c>
      <c r="AG1594" s="7" t="inlineStr">
        <is>
          <t>332</t>
        </is>
      </c>
      <c r="AH1594" s="7" t="inlineStr">
        <is>
          <t>3041</t>
        </is>
      </c>
    </row>
    <row r="1595" ht="10" customHeight="1">
      <c r="A1595" s="7" t="inlineStr">
        <is>
          <t>SCN</t>
        </is>
      </c>
      <c r="B1595" s="7" t="inlineStr">
        <is>
          <t>Procurement</t>
        </is>
      </c>
      <c r="D1595" s="7" t="inlineStr">
        <is>
          <t>LHA Replacement - P-35 Command, Control, Communication, Computer Intelligence Surveillance and Reconnaissance (C4ISR) PARM Code: PEO C4I - Other Costs</t>
        </is>
      </c>
      <c r="E1595" s="13" t="inlineStr">
        <is>
          <t>[ALT_VIEW]</t>
        </is>
      </c>
      <c r="F1595" s="7" t="inlineStr">
        <is>
          <t>3041 / LHA Replacement AP</t>
        </is>
      </c>
      <c r="G1595" s="7" t="inlineStr">
        <is>
          <t>P-35</t>
        </is>
      </c>
      <c r="I1595" s="14" t="n">
        <v>1</v>
      </c>
      <c r="J1595" s="7" t="inlineStr">
        <is>
          <t>Advance procurement / LLTM</t>
        </is>
      </c>
      <c r="K1595" s="13" t="inlineStr">
        <is>
          <t>USN</t>
        </is>
      </c>
      <c r="L1595" s="7" t="inlineStr">
        <is>
          <t>Combatant Ships</t>
        </is>
      </c>
      <c r="M1595" s="7" t="inlineStr">
        <is>
          <t>Amphibious Warfare Ships</t>
        </is>
      </c>
      <c r="N1595" s="7" t="inlineStr">
        <is>
          <t>LHA</t>
        </is>
      </c>
      <c r="O1595" s="15" t="n"/>
      <c r="S1595" s="16" t="n">
        <v>24696</v>
      </c>
      <c r="U1595" s="16" t="n">
        <v>24696</v>
      </c>
      <c r="AC1595" s="23">
        <f>IF(OR(E1595="",E1595="[PARENT]"),"ADD",IF(E1595="[ALT_VIEW]","ALT",""))</f>
        <v/>
      </c>
      <c r="AD1595" s="21">
        <f>IF(Y1595&lt;&gt;"",Y1595,IF(U1595&lt;&gt;"",U1595,S1595))</f>
        <v/>
      </c>
      <c r="AE1595" s="21">
        <f>IF(AB1595&lt;&gt;"",AB1595,Z1595)</f>
        <v/>
      </c>
      <c r="AF1595" s="13" t="inlineStr">
        <is>
          <t>P-35 &gt; LHA Replacement &gt; Command, Control, Communication, Computer Intelligence Surveillance and Reconnaissance (C4ISR) PARM Code: PEO C4I &gt; Other Costs</t>
        </is>
      </c>
      <c r="AG1595" s="7" t="inlineStr">
        <is>
          <t>332</t>
        </is>
      </c>
      <c r="AH1595" s="7" t="inlineStr">
        <is>
          <t>3041</t>
        </is>
      </c>
      <c r="AJ1595" s="7" t="inlineStr">
        <is>
          <t>Other Costs</t>
        </is>
      </c>
    </row>
    <row r="1596" ht="10" customHeight="1">
      <c r="A1596" s="7" t="inlineStr">
        <is>
          <t>SCN</t>
        </is>
      </c>
      <c r="B1596" s="7" t="inlineStr">
        <is>
          <t>Procurement</t>
        </is>
      </c>
      <c r="D1596" s="7" t="inlineStr">
        <is>
          <t>LHA Replacement - P-35 MK 2 MOD 4E Ship Self Defense System (SSDS) - Major Hardware                                                                                                                                                 1</t>
        </is>
      </c>
      <c r="E1596" s="13" t="inlineStr">
        <is>
          <t>[ALT_VIEW]</t>
        </is>
      </c>
      <c r="F1596" s="7" t="inlineStr">
        <is>
          <t>3041 / LHA Replacement AP</t>
        </is>
      </c>
      <c r="G1596" s="7" t="inlineStr">
        <is>
          <t>P-35</t>
        </is>
      </c>
      <c r="I1596" s="14" t="n">
        <v>1</v>
      </c>
      <c r="J1596" s="7" t="inlineStr">
        <is>
          <t>Advance procurement / LLTM</t>
        </is>
      </c>
      <c r="K1596" s="13" t="inlineStr">
        <is>
          <t>USN</t>
        </is>
      </c>
      <c r="L1596" s="7" t="inlineStr">
        <is>
          <t>Combatant Ships</t>
        </is>
      </c>
      <c r="M1596" s="7" t="inlineStr">
        <is>
          <t>Amphibious Warfare Ships</t>
        </is>
      </c>
      <c r="N1596" s="7" t="inlineStr">
        <is>
          <t>LHA</t>
        </is>
      </c>
      <c r="O1596" s="15" t="n"/>
      <c r="S1596" s="16" t="n">
        <v>21824</v>
      </c>
      <c r="U1596" s="16" t="n">
        <v>21824</v>
      </c>
      <c r="AC1596" s="23">
        <f>IF(OR(E1596="",E1596="[PARENT]"),"ADD",IF(E1596="[ALT_VIEW]","ALT",""))</f>
        <v/>
      </c>
      <c r="AD1596" s="21">
        <f>IF(Y1596&lt;&gt;"",Y1596,IF(U1596&lt;&gt;"",U1596,S1596))</f>
        <v/>
      </c>
      <c r="AE1596" s="21">
        <f>IF(AB1596&lt;&gt;"",AB1596,Z1596)</f>
        <v/>
      </c>
      <c r="AF1596" s="13" t="inlineStr">
        <is>
          <t>P-35 &gt; LHA Replacement &gt; MK 2 MOD 4E Ship Self Defense System (SSDS) &gt; Major Hardware                                                                                                                                                 1</t>
        </is>
      </c>
      <c r="AG1596" s="7" t="inlineStr">
        <is>
          <t>333</t>
        </is>
      </c>
      <c r="AH1596" s="7" t="inlineStr">
        <is>
          <t>3041</t>
        </is>
      </c>
    </row>
    <row r="1597" ht="10" customHeight="1">
      <c r="A1597" s="7" t="inlineStr">
        <is>
          <t>SCN</t>
        </is>
      </c>
      <c r="B1597" s="7" t="inlineStr">
        <is>
          <t>Procurement</t>
        </is>
      </c>
      <c r="D1597" s="7" t="inlineStr">
        <is>
          <t>LHA Replacement - P-35 MK 2 MOD 4E Ship Self Defense System (SSDS) - Technical Data and Documentation</t>
        </is>
      </c>
      <c r="E1597" s="13" t="inlineStr">
        <is>
          <t>[ALT_VIEW]</t>
        </is>
      </c>
      <c r="F1597" s="7" t="inlineStr">
        <is>
          <t>3041 / LHA Replacement AP</t>
        </is>
      </c>
      <c r="G1597" s="7" t="inlineStr">
        <is>
          <t>P-35</t>
        </is>
      </c>
      <c r="I1597" s="14" t="n">
        <v>1</v>
      </c>
      <c r="J1597" s="7" t="inlineStr">
        <is>
          <t>Advance procurement / LLTM</t>
        </is>
      </c>
      <c r="K1597" s="13" t="inlineStr">
        <is>
          <t>USN</t>
        </is>
      </c>
      <c r="L1597" s="7" t="inlineStr">
        <is>
          <t>Combatant Ships</t>
        </is>
      </c>
      <c r="M1597" s="7" t="inlineStr">
        <is>
          <t>Amphibious Warfare Ships</t>
        </is>
      </c>
      <c r="N1597" s="7" t="inlineStr">
        <is>
          <t>LHA</t>
        </is>
      </c>
      <c r="O1597" s="15" t="n"/>
      <c r="S1597" s="16" t="n">
        <v>689</v>
      </c>
      <c r="U1597" s="16" t="n">
        <v>689</v>
      </c>
      <c r="AC1597" s="23">
        <f>IF(OR(E1597="",E1597="[PARENT]"),"ADD",IF(E1597="[ALT_VIEW]","ALT",""))</f>
        <v/>
      </c>
      <c r="AD1597" s="21">
        <f>IF(Y1597&lt;&gt;"",Y1597,IF(U1597&lt;&gt;"",U1597,S1597))</f>
        <v/>
      </c>
      <c r="AE1597" s="21">
        <f>IF(AB1597&lt;&gt;"",AB1597,Z1597)</f>
        <v/>
      </c>
      <c r="AF1597" s="13" t="inlineStr">
        <is>
          <t>P-35 &gt; LHA Replacement &gt; MK 2 MOD 4E Ship Self Defense System (SSDS) &gt; Technical Data and Documentation</t>
        </is>
      </c>
      <c r="AG1597" s="7" t="inlineStr">
        <is>
          <t>333</t>
        </is>
      </c>
      <c r="AH1597" s="7" t="inlineStr">
        <is>
          <t>3041</t>
        </is>
      </c>
    </row>
    <row r="1598" ht="10" customHeight="1">
      <c r="A1598" s="7" t="inlineStr">
        <is>
          <t>SCN</t>
        </is>
      </c>
      <c r="B1598" s="7" t="inlineStr">
        <is>
          <t>Procurement</t>
        </is>
      </c>
      <c r="D1598" s="7" t="inlineStr">
        <is>
          <t>LHA Replacement - P-35 MK 2 MOD 4E Ship Self Defense System (SSDS) - Spares</t>
        </is>
      </c>
      <c r="E1598" s="13" t="inlineStr">
        <is>
          <t>[ALT_VIEW]</t>
        </is>
      </c>
      <c r="F1598" s="7" t="inlineStr">
        <is>
          <t>3041 / LHA Replacement AP</t>
        </is>
      </c>
      <c r="G1598" s="7" t="inlineStr">
        <is>
          <t>P-35</t>
        </is>
      </c>
      <c r="I1598" s="14" t="n">
        <v>1</v>
      </c>
      <c r="J1598" s="7" t="inlineStr">
        <is>
          <t>Advance procurement / LLTM</t>
        </is>
      </c>
      <c r="K1598" s="13" t="inlineStr">
        <is>
          <t>USN</t>
        </is>
      </c>
      <c r="L1598" s="7" t="inlineStr">
        <is>
          <t>Combatant Ships</t>
        </is>
      </c>
      <c r="M1598" s="7" t="inlineStr">
        <is>
          <t>Amphibious Warfare Ships</t>
        </is>
      </c>
      <c r="N1598" s="7" t="inlineStr">
        <is>
          <t>LHA</t>
        </is>
      </c>
      <c r="O1598" s="15" t="n"/>
      <c r="S1598" s="16" t="n">
        <v>1434</v>
      </c>
      <c r="U1598" s="16" t="n">
        <v>1434</v>
      </c>
      <c r="AC1598" s="23">
        <f>IF(OR(E1598="",E1598="[PARENT]"),"ADD",IF(E1598="[ALT_VIEW]","ALT",""))</f>
        <v/>
      </c>
      <c r="AD1598" s="21">
        <f>IF(Y1598&lt;&gt;"",Y1598,IF(U1598&lt;&gt;"",U1598,S1598))</f>
        <v/>
      </c>
      <c r="AE1598" s="21">
        <f>IF(AB1598&lt;&gt;"",AB1598,Z1598)</f>
        <v/>
      </c>
      <c r="AF1598" s="13" t="inlineStr">
        <is>
          <t>P-35 &gt; LHA Replacement &gt; MK 2 MOD 4E Ship Self Defense System (SSDS) &gt; Spares</t>
        </is>
      </c>
      <c r="AG1598" s="7" t="inlineStr">
        <is>
          <t>333</t>
        </is>
      </c>
      <c r="AH1598" s="7" t="inlineStr">
        <is>
          <t>3041</t>
        </is>
      </c>
    </row>
    <row r="1599" ht="10" customHeight="1">
      <c r="A1599" s="7" t="inlineStr">
        <is>
          <t>SCN</t>
        </is>
      </c>
      <c r="B1599" s="7" t="inlineStr">
        <is>
          <t>Procurement</t>
        </is>
      </c>
      <c r="D1599" s="7" t="inlineStr">
        <is>
          <t>LHA Replacement - P-35 MK 2 MOD 4E Ship Self Defense System (SSDS) - System Engineering</t>
        </is>
      </c>
      <c r="E1599" s="13" t="inlineStr">
        <is>
          <t>[ALT_VIEW]</t>
        </is>
      </c>
      <c r="F1599" s="7" t="inlineStr">
        <is>
          <t>3041 / LHA Replacement AP</t>
        </is>
      </c>
      <c r="G1599" s="7" t="inlineStr">
        <is>
          <t>P-35</t>
        </is>
      </c>
      <c r="I1599" s="14" t="n">
        <v>1</v>
      </c>
      <c r="J1599" s="7" t="inlineStr">
        <is>
          <t>Advance procurement / LLTM</t>
        </is>
      </c>
      <c r="K1599" s="13" t="inlineStr">
        <is>
          <t>USN</t>
        </is>
      </c>
      <c r="L1599" s="7" t="inlineStr">
        <is>
          <t>Combatant Ships</t>
        </is>
      </c>
      <c r="M1599" s="7" t="inlineStr">
        <is>
          <t>Amphibious Warfare Ships</t>
        </is>
      </c>
      <c r="N1599" s="7" t="inlineStr">
        <is>
          <t>LHA</t>
        </is>
      </c>
      <c r="O1599" s="15" t="n"/>
      <c r="S1599" s="16" t="n">
        <v>2026</v>
      </c>
      <c r="U1599" s="16" t="n">
        <v>2026</v>
      </c>
      <c r="AC1599" s="23">
        <f>IF(OR(E1599="",E1599="[PARENT]"),"ADD",IF(E1599="[ALT_VIEW]","ALT",""))</f>
        <v/>
      </c>
      <c r="AD1599" s="21">
        <f>IF(Y1599&lt;&gt;"",Y1599,IF(U1599&lt;&gt;"",U1599,S1599))</f>
        <v/>
      </c>
      <c r="AE1599" s="21">
        <f>IF(AB1599&lt;&gt;"",AB1599,Z1599)</f>
        <v/>
      </c>
      <c r="AF1599" s="13" t="inlineStr">
        <is>
          <t>P-35 &gt; LHA Replacement &gt; MK 2 MOD 4E Ship Self Defense System (SSDS) &gt; System Engineering</t>
        </is>
      </c>
      <c r="AG1599" s="7" t="inlineStr">
        <is>
          <t>333</t>
        </is>
      </c>
      <c r="AH1599" s="7" t="inlineStr">
        <is>
          <t>3041</t>
        </is>
      </c>
    </row>
    <row r="1600" ht="10" customHeight="1">
      <c r="A1600" s="7" t="inlineStr">
        <is>
          <t>SCN</t>
        </is>
      </c>
      <c r="B1600" s="7" t="inlineStr">
        <is>
          <t>Procurement</t>
        </is>
      </c>
      <c r="D1600" s="7" t="inlineStr">
        <is>
          <t>LHA Replacement - P-35 MK 2 MOD 4E Ship Self Defense System (SSDS) - Technical Engineering Services</t>
        </is>
      </c>
      <c r="E1600" s="13" t="inlineStr">
        <is>
          <t>[ALT_VIEW]</t>
        </is>
      </c>
      <c r="F1600" s="7" t="inlineStr">
        <is>
          <t>3041 / LHA Replacement AP</t>
        </is>
      </c>
      <c r="G1600" s="7" t="inlineStr">
        <is>
          <t>P-35</t>
        </is>
      </c>
      <c r="I1600" s="14" t="n">
        <v>1</v>
      </c>
      <c r="J1600" s="7" t="inlineStr">
        <is>
          <t>Advance procurement / LLTM</t>
        </is>
      </c>
      <c r="K1600" s="13" t="inlineStr">
        <is>
          <t>USN</t>
        </is>
      </c>
      <c r="L1600" s="7" t="inlineStr">
        <is>
          <t>Combatant Ships</t>
        </is>
      </c>
      <c r="M1600" s="7" t="inlineStr">
        <is>
          <t>Amphibious Warfare Ships</t>
        </is>
      </c>
      <c r="N1600" s="7" t="inlineStr">
        <is>
          <t>LHA</t>
        </is>
      </c>
      <c r="O1600" s="15" t="n"/>
      <c r="S1600" s="16" t="n">
        <v>1229</v>
      </c>
      <c r="U1600" s="16" t="n">
        <v>1229</v>
      </c>
      <c r="AC1600" s="23">
        <f>IF(OR(E1600="",E1600="[PARENT]"),"ADD",IF(E1600="[ALT_VIEW]","ALT",""))</f>
        <v/>
      </c>
      <c r="AD1600" s="21">
        <f>IF(Y1600&lt;&gt;"",Y1600,IF(U1600&lt;&gt;"",U1600,S1600))</f>
        <v/>
      </c>
      <c r="AE1600" s="21">
        <f>IF(AB1600&lt;&gt;"",AB1600,Z1600)</f>
        <v/>
      </c>
      <c r="AF1600" s="13" t="inlineStr">
        <is>
          <t>P-35 &gt; LHA Replacement &gt; MK 2 MOD 4E Ship Self Defense System (SSDS) &gt; Technical Engineering Services</t>
        </is>
      </c>
      <c r="AG1600" s="7" t="inlineStr">
        <is>
          <t>333</t>
        </is>
      </c>
      <c r="AH1600" s="7" t="inlineStr">
        <is>
          <t>3041</t>
        </is>
      </c>
    </row>
    <row r="1601" ht="10" customHeight="1">
      <c r="A1601" s="7" t="inlineStr">
        <is>
          <t>SCN</t>
        </is>
      </c>
      <c r="B1601" s="7" t="inlineStr">
        <is>
          <t>Procurement</t>
        </is>
      </c>
      <c r="D1601" s="7" t="inlineStr">
        <is>
          <t>LHA Replacement - P-35 MK 2 MOD 4E Ship Self Defense System (SSDS) - Other Costs</t>
        </is>
      </c>
      <c r="E1601" s="13" t="inlineStr">
        <is>
          <t>[ALT_VIEW]</t>
        </is>
      </c>
      <c r="F1601" s="7" t="inlineStr">
        <is>
          <t>3041 / LHA Replacement AP</t>
        </is>
      </c>
      <c r="G1601" s="7" t="inlineStr">
        <is>
          <t>P-35</t>
        </is>
      </c>
      <c r="I1601" s="14" t="n">
        <v>1</v>
      </c>
      <c r="J1601" s="7" t="inlineStr">
        <is>
          <t>Advance procurement / LLTM</t>
        </is>
      </c>
      <c r="K1601" s="13" t="inlineStr">
        <is>
          <t>USN</t>
        </is>
      </c>
      <c r="L1601" s="7" t="inlineStr">
        <is>
          <t>Combatant Ships</t>
        </is>
      </c>
      <c r="M1601" s="7" t="inlineStr">
        <is>
          <t>Amphibious Warfare Ships</t>
        </is>
      </c>
      <c r="N1601" s="7" t="inlineStr">
        <is>
          <t>LHA</t>
        </is>
      </c>
      <c r="O1601" s="15" t="n"/>
      <c r="S1601" s="16" t="n">
        <v>8106</v>
      </c>
      <c r="U1601" s="16" t="n">
        <v>8106</v>
      </c>
      <c r="AC1601" s="23">
        <f>IF(OR(E1601="",E1601="[PARENT]"),"ADD",IF(E1601="[ALT_VIEW]","ALT",""))</f>
        <v/>
      </c>
      <c r="AD1601" s="21">
        <f>IF(Y1601&lt;&gt;"",Y1601,IF(U1601&lt;&gt;"",U1601,S1601))</f>
        <v/>
      </c>
      <c r="AE1601" s="21">
        <f>IF(AB1601&lt;&gt;"",AB1601,Z1601)</f>
        <v/>
      </c>
      <c r="AF1601" s="13" t="inlineStr">
        <is>
          <t>P-35 &gt; LHA Replacement &gt; MK 2 MOD 4E Ship Self Defense System (SSDS) &gt; Other Costs</t>
        </is>
      </c>
      <c r="AG1601" s="7" t="inlineStr">
        <is>
          <t>333</t>
        </is>
      </c>
      <c r="AH1601" s="7" t="inlineStr">
        <is>
          <t>3041</t>
        </is>
      </c>
    </row>
    <row r="1602" ht="10" customHeight="1">
      <c r="A1602" s="7" t="inlineStr">
        <is>
          <t>SCN</t>
        </is>
      </c>
      <c r="B1602" s="7" t="inlineStr">
        <is>
          <t>Procurement</t>
        </is>
      </c>
      <c r="D1602" s="7" t="inlineStr">
        <is>
          <t>LHA Replacement - P-35 Integrated Voice Network (IVN) - Major Hardware                                                                                                                                                  1</t>
        </is>
      </c>
      <c r="E1602" s="13" t="inlineStr">
        <is>
          <t>[ALT_VIEW]</t>
        </is>
      </c>
      <c r="F1602" s="7" t="inlineStr">
        <is>
          <t>3041 / LHA Replacement AP</t>
        </is>
      </c>
      <c r="G1602" s="7" t="inlineStr">
        <is>
          <t>P-35</t>
        </is>
      </c>
      <c r="I1602" s="14" t="n">
        <v>1</v>
      </c>
      <c r="J1602" s="7" t="inlineStr">
        <is>
          <t>Advance procurement / LLTM</t>
        </is>
      </c>
      <c r="K1602" s="13" t="inlineStr">
        <is>
          <t>USN</t>
        </is>
      </c>
      <c r="L1602" s="7" t="inlineStr">
        <is>
          <t>Combatant Ships</t>
        </is>
      </c>
      <c r="M1602" s="7" t="inlineStr">
        <is>
          <t>Amphibious Warfare Ships</t>
        </is>
      </c>
      <c r="N1602" s="7" t="inlineStr">
        <is>
          <t>LHA</t>
        </is>
      </c>
      <c r="O1602" s="15" t="n"/>
      <c r="S1602" s="16" t="n">
        <v>6772</v>
      </c>
      <c r="U1602" s="16" t="n">
        <v>6772</v>
      </c>
      <c r="AC1602" s="23">
        <f>IF(OR(E1602="",E1602="[PARENT]"),"ADD",IF(E1602="[ALT_VIEW]","ALT",""))</f>
        <v/>
      </c>
      <c r="AD1602" s="21">
        <f>IF(Y1602&lt;&gt;"",Y1602,IF(U1602&lt;&gt;"",U1602,S1602))</f>
        <v/>
      </c>
      <c r="AE1602" s="21">
        <f>IF(AB1602&lt;&gt;"",AB1602,Z1602)</f>
        <v/>
      </c>
      <c r="AF1602" s="13" t="inlineStr">
        <is>
          <t>P-35 &gt; LHA Replacement &gt; Integrated Voice Network (IVN) &gt; Major Hardware                                                                                                                                                  1</t>
        </is>
      </c>
      <c r="AG1602" s="7" t="inlineStr">
        <is>
          <t>334</t>
        </is>
      </c>
      <c r="AH1602" s="7" t="inlineStr">
        <is>
          <t>3041</t>
        </is>
      </c>
    </row>
    <row r="1603" ht="10" customHeight="1">
      <c r="A1603" s="7" t="inlineStr">
        <is>
          <t>SCN</t>
        </is>
      </c>
      <c r="B1603" s="7" t="inlineStr">
        <is>
          <t>Procurement</t>
        </is>
      </c>
      <c r="D1603" s="7" t="inlineStr">
        <is>
          <t>LHA Replacement - P-35 Integrated Voice Network (IVN) - Technical Data and Documentation</t>
        </is>
      </c>
      <c r="E1603" s="13" t="inlineStr">
        <is>
          <t>[ALT_VIEW]</t>
        </is>
      </c>
      <c r="F1603" s="7" t="inlineStr">
        <is>
          <t>3041 / LHA Replacement AP</t>
        </is>
      </c>
      <c r="G1603" s="7" t="inlineStr">
        <is>
          <t>P-35</t>
        </is>
      </c>
      <c r="I1603" s="14" t="n">
        <v>1</v>
      </c>
      <c r="J1603" s="7" t="inlineStr">
        <is>
          <t>Advance procurement / LLTM</t>
        </is>
      </c>
      <c r="K1603" s="13" t="inlineStr">
        <is>
          <t>USN</t>
        </is>
      </c>
      <c r="L1603" s="7" t="inlineStr">
        <is>
          <t>Combatant Ships</t>
        </is>
      </c>
      <c r="M1603" s="7" t="inlineStr">
        <is>
          <t>Amphibious Warfare Ships</t>
        </is>
      </c>
      <c r="N1603" s="7" t="inlineStr">
        <is>
          <t>LHA</t>
        </is>
      </c>
      <c r="O1603" s="15" t="n"/>
      <c r="S1603" s="16" t="n">
        <v>125</v>
      </c>
      <c r="U1603" s="16" t="n">
        <v>125</v>
      </c>
      <c r="AC1603" s="23">
        <f>IF(OR(E1603="",E1603="[PARENT]"),"ADD",IF(E1603="[ALT_VIEW]","ALT",""))</f>
        <v/>
      </c>
      <c r="AD1603" s="21">
        <f>IF(Y1603&lt;&gt;"",Y1603,IF(U1603&lt;&gt;"",U1603,S1603))</f>
        <v/>
      </c>
      <c r="AE1603" s="21">
        <f>IF(AB1603&lt;&gt;"",AB1603,Z1603)</f>
        <v/>
      </c>
      <c r="AF1603" s="13" t="inlineStr">
        <is>
          <t>P-35 &gt; LHA Replacement &gt; Integrated Voice Network (IVN) &gt; Technical Data and Documentation</t>
        </is>
      </c>
      <c r="AG1603" s="7" t="inlineStr">
        <is>
          <t>334</t>
        </is>
      </c>
      <c r="AH1603" s="7" t="inlineStr">
        <is>
          <t>3041</t>
        </is>
      </c>
    </row>
    <row r="1604" ht="10" customHeight="1">
      <c r="A1604" s="7" t="inlineStr">
        <is>
          <t>SCN</t>
        </is>
      </c>
      <c r="B1604" s="7" t="inlineStr">
        <is>
          <t>Procurement</t>
        </is>
      </c>
      <c r="D1604" s="7" t="inlineStr">
        <is>
          <t>LHA Replacement - P-35 Integrated Voice Network (IVN) - System Engineering</t>
        </is>
      </c>
      <c r="E1604" s="13" t="inlineStr">
        <is>
          <t>[ALT_VIEW]</t>
        </is>
      </c>
      <c r="F1604" s="7" t="inlineStr">
        <is>
          <t>3041 / LHA Replacement AP</t>
        </is>
      </c>
      <c r="G1604" s="7" t="inlineStr">
        <is>
          <t>P-35</t>
        </is>
      </c>
      <c r="I1604" s="14" t="n">
        <v>1</v>
      </c>
      <c r="J1604" s="7" t="inlineStr">
        <is>
          <t>Advance procurement / LLTM</t>
        </is>
      </c>
      <c r="K1604" s="13" t="inlineStr">
        <is>
          <t>USN</t>
        </is>
      </c>
      <c r="L1604" s="7" t="inlineStr">
        <is>
          <t>Combatant Ships</t>
        </is>
      </c>
      <c r="M1604" s="7" t="inlineStr">
        <is>
          <t>Amphibious Warfare Ships</t>
        </is>
      </c>
      <c r="N1604" s="7" t="inlineStr">
        <is>
          <t>LHA</t>
        </is>
      </c>
      <c r="O1604" s="15" t="n"/>
      <c r="S1604" s="16" t="n">
        <v>876</v>
      </c>
      <c r="U1604" s="16" t="n">
        <v>876</v>
      </c>
      <c r="AC1604" s="23">
        <f>IF(OR(E1604="",E1604="[PARENT]"),"ADD",IF(E1604="[ALT_VIEW]","ALT",""))</f>
        <v/>
      </c>
      <c r="AD1604" s="21">
        <f>IF(Y1604&lt;&gt;"",Y1604,IF(U1604&lt;&gt;"",U1604,S1604))</f>
        <v/>
      </c>
      <c r="AE1604" s="21">
        <f>IF(AB1604&lt;&gt;"",AB1604,Z1604)</f>
        <v/>
      </c>
      <c r="AF1604" s="13" t="inlineStr">
        <is>
          <t>P-35 &gt; LHA Replacement &gt; Integrated Voice Network (IVN) &gt; System Engineering</t>
        </is>
      </c>
      <c r="AG1604" s="7" t="inlineStr">
        <is>
          <t>334</t>
        </is>
      </c>
      <c r="AH1604" s="7" t="inlineStr">
        <is>
          <t>3041</t>
        </is>
      </c>
    </row>
    <row r="1605" ht="10" customHeight="1">
      <c r="A1605" s="7" t="inlineStr">
        <is>
          <t>SCN</t>
        </is>
      </c>
      <c r="B1605" s="7" t="inlineStr">
        <is>
          <t>Procurement</t>
        </is>
      </c>
      <c r="D1605" s="7" t="inlineStr">
        <is>
          <t>LHA Replacement - P-35 Integrated Voice Network (IVN) - Technical Engineering Services</t>
        </is>
      </c>
      <c r="E1605" s="13" t="inlineStr">
        <is>
          <t>[ALT_VIEW]</t>
        </is>
      </c>
      <c r="F1605" s="7" t="inlineStr">
        <is>
          <t>3041 / LHA Replacement AP</t>
        </is>
      </c>
      <c r="G1605" s="7" t="inlineStr">
        <is>
          <t>P-35</t>
        </is>
      </c>
      <c r="I1605" s="14" t="n">
        <v>1</v>
      </c>
      <c r="J1605" s="7" t="inlineStr">
        <is>
          <t>Advance procurement / LLTM</t>
        </is>
      </c>
      <c r="K1605" s="13" t="inlineStr">
        <is>
          <t>USN</t>
        </is>
      </c>
      <c r="L1605" s="7" t="inlineStr">
        <is>
          <t>Combatant Ships</t>
        </is>
      </c>
      <c r="M1605" s="7" t="inlineStr">
        <is>
          <t>Amphibious Warfare Ships</t>
        </is>
      </c>
      <c r="N1605" s="7" t="inlineStr">
        <is>
          <t>LHA</t>
        </is>
      </c>
      <c r="O1605" s="15" t="n"/>
      <c r="S1605" s="16" t="n">
        <v>1571</v>
      </c>
      <c r="U1605" s="16" t="n">
        <v>1571</v>
      </c>
      <c r="AC1605" s="23">
        <f>IF(OR(E1605="",E1605="[PARENT]"),"ADD",IF(E1605="[ALT_VIEW]","ALT",""))</f>
        <v/>
      </c>
      <c r="AD1605" s="21">
        <f>IF(Y1605&lt;&gt;"",Y1605,IF(U1605&lt;&gt;"",U1605,S1605))</f>
        <v/>
      </c>
      <c r="AE1605" s="21">
        <f>IF(AB1605&lt;&gt;"",AB1605,Z1605)</f>
        <v/>
      </c>
      <c r="AF1605" s="13" t="inlineStr">
        <is>
          <t>P-35 &gt; LHA Replacement &gt; Integrated Voice Network (IVN) &gt; Technical Engineering Services</t>
        </is>
      </c>
      <c r="AG1605" s="7" t="inlineStr">
        <is>
          <t>334</t>
        </is>
      </c>
      <c r="AH1605" s="7" t="inlineStr">
        <is>
          <t>3041</t>
        </is>
      </c>
    </row>
    <row r="1606" ht="10" customHeight="1">
      <c r="A1606" s="7" t="inlineStr">
        <is>
          <t>SCN</t>
        </is>
      </c>
      <c r="B1606" s="7" t="inlineStr">
        <is>
          <t>Procurement</t>
        </is>
      </c>
      <c r="D1606" s="7" t="inlineStr">
        <is>
          <t>LHA Replacement - P-35 Integrated Voice Network (IVN) - Other Costs</t>
        </is>
      </c>
      <c r="E1606" s="13" t="inlineStr">
        <is>
          <t>[ALT_VIEW]</t>
        </is>
      </c>
      <c r="F1606" s="7" t="inlineStr">
        <is>
          <t>3041 / LHA Replacement AP</t>
        </is>
      </c>
      <c r="G1606" s="7" t="inlineStr">
        <is>
          <t>P-35</t>
        </is>
      </c>
      <c r="I1606" s="14" t="n">
        <v>1</v>
      </c>
      <c r="J1606" s="7" t="inlineStr">
        <is>
          <t>Advance procurement / LLTM</t>
        </is>
      </c>
      <c r="K1606" s="13" t="inlineStr">
        <is>
          <t>USN</t>
        </is>
      </c>
      <c r="L1606" s="7" t="inlineStr">
        <is>
          <t>Combatant Ships</t>
        </is>
      </c>
      <c r="M1606" s="7" t="inlineStr">
        <is>
          <t>Amphibious Warfare Ships</t>
        </is>
      </c>
      <c r="N1606" s="7" t="inlineStr">
        <is>
          <t>LHA</t>
        </is>
      </c>
      <c r="O1606" s="15" t="n"/>
      <c r="S1606" s="16" t="n">
        <v>874</v>
      </c>
      <c r="U1606" s="16" t="n">
        <v>874</v>
      </c>
      <c r="AC1606" s="23">
        <f>IF(OR(E1606="",E1606="[PARENT]"),"ADD",IF(E1606="[ALT_VIEW]","ALT",""))</f>
        <v/>
      </c>
      <c r="AD1606" s="21">
        <f>IF(Y1606&lt;&gt;"",Y1606,IF(U1606&lt;&gt;"",U1606,S1606))</f>
        <v/>
      </c>
      <c r="AE1606" s="21">
        <f>IF(AB1606&lt;&gt;"",AB1606,Z1606)</f>
        <v/>
      </c>
      <c r="AF1606" s="13" t="inlineStr">
        <is>
          <t>P-35 &gt; LHA Replacement &gt; Integrated Voice Network (IVN) &gt; Other Costs</t>
        </is>
      </c>
      <c r="AG1606" s="7" t="inlineStr">
        <is>
          <t>334</t>
        </is>
      </c>
      <c r="AH1606" s="7" t="inlineStr">
        <is>
          <t>3041</t>
        </is>
      </c>
    </row>
    <row r="1607" ht="10" customHeight="1">
      <c r="A1607" s="7" t="inlineStr">
        <is>
          <t>SCN</t>
        </is>
      </c>
      <c r="B1607" s="7" t="inlineStr">
        <is>
          <t>Procurement</t>
        </is>
      </c>
      <c r="D1607" s="7" t="inlineStr">
        <is>
          <t>LHA Replacement - P-35 AN/SLQ-32(V), Surface Warfare Improvement Program (SEWIP) - Major Hardware                                                                                                                                                   1</t>
        </is>
      </c>
      <c r="E1607" s="13" t="inlineStr">
        <is>
          <t>[ALT_VIEW]</t>
        </is>
      </c>
      <c r="F1607" s="7" t="inlineStr">
        <is>
          <t>3041 / LHA Replacement AP</t>
        </is>
      </c>
      <c r="G1607" s="7" t="inlineStr">
        <is>
          <t>P-35</t>
        </is>
      </c>
      <c r="I1607" s="14" t="n">
        <v>1</v>
      </c>
      <c r="J1607" s="7" t="inlineStr">
        <is>
          <t>Advance procurement / LLTM</t>
        </is>
      </c>
      <c r="K1607" s="13" t="inlineStr">
        <is>
          <t>USN</t>
        </is>
      </c>
      <c r="L1607" s="7" t="inlineStr">
        <is>
          <t>Combatant Ships</t>
        </is>
      </c>
      <c r="M1607" s="7" t="inlineStr">
        <is>
          <t>Amphibious Warfare Ships</t>
        </is>
      </c>
      <c r="N1607" s="7" t="inlineStr">
        <is>
          <t>LHA</t>
        </is>
      </c>
      <c r="O1607" s="15" t="n"/>
      <c r="S1607" s="16" t="n">
        <v>12607</v>
      </c>
      <c r="U1607" s="16" t="n">
        <v>12607</v>
      </c>
      <c r="AC1607" s="23">
        <f>IF(OR(E1607="",E1607="[PARENT]"),"ADD",IF(E1607="[ALT_VIEW]","ALT",""))</f>
        <v/>
      </c>
      <c r="AD1607" s="21">
        <f>IF(Y1607&lt;&gt;"",Y1607,IF(U1607&lt;&gt;"",U1607,S1607))</f>
        <v/>
      </c>
      <c r="AE1607" s="21">
        <f>IF(AB1607&lt;&gt;"",AB1607,Z1607)</f>
        <v/>
      </c>
      <c r="AF1607" s="13" t="inlineStr">
        <is>
          <t>P-35 &gt; LHA Replacement &gt; AN/SLQ-32(V), Surface Warfare Improvement Program (SEWIP) &gt; Major Hardware                                                                                                                                                   1</t>
        </is>
      </c>
      <c r="AG1607" s="7" t="inlineStr">
        <is>
          <t>335</t>
        </is>
      </c>
      <c r="AH1607" s="7" t="inlineStr">
        <is>
          <t>3041</t>
        </is>
      </c>
    </row>
    <row r="1608" ht="10" customHeight="1">
      <c r="A1608" s="7" t="inlineStr">
        <is>
          <t>SCN</t>
        </is>
      </c>
      <c r="B1608" s="7" t="inlineStr">
        <is>
          <t>Procurement</t>
        </is>
      </c>
      <c r="D1608" s="7" t="inlineStr">
        <is>
          <t>LHA Replacement - P-35 AN/SLQ-32(V), Surface Warfare Improvement Program (SEWIP) - Technical Data and Documentation</t>
        </is>
      </c>
      <c r="E1608" s="13" t="inlineStr">
        <is>
          <t>[ALT_VIEW]</t>
        </is>
      </c>
      <c r="F1608" s="7" t="inlineStr">
        <is>
          <t>3041 / LHA Replacement AP</t>
        </is>
      </c>
      <c r="G1608" s="7" t="inlineStr">
        <is>
          <t>P-35</t>
        </is>
      </c>
      <c r="I1608" s="14" t="n">
        <v>1</v>
      </c>
      <c r="J1608" s="7" t="inlineStr">
        <is>
          <t>Advance procurement / LLTM</t>
        </is>
      </c>
      <c r="K1608" s="13" t="inlineStr">
        <is>
          <t>USN</t>
        </is>
      </c>
      <c r="L1608" s="7" t="inlineStr">
        <is>
          <t>Combatant Ships</t>
        </is>
      </c>
      <c r="M1608" s="7" t="inlineStr">
        <is>
          <t>Amphibious Warfare Ships</t>
        </is>
      </c>
      <c r="N1608" s="7" t="inlineStr">
        <is>
          <t>LHA</t>
        </is>
      </c>
      <c r="O1608" s="15" t="n"/>
      <c r="S1608" s="16" t="n">
        <v>56</v>
      </c>
      <c r="U1608" s="16" t="n">
        <v>56</v>
      </c>
      <c r="AC1608" s="23">
        <f>IF(OR(E1608="",E1608="[PARENT]"),"ADD",IF(E1608="[ALT_VIEW]","ALT",""))</f>
        <v/>
      </c>
      <c r="AD1608" s="21">
        <f>IF(Y1608&lt;&gt;"",Y1608,IF(U1608&lt;&gt;"",U1608,S1608))</f>
        <v/>
      </c>
      <c r="AE1608" s="21">
        <f>IF(AB1608&lt;&gt;"",AB1608,Z1608)</f>
        <v/>
      </c>
      <c r="AF1608" s="13" t="inlineStr">
        <is>
          <t>P-35 &gt; LHA Replacement &gt; AN/SLQ-32(V), Surface Warfare Improvement Program (SEWIP) &gt; Technical Data and Documentation</t>
        </is>
      </c>
      <c r="AG1608" s="7" t="inlineStr">
        <is>
          <t>335</t>
        </is>
      </c>
      <c r="AH1608" s="7" t="inlineStr">
        <is>
          <t>3041</t>
        </is>
      </c>
    </row>
    <row r="1609" ht="10" customHeight="1">
      <c r="A1609" s="7" t="inlineStr">
        <is>
          <t>SCN</t>
        </is>
      </c>
      <c r="B1609" s="7" t="inlineStr">
        <is>
          <t>Procurement</t>
        </is>
      </c>
      <c r="D1609" s="7" t="inlineStr">
        <is>
          <t>LHA Replacement - P-35 AN/SLQ-32(V), Surface Warfare Improvement Program (SEWIP) - Spares</t>
        </is>
      </c>
      <c r="E1609" s="13" t="inlineStr">
        <is>
          <t>[ALT_VIEW]</t>
        </is>
      </c>
      <c r="F1609" s="7" t="inlineStr">
        <is>
          <t>3041 / LHA Replacement AP</t>
        </is>
      </c>
      <c r="G1609" s="7" t="inlineStr">
        <is>
          <t>P-35</t>
        </is>
      </c>
      <c r="I1609" s="14" t="n">
        <v>1</v>
      </c>
      <c r="J1609" s="7" t="inlineStr">
        <is>
          <t>Advance procurement / LLTM</t>
        </is>
      </c>
      <c r="K1609" s="13" t="inlineStr">
        <is>
          <t>USN</t>
        </is>
      </c>
      <c r="L1609" s="7" t="inlineStr">
        <is>
          <t>Combatant Ships</t>
        </is>
      </c>
      <c r="M1609" s="7" t="inlineStr">
        <is>
          <t>Amphibious Warfare Ships</t>
        </is>
      </c>
      <c r="N1609" s="7" t="inlineStr">
        <is>
          <t>LHA</t>
        </is>
      </c>
      <c r="O1609" s="15" t="n"/>
      <c r="S1609" s="16" t="n">
        <v>286</v>
      </c>
      <c r="U1609" s="16" t="n">
        <v>286</v>
      </c>
      <c r="AC1609" s="23">
        <f>IF(OR(E1609="",E1609="[PARENT]"),"ADD",IF(E1609="[ALT_VIEW]","ALT",""))</f>
        <v/>
      </c>
      <c r="AD1609" s="21">
        <f>IF(Y1609&lt;&gt;"",Y1609,IF(U1609&lt;&gt;"",U1609,S1609))</f>
        <v/>
      </c>
      <c r="AE1609" s="21">
        <f>IF(AB1609&lt;&gt;"",AB1609,Z1609)</f>
        <v/>
      </c>
      <c r="AF1609" s="13" t="inlineStr">
        <is>
          <t>P-35 &gt; LHA Replacement &gt; AN/SLQ-32(V), Surface Warfare Improvement Program (SEWIP) &gt; Spares</t>
        </is>
      </c>
      <c r="AG1609" s="7" t="inlineStr">
        <is>
          <t>335</t>
        </is>
      </c>
      <c r="AH1609" s="7" t="inlineStr">
        <is>
          <t>3041</t>
        </is>
      </c>
      <c r="AJ1609" s="7" t="inlineStr">
        <is>
          <t>AN/SLQ-32(V), Surface Warfare Improvement Program (SEWIP) [LHA 9]</t>
        </is>
      </c>
    </row>
    <row r="1610" ht="10" customHeight="1">
      <c r="A1610" s="7" t="inlineStr">
        <is>
          <t>SCN</t>
        </is>
      </c>
      <c r="B1610" s="7" t="inlineStr">
        <is>
          <t>Procurement</t>
        </is>
      </c>
      <c r="D1610" s="7" t="inlineStr">
        <is>
          <t>LHA Replacement - P-35 AN/SLQ-32(V), Surface Warfare Improvement Program (SEWIP) - System Engineering</t>
        </is>
      </c>
      <c r="E1610" s="13" t="inlineStr">
        <is>
          <t>[ALT_VIEW]</t>
        </is>
      </c>
      <c r="F1610" s="7" t="inlineStr">
        <is>
          <t>3041 / LHA Replacement AP</t>
        </is>
      </c>
      <c r="G1610" s="7" t="inlineStr">
        <is>
          <t>P-35</t>
        </is>
      </c>
      <c r="I1610" s="14" t="n">
        <v>1</v>
      </c>
      <c r="J1610" s="7" t="inlineStr">
        <is>
          <t>Advance procurement / LLTM</t>
        </is>
      </c>
      <c r="K1610" s="13" t="inlineStr">
        <is>
          <t>USN</t>
        </is>
      </c>
      <c r="L1610" s="7" t="inlineStr">
        <is>
          <t>Combatant Ships</t>
        </is>
      </c>
      <c r="M1610" s="7" t="inlineStr">
        <is>
          <t>Amphibious Warfare Ships</t>
        </is>
      </c>
      <c r="N1610" s="7" t="inlineStr">
        <is>
          <t>LHA</t>
        </is>
      </c>
      <c r="O1610" s="15" t="n"/>
      <c r="S1610" s="16" t="n">
        <v>1087</v>
      </c>
      <c r="U1610" s="16" t="n">
        <v>1087</v>
      </c>
      <c r="AC1610" s="23">
        <f>IF(OR(E1610="",E1610="[PARENT]"),"ADD",IF(E1610="[ALT_VIEW]","ALT",""))</f>
        <v/>
      </c>
      <c r="AD1610" s="21">
        <f>IF(Y1610&lt;&gt;"",Y1610,IF(U1610&lt;&gt;"",U1610,S1610))</f>
        <v/>
      </c>
      <c r="AE1610" s="21">
        <f>IF(AB1610&lt;&gt;"",AB1610,Z1610)</f>
        <v/>
      </c>
      <c r="AF1610" s="13" t="inlineStr">
        <is>
          <t>P-35 &gt; LHA Replacement &gt; AN/SLQ-32(V), Surface Warfare Improvement Program (SEWIP) &gt; System Engineering</t>
        </is>
      </c>
      <c r="AG1610" s="7" t="inlineStr">
        <is>
          <t>335</t>
        </is>
      </c>
      <c r="AH1610" s="7" t="inlineStr">
        <is>
          <t>3041</t>
        </is>
      </c>
    </row>
    <row r="1611" ht="10" customHeight="1">
      <c r="A1611" s="7" t="inlineStr">
        <is>
          <t>SCN</t>
        </is>
      </c>
      <c r="B1611" s="7" t="inlineStr">
        <is>
          <t>Procurement</t>
        </is>
      </c>
      <c r="D1611" s="7" t="inlineStr">
        <is>
          <t>LHA Replacement - P-35 AN/SLQ-32(V), Surface Warfare Improvement Program (SEWIP) - Technical Engineering Services</t>
        </is>
      </c>
      <c r="E1611" s="13" t="inlineStr">
        <is>
          <t>[ALT_VIEW]</t>
        </is>
      </c>
      <c r="F1611" s="7" t="inlineStr">
        <is>
          <t>3041 / LHA Replacement AP</t>
        </is>
      </c>
      <c r="G1611" s="7" t="inlineStr">
        <is>
          <t>P-35</t>
        </is>
      </c>
      <c r="I1611" s="14" t="n">
        <v>1</v>
      </c>
      <c r="J1611" s="7" t="inlineStr">
        <is>
          <t>Advance procurement / LLTM</t>
        </is>
      </c>
      <c r="K1611" s="13" t="inlineStr">
        <is>
          <t>USN</t>
        </is>
      </c>
      <c r="L1611" s="7" t="inlineStr">
        <is>
          <t>Combatant Ships</t>
        </is>
      </c>
      <c r="M1611" s="7" t="inlineStr">
        <is>
          <t>Amphibious Warfare Ships</t>
        </is>
      </c>
      <c r="N1611" s="7" t="inlineStr">
        <is>
          <t>LHA</t>
        </is>
      </c>
      <c r="O1611" s="15" t="n"/>
      <c r="S1611" s="16" t="n">
        <v>170</v>
      </c>
      <c r="U1611" s="16" t="n">
        <v>170</v>
      </c>
      <c r="AC1611" s="23">
        <f>IF(OR(E1611="",E1611="[PARENT]"),"ADD",IF(E1611="[ALT_VIEW]","ALT",""))</f>
        <v/>
      </c>
      <c r="AD1611" s="21">
        <f>IF(Y1611&lt;&gt;"",Y1611,IF(U1611&lt;&gt;"",U1611,S1611))</f>
        <v/>
      </c>
      <c r="AE1611" s="21">
        <f>IF(AB1611&lt;&gt;"",AB1611,Z1611)</f>
        <v/>
      </c>
      <c r="AF1611" s="13" t="inlineStr">
        <is>
          <t>P-35 &gt; LHA Replacement &gt; AN/SLQ-32(V), Surface Warfare Improvement Program (SEWIP) &gt; Technical Engineering Services</t>
        </is>
      </c>
      <c r="AG1611" s="7" t="inlineStr">
        <is>
          <t>335</t>
        </is>
      </c>
      <c r="AH1611" s="7" t="inlineStr">
        <is>
          <t>3041</t>
        </is>
      </c>
    </row>
    <row r="1612" ht="10" customHeight="1">
      <c r="A1612" s="7" t="inlineStr">
        <is>
          <t>SCN</t>
        </is>
      </c>
      <c r="B1612" s="7" t="inlineStr">
        <is>
          <t>Procurement</t>
        </is>
      </c>
      <c r="D1612" s="7" t="inlineStr">
        <is>
          <t>LHA Replacement - P-35 AN/SLQ-32(V), Surface Warfare Improvement Program (SEWIP) - Other Costs</t>
        </is>
      </c>
      <c r="E1612" s="13" t="inlineStr">
        <is>
          <t>[ALT_VIEW]</t>
        </is>
      </c>
      <c r="F1612" s="7" t="inlineStr">
        <is>
          <t>3041 / LHA Replacement AP</t>
        </is>
      </c>
      <c r="G1612" s="7" t="inlineStr">
        <is>
          <t>P-35</t>
        </is>
      </c>
      <c r="I1612" s="14" t="n">
        <v>1</v>
      </c>
      <c r="J1612" s="7" t="inlineStr">
        <is>
          <t>Advance procurement / LLTM</t>
        </is>
      </c>
      <c r="K1612" s="13" t="inlineStr">
        <is>
          <t>USN</t>
        </is>
      </c>
      <c r="L1612" s="7" t="inlineStr">
        <is>
          <t>Combatant Ships</t>
        </is>
      </c>
      <c r="M1612" s="7" t="inlineStr">
        <is>
          <t>Amphibious Warfare Ships</t>
        </is>
      </c>
      <c r="N1612" s="7" t="inlineStr">
        <is>
          <t>LHA</t>
        </is>
      </c>
      <c r="O1612" s="15" t="n"/>
      <c r="S1612" s="16" t="n">
        <v>698</v>
      </c>
      <c r="U1612" s="16" t="n">
        <v>698</v>
      </c>
      <c r="AC1612" s="23">
        <f>IF(OR(E1612="",E1612="[PARENT]"),"ADD",IF(E1612="[ALT_VIEW]","ALT",""))</f>
        <v/>
      </c>
      <c r="AD1612" s="21">
        <f>IF(Y1612&lt;&gt;"",Y1612,IF(U1612&lt;&gt;"",U1612,S1612))</f>
        <v/>
      </c>
      <c r="AE1612" s="21">
        <f>IF(AB1612&lt;&gt;"",AB1612,Z1612)</f>
        <v/>
      </c>
      <c r="AF1612" s="13" t="inlineStr">
        <is>
          <t>P-35 &gt; LHA Replacement &gt; AN/SLQ-32(V), Surface Warfare Improvement Program (SEWIP) &gt; Other Costs</t>
        </is>
      </c>
      <c r="AG1612" s="7" t="inlineStr">
        <is>
          <t>335</t>
        </is>
      </c>
      <c r="AH1612" s="7" t="inlineStr">
        <is>
          <t>3041</t>
        </is>
      </c>
    </row>
    <row r="1613" ht="10" customHeight="1">
      <c r="A1613" s="7" t="inlineStr">
        <is>
          <t>SCN</t>
        </is>
      </c>
      <c r="B1613" s="7" t="inlineStr">
        <is>
          <t>Procurement</t>
        </is>
      </c>
      <c r="D1613" s="7" t="inlineStr">
        <is>
          <t>LHA Replacement - P-35 AN/SPN-50 (V)1 - Major Hardware                                                                                                                                                        1</t>
        </is>
      </c>
      <c r="E1613" s="13" t="inlineStr">
        <is>
          <t>[ALT_VIEW]</t>
        </is>
      </c>
      <c r="F1613" s="7" t="inlineStr">
        <is>
          <t>3041 / LHA Replacement AP</t>
        </is>
      </c>
      <c r="G1613" s="7" t="inlineStr">
        <is>
          <t>P-35</t>
        </is>
      </c>
      <c r="I1613" s="14" t="n">
        <v>1</v>
      </c>
      <c r="J1613" s="7" t="inlineStr">
        <is>
          <t>Advance procurement / LLTM</t>
        </is>
      </c>
      <c r="K1613" s="13" t="inlineStr">
        <is>
          <t>USN</t>
        </is>
      </c>
      <c r="L1613" s="7" t="inlineStr">
        <is>
          <t>Combatant Ships</t>
        </is>
      </c>
      <c r="M1613" s="7" t="inlineStr">
        <is>
          <t>Amphibious Warfare Ships</t>
        </is>
      </c>
      <c r="N1613" s="7" t="inlineStr">
        <is>
          <t>LHA</t>
        </is>
      </c>
      <c r="O1613" s="15" t="n"/>
      <c r="S1613" s="16" t="n">
        <v>13528</v>
      </c>
      <c r="U1613" s="16" t="n">
        <v>13528</v>
      </c>
      <c r="AC1613" s="23">
        <f>IF(OR(E1613="",E1613="[PARENT]"),"ADD",IF(E1613="[ALT_VIEW]","ALT",""))</f>
        <v/>
      </c>
      <c r="AD1613" s="21">
        <f>IF(Y1613&lt;&gt;"",Y1613,IF(U1613&lt;&gt;"",U1613,S1613))</f>
        <v/>
      </c>
      <c r="AE1613" s="21">
        <f>IF(AB1613&lt;&gt;"",AB1613,Z1613)</f>
        <v/>
      </c>
      <c r="AF1613" s="13" t="inlineStr">
        <is>
          <t>P-35 &gt; LHA Replacement &gt; AN/SPN-50 (V)1 &gt; Major Hardware                                                                                                                                                        1</t>
        </is>
      </c>
      <c r="AG1613" s="7" t="inlineStr">
        <is>
          <t>336</t>
        </is>
      </c>
      <c r="AH1613" s="7" t="inlineStr">
        <is>
          <t>3041</t>
        </is>
      </c>
    </row>
    <row r="1614" ht="10" customHeight="1">
      <c r="A1614" s="7" t="inlineStr">
        <is>
          <t>SCN</t>
        </is>
      </c>
      <c r="B1614" s="7" t="inlineStr">
        <is>
          <t>Procurement</t>
        </is>
      </c>
      <c r="D1614" s="7" t="inlineStr">
        <is>
          <t>LHA Replacement - P-35 AN/SPN-50 (V)1 - Technical Data and Documentation</t>
        </is>
      </c>
      <c r="E1614" s="13" t="inlineStr">
        <is>
          <t>[ALT_VIEW]</t>
        </is>
      </c>
      <c r="F1614" s="7" t="inlineStr">
        <is>
          <t>3041 / LHA Replacement AP</t>
        </is>
      </c>
      <c r="G1614" s="7" t="inlineStr">
        <is>
          <t>P-35</t>
        </is>
      </c>
      <c r="I1614" s="14" t="n">
        <v>1</v>
      </c>
      <c r="J1614" s="7" t="inlineStr">
        <is>
          <t>Advance procurement / LLTM</t>
        </is>
      </c>
      <c r="K1614" s="13" t="inlineStr">
        <is>
          <t>USN</t>
        </is>
      </c>
      <c r="L1614" s="7" t="inlineStr">
        <is>
          <t>Combatant Ships</t>
        </is>
      </c>
      <c r="M1614" s="7" t="inlineStr">
        <is>
          <t>Amphibious Warfare Ships</t>
        </is>
      </c>
      <c r="N1614" s="7" t="inlineStr">
        <is>
          <t>LHA</t>
        </is>
      </c>
      <c r="O1614" s="15" t="n"/>
      <c r="S1614" s="16" t="n">
        <v>53</v>
      </c>
      <c r="U1614" s="16" t="n">
        <v>53</v>
      </c>
      <c r="AC1614" s="23">
        <f>IF(OR(E1614="",E1614="[PARENT]"),"ADD",IF(E1614="[ALT_VIEW]","ALT",""))</f>
        <v/>
      </c>
      <c r="AD1614" s="21">
        <f>IF(Y1614&lt;&gt;"",Y1614,IF(U1614&lt;&gt;"",U1614,S1614))</f>
        <v/>
      </c>
      <c r="AE1614" s="21">
        <f>IF(AB1614&lt;&gt;"",AB1614,Z1614)</f>
        <v/>
      </c>
      <c r="AF1614" s="13" t="inlineStr">
        <is>
          <t>P-35 &gt; LHA Replacement &gt; AN/SPN-50 (V)1 &gt; Technical Data and Documentation</t>
        </is>
      </c>
      <c r="AG1614" s="7" t="inlineStr">
        <is>
          <t>336</t>
        </is>
      </c>
      <c r="AH1614" s="7" t="inlineStr">
        <is>
          <t>3041</t>
        </is>
      </c>
    </row>
    <row r="1615" ht="10" customHeight="1">
      <c r="A1615" s="7" t="inlineStr">
        <is>
          <t>SCN</t>
        </is>
      </c>
      <c r="B1615" s="7" t="inlineStr">
        <is>
          <t>Procurement</t>
        </is>
      </c>
      <c r="D1615" s="7" t="inlineStr">
        <is>
          <t>LHA Replacement - P-35 AN/SPN-50 (V)1 - Spares</t>
        </is>
      </c>
      <c r="E1615" s="13" t="inlineStr">
        <is>
          <t>[ALT_VIEW]</t>
        </is>
      </c>
      <c r="F1615" s="7" t="inlineStr">
        <is>
          <t>3041 / LHA Replacement AP</t>
        </is>
      </c>
      <c r="G1615" s="7" t="inlineStr">
        <is>
          <t>P-35</t>
        </is>
      </c>
      <c r="I1615" s="14" t="n">
        <v>1</v>
      </c>
      <c r="J1615" s="7" t="inlineStr">
        <is>
          <t>Advance procurement / LLTM</t>
        </is>
      </c>
      <c r="K1615" s="13" t="inlineStr">
        <is>
          <t>USN</t>
        </is>
      </c>
      <c r="L1615" s="7" t="inlineStr">
        <is>
          <t>Combatant Ships</t>
        </is>
      </c>
      <c r="M1615" s="7" t="inlineStr">
        <is>
          <t>Amphibious Warfare Ships</t>
        </is>
      </c>
      <c r="N1615" s="7" t="inlineStr">
        <is>
          <t>LHA</t>
        </is>
      </c>
      <c r="O1615" s="15" t="n"/>
      <c r="S1615" s="16" t="n">
        <v>1119</v>
      </c>
      <c r="U1615" s="16" t="n">
        <v>1119</v>
      </c>
      <c r="AC1615" s="23">
        <f>IF(OR(E1615="",E1615="[PARENT]"),"ADD",IF(E1615="[ALT_VIEW]","ALT",""))</f>
        <v/>
      </c>
      <c r="AD1615" s="21">
        <f>IF(Y1615&lt;&gt;"",Y1615,IF(U1615&lt;&gt;"",U1615,S1615))</f>
        <v/>
      </c>
      <c r="AE1615" s="21">
        <f>IF(AB1615&lt;&gt;"",AB1615,Z1615)</f>
        <v/>
      </c>
      <c r="AF1615" s="13" t="inlineStr">
        <is>
          <t>P-35 &gt; LHA Replacement &gt; AN/SPN-50 (V)1 &gt; Spares</t>
        </is>
      </c>
      <c r="AG1615" s="7" t="inlineStr">
        <is>
          <t>336</t>
        </is>
      </c>
      <c r="AH1615" s="7" t="inlineStr">
        <is>
          <t>3041</t>
        </is>
      </c>
    </row>
    <row r="1616" ht="10" customHeight="1">
      <c r="A1616" s="7" t="inlineStr">
        <is>
          <t>SCN</t>
        </is>
      </c>
      <c r="B1616" s="7" t="inlineStr">
        <is>
          <t>Procurement</t>
        </is>
      </c>
      <c r="D1616" s="7" t="inlineStr">
        <is>
          <t>LHA Replacement - P-35 AN/SPN-50 (V)1 - System Engineering</t>
        </is>
      </c>
      <c r="E1616" s="13" t="inlineStr">
        <is>
          <t>[ALT_VIEW]</t>
        </is>
      </c>
      <c r="F1616" s="7" t="inlineStr">
        <is>
          <t>3041 / LHA Replacement AP</t>
        </is>
      </c>
      <c r="G1616" s="7" t="inlineStr">
        <is>
          <t>P-35</t>
        </is>
      </c>
      <c r="I1616" s="14" t="n">
        <v>1</v>
      </c>
      <c r="J1616" s="7" t="inlineStr">
        <is>
          <t>Advance procurement / LLTM</t>
        </is>
      </c>
      <c r="K1616" s="13" t="inlineStr">
        <is>
          <t>USN</t>
        </is>
      </c>
      <c r="L1616" s="7" t="inlineStr">
        <is>
          <t>Combatant Ships</t>
        </is>
      </c>
      <c r="M1616" s="7" t="inlineStr">
        <is>
          <t>Amphibious Warfare Ships</t>
        </is>
      </c>
      <c r="N1616" s="7" t="inlineStr">
        <is>
          <t>LHA</t>
        </is>
      </c>
      <c r="O1616" s="15" t="n"/>
      <c r="S1616" s="16" t="n">
        <v>781</v>
      </c>
      <c r="U1616" s="16" t="n">
        <v>781</v>
      </c>
      <c r="AC1616" s="23">
        <f>IF(OR(E1616="",E1616="[PARENT]"),"ADD",IF(E1616="[ALT_VIEW]","ALT",""))</f>
        <v/>
      </c>
      <c r="AD1616" s="21">
        <f>IF(Y1616&lt;&gt;"",Y1616,IF(U1616&lt;&gt;"",U1616,S1616))</f>
        <v/>
      </c>
      <c r="AE1616" s="21">
        <f>IF(AB1616&lt;&gt;"",AB1616,Z1616)</f>
        <v/>
      </c>
      <c r="AF1616" s="13" t="inlineStr">
        <is>
          <t>P-35 &gt; LHA Replacement &gt; AN/SPN-50 (V)1 &gt; System Engineering</t>
        </is>
      </c>
      <c r="AG1616" s="7" t="inlineStr">
        <is>
          <t>336</t>
        </is>
      </c>
      <c r="AH1616" s="7" t="inlineStr">
        <is>
          <t>3041</t>
        </is>
      </c>
    </row>
    <row r="1617" ht="10" customHeight="1">
      <c r="A1617" s="7" t="inlineStr">
        <is>
          <t>SCN</t>
        </is>
      </c>
      <c r="B1617" s="7" t="inlineStr">
        <is>
          <t>Procurement</t>
        </is>
      </c>
      <c r="D1617" s="7" t="inlineStr">
        <is>
          <t>LHA Replacement - P-35 AN/SPN-50 (V)1 - Technical Engineering Services</t>
        </is>
      </c>
      <c r="E1617" s="13" t="inlineStr">
        <is>
          <t>[ALT_VIEW]</t>
        </is>
      </c>
      <c r="F1617" s="7" t="inlineStr">
        <is>
          <t>3041 / LHA Replacement AP</t>
        </is>
      </c>
      <c r="G1617" s="7" t="inlineStr">
        <is>
          <t>P-35</t>
        </is>
      </c>
      <c r="I1617" s="14" t="n">
        <v>1</v>
      </c>
      <c r="J1617" s="7" t="inlineStr">
        <is>
          <t>Advance procurement / LLTM</t>
        </is>
      </c>
      <c r="K1617" s="13" t="inlineStr">
        <is>
          <t>USN</t>
        </is>
      </c>
      <c r="L1617" s="7" t="inlineStr">
        <is>
          <t>Combatant Ships</t>
        </is>
      </c>
      <c r="M1617" s="7" t="inlineStr">
        <is>
          <t>Amphibious Warfare Ships</t>
        </is>
      </c>
      <c r="N1617" s="7" t="inlineStr">
        <is>
          <t>LHA</t>
        </is>
      </c>
      <c r="O1617" s="15" t="n"/>
      <c r="S1617" s="16" t="n">
        <v>564</v>
      </c>
      <c r="U1617" s="16" t="n">
        <v>564</v>
      </c>
      <c r="AC1617" s="23">
        <f>IF(OR(E1617="",E1617="[PARENT]"),"ADD",IF(E1617="[ALT_VIEW]","ALT",""))</f>
        <v/>
      </c>
      <c r="AD1617" s="21">
        <f>IF(Y1617&lt;&gt;"",Y1617,IF(U1617&lt;&gt;"",U1617,S1617))</f>
        <v/>
      </c>
      <c r="AE1617" s="21">
        <f>IF(AB1617&lt;&gt;"",AB1617,Z1617)</f>
        <v/>
      </c>
      <c r="AF1617" s="13" t="inlineStr">
        <is>
          <t>P-35 &gt; LHA Replacement &gt; AN/SPN-50 (V)1 &gt; Technical Engineering Services</t>
        </is>
      </c>
      <c r="AG1617" s="7" t="inlineStr">
        <is>
          <t>336</t>
        </is>
      </c>
      <c r="AH1617" s="7" t="inlineStr">
        <is>
          <t>3041</t>
        </is>
      </c>
    </row>
    <row r="1618" ht="10" customHeight="1">
      <c r="A1618" s="7" t="inlineStr">
        <is>
          <t>SCN</t>
        </is>
      </c>
      <c r="B1618" s="7" t="inlineStr">
        <is>
          <t>Procurement</t>
        </is>
      </c>
      <c r="D1618" s="7" t="inlineStr">
        <is>
          <t>LHA Replacement - P-35 AN/SPN-50 (V)1 - Other Costs</t>
        </is>
      </c>
      <c r="E1618" s="13" t="inlineStr">
        <is>
          <t>[ALT_VIEW]</t>
        </is>
      </c>
      <c r="F1618" s="7" t="inlineStr">
        <is>
          <t>3041 / LHA Replacement AP</t>
        </is>
      </c>
      <c r="G1618" s="7" t="inlineStr">
        <is>
          <t>P-35</t>
        </is>
      </c>
      <c r="I1618" s="14" t="n">
        <v>1</v>
      </c>
      <c r="J1618" s="7" t="inlineStr">
        <is>
          <t>Advance procurement / LLTM</t>
        </is>
      </c>
      <c r="K1618" s="13" t="inlineStr">
        <is>
          <t>USN</t>
        </is>
      </c>
      <c r="L1618" s="7" t="inlineStr">
        <is>
          <t>Combatant Ships</t>
        </is>
      </c>
      <c r="M1618" s="7" t="inlineStr">
        <is>
          <t>Amphibious Warfare Ships</t>
        </is>
      </c>
      <c r="N1618" s="7" t="inlineStr">
        <is>
          <t>LHA</t>
        </is>
      </c>
      <c r="O1618" s="15" t="n"/>
      <c r="S1618" s="16" t="n">
        <v>598</v>
      </c>
      <c r="U1618" s="16" t="n">
        <v>598</v>
      </c>
      <c r="AC1618" s="23">
        <f>IF(OR(E1618="",E1618="[PARENT]"),"ADD",IF(E1618="[ALT_VIEW]","ALT",""))</f>
        <v/>
      </c>
      <c r="AD1618" s="21">
        <f>IF(Y1618&lt;&gt;"",Y1618,IF(U1618&lt;&gt;"",U1618,S1618))</f>
        <v/>
      </c>
      <c r="AE1618" s="21">
        <f>IF(AB1618&lt;&gt;"",AB1618,Z1618)</f>
        <v/>
      </c>
      <c r="AF1618" s="13" t="inlineStr">
        <is>
          <t>P-35 &gt; LHA Replacement &gt; AN/SPN-50 (V)1 &gt; Other Costs</t>
        </is>
      </c>
      <c r="AG1618" s="7" t="inlineStr">
        <is>
          <t>336</t>
        </is>
      </c>
      <c r="AH1618" s="7" t="inlineStr">
        <is>
          <t>3041</t>
        </is>
      </c>
    </row>
    <row r="1619" ht="10" customHeight="1">
      <c r="A1619" s="7" t="inlineStr">
        <is>
          <t>SCN</t>
        </is>
      </c>
      <c r="B1619" s="7" t="inlineStr">
        <is>
          <t>Procurement</t>
        </is>
      </c>
      <c r="D1619" s="7" t="inlineStr">
        <is>
          <t>LHA Replacement - P-35 Joint Precision Approach and Landing System (JPALS) (AN/USN-3(V)1, SSLS) - Major Hardware                                                                                                                                                   1</t>
        </is>
      </c>
      <c r="E1619" s="13" t="inlineStr">
        <is>
          <t>[ALT_VIEW]</t>
        </is>
      </c>
      <c r="F1619" s="7" t="inlineStr">
        <is>
          <t>3041 / LHA Replacement AP</t>
        </is>
      </c>
      <c r="G1619" s="7" t="inlineStr">
        <is>
          <t>P-35</t>
        </is>
      </c>
      <c r="I1619" s="14" t="n">
        <v>1</v>
      </c>
      <c r="J1619" s="7" t="inlineStr">
        <is>
          <t>Advance procurement / LLTM</t>
        </is>
      </c>
      <c r="K1619" s="13" t="inlineStr">
        <is>
          <t>USN</t>
        </is>
      </c>
      <c r="L1619" s="7" t="inlineStr">
        <is>
          <t>Combatant Ships</t>
        </is>
      </c>
      <c r="M1619" s="7" t="inlineStr">
        <is>
          <t>Amphibious Warfare Ships</t>
        </is>
      </c>
      <c r="N1619" s="7" t="inlineStr">
        <is>
          <t>LHA</t>
        </is>
      </c>
      <c r="O1619" s="15" t="n"/>
      <c r="S1619" s="16" t="n">
        <v>3728</v>
      </c>
      <c r="U1619" s="16" t="n">
        <v>3728</v>
      </c>
      <c r="AC1619" s="23">
        <f>IF(OR(E1619="",E1619="[PARENT]"),"ADD",IF(E1619="[ALT_VIEW]","ALT",""))</f>
        <v/>
      </c>
      <c r="AD1619" s="21">
        <f>IF(Y1619&lt;&gt;"",Y1619,IF(U1619&lt;&gt;"",U1619,S1619))</f>
        <v/>
      </c>
      <c r="AE1619" s="21">
        <f>IF(AB1619&lt;&gt;"",AB1619,Z1619)</f>
        <v/>
      </c>
      <c r="AF1619" s="13" t="inlineStr">
        <is>
          <t>P-35 &gt; LHA Replacement &gt; Joint Precision Approach and Landing System (JPALS) (AN/USN-3(V)1, SSLS) &gt; Major Hardware                                                                                                                                                   1</t>
        </is>
      </c>
      <c r="AG1619" s="7" t="inlineStr">
        <is>
          <t>337</t>
        </is>
      </c>
      <c r="AH1619" s="7" t="inlineStr">
        <is>
          <t>3041</t>
        </is>
      </c>
    </row>
    <row r="1620" ht="10" customHeight="1">
      <c r="A1620" s="7" t="inlineStr">
        <is>
          <t>SCN</t>
        </is>
      </c>
      <c r="B1620" s="7" t="inlineStr">
        <is>
          <t>Procurement</t>
        </is>
      </c>
      <c r="D1620" s="7" t="inlineStr">
        <is>
          <t>LHA Replacement - P-35 Joint Precision Approach and Landing System (JPALS) (AN/USN-3(V)1, SSLS) - Spares</t>
        </is>
      </c>
      <c r="E1620" s="13" t="inlineStr">
        <is>
          <t>[ALT_VIEW]</t>
        </is>
      </c>
      <c r="F1620" s="7" t="inlineStr">
        <is>
          <t>3041 / LHA Replacement AP</t>
        </is>
      </c>
      <c r="G1620" s="7" t="inlineStr">
        <is>
          <t>P-35</t>
        </is>
      </c>
      <c r="I1620" s="14" t="n">
        <v>1</v>
      </c>
      <c r="J1620" s="7" t="inlineStr">
        <is>
          <t>Advance procurement / LLTM</t>
        </is>
      </c>
      <c r="K1620" s="13" t="inlineStr">
        <is>
          <t>USN</t>
        </is>
      </c>
      <c r="L1620" s="7" t="inlineStr">
        <is>
          <t>Combatant Ships</t>
        </is>
      </c>
      <c r="M1620" s="7" t="inlineStr">
        <is>
          <t>Amphibious Warfare Ships</t>
        </is>
      </c>
      <c r="N1620" s="7" t="inlineStr">
        <is>
          <t>LHA</t>
        </is>
      </c>
      <c r="O1620" s="15" t="n"/>
      <c r="S1620" s="16" t="n">
        <v>480</v>
      </c>
      <c r="U1620" s="16" t="n">
        <v>480</v>
      </c>
      <c r="AC1620" s="23">
        <f>IF(OR(E1620="",E1620="[PARENT]"),"ADD",IF(E1620="[ALT_VIEW]","ALT",""))</f>
        <v/>
      </c>
      <c r="AD1620" s="21">
        <f>IF(Y1620&lt;&gt;"",Y1620,IF(U1620&lt;&gt;"",U1620,S1620))</f>
        <v/>
      </c>
      <c r="AE1620" s="21">
        <f>IF(AB1620&lt;&gt;"",AB1620,Z1620)</f>
        <v/>
      </c>
      <c r="AF1620" s="13" t="inlineStr">
        <is>
          <t>P-35 &gt; LHA Replacement &gt; Joint Precision Approach and Landing System (JPALS) (AN/USN-3(V)1, SSLS) &gt; Spares</t>
        </is>
      </c>
      <c r="AG1620" s="7" t="inlineStr">
        <is>
          <t>337</t>
        </is>
      </c>
      <c r="AH1620" s="7" t="inlineStr">
        <is>
          <t>3041</t>
        </is>
      </c>
      <c r="AJ1620" s="7" t="inlineStr">
        <is>
          <t>Joint Precision Approach and Landing System (JPALS) (AN/USN-3(V)1, SSLS) [LHA 9]</t>
        </is>
      </c>
    </row>
    <row r="1621" ht="10" customHeight="1">
      <c r="A1621" s="7" t="inlineStr">
        <is>
          <t>SCN</t>
        </is>
      </c>
      <c r="B1621" s="7" t="inlineStr">
        <is>
          <t>Procurement</t>
        </is>
      </c>
      <c r="D1621" s="7" t="inlineStr">
        <is>
          <t>LHA Replacement - P-35 Joint Precision Approach and Landing System (JPALS) (AN/USN-3(V)1, SSLS) - System Engineering</t>
        </is>
      </c>
      <c r="E1621" s="13" t="inlineStr">
        <is>
          <t>[ALT_VIEW]</t>
        </is>
      </c>
      <c r="F1621" s="7" t="inlineStr">
        <is>
          <t>3041 / LHA Replacement AP</t>
        </is>
      </c>
      <c r="G1621" s="7" t="inlineStr">
        <is>
          <t>P-35</t>
        </is>
      </c>
      <c r="I1621" s="14" t="n">
        <v>1</v>
      </c>
      <c r="J1621" s="7" t="inlineStr">
        <is>
          <t>Advance procurement / LLTM</t>
        </is>
      </c>
      <c r="K1621" s="13" t="inlineStr">
        <is>
          <t>USN</t>
        </is>
      </c>
      <c r="L1621" s="7" t="inlineStr">
        <is>
          <t>Combatant Ships</t>
        </is>
      </c>
      <c r="M1621" s="7" t="inlineStr">
        <is>
          <t>Amphibious Warfare Ships</t>
        </is>
      </c>
      <c r="N1621" s="7" t="inlineStr">
        <is>
          <t>LHA</t>
        </is>
      </c>
      <c r="O1621" s="15" t="n"/>
      <c r="S1621" s="16" t="n">
        <v>821</v>
      </c>
      <c r="U1621" s="16" t="n">
        <v>821</v>
      </c>
      <c r="AC1621" s="23">
        <f>IF(OR(E1621="",E1621="[PARENT]"),"ADD",IF(E1621="[ALT_VIEW]","ALT",""))</f>
        <v/>
      </c>
      <c r="AD1621" s="21">
        <f>IF(Y1621&lt;&gt;"",Y1621,IF(U1621&lt;&gt;"",U1621,S1621))</f>
        <v/>
      </c>
      <c r="AE1621" s="21">
        <f>IF(AB1621&lt;&gt;"",AB1621,Z1621)</f>
        <v/>
      </c>
      <c r="AF1621" s="13" t="inlineStr">
        <is>
          <t>P-35 &gt; LHA Replacement &gt; Joint Precision Approach and Landing System (JPALS) (AN/USN-3(V)1, SSLS) &gt; System Engineering</t>
        </is>
      </c>
      <c r="AG1621" s="7" t="inlineStr">
        <is>
          <t>337</t>
        </is>
      </c>
      <c r="AH1621" s="7" t="inlineStr">
        <is>
          <t>3041</t>
        </is>
      </c>
    </row>
    <row r="1622" ht="10" customHeight="1">
      <c r="A1622" s="7" t="inlineStr">
        <is>
          <t>SCN</t>
        </is>
      </c>
      <c r="B1622" s="7" t="inlineStr">
        <is>
          <t>Procurement</t>
        </is>
      </c>
      <c r="D1622" s="7" t="inlineStr">
        <is>
          <t>LHA Replacement - P-35 Joint Precision Approach and Landing System (JPALS) (AN/USN-3(V)1, SSLS) - Technical Engineering Services</t>
        </is>
      </c>
      <c r="E1622" s="13" t="inlineStr">
        <is>
          <t>[ALT_VIEW]</t>
        </is>
      </c>
      <c r="F1622" s="7" t="inlineStr">
        <is>
          <t>3041 / LHA Replacement AP</t>
        </is>
      </c>
      <c r="G1622" s="7" t="inlineStr">
        <is>
          <t>P-35</t>
        </is>
      </c>
      <c r="I1622" s="14" t="n">
        <v>1</v>
      </c>
      <c r="J1622" s="7" t="inlineStr">
        <is>
          <t>Advance procurement / LLTM</t>
        </is>
      </c>
      <c r="K1622" s="13" t="inlineStr">
        <is>
          <t>USN</t>
        </is>
      </c>
      <c r="L1622" s="7" t="inlineStr">
        <is>
          <t>Combatant Ships</t>
        </is>
      </c>
      <c r="M1622" s="7" t="inlineStr">
        <is>
          <t>Amphibious Warfare Ships</t>
        </is>
      </c>
      <c r="N1622" s="7" t="inlineStr">
        <is>
          <t>LHA</t>
        </is>
      </c>
      <c r="O1622" s="15" t="n"/>
      <c r="S1622" s="16" t="n">
        <v>1251</v>
      </c>
      <c r="U1622" s="16" t="n">
        <v>1251</v>
      </c>
      <c r="AC1622" s="23">
        <f>IF(OR(E1622="",E1622="[PARENT]"),"ADD",IF(E1622="[ALT_VIEW]","ALT",""))</f>
        <v/>
      </c>
      <c r="AD1622" s="21">
        <f>IF(Y1622&lt;&gt;"",Y1622,IF(U1622&lt;&gt;"",U1622,S1622))</f>
        <v/>
      </c>
      <c r="AE1622" s="21">
        <f>IF(AB1622&lt;&gt;"",AB1622,Z1622)</f>
        <v/>
      </c>
      <c r="AF1622" s="13" t="inlineStr">
        <is>
          <t>P-35 &gt; LHA Replacement &gt; Joint Precision Approach and Landing System (JPALS) (AN/USN-3(V)1, SSLS) &gt; Technical Engineering Services</t>
        </is>
      </c>
      <c r="AG1622" s="7" t="inlineStr">
        <is>
          <t>337</t>
        </is>
      </c>
      <c r="AH1622" s="7" t="inlineStr">
        <is>
          <t>3041</t>
        </is>
      </c>
    </row>
    <row r="1623" ht="10" customHeight="1">
      <c r="A1623" s="7" t="inlineStr">
        <is>
          <t>SCN</t>
        </is>
      </c>
      <c r="B1623" s="7" t="inlineStr">
        <is>
          <t>Procurement</t>
        </is>
      </c>
      <c r="D1623" s="7" t="inlineStr">
        <is>
          <t>LHA Replacement - P-35 Joint Precision Approach and Landing System (JPALS) (AN/USN-3(V)1, SSLS) - Other Costs</t>
        </is>
      </c>
      <c r="E1623" s="13" t="inlineStr">
        <is>
          <t>[ALT_VIEW]</t>
        </is>
      </c>
      <c r="F1623" s="7" t="inlineStr">
        <is>
          <t>3041 / LHA Replacement AP</t>
        </is>
      </c>
      <c r="G1623" s="7" t="inlineStr">
        <is>
          <t>P-35</t>
        </is>
      </c>
      <c r="I1623" s="14" t="n">
        <v>1</v>
      </c>
      <c r="J1623" s="7" t="inlineStr">
        <is>
          <t>Advance procurement / LLTM</t>
        </is>
      </c>
      <c r="K1623" s="13" t="inlineStr">
        <is>
          <t>USN</t>
        </is>
      </c>
      <c r="L1623" s="7" t="inlineStr">
        <is>
          <t>Combatant Ships</t>
        </is>
      </c>
      <c r="M1623" s="7" t="inlineStr">
        <is>
          <t>Amphibious Warfare Ships</t>
        </is>
      </c>
      <c r="N1623" s="7" t="inlineStr">
        <is>
          <t>LHA</t>
        </is>
      </c>
      <c r="O1623" s="15" t="n"/>
      <c r="S1623" s="16" t="n">
        <v>605</v>
      </c>
      <c r="U1623" s="16" t="n">
        <v>605</v>
      </c>
      <c r="AC1623" s="23">
        <f>IF(OR(E1623="",E1623="[PARENT]"),"ADD",IF(E1623="[ALT_VIEW]","ALT",""))</f>
        <v/>
      </c>
      <c r="AD1623" s="21">
        <f>IF(Y1623&lt;&gt;"",Y1623,IF(U1623&lt;&gt;"",U1623,S1623))</f>
        <v/>
      </c>
      <c r="AE1623" s="21">
        <f>IF(AB1623&lt;&gt;"",AB1623,Z1623)</f>
        <v/>
      </c>
      <c r="AF1623" s="13" t="inlineStr">
        <is>
          <t>P-35 &gt; LHA Replacement &gt; Joint Precision Approach and Landing System (JPALS) (AN/USN-3(V)1, SSLS) &gt; Other Costs</t>
        </is>
      </c>
      <c r="AG1623" s="7" t="inlineStr">
        <is>
          <t>337</t>
        </is>
      </c>
      <c r="AH1623" s="7" t="inlineStr">
        <is>
          <t>3041</t>
        </is>
      </c>
    </row>
    <row r="1624" ht="10" customHeight="1">
      <c r="A1624" s="7" t="inlineStr">
        <is>
          <t>SCN</t>
        </is>
      </c>
      <c r="B1624" s="7" t="inlineStr">
        <is>
          <t>Procurement</t>
        </is>
      </c>
      <c r="D1624" s="7" t="inlineStr">
        <is>
          <t>LHA Replacement - P-35 Hierarchical Yet Dynamically Reprogrammable Architecture (HYDRA) AN/SRC-55 - Major Hardware                                                                                                                                                1</t>
        </is>
      </c>
      <c r="E1624" s="13" t="inlineStr">
        <is>
          <t>[ALT_VIEW]</t>
        </is>
      </c>
      <c r="F1624" s="7" t="inlineStr">
        <is>
          <t>3041 / LHA Replacement AP</t>
        </is>
      </c>
      <c r="G1624" s="7" t="inlineStr">
        <is>
          <t>P-35</t>
        </is>
      </c>
      <c r="I1624" s="14" t="n">
        <v>1</v>
      </c>
      <c r="J1624" s="7" t="inlineStr">
        <is>
          <t>Advance procurement / LLTM</t>
        </is>
      </c>
      <c r="K1624" s="13" t="inlineStr">
        <is>
          <t>USN</t>
        </is>
      </c>
      <c r="L1624" s="7" t="inlineStr">
        <is>
          <t>Combatant Ships</t>
        </is>
      </c>
      <c r="M1624" s="7" t="inlineStr">
        <is>
          <t>Amphibious Warfare Ships</t>
        </is>
      </c>
      <c r="N1624" s="7" t="inlineStr">
        <is>
          <t>LHA</t>
        </is>
      </c>
      <c r="O1624" s="15" t="n"/>
      <c r="S1624" s="16" t="n">
        <v>2924</v>
      </c>
      <c r="U1624" s="16" t="n">
        <v>2924</v>
      </c>
      <c r="AC1624" s="23">
        <f>IF(OR(E1624="",E1624="[PARENT]"),"ADD",IF(E1624="[ALT_VIEW]","ALT",""))</f>
        <v/>
      </c>
      <c r="AD1624" s="21">
        <f>IF(Y1624&lt;&gt;"",Y1624,IF(U1624&lt;&gt;"",U1624,S1624))</f>
        <v/>
      </c>
      <c r="AE1624" s="21">
        <f>IF(AB1624&lt;&gt;"",AB1624,Z1624)</f>
        <v/>
      </c>
      <c r="AF1624" s="13" t="inlineStr">
        <is>
          <t>P-35 &gt; LHA Replacement &gt; Hierarchical Yet Dynamically Reprogrammable Architecture (HYDRA) AN/SRC-55 &gt; Major Hardware                                                                                                                                                1</t>
        </is>
      </c>
      <c r="AG1624" s="7" t="inlineStr">
        <is>
          <t>338</t>
        </is>
      </c>
      <c r="AH1624" s="7" t="inlineStr">
        <is>
          <t>3041</t>
        </is>
      </c>
    </row>
    <row r="1625" ht="10" customHeight="1">
      <c r="A1625" s="7" t="inlineStr">
        <is>
          <t>SCN</t>
        </is>
      </c>
      <c r="B1625" s="7" t="inlineStr">
        <is>
          <t>Procurement</t>
        </is>
      </c>
      <c r="D1625" s="7" t="inlineStr">
        <is>
          <t>LHA Replacement - P-35 Hierarchical Yet Dynamically Reprogrammable Architecture (HYDRA) AN/SRC-55 - Technical Data and Documentation</t>
        </is>
      </c>
      <c r="E1625" s="13" t="inlineStr">
        <is>
          <t>[ALT_VIEW]</t>
        </is>
      </c>
      <c r="F1625" s="7" t="inlineStr">
        <is>
          <t>3041 / LHA Replacement AP</t>
        </is>
      </c>
      <c r="G1625" s="7" t="inlineStr">
        <is>
          <t>P-35</t>
        </is>
      </c>
      <c r="I1625" s="14" t="n">
        <v>1</v>
      </c>
      <c r="J1625" s="7" t="inlineStr">
        <is>
          <t>Advance procurement / LLTM</t>
        </is>
      </c>
      <c r="K1625" s="13" t="inlineStr">
        <is>
          <t>USN</t>
        </is>
      </c>
      <c r="L1625" s="7" t="inlineStr">
        <is>
          <t>Combatant Ships</t>
        </is>
      </c>
      <c r="M1625" s="7" t="inlineStr">
        <is>
          <t>Amphibious Warfare Ships</t>
        </is>
      </c>
      <c r="N1625" s="7" t="inlineStr">
        <is>
          <t>LHA</t>
        </is>
      </c>
      <c r="O1625" s="15" t="n"/>
      <c r="S1625" s="16" t="n">
        <v>179</v>
      </c>
      <c r="U1625" s="16" t="n">
        <v>179</v>
      </c>
      <c r="AC1625" s="23">
        <f>IF(OR(E1625="",E1625="[PARENT]"),"ADD",IF(E1625="[ALT_VIEW]","ALT",""))</f>
        <v/>
      </c>
      <c r="AD1625" s="21">
        <f>IF(Y1625&lt;&gt;"",Y1625,IF(U1625&lt;&gt;"",U1625,S1625))</f>
        <v/>
      </c>
      <c r="AE1625" s="21">
        <f>IF(AB1625&lt;&gt;"",AB1625,Z1625)</f>
        <v/>
      </c>
      <c r="AF1625" s="13" t="inlineStr">
        <is>
          <t>P-35 &gt; LHA Replacement &gt; Hierarchical Yet Dynamically Reprogrammable Architecture (HYDRA) AN/SRC-55 &gt; Technical Data and Documentation</t>
        </is>
      </c>
      <c r="AG1625" s="7" t="inlineStr">
        <is>
          <t>338</t>
        </is>
      </c>
      <c r="AH1625" s="7" t="inlineStr">
        <is>
          <t>3041</t>
        </is>
      </c>
    </row>
    <row r="1626" ht="10" customHeight="1">
      <c r="A1626" s="7" t="inlineStr">
        <is>
          <t>SCN</t>
        </is>
      </c>
      <c r="B1626" s="7" t="inlineStr">
        <is>
          <t>Procurement</t>
        </is>
      </c>
      <c r="D1626" s="7" t="inlineStr">
        <is>
          <t>LHA Replacement - P-35 Hierarchical Yet Dynamically Reprogrammable Architecture (HYDRA) AN/SRC-55 - Spares</t>
        </is>
      </c>
      <c r="E1626" s="13" t="inlineStr">
        <is>
          <t>[ALT_VIEW]</t>
        </is>
      </c>
      <c r="F1626" s="7" t="inlineStr">
        <is>
          <t>3041 / LHA Replacement AP</t>
        </is>
      </c>
      <c r="G1626" s="7" t="inlineStr">
        <is>
          <t>P-35</t>
        </is>
      </c>
      <c r="I1626" s="14" t="n">
        <v>1</v>
      </c>
      <c r="J1626" s="7" t="inlineStr">
        <is>
          <t>Advance procurement / LLTM</t>
        </is>
      </c>
      <c r="K1626" s="13" t="inlineStr">
        <is>
          <t>USN</t>
        </is>
      </c>
      <c r="L1626" s="7" t="inlineStr">
        <is>
          <t>Combatant Ships</t>
        </is>
      </c>
      <c r="M1626" s="7" t="inlineStr">
        <is>
          <t>Amphibious Warfare Ships</t>
        </is>
      </c>
      <c r="N1626" s="7" t="inlineStr">
        <is>
          <t>LHA</t>
        </is>
      </c>
      <c r="O1626" s="15" t="n"/>
      <c r="S1626" s="16" t="n">
        <v>64</v>
      </c>
      <c r="U1626" s="16" t="n">
        <v>64</v>
      </c>
      <c r="AC1626" s="23">
        <f>IF(OR(E1626="",E1626="[PARENT]"),"ADD",IF(E1626="[ALT_VIEW]","ALT",""))</f>
        <v/>
      </c>
      <c r="AD1626" s="21">
        <f>IF(Y1626&lt;&gt;"",Y1626,IF(U1626&lt;&gt;"",U1626,S1626))</f>
        <v/>
      </c>
      <c r="AE1626" s="21">
        <f>IF(AB1626&lt;&gt;"",AB1626,Z1626)</f>
        <v/>
      </c>
      <c r="AF1626" s="13" t="inlineStr">
        <is>
          <t>P-35 &gt; LHA Replacement &gt; Hierarchical Yet Dynamically Reprogrammable Architecture (HYDRA) AN/SRC-55 &gt; Spares</t>
        </is>
      </c>
      <c r="AG1626" s="7" t="inlineStr">
        <is>
          <t>338</t>
        </is>
      </c>
      <c r="AH1626" s="7" t="inlineStr">
        <is>
          <t>3041</t>
        </is>
      </c>
      <c r="AJ1626" s="7" t="inlineStr">
        <is>
          <t>Hierarchical Yet Dynamically Reprogrammable Architecture (HYDRA) AN/SRC-55 [LHA 9]</t>
        </is>
      </c>
    </row>
    <row r="1627" ht="10" customHeight="1">
      <c r="A1627" s="7" t="inlineStr">
        <is>
          <t>SCN</t>
        </is>
      </c>
      <c r="B1627" s="7" t="inlineStr">
        <is>
          <t>Procurement</t>
        </is>
      </c>
      <c r="D1627" s="7" t="inlineStr">
        <is>
          <t>LHA Replacement - P-35 Hierarchical Yet Dynamically Reprogrammable Architecture (HYDRA) AN/SRC-55 - System Engineering</t>
        </is>
      </c>
      <c r="E1627" s="13" t="inlineStr">
        <is>
          <t>[ALT_VIEW]</t>
        </is>
      </c>
      <c r="F1627" s="7" t="inlineStr">
        <is>
          <t>3041 / LHA Replacement AP</t>
        </is>
      </c>
      <c r="G1627" s="7" t="inlineStr">
        <is>
          <t>P-35</t>
        </is>
      </c>
      <c r="I1627" s="14" t="n">
        <v>1</v>
      </c>
      <c r="J1627" s="7" t="inlineStr">
        <is>
          <t>Advance procurement / LLTM</t>
        </is>
      </c>
      <c r="K1627" s="13" t="inlineStr">
        <is>
          <t>USN</t>
        </is>
      </c>
      <c r="L1627" s="7" t="inlineStr">
        <is>
          <t>Combatant Ships</t>
        </is>
      </c>
      <c r="M1627" s="7" t="inlineStr">
        <is>
          <t>Amphibious Warfare Ships</t>
        </is>
      </c>
      <c r="N1627" s="7" t="inlineStr">
        <is>
          <t>LHA</t>
        </is>
      </c>
      <c r="O1627" s="15" t="n"/>
      <c r="S1627" s="16" t="n">
        <v>952</v>
      </c>
      <c r="U1627" s="16" t="n">
        <v>952</v>
      </c>
      <c r="AC1627" s="23">
        <f>IF(OR(E1627="",E1627="[PARENT]"),"ADD",IF(E1627="[ALT_VIEW]","ALT",""))</f>
        <v/>
      </c>
      <c r="AD1627" s="21">
        <f>IF(Y1627&lt;&gt;"",Y1627,IF(U1627&lt;&gt;"",U1627,S1627))</f>
        <v/>
      </c>
      <c r="AE1627" s="21">
        <f>IF(AB1627&lt;&gt;"",AB1627,Z1627)</f>
        <v/>
      </c>
      <c r="AF1627" s="13" t="inlineStr">
        <is>
          <t>P-35 &gt; LHA Replacement &gt; Hierarchical Yet Dynamically Reprogrammable Architecture (HYDRA) AN/SRC-55 &gt; System Engineering</t>
        </is>
      </c>
      <c r="AG1627" s="7" t="inlineStr">
        <is>
          <t>338</t>
        </is>
      </c>
      <c r="AH1627" s="7" t="inlineStr">
        <is>
          <t>3041</t>
        </is>
      </c>
    </row>
    <row r="1628" ht="10" customHeight="1">
      <c r="A1628" s="7" t="inlineStr">
        <is>
          <t>SCN</t>
        </is>
      </c>
      <c r="B1628" s="7" t="inlineStr">
        <is>
          <t>Procurement</t>
        </is>
      </c>
      <c r="D1628" s="7" t="inlineStr">
        <is>
          <t>LHA Replacement - P-35 Hierarchical Yet Dynamically Reprogrammable Architecture (HYDRA) AN/SRC-55 - Technical Engineering Services</t>
        </is>
      </c>
      <c r="E1628" s="13" t="inlineStr">
        <is>
          <t>[ALT_VIEW]</t>
        </is>
      </c>
      <c r="F1628" s="7" t="inlineStr">
        <is>
          <t>3041 / LHA Replacement AP</t>
        </is>
      </c>
      <c r="G1628" s="7" t="inlineStr">
        <is>
          <t>P-35</t>
        </is>
      </c>
      <c r="I1628" s="14" t="n">
        <v>1</v>
      </c>
      <c r="J1628" s="7" t="inlineStr">
        <is>
          <t>Advance procurement / LLTM</t>
        </is>
      </c>
      <c r="K1628" s="13" t="inlineStr">
        <is>
          <t>USN</t>
        </is>
      </c>
      <c r="L1628" s="7" t="inlineStr">
        <is>
          <t>Combatant Ships</t>
        </is>
      </c>
      <c r="M1628" s="7" t="inlineStr">
        <is>
          <t>Amphibious Warfare Ships</t>
        </is>
      </c>
      <c r="N1628" s="7" t="inlineStr">
        <is>
          <t>LHA</t>
        </is>
      </c>
      <c r="O1628" s="15" t="n"/>
      <c r="S1628" s="16" t="n">
        <v>672</v>
      </c>
      <c r="U1628" s="16" t="n">
        <v>672</v>
      </c>
      <c r="AC1628" s="23">
        <f>IF(OR(E1628="",E1628="[PARENT]"),"ADD",IF(E1628="[ALT_VIEW]","ALT",""))</f>
        <v/>
      </c>
      <c r="AD1628" s="21">
        <f>IF(Y1628&lt;&gt;"",Y1628,IF(U1628&lt;&gt;"",U1628,S1628))</f>
        <v/>
      </c>
      <c r="AE1628" s="21">
        <f>IF(AB1628&lt;&gt;"",AB1628,Z1628)</f>
        <v/>
      </c>
      <c r="AF1628" s="13" t="inlineStr">
        <is>
          <t>P-35 &gt; LHA Replacement &gt; Hierarchical Yet Dynamically Reprogrammable Architecture (HYDRA) AN/SRC-55 &gt; Technical Engineering Services</t>
        </is>
      </c>
      <c r="AG1628" s="7" t="inlineStr">
        <is>
          <t>338</t>
        </is>
      </c>
      <c r="AH1628" s="7" t="inlineStr">
        <is>
          <t>3041</t>
        </is>
      </c>
    </row>
    <row r="1629" ht="10" customHeight="1">
      <c r="A1629" s="7" t="inlineStr">
        <is>
          <t>SCN</t>
        </is>
      </c>
      <c r="B1629" s="7" t="inlineStr">
        <is>
          <t>Procurement</t>
        </is>
      </c>
      <c r="D1629" s="7" t="inlineStr">
        <is>
          <t>LHA Replacement - P-35 Hierarchical Yet Dynamically Reprogrammable Architecture (HYDRA) AN/SRC-55 - Other Costs</t>
        </is>
      </c>
      <c r="E1629" s="13" t="inlineStr">
        <is>
          <t>[ALT_VIEW]</t>
        </is>
      </c>
      <c r="F1629" s="7" t="inlineStr">
        <is>
          <t>3041 / LHA Replacement AP</t>
        </is>
      </c>
      <c r="G1629" s="7" t="inlineStr">
        <is>
          <t>P-35</t>
        </is>
      </c>
      <c r="I1629" s="14" t="n">
        <v>1</v>
      </c>
      <c r="J1629" s="7" t="inlineStr">
        <is>
          <t>Advance procurement / LLTM</t>
        </is>
      </c>
      <c r="K1629" s="13" t="inlineStr">
        <is>
          <t>USN</t>
        </is>
      </c>
      <c r="L1629" s="7" t="inlineStr">
        <is>
          <t>Combatant Ships</t>
        </is>
      </c>
      <c r="M1629" s="7" t="inlineStr">
        <is>
          <t>Amphibious Warfare Ships</t>
        </is>
      </c>
      <c r="N1629" s="7" t="inlineStr">
        <is>
          <t>LHA</t>
        </is>
      </c>
      <c r="O1629" s="15" t="n"/>
      <c r="S1629" s="16" t="n">
        <v>1234</v>
      </c>
      <c r="U1629" s="16" t="n">
        <v>1234</v>
      </c>
      <c r="AC1629" s="23">
        <f>IF(OR(E1629="",E1629="[PARENT]"),"ADD",IF(E1629="[ALT_VIEW]","ALT",""))</f>
        <v/>
      </c>
      <c r="AD1629" s="21">
        <f>IF(Y1629&lt;&gt;"",Y1629,IF(U1629&lt;&gt;"",U1629,S1629))</f>
        <v/>
      </c>
      <c r="AE1629" s="21">
        <f>IF(AB1629&lt;&gt;"",AB1629,Z1629)</f>
        <v/>
      </c>
      <c r="AF1629" s="13" t="inlineStr">
        <is>
          <t>P-35 &gt; LHA Replacement &gt; Hierarchical Yet Dynamically Reprogrammable Architecture (HYDRA) AN/SRC-55 &gt; Other Costs</t>
        </is>
      </c>
      <c r="AG1629" s="7" t="inlineStr">
        <is>
          <t>338</t>
        </is>
      </c>
      <c r="AH1629" s="7" t="inlineStr">
        <is>
          <t>3041</t>
        </is>
      </c>
    </row>
    <row r="1630" ht="10" customHeight="1">
      <c r="A1630" s="7" t="inlineStr">
        <is>
          <t>SCN</t>
        </is>
      </c>
      <c r="B1630" s="7" t="inlineStr">
        <is>
          <t>Procurement</t>
        </is>
      </c>
      <c r="D1630" s="7" t="inlineStr">
        <is>
          <t>LHA Replacement - P-35 AN/UPX-29(V), Identification Friend or Foe (IFF) MK12 - Major Hardware                                                                                                                                                        1</t>
        </is>
      </c>
      <c r="E1630" s="13" t="inlineStr">
        <is>
          <t>[ALT_VIEW]</t>
        </is>
      </c>
      <c r="F1630" s="7" t="inlineStr">
        <is>
          <t>3041 / LHA Replacement AP</t>
        </is>
      </c>
      <c r="G1630" s="7" t="inlineStr">
        <is>
          <t>P-35</t>
        </is>
      </c>
      <c r="I1630" s="14" t="n">
        <v>1</v>
      </c>
      <c r="J1630" s="7" t="inlineStr">
        <is>
          <t>Advance procurement / LLTM</t>
        </is>
      </c>
      <c r="K1630" s="13" t="inlineStr">
        <is>
          <t>USN</t>
        </is>
      </c>
      <c r="L1630" s="7" t="inlineStr">
        <is>
          <t>Combatant Ships</t>
        </is>
      </c>
      <c r="M1630" s="7" t="inlineStr">
        <is>
          <t>Amphibious Warfare Ships</t>
        </is>
      </c>
      <c r="N1630" s="7" t="inlineStr">
        <is>
          <t>LHA</t>
        </is>
      </c>
      <c r="O1630" s="15" t="n"/>
      <c r="S1630" s="16" t="n">
        <v>6143</v>
      </c>
      <c r="U1630" s="16" t="n">
        <v>6143</v>
      </c>
      <c r="AC1630" s="23">
        <f>IF(OR(E1630="",E1630="[PARENT]"),"ADD",IF(E1630="[ALT_VIEW]","ALT",""))</f>
        <v/>
      </c>
      <c r="AD1630" s="21">
        <f>IF(Y1630&lt;&gt;"",Y1630,IF(U1630&lt;&gt;"",U1630,S1630))</f>
        <v/>
      </c>
      <c r="AE1630" s="21">
        <f>IF(AB1630&lt;&gt;"",AB1630,Z1630)</f>
        <v/>
      </c>
      <c r="AF1630" s="13" t="inlineStr">
        <is>
          <t>P-35 &gt; LHA Replacement &gt; AN/UPX-29(V), Identification Friend or Foe (IFF) MK12 &gt; Major Hardware                                                                                                                                                        1</t>
        </is>
      </c>
      <c r="AG1630" s="7" t="inlineStr">
        <is>
          <t>339</t>
        </is>
      </c>
      <c r="AH1630" s="7" t="inlineStr">
        <is>
          <t>3041</t>
        </is>
      </c>
    </row>
    <row r="1631" ht="10" customHeight="1">
      <c r="A1631" s="7" t="inlineStr">
        <is>
          <t>SCN</t>
        </is>
      </c>
      <c r="B1631" s="7" t="inlineStr">
        <is>
          <t>Procurement</t>
        </is>
      </c>
      <c r="D1631" s="7" t="inlineStr">
        <is>
          <t>LHA Replacement - P-35 AN/UPX-29(V), Identification Friend or Foe (IFF) MK12 - Spares</t>
        </is>
      </c>
      <c r="E1631" s="13" t="inlineStr">
        <is>
          <t>[ALT_VIEW]</t>
        </is>
      </c>
      <c r="F1631" s="7" t="inlineStr">
        <is>
          <t>3041 / LHA Replacement AP</t>
        </is>
      </c>
      <c r="G1631" s="7" t="inlineStr">
        <is>
          <t>P-35</t>
        </is>
      </c>
      <c r="I1631" s="14" t="n">
        <v>1</v>
      </c>
      <c r="J1631" s="7" t="inlineStr">
        <is>
          <t>Advance procurement / LLTM</t>
        </is>
      </c>
      <c r="K1631" s="13" t="inlineStr">
        <is>
          <t>USN</t>
        </is>
      </c>
      <c r="L1631" s="7" t="inlineStr">
        <is>
          <t>Combatant Ships</t>
        </is>
      </c>
      <c r="M1631" s="7" t="inlineStr">
        <is>
          <t>Amphibious Warfare Ships</t>
        </is>
      </c>
      <c r="N1631" s="7" t="inlineStr">
        <is>
          <t>LHA</t>
        </is>
      </c>
      <c r="O1631" s="15" t="n"/>
      <c r="S1631" s="16" t="n">
        <v>747</v>
      </c>
      <c r="U1631" s="16" t="n">
        <v>747</v>
      </c>
      <c r="AC1631" s="23">
        <f>IF(OR(E1631="",E1631="[PARENT]"),"ADD",IF(E1631="[ALT_VIEW]","ALT",""))</f>
        <v/>
      </c>
      <c r="AD1631" s="21">
        <f>IF(Y1631&lt;&gt;"",Y1631,IF(U1631&lt;&gt;"",U1631,S1631))</f>
        <v/>
      </c>
      <c r="AE1631" s="21">
        <f>IF(AB1631&lt;&gt;"",AB1631,Z1631)</f>
        <v/>
      </c>
      <c r="AF1631" s="13" t="inlineStr">
        <is>
          <t>P-35 &gt; LHA Replacement &gt; AN/UPX-29(V), Identification Friend or Foe (IFF) MK12 &gt; Spares</t>
        </is>
      </c>
      <c r="AG1631" s="7" t="inlineStr">
        <is>
          <t>339</t>
        </is>
      </c>
      <c r="AH1631" s="7" t="inlineStr">
        <is>
          <t>3041</t>
        </is>
      </c>
      <c r="AJ1631" s="7" t="inlineStr">
        <is>
          <t>AN/UPX-29(V), Identification Friend or Foe (IFF) MK12 [LHA 9]</t>
        </is>
      </c>
    </row>
    <row r="1632" ht="10" customHeight="1">
      <c r="A1632" s="7" t="inlineStr">
        <is>
          <t>SCN</t>
        </is>
      </c>
      <c r="B1632" s="7" t="inlineStr">
        <is>
          <t>Procurement</t>
        </is>
      </c>
      <c r="D1632" s="7" t="inlineStr">
        <is>
          <t>LHA Replacement - P-35 AN/UPX-29(V), Identification Friend or Foe (IFF) MK12 - System Engineering</t>
        </is>
      </c>
      <c r="E1632" s="13" t="inlineStr">
        <is>
          <t>[ALT_VIEW]</t>
        </is>
      </c>
      <c r="F1632" s="7" t="inlineStr">
        <is>
          <t>3041 / LHA Replacement AP</t>
        </is>
      </c>
      <c r="G1632" s="7" t="inlineStr">
        <is>
          <t>P-35</t>
        </is>
      </c>
      <c r="I1632" s="14" t="n">
        <v>1</v>
      </c>
      <c r="J1632" s="7" t="inlineStr">
        <is>
          <t>Advance procurement / LLTM</t>
        </is>
      </c>
      <c r="K1632" s="13" t="inlineStr">
        <is>
          <t>USN</t>
        </is>
      </c>
      <c r="L1632" s="7" t="inlineStr">
        <is>
          <t>Combatant Ships</t>
        </is>
      </c>
      <c r="M1632" s="7" t="inlineStr">
        <is>
          <t>Amphibious Warfare Ships</t>
        </is>
      </c>
      <c r="N1632" s="7" t="inlineStr">
        <is>
          <t>LHA</t>
        </is>
      </c>
      <c r="O1632" s="15" t="n"/>
      <c r="S1632" s="16" t="n">
        <v>74</v>
      </c>
      <c r="U1632" s="16" t="n">
        <v>74</v>
      </c>
      <c r="AC1632" s="23">
        <f>IF(OR(E1632="",E1632="[PARENT]"),"ADD",IF(E1632="[ALT_VIEW]","ALT",""))</f>
        <v/>
      </c>
      <c r="AD1632" s="21">
        <f>IF(Y1632&lt;&gt;"",Y1632,IF(U1632&lt;&gt;"",U1632,S1632))</f>
        <v/>
      </c>
      <c r="AE1632" s="21">
        <f>IF(AB1632&lt;&gt;"",AB1632,Z1632)</f>
        <v/>
      </c>
      <c r="AF1632" s="13" t="inlineStr">
        <is>
          <t>P-35 &gt; LHA Replacement &gt; AN/UPX-29(V), Identification Friend or Foe (IFF) MK12 &gt; System Engineering</t>
        </is>
      </c>
      <c r="AG1632" s="7" t="inlineStr">
        <is>
          <t>339</t>
        </is>
      </c>
      <c r="AH1632" s="7" t="inlineStr">
        <is>
          <t>3041</t>
        </is>
      </c>
    </row>
    <row r="1633" ht="10" customHeight="1">
      <c r="A1633" s="7" t="inlineStr">
        <is>
          <t>SCN</t>
        </is>
      </c>
      <c r="B1633" s="7" t="inlineStr">
        <is>
          <t>Procurement</t>
        </is>
      </c>
      <c r="D1633" s="7" t="inlineStr">
        <is>
          <t>LHA Replacement - P-35 AN/UPX-29(V), Identification Friend or Foe (IFF) MK12 - Technical Engineering Services</t>
        </is>
      </c>
      <c r="E1633" s="13" t="inlineStr">
        <is>
          <t>[ALT_VIEW]</t>
        </is>
      </c>
      <c r="F1633" s="7" t="inlineStr">
        <is>
          <t>3041 / LHA Replacement AP</t>
        </is>
      </c>
      <c r="G1633" s="7" t="inlineStr">
        <is>
          <t>P-35</t>
        </is>
      </c>
      <c r="I1633" s="14" t="n">
        <v>1</v>
      </c>
      <c r="J1633" s="7" t="inlineStr">
        <is>
          <t>Advance procurement / LLTM</t>
        </is>
      </c>
      <c r="K1633" s="13" t="inlineStr">
        <is>
          <t>USN</t>
        </is>
      </c>
      <c r="L1633" s="7" t="inlineStr">
        <is>
          <t>Combatant Ships</t>
        </is>
      </c>
      <c r="M1633" s="7" t="inlineStr">
        <is>
          <t>Amphibious Warfare Ships</t>
        </is>
      </c>
      <c r="N1633" s="7" t="inlineStr">
        <is>
          <t>LHA</t>
        </is>
      </c>
      <c r="O1633" s="15" t="n"/>
      <c r="S1633" s="16" t="n">
        <v>252</v>
      </c>
      <c r="U1633" s="16" t="n">
        <v>252</v>
      </c>
      <c r="AC1633" s="23">
        <f>IF(OR(E1633="",E1633="[PARENT]"),"ADD",IF(E1633="[ALT_VIEW]","ALT",""))</f>
        <v/>
      </c>
      <c r="AD1633" s="21">
        <f>IF(Y1633&lt;&gt;"",Y1633,IF(U1633&lt;&gt;"",U1633,S1633))</f>
        <v/>
      </c>
      <c r="AE1633" s="21">
        <f>IF(AB1633&lt;&gt;"",AB1633,Z1633)</f>
        <v/>
      </c>
      <c r="AF1633" s="13" t="inlineStr">
        <is>
          <t>P-35 &gt; LHA Replacement &gt; AN/UPX-29(V), Identification Friend or Foe (IFF) MK12 &gt; Technical Engineering Services</t>
        </is>
      </c>
      <c r="AG1633" s="7" t="inlineStr">
        <is>
          <t>339</t>
        </is>
      </c>
      <c r="AH1633" s="7" t="inlineStr">
        <is>
          <t>3041</t>
        </is>
      </c>
    </row>
    <row r="1634" ht="10" customHeight="1">
      <c r="A1634" s="7" t="inlineStr">
        <is>
          <t>SCN</t>
        </is>
      </c>
      <c r="B1634" s="7" t="inlineStr">
        <is>
          <t>Procurement</t>
        </is>
      </c>
      <c r="D1634" s="7" t="inlineStr">
        <is>
          <t>LHA Replacement - P-35 AN/UPX-29(V), Identification Friend or Foe (IFF) MK12 - Other Costs</t>
        </is>
      </c>
      <c r="E1634" s="13" t="inlineStr">
        <is>
          <t>[ALT_VIEW]</t>
        </is>
      </c>
      <c r="F1634" s="7" t="inlineStr">
        <is>
          <t>3041 / LHA Replacement AP</t>
        </is>
      </c>
      <c r="G1634" s="7" t="inlineStr">
        <is>
          <t>P-35</t>
        </is>
      </c>
      <c r="I1634" s="14" t="n">
        <v>1</v>
      </c>
      <c r="J1634" s="7" t="inlineStr">
        <is>
          <t>Advance procurement / LLTM</t>
        </is>
      </c>
      <c r="K1634" s="13" t="inlineStr">
        <is>
          <t>USN</t>
        </is>
      </c>
      <c r="L1634" s="7" t="inlineStr">
        <is>
          <t>Combatant Ships</t>
        </is>
      </c>
      <c r="M1634" s="7" t="inlineStr">
        <is>
          <t>Amphibious Warfare Ships</t>
        </is>
      </c>
      <c r="N1634" s="7" t="inlineStr">
        <is>
          <t>LHA</t>
        </is>
      </c>
      <c r="O1634" s="15" t="n"/>
      <c r="S1634" s="16" t="n">
        <v>586</v>
      </c>
      <c r="U1634" s="16" t="n">
        <v>586</v>
      </c>
      <c r="AC1634" s="23">
        <f>IF(OR(E1634="",E1634="[PARENT]"),"ADD",IF(E1634="[ALT_VIEW]","ALT",""))</f>
        <v/>
      </c>
      <c r="AD1634" s="21">
        <f>IF(Y1634&lt;&gt;"",Y1634,IF(U1634&lt;&gt;"",U1634,S1634))</f>
        <v/>
      </c>
      <c r="AE1634" s="21">
        <f>IF(AB1634&lt;&gt;"",AB1634,Z1634)</f>
        <v/>
      </c>
      <c r="AF1634" s="13" t="inlineStr">
        <is>
          <t>P-35 &gt; LHA Replacement &gt; AN/UPX-29(V), Identification Friend or Foe (IFF) MK12 &gt; Other Costs</t>
        </is>
      </c>
      <c r="AG1634" s="7" t="inlineStr">
        <is>
          <t>339</t>
        </is>
      </c>
      <c r="AH1634" s="7" t="inlineStr">
        <is>
          <t>3041</t>
        </is>
      </c>
    </row>
    <row r="1635" ht="10" customHeight="1">
      <c r="A1635" s="7" t="inlineStr">
        <is>
          <t>SCN</t>
        </is>
      </c>
      <c r="B1635" s="7" t="inlineStr">
        <is>
          <t>Procurement</t>
        </is>
      </c>
      <c r="D1635" s="7" t="inlineStr">
        <is>
          <t>LHA Replacement - P-35 Ring Laser Gyro Navigator (RLGN) AN/WSN-7 - Major Hardware                                                                                                                                            1</t>
        </is>
      </c>
      <c r="E1635" s="13" t="inlineStr">
        <is>
          <t>[ALT_VIEW]</t>
        </is>
      </c>
      <c r="F1635" s="7" t="inlineStr">
        <is>
          <t>3041 / LHA Replacement AP</t>
        </is>
      </c>
      <c r="G1635" s="7" t="inlineStr">
        <is>
          <t>P-35</t>
        </is>
      </c>
      <c r="I1635" s="14" t="n">
        <v>1</v>
      </c>
      <c r="J1635" s="7" t="inlineStr">
        <is>
          <t>Advance procurement / LLTM</t>
        </is>
      </c>
      <c r="K1635" s="13" t="inlineStr">
        <is>
          <t>USN</t>
        </is>
      </c>
      <c r="L1635" s="7" t="inlineStr">
        <is>
          <t>Combatant Ships</t>
        </is>
      </c>
      <c r="M1635" s="7" t="inlineStr">
        <is>
          <t>Amphibious Warfare Ships</t>
        </is>
      </c>
      <c r="N1635" s="7" t="inlineStr">
        <is>
          <t>LHA</t>
        </is>
      </c>
      <c r="O1635" s="15" t="n"/>
      <c r="S1635" s="16" t="n">
        <v>4038</v>
      </c>
      <c r="U1635" s="16" t="n">
        <v>4038</v>
      </c>
      <c r="AC1635" s="23">
        <f>IF(OR(E1635="",E1635="[PARENT]"),"ADD",IF(E1635="[ALT_VIEW]","ALT",""))</f>
        <v/>
      </c>
      <c r="AD1635" s="21">
        <f>IF(Y1635&lt;&gt;"",Y1635,IF(U1635&lt;&gt;"",U1635,S1635))</f>
        <v/>
      </c>
      <c r="AE1635" s="21">
        <f>IF(AB1635&lt;&gt;"",AB1635,Z1635)</f>
        <v/>
      </c>
      <c r="AF1635" s="13" t="inlineStr">
        <is>
          <t>P-35 &gt; LHA Replacement &gt; Ring Laser Gyro Navigator (RLGN) AN/WSN-7 &gt; Major Hardware                                                                                                                                            1</t>
        </is>
      </c>
      <c r="AG1635" s="7" t="inlineStr">
        <is>
          <t>340</t>
        </is>
      </c>
      <c r="AH1635" s="7" t="inlineStr">
        <is>
          <t>3041</t>
        </is>
      </c>
    </row>
    <row r="1636" ht="10" customHeight="1">
      <c r="A1636" s="7" t="inlineStr">
        <is>
          <t>SCN</t>
        </is>
      </c>
      <c r="B1636" s="7" t="inlineStr">
        <is>
          <t>Procurement</t>
        </is>
      </c>
      <c r="D1636" s="7" t="inlineStr">
        <is>
          <t>LHA Replacement - P-35 Ring Laser Gyro Navigator (RLGN) AN/WSN-7 - System Engineering</t>
        </is>
      </c>
      <c r="E1636" s="13" t="inlineStr">
        <is>
          <t>[ALT_VIEW]</t>
        </is>
      </c>
      <c r="F1636" s="7" t="inlineStr">
        <is>
          <t>3041 / LHA Replacement AP</t>
        </is>
      </c>
      <c r="G1636" s="7" t="inlineStr">
        <is>
          <t>P-35</t>
        </is>
      </c>
      <c r="I1636" s="14" t="n">
        <v>1</v>
      </c>
      <c r="J1636" s="7" t="inlineStr">
        <is>
          <t>Advance procurement / LLTM</t>
        </is>
      </c>
      <c r="K1636" s="13" t="inlineStr">
        <is>
          <t>USN</t>
        </is>
      </c>
      <c r="L1636" s="7" t="inlineStr">
        <is>
          <t>Combatant Ships</t>
        </is>
      </c>
      <c r="M1636" s="7" t="inlineStr">
        <is>
          <t>Amphibious Warfare Ships</t>
        </is>
      </c>
      <c r="N1636" s="7" t="inlineStr">
        <is>
          <t>LHA</t>
        </is>
      </c>
      <c r="O1636" s="15" t="n"/>
      <c r="S1636" s="16" t="n">
        <v>255</v>
      </c>
      <c r="U1636" s="16" t="n">
        <v>255</v>
      </c>
      <c r="AC1636" s="23">
        <f>IF(OR(E1636="",E1636="[PARENT]"),"ADD",IF(E1636="[ALT_VIEW]","ALT",""))</f>
        <v/>
      </c>
      <c r="AD1636" s="21">
        <f>IF(Y1636&lt;&gt;"",Y1636,IF(U1636&lt;&gt;"",U1636,S1636))</f>
        <v/>
      </c>
      <c r="AE1636" s="21">
        <f>IF(AB1636&lt;&gt;"",AB1636,Z1636)</f>
        <v/>
      </c>
      <c r="AF1636" s="13" t="inlineStr">
        <is>
          <t>P-35 &gt; LHA Replacement &gt; Ring Laser Gyro Navigator (RLGN) AN/WSN-7 &gt; System Engineering</t>
        </is>
      </c>
      <c r="AG1636" s="7" t="inlineStr">
        <is>
          <t>340</t>
        </is>
      </c>
      <c r="AH1636" s="7" t="inlineStr">
        <is>
          <t>3041</t>
        </is>
      </c>
    </row>
    <row r="1637" ht="10" customHeight="1">
      <c r="A1637" s="7" t="inlineStr">
        <is>
          <t>SCN</t>
        </is>
      </c>
      <c r="B1637" s="7" t="inlineStr">
        <is>
          <t>Procurement</t>
        </is>
      </c>
      <c r="D1637" s="7" t="inlineStr">
        <is>
          <t>LHA Replacement - P-35 Ring Laser Gyro Navigator (RLGN) AN/WSN-7 - Technical Engineering Services</t>
        </is>
      </c>
      <c r="E1637" s="13" t="inlineStr">
        <is>
          <t>[ALT_VIEW]</t>
        </is>
      </c>
      <c r="F1637" s="7" t="inlineStr">
        <is>
          <t>3041 / LHA Replacement AP</t>
        </is>
      </c>
      <c r="G1637" s="7" t="inlineStr">
        <is>
          <t>P-35</t>
        </is>
      </c>
      <c r="I1637" s="14" t="n">
        <v>1</v>
      </c>
      <c r="J1637" s="7" t="inlineStr">
        <is>
          <t>Advance procurement / LLTM</t>
        </is>
      </c>
      <c r="K1637" s="13" t="inlineStr">
        <is>
          <t>USN</t>
        </is>
      </c>
      <c r="L1637" s="7" t="inlineStr">
        <is>
          <t>Combatant Ships</t>
        </is>
      </c>
      <c r="M1637" s="7" t="inlineStr">
        <is>
          <t>Amphibious Warfare Ships</t>
        </is>
      </c>
      <c r="N1637" s="7" t="inlineStr">
        <is>
          <t>LHA</t>
        </is>
      </c>
      <c r="O1637" s="15" t="n"/>
      <c r="S1637" s="16" t="n">
        <v>356</v>
      </c>
      <c r="U1637" s="16" t="n">
        <v>356</v>
      </c>
      <c r="AC1637" s="23">
        <f>IF(OR(E1637="",E1637="[PARENT]"),"ADD",IF(E1637="[ALT_VIEW]","ALT",""))</f>
        <v/>
      </c>
      <c r="AD1637" s="21">
        <f>IF(Y1637&lt;&gt;"",Y1637,IF(U1637&lt;&gt;"",U1637,S1637))</f>
        <v/>
      </c>
      <c r="AE1637" s="21">
        <f>IF(AB1637&lt;&gt;"",AB1637,Z1637)</f>
        <v/>
      </c>
      <c r="AF1637" s="13" t="inlineStr">
        <is>
          <t>P-35 &gt; LHA Replacement &gt; Ring Laser Gyro Navigator (RLGN) AN/WSN-7 &gt; Technical Engineering Services</t>
        </is>
      </c>
      <c r="AG1637" s="7" t="inlineStr">
        <is>
          <t>340</t>
        </is>
      </c>
      <c r="AH1637" s="7" t="inlineStr">
        <is>
          <t>3041</t>
        </is>
      </c>
    </row>
    <row r="1638" ht="10" customHeight="1">
      <c r="A1638" s="7" t="inlineStr">
        <is>
          <t>SCN</t>
        </is>
      </c>
      <c r="B1638" s="7" t="inlineStr">
        <is>
          <t>Procurement</t>
        </is>
      </c>
      <c r="D1638" s="7" t="inlineStr">
        <is>
          <t>LHA Replacement - P-35 Ring Laser Gyro Navigator (RLGN) AN/WSN-7 - Other Costs</t>
        </is>
      </c>
      <c r="E1638" s="13" t="inlineStr">
        <is>
          <t>[ALT_VIEW]</t>
        </is>
      </c>
      <c r="F1638" s="7" t="inlineStr">
        <is>
          <t>3041 / LHA Replacement AP</t>
        </is>
      </c>
      <c r="G1638" s="7" t="inlineStr">
        <is>
          <t>P-35</t>
        </is>
      </c>
      <c r="I1638" s="14" t="n">
        <v>1</v>
      </c>
      <c r="J1638" s="7" t="inlineStr">
        <is>
          <t>Advance procurement / LLTM</t>
        </is>
      </c>
      <c r="K1638" s="13" t="inlineStr">
        <is>
          <t>USN</t>
        </is>
      </c>
      <c r="L1638" s="7" t="inlineStr">
        <is>
          <t>Combatant Ships</t>
        </is>
      </c>
      <c r="M1638" s="7" t="inlineStr">
        <is>
          <t>Amphibious Warfare Ships</t>
        </is>
      </c>
      <c r="N1638" s="7" t="inlineStr">
        <is>
          <t>LHA</t>
        </is>
      </c>
      <c r="O1638" s="15" t="n"/>
      <c r="S1638" s="16" t="n">
        <v>867</v>
      </c>
      <c r="U1638" s="16" t="n">
        <v>867</v>
      </c>
      <c r="AC1638" s="23">
        <f>IF(OR(E1638="",E1638="[PARENT]"),"ADD",IF(E1638="[ALT_VIEW]","ALT",""))</f>
        <v/>
      </c>
      <c r="AD1638" s="21">
        <f>IF(Y1638&lt;&gt;"",Y1638,IF(U1638&lt;&gt;"",U1638,S1638))</f>
        <v/>
      </c>
      <c r="AE1638" s="21">
        <f>IF(AB1638&lt;&gt;"",AB1638,Z1638)</f>
        <v/>
      </c>
      <c r="AF1638" s="13" t="inlineStr">
        <is>
          <t>P-35 &gt; LHA Replacement &gt; Ring Laser Gyro Navigator (RLGN) AN/WSN-7 &gt; Other Costs</t>
        </is>
      </c>
      <c r="AG1638" s="7" t="inlineStr">
        <is>
          <t>340</t>
        </is>
      </c>
      <c r="AH1638" s="7" t="inlineStr">
        <is>
          <t>3041</t>
        </is>
      </c>
    </row>
    <row r="1639" ht="10" customHeight="1">
      <c r="A1639" s="7" t="inlineStr">
        <is>
          <t>SCN</t>
        </is>
      </c>
      <c r="B1639" s="7" t="inlineStr">
        <is>
          <t>Procurement</t>
        </is>
      </c>
      <c r="D1639" s="7" t="inlineStr">
        <is>
          <t>LHA Replacement - P-35 Amphibious Air Traffic Control Direct Altitude and Identity Readout (AATC-DAIR) - Major Hardware                                                                                                                                                     1</t>
        </is>
      </c>
      <c r="E1639" s="13" t="inlineStr">
        <is>
          <t>[ALT_VIEW]</t>
        </is>
      </c>
      <c r="F1639" s="7" t="inlineStr">
        <is>
          <t>3041 / LHA Replacement AP</t>
        </is>
      </c>
      <c r="G1639" s="7" t="inlineStr">
        <is>
          <t>P-35</t>
        </is>
      </c>
      <c r="I1639" s="14" t="n">
        <v>1</v>
      </c>
      <c r="J1639" s="7" t="inlineStr">
        <is>
          <t>Advance procurement / LLTM</t>
        </is>
      </c>
      <c r="K1639" s="13" t="inlineStr">
        <is>
          <t>USN</t>
        </is>
      </c>
      <c r="L1639" s="7" t="inlineStr">
        <is>
          <t>Combatant Ships</t>
        </is>
      </c>
      <c r="M1639" s="7" t="inlineStr">
        <is>
          <t>Amphibious Warfare Ships</t>
        </is>
      </c>
      <c r="N1639" s="7" t="inlineStr">
        <is>
          <t>LHA</t>
        </is>
      </c>
      <c r="O1639" s="15" t="n"/>
      <c r="S1639" s="16" t="n">
        <v>3834</v>
      </c>
      <c r="U1639" s="16" t="n">
        <v>3834</v>
      </c>
      <c r="AC1639" s="23">
        <f>IF(OR(E1639="",E1639="[PARENT]"),"ADD",IF(E1639="[ALT_VIEW]","ALT",""))</f>
        <v/>
      </c>
      <c r="AD1639" s="21">
        <f>IF(Y1639&lt;&gt;"",Y1639,IF(U1639&lt;&gt;"",U1639,S1639))</f>
        <v/>
      </c>
      <c r="AE1639" s="21">
        <f>IF(AB1639&lt;&gt;"",AB1639,Z1639)</f>
        <v/>
      </c>
      <c r="AF1639" s="13" t="inlineStr">
        <is>
          <t>P-35 &gt; LHA Replacement &gt; Amphibious Air Traffic Control Direct Altitude and Identity Readout (AATC-DAIR) &gt; Major Hardware                                                                                                                                                     1</t>
        </is>
      </c>
      <c r="AG1639" s="7" t="inlineStr">
        <is>
          <t>341</t>
        </is>
      </c>
      <c r="AH1639" s="7" t="inlineStr">
        <is>
          <t>3041</t>
        </is>
      </c>
    </row>
    <row r="1640" ht="10" customHeight="1">
      <c r="A1640" s="7" t="inlineStr">
        <is>
          <t>SCN</t>
        </is>
      </c>
      <c r="B1640" s="7" t="inlineStr">
        <is>
          <t>Procurement</t>
        </is>
      </c>
      <c r="D1640" s="7" t="inlineStr">
        <is>
          <t>LHA Replacement - P-35 Amphibious Air Traffic Control Direct Altitude and Identity Readout (AATC-DAIR) - Spares</t>
        </is>
      </c>
      <c r="E1640" s="13" t="inlineStr">
        <is>
          <t>[ALT_VIEW]</t>
        </is>
      </c>
      <c r="F1640" s="7" t="inlineStr">
        <is>
          <t>3041 / LHA Replacement AP</t>
        </is>
      </c>
      <c r="G1640" s="7" t="inlineStr">
        <is>
          <t>P-35</t>
        </is>
      </c>
      <c r="I1640" s="14" t="n">
        <v>1</v>
      </c>
      <c r="J1640" s="7" t="inlineStr">
        <is>
          <t>Advance procurement / LLTM</t>
        </is>
      </c>
      <c r="K1640" s="13" t="inlineStr">
        <is>
          <t>USN</t>
        </is>
      </c>
      <c r="L1640" s="7" t="inlineStr">
        <is>
          <t>Combatant Ships</t>
        </is>
      </c>
      <c r="M1640" s="7" t="inlineStr">
        <is>
          <t>Amphibious Warfare Ships</t>
        </is>
      </c>
      <c r="N1640" s="7" t="inlineStr">
        <is>
          <t>LHA</t>
        </is>
      </c>
      <c r="O1640" s="15" t="n"/>
      <c r="S1640" s="16" t="n">
        <v>73</v>
      </c>
      <c r="U1640" s="16" t="n">
        <v>73</v>
      </c>
      <c r="AC1640" s="23">
        <f>IF(OR(E1640="",E1640="[PARENT]"),"ADD",IF(E1640="[ALT_VIEW]","ALT",""))</f>
        <v/>
      </c>
      <c r="AD1640" s="21">
        <f>IF(Y1640&lt;&gt;"",Y1640,IF(U1640&lt;&gt;"",U1640,S1640))</f>
        <v/>
      </c>
      <c r="AE1640" s="21">
        <f>IF(AB1640&lt;&gt;"",AB1640,Z1640)</f>
        <v/>
      </c>
      <c r="AF1640" s="13" t="inlineStr">
        <is>
          <t>P-35 &gt; LHA Replacement &gt; Amphibious Air Traffic Control Direct Altitude and Identity Readout (AATC-DAIR) &gt; Spares</t>
        </is>
      </c>
      <c r="AG1640" s="7" t="inlineStr">
        <is>
          <t>341</t>
        </is>
      </c>
      <c r="AH1640" s="7" t="inlineStr">
        <is>
          <t>3041</t>
        </is>
      </c>
      <c r="AJ1640" s="7" t="inlineStr">
        <is>
          <t>Amphibious Air Traffic Control Direct Altitude and Identity Readout (AATC-DAIR) [LHA 9]</t>
        </is>
      </c>
    </row>
    <row r="1641" ht="10" customHeight="1">
      <c r="A1641" s="7" t="inlineStr">
        <is>
          <t>SCN</t>
        </is>
      </c>
      <c r="B1641" s="7" t="inlineStr">
        <is>
          <t>Procurement</t>
        </is>
      </c>
      <c r="D1641" s="7" t="inlineStr">
        <is>
          <t>LHA Replacement - P-35 Amphibious Air Traffic Control Direct Altitude and Identity Readout (AATC-DAIR) - System Engineering</t>
        </is>
      </c>
      <c r="E1641" s="13" t="inlineStr">
        <is>
          <t>[ALT_VIEW]</t>
        </is>
      </c>
      <c r="F1641" s="7" t="inlineStr">
        <is>
          <t>3041 / LHA Replacement AP</t>
        </is>
      </c>
      <c r="G1641" s="7" t="inlineStr">
        <is>
          <t>P-35</t>
        </is>
      </c>
      <c r="I1641" s="14" t="n">
        <v>1</v>
      </c>
      <c r="J1641" s="7" t="inlineStr">
        <is>
          <t>Advance procurement / LLTM</t>
        </is>
      </c>
      <c r="K1641" s="13" t="inlineStr">
        <is>
          <t>USN</t>
        </is>
      </c>
      <c r="L1641" s="7" t="inlineStr">
        <is>
          <t>Combatant Ships</t>
        </is>
      </c>
      <c r="M1641" s="7" t="inlineStr">
        <is>
          <t>Amphibious Warfare Ships</t>
        </is>
      </c>
      <c r="N1641" s="7" t="inlineStr">
        <is>
          <t>LHA</t>
        </is>
      </c>
      <c r="O1641" s="15" t="n"/>
      <c r="S1641" s="16" t="n">
        <v>288</v>
      </c>
      <c r="U1641" s="16" t="n">
        <v>288</v>
      </c>
      <c r="AC1641" s="23">
        <f>IF(OR(E1641="",E1641="[PARENT]"),"ADD",IF(E1641="[ALT_VIEW]","ALT",""))</f>
        <v/>
      </c>
      <c r="AD1641" s="21">
        <f>IF(Y1641&lt;&gt;"",Y1641,IF(U1641&lt;&gt;"",U1641,S1641))</f>
        <v/>
      </c>
      <c r="AE1641" s="21">
        <f>IF(AB1641&lt;&gt;"",AB1641,Z1641)</f>
        <v/>
      </c>
      <c r="AF1641" s="13" t="inlineStr">
        <is>
          <t>P-35 &gt; LHA Replacement &gt; Amphibious Air Traffic Control Direct Altitude and Identity Readout (AATC-DAIR) &gt; System Engineering</t>
        </is>
      </c>
      <c r="AG1641" s="7" t="inlineStr">
        <is>
          <t>341</t>
        </is>
      </c>
      <c r="AH1641" s="7" t="inlineStr">
        <is>
          <t>3041</t>
        </is>
      </c>
    </row>
    <row r="1642" ht="10" customHeight="1">
      <c r="A1642" s="7" t="inlineStr">
        <is>
          <t>SCN</t>
        </is>
      </c>
      <c r="B1642" s="7" t="inlineStr">
        <is>
          <t>Procurement</t>
        </is>
      </c>
      <c r="D1642" s="7" t="inlineStr">
        <is>
          <t>LHA Replacement - P-35 Amphibious Air Traffic Control Direct Altitude and Identity Readout (AATC-DAIR) - Technical Engineering Services</t>
        </is>
      </c>
      <c r="E1642" s="13" t="inlineStr">
        <is>
          <t>[ALT_VIEW]</t>
        </is>
      </c>
      <c r="F1642" s="7" t="inlineStr">
        <is>
          <t>3041 / LHA Replacement AP</t>
        </is>
      </c>
      <c r="G1642" s="7" t="inlineStr">
        <is>
          <t>P-35</t>
        </is>
      </c>
      <c r="I1642" s="14" t="n">
        <v>1</v>
      </c>
      <c r="J1642" s="7" t="inlineStr">
        <is>
          <t>Advance procurement / LLTM</t>
        </is>
      </c>
      <c r="K1642" s="13" t="inlineStr">
        <is>
          <t>USN</t>
        </is>
      </c>
      <c r="L1642" s="7" t="inlineStr">
        <is>
          <t>Combatant Ships</t>
        </is>
      </c>
      <c r="M1642" s="7" t="inlineStr">
        <is>
          <t>Amphibious Warfare Ships</t>
        </is>
      </c>
      <c r="N1642" s="7" t="inlineStr">
        <is>
          <t>LHA</t>
        </is>
      </c>
      <c r="O1642" s="15" t="n"/>
      <c r="S1642" s="16" t="n">
        <v>197</v>
      </c>
      <c r="U1642" s="16" t="n">
        <v>197</v>
      </c>
      <c r="AC1642" s="23">
        <f>IF(OR(E1642="",E1642="[PARENT]"),"ADD",IF(E1642="[ALT_VIEW]","ALT",""))</f>
        <v/>
      </c>
      <c r="AD1642" s="21">
        <f>IF(Y1642&lt;&gt;"",Y1642,IF(U1642&lt;&gt;"",U1642,S1642))</f>
        <v/>
      </c>
      <c r="AE1642" s="21">
        <f>IF(AB1642&lt;&gt;"",AB1642,Z1642)</f>
        <v/>
      </c>
      <c r="AF1642" s="13" t="inlineStr">
        <is>
          <t>P-35 &gt; LHA Replacement &gt; Amphibious Air Traffic Control Direct Altitude and Identity Readout (AATC-DAIR) &gt; Technical Engineering Services</t>
        </is>
      </c>
      <c r="AG1642" s="7" t="inlineStr">
        <is>
          <t>341</t>
        </is>
      </c>
      <c r="AH1642" s="7" t="inlineStr">
        <is>
          <t>3041</t>
        </is>
      </c>
    </row>
    <row r="1643" ht="10" customHeight="1">
      <c r="A1643" s="7" t="inlineStr">
        <is>
          <t>SCN</t>
        </is>
      </c>
      <c r="B1643" s="7" t="inlineStr">
        <is>
          <t>Procurement</t>
        </is>
      </c>
      <c r="D1643" s="7" t="inlineStr">
        <is>
          <t>LHA Replacement - P-35 Amphibious Air Traffic Control Direct Altitude and Identity Readout (AATC-DAIR) - Other Costs</t>
        </is>
      </c>
      <c r="E1643" s="13" t="inlineStr">
        <is>
          <t>[ALT_VIEW]</t>
        </is>
      </c>
      <c r="F1643" s="7" t="inlineStr">
        <is>
          <t>3041 / LHA Replacement AP</t>
        </is>
      </c>
      <c r="G1643" s="7" t="inlineStr">
        <is>
          <t>P-35</t>
        </is>
      </c>
      <c r="I1643" s="14" t="n">
        <v>1</v>
      </c>
      <c r="J1643" s="7" t="inlineStr">
        <is>
          <t>Advance procurement / LLTM</t>
        </is>
      </c>
      <c r="K1643" s="13" t="inlineStr">
        <is>
          <t>USN</t>
        </is>
      </c>
      <c r="L1643" s="7" t="inlineStr">
        <is>
          <t>Combatant Ships</t>
        </is>
      </c>
      <c r="M1643" s="7" t="inlineStr">
        <is>
          <t>Amphibious Warfare Ships</t>
        </is>
      </c>
      <c r="N1643" s="7" t="inlineStr">
        <is>
          <t>LHA</t>
        </is>
      </c>
      <c r="O1643" s="15" t="n"/>
      <c r="S1643" s="16" t="n">
        <v>941</v>
      </c>
      <c r="U1643" s="16" t="n">
        <v>941</v>
      </c>
      <c r="AC1643" s="23">
        <f>IF(OR(E1643="",E1643="[PARENT]"),"ADD",IF(E1643="[ALT_VIEW]","ALT",""))</f>
        <v/>
      </c>
      <c r="AD1643" s="21">
        <f>IF(Y1643&lt;&gt;"",Y1643,IF(U1643&lt;&gt;"",U1643,S1643))</f>
        <v/>
      </c>
      <c r="AE1643" s="21">
        <f>IF(AB1643&lt;&gt;"",AB1643,Z1643)</f>
        <v/>
      </c>
      <c r="AF1643" s="13" t="inlineStr">
        <is>
          <t>P-35 &gt; LHA Replacement &gt; Amphibious Air Traffic Control Direct Altitude and Identity Readout (AATC-DAIR) &gt; Other Costs</t>
        </is>
      </c>
      <c r="AG1643" s="7" t="inlineStr">
        <is>
          <t>341</t>
        </is>
      </c>
      <c r="AH1643" s="7" t="inlineStr">
        <is>
          <t>3041</t>
        </is>
      </c>
    </row>
    <row r="1644" ht="10" customHeight="1">
      <c r="A1644" s="7" t="inlineStr">
        <is>
          <t>SCN</t>
        </is>
      </c>
      <c r="B1644" s="7" t="inlineStr">
        <is>
          <t>Procurement</t>
        </is>
      </c>
      <c r="D1644" s="7" t="inlineStr">
        <is>
          <t>LHA Replacement - P-35 Aircraft Control Approach Central AN/SPN-35C - Major Hardware                                                                                                                                                     1</t>
        </is>
      </c>
      <c r="E1644" s="13" t="inlineStr">
        <is>
          <t>[ALT_VIEW]</t>
        </is>
      </c>
      <c r="F1644" s="7" t="inlineStr">
        <is>
          <t>3041 / LHA Replacement AP</t>
        </is>
      </c>
      <c r="G1644" s="7" t="inlineStr">
        <is>
          <t>P-35</t>
        </is>
      </c>
      <c r="I1644" s="14" t="n">
        <v>1</v>
      </c>
      <c r="J1644" s="7" t="inlineStr">
        <is>
          <t>Advance procurement / LLTM</t>
        </is>
      </c>
      <c r="K1644" s="13" t="inlineStr">
        <is>
          <t>USN</t>
        </is>
      </c>
      <c r="L1644" s="7" t="inlineStr">
        <is>
          <t>Combatant Ships</t>
        </is>
      </c>
      <c r="M1644" s="7" t="inlineStr">
        <is>
          <t>Amphibious Warfare Ships</t>
        </is>
      </c>
      <c r="N1644" s="7" t="inlineStr">
        <is>
          <t>LHA</t>
        </is>
      </c>
      <c r="O1644" s="15" t="n"/>
      <c r="S1644" s="16" t="n">
        <v>5295</v>
      </c>
      <c r="U1644" s="16" t="n">
        <v>5295</v>
      </c>
      <c r="AC1644" s="23">
        <f>IF(OR(E1644="",E1644="[PARENT]"),"ADD",IF(E1644="[ALT_VIEW]","ALT",""))</f>
        <v/>
      </c>
      <c r="AD1644" s="21">
        <f>IF(Y1644&lt;&gt;"",Y1644,IF(U1644&lt;&gt;"",U1644,S1644))</f>
        <v/>
      </c>
      <c r="AE1644" s="21">
        <f>IF(AB1644&lt;&gt;"",AB1644,Z1644)</f>
        <v/>
      </c>
      <c r="AF1644" s="13" t="inlineStr">
        <is>
          <t>P-35 &gt; LHA Replacement &gt; Aircraft Control Approach Central AN/SPN-35C &gt; Major Hardware                                                                                                                                                     1</t>
        </is>
      </c>
      <c r="AG1644" s="7" t="inlineStr">
        <is>
          <t>342</t>
        </is>
      </c>
      <c r="AH1644" s="7" t="inlineStr">
        <is>
          <t>3041</t>
        </is>
      </c>
    </row>
    <row r="1645" ht="10" customHeight="1">
      <c r="A1645" s="7" t="inlineStr">
        <is>
          <t>SCN</t>
        </is>
      </c>
      <c r="B1645" s="7" t="inlineStr">
        <is>
          <t>Procurement</t>
        </is>
      </c>
      <c r="D1645" s="7" t="inlineStr">
        <is>
          <t>LHA Replacement - P-35 Aircraft Control Approach Central AN/SPN-35C - System Engineering</t>
        </is>
      </c>
      <c r="E1645" s="13" t="inlineStr">
        <is>
          <t>[ALT_VIEW]</t>
        </is>
      </c>
      <c r="F1645" s="7" t="inlineStr">
        <is>
          <t>3041 / LHA Replacement AP</t>
        </is>
      </c>
      <c r="G1645" s="7" t="inlineStr">
        <is>
          <t>P-35</t>
        </is>
      </c>
      <c r="I1645" s="14" t="n">
        <v>1</v>
      </c>
      <c r="J1645" s="7" t="inlineStr">
        <is>
          <t>Advance procurement / LLTM</t>
        </is>
      </c>
      <c r="K1645" s="13" t="inlineStr">
        <is>
          <t>USN</t>
        </is>
      </c>
      <c r="L1645" s="7" t="inlineStr">
        <is>
          <t>Combatant Ships</t>
        </is>
      </c>
      <c r="M1645" s="7" t="inlineStr">
        <is>
          <t>Amphibious Warfare Ships</t>
        </is>
      </c>
      <c r="N1645" s="7" t="inlineStr">
        <is>
          <t>LHA</t>
        </is>
      </c>
      <c r="O1645" s="15" t="n"/>
      <c r="S1645" s="16" t="n">
        <v>581</v>
      </c>
      <c r="U1645" s="16" t="n">
        <v>581</v>
      </c>
      <c r="AC1645" s="23">
        <f>IF(OR(E1645="",E1645="[PARENT]"),"ADD",IF(E1645="[ALT_VIEW]","ALT",""))</f>
        <v/>
      </c>
      <c r="AD1645" s="21">
        <f>IF(Y1645&lt;&gt;"",Y1645,IF(U1645&lt;&gt;"",U1645,S1645))</f>
        <v/>
      </c>
      <c r="AE1645" s="21">
        <f>IF(AB1645&lt;&gt;"",AB1645,Z1645)</f>
        <v/>
      </c>
      <c r="AF1645" s="13" t="inlineStr">
        <is>
          <t>P-35 &gt; LHA Replacement &gt; Aircraft Control Approach Central AN/SPN-35C &gt; System Engineering</t>
        </is>
      </c>
      <c r="AG1645" s="7" t="inlineStr">
        <is>
          <t>342</t>
        </is>
      </c>
      <c r="AH1645" s="7" t="inlineStr">
        <is>
          <t>3041</t>
        </is>
      </c>
    </row>
    <row r="1646" ht="10" customHeight="1">
      <c r="A1646" s="7" t="inlineStr">
        <is>
          <t>SCN</t>
        </is>
      </c>
      <c r="B1646" s="7" t="inlineStr">
        <is>
          <t>Procurement</t>
        </is>
      </c>
      <c r="D1646" s="7" t="inlineStr">
        <is>
          <t>LHA Replacement - P-35 Aircraft Control Approach Central AN/SPN-35C - Technical Engineering Services</t>
        </is>
      </c>
      <c r="E1646" s="13" t="inlineStr">
        <is>
          <t>[ALT_VIEW]</t>
        </is>
      </c>
      <c r="F1646" s="7" t="inlineStr">
        <is>
          <t>3041 / LHA Replacement AP</t>
        </is>
      </c>
      <c r="G1646" s="7" t="inlineStr">
        <is>
          <t>P-35</t>
        </is>
      </c>
      <c r="I1646" s="14" t="n">
        <v>1</v>
      </c>
      <c r="J1646" s="7" t="inlineStr">
        <is>
          <t>Advance procurement / LLTM</t>
        </is>
      </c>
      <c r="K1646" s="13" t="inlineStr">
        <is>
          <t>USN</t>
        </is>
      </c>
      <c r="L1646" s="7" t="inlineStr">
        <is>
          <t>Combatant Ships</t>
        </is>
      </c>
      <c r="M1646" s="7" t="inlineStr">
        <is>
          <t>Amphibious Warfare Ships</t>
        </is>
      </c>
      <c r="N1646" s="7" t="inlineStr">
        <is>
          <t>LHA</t>
        </is>
      </c>
      <c r="O1646" s="15" t="n"/>
      <c r="S1646" s="16" t="n">
        <v>70</v>
      </c>
      <c r="U1646" s="16" t="n">
        <v>70</v>
      </c>
      <c r="AC1646" s="23">
        <f>IF(OR(E1646="",E1646="[PARENT]"),"ADD",IF(E1646="[ALT_VIEW]","ALT",""))</f>
        <v/>
      </c>
      <c r="AD1646" s="21">
        <f>IF(Y1646&lt;&gt;"",Y1646,IF(U1646&lt;&gt;"",U1646,S1646))</f>
        <v/>
      </c>
      <c r="AE1646" s="21">
        <f>IF(AB1646&lt;&gt;"",AB1646,Z1646)</f>
        <v/>
      </c>
      <c r="AF1646" s="13" t="inlineStr">
        <is>
          <t>P-35 &gt; LHA Replacement &gt; Aircraft Control Approach Central AN/SPN-35C &gt; Technical Engineering Services</t>
        </is>
      </c>
      <c r="AG1646" s="7" t="inlineStr">
        <is>
          <t>342</t>
        </is>
      </c>
      <c r="AH1646" s="7" t="inlineStr">
        <is>
          <t>3041</t>
        </is>
      </c>
    </row>
    <row r="1647" ht="10" customHeight="1">
      <c r="A1647" s="7" t="inlineStr">
        <is>
          <t>SCN</t>
        </is>
      </c>
      <c r="B1647" s="7" t="inlineStr">
        <is>
          <t>Procurement</t>
        </is>
      </c>
      <c r="D1647" s="7" t="inlineStr">
        <is>
          <t>LHA Replacement - P-35 Aircraft Control Approach Central AN/SPN-35C - Other Costs</t>
        </is>
      </c>
      <c r="E1647" s="13" t="inlineStr">
        <is>
          <t>[ALT_VIEW]</t>
        </is>
      </c>
      <c r="F1647" s="7" t="inlineStr">
        <is>
          <t>3041 / LHA Replacement AP</t>
        </is>
      </c>
      <c r="G1647" s="7" t="inlineStr">
        <is>
          <t>P-35</t>
        </is>
      </c>
      <c r="I1647" s="14" t="n">
        <v>1</v>
      </c>
      <c r="J1647" s="7" t="inlineStr">
        <is>
          <t>Advance procurement / LLTM</t>
        </is>
      </c>
      <c r="K1647" s="13" t="inlineStr">
        <is>
          <t>USN</t>
        </is>
      </c>
      <c r="L1647" s="7" t="inlineStr">
        <is>
          <t>Combatant Ships</t>
        </is>
      </c>
      <c r="M1647" s="7" t="inlineStr">
        <is>
          <t>Amphibious Warfare Ships</t>
        </is>
      </c>
      <c r="N1647" s="7" t="inlineStr">
        <is>
          <t>LHA</t>
        </is>
      </c>
      <c r="O1647" s="15" t="n"/>
      <c r="S1647" s="16" t="n">
        <v>327</v>
      </c>
      <c r="U1647" s="16" t="n">
        <v>327</v>
      </c>
      <c r="AC1647" s="23">
        <f>IF(OR(E1647="",E1647="[PARENT]"),"ADD",IF(E1647="[ALT_VIEW]","ALT",""))</f>
        <v/>
      </c>
      <c r="AD1647" s="21">
        <f>IF(Y1647&lt;&gt;"",Y1647,IF(U1647&lt;&gt;"",U1647,S1647))</f>
        <v/>
      </c>
      <c r="AE1647" s="21">
        <f>IF(AB1647&lt;&gt;"",AB1647,Z1647)</f>
        <v/>
      </c>
      <c r="AF1647" s="13" t="inlineStr">
        <is>
          <t>P-35 &gt; LHA Replacement &gt; Aircraft Control Approach Central AN/SPN-35C &gt; Other Costs</t>
        </is>
      </c>
      <c r="AG1647" s="7" t="inlineStr">
        <is>
          <t>342</t>
        </is>
      </c>
      <c r="AH1647" s="7" t="inlineStr">
        <is>
          <t>3041</t>
        </is>
      </c>
    </row>
    <row r="1648" ht="10" customHeight="1">
      <c r="A1648" s="7" t="inlineStr">
        <is>
          <t>SCN</t>
        </is>
      </c>
      <c r="B1648" s="7" t="inlineStr">
        <is>
          <t>Procurement</t>
        </is>
      </c>
      <c r="D1648" s="7" t="inlineStr">
        <is>
          <t>LHA Replacement - P-35 Aircraft Approach Control Transmitting Set (AACTS) AN/SPN-41B - Major Hardware                                                                                                                                                    1</t>
        </is>
      </c>
      <c r="E1648" s="13" t="inlineStr">
        <is>
          <t>[ALT_VIEW]</t>
        </is>
      </c>
      <c r="F1648" s="7" t="inlineStr">
        <is>
          <t>3041 / LHA Replacement AP</t>
        </is>
      </c>
      <c r="G1648" s="7" t="inlineStr">
        <is>
          <t>P-35</t>
        </is>
      </c>
      <c r="I1648" s="14" t="n">
        <v>1</v>
      </c>
      <c r="J1648" s="7" t="inlineStr">
        <is>
          <t>Advance procurement / LLTM</t>
        </is>
      </c>
      <c r="K1648" s="13" t="inlineStr">
        <is>
          <t>USN</t>
        </is>
      </c>
      <c r="L1648" s="7" t="inlineStr">
        <is>
          <t>Combatant Ships</t>
        </is>
      </c>
      <c r="M1648" s="7" t="inlineStr">
        <is>
          <t>Amphibious Warfare Ships</t>
        </is>
      </c>
      <c r="N1648" s="7" t="inlineStr">
        <is>
          <t>LHA</t>
        </is>
      </c>
      <c r="O1648" s="15" t="n"/>
      <c r="S1648" s="16" t="n">
        <v>3618</v>
      </c>
      <c r="U1648" s="16" t="n">
        <v>3618</v>
      </c>
      <c r="AC1648" s="23">
        <f>IF(OR(E1648="",E1648="[PARENT]"),"ADD",IF(E1648="[ALT_VIEW]","ALT",""))</f>
        <v/>
      </c>
      <c r="AD1648" s="21">
        <f>IF(Y1648&lt;&gt;"",Y1648,IF(U1648&lt;&gt;"",U1648,S1648))</f>
        <v/>
      </c>
      <c r="AE1648" s="21">
        <f>IF(AB1648&lt;&gt;"",AB1648,Z1648)</f>
        <v/>
      </c>
      <c r="AF1648" s="13" t="inlineStr">
        <is>
          <t>P-35 &gt; LHA Replacement &gt; Aircraft Approach Control Transmitting Set (AACTS) AN/SPN-41B &gt; Major Hardware                                                                                                                                                    1</t>
        </is>
      </c>
      <c r="AG1648" s="7" t="inlineStr">
        <is>
          <t>343</t>
        </is>
      </c>
      <c r="AH1648" s="7" t="inlineStr">
        <is>
          <t>3041</t>
        </is>
      </c>
    </row>
    <row r="1649" ht="10" customHeight="1">
      <c r="A1649" s="7" t="inlineStr">
        <is>
          <t>SCN</t>
        </is>
      </c>
      <c r="B1649" s="7" t="inlineStr">
        <is>
          <t>Procurement</t>
        </is>
      </c>
      <c r="D1649" s="7" t="inlineStr">
        <is>
          <t>LHA Replacement - P-35 Aircraft Approach Control Transmitting Set (AACTS) AN/SPN-41B - System Engineering</t>
        </is>
      </c>
      <c r="E1649" s="13" t="inlineStr">
        <is>
          <t>[ALT_VIEW]</t>
        </is>
      </c>
      <c r="F1649" s="7" t="inlineStr">
        <is>
          <t>3041 / LHA Replacement AP</t>
        </is>
      </c>
      <c r="G1649" s="7" t="inlineStr">
        <is>
          <t>P-35</t>
        </is>
      </c>
      <c r="I1649" s="14" t="n">
        <v>1</v>
      </c>
      <c r="J1649" s="7" t="inlineStr">
        <is>
          <t>Advance procurement / LLTM</t>
        </is>
      </c>
      <c r="K1649" s="13" t="inlineStr">
        <is>
          <t>USN</t>
        </is>
      </c>
      <c r="L1649" s="7" t="inlineStr">
        <is>
          <t>Combatant Ships</t>
        </is>
      </c>
      <c r="M1649" s="7" t="inlineStr">
        <is>
          <t>Amphibious Warfare Ships</t>
        </is>
      </c>
      <c r="N1649" s="7" t="inlineStr">
        <is>
          <t>LHA</t>
        </is>
      </c>
      <c r="O1649" s="15" t="n"/>
      <c r="S1649" s="16" t="n">
        <v>616</v>
      </c>
      <c r="U1649" s="16" t="n">
        <v>616</v>
      </c>
      <c r="AC1649" s="23">
        <f>IF(OR(E1649="",E1649="[PARENT]"),"ADD",IF(E1649="[ALT_VIEW]","ALT",""))</f>
        <v/>
      </c>
      <c r="AD1649" s="21">
        <f>IF(Y1649&lt;&gt;"",Y1649,IF(U1649&lt;&gt;"",U1649,S1649))</f>
        <v/>
      </c>
      <c r="AE1649" s="21">
        <f>IF(AB1649&lt;&gt;"",AB1649,Z1649)</f>
        <v/>
      </c>
      <c r="AF1649" s="13" t="inlineStr">
        <is>
          <t>P-35 &gt; LHA Replacement &gt; Aircraft Approach Control Transmitting Set (AACTS) AN/SPN-41B &gt; System Engineering</t>
        </is>
      </c>
      <c r="AG1649" s="7" t="inlineStr">
        <is>
          <t>343</t>
        </is>
      </c>
      <c r="AH1649" s="7" t="inlineStr">
        <is>
          <t>3041</t>
        </is>
      </c>
    </row>
    <row r="1650" ht="10" customHeight="1">
      <c r="A1650" s="7" t="inlineStr">
        <is>
          <t>SCN</t>
        </is>
      </c>
      <c r="B1650" s="7" t="inlineStr">
        <is>
          <t>Procurement</t>
        </is>
      </c>
      <c r="D1650" s="7" t="inlineStr">
        <is>
          <t>LHA Replacement - P-35 Aircraft Approach Control Transmitting Set (AACTS) AN/SPN-41B - Technical Engineering Services</t>
        </is>
      </c>
      <c r="E1650" s="13" t="inlineStr">
        <is>
          <t>[ALT_VIEW]</t>
        </is>
      </c>
      <c r="F1650" s="7" t="inlineStr">
        <is>
          <t>3041 / LHA Replacement AP</t>
        </is>
      </c>
      <c r="G1650" s="7" t="inlineStr">
        <is>
          <t>P-35</t>
        </is>
      </c>
      <c r="I1650" s="14" t="n">
        <v>1</v>
      </c>
      <c r="J1650" s="7" t="inlineStr">
        <is>
          <t>Advance procurement / LLTM</t>
        </is>
      </c>
      <c r="K1650" s="13" t="inlineStr">
        <is>
          <t>USN</t>
        </is>
      </c>
      <c r="L1650" s="7" t="inlineStr">
        <is>
          <t>Combatant Ships</t>
        </is>
      </c>
      <c r="M1650" s="7" t="inlineStr">
        <is>
          <t>Amphibious Warfare Ships</t>
        </is>
      </c>
      <c r="N1650" s="7" t="inlineStr">
        <is>
          <t>LHA</t>
        </is>
      </c>
      <c r="O1650" s="15" t="n"/>
      <c r="S1650" s="16" t="n">
        <v>65</v>
      </c>
      <c r="U1650" s="16" t="n">
        <v>65</v>
      </c>
      <c r="AC1650" s="23">
        <f>IF(OR(E1650="",E1650="[PARENT]"),"ADD",IF(E1650="[ALT_VIEW]","ALT",""))</f>
        <v/>
      </c>
      <c r="AD1650" s="21">
        <f>IF(Y1650&lt;&gt;"",Y1650,IF(U1650&lt;&gt;"",U1650,S1650))</f>
        <v/>
      </c>
      <c r="AE1650" s="21">
        <f>IF(AB1650&lt;&gt;"",AB1650,Z1650)</f>
        <v/>
      </c>
      <c r="AF1650" s="13" t="inlineStr">
        <is>
          <t>P-35 &gt; LHA Replacement &gt; Aircraft Approach Control Transmitting Set (AACTS) AN/SPN-41B &gt; Technical Engineering Services</t>
        </is>
      </c>
      <c r="AG1650" s="7" t="inlineStr">
        <is>
          <t>343</t>
        </is>
      </c>
      <c r="AH1650" s="7" t="inlineStr">
        <is>
          <t>3041</t>
        </is>
      </c>
    </row>
    <row r="1651" ht="10" customHeight="1">
      <c r="A1651" s="7" t="inlineStr">
        <is>
          <t>SCN</t>
        </is>
      </c>
      <c r="B1651" s="7" t="inlineStr">
        <is>
          <t>Procurement</t>
        </is>
      </c>
      <c r="D1651" s="7" t="inlineStr">
        <is>
          <t>LHA Replacement - P-35 Aircraft Approach Control Transmitting Set (AACTS) AN/SPN-41B - Other Costs</t>
        </is>
      </c>
      <c r="E1651" s="13" t="inlineStr">
        <is>
          <t>[ALT_VIEW]</t>
        </is>
      </c>
      <c r="F1651" s="7" t="inlineStr">
        <is>
          <t>3041 / LHA Replacement AP</t>
        </is>
      </c>
      <c r="G1651" s="7" t="inlineStr">
        <is>
          <t>P-35</t>
        </is>
      </c>
      <c r="I1651" s="14" t="n">
        <v>1</v>
      </c>
      <c r="J1651" s="7" t="inlineStr">
        <is>
          <t>Advance procurement / LLTM</t>
        </is>
      </c>
      <c r="K1651" s="13" t="inlineStr">
        <is>
          <t>USN</t>
        </is>
      </c>
      <c r="L1651" s="7" t="inlineStr">
        <is>
          <t>Combatant Ships</t>
        </is>
      </c>
      <c r="M1651" s="7" t="inlineStr">
        <is>
          <t>Amphibious Warfare Ships</t>
        </is>
      </c>
      <c r="N1651" s="7" t="inlineStr">
        <is>
          <t>LHA</t>
        </is>
      </c>
      <c r="O1651" s="15" t="n"/>
      <c r="S1651" s="16" t="n">
        <v>318</v>
      </c>
      <c r="U1651" s="16" t="n">
        <v>318</v>
      </c>
      <c r="AC1651" s="23">
        <f>IF(OR(E1651="",E1651="[PARENT]"),"ADD",IF(E1651="[ALT_VIEW]","ALT",""))</f>
        <v/>
      </c>
      <c r="AD1651" s="21">
        <f>IF(Y1651&lt;&gt;"",Y1651,IF(U1651&lt;&gt;"",U1651,S1651))</f>
        <v/>
      </c>
      <c r="AE1651" s="21">
        <f>IF(AB1651&lt;&gt;"",AB1651,Z1651)</f>
        <v/>
      </c>
      <c r="AF1651" s="13" t="inlineStr">
        <is>
          <t>P-35 &gt; LHA Replacement &gt; Aircraft Approach Control Transmitting Set (AACTS) AN/SPN-41B &gt; Other Costs</t>
        </is>
      </c>
      <c r="AG1651" s="7" t="inlineStr">
        <is>
          <t>343</t>
        </is>
      </c>
      <c r="AH1651" s="7" t="inlineStr">
        <is>
          <t>3041</t>
        </is>
      </c>
      <c r="AJ1651" s="7" t="inlineStr">
        <is>
          <t>Aircraft Approach Control Transmitting Set (AACTS) AN/SPN-41B [LHA 9]</t>
        </is>
      </c>
    </row>
    <row r="1652" ht="10" customHeight="1">
      <c r="A1652" s="7" t="inlineStr">
        <is>
          <t>SCN</t>
        </is>
      </c>
      <c r="B1652" s="7" t="inlineStr">
        <is>
          <t>Procurement</t>
        </is>
      </c>
      <c r="D1652" s="7" t="inlineStr">
        <is>
          <t>LHA Replacement - P-35 Enterprise Air Surveillance Radar (EASR) - Major Hardware                                                                                                                                                     1</t>
        </is>
      </c>
      <c r="E1652" s="13" t="inlineStr">
        <is>
          <t>[ALT_VIEW]</t>
        </is>
      </c>
      <c r="F1652" s="7" t="inlineStr">
        <is>
          <t>3041 / LHA Replacement AP</t>
        </is>
      </c>
      <c r="G1652" s="7" t="inlineStr">
        <is>
          <t>P-35</t>
        </is>
      </c>
      <c r="I1652" s="14" t="n">
        <v>1</v>
      </c>
      <c r="J1652" s="7" t="inlineStr">
        <is>
          <t>Advance procurement / LLTM</t>
        </is>
      </c>
      <c r="K1652" s="13" t="inlineStr">
        <is>
          <t>USN</t>
        </is>
      </c>
      <c r="L1652" s="7" t="inlineStr">
        <is>
          <t>Combatant Ships</t>
        </is>
      </c>
      <c r="M1652" s="7" t="inlineStr">
        <is>
          <t>Amphibious Warfare Ships</t>
        </is>
      </c>
      <c r="N1652" s="7" t="inlineStr">
        <is>
          <t>LHA</t>
        </is>
      </c>
      <c r="O1652" s="15" t="n"/>
      <c r="S1652" s="16" t="n">
        <v>23735</v>
      </c>
      <c r="U1652" s="16" t="n">
        <v>23735</v>
      </c>
      <c r="AC1652" s="23">
        <f>IF(OR(E1652="",E1652="[PARENT]"),"ADD",IF(E1652="[ALT_VIEW]","ALT",""))</f>
        <v/>
      </c>
      <c r="AD1652" s="21">
        <f>IF(Y1652&lt;&gt;"",Y1652,IF(U1652&lt;&gt;"",U1652,S1652))</f>
        <v/>
      </c>
      <c r="AE1652" s="21">
        <f>IF(AB1652&lt;&gt;"",AB1652,Z1652)</f>
        <v/>
      </c>
      <c r="AF1652" s="13" t="inlineStr">
        <is>
          <t>P-35 &gt; LHA Replacement &gt; Enterprise Air Surveillance Radar (EASR) &gt; Major Hardware                                                                                                                                                     1</t>
        </is>
      </c>
      <c r="AG1652" s="7" t="inlineStr">
        <is>
          <t>344</t>
        </is>
      </c>
      <c r="AH1652" s="7" t="inlineStr">
        <is>
          <t>3041</t>
        </is>
      </c>
    </row>
    <row r="1653" ht="10" customHeight="1">
      <c r="A1653" s="7" t="inlineStr">
        <is>
          <t>SCN</t>
        </is>
      </c>
      <c r="B1653" s="7" t="inlineStr">
        <is>
          <t>Procurement</t>
        </is>
      </c>
      <c r="D1653" s="7" t="inlineStr">
        <is>
          <t>LHA Replacement - P-35 Enterprise Air Surveillance Radar (EASR) - Technical Data and Documentation</t>
        </is>
      </c>
      <c r="E1653" s="13" t="inlineStr">
        <is>
          <t>[ALT_VIEW]</t>
        </is>
      </c>
      <c r="F1653" s="7" t="inlineStr">
        <is>
          <t>3041 / LHA Replacement AP</t>
        </is>
      </c>
      <c r="G1653" s="7" t="inlineStr">
        <is>
          <t>P-35</t>
        </is>
      </c>
      <c r="I1653" s="14" t="n">
        <v>1</v>
      </c>
      <c r="J1653" s="7" t="inlineStr">
        <is>
          <t>Advance procurement / LLTM</t>
        </is>
      </c>
      <c r="K1653" s="13" t="inlineStr">
        <is>
          <t>USN</t>
        </is>
      </c>
      <c r="L1653" s="7" t="inlineStr">
        <is>
          <t>Combatant Ships</t>
        </is>
      </c>
      <c r="M1653" s="7" t="inlineStr">
        <is>
          <t>Amphibious Warfare Ships</t>
        </is>
      </c>
      <c r="N1653" s="7" t="inlineStr">
        <is>
          <t>LHA</t>
        </is>
      </c>
      <c r="O1653" s="15" t="n"/>
      <c r="S1653" s="16" t="n">
        <v>34</v>
      </c>
      <c r="U1653" s="16" t="n">
        <v>34</v>
      </c>
      <c r="AC1653" s="23">
        <f>IF(OR(E1653="",E1653="[PARENT]"),"ADD",IF(E1653="[ALT_VIEW]","ALT",""))</f>
        <v/>
      </c>
      <c r="AD1653" s="21">
        <f>IF(Y1653&lt;&gt;"",Y1653,IF(U1653&lt;&gt;"",U1653,S1653))</f>
        <v/>
      </c>
      <c r="AE1653" s="21">
        <f>IF(AB1653&lt;&gt;"",AB1653,Z1653)</f>
        <v/>
      </c>
      <c r="AF1653" s="13" t="inlineStr">
        <is>
          <t>P-35 &gt; LHA Replacement &gt; Enterprise Air Surveillance Radar (EASR) &gt; Technical Data and Documentation</t>
        </is>
      </c>
      <c r="AG1653" s="7" t="inlineStr">
        <is>
          <t>344</t>
        </is>
      </c>
      <c r="AH1653" s="7" t="inlineStr">
        <is>
          <t>3041</t>
        </is>
      </c>
    </row>
    <row r="1654" ht="10" customHeight="1">
      <c r="A1654" s="7" t="inlineStr">
        <is>
          <t>SCN</t>
        </is>
      </c>
      <c r="B1654" s="7" t="inlineStr">
        <is>
          <t>Procurement</t>
        </is>
      </c>
      <c r="D1654" s="7" t="inlineStr">
        <is>
          <t>LHA Replacement - P-35 Enterprise Air Surveillance Radar (EASR) - Spares</t>
        </is>
      </c>
      <c r="E1654" s="13" t="inlineStr">
        <is>
          <t>[ALT_VIEW]</t>
        </is>
      </c>
      <c r="F1654" s="7" t="inlineStr">
        <is>
          <t>3041 / LHA Replacement AP</t>
        </is>
      </c>
      <c r="G1654" s="7" t="inlineStr">
        <is>
          <t>P-35</t>
        </is>
      </c>
      <c r="I1654" s="14" t="n">
        <v>1</v>
      </c>
      <c r="J1654" s="7" t="inlineStr">
        <is>
          <t>Advance procurement / LLTM</t>
        </is>
      </c>
      <c r="K1654" s="13" t="inlineStr">
        <is>
          <t>USN</t>
        </is>
      </c>
      <c r="L1654" s="7" t="inlineStr">
        <is>
          <t>Combatant Ships</t>
        </is>
      </c>
      <c r="M1654" s="7" t="inlineStr">
        <is>
          <t>Amphibious Warfare Ships</t>
        </is>
      </c>
      <c r="N1654" s="7" t="inlineStr">
        <is>
          <t>LHA</t>
        </is>
      </c>
      <c r="O1654" s="15" t="n"/>
      <c r="S1654" s="16" t="n">
        <v>833</v>
      </c>
      <c r="U1654" s="16" t="n">
        <v>833</v>
      </c>
      <c r="AC1654" s="23">
        <f>IF(OR(E1654="",E1654="[PARENT]"),"ADD",IF(E1654="[ALT_VIEW]","ALT",""))</f>
        <v/>
      </c>
      <c r="AD1654" s="21">
        <f>IF(Y1654&lt;&gt;"",Y1654,IF(U1654&lt;&gt;"",U1654,S1654))</f>
        <v/>
      </c>
      <c r="AE1654" s="21">
        <f>IF(AB1654&lt;&gt;"",AB1654,Z1654)</f>
        <v/>
      </c>
      <c r="AF1654" s="13" t="inlineStr">
        <is>
          <t>P-35 &gt; LHA Replacement &gt; Enterprise Air Surveillance Radar (EASR) &gt; Spares</t>
        </is>
      </c>
      <c r="AG1654" s="7" t="inlineStr">
        <is>
          <t>344</t>
        </is>
      </c>
      <c r="AH1654" s="7" t="inlineStr">
        <is>
          <t>3041</t>
        </is>
      </c>
    </row>
    <row r="1655" ht="10" customHeight="1">
      <c r="A1655" s="7" t="inlineStr">
        <is>
          <t>SCN</t>
        </is>
      </c>
      <c r="B1655" s="7" t="inlineStr">
        <is>
          <t>Procurement</t>
        </is>
      </c>
      <c r="D1655" s="7" t="inlineStr">
        <is>
          <t>LHA Replacement - P-35 Enterprise Air Surveillance Radar (EASR) - System Engineering</t>
        </is>
      </c>
      <c r="E1655" s="13" t="inlineStr">
        <is>
          <t>[ALT_VIEW]</t>
        </is>
      </c>
      <c r="F1655" s="7" t="inlineStr">
        <is>
          <t>3041 / LHA Replacement AP</t>
        </is>
      </c>
      <c r="G1655" s="7" t="inlineStr">
        <is>
          <t>P-35</t>
        </is>
      </c>
      <c r="I1655" s="14" t="n">
        <v>1</v>
      </c>
      <c r="J1655" s="7" t="inlineStr">
        <is>
          <t>Advance procurement / LLTM</t>
        </is>
      </c>
      <c r="K1655" s="13" t="inlineStr">
        <is>
          <t>USN</t>
        </is>
      </c>
      <c r="L1655" s="7" t="inlineStr">
        <is>
          <t>Combatant Ships</t>
        </is>
      </c>
      <c r="M1655" s="7" t="inlineStr">
        <is>
          <t>Amphibious Warfare Ships</t>
        </is>
      </c>
      <c r="N1655" s="7" t="inlineStr">
        <is>
          <t>LHA</t>
        </is>
      </c>
      <c r="O1655" s="15" t="n"/>
      <c r="S1655" s="16" t="n">
        <v>1663</v>
      </c>
      <c r="U1655" s="16" t="n">
        <v>1663</v>
      </c>
      <c r="AC1655" s="23">
        <f>IF(OR(E1655="",E1655="[PARENT]"),"ADD",IF(E1655="[ALT_VIEW]","ALT",""))</f>
        <v/>
      </c>
      <c r="AD1655" s="21">
        <f>IF(Y1655&lt;&gt;"",Y1655,IF(U1655&lt;&gt;"",U1655,S1655))</f>
        <v/>
      </c>
      <c r="AE1655" s="21">
        <f>IF(AB1655&lt;&gt;"",AB1655,Z1655)</f>
        <v/>
      </c>
      <c r="AF1655" s="13" t="inlineStr">
        <is>
          <t>P-35 &gt; LHA Replacement &gt; Enterprise Air Surveillance Radar (EASR) &gt; System Engineering</t>
        </is>
      </c>
      <c r="AG1655" s="7" t="inlineStr">
        <is>
          <t>344</t>
        </is>
      </c>
      <c r="AH1655" s="7" t="inlineStr">
        <is>
          <t>3041</t>
        </is>
      </c>
    </row>
    <row r="1656" ht="10" customHeight="1">
      <c r="A1656" s="7" t="inlineStr">
        <is>
          <t>SCN</t>
        </is>
      </c>
      <c r="B1656" s="7" t="inlineStr">
        <is>
          <t>Procurement</t>
        </is>
      </c>
      <c r="D1656" s="7" t="inlineStr">
        <is>
          <t>LHA Replacement - P-35 Enterprise Air Surveillance Radar (EASR) - Technical Engineering Services</t>
        </is>
      </c>
      <c r="E1656" s="13" t="inlineStr">
        <is>
          <t>[ALT_VIEW]</t>
        </is>
      </c>
      <c r="F1656" s="7" t="inlineStr">
        <is>
          <t>3041 / LHA Replacement AP</t>
        </is>
      </c>
      <c r="G1656" s="7" t="inlineStr">
        <is>
          <t>P-35</t>
        </is>
      </c>
      <c r="I1656" s="14" t="n">
        <v>1</v>
      </c>
      <c r="J1656" s="7" t="inlineStr">
        <is>
          <t>Advance procurement / LLTM</t>
        </is>
      </c>
      <c r="K1656" s="13" t="inlineStr">
        <is>
          <t>USN</t>
        </is>
      </c>
      <c r="L1656" s="7" t="inlineStr">
        <is>
          <t>Combatant Ships</t>
        </is>
      </c>
      <c r="M1656" s="7" t="inlineStr">
        <is>
          <t>Amphibious Warfare Ships</t>
        </is>
      </c>
      <c r="N1656" s="7" t="inlineStr">
        <is>
          <t>LHA</t>
        </is>
      </c>
      <c r="O1656" s="15" t="n"/>
      <c r="S1656" s="16" t="n">
        <v>2233</v>
      </c>
      <c r="U1656" s="16" t="n">
        <v>2233</v>
      </c>
      <c r="AC1656" s="23">
        <f>IF(OR(E1656="",E1656="[PARENT]"),"ADD",IF(E1656="[ALT_VIEW]","ALT",""))</f>
        <v/>
      </c>
      <c r="AD1656" s="21">
        <f>IF(Y1656&lt;&gt;"",Y1656,IF(U1656&lt;&gt;"",U1656,S1656))</f>
        <v/>
      </c>
      <c r="AE1656" s="21">
        <f>IF(AB1656&lt;&gt;"",AB1656,Z1656)</f>
        <v/>
      </c>
      <c r="AF1656" s="13" t="inlineStr">
        <is>
          <t>P-35 &gt; LHA Replacement &gt; Enterprise Air Surveillance Radar (EASR) &gt; Technical Engineering Services</t>
        </is>
      </c>
      <c r="AG1656" s="7" t="inlineStr">
        <is>
          <t>344</t>
        </is>
      </c>
      <c r="AH1656" s="7" t="inlineStr">
        <is>
          <t>3041</t>
        </is>
      </c>
    </row>
    <row r="1657" ht="10" customHeight="1">
      <c r="A1657" s="7" t="inlineStr">
        <is>
          <t>SCN</t>
        </is>
      </c>
      <c r="B1657" s="7" t="inlineStr">
        <is>
          <t>Procurement</t>
        </is>
      </c>
      <c r="D1657" s="7" t="inlineStr">
        <is>
          <t>LHA Replacement - P-35 Enterprise Air Surveillance Radar (EASR) - Other Costs</t>
        </is>
      </c>
      <c r="E1657" s="13" t="inlineStr">
        <is>
          <t>[ALT_VIEW]</t>
        </is>
      </c>
      <c r="F1657" s="7" t="inlineStr">
        <is>
          <t>3041 / LHA Replacement AP</t>
        </is>
      </c>
      <c r="G1657" s="7" t="inlineStr">
        <is>
          <t>P-35</t>
        </is>
      </c>
      <c r="I1657" s="14" t="n">
        <v>1</v>
      </c>
      <c r="J1657" s="7" t="inlineStr">
        <is>
          <t>Advance procurement / LLTM</t>
        </is>
      </c>
      <c r="K1657" s="13" t="inlineStr">
        <is>
          <t>USN</t>
        </is>
      </c>
      <c r="L1657" s="7" t="inlineStr">
        <is>
          <t>Combatant Ships</t>
        </is>
      </c>
      <c r="M1657" s="7" t="inlineStr">
        <is>
          <t>Amphibious Warfare Ships</t>
        </is>
      </c>
      <c r="N1657" s="7" t="inlineStr">
        <is>
          <t>LHA</t>
        </is>
      </c>
      <c r="O1657" s="15" t="n"/>
      <c r="S1657" s="16" t="n">
        <v>9764</v>
      </c>
      <c r="U1657" s="16" t="n">
        <v>9764</v>
      </c>
      <c r="AC1657" s="23">
        <f>IF(OR(E1657="",E1657="[PARENT]"),"ADD",IF(E1657="[ALT_VIEW]","ALT",""))</f>
        <v/>
      </c>
      <c r="AD1657" s="21">
        <f>IF(Y1657&lt;&gt;"",Y1657,IF(U1657&lt;&gt;"",U1657,S1657))</f>
        <v/>
      </c>
      <c r="AE1657" s="21">
        <f>IF(AB1657&lt;&gt;"",AB1657,Z1657)</f>
        <v/>
      </c>
      <c r="AF1657" s="13" t="inlineStr">
        <is>
          <t>P-35 &gt; LHA Replacement &gt; Enterprise Air Surveillance Radar (EASR) &gt; Other Costs</t>
        </is>
      </c>
      <c r="AG1657" s="7" t="inlineStr">
        <is>
          <t>344</t>
        </is>
      </c>
      <c r="AH1657" s="7" t="inlineStr">
        <is>
          <t>3041</t>
        </is>
      </c>
    </row>
    <row r="1658" ht="10" customHeight="1">
      <c r="A1658" s="7" t="inlineStr">
        <is>
          <t>SCN</t>
        </is>
      </c>
      <c r="B1658" s="7" t="inlineStr">
        <is>
          <t>Procurement</t>
        </is>
      </c>
      <c r="D1658" s="7" t="inlineStr">
        <is>
          <t>LHA Replacement - P-35 NATO Sea Sparrow Missile System (NSSMS) MK 57 Mod 14 - Major Hardware                                                                                                                                                     1</t>
        </is>
      </c>
      <c r="E1658" s="13" t="inlineStr">
        <is>
          <t>[ALT_VIEW]</t>
        </is>
      </c>
      <c r="F1658" s="7" t="inlineStr">
        <is>
          <t>3041 / LHA Replacement AP</t>
        </is>
      </c>
      <c r="G1658" s="7" t="inlineStr">
        <is>
          <t>P-35</t>
        </is>
      </c>
      <c r="I1658" s="14" t="n">
        <v>1</v>
      </c>
      <c r="J1658" s="7" t="inlineStr">
        <is>
          <t>Advance procurement / LLTM</t>
        </is>
      </c>
      <c r="K1658" s="13" t="inlineStr">
        <is>
          <t>USN</t>
        </is>
      </c>
      <c r="L1658" s="7" t="inlineStr">
        <is>
          <t>Combatant Ships</t>
        </is>
      </c>
      <c r="M1658" s="7" t="inlineStr">
        <is>
          <t>Amphibious Warfare Ships</t>
        </is>
      </c>
      <c r="N1658" s="7" t="inlineStr">
        <is>
          <t>LHA</t>
        </is>
      </c>
      <c r="O1658" s="15" t="n"/>
      <c r="S1658" s="16" t="n">
        <v>26442</v>
      </c>
      <c r="U1658" s="16" t="n">
        <v>26442</v>
      </c>
      <c r="AC1658" s="23">
        <f>IF(OR(E1658="",E1658="[PARENT]"),"ADD",IF(E1658="[ALT_VIEW]","ALT",""))</f>
        <v/>
      </c>
      <c r="AD1658" s="21">
        <f>IF(Y1658&lt;&gt;"",Y1658,IF(U1658&lt;&gt;"",U1658,S1658))</f>
        <v/>
      </c>
      <c r="AE1658" s="21">
        <f>IF(AB1658&lt;&gt;"",AB1658,Z1658)</f>
        <v/>
      </c>
      <c r="AF1658" s="13" t="inlineStr">
        <is>
          <t>P-35 &gt; LHA Replacement &gt; NATO Sea Sparrow Missile System (NSSMS) MK 57 Mod 14 &gt; Major Hardware                                                                                                                                                     1</t>
        </is>
      </c>
      <c r="AG1658" s="7" t="inlineStr">
        <is>
          <t>345</t>
        </is>
      </c>
      <c r="AH1658" s="7" t="inlineStr">
        <is>
          <t>3041</t>
        </is>
      </c>
    </row>
    <row r="1659" ht="10" customHeight="1">
      <c r="A1659" s="7" t="inlineStr">
        <is>
          <t>SCN</t>
        </is>
      </c>
      <c r="B1659" s="7" t="inlineStr">
        <is>
          <t>Procurement</t>
        </is>
      </c>
      <c r="D1659" s="7" t="inlineStr">
        <is>
          <t>LHA Replacement - P-35 NATO Sea Sparrow Missile System (NSSMS) MK 57 Mod 14 - Spares</t>
        </is>
      </c>
      <c r="E1659" s="13" t="inlineStr">
        <is>
          <t>[ALT_VIEW]</t>
        </is>
      </c>
      <c r="F1659" s="7" t="inlineStr">
        <is>
          <t>3041 / LHA Replacement AP</t>
        </is>
      </c>
      <c r="G1659" s="7" t="inlineStr">
        <is>
          <t>P-35</t>
        </is>
      </c>
      <c r="I1659" s="14" t="n">
        <v>1</v>
      </c>
      <c r="J1659" s="7" t="inlineStr">
        <is>
          <t>Advance procurement / LLTM</t>
        </is>
      </c>
      <c r="K1659" s="13" t="inlineStr">
        <is>
          <t>USN</t>
        </is>
      </c>
      <c r="L1659" s="7" t="inlineStr">
        <is>
          <t>Combatant Ships</t>
        </is>
      </c>
      <c r="M1659" s="7" t="inlineStr">
        <is>
          <t>Amphibious Warfare Ships</t>
        </is>
      </c>
      <c r="N1659" s="7" t="inlineStr">
        <is>
          <t>LHA</t>
        </is>
      </c>
      <c r="O1659" s="15" t="n"/>
      <c r="S1659" s="16" t="n">
        <v>1444</v>
      </c>
      <c r="U1659" s="16" t="n">
        <v>1444</v>
      </c>
      <c r="AC1659" s="23">
        <f>IF(OR(E1659="",E1659="[PARENT]"),"ADD",IF(E1659="[ALT_VIEW]","ALT",""))</f>
        <v/>
      </c>
      <c r="AD1659" s="21">
        <f>IF(Y1659&lt;&gt;"",Y1659,IF(U1659&lt;&gt;"",U1659,S1659))</f>
        <v/>
      </c>
      <c r="AE1659" s="21">
        <f>IF(AB1659&lt;&gt;"",AB1659,Z1659)</f>
        <v/>
      </c>
      <c r="AF1659" s="13" t="inlineStr">
        <is>
          <t>P-35 &gt; LHA Replacement &gt; NATO Sea Sparrow Missile System (NSSMS) MK 57 Mod 14 &gt; Spares</t>
        </is>
      </c>
      <c r="AG1659" s="7" t="inlineStr">
        <is>
          <t>345</t>
        </is>
      </c>
      <c r="AH1659" s="7" t="inlineStr">
        <is>
          <t>3041</t>
        </is>
      </c>
      <c r="AJ1659" s="7" t="inlineStr">
        <is>
          <t>NATO Sea Sparrow Missile System (NSSMS) MK 57 Mod 14 [LHA 9]</t>
        </is>
      </c>
    </row>
    <row r="1660" ht="10" customHeight="1">
      <c r="A1660" s="7" t="inlineStr">
        <is>
          <t>SCN</t>
        </is>
      </c>
      <c r="B1660" s="7" t="inlineStr">
        <is>
          <t>Procurement</t>
        </is>
      </c>
      <c r="D1660" s="7" t="inlineStr">
        <is>
          <t>LHA Replacement - P-35 NATO Sea Sparrow Missile System (NSSMS) MK 57 Mod 14 - System Engineering</t>
        </is>
      </c>
      <c r="E1660" s="13" t="inlineStr">
        <is>
          <t>[ALT_VIEW]</t>
        </is>
      </c>
      <c r="F1660" s="7" t="inlineStr">
        <is>
          <t>3041 / LHA Replacement AP</t>
        </is>
      </c>
      <c r="G1660" s="7" t="inlineStr">
        <is>
          <t>P-35</t>
        </is>
      </c>
      <c r="I1660" s="14" t="n">
        <v>1</v>
      </c>
      <c r="J1660" s="7" t="inlineStr">
        <is>
          <t>Advance procurement / LLTM</t>
        </is>
      </c>
      <c r="K1660" s="13" t="inlineStr">
        <is>
          <t>USN</t>
        </is>
      </c>
      <c r="L1660" s="7" t="inlineStr">
        <is>
          <t>Combatant Ships</t>
        </is>
      </c>
      <c r="M1660" s="7" t="inlineStr">
        <is>
          <t>Amphibious Warfare Ships</t>
        </is>
      </c>
      <c r="N1660" s="7" t="inlineStr">
        <is>
          <t>LHA</t>
        </is>
      </c>
      <c r="O1660" s="15" t="n"/>
      <c r="S1660" s="16" t="n">
        <v>1464</v>
      </c>
      <c r="U1660" s="16" t="n">
        <v>1464</v>
      </c>
      <c r="AC1660" s="23">
        <f>IF(OR(E1660="",E1660="[PARENT]"),"ADD",IF(E1660="[ALT_VIEW]","ALT",""))</f>
        <v/>
      </c>
      <c r="AD1660" s="21">
        <f>IF(Y1660&lt;&gt;"",Y1660,IF(U1660&lt;&gt;"",U1660,S1660))</f>
        <v/>
      </c>
      <c r="AE1660" s="21">
        <f>IF(AB1660&lt;&gt;"",AB1660,Z1660)</f>
        <v/>
      </c>
      <c r="AF1660" s="13" t="inlineStr">
        <is>
          <t>P-35 &gt; LHA Replacement &gt; NATO Sea Sparrow Missile System (NSSMS) MK 57 Mod 14 &gt; System Engineering</t>
        </is>
      </c>
      <c r="AG1660" s="7" t="inlineStr">
        <is>
          <t>345</t>
        </is>
      </c>
      <c r="AH1660" s="7" t="inlineStr">
        <is>
          <t>3041</t>
        </is>
      </c>
    </row>
    <row r="1661" ht="10" customHeight="1">
      <c r="A1661" s="7" t="inlineStr">
        <is>
          <t>SCN</t>
        </is>
      </c>
      <c r="B1661" s="7" t="inlineStr">
        <is>
          <t>Procurement</t>
        </is>
      </c>
      <c r="D1661" s="7" t="inlineStr">
        <is>
          <t>LHA Replacement - P-35 NATO Sea Sparrow Missile System (NSSMS) MK 57 Mod 14 - Technical Engineering Services</t>
        </is>
      </c>
      <c r="E1661" s="13" t="inlineStr">
        <is>
          <t>[ALT_VIEW]</t>
        </is>
      </c>
      <c r="F1661" s="7" t="inlineStr">
        <is>
          <t>3041 / LHA Replacement AP</t>
        </is>
      </c>
      <c r="G1661" s="7" t="inlineStr">
        <is>
          <t>P-35</t>
        </is>
      </c>
      <c r="I1661" s="14" t="n">
        <v>1</v>
      </c>
      <c r="J1661" s="7" t="inlineStr">
        <is>
          <t>Advance procurement / LLTM</t>
        </is>
      </c>
      <c r="K1661" s="13" t="inlineStr">
        <is>
          <t>USN</t>
        </is>
      </c>
      <c r="L1661" s="7" t="inlineStr">
        <is>
          <t>Combatant Ships</t>
        </is>
      </c>
      <c r="M1661" s="7" t="inlineStr">
        <is>
          <t>Amphibious Warfare Ships</t>
        </is>
      </c>
      <c r="N1661" s="7" t="inlineStr">
        <is>
          <t>LHA</t>
        </is>
      </c>
      <c r="O1661" s="15" t="n"/>
      <c r="S1661" s="16" t="n">
        <v>2387</v>
      </c>
      <c r="U1661" s="16" t="n">
        <v>2387</v>
      </c>
      <c r="AC1661" s="23">
        <f>IF(OR(E1661="",E1661="[PARENT]"),"ADD",IF(E1661="[ALT_VIEW]","ALT",""))</f>
        <v/>
      </c>
      <c r="AD1661" s="21">
        <f>IF(Y1661&lt;&gt;"",Y1661,IF(U1661&lt;&gt;"",U1661,S1661))</f>
        <v/>
      </c>
      <c r="AE1661" s="21">
        <f>IF(AB1661&lt;&gt;"",AB1661,Z1661)</f>
        <v/>
      </c>
      <c r="AF1661" s="13" t="inlineStr">
        <is>
          <t>P-35 &gt; LHA Replacement &gt; NATO Sea Sparrow Missile System (NSSMS) MK 57 Mod 14 &gt; Technical Engineering Services</t>
        </is>
      </c>
      <c r="AG1661" s="7" t="inlineStr">
        <is>
          <t>345</t>
        </is>
      </c>
      <c r="AH1661" s="7" t="inlineStr">
        <is>
          <t>3041</t>
        </is>
      </c>
    </row>
    <row r="1662" ht="10" customHeight="1">
      <c r="A1662" s="7" t="inlineStr">
        <is>
          <t>SCN</t>
        </is>
      </c>
      <c r="B1662" s="7" t="inlineStr">
        <is>
          <t>Procurement</t>
        </is>
      </c>
      <c r="D1662" s="7" t="inlineStr">
        <is>
          <t>LHA Replacement - P-35 NATO Sea Sparrow Missile System (NSSMS) MK 57 Mod 14 - Other Costs</t>
        </is>
      </c>
      <c r="E1662" s="13" t="inlineStr">
        <is>
          <t>[ALT_VIEW]</t>
        </is>
      </c>
      <c r="F1662" s="7" t="inlineStr">
        <is>
          <t>3041 / LHA Replacement AP</t>
        </is>
      </c>
      <c r="G1662" s="7" t="inlineStr">
        <is>
          <t>P-35</t>
        </is>
      </c>
      <c r="I1662" s="14" t="n">
        <v>1</v>
      </c>
      <c r="J1662" s="7" t="inlineStr">
        <is>
          <t>Advance procurement / LLTM</t>
        </is>
      </c>
      <c r="K1662" s="13" t="inlineStr">
        <is>
          <t>USN</t>
        </is>
      </c>
      <c r="L1662" s="7" t="inlineStr">
        <is>
          <t>Combatant Ships</t>
        </is>
      </c>
      <c r="M1662" s="7" t="inlineStr">
        <is>
          <t>Amphibious Warfare Ships</t>
        </is>
      </c>
      <c r="N1662" s="7" t="inlineStr">
        <is>
          <t>LHA</t>
        </is>
      </c>
      <c r="O1662" s="15" t="n"/>
      <c r="S1662" s="16" t="n">
        <v>2388</v>
      </c>
      <c r="U1662" s="16" t="n">
        <v>2388</v>
      </c>
      <c r="AC1662" s="23">
        <f>IF(OR(E1662="",E1662="[PARENT]"),"ADD",IF(E1662="[ALT_VIEW]","ALT",""))</f>
        <v/>
      </c>
      <c r="AD1662" s="21">
        <f>IF(Y1662&lt;&gt;"",Y1662,IF(U1662&lt;&gt;"",U1662,S1662))</f>
        <v/>
      </c>
      <c r="AE1662" s="21">
        <f>IF(AB1662&lt;&gt;"",AB1662,Z1662)</f>
        <v/>
      </c>
      <c r="AF1662" s="13" t="inlineStr">
        <is>
          <t>P-35 &gt; LHA Replacement &gt; NATO Sea Sparrow Missile System (NSSMS) MK 57 Mod 14 &gt; Other Costs</t>
        </is>
      </c>
      <c r="AG1662" s="7" t="inlineStr">
        <is>
          <t>345</t>
        </is>
      </c>
      <c r="AH1662" s="7" t="inlineStr">
        <is>
          <t>3041</t>
        </is>
      </c>
    </row>
    <row r="1663" ht="10" customHeight="1">
      <c r="A1663" s="7" t="inlineStr">
        <is>
          <t>SCN</t>
        </is>
      </c>
      <c r="B1663" s="7" t="inlineStr">
        <is>
          <t>Procurement</t>
        </is>
      </c>
      <c r="D1663" s="7" t="inlineStr">
        <is>
          <t>LHA Replacement - P-35 MK31 Mod 3, Rolling Airframe Missile (RAM) (Tech Refresh) - Major Hardware                                                                                                                                                   2</t>
        </is>
      </c>
      <c r="E1663" s="13" t="inlineStr">
        <is>
          <t>[ALT_VIEW]</t>
        </is>
      </c>
      <c r="F1663" s="7" t="inlineStr">
        <is>
          <t>3041 / LHA Replacement AP</t>
        </is>
      </c>
      <c r="G1663" s="7" t="inlineStr">
        <is>
          <t>P-35</t>
        </is>
      </c>
      <c r="I1663" s="14" t="n">
        <v>1</v>
      </c>
      <c r="J1663" s="7" t="inlineStr">
        <is>
          <t>Advance procurement / LLTM</t>
        </is>
      </c>
      <c r="K1663" s="13" t="inlineStr">
        <is>
          <t>USN</t>
        </is>
      </c>
      <c r="L1663" s="7" t="inlineStr">
        <is>
          <t>Combatant Ships</t>
        </is>
      </c>
      <c r="M1663" s="7" t="inlineStr">
        <is>
          <t>Amphibious Warfare Ships</t>
        </is>
      </c>
      <c r="N1663" s="7" t="inlineStr">
        <is>
          <t>LHA</t>
        </is>
      </c>
      <c r="O1663" s="15" t="n"/>
      <c r="S1663" s="16" t="n">
        <v>17974</v>
      </c>
      <c r="U1663" s="16" t="n">
        <v>17974</v>
      </c>
      <c r="AC1663" s="23">
        <f>IF(OR(E1663="",E1663="[PARENT]"),"ADD",IF(E1663="[ALT_VIEW]","ALT",""))</f>
        <v/>
      </c>
      <c r="AD1663" s="21">
        <f>IF(Y1663&lt;&gt;"",Y1663,IF(U1663&lt;&gt;"",U1663,S1663))</f>
        <v/>
      </c>
      <c r="AE1663" s="21">
        <f>IF(AB1663&lt;&gt;"",AB1663,Z1663)</f>
        <v/>
      </c>
      <c r="AF1663" s="13" t="inlineStr">
        <is>
          <t>P-35 &gt; LHA Replacement &gt; MK31 Mod 3, Rolling Airframe Missile (RAM) (Tech Refresh) &gt; Major Hardware                                                                                                                                                   2</t>
        </is>
      </c>
      <c r="AG1663" s="7" t="inlineStr">
        <is>
          <t>346</t>
        </is>
      </c>
      <c r="AH1663" s="7" t="inlineStr">
        <is>
          <t>3041</t>
        </is>
      </c>
    </row>
    <row r="1664" ht="10" customHeight="1">
      <c r="A1664" s="7" t="inlineStr">
        <is>
          <t>SCN</t>
        </is>
      </c>
      <c r="B1664" s="7" t="inlineStr">
        <is>
          <t>Procurement</t>
        </is>
      </c>
      <c r="D1664" s="7" t="inlineStr">
        <is>
          <t>LHA Replacement - P-35 MK31 Mod 3, Rolling Airframe Missile (RAM) (Tech Refresh) - Technical Data and Documentation</t>
        </is>
      </c>
      <c r="E1664" s="13" t="inlineStr">
        <is>
          <t>[ALT_VIEW]</t>
        </is>
      </c>
      <c r="F1664" s="7" t="inlineStr">
        <is>
          <t>3041 / LHA Replacement AP</t>
        </is>
      </c>
      <c r="G1664" s="7" t="inlineStr">
        <is>
          <t>P-35</t>
        </is>
      </c>
      <c r="I1664" s="14" t="n">
        <v>1</v>
      </c>
      <c r="J1664" s="7" t="inlineStr">
        <is>
          <t>Advance procurement / LLTM</t>
        </is>
      </c>
      <c r="K1664" s="13" t="inlineStr">
        <is>
          <t>USN</t>
        </is>
      </c>
      <c r="L1664" s="7" t="inlineStr">
        <is>
          <t>Combatant Ships</t>
        </is>
      </c>
      <c r="M1664" s="7" t="inlineStr">
        <is>
          <t>Amphibious Warfare Ships</t>
        </is>
      </c>
      <c r="N1664" s="7" t="inlineStr">
        <is>
          <t>LHA</t>
        </is>
      </c>
      <c r="O1664" s="15" t="n"/>
      <c r="S1664" s="16" t="n">
        <v>473</v>
      </c>
      <c r="U1664" s="16" t="n">
        <v>473</v>
      </c>
      <c r="AC1664" s="23">
        <f>IF(OR(E1664="",E1664="[PARENT]"),"ADD",IF(E1664="[ALT_VIEW]","ALT",""))</f>
        <v/>
      </c>
      <c r="AD1664" s="21">
        <f>IF(Y1664&lt;&gt;"",Y1664,IF(U1664&lt;&gt;"",U1664,S1664))</f>
        <v/>
      </c>
      <c r="AE1664" s="21">
        <f>IF(AB1664&lt;&gt;"",AB1664,Z1664)</f>
        <v/>
      </c>
      <c r="AF1664" s="13" t="inlineStr">
        <is>
          <t>P-35 &gt; LHA Replacement &gt; MK31 Mod 3, Rolling Airframe Missile (RAM) (Tech Refresh) &gt; Technical Data and Documentation</t>
        </is>
      </c>
      <c r="AG1664" s="7" t="inlineStr">
        <is>
          <t>346</t>
        </is>
      </c>
      <c r="AH1664" s="7" t="inlineStr">
        <is>
          <t>3041</t>
        </is>
      </c>
    </row>
    <row r="1665" ht="10" customHeight="1">
      <c r="A1665" s="7" t="inlineStr">
        <is>
          <t>SCN</t>
        </is>
      </c>
      <c r="B1665" s="7" t="inlineStr">
        <is>
          <t>Procurement</t>
        </is>
      </c>
      <c r="D1665" s="7" t="inlineStr">
        <is>
          <t>LHA Replacement - P-35 MK31 Mod 3, Rolling Airframe Missile (RAM) (Tech Refresh) - Spares</t>
        </is>
      </c>
      <c r="E1665" s="13" t="inlineStr">
        <is>
          <t>[ALT_VIEW]</t>
        </is>
      </c>
      <c r="F1665" s="7" t="inlineStr">
        <is>
          <t>3041 / LHA Replacement AP</t>
        </is>
      </c>
      <c r="G1665" s="7" t="inlineStr">
        <is>
          <t>P-35</t>
        </is>
      </c>
      <c r="I1665" s="14" t="n">
        <v>1</v>
      </c>
      <c r="J1665" s="7" t="inlineStr">
        <is>
          <t>Advance procurement / LLTM</t>
        </is>
      </c>
      <c r="K1665" s="13" t="inlineStr">
        <is>
          <t>USN</t>
        </is>
      </c>
      <c r="L1665" s="7" t="inlineStr">
        <is>
          <t>Combatant Ships</t>
        </is>
      </c>
      <c r="M1665" s="7" t="inlineStr">
        <is>
          <t>Amphibious Warfare Ships</t>
        </is>
      </c>
      <c r="N1665" s="7" t="inlineStr">
        <is>
          <t>LHA</t>
        </is>
      </c>
      <c r="O1665" s="15" t="n"/>
      <c r="S1665" s="16" t="n">
        <v>103</v>
      </c>
      <c r="U1665" s="16" t="n">
        <v>103</v>
      </c>
      <c r="AC1665" s="23">
        <f>IF(OR(E1665="",E1665="[PARENT]"),"ADD",IF(E1665="[ALT_VIEW]","ALT",""))</f>
        <v/>
      </c>
      <c r="AD1665" s="21">
        <f>IF(Y1665&lt;&gt;"",Y1665,IF(U1665&lt;&gt;"",U1665,S1665))</f>
        <v/>
      </c>
      <c r="AE1665" s="21">
        <f>IF(AB1665&lt;&gt;"",AB1665,Z1665)</f>
        <v/>
      </c>
      <c r="AF1665" s="13" t="inlineStr">
        <is>
          <t>P-35 &gt; LHA Replacement &gt; MK31 Mod 3, Rolling Airframe Missile (RAM) (Tech Refresh) &gt; Spares</t>
        </is>
      </c>
      <c r="AG1665" s="7" t="inlineStr">
        <is>
          <t>346</t>
        </is>
      </c>
      <c r="AH1665" s="7" t="inlineStr">
        <is>
          <t>3041</t>
        </is>
      </c>
      <c r="AJ1665" s="7" t="inlineStr">
        <is>
          <t>MK31 Mod 3, Rolling Airframe Missile (RAM) (Tech Refresh) [LHA 9]</t>
        </is>
      </c>
    </row>
    <row r="1666" ht="10" customHeight="1">
      <c r="A1666" s="7" t="inlineStr">
        <is>
          <t>SCN</t>
        </is>
      </c>
      <c r="B1666" s="7" t="inlineStr">
        <is>
          <t>Procurement</t>
        </is>
      </c>
      <c r="D1666" s="7" t="inlineStr">
        <is>
          <t>LHA Replacement - P-35 MK31 Mod 3, Rolling Airframe Missile (RAM) (Tech Refresh) - System Engineering</t>
        </is>
      </c>
      <c r="E1666" s="13" t="inlineStr">
        <is>
          <t>[ALT_VIEW]</t>
        </is>
      </c>
      <c r="F1666" s="7" t="inlineStr">
        <is>
          <t>3041 / LHA Replacement AP</t>
        </is>
      </c>
      <c r="G1666" s="7" t="inlineStr">
        <is>
          <t>P-35</t>
        </is>
      </c>
      <c r="I1666" s="14" t="n">
        <v>1</v>
      </c>
      <c r="J1666" s="7" t="inlineStr">
        <is>
          <t>Advance procurement / LLTM</t>
        </is>
      </c>
      <c r="K1666" s="13" t="inlineStr">
        <is>
          <t>USN</t>
        </is>
      </c>
      <c r="L1666" s="7" t="inlineStr">
        <is>
          <t>Combatant Ships</t>
        </is>
      </c>
      <c r="M1666" s="7" t="inlineStr">
        <is>
          <t>Amphibious Warfare Ships</t>
        </is>
      </c>
      <c r="N1666" s="7" t="inlineStr">
        <is>
          <t>LHA</t>
        </is>
      </c>
      <c r="O1666" s="15" t="n"/>
      <c r="S1666" s="16" t="n">
        <v>2093</v>
      </c>
      <c r="U1666" s="16" t="n">
        <v>2093</v>
      </c>
      <c r="AC1666" s="23">
        <f>IF(OR(E1666="",E1666="[PARENT]"),"ADD",IF(E1666="[ALT_VIEW]","ALT",""))</f>
        <v/>
      </c>
      <c r="AD1666" s="21">
        <f>IF(Y1666&lt;&gt;"",Y1666,IF(U1666&lt;&gt;"",U1666,S1666))</f>
        <v/>
      </c>
      <c r="AE1666" s="21">
        <f>IF(AB1666&lt;&gt;"",AB1666,Z1666)</f>
        <v/>
      </c>
      <c r="AF1666" s="13" t="inlineStr">
        <is>
          <t>P-35 &gt; LHA Replacement &gt; MK31 Mod 3, Rolling Airframe Missile (RAM) (Tech Refresh) &gt; System Engineering</t>
        </is>
      </c>
      <c r="AG1666" s="7" t="inlineStr">
        <is>
          <t>346</t>
        </is>
      </c>
      <c r="AH1666" s="7" t="inlineStr">
        <is>
          <t>3041</t>
        </is>
      </c>
    </row>
    <row r="1667" ht="10" customHeight="1">
      <c r="A1667" s="7" t="inlineStr">
        <is>
          <t>SCN</t>
        </is>
      </c>
      <c r="B1667" s="7" t="inlineStr">
        <is>
          <t>Procurement</t>
        </is>
      </c>
      <c r="D1667" s="7" t="inlineStr">
        <is>
          <t>LHA Replacement - P-35 MK31 Mod 3, Rolling Airframe Missile (RAM) (Tech Refresh) - Technical Engineering Services</t>
        </is>
      </c>
      <c r="E1667" s="13" t="inlineStr">
        <is>
          <t>[ALT_VIEW]</t>
        </is>
      </c>
      <c r="F1667" s="7" t="inlineStr">
        <is>
          <t>3041 / LHA Replacement AP</t>
        </is>
      </c>
      <c r="G1667" s="7" t="inlineStr">
        <is>
          <t>P-35</t>
        </is>
      </c>
      <c r="I1667" s="14" t="n">
        <v>1</v>
      </c>
      <c r="J1667" s="7" t="inlineStr">
        <is>
          <t>Advance procurement / LLTM</t>
        </is>
      </c>
      <c r="K1667" s="13" t="inlineStr">
        <is>
          <t>USN</t>
        </is>
      </c>
      <c r="L1667" s="7" t="inlineStr">
        <is>
          <t>Combatant Ships</t>
        </is>
      </c>
      <c r="M1667" s="7" t="inlineStr">
        <is>
          <t>Amphibious Warfare Ships</t>
        </is>
      </c>
      <c r="N1667" s="7" t="inlineStr">
        <is>
          <t>LHA</t>
        </is>
      </c>
      <c r="O1667" s="15" t="n"/>
      <c r="S1667" s="16" t="n">
        <v>279</v>
      </c>
      <c r="U1667" s="16" t="n">
        <v>279</v>
      </c>
      <c r="AC1667" s="23">
        <f>IF(OR(E1667="",E1667="[PARENT]"),"ADD",IF(E1667="[ALT_VIEW]","ALT",""))</f>
        <v/>
      </c>
      <c r="AD1667" s="21">
        <f>IF(Y1667&lt;&gt;"",Y1667,IF(U1667&lt;&gt;"",U1667,S1667))</f>
        <v/>
      </c>
      <c r="AE1667" s="21">
        <f>IF(AB1667&lt;&gt;"",AB1667,Z1667)</f>
        <v/>
      </c>
      <c r="AF1667" s="13" t="inlineStr">
        <is>
          <t>P-35 &gt; LHA Replacement &gt; MK31 Mod 3, Rolling Airframe Missile (RAM) (Tech Refresh) &gt; Technical Engineering Services</t>
        </is>
      </c>
      <c r="AG1667" s="7" t="inlineStr">
        <is>
          <t>346</t>
        </is>
      </c>
      <c r="AH1667" s="7" t="inlineStr">
        <is>
          <t>3041</t>
        </is>
      </c>
    </row>
    <row r="1668" ht="10" customHeight="1">
      <c r="A1668" s="7" t="inlineStr">
        <is>
          <t>SCN</t>
        </is>
      </c>
      <c r="B1668" s="7" t="inlineStr">
        <is>
          <t>Procurement</t>
        </is>
      </c>
      <c r="D1668" s="7" t="inlineStr">
        <is>
          <t>LHA Replacement - P-35 MK31 Mod 3, Rolling Airframe Missile (RAM) (Tech Refresh) - Other Costs</t>
        </is>
      </c>
      <c r="E1668" s="13" t="inlineStr">
        <is>
          <t>[ALT_VIEW]</t>
        </is>
      </c>
      <c r="F1668" s="7" t="inlineStr">
        <is>
          <t>3041 / LHA Replacement AP</t>
        </is>
      </c>
      <c r="G1668" s="7" t="inlineStr">
        <is>
          <t>P-35</t>
        </is>
      </c>
      <c r="I1668" s="14" t="n">
        <v>1</v>
      </c>
      <c r="J1668" s="7" t="inlineStr">
        <is>
          <t>Advance procurement / LLTM</t>
        </is>
      </c>
      <c r="K1668" s="13" t="inlineStr">
        <is>
          <t>USN</t>
        </is>
      </c>
      <c r="L1668" s="7" t="inlineStr">
        <is>
          <t>Combatant Ships</t>
        </is>
      </c>
      <c r="M1668" s="7" t="inlineStr">
        <is>
          <t>Amphibious Warfare Ships</t>
        </is>
      </c>
      <c r="N1668" s="7" t="inlineStr">
        <is>
          <t>LHA</t>
        </is>
      </c>
      <c r="O1668" s="15" t="n"/>
      <c r="S1668" s="16" t="n">
        <v>1368</v>
      </c>
      <c r="U1668" s="16" t="n">
        <v>1368</v>
      </c>
      <c r="AC1668" s="23">
        <f>IF(OR(E1668="",E1668="[PARENT]"),"ADD",IF(E1668="[ALT_VIEW]","ALT",""))</f>
        <v/>
      </c>
      <c r="AD1668" s="21">
        <f>IF(Y1668&lt;&gt;"",Y1668,IF(U1668&lt;&gt;"",U1668,S1668))</f>
        <v/>
      </c>
      <c r="AE1668" s="21">
        <f>IF(AB1668&lt;&gt;"",AB1668,Z1668)</f>
        <v/>
      </c>
      <c r="AF1668" s="13" t="inlineStr">
        <is>
          <t>P-35 &gt; LHA Replacement &gt; MK31 Mod 3, Rolling Airframe Missile (RAM) (Tech Refresh) &gt; Other Costs</t>
        </is>
      </c>
      <c r="AG1668" s="7" t="inlineStr">
        <is>
          <t>346</t>
        </is>
      </c>
      <c r="AH1668" s="7" t="inlineStr">
        <is>
          <t>3041</t>
        </is>
      </c>
    </row>
    <row r="1669" ht="10" customHeight="1">
      <c r="A1669" s="7" t="inlineStr">
        <is>
          <t>SCN</t>
        </is>
      </c>
      <c r="B1669" s="7" t="inlineStr">
        <is>
          <t>Procurement</t>
        </is>
      </c>
      <c r="D1669" s="7" t="inlineStr">
        <is>
          <t>LHA Replacement - P-35 PHALANX Block 1B MK15 Mod 21 &amp; 22, Close-in Weapon System (CIWS) - Major Hardware                                                                                                                                                         1</t>
        </is>
      </c>
      <c r="E1669" s="13" t="inlineStr">
        <is>
          <t>[ALT_VIEW]</t>
        </is>
      </c>
      <c r="F1669" s="7" t="inlineStr">
        <is>
          <t>3041 / LHA Replacement AP</t>
        </is>
      </c>
      <c r="G1669" s="7" t="inlineStr">
        <is>
          <t>P-35</t>
        </is>
      </c>
      <c r="I1669" s="14" t="n">
        <v>1</v>
      </c>
      <c r="J1669" s="7" t="inlineStr">
        <is>
          <t>Advance procurement / LLTM</t>
        </is>
      </c>
      <c r="K1669" s="13" t="inlineStr">
        <is>
          <t>USN</t>
        </is>
      </c>
      <c r="L1669" s="7" t="inlineStr">
        <is>
          <t>Combatant Ships</t>
        </is>
      </c>
      <c r="M1669" s="7" t="inlineStr">
        <is>
          <t>Amphibious Warfare Ships</t>
        </is>
      </c>
      <c r="N1669" s="7" t="inlineStr">
        <is>
          <t>LHA</t>
        </is>
      </c>
      <c r="O1669" s="15" t="n"/>
      <c r="S1669" s="16" t="n">
        <v>15378</v>
      </c>
      <c r="U1669" s="16" t="n">
        <v>15378</v>
      </c>
      <c r="AC1669" s="23">
        <f>IF(OR(E1669="",E1669="[PARENT]"),"ADD",IF(E1669="[ALT_VIEW]","ALT",""))</f>
        <v/>
      </c>
      <c r="AD1669" s="21">
        <f>IF(Y1669&lt;&gt;"",Y1669,IF(U1669&lt;&gt;"",U1669,S1669))</f>
        <v/>
      </c>
      <c r="AE1669" s="21">
        <f>IF(AB1669&lt;&gt;"",AB1669,Z1669)</f>
        <v/>
      </c>
      <c r="AF1669" s="13" t="inlineStr">
        <is>
          <t>P-35 &gt; LHA Replacement &gt; PHALANX Block 1B MK15 Mod 21 &amp; 22, Close-in Weapon System (CIWS) &gt; Major Hardware                                                                                                                                                         1</t>
        </is>
      </c>
      <c r="AG1669" s="7" t="inlineStr">
        <is>
          <t>347</t>
        </is>
      </c>
      <c r="AH1669" s="7" t="inlineStr">
        <is>
          <t>3041</t>
        </is>
      </c>
    </row>
    <row r="1670" ht="10" customHeight="1">
      <c r="A1670" s="7" t="inlineStr">
        <is>
          <t>SCN</t>
        </is>
      </c>
      <c r="B1670" s="7" t="inlineStr">
        <is>
          <t>Procurement</t>
        </is>
      </c>
      <c r="D1670" s="7" t="inlineStr">
        <is>
          <t>LHA Replacement - P-35 PHALANX Block 1B MK15 Mod 21 &amp; 22, Close-in Weapon System (CIWS) - Technical Data and Documentation</t>
        </is>
      </c>
      <c r="E1670" s="13" t="inlineStr">
        <is>
          <t>[ALT_VIEW]</t>
        </is>
      </c>
      <c r="F1670" s="7" t="inlineStr">
        <is>
          <t>3041 / LHA Replacement AP</t>
        </is>
      </c>
      <c r="G1670" s="7" t="inlineStr">
        <is>
          <t>P-35</t>
        </is>
      </c>
      <c r="I1670" s="14" t="n">
        <v>1</v>
      </c>
      <c r="J1670" s="7" t="inlineStr">
        <is>
          <t>Advance procurement / LLTM</t>
        </is>
      </c>
      <c r="K1670" s="13" t="inlineStr">
        <is>
          <t>USN</t>
        </is>
      </c>
      <c r="L1670" s="7" t="inlineStr">
        <is>
          <t>Combatant Ships</t>
        </is>
      </c>
      <c r="M1670" s="7" t="inlineStr">
        <is>
          <t>Amphibious Warfare Ships</t>
        </is>
      </c>
      <c r="N1670" s="7" t="inlineStr">
        <is>
          <t>LHA</t>
        </is>
      </c>
      <c r="O1670" s="15" t="n"/>
      <c r="S1670" s="16" t="n">
        <v>55</v>
      </c>
      <c r="U1670" s="16" t="n">
        <v>55</v>
      </c>
      <c r="AC1670" s="23">
        <f>IF(OR(E1670="",E1670="[PARENT]"),"ADD",IF(E1670="[ALT_VIEW]","ALT",""))</f>
        <v/>
      </c>
      <c r="AD1670" s="21">
        <f>IF(Y1670&lt;&gt;"",Y1670,IF(U1670&lt;&gt;"",U1670,S1670))</f>
        <v/>
      </c>
      <c r="AE1670" s="21">
        <f>IF(AB1670&lt;&gt;"",AB1670,Z1670)</f>
        <v/>
      </c>
      <c r="AF1670" s="13" t="inlineStr">
        <is>
          <t>P-35 &gt; LHA Replacement &gt; PHALANX Block 1B MK15 Mod 21 &amp; 22, Close-in Weapon System (CIWS) &gt; Technical Data and Documentation</t>
        </is>
      </c>
      <c r="AG1670" s="7" t="inlineStr">
        <is>
          <t>347</t>
        </is>
      </c>
      <c r="AH1670" s="7" t="inlineStr">
        <is>
          <t>3041</t>
        </is>
      </c>
    </row>
    <row r="1671" ht="10" customHeight="1">
      <c r="A1671" s="7" t="inlineStr">
        <is>
          <t>SCN</t>
        </is>
      </c>
      <c r="B1671" s="7" t="inlineStr">
        <is>
          <t>Procurement</t>
        </is>
      </c>
      <c r="D1671" s="7" t="inlineStr">
        <is>
          <t>LHA Replacement - P-35 PHALANX Block 1B MK15 Mod 21 &amp; 22, Close-in Weapon System (CIWS) - Spares</t>
        </is>
      </c>
      <c r="E1671" s="13" t="inlineStr">
        <is>
          <t>[ALT_VIEW]</t>
        </is>
      </c>
      <c r="F1671" s="7" t="inlineStr">
        <is>
          <t>3041 / LHA Replacement AP</t>
        </is>
      </c>
      <c r="G1671" s="7" t="inlineStr">
        <is>
          <t>P-35</t>
        </is>
      </c>
      <c r="I1671" s="14" t="n">
        <v>1</v>
      </c>
      <c r="J1671" s="7" t="inlineStr">
        <is>
          <t>Advance procurement / LLTM</t>
        </is>
      </c>
      <c r="K1671" s="13" t="inlineStr">
        <is>
          <t>USN</t>
        </is>
      </c>
      <c r="L1671" s="7" t="inlineStr">
        <is>
          <t>Combatant Ships</t>
        </is>
      </c>
      <c r="M1671" s="7" t="inlineStr">
        <is>
          <t>Amphibious Warfare Ships</t>
        </is>
      </c>
      <c r="N1671" s="7" t="inlineStr">
        <is>
          <t>LHA</t>
        </is>
      </c>
      <c r="O1671" s="15" t="n"/>
      <c r="S1671" s="16" t="n">
        <v>177</v>
      </c>
      <c r="U1671" s="16" t="n">
        <v>177</v>
      </c>
      <c r="AC1671" s="23">
        <f>IF(OR(E1671="",E1671="[PARENT]"),"ADD",IF(E1671="[ALT_VIEW]","ALT",""))</f>
        <v/>
      </c>
      <c r="AD1671" s="21">
        <f>IF(Y1671&lt;&gt;"",Y1671,IF(U1671&lt;&gt;"",U1671,S1671))</f>
        <v/>
      </c>
      <c r="AE1671" s="21">
        <f>IF(AB1671&lt;&gt;"",AB1671,Z1671)</f>
        <v/>
      </c>
      <c r="AF1671" s="13" t="inlineStr">
        <is>
          <t>P-35 &gt; LHA Replacement &gt; PHALANX Block 1B MK15 Mod 21 &amp; 22, Close-in Weapon System (CIWS) &gt; Spares</t>
        </is>
      </c>
      <c r="AG1671" s="7" t="inlineStr">
        <is>
          <t>347</t>
        </is>
      </c>
      <c r="AH1671" s="7" t="inlineStr">
        <is>
          <t>3041</t>
        </is>
      </c>
      <c r="AJ1671" s="7" t="inlineStr">
        <is>
          <t>PHALANX Block 1B MK15 Mod 21 &amp; 22, Close-in Weapon System (CIWS) [LHA 9]</t>
        </is>
      </c>
    </row>
    <row r="1672" ht="10" customHeight="1">
      <c r="A1672" s="7" t="inlineStr">
        <is>
          <t>SCN</t>
        </is>
      </c>
      <c r="B1672" s="7" t="inlineStr">
        <is>
          <t>Procurement</t>
        </is>
      </c>
      <c r="D1672" s="7" t="inlineStr">
        <is>
          <t>LHA Replacement - P-35 PHALANX Block 1B MK15 Mod 21 &amp; 22, Close-in Weapon System (CIWS) - System Engineering</t>
        </is>
      </c>
      <c r="E1672" s="13" t="inlineStr">
        <is>
          <t>[ALT_VIEW]</t>
        </is>
      </c>
      <c r="F1672" s="7" t="inlineStr">
        <is>
          <t>3041 / LHA Replacement AP</t>
        </is>
      </c>
      <c r="G1672" s="7" t="inlineStr">
        <is>
          <t>P-35</t>
        </is>
      </c>
      <c r="I1672" s="14" t="n">
        <v>1</v>
      </c>
      <c r="J1672" s="7" t="inlineStr">
        <is>
          <t>Advance procurement / LLTM</t>
        </is>
      </c>
      <c r="K1672" s="13" t="inlineStr">
        <is>
          <t>USN</t>
        </is>
      </c>
      <c r="L1672" s="7" t="inlineStr">
        <is>
          <t>Combatant Ships</t>
        </is>
      </c>
      <c r="M1672" s="7" t="inlineStr">
        <is>
          <t>Amphibious Warfare Ships</t>
        </is>
      </c>
      <c r="N1672" s="7" t="inlineStr">
        <is>
          <t>LHA</t>
        </is>
      </c>
      <c r="O1672" s="15" t="n"/>
      <c r="S1672" s="16" t="n">
        <v>705</v>
      </c>
      <c r="U1672" s="16" t="n">
        <v>705</v>
      </c>
      <c r="AC1672" s="23">
        <f>IF(OR(E1672="",E1672="[PARENT]"),"ADD",IF(E1672="[ALT_VIEW]","ALT",""))</f>
        <v/>
      </c>
      <c r="AD1672" s="21">
        <f>IF(Y1672&lt;&gt;"",Y1672,IF(U1672&lt;&gt;"",U1672,S1672))</f>
        <v/>
      </c>
      <c r="AE1672" s="21">
        <f>IF(AB1672&lt;&gt;"",AB1672,Z1672)</f>
        <v/>
      </c>
      <c r="AF1672" s="13" t="inlineStr">
        <is>
          <t>P-35 &gt; LHA Replacement &gt; PHALANX Block 1B MK15 Mod 21 &amp; 22, Close-in Weapon System (CIWS) &gt; System Engineering</t>
        </is>
      </c>
      <c r="AG1672" s="7" t="inlineStr">
        <is>
          <t>347</t>
        </is>
      </c>
      <c r="AH1672" s="7" t="inlineStr">
        <is>
          <t>3041</t>
        </is>
      </c>
    </row>
    <row r="1673" ht="10" customHeight="1">
      <c r="A1673" s="7" t="inlineStr">
        <is>
          <t>SCN</t>
        </is>
      </c>
      <c r="B1673" s="7" t="inlineStr">
        <is>
          <t>Procurement</t>
        </is>
      </c>
      <c r="D1673" s="7" t="inlineStr">
        <is>
          <t>LHA Replacement - P-35 PHALANX Block 1B MK15 Mod 21 &amp; 22, Close-in Weapon System (CIWS) - Technical Engineering Services</t>
        </is>
      </c>
      <c r="E1673" s="13" t="inlineStr">
        <is>
          <t>[ALT_VIEW]</t>
        </is>
      </c>
      <c r="F1673" s="7" t="inlineStr">
        <is>
          <t>3041 / LHA Replacement AP</t>
        </is>
      </c>
      <c r="G1673" s="7" t="inlineStr">
        <is>
          <t>P-35</t>
        </is>
      </c>
      <c r="I1673" s="14" t="n">
        <v>1</v>
      </c>
      <c r="J1673" s="7" t="inlineStr">
        <is>
          <t>Advance procurement / LLTM</t>
        </is>
      </c>
      <c r="K1673" s="13" t="inlineStr">
        <is>
          <t>USN</t>
        </is>
      </c>
      <c r="L1673" s="7" t="inlineStr">
        <is>
          <t>Combatant Ships</t>
        </is>
      </c>
      <c r="M1673" s="7" t="inlineStr">
        <is>
          <t>Amphibious Warfare Ships</t>
        </is>
      </c>
      <c r="N1673" s="7" t="inlineStr">
        <is>
          <t>LHA</t>
        </is>
      </c>
      <c r="O1673" s="15" t="n"/>
      <c r="S1673" s="16" t="n">
        <v>545</v>
      </c>
      <c r="U1673" s="16" t="n">
        <v>545</v>
      </c>
      <c r="AC1673" s="23">
        <f>IF(OR(E1673="",E1673="[PARENT]"),"ADD",IF(E1673="[ALT_VIEW]","ALT",""))</f>
        <v/>
      </c>
      <c r="AD1673" s="21">
        <f>IF(Y1673&lt;&gt;"",Y1673,IF(U1673&lt;&gt;"",U1673,S1673))</f>
        <v/>
      </c>
      <c r="AE1673" s="21">
        <f>IF(AB1673&lt;&gt;"",AB1673,Z1673)</f>
        <v/>
      </c>
      <c r="AF1673" s="13" t="inlineStr">
        <is>
          <t>P-35 &gt; LHA Replacement &gt; PHALANX Block 1B MK15 Mod 21 &amp; 22, Close-in Weapon System (CIWS) &gt; Technical Engineering Services</t>
        </is>
      </c>
      <c r="AG1673" s="7" t="inlineStr">
        <is>
          <t>347</t>
        </is>
      </c>
      <c r="AH1673" s="7" t="inlineStr">
        <is>
          <t>3041</t>
        </is>
      </c>
    </row>
    <row r="1674" ht="10" customHeight="1">
      <c r="A1674" s="7" t="inlineStr">
        <is>
          <t>SCN</t>
        </is>
      </c>
      <c r="B1674" s="7" t="inlineStr">
        <is>
          <t>Procurement</t>
        </is>
      </c>
      <c r="D1674" s="7" t="inlineStr">
        <is>
          <t>LHA Replacement - P-35 PHALANX Block 1B MK15 Mod 21 &amp; 22, Close-in Weapon System (CIWS) - Other Costs</t>
        </is>
      </c>
      <c r="E1674" s="13" t="inlineStr">
        <is>
          <t>[ALT_VIEW]</t>
        </is>
      </c>
      <c r="F1674" s="7" t="inlineStr">
        <is>
          <t>3041 / LHA Replacement AP</t>
        </is>
      </c>
      <c r="G1674" s="7" t="inlineStr">
        <is>
          <t>P-35</t>
        </is>
      </c>
      <c r="I1674" s="14" t="n">
        <v>1</v>
      </c>
      <c r="J1674" s="7" t="inlineStr">
        <is>
          <t>Advance procurement / LLTM</t>
        </is>
      </c>
      <c r="K1674" s="13" t="inlineStr">
        <is>
          <t>USN</t>
        </is>
      </c>
      <c r="L1674" s="7" t="inlineStr">
        <is>
          <t>Combatant Ships</t>
        </is>
      </c>
      <c r="M1674" s="7" t="inlineStr">
        <is>
          <t>Amphibious Warfare Ships</t>
        </is>
      </c>
      <c r="N1674" s="7" t="inlineStr">
        <is>
          <t>LHA</t>
        </is>
      </c>
      <c r="O1674" s="15" t="n"/>
      <c r="S1674" s="16" t="n">
        <v>1598</v>
      </c>
      <c r="U1674" s="16" t="n">
        <v>1598</v>
      </c>
      <c r="AC1674" s="23">
        <f>IF(OR(E1674="",E1674="[PARENT]"),"ADD",IF(E1674="[ALT_VIEW]","ALT",""))</f>
        <v/>
      </c>
      <c r="AD1674" s="21">
        <f>IF(Y1674&lt;&gt;"",Y1674,IF(U1674&lt;&gt;"",U1674,S1674))</f>
        <v/>
      </c>
      <c r="AE1674" s="21">
        <f>IF(AB1674&lt;&gt;"",AB1674,Z1674)</f>
        <v/>
      </c>
      <c r="AF1674" s="13" t="inlineStr">
        <is>
          <t>P-35 &gt; LHA Replacement &gt; PHALANX Block 1B MK15 Mod 21 &amp; 22, Close-in Weapon System (CIWS) &gt; Other Costs</t>
        </is>
      </c>
      <c r="AG1674" s="7" t="inlineStr">
        <is>
          <t>347</t>
        </is>
      </c>
      <c r="AH1674" s="7" t="inlineStr">
        <is>
          <t>3041</t>
        </is>
      </c>
    </row>
    <row r="1675" ht="10" customHeight="1">
      <c r="A1675" s="7" t="inlineStr">
        <is>
          <t>SCN</t>
        </is>
      </c>
      <c r="B1675" s="7" t="inlineStr">
        <is>
          <t>Procurement</t>
        </is>
      </c>
      <c r="D1675" s="7" t="inlineStr">
        <is>
          <t>LHA Replacement - P-35 Vertical/Stationary Take-Off Landing Optical Landing System (VSTOL OLS) - Major Hardware                                                                                                                                                    1</t>
        </is>
      </c>
      <c r="E1675" s="13" t="inlineStr">
        <is>
          <t>[ALT_VIEW]</t>
        </is>
      </c>
      <c r="F1675" s="7" t="inlineStr">
        <is>
          <t>3041 / LHA Replacement AP</t>
        </is>
      </c>
      <c r="G1675" s="7" t="inlineStr">
        <is>
          <t>P-35</t>
        </is>
      </c>
      <c r="I1675" s="14" t="n">
        <v>1</v>
      </c>
      <c r="J1675" s="7" t="inlineStr">
        <is>
          <t>Advance procurement / LLTM</t>
        </is>
      </c>
      <c r="K1675" s="13" t="inlineStr">
        <is>
          <t>USN</t>
        </is>
      </c>
      <c r="L1675" s="7" t="inlineStr">
        <is>
          <t>Combatant Ships</t>
        </is>
      </c>
      <c r="M1675" s="7" t="inlineStr">
        <is>
          <t>Amphibious Warfare Ships</t>
        </is>
      </c>
      <c r="N1675" s="7" t="inlineStr">
        <is>
          <t>LHA</t>
        </is>
      </c>
      <c r="O1675" s="15" t="n"/>
      <c r="S1675" s="16" t="n">
        <v>13323</v>
      </c>
      <c r="U1675" s="16" t="n">
        <v>13323</v>
      </c>
      <c r="AC1675" s="23">
        <f>IF(OR(E1675="",E1675="[PARENT]"),"ADD",IF(E1675="[ALT_VIEW]","ALT",""))</f>
        <v/>
      </c>
      <c r="AD1675" s="21">
        <f>IF(Y1675&lt;&gt;"",Y1675,IF(U1675&lt;&gt;"",U1675,S1675))</f>
        <v/>
      </c>
      <c r="AE1675" s="21">
        <f>IF(AB1675&lt;&gt;"",AB1675,Z1675)</f>
        <v/>
      </c>
      <c r="AF1675" s="13" t="inlineStr">
        <is>
          <t>P-35 &gt; LHA Replacement &gt; Vertical/Stationary Take-Off Landing Optical Landing System (VSTOL OLS) &gt; Major Hardware                                                                                                                                                    1</t>
        </is>
      </c>
      <c r="AG1675" s="7" t="inlineStr">
        <is>
          <t>348</t>
        </is>
      </c>
      <c r="AH1675" s="7" t="inlineStr">
        <is>
          <t>3041</t>
        </is>
      </c>
    </row>
    <row r="1676" ht="10" customHeight="1">
      <c r="A1676" s="7" t="inlineStr">
        <is>
          <t>SCN</t>
        </is>
      </c>
      <c r="B1676" s="7" t="inlineStr">
        <is>
          <t>Procurement</t>
        </is>
      </c>
      <c r="D1676" s="7" t="inlineStr">
        <is>
          <t>LHA Replacement - P-35 Vertical/Stationary Take-Off Landing Optical Landing System (VSTOL OLS) - System Engineering</t>
        </is>
      </c>
      <c r="E1676" s="13" t="inlineStr">
        <is>
          <t>[ALT_VIEW]</t>
        </is>
      </c>
      <c r="F1676" s="7" t="inlineStr">
        <is>
          <t>3041 / LHA Replacement AP</t>
        </is>
      </c>
      <c r="G1676" s="7" t="inlineStr">
        <is>
          <t>P-35</t>
        </is>
      </c>
      <c r="I1676" s="14" t="n">
        <v>1</v>
      </c>
      <c r="J1676" s="7" t="inlineStr">
        <is>
          <t>Advance procurement / LLTM</t>
        </is>
      </c>
      <c r="K1676" s="13" t="inlineStr">
        <is>
          <t>USN</t>
        </is>
      </c>
      <c r="L1676" s="7" t="inlineStr">
        <is>
          <t>Combatant Ships</t>
        </is>
      </c>
      <c r="M1676" s="7" t="inlineStr">
        <is>
          <t>Amphibious Warfare Ships</t>
        </is>
      </c>
      <c r="N1676" s="7" t="inlineStr">
        <is>
          <t>LHA</t>
        </is>
      </c>
      <c r="O1676" s="15" t="n"/>
      <c r="S1676" s="16" t="n">
        <v>379</v>
      </c>
      <c r="U1676" s="16" t="n">
        <v>379</v>
      </c>
      <c r="AC1676" s="23">
        <f>IF(OR(E1676="",E1676="[PARENT]"),"ADD",IF(E1676="[ALT_VIEW]","ALT",""))</f>
        <v/>
      </c>
      <c r="AD1676" s="21">
        <f>IF(Y1676&lt;&gt;"",Y1676,IF(U1676&lt;&gt;"",U1676,S1676))</f>
        <v/>
      </c>
      <c r="AE1676" s="21">
        <f>IF(AB1676&lt;&gt;"",AB1676,Z1676)</f>
        <v/>
      </c>
      <c r="AF1676" s="13" t="inlineStr">
        <is>
          <t>P-35 &gt; LHA Replacement &gt; Vertical/Stationary Take-Off Landing Optical Landing System (VSTOL OLS) &gt; System Engineering</t>
        </is>
      </c>
      <c r="AG1676" s="7" t="inlineStr">
        <is>
          <t>348</t>
        </is>
      </c>
      <c r="AH1676" s="7" t="inlineStr">
        <is>
          <t>3041</t>
        </is>
      </c>
    </row>
    <row r="1677" ht="10" customHeight="1">
      <c r="A1677" s="7" t="inlineStr">
        <is>
          <t>SCN</t>
        </is>
      </c>
      <c r="B1677" s="7" t="inlineStr">
        <is>
          <t>Procurement</t>
        </is>
      </c>
      <c r="D1677" s="7" t="inlineStr">
        <is>
          <t>LHA Replacement - P-35 Vertical/Stationary Take-Off Landing Optical Landing System (VSTOL OLS) - Technical Engineering Services</t>
        </is>
      </c>
      <c r="E1677" s="13" t="inlineStr">
        <is>
          <t>[ALT_VIEW]</t>
        </is>
      </c>
      <c r="F1677" s="7" t="inlineStr">
        <is>
          <t>3041 / LHA Replacement AP</t>
        </is>
      </c>
      <c r="G1677" s="7" t="inlineStr">
        <is>
          <t>P-35</t>
        </is>
      </c>
      <c r="I1677" s="14" t="n">
        <v>1</v>
      </c>
      <c r="J1677" s="7" t="inlineStr">
        <is>
          <t>Advance procurement / LLTM</t>
        </is>
      </c>
      <c r="K1677" s="13" t="inlineStr">
        <is>
          <t>USN</t>
        </is>
      </c>
      <c r="L1677" s="7" t="inlineStr">
        <is>
          <t>Combatant Ships</t>
        </is>
      </c>
      <c r="M1677" s="7" t="inlineStr">
        <is>
          <t>Amphibious Warfare Ships</t>
        </is>
      </c>
      <c r="N1677" s="7" t="inlineStr">
        <is>
          <t>LHA</t>
        </is>
      </c>
      <c r="O1677" s="15" t="n"/>
      <c r="S1677" s="16" t="n">
        <v>608</v>
      </c>
      <c r="U1677" s="16" t="n">
        <v>608</v>
      </c>
      <c r="AC1677" s="23">
        <f>IF(OR(E1677="",E1677="[PARENT]"),"ADD",IF(E1677="[ALT_VIEW]","ALT",""))</f>
        <v/>
      </c>
      <c r="AD1677" s="21">
        <f>IF(Y1677&lt;&gt;"",Y1677,IF(U1677&lt;&gt;"",U1677,S1677))</f>
        <v/>
      </c>
      <c r="AE1677" s="21">
        <f>IF(AB1677&lt;&gt;"",AB1677,Z1677)</f>
        <v/>
      </c>
      <c r="AF1677" s="13" t="inlineStr">
        <is>
          <t>P-35 &gt; LHA Replacement &gt; Vertical/Stationary Take-Off Landing Optical Landing System (VSTOL OLS) &gt; Technical Engineering Services</t>
        </is>
      </c>
      <c r="AG1677" s="7" t="inlineStr">
        <is>
          <t>348</t>
        </is>
      </c>
      <c r="AH1677" s="7" t="inlineStr">
        <is>
          <t>3041</t>
        </is>
      </c>
    </row>
    <row r="1678" ht="10" customHeight="1">
      <c r="A1678" s="7" t="inlineStr">
        <is>
          <t>SCN</t>
        </is>
      </c>
      <c r="B1678" s="7" t="inlineStr">
        <is>
          <t>Procurement</t>
        </is>
      </c>
      <c r="D1678" s="7" t="inlineStr">
        <is>
          <t>LHA Replacement - P-35 Vertical/Stationary Take-Off Landing Optical Landing System (VSTOL OLS) - Other Costs</t>
        </is>
      </c>
      <c r="E1678" s="13" t="inlineStr">
        <is>
          <t>[ALT_VIEW]</t>
        </is>
      </c>
      <c r="F1678" s="7" t="inlineStr">
        <is>
          <t>3041 / LHA Replacement AP</t>
        </is>
      </c>
      <c r="G1678" s="7" t="inlineStr">
        <is>
          <t>P-35</t>
        </is>
      </c>
      <c r="I1678" s="14" t="n">
        <v>1</v>
      </c>
      <c r="J1678" s="7" t="inlineStr">
        <is>
          <t>Advance procurement / LLTM</t>
        </is>
      </c>
      <c r="K1678" s="13" t="inlineStr">
        <is>
          <t>USN</t>
        </is>
      </c>
      <c r="L1678" s="7" t="inlineStr">
        <is>
          <t>Combatant Ships</t>
        </is>
      </c>
      <c r="M1678" s="7" t="inlineStr">
        <is>
          <t>Amphibious Warfare Ships</t>
        </is>
      </c>
      <c r="N1678" s="7" t="inlineStr">
        <is>
          <t>LHA</t>
        </is>
      </c>
      <c r="O1678" s="15" t="n"/>
      <c r="S1678" s="16" t="n">
        <v>955</v>
      </c>
      <c r="U1678" s="16" t="n">
        <v>955</v>
      </c>
      <c r="AC1678" s="23">
        <f>IF(OR(E1678="",E1678="[PARENT]"),"ADD",IF(E1678="[ALT_VIEW]","ALT",""))</f>
        <v/>
      </c>
      <c r="AD1678" s="21">
        <f>IF(Y1678&lt;&gt;"",Y1678,IF(U1678&lt;&gt;"",U1678,S1678))</f>
        <v/>
      </c>
      <c r="AE1678" s="21">
        <f>IF(AB1678&lt;&gt;"",AB1678,Z1678)</f>
        <v/>
      </c>
      <c r="AF1678" s="13" t="inlineStr">
        <is>
          <t>P-35 &gt; LHA Replacement &gt; Vertical/Stationary Take-Off Landing Optical Landing System (VSTOL OLS) &gt; Other Costs</t>
        </is>
      </c>
      <c r="AG1678" s="7" t="inlineStr">
        <is>
          <t>348</t>
        </is>
      </c>
      <c r="AH1678" s="7" t="inlineStr">
        <is>
          <t>3041</t>
        </is>
      </c>
      <c r="AJ1678" s="7" t="inlineStr">
        <is>
          <t>Vertical/Stationary Take-Off Landing Optical Landing System (VSTOL OLS) [LHA 9]</t>
        </is>
      </c>
    </row>
    <row r="1679" ht="10" customHeight="1">
      <c r="A1679" s="7" t="inlineStr">
        <is>
          <t>SCN</t>
        </is>
      </c>
      <c r="B1679" s="7" t="inlineStr">
        <is>
          <t>Procurement</t>
        </is>
      </c>
      <c r="D1679" s="7" t="inlineStr">
        <is>
          <t>LHA Replacement - P-35 AN/SPQ-9B Radar Set - Major Hardware                                                                                                                                                      1</t>
        </is>
      </c>
      <c r="E1679" s="13" t="inlineStr">
        <is>
          <t>[ALT_VIEW]</t>
        </is>
      </c>
      <c r="F1679" s="7" t="inlineStr">
        <is>
          <t>3041 / LHA Replacement AP</t>
        </is>
      </c>
      <c r="G1679" s="7" t="inlineStr">
        <is>
          <t>P-35</t>
        </is>
      </c>
      <c r="I1679" s="14" t="n">
        <v>1</v>
      </c>
      <c r="J1679" s="7" t="inlineStr">
        <is>
          <t>Advance procurement / LLTM</t>
        </is>
      </c>
      <c r="K1679" s="13" t="inlineStr">
        <is>
          <t>USN</t>
        </is>
      </c>
      <c r="L1679" s="7" t="inlineStr">
        <is>
          <t>Combatant Ships</t>
        </is>
      </c>
      <c r="M1679" s="7" t="inlineStr">
        <is>
          <t>Amphibious Warfare Ships</t>
        </is>
      </c>
      <c r="N1679" s="7" t="inlineStr">
        <is>
          <t>LHA</t>
        </is>
      </c>
      <c r="O1679" s="15" t="n"/>
      <c r="S1679" s="16" t="n">
        <v>5144</v>
      </c>
      <c r="U1679" s="16" t="n">
        <v>5144</v>
      </c>
      <c r="AC1679" s="23">
        <f>IF(OR(E1679="",E1679="[PARENT]"),"ADD",IF(E1679="[ALT_VIEW]","ALT",""))</f>
        <v/>
      </c>
      <c r="AD1679" s="21">
        <f>IF(Y1679&lt;&gt;"",Y1679,IF(U1679&lt;&gt;"",U1679,S1679))</f>
        <v/>
      </c>
      <c r="AE1679" s="21">
        <f>IF(AB1679&lt;&gt;"",AB1679,Z1679)</f>
        <v/>
      </c>
      <c r="AF1679" s="13" t="inlineStr">
        <is>
          <t>P-35 &gt; LHA Replacement &gt; AN/SPQ-9B Radar Set &gt; Major Hardware                                                                                                                                                      1</t>
        </is>
      </c>
      <c r="AG1679" s="7" t="inlineStr">
        <is>
          <t>349</t>
        </is>
      </c>
      <c r="AH1679" s="7" t="inlineStr">
        <is>
          <t>3041</t>
        </is>
      </c>
    </row>
    <row r="1680" ht="10" customHeight="1">
      <c r="A1680" s="7" t="inlineStr">
        <is>
          <t>SCN</t>
        </is>
      </c>
      <c r="B1680" s="7" t="inlineStr">
        <is>
          <t>Procurement</t>
        </is>
      </c>
      <c r="D1680" s="7" t="inlineStr">
        <is>
          <t>LHA Replacement - P-35 AN/SPQ-9B Radar Set - Technical Data and Documentation</t>
        </is>
      </c>
      <c r="E1680" s="13" t="inlineStr">
        <is>
          <t>[ALT_VIEW]</t>
        </is>
      </c>
      <c r="F1680" s="7" t="inlineStr">
        <is>
          <t>3041 / LHA Replacement AP</t>
        </is>
      </c>
      <c r="G1680" s="7" t="inlineStr">
        <is>
          <t>P-35</t>
        </is>
      </c>
      <c r="I1680" s="14" t="n">
        <v>1</v>
      </c>
      <c r="J1680" s="7" t="inlineStr">
        <is>
          <t>Advance procurement / LLTM</t>
        </is>
      </c>
      <c r="K1680" s="13" t="inlineStr">
        <is>
          <t>USN</t>
        </is>
      </c>
      <c r="L1680" s="7" t="inlineStr">
        <is>
          <t>Combatant Ships</t>
        </is>
      </c>
      <c r="M1680" s="7" t="inlineStr">
        <is>
          <t>Amphibious Warfare Ships</t>
        </is>
      </c>
      <c r="N1680" s="7" t="inlineStr">
        <is>
          <t>LHA</t>
        </is>
      </c>
      <c r="O1680" s="15" t="n"/>
      <c r="S1680" s="16" t="n">
        <v>134</v>
      </c>
      <c r="U1680" s="16" t="n">
        <v>134</v>
      </c>
      <c r="AC1680" s="23">
        <f>IF(OR(E1680="",E1680="[PARENT]"),"ADD",IF(E1680="[ALT_VIEW]","ALT",""))</f>
        <v/>
      </c>
      <c r="AD1680" s="21">
        <f>IF(Y1680&lt;&gt;"",Y1680,IF(U1680&lt;&gt;"",U1680,S1680))</f>
        <v/>
      </c>
      <c r="AE1680" s="21">
        <f>IF(AB1680&lt;&gt;"",AB1680,Z1680)</f>
        <v/>
      </c>
      <c r="AF1680" s="13" t="inlineStr">
        <is>
          <t>P-35 &gt; LHA Replacement &gt; AN/SPQ-9B Radar Set &gt; Technical Data and Documentation</t>
        </is>
      </c>
      <c r="AG1680" s="7" t="inlineStr">
        <is>
          <t>349</t>
        </is>
      </c>
      <c r="AH1680" s="7" t="inlineStr">
        <is>
          <t>3041</t>
        </is>
      </c>
    </row>
    <row r="1681" ht="10" customHeight="1">
      <c r="A1681" s="7" t="inlineStr">
        <is>
          <t>SCN</t>
        </is>
      </c>
      <c r="B1681" s="7" t="inlineStr">
        <is>
          <t>Procurement</t>
        </is>
      </c>
      <c r="D1681" s="7" t="inlineStr">
        <is>
          <t>LHA Replacement - P-35 AN/SPQ-9B Radar Set - Spares</t>
        </is>
      </c>
      <c r="E1681" s="13" t="inlineStr">
        <is>
          <t>[ALT_VIEW]</t>
        </is>
      </c>
      <c r="F1681" s="7" t="inlineStr">
        <is>
          <t>3041 / LHA Replacement AP</t>
        </is>
      </c>
      <c r="G1681" s="7" t="inlineStr">
        <is>
          <t>P-35</t>
        </is>
      </c>
      <c r="I1681" s="14" t="n">
        <v>1</v>
      </c>
      <c r="J1681" s="7" t="inlineStr">
        <is>
          <t>Advance procurement / LLTM</t>
        </is>
      </c>
      <c r="K1681" s="13" t="inlineStr">
        <is>
          <t>USN</t>
        </is>
      </c>
      <c r="L1681" s="7" t="inlineStr">
        <is>
          <t>Combatant Ships</t>
        </is>
      </c>
      <c r="M1681" s="7" t="inlineStr">
        <is>
          <t>Amphibious Warfare Ships</t>
        </is>
      </c>
      <c r="N1681" s="7" t="inlineStr">
        <is>
          <t>LHA</t>
        </is>
      </c>
      <c r="O1681" s="15" t="n"/>
      <c r="S1681" s="16" t="n">
        <v>247</v>
      </c>
      <c r="U1681" s="16" t="n">
        <v>247</v>
      </c>
      <c r="AC1681" s="23">
        <f>IF(OR(E1681="",E1681="[PARENT]"),"ADD",IF(E1681="[ALT_VIEW]","ALT",""))</f>
        <v/>
      </c>
      <c r="AD1681" s="21">
        <f>IF(Y1681&lt;&gt;"",Y1681,IF(U1681&lt;&gt;"",U1681,S1681))</f>
        <v/>
      </c>
      <c r="AE1681" s="21">
        <f>IF(AB1681&lt;&gt;"",AB1681,Z1681)</f>
        <v/>
      </c>
      <c r="AF1681" s="13" t="inlineStr">
        <is>
          <t>P-35 &gt; LHA Replacement &gt; AN/SPQ-9B Radar Set &gt; Spares</t>
        </is>
      </c>
      <c r="AG1681" s="7" t="inlineStr">
        <is>
          <t>349</t>
        </is>
      </c>
      <c r="AH1681" s="7" t="inlineStr">
        <is>
          <t>3041</t>
        </is>
      </c>
    </row>
    <row r="1682" ht="10" customHeight="1">
      <c r="A1682" s="7" t="inlineStr">
        <is>
          <t>SCN</t>
        </is>
      </c>
      <c r="B1682" s="7" t="inlineStr">
        <is>
          <t>Procurement</t>
        </is>
      </c>
      <c r="D1682" s="7" t="inlineStr">
        <is>
          <t>LHA Replacement - P-35 AN/SPQ-9B Radar Set - System Engineering</t>
        </is>
      </c>
      <c r="E1682" s="13" t="inlineStr">
        <is>
          <t>[ALT_VIEW]</t>
        </is>
      </c>
      <c r="F1682" s="7" t="inlineStr">
        <is>
          <t>3041 / LHA Replacement AP</t>
        </is>
      </c>
      <c r="G1682" s="7" t="inlineStr">
        <is>
          <t>P-35</t>
        </is>
      </c>
      <c r="I1682" s="14" t="n">
        <v>1</v>
      </c>
      <c r="J1682" s="7" t="inlineStr">
        <is>
          <t>Advance procurement / LLTM</t>
        </is>
      </c>
      <c r="K1682" s="13" t="inlineStr">
        <is>
          <t>USN</t>
        </is>
      </c>
      <c r="L1682" s="7" t="inlineStr">
        <is>
          <t>Combatant Ships</t>
        </is>
      </c>
      <c r="M1682" s="7" t="inlineStr">
        <is>
          <t>Amphibious Warfare Ships</t>
        </is>
      </c>
      <c r="N1682" s="7" t="inlineStr">
        <is>
          <t>LHA</t>
        </is>
      </c>
      <c r="O1682" s="15" t="n"/>
      <c r="S1682" s="16" t="n">
        <v>418</v>
      </c>
      <c r="U1682" s="16" t="n">
        <v>418</v>
      </c>
      <c r="AC1682" s="23">
        <f>IF(OR(E1682="",E1682="[PARENT]"),"ADD",IF(E1682="[ALT_VIEW]","ALT",""))</f>
        <v/>
      </c>
      <c r="AD1682" s="21">
        <f>IF(Y1682&lt;&gt;"",Y1682,IF(U1682&lt;&gt;"",U1682,S1682))</f>
        <v/>
      </c>
      <c r="AE1682" s="21">
        <f>IF(AB1682&lt;&gt;"",AB1682,Z1682)</f>
        <v/>
      </c>
      <c r="AF1682" s="13" t="inlineStr">
        <is>
          <t>P-35 &gt; LHA Replacement &gt; AN/SPQ-9B Radar Set &gt; System Engineering</t>
        </is>
      </c>
      <c r="AG1682" s="7" t="inlineStr">
        <is>
          <t>349</t>
        </is>
      </c>
      <c r="AH1682" s="7" t="inlineStr">
        <is>
          <t>3041</t>
        </is>
      </c>
    </row>
    <row r="1683" ht="10" customHeight="1">
      <c r="A1683" s="7" t="inlineStr">
        <is>
          <t>SCN</t>
        </is>
      </c>
      <c r="B1683" s="7" t="inlineStr">
        <is>
          <t>Procurement</t>
        </is>
      </c>
      <c r="D1683" s="7" t="inlineStr">
        <is>
          <t>LHA Replacement - P-35 AN/SPQ-9B Radar Set - Technical Engineering Services</t>
        </is>
      </c>
      <c r="E1683" s="13" t="inlineStr">
        <is>
          <t>[ALT_VIEW]</t>
        </is>
      </c>
      <c r="F1683" s="7" t="inlineStr">
        <is>
          <t>3041 / LHA Replacement AP</t>
        </is>
      </c>
      <c r="G1683" s="7" t="inlineStr">
        <is>
          <t>P-35</t>
        </is>
      </c>
      <c r="I1683" s="14" t="n">
        <v>1</v>
      </c>
      <c r="J1683" s="7" t="inlineStr">
        <is>
          <t>Advance procurement / LLTM</t>
        </is>
      </c>
      <c r="K1683" s="13" t="inlineStr">
        <is>
          <t>USN</t>
        </is>
      </c>
      <c r="L1683" s="7" t="inlineStr">
        <is>
          <t>Combatant Ships</t>
        </is>
      </c>
      <c r="M1683" s="7" t="inlineStr">
        <is>
          <t>Amphibious Warfare Ships</t>
        </is>
      </c>
      <c r="N1683" s="7" t="inlineStr">
        <is>
          <t>LHA</t>
        </is>
      </c>
      <c r="O1683" s="15" t="n"/>
      <c r="S1683" s="16" t="n">
        <v>790</v>
      </c>
      <c r="U1683" s="16" t="n">
        <v>790</v>
      </c>
      <c r="AC1683" s="23">
        <f>IF(OR(E1683="",E1683="[PARENT]"),"ADD",IF(E1683="[ALT_VIEW]","ALT",""))</f>
        <v/>
      </c>
      <c r="AD1683" s="21">
        <f>IF(Y1683&lt;&gt;"",Y1683,IF(U1683&lt;&gt;"",U1683,S1683))</f>
        <v/>
      </c>
      <c r="AE1683" s="21">
        <f>IF(AB1683&lt;&gt;"",AB1683,Z1683)</f>
        <v/>
      </c>
      <c r="AF1683" s="13" t="inlineStr">
        <is>
          <t>P-35 &gt; LHA Replacement &gt; AN/SPQ-9B Radar Set &gt; Technical Engineering Services</t>
        </is>
      </c>
      <c r="AG1683" s="7" t="inlineStr">
        <is>
          <t>349</t>
        </is>
      </c>
      <c r="AH1683" s="7" t="inlineStr">
        <is>
          <t>3041</t>
        </is>
      </c>
    </row>
    <row r="1684" ht="10" customHeight="1">
      <c r="A1684" s="7" t="inlineStr">
        <is>
          <t>SCN</t>
        </is>
      </c>
      <c r="B1684" s="7" t="inlineStr">
        <is>
          <t>Procurement</t>
        </is>
      </c>
      <c r="D1684" s="7" t="inlineStr">
        <is>
          <t>LHA Replacement - P-35 AN/SPQ-9B Radar Set - Other Costs</t>
        </is>
      </c>
      <c r="E1684" s="13" t="inlineStr">
        <is>
          <t>[ALT_VIEW]</t>
        </is>
      </c>
      <c r="F1684" s="7" t="inlineStr">
        <is>
          <t>3041 / LHA Replacement AP</t>
        </is>
      </c>
      <c r="G1684" s="7" t="inlineStr">
        <is>
          <t>P-35</t>
        </is>
      </c>
      <c r="I1684" s="14" t="n">
        <v>1</v>
      </c>
      <c r="J1684" s="7" t="inlineStr">
        <is>
          <t>Advance procurement / LLTM</t>
        </is>
      </c>
      <c r="K1684" s="13" t="inlineStr">
        <is>
          <t>USN</t>
        </is>
      </c>
      <c r="L1684" s="7" t="inlineStr">
        <is>
          <t>Combatant Ships</t>
        </is>
      </c>
      <c r="M1684" s="7" t="inlineStr">
        <is>
          <t>Amphibious Warfare Ships</t>
        </is>
      </c>
      <c r="N1684" s="7" t="inlineStr">
        <is>
          <t>LHA</t>
        </is>
      </c>
      <c r="O1684" s="15" t="n"/>
      <c r="S1684" s="16" t="n">
        <v>895</v>
      </c>
      <c r="U1684" s="16" t="n">
        <v>895</v>
      </c>
      <c r="AC1684" s="23">
        <f>IF(OR(E1684="",E1684="[PARENT]"),"ADD",IF(E1684="[ALT_VIEW]","ALT",""))</f>
        <v/>
      </c>
      <c r="AD1684" s="21">
        <f>IF(Y1684&lt;&gt;"",Y1684,IF(U1684&lt;&gt;"",U1684,S1684))</f>
        <v/>
      </c>
      <c r="AE1684" s="21">
        <f>IF(AB1684&lt;&gt;"",AB1684,Z1684)</f>
        <v/>
      </c>
      <c r="AF1684" s="13" t="inlineStr">
        <is>
          <t>P-35 &gt; LHA Replacement &gt; AN/SPQ-9B Radar Set &gt; Other Costs</t>
        </is>
      </c>
      <c r="AG1684" s="7" t="inlineStr">
        <is>
          <t>349</t>
        </is>
      </c>
      <c r="AH1684" s="7" t="inlineStr">
        <is>
          <t>3041</t>
        </is>
      </c>
    </row>
    <row r="1685" ht="10" customHeight="1">
      <c r="A1685" s="7" t="inlineStr">
        <is>
          <t>SCN</t>
        </is>
      </c>
      <c r="B1685" s="7" t="inlineStr">
        <is>
          <t>Procurement</t>
        </is>
      </c>
      <c r="D1685" s="7" t="inlineStr">
        <is>
          <t>LHA Replacement - P-10 - Basic Construction                                                                          -               -               -</t>
        </is>
      </c>
      <c r="E1685" s="13" t="inlineStr">
        <is>
          <t>[SUB]</t>
        </is>
      </c>
      <c r="F1685" s="7" t="inlineStr">
        <is>
          <t>3041 / LHA Replacement AP</t>
        </is>
      </c>
      <c r="I1685" s="14" t="n">
        <v>1</v>
      </c>
      <c r="J1685" s="7" t="inlineStr">
        <is>
          <t>Advance procurement / LLTM</t>
        </is>
      </c>
      <c r="K1685" s="13" t="inlineStr">
        <is>
          <t>USN</t>
        </is>
      </c>
      <c r="L1685" s="7" t="inlineStr">
        <is>
          <t>Combatant Ships</t>
        </is>
      </c>
      <c r="M1685" s="7" t="inlineStr">
        <is>
          <t>Amphibious Warfare Ships</t>
        </is>
      </c>
      <c r="N1685" s="7" t="inlineStr">
        <is>
          <t>LHA</t>
        </is>
      </c>
      <c r="O1685" s="15" t="n"/>
      <c r="P1685" s="16" t="n">
        <v>61118</v>
      </c>
      <c r="Q1685" s="16" t="n">
        <v>0</v>
      </c>
      <c r="AC1685" s="23">
        <f>IF(OR(E1685="",E1685="[PARENT]"),"ADD",IF(E1685="[ALT_VIEW]","ALT",""))</f>
        <v/>
      </c>
      <c r="AD1685" s="21">
        <f>IF(Y1685&lt;&gt;"",Y1685,IF(U1685&lt;&gt;"",U1685,S1685))</f>
        <v/>
      </c>
      <c r="AE1685" s="21">
        <f>IF(AB1685&lt;&gt;"",AB1685,Z1685)</f>
        <v/>
      </c>
      <c r="AF1685" s="13" t="inlineStr">
        <is>
          <t>P-10 &gt; LHA Replacement &gt; Basic Construction                                                                          -               -               -</t>
        </is>
      </c>
      <c r="AG1685" s="7" t="inlineStr">
        <is>
          <t>351</t>
        </is>
      </c>
      <c r="AH1685" s="7" t="inlineStr">
        <is>
          <t>3041</t>
        </is>
      </c>
    </row>
    <row r="1686" ht="10" customHeight="1">
      <c r="A1686" s="7" t="inlineStr">
        <is>
          <t>SCN</t>
        </is>
      </c>
      <c r="B1686" s="7" t="inlineStr">
        <is>
          <t>Procurement</t>
        </is>
      </c>
      <c r="D1686" s="7" t="inlineStr">
        <is>
          <t>LHA Replacement - P-10 - Basic Construction                                                                            -                  -                 -                                     -</t>
        </is>
      </c>
      <c r="E1686" s="13" t="inlineStr">
        <is>
          <t>[SUB]</t>
        </is>
      </c>
      <c r="F1686" s="7" t="inlineStr">
        <is>
          <t>3041 / LHA Replacement AP</t>
        </is>
      </c>
      <c r="I1686" s="14" t="n">
        <v>1</v>
      </c>
      <c r="J1686" s="7" t="inlineStr">
        <is>
          <t>Advance procurement / LLTM</t>
        </is>
      </c>
      <c r="K1686" s="13" t="inlineStr">
        <is>
          <t>USN</t>
        </is>
      </c>
      <c r="L1686" s="7" t="inlineStr">
        <is>
          <t>Combatant Ships</t>
        </is>
      </c>
      <c r="M1686" s="7" t="inlineStr">
        <is>
          <t>Amphibious Warfare Ships</t>
        </is>
      </c>
      <c r="N1686" s="7" t="inlineStr">
        <is>
          <t>LHA</t>
        </is>
      </c>
      <c r="O1686" s="15" t="n"/>
      <c r="P1686" s="16" t="n">
        <v>0</v>
      </c>
      <c r="AC1686" s="23">
        <f>IF(OR(E1686="",E1686="[PARENT]"),"ADD",IF(E1686="[ALT_VIEW]","ALT",""))</f>
        <v/>
      </c>
      <c r="AD1686" s="21">
        <f>IF(Y1686&lt;&gt;"",Y1686,IF(U1686&lt;&gt;"",U1686,S1686))</f>
        <v/>
      </c>
      <c r="AE1686" s="21">
        <f>IF(AB1686&lt;&gt;"",AB1686,Z1686)</f>
        <v/>
      </c>
      <c r="AF1686" s="13" t="inlineStr">
        <is>
          <t>P-10 &gt; LHA Replacement &gt; Basic Construction                                                                            -                  -                 -                                     -</t>
        </is>
      </c>
      <c r="AG1686" s="7" t="inlineStr">
        <is>
          <t>352</t>
        </is>
      </c>
      <c r="AH1686" s="7" t="inlineStr">
        <is>
          <t>3041</t>
        </is>
      </c>
    </row>
    <row r="1687" ht="10" customHeight="1">
      <c r="A1687" s="7" t="inlineStr">
        <is>
          <t>SCN</t>
        </is>
      </c>
      <c r="B1687" s="7" t="inlineStr">
        <is>
          <t>Procurement</t>
        </is>
      </c>
      <c r="D1687" s="7" t="inlineStr">
        <is>
          <t>Medium Landing Ship - P-5c - Plan Costs</t>
        </is>
      </c>
      <c r="E1687" s="13" t="inlineStr">
        <is>
          <t>[ALT_VIEW]</t>
        </is>
      </c>
      <c r="G1687" s="7" t="inlineStr">
        <is>
          <t>P-5c</t>
        </is>
      </c>
      <c r="H1687" s="7" t="inlineStr">
        <is>
          <t>Plan Costs</t>
        </is>
      </c>
      <c r="I1687" s="14" t="n">
        <v>1</v>
      </c>
      <c r="J1687" s="7" t="inlineStr">
        <is>
          <t>Advance procurement / LLTM</t>
        </is>
      </c>
      <c r="K1687" s="13" t="inlineStr">
        <is>
          <t>USN</t>
        </is>
      </c>
      <c r="L1687" s="7" t="inlineStr">
        <is>
          <t>Combatant Ships</t>
        </is>
      </c>
      <c r="M1687" s="7" t="inlineStr">
        <is>
          <t>Expeditionary &amp; Seabasing Ships</t>
        </is>
      </c>
      <c r="N1687" s="7" t="inlineStr">
        <is>
          <t>LSM</t>
        </is>
      </c>
      <c r="O1687" s="15" t="n"/>
      <c r="AC1687" s="23">
        <f>IF(OR(E1687="",E1687="[PARENT]"),"ADD",IF(E1687="[ALT_VIEW]","ALT",""))</f>
        <v/>
      </c>
      <c r="AD1687" s="21">
        <f>IF(Y1687&lt;&gt;"",Y1687,IF(U1687&lt;&gt;"",U1687,S1687))</f>
        <v/>
      </c>
      <c r="AE1687" s="21">
        <f>IF(AB1687&lt;&gt;"",AB1687,Z1687)</f>
        <v/>
      </c>
      <c r="AF1687" s="13" t="inlineStr">
        <is>
          <t>P-5c &gt; Medium Landing Ship &gt; Plan Costs</t>
        </is>
      </c>
      <c r="AG1687" s="7" t="inlineStr">
        <is>
          <t>355</t>
        </is>
      </c>
      <c r="AH1687" s="7" t="inlineStr">
        <is>
          <t>3050</t>
        </is>
      </c>
      <c r="AJ1687" s="7" t="inlineStr">
        <is>
          <t>Plan</t>
        </is>
      </c>
    </row>
    <row r="1688" ht="10" customHeight="1">
      <c r="A1688" s="7" t="inlineStr">
        <is>
          <t>SCN</t>
        </is>
      </c>
      <c r="B1688" s="7" t="inlineStr">
        <is>
          <t>Procurement</t>
        </is>
      </c>
      <c r="D1688" s="7" t="inlineStr">
        <is>
          <t>Medium Landing Ship - P-5c - Electronics</t>
        </is>
      </c>
      <c r="E1688" s="13" t="inlineStr">
        <is>
          <t>[ALT_VIEW]</t>
        </is>
      </c>
      <c r="G1688" s="7" t="inlineStr">
        <is>
          <t>P-5c</t>
        </is>
      </c>
      <c r="H1688" s="7" t="inlineStr">
        <is>
          <t>Electronics</t>
        </is>
      </c>
      <c r="I1688" s="14" t="n">
        <v>1</v>
      </c>
      <c r="J1688" s="7" t="inlineStr">
        <is>
          <t>Advance procurement / LLTM</t>
        </is>
      </c>
      <c r="K1688" s="13" t="inlineStr">
        <is>
          <t>USN</t>
        </is>
      </c>
      <c r="L1688" s="7" t="inlineStr">
        <is>
          <t>Combatant Ships</t>
        </is>
      </c>
      <c r="M1688" s="7" t="inlineStr">
        <is>
          <t>Expeditionary &amp; Seabasing Ships</t>
        </is>
      </c>
      <c r="N1688" s="7" t="inlineStr">
        <is>
          <t>LSM</t>
        </is>
      </c>
      <c r="O1688" s="15" t="n"/>
      <c r="AC1688" s="23">
        <f>IF(OR(E1688="",E1688="[PARENT]"),"ADD",IF(E1688="[ALT_VIEW]","ALT",""))</f>
        <v/>
      </c>
      <c r="AD1688" s="21">
        <f>IF(Y1688&lt;&gt;"",Y1688,IF(U1688&lt;&gt;"",U1688,S1688))</f>
        <v/>
      </c>
      <c r="AE1688" s="21">
        <f>IF(AB1688&lt;&gt;"",AB1688,Z1688)</f>
        <v/>
      </c>
      <c r="AF1688" s="13" t="inlineStr">
        <is>
          <t>P-5c &gt; Medium Landing Ship &gt; Electronics</t>
        </is>
      </c>
      <c r="AG1688" s="7" t="inlineStr">
        <is>
          <t>355</t>
        </is>
      </c>
      <c r="AH1688" s="7" t="inlineStr">
        <is>
          <t>3050</t>
        </is>
      </c>
      <c r="AJ1688" s="7" t="inlineStr">
        <is>
          <t>Electronics</t>
        </is>
      </c>
    </row>
    <row r="1689" ht="10" customHeight="1">
      <c r="A1689" s="7" t="inlineStr">
        <is>
          <t>SCN</t>
        </is>
      </c>
      <c r="B1689" s="7" t="inlineStr">
        <is>
          <t>Procurement</t>
        </is>
      </c>
      <c r="D1689" s="7" t="inlineStr">
        <is>
          <t>Medium Landing Ship - P-5c - Other Cost</t>
        </is>
      </c>
      <c r="E1689" s="13" t="inlineStr">
        <is>
          <t>[ALT_VIEW]</t>
        </is>
      </c>
      <c r="G1689" s="7" t="inlineStr">
        <is>
          <t>P-5c</t>
        </is>
      </c>
      <c r="H1689" s="7" t="inlineStr">
        <is>
          <t>Other Cost</t>
        </is>
      </c>
      <c r="I1689" s="14" t="n">
        <v>1</v>
      </c>
      <c r="J1689" s="7" t="inlineStr">
        <is>
          <t>Advance procurement / LLTM</t>
        </is>
      </c>
      <c r="K1689" s="13" t="inlineStr">
        <is>
          <t>USN</t>
        </is>
      </c>
      <c r="L1689" s="7" t="inlineStr">
        <is>
          <t>Combatant Ships</t>
        </is>
      </c>
      <c r="M1689" s="7" t="inlineStr">
        <is>
          <t>Expeditionary &amp; Seabasing Ships</t>
        </is>
      </c>
      <c r="N1689" s="7" t="inlineStr">
        <is>
          <t>LSM</t>
        </is>
      </c>
      <c r="O1689" s="15" t="n"/>
      <c r="AC1689" s="23">
        <f>IF(OR(E1689="",E1689="[PARENT]"),"ADD",IF(E1689="[ALT_VIEW]","ALT",""))</f>
        <v/>
      </c>
      <c r="AD1689" s="21">
        <f>IF(Y1689&lt;&gt;"",Y1689,IF(U1689&lt;&gt;"",U1689,S1689))</f>
        <v/>
      </c>
      <c r="AE1689" s="21">
        <f>IF(AB1689&lt;&gt;"",AB1689,Z1689)</f>
        <v/>
      </c>
      <c r="AF1689" s="13" t="inlineStr">
        <is>
          <t>P-5c &gt; Medium Landing Ship &gt; Other Cost</t>
        </is>
      </c>
      <c r="AG1689" s="7" t="inlineStr">
        <is>
          <t>355</t>
        </is>
      </c>
      <c r="AH1689" s="7" t="inlineStr">
        <is>
          <t>3050</t>
        </is>
      </c>
    </row>
    <row r="1690" ht="10" customHeight="1">
      <c r="A1690" s="7" t="inlineStr">
        <is>
          <t>SCN</t>
        </is>
      </c>
      <c r="B1690" s="7" t="inlineStr">
        <is>
          <t>Procurement</t>
        </is>
      </c>
      <c r="D1690" s="7" t="inlineStr">
        <is>
          <t>Expeditionary Sea Base (ESB) - P-5c - Basic Construction</t>
        </is>
      </c>
      <c r="E1690" s="13" t="inlineStr">
        <is>
          <t>[ALT_VIEW]</t>
        </is>
      </c>
      <c r="F1690" s="7" t="inlineStr">
        <is>
          <t>3039 / Expeditionary Sea Base (ESB)</t>
        </is>
      </c>
      <c r="G1690" s="7" t="inlineStr">
        <is>
          <t>P-5c</t>
        </is>
      </c>
      <c r="H1690" s="7" t="inlineStr">
        <is>
          <t>Basic Construction</t>
        </is>
      </c>
      <c r="I1690" s="14" t="n">
        <v>1</v>
      </c>
      <c r="J1690" s="7" t="inlineStr">
        <is>
          <t>Full ship DD&amp;C</t>
        </is>
      </c>
      <c r="K1690" s="13" t="inlineStr">
        <is>
          <t>MSC</t>
        </is>
      </c>
      <c r="L1690" s="7" t="inlineStr">
        <is>
          <t>Combatant Ships</t>
        </is>
      </c>
      <c r="M1690" s="7" t="inlineStr">
        <is>
          <t>Expeditionary &amp; Seabasing Ships</t>
        </is>
      </c>
      <c r="N1690" s="7" t="inlineStr">
        <is>
          <t>T-ESB</t>
        </is>
      </c>
      <c r="O1690" s="15" t="n"/>
      <c r="AC1690" s="23">
        <f>IF(OR(E1690="",E1690="[PARENT]"),"ADD",IF(E1690="[ALT_VIEW]","ALT",""))</f>
        <v/>
      </c>
      <c r="AD1690" s="21">
        <f>IF(Y1690&lt;&gt;"",Y1690,IF(U1690&lt;&gt;"",U1690,S1690))</f>
        <v/>
      </c>
      <c r="AE1690" s="21">
        <f>IF(AB1690&lt;&gt;"",AB1690,Z1690)</f>
        <v/>
      </c>
      <c r="AF1690" s="13" t="inlineStr">
        <is>
          <t>P-5c &gt; Expeditionary Sea Base (ESB) &gt; Basic Construction</t>
        </is>
      </c>
      <c r="AG1690" s="7" t="inlineStr">
        <is>
          <t>359</t>
        </is>
      </c>
    </row>
    <row r="1691" ht="10" customHeight="1">
      <c r="A1691" s="7" t="inlineStr">
        <is>
          <t>SCN</t>
        </is>
      </c>
      <c r="B1691" s="7" t="inlineStr">
        <is>
          <t>Procurement</t>
        </is>
      </c>
      <c r="D1691" s="7" t="inlineStr">
        <is>
          <t>Expeditionary Sea Base (ESB) - P-5c - Change Orders</t>
        </is>
      </c>
      <c r="E1691" s="13" t="inlineStr">
        <is>
          <t>[ALT_VIEW]</t>
        </is>
      </c>
      <c r="F1691" s="7" t="inlineStr">
        <is>
          <t>3039 / Expeditionary Sea Base (ESB)</t>
        </is>
      </c>
      <c r="G1691" s="7" t="inlineStr">
        <is>
          <t>P-5c</t>
        </is>
      </c>
      <c r="H1691" s="7" t="inlineStr">
        <is>
          <t>Change Orders</t>
        </is>
      </c>
      <c r="I1691" s="14" t="n">
        <v>1</v>
      </c>
      <c r="J1691" s="7" t="inlineStr">
        <is>
          <t>Full ship DD&amp;C</t>
        </is>
      </c>
      <c r="K1691" s="13" t="inlineStr">
        <is>
          <t>MSC</t>
        </is>
      </c>
      <c r="L1691" s="7" t="inlineStr">
        <is>
          <t>Combatant Ships</t>
        </is>
      </c>
      <c r="M1691" s="7" t="inlineStr">
        <is>
          <t>Expeditionary &amp; Seabasing Ships</t>
        </is>
      </c>
      <c r="N1691" s="7" t="inlineStr">
        <is>
          <t>T-ESB</t>
        </is>
      </c>
      <c r="O1691" s="15" t="n"/>
      <c r="AC1691" s="23">
        <f>IF(OR(E1691="",E1691="[PARENT]"),"ADD",IF(E1691="[ALT_VIEW]","ALT",""))</f>
        <v/>
      </c>
      <c r="AD1691" s="21">
        <f>IF(Y1691&lt;&gt;"",Y1691,IF(U1691&lt;&gt;"",U1691,S1691))</f>
        <v/>
      </c>
      <c r="AE1691" s="21">
        <f>IF(AB1691&lt;&gt;"",AB1691,Z1691)</f>
        <v/>
      </c>
      <c r="AF1691" s="13" t="inlineStr">
        <is>
          <t>P-5c &gt; Expeditionary Sea Base (ESB) &gt; Change Orders</t>
        </is>
      </c>
      <c r="AG1691" s="7" t="inlineStr">
        <is>
          <t>359</t>
        </is>
      </c>
    </row>
    <row r="1692" ht="10" customHeight="1">
      <c r="A1692" s="7" t="inlineStr">
        <is>
          <t>SCN</t>
        </is>
      </c>
      <c r="B1692" s="7" t="inlineStr">
        <is>
          <t>Procurement</t>
        </is>
      </c>
      <c r="D1692" s="7" t="inlineStr">
        <is>
          <t>Expeditionary Sea Base (ESB) - P-5c - Electronics</t>
        </is>
      </c>
      <c r="E1692" s="13" t="inlineStr">
        <is>
          <t>[ALT_VIEW]</t>
        </is>
      </c>
      <c r="F1692" s="7" t="inlineStr">
        <is>
          <t>3039 / Expeditionary Sea Base (ESB)</t>
        </is>
      </c>
      <c r="G1692" s="7" t="inlineStr">
        <is>
          <t>P-5c</t>
        </is>
      </c>
      <c r="H1692" s="7" t="inlineStr">
        <is>
          <t>Electronics</t>
        </is>
      </c>
      <c r="I1692" s="14" t="n">
        <v>1</v>
      </c>
      <c r="J1692" s="7" t="inlineStr">
        <is>
          <t>Full ship DD&amp;C</t>
        </is>
      </c>
      <c r="K1692" s="13" t="inlineStr">
        <is>
          <t>MSC</t>
        </is>
      </c>
      <c r="L1692" s="7" t="inlineStr">
        <is>
          <t>Combatant Ships</t>
        </is>
      </c>
      <c r="M1692" s="7" t="inlineStr">
        <is>
          <t>Expeditionary &amp; Seabasing Ships</t>
        </is>
      </c>
      <c r="N1692" s="7" t="inlineStr">
        <is>
          <t>T-ESB</t>
        </is>
      </c>
      <c r="O1692" s="15" t="n"/>
      <c r="AC1692" s="23">
        <f>IF(OR(E1692="",E1692="[PARENT]"),"ADD",IF(E1692="[ALT_VIEW]","ALT",""))</f>
        <v/>
      </c>
      <c r="AD1692" s="21">
        <f>IF(Y1692&lt;&gt;"",Y1692,IF(U1692&lt;&gt;"",U1692,S1692))</f>
        <v/>
      </c>
      <c r="AE1692" s="21">
        <f>IF(AB1692&lt;&gt;"",AB1692,Z1692)</f>
        <v/>
      </c>
      <c r="AF1692" s="13" t="inlineStr">
        <is>
          <t>P-5c &gt; Expeditionary Sea Base (ESB) &gt; Electronics</t>
        </is>
      </c>
      <c r="AG1692" s="7" t="inlineStr">
        <is>
          <t>359</t>
        </is>
      </c>
    </row>
    <row r="1693" ht="10" customHeight="1">
      <c r="A1693" s="7" t="inlineStr">
        <is>
          <t>SCN</t>
        </is>
      </c>
      <c r="B1693" s="7" t="inlineStr">
        <is>
          <t>Procurement</t>
        </is>
      </c>
      <c r="D1693" s="7" t="inlineStr">
        <is>
          <t>Expeditionary Sea Base (ESB) - P-5c - Hull, Mechanical, and Electrical</t>
        </is>
      </c>
      <c r="E1693" s="13" t="inlineStr">
        <is>
          <t>[ALT_VIEW]</t>
        </is>
      </c>
      <c r="F1693" s="7" t="inlineStr">
        <is>
          <t>3039 / Expeditionary Sea Base (ESB)</t>
        </is>
      </c>
      <c r="G1693" s="7" t="inlineStr">
        <is>
          <t>P-5c</t>
        </is>
      </c>
      <c r="H1693" s="7" t="inlineStr">
        <is>
          <t>Hull, Mechanical, and Electrical</t>
        </is>
      </c>
      <c r="I1693" s="14" t="n">
        <v>1</v>
      </c>
      <c r="J1693" s="7" t="inlineStr">
        <is>
          <t>Full ship DD&amp;C</t>
        </is>
      </c>
      <c r="K1693" s="13" t="inlineStr">
        <is>
          <t>MSC</t>
        </is>
      </c>
      <c r="L1693" s="7" t="inlineStr">
        <is>
          <t>Combatant Ships</t>
        </is>
      </c>
      <c r="M1693" s="7" t="inlineStr">
        <is>
          <t>Expeditionary &amp; Seabasing Ships</t>
        </is>
      </c>
      <c r="N1693" s="7" t="inlineStr">
        <is>
          <t>T-ESB</t>
        </is>
      </c>
      <c r="O1693" s="15" t="n"/>
      <c r="AC1693" s="23">
        <f>IF(OR(E1693="",E1693="[PARENT]"),"ADD",IF(E1693="[ALT_VIEW]","ALT",""))</f>
        <v/>
      </c>
      <c r="AD1693" s="21">
        <f>IF(Y1693&lt;&gt;"",Y1693,IF(U1693&lt;&gt;"",U1693,S1693))</f>
        <v/>
      </c>
      <c r="AE1693" s="21">
        <f>IF(AB1693&lt;&gt;"",AB1693,Z1693)</f>
        <v/>
      </c>
      <c r="AF1693" s="13" t="inlineStr">
        <is>
          <t>P-5c &gt; Expeditionary Sea Base (ESB) &gt; Hull, Mechanical, and Electrical</t>
        </is>
      </c>
      <c r="AG1693" s="7" t="inlineStr">
        <is>
          <t>359</t>
        </is>
      </c>
    </row>
    <row r="1694" ht="10" customHeight="1">
      <c r="A1694" s="7" t="inlineStr">
        <is>
          <t>SCN</t>
        </is>
      </c>
      <c r="B1694" s="7" t="inlineStr">
        <is>
          <t>Procurement</t>
        </is>
      </c>
      <c r="D1694" s="7" t="inlineStr">
        <is>
          <t>Expeditionary Sea Base (ESB) - P-5c - Other Cost</t>
        </is>
      </c>
      <c r="E1694" s="13" t="inlineStr">
        <is>
          <t>[ALT_VIEW]</t>
        </is>
      </c>
      <c r="F1694" s="7" t="inlineStr">
        <is>
          <t>3039 / Expeditionary Sea Base (ESB)</t>
        </is>
      </c>
      <c r="G1694" s="7" t="inlineStr">
        <is>
          <t>P-5c</t>
        </is>
      </c>
      <c r="H1694" s="7" t="inlineStr">
        <is>
          <t>Other Cost</t>
        </is>
      </c>
      <c r="I1694" s="14" t="n">
        <v>1</v>
      </c>
      <c r="J1694" s="7" t="inlineStr">
        <is>
          <t>Full ship DD&amp;C</t>
        </is>
      </c>
      <c r="K1694" s="13" t="inlineStr">
        <is>
          <t>MSC</t>
        </is>
      </c>
      <c r="L1694" s="7" t="inlineStr">
        <is>
          <t>Combatant Ships</t>
        </is>
      </c>
      <c r="M1694" s="7" t="inlineStr">
        <is>
          <t>Expeditionary &amp; Seabasing Ships</t>
        </is>
      </c>
      <c r="N1694" s="7" t="inlineStr">
        <is>
          <t>T-ESB</t>
        </is>
      </c>
      <c r="O1694" s="15" t="n"/>
      <c r="AC1694" s="23">
        <f>IF(OR(E1694="",E1694="[PARENT]"),"ADD",IF(E1694="[ALT_VIEW]","ALT",""))</f>
        <v/>
      </c>
      <c r="AD1694" s="21">
        <f>IF(Y1694&lt;&gt;"",Y1694,IF(U1694&lt;&gt;"",U1694,S1694))</f>
        <v/>
      </c>
      <c r="AE1694" s="21">
        <f>IF(AB1694&lt;&gt;"",AB1694,Z1694)</f>
        <v/>
      </c>
      <c r="AF1694" s="13" t="inlineStr">
        <is>
          <t>P-5c &gt; Expeditionary Sea Base (ESB) &gt; Other Cost</t>
        </is>
      </c>
      <c r="AG1694" s="7" t="inlineStr">
        <is>
          <t>359</t>
        </is>
      </c>
    </row>
    <row r="1695" ht="10" customHeight="1">
      <c r="A1695" s="7" t="inlineStr">
        <is>
          <t>SCN</t>
        </is>
      </c>
      <c r="B1695" s="7" t="inlineStr">
        <is>
          <t>Procurement</t>
        </is>
      </c>
      <c r="D1695" s="7" t="inlineStr">
        <is>
          <t>Expeditionary Fast Transport (EPF) - P-5c - Plan Costs</t>
        </is>
      </c>
      <c r="E1695" s="13" t="inlineStr">
        <is>
          <t>[ALT_VIEW]</t>
        </is>
      </c>
      <c r="F1695" s="7" t="inlineStr">
        <is>
          <t>3043 / Expeditionary Fast Transport (EPF)</t>
        </is>
      </c>
      <c r="G1695" s="7" t="inlineStr">
        <is>
          <t>P-5c</t>
        </is>
      </c>
      <c r="H1695" s="7" t="inlineStr">
        <is>
          <t>Plan Costs</t>
        </is>
      </c>
      <c r="I1695" s="14" t="n">
        <v>1</v>
      </c>
      <c r="J1695" s="7" t="inlineStr">
        <is>
          <t>Full ship DD&amp;C</t>
        </is>
      </c>
      <c r="K1695" s="13" t="inlineStr">
        <is>
          <t>MSC</t>
        </is>
      </c>
      <c r="L1695" s="7" t="inlineStr">
        <is>
          <t>Combatant Ships</t>
        </is>
      </c>
      <c r="M1695" s="7" t="inlineStr">
        <is>
          <t>Expeditionary &amp; Seabasing Ships</t>
        </is>
      </c>
      <c r="N1695" s="7" t="inlineStr">
        <is>
          <t>T-EPF</t>
        </is>
      </c>
      <c r="O1695" s="15" t="n"/>
      <c r="S1695" s="16" t="n">
        <v>27000</v>
      </c>
      <c r="U1695" s="16" t="n">
        <v>27000</v>
      </c>
      <c r="AC1695" s="23">
        <f>IF(OR(E1695="",E1695="[PARENT]"),"ADD",IF(E1695="[ALT_VIEW]","ALT",""))</f>
        <v/>
      </c>
      <c r="AD1695" s="21">
        <f>IF(Y1695&lt;&gt;"",Y1695,IF(U1695&lt;&gt;"",U1695,S1695))</f>
        <v/>
      </c>
      <c r="AE1695" s="21">
        <f>IF(AB1695&lt;&gt;"",AB1695,Z1695)</f>
        <v/>
      </c>
      <c r="AF1695" s="13" t="inlineStr">
        <is>
          <t>P-5c &gt; Expeditionary Fast Transport (EPF) &gt; Plan Costs</t>
        </is>
      </c>
      <c r="AG1695" s="7" t="inlineStr">
        <is>
          <t>363</t>
        </is>
      </c>
    </row>
    <row r="1696" ht="10" customHeight="1">
      <c r="A1696" s="7" t="inlineStr">
        <is>
          <t>SCN</t>
        </is>
      </c>
      <c r="B1696" s="7" t="inlineStr">
        <is>
          <t>Procurement</t>
        </is>
      </c>
      <c r="D1696" s="7" t="inlineStr">
        <is>
          <t>Expeditionary Fast Transport (EPF) - P-5c - Basic Construction</t>
        </is>
      </c>
      <c r="E1696" s="13" t="inlineStr">
        <is>
          <t>[ALT_VIEW]</t>
        </is>
      </c>
      <c r="F1696" s="7" t="inlineStr">
        <is>
          <t>3043 / Expeditionary Fast Transport (EPF)</t>
        </is>
      </c>
      <c r="G1696" s="7" t="inlineStr">
        <is>
          <t>P-5c</t>
        </is>
      </c>
      <c r="H1696" s="7" t="inlineStr">
        <is>
          <t>Basic Construction</t>
        </is>
      </c>
      <c r="I1696" s="14" t="n">
        <v>1</v>
      </c>
      <c r="J1696" s="7" t="inlineStr">
        <is>
          <t>Full ship DD&amp;C</t>
        </is>
      </c>
      <c r="K1696" s="13" t="inlineStr">
        <is>
          <t>MSC</t>
        </is>
      </c>
      <c r="L1696" s="7" t="inlineStr">
        <is>
          <t>Combatant Ships</t>
        </is>
      </c>
      <c r="M1696" s="7" t="inlineStr">
        <is>
          <t>Expeditionary &amp; Seabasing Ships</t>
        </is>
      </c>
      <c r="N1696" s="7" t="inlineStr">
        <is>
          <t>T-EPF</t>
        </is>
      </c>
      <c r="O1696" s="15" t="n"/>
      <c r="P1696" s="16" t="n">
        <v>493000</v>
      </c>
      <c r="S1696" s="16" t="n">
        <v>537663</v>
      </c>
      <c r="U1696" s="16" t="n">
        <v>537663</v>
      </c>
      <c r="AC1696" s="23">
        <f>IF(OR(E1696="",E1696="[PARENT]"),"ADD",IF(E1696="[ALT_VIEW]","ALT",""))</f>
        <v/>
      </c>
      <c r="AD1696" s="21">
        <f>IF(Y1696&lt;&gt;"",Y1696,IF(U1696&lt;&gt;"",U1696,S1696))</f>
        <v/>
      </c>
      <c r="AE1696" s="21">
        <f>IF(AB1696&lt;&gt;"",AB1696,Z1696)</f>
        <v/>
      </c>
      <c r="AF1696" s="13" t="inlineStr">
        <is>
          <t>P-5c &gt; Expeditionary Fast Transport (EPF) &gt; Basic Construction</t>
        </is>
      </c>
      <c r="AG1696" s="7" t="inlineStr">
        <is>
          <t>363</t>
        </is>
      </c>
    </row>
    <row r="1697" ht="10" customHeight="1">
      <c r="A1697" s="7" t="inlineStr">
        <is>
          <t>SCN</t>
        </is>
      </c>
      <c r="B1697" s="7" t="inlineStr">
        <is>
          <t>Procurement</t>
        </is>
      </c>
      <c r="D1697" s="7" t="inlineStr">
        <is>
          <t>Expeditionary Fast Transport (EPF) - P-5c - Change Orders</t>
        </is>
      </c>
      <c r="E1697" s="13" t="inlineStr">
        <is>
          <t>[ALT_VIEW]</t>
        </is>
      </c>
      <c r="F1697" s="7" t="inlineStr">
        <is>
          <t>3043 / Expeditionary Fast Transport (EPF)</t>
        </is>
      </c>
      <c r="G1697" s="7" t="inlineStr">
        <is>
          <t>P-5c</t>
        </is>
      </c>
      <c r="H1697" s="7" t="inlineStr">
        <is>
          <t>Change Orders</t>
        </is>
      </c>
      <c r="I1697" s="14" t="n">
        <v>1</v>
      </c>
      <c r="J1697" s="7" t="inlineStr">
        <is>
          <t>Full ship DD&amp;C</t>
        </is>
      </c>
      <c r="K1697" s="13" t="inlineStr">
        <is>
          <t>MSC</t>
        </is>
      </c>
      <c r="L1697" s="7" t="inlineStr">
        <is>
          <t>Combatant Ships</t>
        </is>
      </c>
      <c r="M1697" s="7" t="inlineStr">
        <is>
          <t>Expeditionary &amp; Seabasing Ships</t>
        </is>
      </c>
      <c r="N1697" s="7" t="inlineStr">
        <is>
          <t>T-EPF</t>
        </is>
      </c>
      <c r="O1697" s="15" t="n"/>
      <c r="P1697" s="16" t="n">
        <v>10231</v>
      </c>
      <c r="S1697" s="16" t="n">
        <v>10753</v>
      </c>
      <c r="U1697" s="16" t="n">
        <v>10753</v>
      </c>
      <c r="AC1697" s="23">
        <f>IF(OR(E1697="",E1697="[PARENT]"),"ADD",IF(E1697="[ALT_VIEW]","ALT",""))</f>
        <v/>
      </c>
      <c r="AD1697" s="21">
        <f>IF(Y1697&lt;&gt;"",Y1697,IF(U1697&lt;&gt;"",U1697,S1697))</f>
        <v/>
      </c>
      <c r="AE1697" s="21">
        <f>IF(AB1697&lt;&gt;"",AB1697,Z1697)</f>
        <v/>
      </c>
      <c r="AF1697" s="13" t="inlineStr">
        <is>
          <t>P-5c &gt; Expeditionary Fast Transport (EPF) &gt; Change Orders</t>
        </is>
      </c>
      <c r="AG1697" s="7" t="inlineStr">
        <is>
          <t>363</t>
        </is>
      </c>
    </row>
    <row r="1698" ht="10" customHeight="1">
      <c r="A1698" s="7" t="inlineStr">
        <is>
          <t>SCN</t>
        </is>
      </c>
      <c r="B1698" s="7" t="inlineStr">
        <is>
          <t>Procurement</t>
        </is>
      </c>
      <c r="D1698" s="7" t="inlineStr">
        <is>
          <t>Expeditionary Fast Transport (EPF) - P-5c - Electronics</t>
        </is>
      </c>
      <c r="E1698" s="13" t="inlineStr">
        <is>
          <t>[ALT_VIEW]</t>
        </is>
      </c>
      <c r="F1698" s="7" t="inlineStr">
        <is>
          <t>3043 / Expeditionary Fast Transport (EPF)</t>
        </is>
      </c>
      <c r="G1698" s="7" t="inlineStr">
        <is>
          <t>P-5c</t>
        </is>
      </c>
      <c r="H1698" s="7" t="inlineStr">
        <is>
          <t>Electronics</t>
        </is>
      </c>
      <c r="I1698" s="14" t="n">
        <v>1</v>
      </c>
      <c r="J1698" s="7" t="inlineStr">
        <is>
          <t>Full ship DD&amp;C</t>
        </is>
      </c>
      <c r="K1698" s="13" t="inlineStr">
        <is>
          <t>MSC</t>
        </is>
      </c>
      <c r="L1698" s="7" t="inlineStr">
        <is>
          <t>Combatant Ships</t>
        </is>
      </c>
      <c r="M1698" s="7" t="inlineStr">
        <is>
          <t>Expeditionary &amp; Seabasing Ships</t>
        </is>
      </c>
      <c r="N1698" s="7" t="inlineStr">
        <is>
          <t>T-EPF</t>
        </is>
      </c>
      <c r="O1698" s="15" t="n"/>
      <c r="P1698" s="16" t="n">
        <v>46000</v>
      </c>
      <c r="S1698" s="16" t="n">
        <v>56504</v>
      </c>
      <c r="U1698" s="16" t="n">
        <v>56504</v>
      </c>
      <c r="AC1698" s="23">
        <f>IF(OR(E1698="",E1698="[PARENT]"),"ADD",IF(E1698="[ALT_VIEW]","ALT",""))</f>
        <v/>
      </c>
      <c r="AD1698" s="21">
        <f>IF(Y1698&lt;&gt;"",Y1698,IF(U1698&lt;&gt;"",U1698,S1698))</f>
        <v/>
      </c>
      <c r="AE1698" s="21">
        <f>IF(AB1698&lt;&gt;"",AB1698,Z1698)</f>
        <v/>
      </c>
      <c r="AF1698" s="13" t="inlineStr">
        <is>
          <t>P-5c &gt; Expeditionary Fast Transport (EPF) &gt; Electronics</t>
        </is>
      </c>
      <c r="AG1698" s="7" t="inlineStr">
        <is>
          <t>363</t>
        </is>
      </c>
    </row>
    <row r="1699" ht="10" customHeight="1">
      <c r="A1699" s="7" t="inlineStr">
        <is>
          <t>SCN</t>
        </is>
      </c>
      <c r="B1699" s="7" t="inlineStr">
        <is>
          <t>Procurement</t>
        </is>
      </c>
      <c r="D1699" s="7" t="inlineStr">
        <is>
          <t>Expeditionary Fast Transport (EPF) - P-5c - Hull, Mechanical, and Electrical</t>
        </is>
      </c>
      <c r="E1699" s="13" t="inlineStr">
        <is>
          <t>[ALT_VIEW]</t>
        </is>
      </c>
      <c r="F1699" s="7" t="inlineStr">
        <is>
          <t>3043 / Expeditionary Fast Transport (EPF)</t>
        </is>
      </c>
      <c r="G1699" s="7" t="inlineStr">
        <is>
          <t>P-5c</t>
        </is>
      </c>
      <c r="H1699" s="7" t="inlineStr">
        <is>
          <t>Hull, Mechanical, and Electrical</t>
        </is>
      </c>
      <c r="I1699" s="14" t="n">
        <v>1</v>
      </c>
      <c r="J1699" s="7" t="inlineStr">
        <is>
          <t>Full ship DD&amp;C</t>
        </is>
      </c>
      <c r="K1699" s="13" t="inlineStr">
        <is>
          <t>MSC</t>
        </is>
      </c>
      <c r="L1699" s="7" t="inlineStr">
        <is>
          <t>Combatant Ships</t>
        </is>
      </c>
      <c r="M1699" s="7" t="inlineStr">
        <is>
          <t>Expeditionary &amp; Seabasing Ships</t>
        </is>
      </c>
      <c r="N1699" s="7" t="inlineStr">
        <is>
          <t>T-EPF</t>
        </is>
      </c>
      <c r="O1699" s="15" t="n"/>
      <c r="P1699" s="16" t="n">
        <v>43823</v>
      </c>
      <c r="S1699" s="16" t="n">
        <v>26720</v>
      </c>
      <c r="U1699" s="16" t="n">
        <v>26720</v>
      </c>
      <c r="AC1699" s="23">
        <f>IF(OR(E1699="",E1699="[PARENT]"),"ADD",IF(E1699="[ALT_VIEW]","ALT",""))</f>
        <v/>
      </c>
      <c r="AD1699" s="21">
        <f>IF(Y1699&lt;&gt;"",Y1699,IF(U1699&lt;&gt;"",U1699,S1699))</f>
        <v/>
      </c>
      <c r="AE1699" s="21">
        <f>IF(AB1699&lt;&gt;"",AB1699,Z1699)</f>
        <v/>
      </c>
      <c r="AF1699" s="13" t="inlineStr">
        <is>
          <t>P-5c &gt; Expeditionary Fast Transport (EPF) &gt; Hull, Mechanical, and Electrical</t>
        </is>
      </c>
      <c r="AG1699" s="7" t="inlineStr">
        <is>
          <t>363</t>
        </is>
      </c>
    </row>
    <row r="1700" ht="10" customHeight="1">
      <c r="A1700" s="7" t="inlineStr">
        <is>
          <t>SCN</t>
        </is>
      </c>
      <c r="B1700" s="7" t="inlineStr">
        <is>
          <t>Procurement</t>
        </is>
      </c>
      <c r="D1700" s="7" t="inlineStr">
        <is>
          <t>Expeditionary Fast Transport (EPF) - P-5c - Other Cost</t>
        </is>
      </c>
      <c r="E1700" s="13" t="inlineStr">
        <is>
          <t>[ALT_VIEW]</t>
        </is>
      </c>
      <c r="F1700" s="7" t="inlineStr">
        <is>
          <t>3043 / Expeditionary Fast Transport (EPF)</t>
        </is>
      </c>
      <c r="G1700" s="7" t="inlineStr">
        <is>
          <t>P-5c</t>
        </is>
      </c>
      <c r="H1700" s="7" t="inlineStr">
        <is>
          <t>Other Cost</t>
        </is>
      </c>
      <c r="I1700" s="14" t="n">
        <v>1</v>
      </c>
      <c r="J1700" s="7" t="inlineStr">
        <is>
          <t>Full ship DD&amp;C</t>
        </is>
      </c>
      <c r="K1700" s="13" t="inlineStr">
        <is>
          <t>MSC</t>
        </is>
      </c>
      <c r="L1700" s="7" t="inlineStr">
        <is>
          <t>Combatant Ships</t>
        </is>
      </c>
      <c r="M1700" s="7" t="inlineStr">
        <is>
          <t>Expeditionary &amp; Seabasing Ships</t>
        </is>
      </c>
      <c r="N1700" s="7" t="inlineStr">
        <is>
          <t>T-EPF</t>
        </is>
      </c>
      <c r="O1700" s="15" t="n"/>
      <c r="P1700" s="16" t="n">
        <v>10000</v>
      </c>
      <c r="S1700" s="16" t="n">
        <v>13360</v>
      </c>
      <c r="U1700" s="16" t="n">
        <v>13360</v>
      </c>
      <c r="AC1700" s="23">
        <f>IF(OR(E1700="",E1700="[PARENT]"),"ADD",IF(E1700="[ALT_VIEW]","ALT",""))</f>
        <v/>
      </c>
      <c r="AD1700" s="21">
        <f>IF(Y1700&lt;&gt;"",Y1700,IF(U1700&lt;&gt;"",U1700,S1700))</f>
        <v/>
      </c>
      <c r="AE1700" s="21">
        <f>IF(AB1700&lt;&gt;"",AB1700,Z1700)</f>
        <v/>
      </c>
      <c r="AF1700" s="13" t="inlineStr">
        <is>
          <t>P-5c &gt; Expeditionary Fast Transport (EPF) &gt; Other Cost</t>
        </is>
      </c>
      <c r="AG1700" s="7" t="inlineStr">
        <is>
          <t>363</t>
        </is>
      </c>
    </row>
    <row r="1701" ht="10" customHeight="1">
      <c r="A1701" s="7" t="inlineStr">
        <is>
          <t>SCN</t>
        </is>
      </c>
      <c r="B1701" s="7" t="inlineStr">
        <is>
          <t>Procurement</t>
        </is>
      </c>
      <c r="D1701" s="7" t="inlineStr">
        <is>
          <t>TAO Fleet Oiler - P-5c - Basic Construction</t>
        </is>
      </c>
      <c r="E1701" s="13" t="inlineStr">
        <is>
          <t>[ALT_VIEW]</t>
        </is>
      </c>
      <c r="F1701" s="7" t="inlineStr">
        <is>
          <t>5025 / TAO Fleet Oiler</t>
        </is>
      </c>
      <c r="G1701" s="7" t="inlineStr">
        <is>
          <t>P-5c</t>
        </is>
      </c>
      <c r="H1701" s="7" t="inlineStr">
        <is>
          <t>Basic Construction</t>
        </is>
      </c>
      <c r="I1701" s="14" t="n">
        <v>1</v>
      </c>
      <c r="J1701" s="7" t="inlineStr">
        <is>
          <t>Full ship DD&amp;C</t>
        </is>
      </c>
      <c r="K1701" s="13" t="inlineStr">
        <is>
          <t>MSC</t>
        </is>
      </c>
      <c r="L1701" s="7" t="inlineStr">
        <is>
          <t>Combatant Ships</t>
        </is>
      </c>
      <c r="M1701" s="7" t="inlineStr">
        <is>
          <t>Combat Logistics Ships</t>
        </is>
      </c>
      <c r="N1701" s="7" t="inlineStr">
        <is>
          <t>T-AO</t>
        </is>
      </c>
      <c r="O1701" s="15" t="n"/>
      <c r="P1701" s="16" t="n">
        <v>740403</v>
      </c>
      <c r="S1701" s="16" t="n">
        <v>8346</v>
      </c>
      <c r="U1701" s="16" t="n">
        <v>8346</v>
      </c>
      <c r="AC1701" s="23">
        <f>IF(OR(E1701="",E1701="[PARENT]"),"ADD",IF(E1701="[ALT_VIEW]","ALT",""))</f>
        <v/>
      </c>
      <c r="AD1701" s="21">
        <f>IF(Y1701&lt;&gt;"",Y1701,IF(U1701&lt;&gt;"",U1701,S1701))</f>
        <v/>
      </c>
      <c r="AE1701" s="21">
        <f>IF(AB1701&lt;&gt;"",AB1701,Z1701)</f>
        <v/>
      </c>
      <c r="AF1701" s="13" t="inlineStr">
        <is>
          <t>P-5c &gt; TAO Fleet Oiler &gt; Basic Construction</t>
        </is>
      </c>
      <c r="AG1701" s="7" t="inlineStr">
        <is>
          <t>367</t>
        </is>
      </c>
      <c r="AH1701" s="7" t="inlineStr">
        <is>
          <t>5025</t>
        </is>
      </c>
      <c r="AJ1701" s="7" t="inlineStr">
        <is>
          <t>Basic Construction</t>
        </is>
      </c>
    </row>
    <row r="1702" ht="10" customHeight="1">
      <c r="A1702" s="7" t="inlineStr">
        <is>
          <t>SCN</t>
        </is>
      </c>
      <c r="B1702" s="7" t="inlineStr">
        <is>
          <t>Procurement</t>
        </is>
      </c>
      <c r="D1702" s="7" t="inlineStr">
        <is>
          <t>TAO Fleet Oiler - P-5c - Change Orders</t>
        </is>
      </c>
      <c r="E1702" s="13" t="inlineStr">
        <is>
          <t>[ALT_VIEW]</t>
        </is>
      </c>
      <c r="F1702" s="7" t="inlineStr">
        <is>
          <t>5025 / TAO Fleet Oiler</t>
        </is>
      </c>
      <c r="G1702" s="7" t="inlineStr">
        <is>
          <t>P-5c</t>
        </is>
      </c>
      <c r="H1702" s="7" t="inlineStr">
        <is>
          <t>Change Orders</t>
        </is>
      </c>
      <c r="I1702" s="14" t="n">
        <v>1</v>
      </c>
      <c r="J1702" s="7" t="inlineStr">
        <is>
          <t>Full ship DD&amp;C</t>
        </is>
      </c>
      <c r="K1702" s="13" t="inlineStr">
        <is>
          <t>MSC</t>
        </is>
      </c>
      <c r="L1702" s="7" t="inlineStr">
        <is>
          <t>Combatant Ships</t>
        </is>
      </c>
      <c r="M1702" s="7" t="inlineStr">
        <is>
          <t>Combat Logistics Ships</t>
        </is>
      </c>
      <c r="N1702" s="7" t="inlineStr">
        <is>
          <t>T-AO</t>
        </is>
      </c>
      <c r="O1702" s="15" t="n"/>
      <c r="P1702" s="16" t="n">
        <v>7350</v>
      </c>
      <c r="S1702" s="16" t="n">
        <v>7900</v>
      </c>
      <c r="U1702" s="16" t="n">
        <v>7900</v>
      </c>
      <c r="AC1702" s="23">
        <f>IF(OR(E1702="",E1702="[PARENT]"),"ADD",IF(E1702="[ALT_VIEW]","ALT",""))</f>
        <v/>
      </c>
      <c r="AD1702" s="21">
        <f>IF(Y1702&lt;&gt;"",Y1702,IF(U1702&lt;&gt;"",U1702,S1702))</f>
        <v/>
      </c>
      <c r="AE1702" s="21">
        <f>IF(AB1702&lt;&gt;"",AB1702,Z1702)</f>
        <v/>
      </c>
      <c r="AF1702" s="13" t="inlineStr">
        <is>
          <t>P-5c &gt; TAO Fleet Oiler &gt; Change Orders</t>
        </is>
      </c>
      <c r="AG1702" s="7" t="inlineStr">
        <is>
          <t>367</t>
        </is>
      </c>
      <c r="AH1702" s="7" t="inlineStr">
        <is>
          <t>5025</t>
        </is>
      </c>
      <c r="AJ1702" s="7" t="inlineStr">
        <is>
          <t>Change Orders</t>
        </is>
      </c>
    </row>
    <row r="1703" ht="10" customHeight="1">
      <c r="A1703" s="7" t="inlineStr">
        <is>
          <t>SCN</t>
        </is>
      </c>
      <c r="B1703" s="7" t="inlineStr">
        <is>
          <t>Procurement</t>
        </is>
      </c>
      <c r="D1703" s="7" t="inlineStr">
        <is>
          <t>TAO Fleet Oiler - P-5c - Electronics</t>
        </is>
      </c>
      <c r="E1703" s="13" t="inlineStr">
        <is>
          <t>[ALT_VIEW]</t>
        </is>
      </c>
      <c r="F1703" s="7" t="inlineStr">
        <is>
          <t>5025 / TAO Fleet Oiler</t>
        </is>
      </c>
      <c r="G1703" s="7" t="inlineStr">
        <is>
          <t>P-5c</t>
        </is>
      </c>
      <c r="H1703" s="7" t="inlineStr">
        <is>
          <t>Electronics</t>
        </is>
      </c>
      <c r="I1703" s="14" t="n">
        <v>1</v>
      </c>
      <c r="J1703" s="7" t="inlineStr">
        <is>
          <t>Full ship DD&amp;C</t>
        </is>
      </c>
      <c r="K1703" s="13" t="inlineStr">
        <is>
          <t>MSC</t>
        </is>
      </c>
      <c r="L1703" s="7" t="inlineStr">
        <is>
          <t>Combatant Ships</t>
        </is>
      </c>
      <c r="M1703" s="7" t="inlineStr">
        <is>
          <t>Combat Logistics Ships</t>
        </is>
      </c>
      <c r="N1703" s="7" t="inlineStr">
        <is>
          <t>T-AO</t>
        </is>
      </c>
      <c r="O1703" s="15" t="n"/>
      <c r="P1703" s="16" t="n">
        <v>39779</v>
      </c>
      <c r="S1703" s="16" t="n">
        <v>51586</v>
      </c>
      <c r="U1703" s="16" t="n">
        <v>51586</v>
      </c>
      <c r="AC1703" s="23">
        <f>IF(OR(E1703="",E1703="[PARENT]"),"ADD",IF(E1703="[ALT_VIEW]","ALT",""))</f>
        <v/>
      </c>
      <c r="AD1703" s="21">
        <f>IF(Y1703&lt;&gt;"",Y1703,IF(U1703&lt;&gt;"",U1703,S1703))</f>
        <v/>
      </c>
      <c r="AE1703" s="21">
        <f>IF(AB1703&lt;&gt;"",AB1703,Z1703)</f>
        <v/>
      </c>
      <c r="AF1703" s="13" t="inlineStr">
        <is>
          <t>P-5c &gt; TAO Fleet Oiler &gt; Electronics</t>
        </is>
      </c>
      <c r="AG1703" s="7" t="inlineStr">
        <is>
          <t>367</t>
        </is>
      </c>
      <c r="AH1703" s="7" t="inlineStr">
        <is>
          <t>5025</t>
        </is>
      </c>
    </row>
    <row r="1704" ht="10" customHeight="1">
      <c r="A1704" s="7" t="inlineStr">
        <is>
          <t>SCN</t>
        </is>
      </c>
      <c r="B1704" s="7" t="inlineStr">
        <is>
          <t>Procurement</t>
        </is>
      </c>
      <c r="D1704" s="7" t="inlineStr">
        <is>
          <t>TAO Fleet Oiler - P-5c - Hull, Mechanical, and Electrical</t>
        </is>
      </c>
      <c r="E1704" s="13" t="inlineStr">
        <is>
          <t>[ALT_VIEW]</t>
        </is>
      </c>
      <c r="F1704" s="7" t="inlineStr">
        <is>
          <t>5025 / TAO Fleet Oiler</t>
        </is>
      </c>
      <c r="G1704" s="7" t="inlineStr">
        <is>
          <t>P-5c</t>
        </is>
      </c>
      <c r="H1704" s="7" t="inlineStr">
        <is>
          <t>Hull, Mechanical, and Electrical</t>
        </is>
      </c>
      <c r="I1704" s="14" t="n">
        <v>1</v>
      </c>
      <c r="J1704" s="7" t="inlineStr">
        <is>
          <t>Full ship DD&amp;C</t>
        </is>
      </c>
      <c r="K1704" s="13" t="inlineStr">
        <is>
          <t>MSC</t>
        </is>
      </c>
      <c r="L1704" s="7" t="inlineStr">
        <is>
          <t>Combatant Ships</t>
        </is>
      </c>
      <c r="M1704" s="7" t="inlineStr">
        <is>
          <t>Combat Logistics Ships</t>
        </is>
      </c>
      <c r="N1704" s="7" t="inlineStr">
        <is>
          <t>T-AO</t>
        </is>
      </c>
      <c r="O1704" s="15" t="n"/>
      <c r="P1704" s="16" t="n">
        <v>15122</v>
      </c>
      <c r="S1704" s="16" t="n">
        <v>15531</v>
      </c>
      <c r="U1704" s="16" t="n">
        <v>15531</v>
      </c>
      <c r="AC1704" s="23">
        <f>IF(OR(E1704="",E1704="[PARENT]"),"ADD",IF(E1704="[ALT_VIEW]","ALT",""))</f>
        <v/>
      </c>
      <c r="AD1704" s="21">
        <f>IF(Y1704&lt;&gt;"",Y1704,IF(U1704&lt;&gt;"",U1704,S1704))</f>
        <v/>
      </c>
      <c r="AE1704" s="21">
        <f>IF(AB1704&lt;&gt;"",AB1704,Z1704)</f>
        <v/>
      </c>
      <c r="AF1704" s="13" t="inlineStr">
        <is>
          <t>P-5c &gt; TAO Fleet Oiler &gt; Hull, Mechanical, and Electrical</t>
        </is>
      </c>
      <c r="AG1704" s="7" t="inlineStr">
        <is>
          <t>367</t>
        </is>
      </c>
      <c r="AH1704" s="7" t="inlineStr">
        <is>
          <t>5025</t>
        </is>
      </c>
    </row>
    <row r="1705" ht="10" customHeight="1">
      <c r="A1705" s="7" t="inlineStr">
        <is>
          <t>SCN</t>
        </is>
      </c>
      <c r="B1705" s="7" t="inlineStr">
        <is>
          <t>Procurement</t>
        </is>
      </c>
      <c r="D1705" s="7" t="inlineStr">
        <is>
          <t>TAO Fleet Oiler - P-5c - Other Cost</t>
        </is>
      </c>
      <c r="E1705" s="13" t="inlineStr">
        <is>
          <t>[ALT_VIEW]</t>
        </is>
      </c>
      <c r="F1705" s="7" t="inlineStr">
        <is>
          <t>5025 / TAO Fleet Oiler</t>
        </is>
      </c>
      <c r="G1705" s="7" t="inlineStr">
        <is>
          <t>P-5c</t>
        </is>
      </c>
      <c r="H1705" s="7" t="inlineStr">
        <is>
          <t>Other Cost</t>
        </is>
      </c>
      <c r="I1705" s="14" t="n">
        <v>1</v>
      </c>
      <c r="J1705" s="7" t="inlineStr">
        <is>
          <t>Full ship DD&amp;C</t>
        </is>
      </c>
      <c r="K1705" s="13" t="inlineStr">
        <is>
          <t>MSC</t>
        </is>
      </c>
      <c r="L1705" s="7" t="inlineStr">
        <is>
          <t>Combatant Ships</t>
        </is>
      </c>
      <c r="M1705" s="7" t="inlineStr">
        <is>
          <t>Combat Logistics Ships</t>
        </is>
      </c>
      <c r="N1705" s="7" t="inlineStr">
        <is>
          <t>T-AO</t>
        </is>
      </c>
      <c r="O1705" s="15" t="n"/>
      <c r="P1705" s="16" t="n">
        <v>20000</v>
      </c>
      <c r="S1705" s="16" t="n">
        <v>20000</v>
      </c>
      <c r="U1705" s="16" t="n">
        <v>20000</v>
      </c>
      <c r="AC1705" s="23">
        <f>IF(OR(E1705="",E1705="[PARENT]"),"ADD",IF(E1705="[ALT_VIEW]","ALT",""))</f>
        <v/>
      </c>
      <c r="AD1705" s="21">
        <f>IF(Y1705&lt;&gt;"",Y1705,IF(U1705&lt;&gt;"",U1705,S1705))</f>
        <v/>
      </c>
      <c r="AE1705" s="21">
        <f>IF(AB1705&lt;&gt;"",AB1705,Z1705)</f>
        <v/>
      </c>
      <c r="AF1705" s="13" t="inlineStr">
        <is>
          <t>P-5c &gt; TAO Fleet Oiler &gt; Other Cost</t>
        </is>
      </c>
      <c r="AG1705" s="7" t="inlineStr">
        <is>
          <t>367</t>
        </is>
      </c>
      <c r="AH1705" s="7" t="inlineStr">
        <is>
          <t>5025</t>
        </is>
      </c>
    </row>
    <row r="1706" ht="10" customHeight="1">
      <c r="A1706" s="7" t="inlineStr">
        <is>
          <t>SCN</t>
        </is>
      </c>
      <c r="B1706" s="7" t="inlineStr">
        <is>
          <t>Procurement</t>
        </is>
      </c>
      <c r="D1706" s="7" t="inlineStr">
        <is>
          <t>TAO Fleet Oiler - P-5c - 2023</t>
        </is>
      </c>
      <c r="E1706" s="13" t="inlineStr">
        <is>
          <t>[ALT_VIEW]</t>
        </is>
      </c>
      <c r="F1706" s="7" t="inlineStr">
        <is>
          <t>5025 / TAO Fleet Oiler</t>
        </is>
      </c>
      <c r="G1706" s="7" t="inlineStr">
        <is>
          <t>P-5c</t>
        </is>
      </c>
      <c r="I1706" s="14" t="n">
        <v>1</v>
      </c>
      <c r="J1706" s="7" t="inlineStr">
        <is>
          <t>Full ship DD&amp;C</t>
        </is>
      </c>
      <c r="K1706" s="13" t="inlineStr">
        <is>
          <t>MSC</t>
        </is>
      </c>
      <c r="L1706" s="7" t="inlineStr">
        <is>
          <t>Combatant Ships</t>
        </is>
      </c>
      <c r="M1706" s="7" t="inlineStr">
        <is>
          <t>Combat Logistics Ships</t>
        </is>
      </c>
      <c r="N1706" s="7" t="inlineStr">
        <is>
          <t>T-AO</t>
        </is>
      </c>
      <c r="O1706" s="15" t="n"/>
      <c r="P1706" s="16" t="n">
        <v>36750</v>
      </c>
      <c r="S1706" s="16" t="n">
        <v>9837</v>
      </c>
      <c r="U1706" s="16" t="n">
        <v>9837</v>
      </c>
      <c r="AC1706" s="23">
        <f>IF(OR(E1706="",E1706="[PARENT]"),"ADD",IF(E1706="[ALT_VIEW]","ALT",""))</f>
        <v/>
      </c>
      <c r="AD1706" s="21">
        <f>IF(Y1706&lt;&gt;"",Y1706,IF(U1706&lt;&gt;"",U1706,S1706))</f>
        <v/>
      </c>
      <c r="AE1706" s="21">
        <f>IF(AB1706&lt;&gt;"",AB1706,Z1706)</f>
        <v/>
      </c>
      <c r="AF1706" s="13" t="inlineStr">
        <is>
          <t>P-5c &gt; TAO Fleet Oiler &gt; 2023</t>
        </is>
      </c>
      <c r="AG1706" s="7" t="inlineStr">
        <is>
          <t>367</t>
        </is>
      </c>
      <c r="AH1706" s="7" t="inlineStr">
        <is>
          <t>5025</t>
        </is>
      </c>
    </row>
    <row r="1707" ht="10" customHeight="1">
      <c r="A1707" s="7" t="inlineStr">
        <is>
          <t>SCN</t>
        </is>
      </c>
      <c r="B1707" s="7" t="inlineStr">
        <is>
          <t>Procurement</t>
        </is>
      </c>
      <c r="D1707" s="7" t="inlineStr">
        <is>
          <t>TAO Fleet Oiler - P-8a Electronics - Radio Communication System (RCS) TURNKEY 1</t>
        </is>
      </c>
      <c r="E1707" s="13" t="inlineStr">
        <is>
          <t>[ALT_VIEW]</t>
        </is>
      </c>
      <c r="F1707" s="7" t="inlineStr">
        <is>
          <t>5025 / TAO Fleet Oiler</t>
        </is>
      </c>
      <c r="G1707" s="7" t="inlineStr">
        <is>
          <t>P-8a</t>
        </is>
      </c>
      <c r="H1707" s="7" t="inlineStr">
        <is>
          <t>Electronics</t>
        </is>
      </c>
      <c r="I1707" s="14" t="n">
        <v>1</v>
      </c>
      <c r="J1707" s="7" t="inlineStr">
        <is>
          <t>Full ship DD&amp;C</t>
        </is>
      </c>
      <c r="K1707" s="13" t="inlineStr">
        <is>
          <t>MSC</t>
        </is>
      </c>
      <c r="L1707" s="7" t="inlineStr">
        <is>
          <t>Combatant Ships</t>
        </is>
      </c>
      <c r="M1707" s="7" t="inlineStr">
        <is>
          <t>Combat Logistics Ships</t>
        </is>
      </c>
      <c r="N1707" s="7" t="inlineStr">
        <is>
          <t>T-AO</t>
        </is>
      </c>
      <c r="O1707" s="15" t="n"/>
      <c r="S1707" s="16" t="n">
        <v>6574</v>
      </c>
      <c r="U1707" s="16" t="n">
        <v>6574</v>
      </c>
      <c r="AC1707" s="23">
        <f>IF(OR(E1707="",E1707="[PARENT]"),"ADD",IF(E1707="[ALT_VIEW]","ALT",""))</f>
        <v/>
      </c>
      <c r="AD1707" s="21">
        <f>IF(Y1707&lt;&gt;"",Y1707,IF(U1707&lt;&gt;"",U1707,S1707))</f>
        <v/>
      </c>
      <c r="AE1707" s="21">
        <f>IF(AB1707&lt;&gt;"",AB1707,Z1707)</f>
        <v/>
      </c>
      <c r="AF1707" s="13" t="inlineStr">
        <is>
          <t>P-8a &gt; TAO Fleet Oiler &gt; Electronics &gt; Radio Communication System (RCS) TURNKEY 1</t>
        </is>
      </c>
      <c r="AG1707" s="7" t="inlineStr">
        <is>
          <t>369</t>
        </is>
      </c>
      <c r="AH1707" s="7" t="inlineStr">
        <is>
          <t>5025</t>
        </is>
      </c>
      <c r="AJ1707" s="7" t="inlineStr">
        <is>
          <t>Radio Communication System (RCS) TURNKEY</t>
        </is>
      </c>
    </row>
    <row r="1708" ht="10" customHeight="1">
      <c r="A1708" s="7" t="inlineStr">
        <is>
          <t>SCN</t>
        </is>
      </c>
      <c r="B1708" s="7" t="inlineStr">
        <is>
          <t>Procurement</t>
        </is>
      </c>
      <c r="D1708" s="7" t="inlineStr">
        <is>
          <t>TAO Fleet Oiler - P-8a Electronics - Network Management System (NMS) 2.0/Consolidated Afloat Networks and Enterprise Services (CANES) 1</t>
        </is>
      </c>
      <c r="E1708" s="13" t="inlineStr">
        <is>
          <t>[ALT_VIEW]</t>
        </is>
      </c>
      <c r="F1708" s="7" t="inlineStr">
        <is>
          <t>5025 / TAO Fleet Oiler</t>
        </is>
      </c>
      <c r="G1708" s="7" t="inlineStr">
        <is>
          <t>P-8a</t>
        </is>
      </c>
      <c r="H1708" s="7" t="inlineStr">
        <is>
          <t>Electronics</t>
        </is>
      </c>
      <c r="I1708" s="14" t="n">
        <v>1</v>
      </c>
      <c r="J1708" s="7" t="inlineStr">
        <is>
          <t>Full ship DD&amp;C</t>
        </is>
      </c>
      <c r="K1708" s="13" t="inlineStr">
        <is>
          <t>MSC</t>
        </is>
      </c>
      <c r="L1708" s="7" t="inlineStr">
        <is>
          <t>Combatant Ships</t>
        </is>
      </c>
      <c r="M1708" s="7" t="inlineStr">
        <is>
          <t>Combat Logistics Ships</t>
        </is>
      </c>
      <c r="N1708" s="7" t="inlineStr">
        <is>
          <t>T-AO</t>
        </is>
      </c>
      <c r="O1708" s="15" t="n"/>
      <c r="S1708" s="16" t="n">
        <v>17829</v>
      </c>
      <c r="U1708" s="16" t="n">
        <v>17829</v>
      </c>
      <c r="AC1708" s="23">
        <f>IF(OR(E1708="",E1708="[PARENT]"),"ADD",IF(E1708="[ALT_VIEW]","ALT",""))</f>
        <v/>
      </c>
      <c r="AD1708" s="21">
        <f>IF(Y1708&lt;&gt;"",Y1708,IF(U1708&lt;&gt;"",U1708,S1708))</f>
        <v/>
      </c>
      <c r="AE1708" s="21">
        <f>IF(AB1708&lt;&gt;"",AB1708,Z1708)</f>
        <v/>
      </c>
      <c r="AF1708" s="13" t="inlineStr">
        <is>
          <t>P-8a &gt; TAO Fleet Oiler &gt; Electronics &gt; Network Management System (NMS) 2.0/Consolidated Afloat Networks and Enterprise Services (CANES) 1</t>
        </is>
      </c>
      <c r="AG1708" s="7" t="inlineStr">
        <is>
          <t>369</t>
        </is>
      </c>
      <c r="AH1708" s="7" t="inlineStr">
        <is>
          <t>5025</t>
        </is>
      </c>
      <c r="AJ1708" s="7" t="inlineStr">
        <is>
          <t>Network Management System (NMS) 2.0/Consolidated Afloat Networks and Enterprise Services (CANES) [T-AO 214]</t>
        </is>
      </c>
    </row>
    <row r="1709" ht="10" customHeight="1">
      <c r="A1709" s="7" t="inlineStr">
        <is>
          <t>SCN</t>
        </is>
      </c>
      <c r="B1709" s="7" t="inlineStr">
        <is>
          <t>Procurement</t>
        </is>
      </c>
      <c r="D1709" s="7" t="inlineStr">
        <is>
          <t>TAO Fleet Oiler - P-8a Electronics - Digital Modular Radio (DMR) 3</t>
        </is>
      </c>
      <c r="E1709" s="13" t="inlineStr">
        <is>
          <t>[ALT_VIEW]</t>
        </is>
      </c>
      <c r="F1709" s="7" t="inlineStr">
        <is>
          <t>5025 / TAO Fleet Oiler</t>
        </is>
      </c>
      <c r="G1709" s="7" t="inlineStr">
        <is>
          <t>P-8a</t>
        </is>
      </c>
      <c r="H1709" s="7" t="inlineStr">
        <is>
          <t>Electronics</t>
        </is>
      </c>
      <c r="I1709" s="14" t="n">
        <v>1</v>
      </c>
      <c r="J1709" s="7" t="inlineStr">
        <is>
          <t>Full ship DD&amp;C</t>
        </is>
      </c>
      <c r="K1709" s="13" t="inlineStr">
        <is>
          <t>MSC</t>
        </is>
      </c>
      <c r="L1709" s="7" t="inlineStr">
        <is>
          <t>Combatant Ships</t>
        </is>
      </c>
      <c r="M1709" s="7" t="inlineStr">
        <is>
          <t>Combat Logistics Ships</t>
        </is>
      </c>
      <c r="N1709" s="7" t="inlineStr">
        <is>
          <t>T-AO</t>
        </is>
      </c>
      <c r="O1709" s="15" t="n"/>
      <c r="S1709" s="16" t="n">
        <v>4624</v>
      </c>
      <c r="U1709" s="16" t="n">
        <v>4624</v>
      </c>
      <c r="AC1709" s="23">
        <f>IF(OR(E1709="",E1709="[PARENT]"),"ADD",IF(E1709="[ALT_VIEW]","ALT",""))</f>
        <v/>
      </c>
      <c r="AD1709" s="21">
        <f>IF(Y1709&lt;&gt;"",Y1709,IF(U1709&lt;&gt;"",U1709,S1709))</f>
        <v/>
      </c>
      <c r="AE1709" s="21">
        <f>IF(AB1709&lt;&gt;"",AB1709,Z1709)</f>
        <v/>
      </c>
      <c r="AF1709" s="13" t="inlineStr">
        <is>
          <t>P-8a &gt; TAO Fleet Oiler &gt; Electronics &gt; Digital Modular Radio (DMR) 3</t>
        </is>
      </c>
      <c r="AG1709" s="7" t="inlineStr">
        <is>
          <t>369</t>
        </is>
      </c>
      <c r="AH1709" s="7" t="inlineStr">
        <is>
          <t>5025</t>
        </is>
      </c>
      <c r="AJ1709" s="7" t="inlineStr">
        <is>
          <t>Digital Modular Radio (DMR)</t>
        </is>
      </c>
    </row>
    <row r="1710" ht="10" customHeight="1">
      <c r="A1710" s="7" t="inlineStr">
        <is>
          <t>SCN</t>
        </is>
      </c>
      <c r="B1710" s="7" t="inlineStr">
        <is>
          <t>Procurement</t>
        </is>
      </c>
      <c r="D1710" s="7" t="inlineStr">
        <is>
          <t>TAO Fleet Oiler - P-8a Electronics - Commercial Broadband Satellite Program (CBSP) 1</t>
        </is>
      </c>
      <c r="E1710" s="13" t="inlineStr">
        <is>
          <t>[ALT_VIEW]</t>
        </is>
      </c>
      <c r="F1710" s="7" t="inlineStr">
        <is>
          <t>5025 / TAO Fleet Oiler</t>
        </is>
      </c>
      <c r="G1710" s="7" t="inlineStr">
        <is>
          <t>P-8a</t>
        </is>
      </c>
      <c r="H1710" s="7" t="inlineStr">
        <is>
          <t>Electronics</t>
        </is>
      </c>
      <c r="I1710" s="14" t="n">
        <v>1</v>
      </c>
      <c r="J1710" s="7" t="inlineStr">
        <is>
          <t>Full ship DD&amp;C</t>
        </is>
      </c>
      <c r="K1710" s="13" t="inlineStr">
        <is>
          <t>MSC</t>
        </is>
      </c>
      <c r="L1710" s="7" t="inlineStr">
        <is>
          <t>Combatant Ships</t>
        </is>
      </c>
      <c r="M1710" s="7" t="inlineStr">
        <is>
          <t>Combat Logistics Ships</t>
        </is>
      </c>
      <c r="N1710" s="7" t="inlineStr">
        <is>
          <t>T-AO</t>
        </is>
      </c>
      <c r="O1710" s="15" t="n"/>
      <c r="S1710" s="16" t="n">
        <v>4184</v>
      </c>
      <c r="U1710" s="16" t="n">
        <v>4184</v>
      </c>
      <c r="AC1710" s="23">
        <f>IF(OR(E1710="",E1710="[PARENT]"),"ADD",IF(E1710="[ALT_VIEW]","ALT",""))</f>
        <v/>
      </c>
      <c r="AD1710" s="21">
        <f>IF(Y1710&lt;&gt;"",Y1710,IF(U1710&lt;&gt;"",U1710,S1710))</f>
        <v/>
      </c>
      <c r="AE1710" s="21">
        <f>IF(AB1710&lt;&gt;"",AB1710,Z1710)</f>
        <v/>
      </c>
      <c r="AF1710" s="13" t="inlineStr">
        <is>
          <t>P-8a &gt; TAO Fleet Oiler &gt; Electronics &gt; Commercial Broadband Satellite Program (CBSP) 1</t>
        </is>
      </c>
      <c r="AG1710" s="7" t="inlineStr">
        <is>
          <t>369</t>
        </is>
      </c>
      <c r="AH1710" s="7" t="inlineStr">
        <is>
          <t>5025</t>
        </is>
      </c>
      <c r="AJ1710" s="7" t="inlineStr">
        <is>
          <t>Commercial Broadband Satellite Program (CBSP)</t>
        </is>
      </c>
    </row>
    <row r="1711" ht="10" customHeight="1">
      <c r="A1711" s="7" t="inlineStr">
        <is>
          <t>SCN</t>
        </is>
      </c>
      <c r="B1711" s="7" t="inlineStr">
        <is>
          <t>Procurement</t>
        </is>
      </c>
      <c r="D1711" s="7" t="inlineStr">
        <is>
          <t>TAO Fleet Oiler - P-8a Electronics - AN/SLQ-25 NIXIE 1</t>
        </is>
      </c>
      <c r="E1711" s="13" t="inlineStr">
        <is>
          <t>[ALT_VIEW]</t>
        </is>
      </c>
      <c r="F1711" s="7" t="inlineStr">
        <is>
          <t>5025 / TAO Fleet Oiler</t>
        </is>
      </c>
      <c r="G1711" s="7" t="inlineStr">
        <is>
          <t>P-8a</t>
        </is>
      </c>
      <c r="H1711" s="7" t="inlineStr">
        <is>
          <t>Electronics</t>
        </is>
      </c>
      <c r="I1711" s="14" t="n">
        <v>1</v>
      </c>
      <c r="J1711" s="7" t="inlineStr">
        <is>
          <t>Full ship DD&amp;C</t>
        </is>
      </c>
      <c r="K1711" s="13" t="inlineStr">
        <is>
          <t>MSC</t>
        </is>
      </c>
      <c r="L1711" s="7" t="inlineStr">
        <is>
          <t>Combatant Ships</t>
        </is>
      </c>
      <c r="M1711" s="7" t="inlineStr">
        <is>
          <t>Combat Logistics Ships</t>
        </is>
      </c>
      <c r="N1711" s="7" t="inlineStr">
        <is>
          <t>T-AO</t>
        </is>
      </c>
      <c r="O1711" s="15" t="n"/>
      <c r="S1711" s="16" t="n">
        <v>6213</v>
      </c>
      <c r="U1711" s="16" t="n">
        <v>6213</v>
      </c>
      <c r="AC1711" s="23">
        <f>IF(OR(E1711="",E1711="[PARENT]"),"ADD",IF(E1711="[ALT_VIEW]","ALT",""))</f>
        <v/>
      </c>
      <c r="AD1711" s="21">
        <f>IF(Y1711&lt;&gt;"",Y1711,IF(U1711&lt;&gt;"",U1711,S1711))</f>
        <v/>
      </c>
      <c r="AE1711" s="21">
        <f>IF(AB1711&lt;&gt;"",AB1711,Z1711)</f>
        <v/>
      </c>
      <c r="AF1711" s="13" t="inlineStr">
        <is>
          <t>P-8a &gt; TAO Fleet Oiler &gt; Electronics &gt; AN/SLQ-25 NIXIE 1</t>
        </is>
      </c>
      <c r="AG1711" s="7" t="inlineStr">
        <is>
          <t>369</t>
        </is>
      </c>
      <c r="AH1711" s="7" t="inlineStr">
        <is>
          <t>5025</t>
        </is>
      </c>
      <c r="AJ1711" s="7" t="inlineStr">
        <is>
          <t>AN/SLQ-25 NIXIE</t>
        </is>
      </c>
    </row>
    <row r="1712" ht="10" customHeight="1">
      <c r="A1712" s="7" t="inlineStr">
        <is>
          <t>SCN</t>
        </is>
      </c>
      <c r="B1712" s="7" t="inlineStr">
        <is>
          <t>Procurement</t>
        </is>
      </c>
      <c r="D1712" s="7" t="inlineStr">
        <is>
          <t>TAO Fleet Oiler - P-8a Electronics - AN/USQ-155 Tactical Variant Switch (TVS) 1</t>
        </is>
      </c>
      <c r="E1712" s="13" t="inlineStr">
        <is>
          <t>[ALT_VIEW]</t>
        </is>
      </c>
      <c r="F1712" s="7" t="inlineStr">
        <is>
          <t>5025 / TAO Fleet Oiler</t>
        </is>
      </c>
      <c r="G1712" s="7" t="inlineStr">
        <is>
          <t>P-8a</t>
        </is>
      </c>
      <c r="H1712" s="7" t="inlineStr">
        <is>
          <t>Electronics</t>
        </is>
      </c>
      <c r="I1712" s="14" t="n">
        <v>1</v>
      </c>
      <c r="J1712" s="7" t="inlineStr">
        <is>
          <t>Full ship DD&amp;C</t>
        </is>
      </c>
      <c r="K1712" s="13" t="inlineStr">
        <is>
          <t>MSC</t>
        </is>
      </c>
      <c r="L1712" s="7" t="inlineStr">
        <is>
          <t>Combatant Ships</t>
        </is>
      </c>
      <c r="M1712" s="7" t="inlineStr">
        <is>
          <t>Combat Logistics Ships</t>
        </is>
      </c>
      <c r="N1712" s="7" t="inlineStr">
        <is>
          <t>T-AO</t>
        </is>
      </c>
      <c r="O1712" s="15" t="n"/>
      <c r="S1712" s="16" t="n">
        <v>1449</v>
      </c>
      <c r="U1712" s="16" t="n">
        <v>1449</v>
      </c>
      <c r="AC1712" s="23">
        <f>IF(OR(E1712="",E1712="[PARENT]"),"ADD",IF(E1712="[ALT_VIEW]","ALT",""))</f>
        <v/>
      </c>
      <c r="AD1712" s="21">
        <f>IF(Y1712&lt;&gt;"",Y1712,IF(U1712&lt;&gt;"",U1712,S1712))</f>
        <v/>
      </c>
      <c r="AE1712" s="21">
        <f>IF(AB1712&lt;&gt;"",AB1712,Z1712)</f>
        <v/>
      </c>
      <c r="AF1712" s="13" t="inlineStr">
        <is>
          <t>P-8a &gt; TAO Fleet Oiler &gt; Electronics &gt; AN/USQ-155 Tactical Variant Switch (TVS) 1</t>
        </is>
      </c>
      <c r="AG1712" s="7" t="inlineStr">
        <is>
          <t>369</t>
        </is>
      </c>
      <c r="AH1712" s="7" t="inlineStr">
        <is>
          <t>5025</t>
        </is>
      </c>
      <c r="AJ1712" s="7" t="inlineStr">
        <is>
          <t>AN/USQ-155 Tactical Variant Switch (TVS)</t>
        </is>
      </c>
    </row>
    <row r="1713" ht="10" customHeight="1">
      <c r="A1713" s="7" t="inlineStr">
        <is>
          <t>SCN</t>
        </is>
      </c>
      <c r="B1713" s="7" t="inlineStr">
        <is>
          <t>Procurement</t>
        </is>
      </c>
      <c r="D1713" s="7" t="inlineStr">
        <is>
          <t>TAO Fleet Oiler - P-8a Electronics - OA-9277A 1</t>
        </is>
      </c>
      <c r="E1713" s="13" t="inlineStr">
        <is>
          <t>[ALT_VIEW]</t>
        </is>
      </c>
      <c r="F1713" s="7" t="inlineStr">
        <is>
          <t>5025 / TAO Fleet Oiler</t>
        </is>
      </c>
      <c r="G1713" s="7" t="inlineStr">
        <is>
          <t>P-8a</t>
        </is>
      </c>
      <c r="H1713" s="7" t="inlineStr">
        <is>
          <t>Electronics</t>
        </is>
      </c>
      <c r="I1713" s="14" t="n">
        <v>1</v>
      </c>
      <c r="J1713" s="7" t="inlineStr">
        <is>
          <t>Full ship DD&amp;C</t>
        </is>
      </c>
      <c r="K1713" s="13" t="inlineStr">
        <is>
          <t>MSC</t>
        </is>
      </c>
      <c r="L1713" s="7" t="inlineStr">
        <is>
          <t>Combatant Ships</t>
        </is>
      </c>
      <c r="M1713" s="7" t="inlineStr">
        <is>
          <t>Combat Logistics Ships</t>
        </is>
      </c>
      <c r="N1713" s="7" t="inlineStr">
        <is>
          <t>T-AO</t>
        </is>
      </c>
      <c r="O1713" s="15" t="n"/>
      <c r="S1713" s="16" t="n">
        <v>1915</v>
      </c>
      <c r="U1713" s="16" t="n">
        <v>1915</v>
      </c>
      <c r="AC1713" s="23">
        <f>IF(OR(E1713="",E1713="[PARENT]"),"ADD",IF(E1713="[ALT_VIEW]","ALT",""))</f>
        <v/>
      </c>
      <c r="AD1713" s="21">
        <f>IF(Y1713&lt;&gt;"",Y1713,IF(U1713&lt;&gt;"",U1713,S1713))</f>
        <v/>
      </c>
      <c r="AE1713" s="21">
        <f>IF(AB1713&lt;&gt;"",AB1713,Z1713)</f>
        <v/>
      </c>
      <c r="AF1713" s="13" t="inlineStr">
        <is>
          <t>P-8a &gt; TAO Fleet Oiler &gt; Electronics &gt; OA-9277A 1</t>
        </is>
      </c>
      <c r="AG1713" s="7" t="inlineStr">
        <is>
          <t>369</t>
        </is>
      </c>
      <c r="AH1713" s="7" t="inlineStr">
        <is>
          <t>5025</t>
        </is>
      </c>
      <c r="AJ1713" s="7" t="inlineStr">
        <is>
          <t>OA-9277A</t>
        </is>
      </c>
    </row>
    <row r="1714" ht="10" customHeight="1">
      <c r="A1714" s="7" t="inlineStr">
        <is>
          <t>SCN</t>
        </is>
      </c>
      <c r="B1714" s="7" t="inlineStr">
        <is>
          <t>Procurement</t>
        </is>
      </c>
      <c r="D1714" s="7" t="inlineStr">
        <is>
          <t>TAO Fleet Oiler - P-8a Electronics - Battle Force Tactical Network (BFTN)/BFTN Resilient Command and Control System Enhancement (BRSE) 1</t>
        </is>
      </c>
      <c r="E1714" s="13" t="inlineStr">
        <is>
          <t>[ALT_VIEW]</t>
        </is>
      </c>
      <c r="F1714" s="7" t="inlineStr">
        <is>
          <t>5025 / TAO Fleet Oiler</t>
        </is>
      </c>
      <c r="G1714" s="7" t="inlineStr">
        <is>
          <t>P-8a</t>
        </is>
      </c>
      <c r="H1714" s="7" t="inlineStr">
        <is>
          <t>Electronics</t>
        </is>
      </c>
      <c r="I1714" s="14" t="n">
        <v>1</v>
      </c>
      <c r="J1714" s="7" t="inlineStr">
        <is>
          <t>Full ship DD&amp;C</t>
        </is>
      </c>
      <c r="K1714" s="13" t="inlineStr">
        <is>
          <t>MSC</t>
        </is>
      </c>
      <c r="L1714" s="7" t="inlineStr">
        <is>
          <t>Combatant Ships</t>
        </is>
      </c>
      <c r="M1714" s="7" t="inlineStr">
        <is>
          <t>Combat Logistics Ships</t>
        </is>
      </c>
      <c r="N1714" s="7" t="inlineStr">
        <is>
          <t>T-AO</t>
        </is>
      </c>
      <c r="O1714" s="15" t="n"/>
      <c r="S1714" s="16" t="n">
        <v>1533</v>
      </c>
      <c r="U1714" s="16" t="n">
        <v>1533</v>
      </c>
      <c r="AC1714" s="23">
        <f>IF(OR(E1714="",E1714="[PARENT]"),"ADD",IF(E1714="[ALT_VIEW]","ALT",""))</f>
        <v/>
      </c>
      <c r="AD1714" s="21">
        <f>IF(Y1714&lt;&gt;"",Y1714,IF(U1714&lt;&gt;"",U1714,S1714))</f>
        <v/>
      </c>
      <c r="AE1714" s="21">
        <f>IF(AB1714&lt;&gt;"",AB1714,Z1714)</f>
        <v/>
      </c>
      <c r="AF1714" s="13" t="inlineStr">
        <is>
          <t>P-8a &gt; TAO Fleet Oiler &gt; Electronics &gt; Battle Force Tactical Network (BFTN)/BFTN Resilient Command and Control System Enhancement (BRSE) 1</t>
        </is>
      </c>
      <c r="AG1714" s="7" t="inlineStr">
        <is>
          <t>369</t>
        </is>
      </c>
      <c r="AH1714" s="7" t="inlineStr">
        <is>
          <t>5025</t>
        </is>
      </c>
      <c r="AJ1714" s="7" t="inlineStr">
        <is>
          <t>Battle Force Tactical Network (BFTN)/BFTN Resilient Command and Control System Enhancement (BRSE)</t>
        </is>
      </c>
    </row>
    <row r="1715" ht="10" customHeight="1">
      <c r="A1715" s="7" t="inlineStr">
        <is>
          <t>SCN</t>
        </is>
      </c>
      <c r="B1715" s="7" t="inlineStr">
        <is>
          <t>Procurement</t>
        </is>
      </c>
      <c r="D1715" s="7" t="inlineStr">
        <is>
          <t>TAO Fleet Oiler - P-8a Electronics - Minor Systems 1</t>
        </is>
      </c>
      <c r="E1715" s="13" t="inlineStr">
        <is>
          <t>[ALT_VIEW]</t>
        </is>
      </c>
      <c r="F1715" s="7" t="inlineStr">
        <is>
          <t>5025 / TAO Fleet Oiler</t>
        </is>
      </c>
      <c r="G1715" s="7" t="inlineStr">
        <is>
          <t>P-8a</t>
        </is>
      </c>
      <c r="H1715" s="7" t="inlineStr">
        <is>
          <t>Electronics</t>
        </is>
      </c>
      <c r="I1715" s="14" t="n">
        <v>1</v>
      </c>
      <c r="J1715" s="7" t="inlineStr">
        <is>
          <t>Full ship DD&amp;C</t>
        </is>
      </c>
      <c r="K1715" s="13" t="inlineStr">
        <is>
          <t>MSC</t>
        </is>
      </c>
      <c r="L1715" s="7" t="inlineStr">
        <is>
          <t>Combatant Ships</t>
        </is>
      </c>
      <c r="M1715" s="7" t="inlineStr">
        <is>
          <t>Combat Logistics Ships</t>
        </is>
      </c>
      <c r="N1715" s="7" t="inlineStr">
        <is>
          <t>T-AO</t>
        </is>
      </c>
      <c r="O1715" s="15" t="n"/>
      <c r="S1715" s="16" t="n">
        <v>7265</v>
      </c>
      <c r="U1715" s="16" t="n">
        <v>7265</v>
      </c>
      <c r="AC1715" s="23">
        <f>IF(OR(E1715="",E1715="[PARENT]"),"ADD",IF(E1715="[ALT_VIEW]","ALT",""))</f>
        <v/>
      </c>
      <c r="AD1715" s="21">
        <f>IF(Y1715&lt;&gt;"",Y1715,IF(U1715&lt;&gt;"",U1715,S1715))</f>
        <v/>
      </c>
      <c r="AE1715" s="21">
        <f>IF(AB1715&lt;&gt;"",AB1715,Z1715)</f>
        <v/>
      </c>
      <c r="AF1715" s="13" t="inlineStr">
        <is>
          <t>P-8a &gt; TAO Fleet Oiler &gt; Electronics &gt; Minor Systems 1</t>
        </is>
      </c>
      <c r="AG1715" s="7" t="inlineStr">
        <is>
          <t>369</t>
        </is>
      </c>
      <c r="AH1715" s="7" t="inlineStr">
        <is>
          <t>5025</t>
        </is>
      </c>
      <c r="AJ1715" s="7" t="inlineStr">
        <is>
          <t>Minor Systems</t>
        </is>
      </c>
    </row>
    <row r="1716" ht="10" customHeight="1">
      <c r="A1716" s="7" t="inlineStr">
        <is>
          <t>SCN</t>
        </is>
      </c>
      <c r="B1716" s="7" t="inlineStr">
        <is>
          <t>Procurement</t>
        </is>
      </c>
      <c r="D1716" s="7" t="inlineStr">
        <is>
          <t>TAO Fleet Oiler - P-8a Hull, Mechanical, and Electrical - Engineering Services 1</t>
        </is>
      </c>
      <c r="E1716" s="13" t="inlineStr">
        <is>
          <t>[ALT_VIEW]</t>
        </is>
      </c>
      <c r="F1716" s="7" t="inlineStr">
        <is>
          <t>5025 / TAO Fleet Oiler</t>
        </is>
      </c>
      <c r="G1716" s="7" t="inlineStr">
        <is>
          <t>P-8a</t>
        </is>
      </c>
      <c r="H1716" s="7" t="inlineStr">
        <is>
          <t>Hull, Mechanical, and Electrical</t>
        </is>
      </c>
      <c r="I1716" s="14" t="n">
        <v>1</v>
      </c>
      <c r="J1716" s="7" t="inlineStr">
        <is>
          <t>Full ship DD&amp;C</t>
        </is>
      </c>
      <c r="K1716" s="13" t="inlineStr">
        <is>
          <t>MSC</t>
        </is>
      </c>
      <c r="L1716" s="7" t="inlineStr">
        <is>
          <t>Combatant Ships</t>
        </is>
      </c>
      <c r="M1716" s="7" t="inlineStr">
        <is>
          <t>Combat Logistics Ships</t>
        </is>
      </c>
      <c r="N1716" s="7" t="inlineStr">
        <is>
          <t>T-AO</t>
        </is>
      </c>
      <c r="O1716" s="15" t="n"/>
      <c r="S1716" s="16" t="n">
        <v>10355</v>
      </c>
      <c r="U1716" s="16" t="n">
        <v>10355</v>
      </c>
      <c r="AC1716" s="23">
        <f>IF(OR(E1716="",E1716="[PARENT]"),"ADD",IF(E1716="[ALT_VIEW]","ALT",""))</f>
        <v/>
      </c>
      <c r="AD1716" s="21">
        <f>IF(Y1716&lt;&gt;"",Y1716,IF(U1716&lt;&gt;"",U1716,S1716))</f>
        <v/>
      </c>
      <c r="AE1716" s="21">
        <f>IF(AB1716&lt;&gt;"",AB1716,Z1716)</f>
        <v/>
      </c>
      <c r="AF1716" s="13" t="inlineStr">
        <is>
          <t>P-8a &gt; TAO Fleet Oiler &gt; Hull, Mechanical, and Electrical &gt; Engineering Services 1</t>
        </is>
      </c>
      <c r="AG1716" s="7" t="inlineStr">
        <is>
          <t>370</t>
        </is>
      </c>
      <c r="AH1716" s="7" t="inlineStr">
        <is>
          <t>5025</t>
        </is>
      </c>
      <c r="AJ1716" s="7" t="inlineStr">
        <is>
          <t>Engineering Services</t>
        </is>
      </c>
    </row>
    <row r="1717" ht="10" customHeight="1">
      <c r="A1717" s="7" t="inlineStr">
        <is>
          <t>SCN</t>
        </is>
      </c>
      <c r="B1717" s="7" t="inlineStr">
        <is>
          <t>Procurement</t>
        </is>
      </c>
      <c r="D1717" s="7" t="inlineStr">
        <is>
          <t>TAO Fleet Oiler - P-8a Hull, Mechanical, and Electrical - Logistics Support Services 1</t>
        </is>
      </c>
      <c r="E1717" s="13" t="inlineStr">
        <is>
          <t>[ALT_VIEW]</t>
        </is>
      </c>
      <c r="F1717" s="7" t="inlineStr">
        <is>
          <t>5025 / TAO Fleet Oiler</t>
        </is>
      </c>
      <c r="G1717" s="7" t="inlineStr">
        <is>
          <t>P-8a</t>
        </is>
      </c>
      <c r="H1717" s="7" t="inlineStr">
        <is>
          <t>Hull, Mechanical, and Electrical</t>
        </is>
      </c>
      <c r="I1717" s="14" t="n">
        <v>1</v>
      </c>
      <c r="J1717" s="7" t="inlineStr">
        <is>
          <t>Full ship DD&amp;C</t>
        </is>
      </c>
      <c r="K1717" s="13" t="inlineStr">
        <is>
          <t>MSC</t>
        </is>
      </c>
      <c r="L1717" s="7" t="inlineStr">
        <is>
          <t>Combatant Ships</t>
        </is>
      </c>
      <c r="M1717" s="7" t="inlineStr">
        <is>
          <t>Combat Logistics Ships</t>
        </is>
      </c>
      <c r="N1717" s="7" t="inlineStr">
        <is>
          <t>T-AO</t>
        </is>
      </c>
      <c r="O1717" s="15" t="n"/>
      <c r="S1717" s="16" t="n">
        <v>1729</v>
      </c>
      <c r="U1717" s="16" t="n">
        <v>1729</v>
      </c>
      <c r="AC1717" s="23">
        <f>IF(OR(E1717="",E1717="[PARENT]"),"ADD",IF(E1717="[ALT_VIEW]","ALT",""))</f>
        <v/>
      </c>
      <c r="AD1717" s="21">
        <f>IF(Y1717&lt;&gt;"",Y1717,IF(U1717&lt;&gt;"",U1717,S1717))</f>
        <v/>
      </c>
      <c r="AE1717" s="21">
        <f>IF(AB1717&lt;&gt;"",AB1717,Z1717)</f>
        <v/>
      </c>
      <c r="AF1717" s="13" t="inlineStr">
        <is>
          <t>P-8a &gt; TAO Fleet Oiler &gt; Hull, Mechanical, and Electrical &gt; Logistics Support Services 1</t>
        </is>
      </c>
      <c r="AG1717" s="7" t="inlineStr">
        <is>
          <t>370</t>
        </is>
      </c>
      <c r="AH1717" s="7" t="inlineStr">
        <is>
          <t>5025</t>
        </is>
      </c>
      <c r="AJ1717" s="7" t="inlineStr">
        <is>
          <t>Logistics Support Services</t>
        </is>
      </c>
    </row>
    <row r="1718" ht="10" customHeight="1">
      <c r="A1718" s="7" t="inlineStr">
        <is>
          <t>SCN</t>
        </is>
      </c>
      <c r="B1718" s="7" t="inlineStr">
        <is>
          <t>Procurement</t>
        </is>
      </c>
      <c r="D1718" s="7" t="inlineStr">
        <is>
          <t>TAO Fleet Oiler - P-8a Hull, Mechanical, and Electrical - Material Handling Equipment 1</t>
        </is>
      </c>
      <c r="E1718" s="13" t="inlineStr">
        <is>
          <t>[ALT_VIEW]</t>
        </is>
      </c>
      <c r="F1718" s="7" t="inlineStr">
        <is>
          <t>5025 / TAO Fleet Oiler</t>
        </is>
      </c>
      <c r="G1718" s="7" t="inlineStr">
        <is>
          <t>P-8a</t>
        </is>
      </c>
      <c r="H1718" s="7" t="inlineStr">
        <is>
          <t>Hull, Mechanical, and Electrical</t>
        </is>
      </c>
      <c r="I1718" s="14" t="n">
        <v>1</v>
      </c>
      <c r="J1718" s="7" t="inlineStr">
        <is>
          <t>Full ship DD&amp;C</t>
        </is>
      </c>
      <c r="K1718" s="13" t="inlineStr">
        <is>
          <t>MSC</t>
        </is>
      </c>
      <c r="L1718" s="7" t="inlineStr">
        <is>
          <t>Combatant Ships</t>
        </is>
      </c>
      <c r="M1718" s="7" t="inlineStr">
        <is>
          <t>Combat Logistics Ships</t>
        </is>
      </c>
      <c r="N1718" s="7" t="inlineStr">
        <is>
          <t>T-AO</t>
        </is>
      </c>
      <c r="O1718" s="15" t="n"/>
      <c r="S1718" s="16" t="n">
        <v>1157</v>
      </c>
      <c r="U1718" s="16" t="n">
        <v>1157</v>
      </c>
      <c r="AC1718" s="23">
        <f>IF(OR(E1718="",E1718="[PARENT]"),"ADD",IF(E1718="[ALT_VIEW]","ALT",""))</f>
        <v/>
      </c>
      <c r="AD1718" s="21">
        <f>IF(Y1718&lt;&gt;"",Y1718,IF(U1718&lt;&gt;"",U1718,S1718))</f>
        <v/>
      </c>
      <c r="AE1718" s="21">
        <f>IF(AB1718&lt;&gt;"",AB1718,Z1718)</f>
        <v/>
      </c>
      <c r="AF1718" s="13" t="inlineStr">
        <is>
          <t>P-8a &gt; TAO Fleet Oiler &gt; Hull, Mechanical, and Electrical &gt; Material Handling Equipment 1</t>
        </is>
      </c>
      <c r="AG1718" s="7" t="inlineStr">
        <is>
          <t>370</t>
        </is>
      </c>
      <c r="AH1718" s="7" t="inlineStr">
        <is>
          <t>5025</t>
        </is>
      </c>
      <c r="AJ1718" s="7" t="inlineStr">
        <is>
          <t>Material Handling Equipment</t>
        </is>
      </c>
    </row>
    <row r="1719" ht="10" customHeight="1">
      <c r="A1719" s="7" t="inlineStr">
        <is>
          <t>SCN</t>
        </is>
      </c>
      <c r="B1719" s="7" t="inlineStr">
        <is>
          <t>Procurement</t>
        </is>
      </c>
      <c r="D1719" s="7" t="inlineStr">
        <is>
          <t>TAO Fleet Oiler - P-8a Hull, Mechanical, and Electrical - Shipboard Automated Maintenance Module (SAMM) 1</t>
        </is>
      </c>
      <c r="E1719" s="13" t="inlineStr">
        <is>
          <t>[ALT_VIEW]</t>
        </is>
      </c>
      <c r="F1719" s="7" t="inlineStr">
        <is>
          <t>5025 / TAO Fleet Oiler</t>
        </is>
      </c>
      <c r="G1719" s="7" t="inlineStr">
        <is>
          <t>P-8a</t>
        </is>
      </c>
      <c r="H1719" s="7" t="inlineStr">
        <is>
          <t>Hull, Mechanical, and Electrical</t>
        </is>
      </c>
      <c r="I1719" s="14" t="n">
        <v>1</v>
      </c>
      <c r="J1719" s="7" t="inlineStr">
        <is>
          <t>Full ship DD&amp;C</t>
        </is>
      </c>
      <c r="K1719" s="13" t="inlineStr">
        <is>
          <t>MSC</t>
        </is>
      </c>
      <c r="L1719" s="7" t="inlineStr">
        <is>
          <t>Combatant Ships</t>
        </is>
      </c>
      <c r="M1719" s="7" t="inlineStr">
        <is>
          <t>Combat Logistics Ships</t>
        </is>
      </c>
      <c r="N1719" s="7" t="inlineStr">
        <is>
          <t>T-AO</t>
        </is>
      </c>
      <c r="O1719" s="15" t="n"/>
      <c r="S1719" s="16" t="n">
        <v>475</v>
      </c>
      <c r="U1719" s="16" t="n">
        <v>475</v>
      </c>
      <c r="AC1719" s="23">
        <f>IF(OR(E1719="",E1719="[PARENT]"),"ADD",IF(E1719="[ALT_VIEW]","ALT",""))</f>
        <v/>
      </c>
      <c r="AD1719" s="21">
        <f>IF(Y1719&lt;&gt;"",Y1719,IF(U1719&lt;&gt;"",U1719,S1719))</f>
        <v/>
      </c>
      <c r="AE1719" s="21">
        <f>IF(AB1719&lt;&gt;"",AB1719,Z1719)</f>
        <v/>
      </c>
      <c r="AF1719" s="13" t="inlineStr">
        <is>
          <t>P-8a &gt; TAO Fleet Oiler &gt; Hull, Mechanical, and Electrical &gt; Shipboard Automated Maintenance Module (SAMM) 1</t>
        </is>
      </c>
      <c r="AG1719" s="7" t="inlineStr">
        <is>
          <t>370</t>
        </is>
      </c>
      <c r="AH1719" s="7" t="inlineStr">
        <is>
          <t>5025</t>
        </is>
      </c>
      <c r="AJ1719" s="7" t="inlineStr">
        <is>
          <t>Shipboard Automated Maintenance Module (SAMM)</t>
        </is>
      </c>
    </row>
    <row r="1720" ht="10" customHeight="1">
      <c r="A1720" s="7" t="inlineStr">
        <is>
          <t>SCN</t>
        </is>
      </c>
      <c r="B1720" s="7" t="inlineStr">
        <is>
          <t>Procurement</t>
        </is>
      </c>
      <c r="D1720" s="7" t="inlineStr">
        <is>
          <t>TAO Fleet Oiler - P-8a Hull, Mechanical, and Electrical - Improved Point Detection System - Lifecycle Replacement (IPDS-LR) 1</t>
        </is>
      </c>
      <c r="E1720" s="13" t="inlineStr">
        <is>
          <t>[ALT_VIEW]</t>
        </is>
      </c>
      <c r="F1720" s="7" t="inlineStr">
        <is>
          <t>5025 / TAO Fleet Oiler</t>
        </is>
      </c>
      <c r="G1720" s="7" t="inlineStr">
        <is>
          <t>P-8a</t>
        </is>
      </c>
      <c r="H1720" s="7" t="inlineStr">
        <is>
          <t>Hull, Mechanical, and Electrical</t>
        </is>
      </c>
      <c r="I1720" s="14" t="n">
        <v>1</v>
      </c>
      <c r="J1720" s="7" t="inlineStr">
        <is>
          <t>Full ship DD&amp;C</t>
        </is>
      </c>
      <c r="K1720" s="13" t="inlineStr">
        <is>
          <t>MSC</t>
        </is>
      </c>
      <c r="L1720" s="7" t="inlineStr">
        <is>
          <t>Combatant Ships</t>
        </is>
      </c>
      <c r="M1720" s="7" t="inlineStr">
        <is>
          <t>Combat Logistics Ships</t>
        </is>
      </c>
      <c r="N1720" s="7" t="inlineStr">
        <is>
          <t>T-AO</t>
        </is>
      </c>
      <c r="O1720" s="15" t="n"/>
      <c r="S1720" s="16" t="n">
        <v>660</v>
      </c>
      <c r="U1720" s="16" t="n">
        <v>660</v>
      </c>
      <c r="AC1720" s="23">
        <f>IF(OR(E1720="",E1720="[PARENT]"),"ADD",IF(E1720="[ALT_VIEW]","ALT",""))</f>
        <v/>
      </c>
      <c r="AD1720" s="21">
        <f>IF(Y1720&lt;&gt;"",Y1720,IF(U1720&lt;&gt;"",U1720,S1720))</f>
        <v/>
      </c>
      <c r="AE1720" s="21">
        <f>IF(AB1720&lt;&gt;"",AB1720,Z1720)</f>
        <v/>
      </c>
      <c r="AF1720" s="13" t="inlineStr">
        <is>
          <t>P-8a &gt; TAO Fleet Oiler &gt; Hull, Mechanical, and Electrical &gt; Improved Point Detection System - Lifecycle Replacement (IPDS-LR) 1</t>
        </is>
      </c>
      <c r="AG1720" s="7" t="inlineStr">
        <is>
          <t>370</t>
        </is>
      </c>
      <c r="AH1720" s="7" t="inlineStr">
        <is>
          <t>5025</t>
        </is>
      </c>
      <c r="AJ1720" s="7" t="inlineStr">
        <is>
          <t>Improved Point Detection System - Lifecycle Replacement (IPDS-LR)</t>
        </is>
      </c>
    </row>
    <row r="1721" ht="10" customHeight="1">
      <c r="A1721" s="7" t="inlineStr">
        <is>
          <t>SCN</t>
        </is>
      </c>
      <c r="B1721" s="7" t="inlineStr">
        <is>
          <t>Procurement</t>
        </is>
      </c>
      <c r="D1721" s="7" t="inlineStr">
        <is>
          <t>TAO Fleet Oiler - P-35 Radio Communication System (RCS) TURNKEY - Major Hardware                                                                                                                                                 1</t>
        </is>
      </c>
      <c r="E1721" s="13" t="inlineStr">
        <is>
          <t>[ALT_VIEW]</t>
        </is>
      </c>
      <c r="F1721" s="7" t="inlineStr">
        <is>
          <t>5025 / TAO Fleet Oiler</t>
        </is>
      </c>
      <c r="G1721" s="7" t="inlineStr">
        <is>
          <t>P-35</t>
        </is>
      </c>
      <c r="I1721" s="14" t="n">
        <v>1</v>
      </c>
      <c r="J1721" s="7" t="inlineStr">
        <is>
          <t>Full ship DD&amp;C</t>
        </is>
      </c>
      <c r="K1721" s="13" t="inlineStr">
        <is>
          <t>MSC</t>
        </is>
      </c>
      <c r="L1721" s="7" t="inlineStr">
        <is>
          <t>Combatant Ships</t>
        </is>
      </c>
      <c r="M1721" s="7" t="inlineStr">
        <is>
          <t>Combat Logistics Ships</t>
        </is>
      </c>
      <c r="N1721" s="7" t="inlineStr">
        <is>
          <t>T-AO</t>
        </is>
      </c>
      <c r="O1721" s="15" t="n"/>
      <c r="S1721" s="16" t="n">
        <v>1347</v>
      </c>
      <c r="U1721" s="16" t="n">
        <v>1347</v>
      </c>
      <c r="AC1721" s="23">
        <f>IF(OR(E1721="",E1721="[PARENT]"),"ADD",IF(E1721="[ALT_VIEW]","ALT",""))</f>
        <v/>
      </c>
      <c r="AD1721" s="21">
        <f>IF(Y1721&lt;&gt;"",Y1721,IF(U1721&lt;&gt;"",U1721,S1721))</f>
        <v/>
      </c>
      <c r="AE1721" s="21">
        <f>IF(AB1721&lt;&gt;"",AB1721,Z1721)</f>
        <v/>
      </c>
      <c r="AF1721" s="13" t="inlineStr">
        <is>
          <t>P-35 &gt; TAO Fleet Oiler &gt; Radio Communication System (RCS) TURNKEY &gt; Major Hardware                                                                                                                                                 1</t>
        </is>
      </c>
      <c r="AG1721" s="7" t="inlineStr">
        <is>
          <t>371</t>
        </is>
      </c>
      <c r="AH1721" s="7" t="inlineStr">
        <is>
          <t>5025</t>
        </is>
      </c>
    </row>
    <row r="1722" ht="10" customHeight="1">
      <c r="A1722" s="7" t="inlineStr">
        <is>
          <t>SCN</t>
        </is>
      </c>
      <c r="B1722" s="7" t="inlineStr">
        <is>
          <t>Procurement</t>
        </is>
      </c>
      <c r="D1722" s="7" t="inlineStr">
        <is>
          <t>TAO Fleet Oiler - P-35 Radio Communication System (RCS) TURNKEY - Ancillary Equipment</t>
        </is>
      </c>
      <c r="E1722" s="13" t="inlineStr">
        <is>
          <t>[ALT_VIEW]</t>
        </is>
      </c>
      <c r="F1722" s="7" t="inlineStr">
        <is>
          <t>5025 / TAO Fleet Oiler</t>
        </is>
      </c>
      <c r="G1722" s="7" t="inlineStr">
        <is>
          <t>P-35</t>
        </is>
      </c>
      <c r="I1722" s="14" t="n">
        <v>1</v>
      </c>
      <c r="J1722" s="7" t="inlineStr">
        <is>
          <t>Full ship DD&amp;C</t>
        </is>
      </c>
      <c r="K1722" s="13" t="inlineStr">
        <is>
          <t>MSC</t>
        </is>
      </c>
      <c r="L1722" s="7" t="inlineStr">
        <is>
          <t>Combatant Ships</t>
        </is>
      </c>
      <c r="M1722" s="7" t="inlineStr">
        <is>
          <t>Combat Logistics Ships</t>
        </is>
      </c>
      <c r="N1722" s="7" t="inlineStr">
        <is>
          <t>T-AO</t>
        </is>
      </c>
      <c r="O1722" s="15" t="n"/>
      <c r="S1722" s="16" t="n">
        <v>102</v>
      </c>
      <c r="U1722" s="16" t="n">
        <v>102</v>
      </c>
      <c r="AC1722" s="23">
        <f>IF(OR(E1722="",E1722="[PARENT]"),"ADD",IF(E1722="[ALT_VIEW]","ALT",""))</f>
        <v/>
      </c>
      <c r="AD1722" s="21">
        <f>IF(Y1722&lt;&gt;"",Y1722,IF(U1722&lt;&gt;"",U1722,S1722))</f>
        <v/>
      </c>
      <c r="AE1722" s="21">
        <f>IF(AB1722&lt;&gt;"",AB1722,Z1722)</f>
        <v/>
      </c>
      <c r="AF1722" s="13" t="inlineStr">
        <is>
          <t>P-35 &gt; TAO Fleet Oiler &gt; Radio Communication System (RCS) TURNKEY &gt; Ancillary Equipment</t>
        </is>
      </c>
      <c r="AG1722" s="7" t="inlineStr">
        <is>
          <t>371</t>
        </is>
      </c>
      <c r="AH1722" s="7" t="inlineStr">
        <is>
          <t>5025</t>
        </is>
      </c>
    </row>
    <row r="1723" ht="10" customHeight="1">
      <c r="A1723" s="7" t="inlineStr">
        <is>
          <t>SCN</t>
        </is>
      </c>
      <c r="B1723" s="7" t="inlineStr">
        <is>
          <t>Procurement</t>
        </is>
      </c>
      <c r="D1723" s="7" t="inlineStr">
        <is>
          <t>TAO Fleet Oiler - P-35 Radio Communication System (RCS) TURNKEY - Technical Engineering Services</t>
        </is>
      </c>
      <c r="E1723" s="13" t="inlineStr">
        <is>
          <t>[ALT_VIEW]</t>
        </is>
      </c>
      <c r="F1723" s="7" t="inlineStr">
        <is>
          <t>5025 / TAO Fleet Oiler</t>
        </is>
      </c>
      <c r="G1723" s="7" t="inlineStr">
        <is>
          <t>P-35</t>
        </is>
      </c>
      <c r="I1723" s="14" t="n">
        <v>1</v>
      </c>
      <c r="J1723" s="7" t="inlineStr">
        <is>
          <t>Full ship DD&amp;C</t>
        </is>
      </c>
      <c r="K1723" s="13" t="inlineStr">
        <is>
          <t>MSC</t>
        </is>
      </c>
      <c r="L1723" s="7" t="inlineStr">
        <is>
          <t>Combatant Ships</t>
        </is>
      </c>
      <c r="M1723" s="7" t="inlineStr">
        <is>
          <t>Combat Logistics Ships</t>
        </is>
      </c>
      <c r="N1723" s="7" t="inlineStr">
        <is>
          <t>T-AO</t>
        </is>
      </c>
      <c r="O1723" s="15" t="n"/>
      <c r="S1723" s="16" t="n">
        <v>2035</v>
      </c>
      <c r="U1723" s="16" t="n">
        <v>2035</v>
      </c>
      <c r="AC1723" s="23">
        <f>IF(OR(E1723="",E1723="[PARENT]"),"ADD",IF(E1723="[ALT_VIEW]","ALT",""))</f>
        <v/>
      </c>
      <c r="AD1723" s="21">
        <f>IF(Y1723&lt;&gt;"",Y1723,IF(U1723&lt;&gt;"",U1723,S1723))</f>
        <v/>
      </c>
      <c r="AE1723" s="21">
        <f>IF(AB1723&lt;&gt;"",AB1723,Z1723)</f>
        <v/>
      </c>
      <c r="AF1723" s="13" t="inlineStr">
        <is>
          <t>P-35 &gt; TAO Fleet Oiler &gt; Radio Communication System (RCS) TURNKEY &gt; Technical Engineering Services</t>
        </is>
      </c>
      <c r="AG1723" s="7" t="inlineStr">
        <is>
          <t>371</t>
        </is>
      </c>
      <c r="AH1723" s="7" t="inlineStr">
        <is>
          <t>5025</t>
        </is>
      </c>
    </row>
    <row r="1724" ht="10" customHeight="1">
      <c r="A1724" s="7" t="inlineStr">
        <is>
          <t>SCN</t>
        </is>
      </c>
      <c r="B1724" s="7" t="inlineStr">
        <is>
          <t>Procurement</t>
        </is>
      </c>
      <c r="D1724" s="7" t="inlineStr">
        <is>
          <t>TAO Fleet Oiler - P-35 Radio Communication System (RCS) TURNKEY - Ship Installation</t>
        </is>
      </c>
      <c r="E1724" s="13" t="inlineStr">
        <is>
          <t>[ALT_VIEW]</t>
        </is>
      </c>
      <c r="F1724" s="7" t="inlineStr">
        <is>
          <t>5025 / TAO Fleet Oiler</t>
        </is>
      </c>
      <c r="G1724" s="7" t="inlineStr">
        <is>
          <t>P-35</t>
        </is>
      </c>
      <c r="I1724" s="14" t="n">
        <v>1</v>
      </c>
      <c r="J1724" s="7" t="inlineStr">
        <is>
          <t>Full ship DD&amp;C</t>
        </is>
      </c>
      <c r="K1724" s="13" t="inlineStr">
        <is>
          <t>MSC</t>
        </is>
      </c>
      <c r="L1724" s="7" t="inlineStr">
        <is>
          <t>Combatant Ships</t>
        </is>
      </c>
      <c r="M1724" s="7" t="inlineStr">
        <is>
          <t>Combat Logistics Ships</t>
        </is>
      </c>
      <c r="N1724" s="7" t="inlineStr">
        <is>
          <t>T-AO</t>
        </is>
      </c>
      <c r="O1724" s="15" t="n"/>
      <c r="S1724" s="16" t="n">
        <v>2715</v>
      </c>
      <c r="U1724" s="16" t="n">
        <v>2715</v>
      </c>
      <c r="AC1724" s="23">
        <f>IF(OR(E1724="",E1724="[PARENT]"),"ADD",IF(E1724="[ALT_VIEW]","ALT",""))</f>
        <v/>
      </c>
      <c r="AD1724" s="21">
        <f>IF(Y1724&lt;&gt;"",Y1724,IF(U1724&lt;&gt;"",U1724,S1724))</f>
        <v/>
      </c>
      <c r="AE1724" s="21">
        <f>IF(AB1724&lt;&gt;"",AB1724,Z1724)</f>
        <v/>
      </c>
      <c r="AF1724" s="13" t="inlineStr">
        <is>
          <t>P-35 &gt; TAO Fleet Oiler &gt; Radio Communication System (RCS) TURNKEY &gt; Ship Installation</t>
        </is>
      </c>
      <c r="AG1724" s="7" t="inlineStr">
        <is>
          <t>371</t>
        </is>
      </c>
      <c r="AH1724" s="7" t="inlineStr">
        <is>
          <t>5025</t>
        </is>
      </c>
    </row>
    <row r="1725" ht="10" customHeight="1">
      <c r="A1725" s="7" t="inlineStr">
        <is>
          <t>SCN</t>
        </is>
      </c>
      <c r="B1725" s="7" t="inlineStr">
        <is>
          <t>Procurement</t>
        </is>
      </c>
      <c r="D1725" s="7" t="inlineStr">
        <is>
          <t>TAO Fleet Oiler - P-35 Radio Communication System (RCS) TURNKEY - Program Management</t>
        </is>
      </c>
      <c r="E1725" s="13" t="inlineStr">
        <is>
          <t>[ALT_VIEW]</t>
        </is>
      </c>
      <c r="F1725" s="7" t="inlineStr">
        <is>
          <t>5025 / TAO Fleet Oiler</t>
        </is>
      </c>
      <c r="G1725" s="7" t="inlineStr">
        <is>
          <t>P-35</t>
        </is>
      </c>
      <c r="I1725" s="14" t="n">
        <v>1</v>
      </c>
      <c r="J1725" s="7" t="inlineStr">
        <is>
          <t>Full ship DD&amp;C</t>
        </is>
      </c>
      <c r="K1725" s="13" t="inlineStr">
        <is>
          <t>MSC</t>
        </is>
      </c>
      <c r="L1725" s="7" t="inlineStr">
        <is>
          <t>Combatant Ships</t>
        </is>
      </c>
      <c r="M1725" s="7" t="inlineStr">
        <is>
          <t>Combat Logistics Ships</t>
        </is>
      </c>
      <c r="N1725" s="7" t="inlineStr">
        <is>
          <t>T-AO</t>
        </is>
      </c>
      <c r="O1725" s="15" t="n"/>
      <c r="S1725" s="16" t="n">
        <v>375</v>
      </c>
      <c r="U1725" s="16" t="n">
        <v>375</v>
      </c>
      <c r="AC1725" s="23">
        <f>IF(OR(E1725="",E1725="[PARENT]"),"ADD",IF(E1725="[ALT_VIEW]","ALT",""))</f>
        <v/>
      </c>
      <c r="AD1725" s="21">
        <f>IF(Y1725&lt;&gt;"",Y1725,IF(U1725&lt;&gt;"",U1725,S1725))</f>
        <v/>
      </c>
      <c r="AE1725" s="21">
        <f>IF(AB1725&lt;&gt;"",AB1725,Z1725)</f>
        <v/>
      </c>
      <c r="AF1725" s="13" t="inlineStr">
        <is>
          <t>P-35 &gt; TAO Fleet Oiler &gt; Radio Communication System (RCS) TURNKEY &gt; Program Management</t>
        </is>
      </c>
      <c r="AG1725" s="7" t="inlineStr">
        <is>
          <t>371</t>
        </is>
      </c>
      <c r="AH1725" s="7" t="inlineStr">
        <is>
          <t>5025</t>
        </is>
      </c>
    </row>
    <row r="1726" ht="10" customHeight="1">
      <c r="A1726" s="7" t="inlineStr">
        <is>
          <t>SCN</t>
        </is>
      </c>
      <c r="B1726" s="7" t="inlineStr">
        <is>
          <t>Procurement</t>
        </is>
      </c>
      <c r="D1726" s="7" t="inlineStr">
        <is>
          <t>TAO Fleet Oiler - P-35 Network Management System (NMS) 2.0/Consolidated Afloat Networks and Enterprise Services - Major Hardware                                                                                                                                                  1</t>
        </is>
      </c>
      <c r="E1726" s="13" t="inlineStr">
        <is>
          <t>[ALT_VIEW]</t>
        </is>
      </c>
      <c r="F1726" s="7" t="inlineStr">
        <is>
          <t>5025 / TAO Fleet Oiler</t>
        </is>
      </c>
      <c r="G1726" s="7" t="inlineStr">
        <is>
          <t>P-35</t>
        </is>
      </c>
      <c r="I1726" s="14" t="n">
        <v>1</v>
      </c>
      <c r="J1726" s="7" t="inlineStr">
        <is>
          <t>Full ship DD&amp;C</t>
        </is>
      </c>
      <c r="K1726" s="13" t="inlineStr">
        <is>
          <t>MSC</t>
        </is>
      </c>
      <c r="L1726" s="7" t="inlineStr">
        <is>
          <t>Combatant Ships</t>
        </is>
      </c>
      <c r="M1726" s="7" t="inlineStr">
        <is>
          <t>Combat Logistics Ships</t>
        </is>
      </c>
      <c r="N1726" s="7" t="inlineStr">
        <is>
          <t>T-AO</t>
        </is>
      </c>
      <c r="O1726" s="15" t="n"/>
      <c r="S1726" s="16" t="n">
        <v>3766</v>
      </c>
      <c r="U1726" s="16" t="n">
        <v>3766</v>
      </c>
      <c r="AC1726" s="23">
        <f>IF(OR(E1726="",E1726="[PARENT]"),"ADD",IF(E1726="[ALT_VIEW]","ALT",""))</f>
        <v/>
      </c>
      <c r="AD1726" s="21">
        <f>IF(Y1726&lt;&gt;"",Y1726,IF(U1726&lt;&gt;"",U1726,S1726))</f>
        <v/>
      </c>
      <c r="AE1726" s="21">
        <f>IF(AB1726&lt;&gt;"",AB1726,Z1726)</f>
        <v/>
      </c>
      <c r="AF1726" s="13" t="inlineStr">
        <is>
          <t>P-35 &gt; TAO Fleet Oiler &gt; Network Management System (NMS) 2.0/Consolidated Afloat Networks and Enterprise Services &gt; Major Hardware                                                                                                                                                  1</t>
        </is>
      </c>
      <c r="AG1726" s="7" t="inlineStr">
        <is>
          <t>372</t>
        </is>
      </c>
      <c r="AH1726" s="7" t="inlineStr">
        <is>
          <t>5025</t>
        </is>
      </c>
    </row>
    <row r="1727" ht="10" customHeight="1">
      <c r="A1727" s="7" t="inlineStr">
        <is>
          <t>SCN</t>
        </is>
      </c>
      <c r="B1727" s="7" t="inlineStr">
        <is>
          <t>Procurement</t>
        </is>
      </c>
      <c r="D1727" s="7" t="inlineStr">
        <is>
          <t>TAO Fleet Oiler - P-35 Network Management System (NMS) 2.0/Consolidated Afloat Networks and Enterprise Services - System Engineering</t>
        </is>
      </c>
      <c r="E1727" s="13" t="inlineStr">
        <is>
          <t>[ALT_VIEW]</t>
        </is>
      </c>
      <c r="F1727" s="7" t="inlineStr">
        <is>
          <t>5025 / TAO Fleet Oiler</t>
        </is>
      </c>
      <c r="G1727" s="7" t="inlineStr">
        <is>
          <t>P-35</t>
        </is>
      </c>
      <c r="I1727" s="14" t="n">
        <v>1</v>
      </c>
      <c r="J1727" s="7" t="inlineStr">
        <is>
          <t>Full ship DD&amp;C</t>
        </is>
      </c>
      <c r="K1727" s="13" t="inlineStr">
        <is>
          <t>MSC</t>
        </is>
      </c>
      <c r="L1727" s="7" t="inlineStr">
        <is>
          <t>Combatant Ships</t>
        </is>
      </c>
      <c r="M1727" s="7" t="inlineStr">
        <is>
          <t>Combat Logistics Ships</t>
        </is>
      </c>
      <c r="N1727" s="7" t="inlineStr">
        <is>
          <t>T-AO</t>
        </is>
      </c>
      <c r="O1727" s="15" t="n"/>
      <c r="S1727" s="16" t="n">
        <v>6000</v>
      </c>
      <c r="U1727" s="16" t="n">
        <v>6000</v>
      </c>
      <c r="AC1727" s="23">
        <f>IF(OR(E1727="",E1727="[PARENT]"),"ADD",IF(E1727="[ALT_VIEW]","ALT",""))</f>
        <v/>
      </c>
      <c r="AD1727" s="21">
        <f>IF(Y1727&lt;&gt;"",Y1727,IF(U1727&lt;&gt;"",U1727,S1727))</f>
        <v/>
      </c>
      <c r="AE1727" s="21">
        <f>IF(AB1727&lt;&gt;"",AB1727,Z1727)</f>
        <v/>
      </c>
      <c r="AF1727" s="13" t="inlineStr">
        <is>
          <t>P-35 &gt; TAO Fleet Oiler &gt; Network Management System (NMS) 2.0/Consolidated Afloat Networks and Enterprise Services &gt; System Engineering</t>
        </is>
      </c>
      <c r="AG1727" s="7" t="inlineStr">
        <is>
          <t>372</t>
        </is>
      </c>
      <c r="AH1727" s="7" t="inlineStr">
        <is>
          <t>5025</t>
        </is>
      </c>
    </row>
    <row r="1728" ht="10" customHeight="1">
      <c r="A1728" s="7" t="inlineStr">
        <is>
          <t>SCN</t>
        </is>
      </c>
      <c r="B1728" s="7" t="inlineStr">
        <is>
          <t>Procurement</t>
        </is>
      </c>
      <c r="D1728" s="7" t="inlineStr">
        <is>
          <t>TAO Fleet Oiler - P-35 Network Management System (NMS) 2.0/Consolidated Afloat Networks and Enterprise Services - Technical Engineering Services</t>
        </is>
      </c>
      <c r="E1728" s="13" t="inlineStr">
        <is>
          <t>[ALT_VIEW]</t>
        </is>
      </c>
      <c r="F1728" s="7" t="inlineStr">
        <is>
          <t>5025 / TAO Fleet Oiler</t>
        </is>
      </c>
      <c r="G1728" s="7" t="inlineStr">
        <is>
          <t>P-35</t>
        </is>
      </c>
      <c r="I1728" s="14" t="n">
        <v>1</v>
      </c>
      <c r="J1728" s="7" t="inlineStr">
        <is>
          <t>Full ship DD&amp;C</t>
        </is>
      </c>
      <c r="K1728" s="13" t="inlineStr">
        <is>
          <t>MSC</t>
        </is>
      </c>
      <c r="L1728" s="7" t="inlineStr">
        <is>
          <t>Combatant Ships</t>
        </is>
      </c>
      <c r="M1728" s="7" t="inlineStr">
        <is>
          <t>Combat Logistics Ships</t>
        </is>
      </c>
      <c r="N1728" s="7" t="inlineStr">
        <is>
          <t>T-AO</t>
        </is>
      </c>
      <c r="O1728" s="15" t="n"/>
      <c r="S1728" s="16" t="n">
        <v>3039</v>
      </c>
      <c r="U1728" s="16" t="n">
        <v>3039</v>
      </c>
      <c r="AC1728" s="23">
        <f>IF(OR(E1728="",E1728="[PARENT]"),"ADD",IF(E1728="[ALT_VIEW]","ALT",""))</f>
        <v/>
      </c>
      <c r="AD1728" s="21">
        <f>IF(Y1728&lt;&gt;"",Y1728,IF(U1728&lt;&gt;"",U1728,S1728))</f>
        <v/>
      </c>
      <c r="AE1728" s="21">
        <f>IF(AB1728&lt;&gt;"",AB1728,Z1728)</f>
        <v/>
      </c>
      <c r="AF1728" s="13" t="inlineStr">
        <is>
          <t>P-35 &gt; TAO Fleet Oiler &gt; Network Management System (NMS) 2.0/Consolidated Afloat Networks and Enterprise Services &gt; Technical Engineering Services</t>
        </is>
      </c>
      <c r="AG1728" s="7" t="inlineStr">
        <is>
          <t>372</t>
        </is>
      </c>
      <c r="AH1728" s="7" t="inlineStr">
        <is>
          <t>5025</t>
        </is>
      </c>
    </row>
    <row r="1729" ht="10" customHeight="1">
      <c r="A1729" s="7" t="inlineStr">
        <is>
          <t>SCN</t>
        </is>
      </c>
      <c r="B1729" s="7" t="inlineStr">
        <is>
          <t>Procurement</t>
        </is>
      </c>
      <c r="D1729" s="7" t="inlineStr">
        <is>
          <t>TAO Fleet Oiler - P-35 Network Management System (NMS) 2.0/Consolidated Afloat Networks and Enterprise Services - Software</t>
        </is>
      </c>
      <c r="E1729" s="13" t="inlineStr">
        <is>
          <t>[ALT_VIEW]</t>
        </is>
      </c>
      <c r="F1729" s="7" t="inlineStr">
        <is>
          <t>5025 / TAO Fleet Oiler</t>
        </is>
      </c>
      <c r="G1729" s="7" t="inlineStr">
        <is>
          <t>P-35</t>
        </is>
      </c>
      <c r="I1729" s="14" t="n">
        <v>1</v>
      </c>
      <c r="J1729" s="7" t="inlineStr">
        <is>
          <t>Full ship DD&amp;C</t>
        </is>
      </c>
      <c r="K1729" s="13" t="inlineStr">
        <is>
          <t>MSC</t>
        </is>
      </c>
      <c r="L1729" s="7" t="inlineStr">
        <is>
          <t>Combatant Ships</t>
        </is>
      </c>
      <c r="M1729" s="7" t="inlineStr">
        <is>
          <t>Combat Logistics Ships</t>
        </is>
      </c>
      <c r="N1729" s="7" t="inlineStr">
        <is>
          <t>T-AO</t>
        </is>
      </c>
      <c r="O1729" s="15" t="n"/>
      <c r="S1729" s="16" t="n">
        <v>2432</v>
      </c>
      <c r="U1729" s="16" t="n">
        <v>2432</v>
      </c>
      <c r="AC1729" s="23">
        <f>IF(OR(E1729="",E1729="[PARENT]"),"ADD",IF(E1729="[ALT_VIEW]","ALT",""))</f>
        <v/>
      </c>
      <c r="AD1729" s="21">
        <f>IF(Y1729&lt;&gt;"",Y1729,IF(U1729&lt;&gt;"",U1729,S1729))</f>
        <v/>
      </c>
      <c r="AE1729" s="21">
        <f>IF(AB1729&lt;&gt;"",AB1729,Z1729)</f>
        <v/>
      </c>
      <c r="AF1729" s="13" t="inlineStr">
        <is>
          <t>P-35 &gt; TAO Fleet Oiler &gt; Network Management System (NMS) 2.0/Consolidated Afloat Networks and Enterprise Services &gt; Software</t>
        </is>
      </c>
      <c r="AG1729" s="7" t="inlineStr">
        <is>
          <t>372</t>
        </is>
      </c>
      <c r="AH1729" s="7" t="inlineStr">
        <is>
          <t>5025</t>
        </is>
      </c>
    </row>
    <row r="1730" ht="10" customHeight="1">
      <c r="A1730" s="7" t="inlineStr">
        <is>
          <t>SCN</t>
        </is>
      </c>
      <c r="B1730" s="7" t="inlineStr">
        <is>
          <t>Procurement</t>
        </is>
      </c>
      <c r="D1730" s="7" t="inlineStr">
        <is>
          <t>TAO Fleet Oiler - P-35 Network Management System (NMS) 2.0/Consolidated Afloat Networks and Enterprise Services - Ship Installation</t>
        </is>
      </c>
      <c r="E1730" s="13" t="inlineStr">
        <is>
          <t>[ALT_VIEW]</t>
        </is>
      </c>
      <c r="F1730" s="7" t="inlineStr">
        <is>
          <t>5025 / TAO Fleet Oiler</t>
        </is>
      </c>
      <c r="G1730" s="7" t="inlineStr">
        <is>
          <t>P-35</t>
        </is>
      </c>
      <c r="I1730" s="14" t="n">
        <v>1</v>
      </c>
      <c r="J1730" s="7" t="inlineStr">
        <is>
          <t>Full ship DD&amp;C</t>
        </is>
      </c>
      <c r="K1730" s="13" t="inlineStr">
        <is>
          <t>MSC</t>
        </is>
      </c>
      <c r="L1730" s="7" t="inlineStr">
        <is>
          <t>Combatant Ships</t>
        </is>
      </c>
      <c r="M1730" s="7" t="inlineStr">
        <is>
          <t>Combat Logistics Ships</t>
        </is>
      </c>
      <c r="N1730" s="7" t="inlineStr">
        <is>
          <t>T-AO</t>
        </is>
      </c>
      <c r="O1730" s="15" t="n"/>
      <c r="S1730" s="16" t="n">
        <v>661</v>
      </c>
      <c r="U1730" s="16" t="n">
        <v>661</v>
      </c>
      <c r="AC1730" s="23">
        <f>IF(OR(E1730="",E1730="[PARENT]"),"ADD",IF(E1730="[ALT_VIEW]","ALT",""))</f>
        <v/>
      </c>
      <c r="AD1730" s="21">
        <f>IF(Y1730&lt;&gt;"",Y1730,IF(U1730&lt;&gt;"",U1730,S1730))</f>
        <v/>
      </c>
      <c r="AE1730" s="21">
        <f>IF(AB1730&lt;&gt;"",AB1730,Z1730)</f>
        <v/>
      </c>
      <c r="AF1730" s="13" t="inlineStr">
        <is>
          <t>P-35 &gt; TAO Fleet Oiler &gt; Network Management System (NMS) 2.0/Consolidated Afloat Networks and Enterprise Services &gt; Ship Installation</t>
        </is>
      </c>
      <c r="AG1730" s="7" t="inlineStr">
        <is>
          <t>372</t>
        </is>
      </c>
      <c r="AH1730" s="7" t="inlineStr">
        <is>
          <t>5025</t>
        </is>
      </c>
    </row>
    <row r="1731" ht="10" customHeight="1">
      <c r="A1731" s="7" t="inlineStr">
        <is>
          <t>SCN</t>
        </is>
      </c>
      <c r="B1731" s="7" t="inlineStr">
        <is>
          <t>Procurement</t>
        </is>
      </c>
      <c r="D1731" s="7" t="inlineStr">
        <is>
          <t>TAO Fleet Oiler - P-35 Network Management System (NMS) 2.0/Consolidated Afloat Networks and Enterprise Services - Program Management</t>
        </is>
      </c>
      <c r="E1731" s="13" t="inlineStr">
        <is>
          <t>[ALT_VIEW]</t>
        </is>
      </c>
      <c r="F1731" s="7" t="inlineStr">
        <is>
          <t>5025 / TAO Fleet Oiler</t>
        </is>
      </c>
      <c r="G1731" s="7" t="inlineStr">
        <is>
          <t>P-35</t>
        </is>
      </c>
      <c r="I1731" s="14" t="n">
        <v>1</v>
      </c>
      <c r="J1731" s="7" t="inlineStr">
        <is>
          <t>Full ship DD&amp;C</t>
        </is>
      </c>
      <c r="K1731" s="13" t="inlineStr">
        <is>
          <t>MSC</t>
        </is>
      </c>
      <c r="L1731" s="7" t="inlineStr">
        <is>
          <t>Combatant Ships</t>
        </is>
      </c>
      <c r="M1731" s="7" t="inlineStr">
        <is>
          <t>Combat Logistics Ships</t>
        </is>
      </c>
      <c r="N1731" s="7" t="inlineStr">
        <is>
          <t>T-AO</t>
        </is>
      </c>
      <c r="O1731" s="15" t="n"/>
      <c r="S1731" s="16" t="n">
        <v>854</v>
      </c>
      <c r="U1731" s="16" t="n">
        <v>854</v>
      </c>
      <c r="AC1731" s="23">
        <f>IF(OR(E1731="",E1731="[PARENT]"),"ADD",IF(E1731="[ALT_VIEW]","ALT",""))</f>
        <v/>
      </c>
      <c r="AD1731" s="21">
        <f>IF(Y1731&lt;&gt;"",Y1731,IF(U1731&lt;&gt;"",U1731,S1731))</f>
        <v/>
      </c>
      <c r="AE1731" s="21">
        <f>IF(AB1731&lt;&gt;"",AB1731,Z1731)</f>
        <v/>
      </c>
      <c r="AF1731" s="13" t="inlineStr">
        <is>
          <t>P-35 &gt; TAO Fleet Oiler &gt; Network Management System (NMS) 2.0/Consolidated Afloat Networks and Enterprise Services &gt; Program Management</t>
        </is>
      </c>
      <c r="AG1731" s="7" t="inlineStr">
        <is>
          <t>372</t>
        </is>
      </c>
      <c r="AH1731" s="7" t="inlineStr">
        <is>
          <t>5025</t>
        </is>
      </c>
    </row>
    <row r="1732" ht="10" customHeight="1">
      <c r="A1732" s="7" t="inlineStr">
        <is>
          <t>SCN</t>
        </is>
      </c>
      <c r="B1732" s="7" t="inlineStr">
        <is>
          <t>Procurement</t>
        </is>
      </c>
      <c r="D1732" s="7" t="inlineStr">
        <is>
          <t>TAO Fleet Oiler - P-35 Network Management System (NMS) 2.0/Consolidated Afloat Networks and Enterprise Services - Integrated Logistics Support and Data</t>
        </is>
      </c>
      <c r="E1732" s="13" t="inlineStr">
        <is>
          <t>[ALT_VIEW]</t>
        </is>
      </c>
      <c r="F1732" s="7" t="inlineStr">
        <is>
          <t>5025 / TAO Fleet Oiler</t>
        </is>
      </c>
      <c r="G1732" s="7" t="inlineStr">
        <is>
          <t>P-35</t>
        </is>
      </c>
      <c r="I1732" s="14" t="n">
        <v>1</v>
      </c>
      <c r="J1732" s="7" t="inlineStr">
        <is>
          <t>Full ship DD&amp;C</t>
        </is>
      </c>
      <c r="K1732" s="13" t="inlineStr">
        <is>
          <t>MSC</t>
        </is>
      </c>
      <c r="L1732" s="7" t="inlineStr">
        <is>
          <t>Combatant Ships</t>
        </is>
      </c>
      <c r="M1732" s="7" t="inlineStr">
        <is>
          <t>Combat Logistics Ships</t>
        </is>
      </c>
      <c r="N1732" s="7" t="inlineStr">
        <is>
          <t>T-AO</t>
        </is>
      </c>
      <c r="O1732" s="15" t="n"/>
      <c r="S1732" s="16" t="n">
        <v>1077</v>
      </c>
      <c r="U1732" s="16" t="n">
        <v>1077</v>
      </c>
      <c r="AC1732" s="23">
        <f>IF(OR(E1732="",E1732="[PARENT]"),"ADD",IF(E1732="[ALT_VIEW]","ALT",""))</f>
        <v/>
      </c>
      <c r="AD1732" s="21">
        <f>IF(Y1732&lt;&gt;"",Y1732,IF(U1732&lt;&gt;"",U1732,S1732))</f>
        <v/>
      </c>
      <c r="AE1732" s="21">
        <f>IF(AB1732&lt;&gt;"",AB1732,Z1732)</f>
        <v/>
      </c>
      <c r="AF1732" s="13" t="inlineStr">
        <is>
          <t>P-35 &gt; TAO Fleet Oiler &gt; Network Management System (NMS) 2.0/Consolidated Afloat Networks and Enterprise Services &gt; Integrated Logistics Support and Data</t>
        </is>
      </c>
      <c r="AG1732" s="7" t="inlineStr">
        <is>
          <t>372</t>
        </is>
      </c>
      <c r="AH1732" s="7" t="inlineStr">
        <is>
          <t>5025</t>
        </is>
      </c>
    </row>
    <row r="1733" ht="10" customHeight="1">
      <c r="A1733" s="7" t="inlineStr">
        <is>
          <t>SCN</t>
        </is>
      </c>
      <c r="B1733" s="7" t="inlineStr">
        <is>
          <t>Procurement</t>
        </is>
      </c>
      <c r="D1733" s="7" t="inlineStr">
        <is>
          <t>TAGOS Surtass Ships - P-5c - Plan Costs</t>
        </is>
      </c>
      <c r="E1733" s="13" t="inlineStr">
        <is>
          <t>[ALT_VIEW]</t>
        </is>
      </c>
      <c r="F1733" s="7" t="inlineStr">
        <is>
          <t>5030 / TAGOS Surtass Ships</t>
        </is>
      </c>
      <c r="G1733" s="7" t="inlineStr">
        <is>
          <t>P-5c</t>
        </is>
      </c>
      <c r="H1733" s="7" t="inlineStr">
        <is>
          <t>Plan Costs</t>
        </is>
      </c>
      <c r="I1733" s="14" t="n">
        <v>1</v>
      </c>
      <c r="J1733" s="7" t="inlineStr">
        <is>
          <t>Full ship DD&amp;C</t>
        </is>
      </c>
      <c r="K1733" s="13" t="inlineStr">
        <is>
          <t>MSC</t>
        </is>
      </c>
      <c r="L1733" s="7" t="inlineStr">
        <is>
          <t>Combatant Ships</t>
        </is>
      </c>
      <c r="M1733" s="7" t="inlineStr">
        <is>
          <t>Surveillance Ships</t>
        </is>
      </c>
      <c r="N1733" s="7" t="inlineStr">
        <is>
          <t>T-AGOS</t>
        </is>
      </c>
      <c r="O1733" s="15" t="n"/>
      <c r="S1733" s="16" t="n">
        <v>113906</v>
      </c>
      <c r="U1733" s="16" t="n">
        <v>113906</v>
      </c>
      <c r="AC1733" s="23">
        <f>IF(OR(E1733="",E1733="[PARENT]"),"ADD",IF(E1733="[ALT_VIEW]","ALT",""))</f>
        <v/>
      </c>
      <c r="AD1733" s="21">
        <f>IF(Y1733&lt;&gt;"",Y1733,IF(U1733&lt;&gt;"",U1733,S1733))</f>
        <v/>
      </c>
      <c r="AE1733" s="21">
        <f>IF(AB1733&lt;&gt;"",AB1733,Z1733)</f>
        <v/>
      </c>
      <c r="AF1733" s="13" t="inlineStr">
        <is>
          <t>P-5c &gt; TAGOS Surtass Ships &gt; Plan Costs</t>
        </is>
      </c>
      <c r="AG1733" s="7" t="inlineStr">
        <is>
          <t>375</t>
        </is>
      </c>
      <c r="AH1733" s="7" t="inlineStr">
        <is>
          <t>5030</t>
        </is>
      </c>
      <c r="AJ1733" s="7" t="inlineStr">
        <is>
          <t>Plan</t>
        </is>
      </c>
    </row>
    <row r="1734" ht="10" customHeight="1">
      <c r="A1734" s="7" t="inlineStr">
        <is>
          <t>SCN</t>
        </is>
      </c>
      <c r="B1734" s="7" t="inlineStr">
        <is>
          <t>Procurement</t>
        </is>
      </c>
      <c r="D1734" s="7" t="inlineStr">
        <is>
          <t>TAGOS Surtass Ships - P-5c - Basic Construction</t>
        </is>
      </c>
      <c r="E1734" s="13" t="inlineStr">
        <is>
          <t>[ALT_VIEW]</t>
        </is>
      </c>
      <c r="F1734" s="7" t="inlineStr">
        <is>
          <t>5030 / TAGOS Surtass Ships</t>
        </is>
      </c>
      <c r="G1734" s="7" t="inlineStr">
        <is>
          <t>P-5c</t>
        </is>
      </c>
      <c r="H1734" s="7" t="inlineStr">
        <is>
          <t>Basic Construction</t>
        </is>
      </c>
      <c r="I1734" s="14" t="n">
        <v>1</v>
      </c>
      <c r="J1734" s="7" t="inlineStr">
        <is>
          <t>Full ship DD&amp;C</t>
        </is>
      </c>
      <c r="K1734" s="13" t="inlineStr">
        <is>
          <t>MSC</t>
        </is>
      </c>
      <c r="L1734" s="7" t="inlineStr">
        <is>
          <t>Combatant Ships</t>
        </is>
      </c>
      <c r="M1734" s="7" t="inlineStr">
        <is>
          <t>Surveillance Ships</t>
        </is>
      </c>
      <c r="N1734" s="7" t="inlineStr">
        <is>
          <t>T-AGOS</t>
        </is>
      </c>
      <c r="O1734" s="15" t="n"/>
      <c r="P1734" s="16" t="n">
        <v>528974</v>
      </c>
      <c r="S1734" s="16" t="n">
        <v>460560</v>
      </c>
      <c r="U1734" s="16" t="n">
        <v>460560</v>
      </c>
      <c r="AC1734" s="23">
        <f>IF(OR(E1734="",E1734="[PARENT]"),"ADD",IF(E1734="[ALT_VIEW]","ALT",""))</f>
        <v/>
      </c>
      <c r="AD1734" s="21">
        <f>IF(Y1734&lt;&gt;"",Y1734,IF(U1734&lt;&gt;"",U1734,S1734))</f>
        <v/>
      </c>
      <c r="AE1734" s="21">
        <f>IF(AB1734&lt;&gt;"",AB1734,Z1734)</f>
        <v/>
      </c>
      <c r="AF1734" s="13" t="inlineStr">
        <is>
          <t>P-5c &gt; TAGOS Surtass Ships &gt; Basic Construction</t>
        </is>
      </c>
      <c r="AG1734" s="7" t="inlineStr">
        <is>
          <t>375</t>
        </is>
      </c>
      <c r="AH1734" s="7" t="inlineStr">
        <is>
          <t>5030</t>
        </is>
      </c>
      <c r="AJ1734" s="7" t="inlineStr">
        <is>
          <t>Basic Construction</t>
        </is>
      </c>
    </row>
    <row r="1735" ht="10" customHeight="1">
      <c r="A1735" s="7" t="inlineStr">
        <is>
          <t>SCN</t>
        </is>
      </c>
      <c r="B1735" s="7" t="inlineStr">
        <is>
          <t>Procurement</t>
        </is>
      </c>
      <c r="D1735" s="7" t="inlineStr">
        <is>
          <t>TAGOS Surtass Ships - P-5c - Change Orders</t>
        </is>
      </c>
      <c r="E1735" s="13" t="inlineStr">
        <is>
          <t>[ALT_VIEW]</t>
        </is>
      </c>
      <c r="F1735" s="7" t="inlineStr">
        <is>
          <t>5030 / TAGOS Surtass Ships</t>
        </is>
      </c>
      <c r="G1735" s="7" t="inlineStr">
        <is>
          <t>P-5c</t>
        </is>
      </c>
      <c r="H1735" s="7" t="inlineStr">
        <is>
          <t>Change Orders</t>
        </is>
      </c>
      <c r="I1735" s="14" t="n">
        <v>1</v>
      </c>
      <c r="J1735" s="7" t="inlineStr">
        <is>
          <t>Full ship DD&amp;C</t>
        </is>
      </c>
      <c r="K1735" s="13" t="inlineStr">
        <is>
          <t>MSC</t>
        </is>
      </c>
      <c r="L1735" s="7" t="inlineStr">
        <is>
          <t>Combatant Ships</t>
        </is>
      </c>
      <c r="M1735" s="7" t="inlineStr">
        <is>
          <t>Surveillance Ships</t>
        </is>
      </c>
      <c r="N1735" s="7" t="inlineStr">
        <is>
          <t>T-AGOS</t>
        </is>
      </c>
      <c r="O1735" s="15" t="n"/>
      <c r="P1735" s="16" t="n">
        <v>11470</v>
      </c>
      <c r="S1735" s="16" t="n">
        <v>13662</v>
      </c>
      <c r="U1735" s="16" t="n">
        <v>13662</v>
      </c>
      <c r="AC1735" s="23">
        <f>IF(OR(E1735="",E1735="[PARENT]"),"ADD",IF(E1735="[ALT_VIEW]","ALT",""))</f>
        <v/>
      </c>
      <c r="AD1735" s="21">
        <f>IF(Y1735&lt;&gt;"",Y1735,IF(U1735&lt;&gt;"",U1735,S1735))</f>
        <v/>
      </c>
      <c r="AE1735" s="21">
        <f>IF(AB1735&lt;&gt;"",AB1735,Z1735)</f>
        <v/>
      </c>
      <c r="AF1735" s="13" t="inlineStr">
        <is>
          <t>P-5c &gt; TAGOS Surtass Ships &gt; Change Orders</t>
        </is>
      </c>
      <c r="AG1735" s="7" t="inlineStr">
        <is>
          <t>375</t>
        </is>
      </c>
      <c r="AH1735" s="7" t="inlineStr">
        <is>
          <t>5030</t>
        </is>
      </c>
      <c r="AJ1735" s="7" t="inlineStr">
        <is>
          <t>Change Orders</t>
        </is>
      </c>
    </row>
    <row r="1736" ht="10" customHeight="1">
      <c r="A1736" s="7" t="inlineStr">
        <is>
          <t>SCN</t>
        </is>
      </c>
      <c r="B1736" s="7" t="inlineStr">
        <is>
          <t>Procurement</t>
        </is>
      </c>
      <c r="D1736" s="7" t="inlineStr">
        <is>
          <t>TAGOS Surtass Ships - P-5c - Electronics</t>
        </is>
      </c>
      <c r="E1736" s="13" t="inlineStr">
        <is>
          <t>[ALT_VIEW]</t>
        </is>
      </c>
      <c r="F1736" s="7" t="inlineStr">
        <is>
          <t>5030 / TAGOS Surtass Ships</t>
        </is>
      </c>
      <c r="G1736" s="7" t="inlineStr">
        <is>
          <t>P-5c</t>
        </is>
      </c>
      <c r="H1736" s="7" t="inlineStr">
        <is>
          <t>Electronics</t>
        </is>
      </c>
      <c r="I1736" s="14" t="n">
        <v>1</v>
      </c>
      <c r="J1736" s="7" t="inlineStr">
        <is>
          <t>Full ship DD&amp;C</t>
        </is>
      </c>
      <c r="K1736" s="13" t="inlineStr">
        <is>
          <t>MSC</t>
        </is>
      </c>
      <c r="L1736" s="7" t="inlineStr">
        <is>
          <t>Combatant Ships</t>
        </is>
      </c>
      <c r="M1736" s="7" t="inlineStr">
        <is>
          <t>Surveillance Ships</t>
        </is>
      </c>
      <c r="N1736" s="7" t="inlineStr">
        <is>
          <t>T-AGOS</t>
        </is>
      </c>
      <c r="O1736" s="15" t="n"/>
      <c r="P1736" s="16" t="n">
        <v>105000</v>
      </c>
      <c r="S1736" s="16" t="n">
        <v>115983</v>
      </c>
      <c r="U1736" s="16" t="n">
        <v>115983</v>
      </c>
      <c r="AC1736" s="23">
        <f>IF(OR(E1736="",E1736="[PARENT]"),"ADD",IF(E1736="[ALT_VIEW]","ALT",""))</f>
        <v/>
      </c>
      <c r="AD1736" s="21">
        <f>IF(Y1736&lt;&gt;"",Y1736,IF(U1736&lt;&gt;"",U1736,S1736))</f>
        <v/>
      </c>
      <c r="AE1736" s="21">
        <f>IF(AB1736&lt;&gt;"",AB1736,Z1736)</f>
        <v/>
      </c>
      <c r="AF1736" s="13" t="inlineStr">
        <is>
          <t>P-5c &gt; TAGOS Surtass Ships &gt; Electronics</t>
        </is>
      </c>
      <c r="AG1736" s="7" t="inlineStr">
        <is>
          <t>375</t>
        </is>
      </c>
      <c r="AH1736" s="7" t="inlineStr">
        <is>
          <t>5030</t>
        </is>
      </c>
    </row>
    <row r="1737" ht="10" customHeight="1">
      <c r="A1737" s="7" t="inlineStr">
        <is>
          <t>SCN</t>
        </is>
      </c>
      <c r="B1737" s="7" t="inlineStr">
        <is>
          <t>Procurement</t>
        </is>
      </c>
      <c r="D1737" s="7" t="inlineStr">
        <is>
          <t>TAGOS Surtass Ships - P-5c - Hull, Mechanical, and Electrical</t>
        </is>
      </c>
      <c r="E1737" s="13" t="inlineStr">
        <is>
          <t>[ALT_VIEW]</t>
        </is>
      </c>
      <c r="F1737" s="7" t="inlineStr">
        <is>
          <t>5030 / TAGOS Surtass Ships</t>
        </is>
      </c>
      <c r="G1737" s="7" t="inlineStr">
        <is>
          <t>P-5c</t>
        </is>
      </c>
      <c r="H1737" s="7" t="inlineStr">
        <is>
          <t>Hull, Mechanical, and Electrical</t>
        </is>
      </c>
      <c r="I1737" s="14" t="n">
        <v>1</v>
      </c>
      <c r="J1737" s="7" t="inlineStr">
        <is>
          <t>Full ship DD&amp;C</t>
        </is>
      </c>
      <c r="K1737" s="13" t="inlineStr">
        <is>
          <t>MSC</t>
        </is>
      </c>
      <c r="L1737" s="7" t="inlineStr">
        <is>
          <t>Combatant Ships</t>
        </is>
      </c>
      <c r="M1737" s="7" t="inlineStr">
        <is>
          <t>Surveillance Ships</t>
        </is>
      </c>
      <c r="N1737" s="7" t="inlineStr">
        <is>
          <t>T-AGOS</t>
        </is>
      </c>
      <c r="O1737" s="15" t="n"/>
      <c r="P1737" s="16" t="n">
        <v>30200</v>
      </c>
      <c r="S1737" s="16" t="n">
        <v>22000</v>
      </c>
      <c r="U1737" s="16" t="n">
        <v>22000</v>
      </c>
      <c r="AC1737" s="23">
        <f>IF(OR(E1737="",E1737="[PARENT]"),"ADD",IF(E1737="[ALT_VIEW]","ALT",""))</f>
        <v/>
      </c>
      <c r="AD1737" s="21">
        <f>IF(Y1737&lt;&gt;"",Y1737,IF(U1737&lt;&gt;"",U1737,S1737))</f>
        <v/>
      </c>
      <c r="AE1737" s="21">
        <f>IF(AB1737&lt;&gt;"",AB1737,Z1737)</f>
        <v/>
      </c>
      <c r="AF1737" s="13" t="inlineStr">
        <is>
          <t>P-5c &gt; TAGOS Surtass Ships &gt; Hull, Mechanical, and Electrical</t>
        </is>
      </c>
      <c r="AG1737" s="7" t="inlineStr">
        <is>
          <t>375</t>
        </is>
      </c>
      <c r="AH1737" s="7" t="inlineStr">
        <is>
          <t>5030</t>
        </is>
      </c>
      <c r="AJ1737" s="7" t="inlineStr">
        <is>
          <t>HME</t>
        </is>
      </c>
    </row>
    <row r="1738" ht="10" customHeight="1">
      <c r="A1738" s="7" t="inlineStr">
        <is>
          <t>SCN</t>
        </is>
      </c>
      <c r="B1738" s="7" t="inlineStr">
        <is>
          <t>Procurement</t>
        </is>
      </c>
      <c r="D1738" s="7" t="inlineStr">
        <is>
          <t>TAGOS Surtass Ships - P-8a Electronics - Command, Control, Communications, Computers and Intelligence (C4I) 1</t>
        </is>
      </c>
      <c r="E1738" s="13" t="inlineStr">
        <is>
          <t>[ALT_VIEW]</t>
        </is>
      </c>
      <c r="F1738" s="7" t="inlineStr">
        <is>
          <t>5030 / TAGOS Surtass Ships</t>
        </is>
      </c>
      <c r="G1738" s="7" t="inlineStr">
        <is>
          <t>P-8a</t>
        </is>
      </c>
      <c r="H1738" s="7" t="inlineStr">
        <is>
          <t>Electronics</t>
        </is>
      </c>
      <c r="I1738" s="14" t="n">
        <v>1</v>
      </c>
      <c r="J1738" s="7" t="inlineStr">
        <is>
          <t>Full ship DD&amp;C</t>
        </is>
      </c>
      <c r="K1738" s="13" t="inlineStr">
        <is>
          <t>MSC</t>
        </is>
      </c>
      <c r="L1738" s="7" t="inlineStr">
        <is>
          <t>Combatant Ships</t>
        </is>
      </c>
      <c r="M1738" s="7" t="inlineStr">
        <is>
          <t>Surveillance Ships</t>
        </is>
      </c>
      <c r="N1738" s="7" t="inlineStr">
        <is>
          <t>T-AGOS</t>
        </is>
      </c>
      <c r="O1738" s="15" t="n"/>
      <c r="P1738" s="16" t="n">
        <v>33747</v>
      </c>
      <c r="S1738" s="16" t="n">
        <v>26468</v>
      </c>
      <c r="U1738" s="16" t="n">
        <v>26468</v>
      </c>
      <c r="AC1738" s="23">
        <f>IF(OR(E1738="",E1738="[PARENT]"),"ADD",IF(E1738="[ALT_VIEW]","ALT",""))</f>
        <v/>
      </c>
      <c r="AD1738" s="21">
        <f>IF(Y1738&lt;&gt;"",Y1738,IF(U1738&lt;&gt;"",U1738,S1738))</f>
        <v/>
      </c>
      <c r="AE1738" s="21">
        <f>IF(AB1738&lt;&gt;"",AB1738,Z1738)</f>
        <v/>
      </c>
      <c r="AF1738" s="13" t="inlineStr">
        <is>
          <t>P-8a &gt; TAGOS Surtass Ships &gt; Electronics &gt; Command, Control, Communications, Computers and Intelligence (C4I) 1</t>
        </is>
      </c>
      <c r="AG1738" s="7" t="inlineStr">
        <is>
          <t>377</t>
        </is>
      </c>
      <c r="AH1738" s="7" t="inlineStr">
        <is>
          <t>5030</t>
        </is>
      </c>
      <c r="AJ1738" s="7" t="inlineStr">
        <is>
          <t>Command, Control, Communications, Computers and Intelligence (C4I)</t>
        </is>
      </c>
    </row>
    <row r="1739" ht="10" customHeight="1">
      <c r="A1739" s="7" t="inlineStr">
        <is>
          <t>SCN</t>
        </is>
      </c>
      <c r="B1739" s="7" t="inlineStr">
        <is>
          <t>Procurement</t>
        </is>
      </c>
      <c r="D1739" s="7" t="inlineStr">
        <is>
          <t>TAGOS Surtass Ships - P-8a Electronics - Surveillance Towed Array Sensor System (SURTASS) 4</t>
        </is>
      </c>
      <c r="E1739" s="13" t="inlineStr">
        <is>
          <t>[ALT_VIEW]</t>
        </is>
      </c>
      <c r="F1739" s="7" t="inlineStr">
        <is>
          <t>5030 / TAGOS Surtass Ships</t>
        </is>
      </c>
      <c r="G1739" s="7" t="inlineStr">
        <is>
          <t>P-8a</t>
        </is>
      </c>
      <c r="H1739" s="7" t="inlineStr">
        <is>
          <t>Electronics</t>
        </is>
      </c>
      <c r="I1739" s="14" t="n">
        <v>1</v>
      </c>
      <c r="J1739" s="7" t="inlineStr">
        <is>
          <t>Full ship DD&amp;C</t>
        </is>
      </c>
      <c r="K1739" s="13" t="inlineStr">
        <is>
          <t>MSC</t>
        </is>
      </c>
      <c r="L1739" s="7" t="inlineStr">
        <is>
          <t>Combatant Ships</t>
        </is>
      </c>
      <c r="M1739" s="7" t="inlineStr">
        <is>
          <t>Surveillance Ships</t>
        </is>
      </c>
      <c r="N1739" s="7" t="inlineStr">
        <is>
          <t>T-AGOS</t>
        </is>
      </c>
      <c r="O1739" s="15" t="n"/>
      <c r="P1739" s="16" t="n">
        <v>71253</v>
      </c>
      <c r="S1739" s="16" t="n">
        <v>89515</v>
      </c>
      <c r="U1739" s="16" t="n">
        <v>89515</v>
      </c>
      <c r="AC1739" s="23">
        <f>IF(OR(E1739="",E1739="[PARENT]"),"ADD",IF(E1739="[ALT_VIEW]","ALT",""))</f>
        <v/>
      </c>
      <c r="AD1739" s="21">
        <f>IF(Y1739&lt;&gt;"",Y1739,IF(U1739&lt;&gt;"",U1739,S1739))</f>
        <v/>
      </c>
      <c r="AE1739" s="21">
        <f>IF(AB1739&lt;&gt;"",AB1739,Z1739)</f>
        <v/>
      </c>
      <c r="AF1739" s="13" t="inlineStr">
        <is>
          <t>P-8a &gt; TAGOS Surtass Ships &gt; Electronics &gt; Surveillance Towed Array Sensor System (SURTASS) 4</t>
        </is>
      </c>
      <c r="AG1739" s="7" t="inlineStr">
        <is>
          <t>377</t>
        </is>
      </c>
      <c r="AH1739" s="7" t="inlineStr">
        <is>
          <t>5030</t>
        </is>
      </c>
      <c r="AJ1739" s="7" t="inlineStr">
        <is>
          <t>Surveillance Towed Array Sensor System (SURTASS)</t>
        </is>
      </c>
    </row>
    <row r="1740" ht="10" customHeight="1">
      <c r="A1740" s="7" t="inlineStr">
        <is>
          <t>SCN</t>
        </is>
      </c>
      <c r="B1740" s="7" t="inlineStr">
        <is>
          <t>Procurement</t>
        </is>
      </c>
      <c r="D1740" s="7" t="inlineStr">
        <is>
          <t>TAGOS Surtass Ships - P-35 Command, Control, Communications, Computers and Intelligence (C4I) - Major Hardware                                                                                            1</t>
        </is>
      </c>
      <c r="E1740" s="13" t="inlineStr">
        <is>
          <t>[ALT_VIEW]</t>
        </is>
      </c>
      <c r="F1740" s="7" t="inlineStr">
        <is>
          <t>5030 / TAGOS Surtass Ships</t>
        </is>
      </c>
      <c r="G1740" s="7" t="inlineStr">
        <is>
          <t>P-35</t>
        </is>
      </c>
      <c r="I1740" s="14" t="n">
        <v>1</v>
      </c>
      <c r="J1740" s="7" t="inlineStr">
        <is>
          <t>Full ship DD&amp;C</t>
        </is>
      </c>
      <c r="K1740" s="13" t="inlineStr">
        <is>
          <t>MSC</t>
        </is>
      </c>
      <c r="L1740" s="7" t="inlineStr">
        <is>
          <t>Combatant Ships</t>
        </is>
      </c>
      <c r="M1740" s="7" t="inlineStr">
        <is>
          <t>Surveillance Ships</t>
        </is>
      </c>
      <c r="N1740" s="7" t="inlineStr">
        <is>
          <t>T-AGOS</t>
        </is>
      </c>
      <c r="O1740" s="15" t="n"/>
      <c r="P1740" s="16" t="n">
        <v>14274</v>
      </c>
      <c r="S1740" s="16" t="n">
        <v>14022</v>
      </c>
      <c r="U1740" s="16" t="n">
        <v>14022</v>
      </c>
      <c r="AC1740" s="23">
        <f>IF(OR(E1740="",E1740="[PARENT]"),"ADD",IF(E1740="[ALT_VIEW]","ALT",""))</f>
        <v/>
      </c>
      <c r="AD1740" s="21">
        <f>IF(Y1740&lt;&gt;"",Y1740,IF(U1740&lt;&gt;"",U1740,S1740))</f>
        <v/>
      </c>
      <c r="AE1740" s="21">
        <f>IF(AB1740&lt;&gt;"",AB1740,Z1740)</f>
        <v/>
      </c>
      <c r="AF1740" s="13" t="inlineStr">
        <is>
          <t>P-35 &gt; TAGOS Surtass Ships &gt; Command, Control, Communications, Computers and Intelligence (C4I) &gt; Major Hardware                                                                                            1</t>
        </is>
      </c>
      <c r="AG1740" s="7" t="inlineStr">
        <is>
          <t>378</t>
        </is>
      </c>
      <c r="AH1740" s="7" t="inlineStr">
        <is>
          <t>5030</t>
        </is>
      </c>
      <c r="AJ1740" s="7" t="inlineStr">
        <is>
          <t>Command, Control, Communications, Computers and Intelligence (C4I) [T-AGOS 26]</t>
        </is>
      </c>
    </row>
    <row r="1741" ht="10" customHeight="1">
      <c r="A1741" s="7" t="inlineStr">
        <is>
          <t>SCN</t>
        </is>
      </c>
      <c r="B1741" s="7" t="inlineStr">
        <is>
          <t>Procurement</t>
        </is>
      </c>
      <c r="D1741" s="7" t="inlineStr">
        <is>
          <t>TAGOS Surtass Ships - P-35 Command, Control, Communications, Computers and Intelligence (C4I) - Ancillary Equipment</t>
        </is>
      </c>
      <c r="E1741" s="13" t="inlineStr">
        <is>
          <t>[ALT_VIEW]</t>
        </is>
      </c>
      <c r="F1741" s="7" t="inlineStr">
        <is>
          <t>5030 / TAGOS Surtass Ships</t>
        </is>
      </c>
      <c r="G1741" s="7" t="inlineStr">
        <is>
          <t>P-35</t>
        </is>
      </c>
      <c r="I1741" s="14" t="n">
        <v>1</v>
      </c>
      <c r="J1741" s="7" t="inlineStr">
        <is>
          <t>Full ship DD&amp;C</t>
        </is>
      </c>
      <c r="K1741" s="13" t="inlineStr">
        <is>
          <t>MSC</t>
        </is>
      </c>
      <c r="L1741" s="7" t="inlineStr">
        <is>
          <t>Combatant Ships</t>
        </is>
      </c>
      <c r="M1741" s="7" t="inlineStr">
        <is>
          <t>Surveillance Ships</t>
        </is>
      </c>
      <c r="N1741" s="7" t="inlineStr">
        <is>
          <t>T-AGOS</t>
        </is>
      </c>
      <c r="O1741" s="15" t="n"/>
      <c r="P1741" s="16" t="n">
        <v>13743</v>
      </c>
      <c r="S1741" s="16" t="n">
        <v>7792</v>
      </c>
      <c r="U1741" s="16" t="n">
        <v>7792</v>
      </c>
      <c r="AC1741" s="23">
        <f>IF(OR(E1741="",E1741="[PARENT]"),"ADD",IF(E1741="[ALT_VIEW]","ALT",""))</f>
        <v/>
      </c>
      <c r="AD1741" s="21">
        <f>IF(Y1741&lt;&gt;"",Y1741,IF(U1741&lt;&gt;"",U1741,S1741))</f>
        <v/>
      </c>
      <c r="AE1741" s="21">
        <f>IF(AB1741&lt;&gt;"",AB1741,Z1741)</f>
        <v/>
      </c>
      <c r="AF1741" s="13" t="inlineStr">
        <is>
          <t>P-35 &gt; TAGOS Surtass Ships &gt; Command, Control, Communications, Computers and Intelligence (C4I) &gt; Ancillary Equipment</t>
        </is>
      </c>
      <c r="AG1741" s="7" t="inlineStr">
        <is>
          <t>378</t>
        </is>
      </c>
      <c r="AH1741" s="7" t="inlineStr">
        <is>
          <t>5030</t>
        </is>
      </c>
      <c r="AJ1741" s="7" t="inlineStr">
        <is>
          <t>Command, Control, Communications, Computers and Intelligence (C4I)</t>
        </is>
      </c>
    </row>
    <row r="1742" ht="10" customHeight="1">
      <c r="A1742" s="7" t="inlineStr">
        <is>
          <t>SCN</t>
        </is>
      </c>
      <c r="B1742" s="7" t="inlineStr">
        <is>
          <t>Procurement</t>
        </is>
      </c>
      <c r="D1742" s="7" t="inlineStr">
        <is>
          <t>TAGOS Surtass Ships - P-35 Command, Control, Communications, Computers and Intelligence (C4I) - System Engineering                                                                                        0</t>
        </is>
      </c>
      <c r="E1742" s="13" t="inlineStr">
        <is>
          <t>[ALT_VIEW]</t>
        </is>
      </c>
      <c r="F1742" s="7" t="inlineStr">
        <is>
          <t>5030 / TAGOS Surtass Ships</t>
        </is>
      </c>
      <c r="G1742" s="7" t="inlineStr">
        <is>
          <t>P-35</t>
        </is>
      </c>
      <c r="I1742" s="14" t="n">
        <v>1</v>
      </c>
      <c r="J1742" s="7" t="inlineStr">
        <is>
          <t>Full ship DD&amp;C</t>
        </is>
      </c>
      <c r="K1742" s="13" t="inlineStr">
        <is>
          <t>MSC</t>
        </is>
      </c>
      <c r="L1742" s="7" t="inlineStr">
        <is>
          <t>Combatant Ships</t>
        </is>
      </c>
      <c r="M1742" s="7" t="inlineStr">
        <is>
          <t>Surveillance Ships</t>
        </is>
      </c>
      <c r="N1742" s="7" t="inlineStr">
        <is>
          <t>T-AGOS</t>
        </is>
      </c>
      <c r="O1742" s="15" t="n"/>
      <c r="P1742" s="16" t="n">
        <v>3252</v>
      </c>
      <c r="S1742" s="16" t="n">
        <v>1774</v>
      </c>
      <c r="U1742" s="16" t="n">
        <v>1774</v>
      </c>
      <c r="AC1742" s="23">
        <f>IF(OR(E1742="",E1742="[PARENT]"),"ADD",IF(E1742="[ALT_VIEW]","ALT",""))</f>
        <v/>
      </c>
      <c r="AD1742" s="21">
        <f>IF(Y1742&lt;&gt;"",Y1742,IF(U1742&lt;&gt;"",U1742,S1742))</f>
        <v/>
      </c>
      <c r="AE1742" s="21">
        <f>IF(AB1742&lt;&gt;"",AB1742,Z1742)</f>
        <v/>
      </c>
      <c r="AF1742" s="13" t="inlineStr">
        <is>
          <t>P-35 &gt; TAGOS Surtass Ships &gt; Command, Control, Communications, Computers and Intelligence (C4I) &gt; System Engineering                                                                                        0</t>
        </is>
      </c>
      <c r="AG1742" s="7" t="inlineStr">
        <is>
          <t>378</t>
        </is>
      </c>
      <c r="AH1742" s="7" t="inlineStr">
        <is>
          <t>5030</t>
        </is>
      </c>
      <c r="AJ1742" s="7" t="inlineStr">
        <is>
          <t>Command, Control, Communications, Computers and Intelligence (C4I)</t>
        </is>
      </c>
    </row>
    <row r="1743" ht="10" customHeight="1">
      <c r="A1743" s="7" t="inlineStr">
        <is>
          <t>SCN</t>
        </is>
      </c>
      <c r="B1743" s="7" t="inlineStr">
        <is>
          <t>Procurement</t>
        </is>
      </c>
      <c r="D1743" s="7" t="inlineStr">
        <is>
          <t>TAGOS Surtass Ships - P-35 Command, Control, Communications, Computers and Intelligence (C4I) - Other Costs</t>
        </is>
      </c>
      <c r="E1743" s="13" t="inlineStr">
        <is>
          <t>[ALT_VIEW]</t>
        </is>
      </c>
      <c r="F1743" s="7" t="inlineStr">
        <is>
          <t>5030 / TAGOS Surtass Ships</t>
        </is>
      </c>
      <c r="G1743" s="7" t="inlineStr">
        <is>
          <t>P-35</t>
        </is>
      </c>
      <c r="I1743" s="14" t="n">
        <v>1</v>
      </c>
      <c r="J1743" s="7" t="inlineStr">
        <is>
          <t>Full ship DD&amp;C</t>
        </is>
      </c>
      <c r="K1743" s="13" t="inlineStr">
        <is>
          <t>MSC</t>
        </is>
      </c>
      <c r="L1743" s="7" t="inlineStr">
        <is>
          <t>Combatant Ships</t>
        </is>
      </c>
      <c r="M1743" s="7" t="inlineStr">
        <is>
          <t>Surveillance Ships</t>
        </is>
      </c>
      <c r="N1743" s="7" t="inlineStr">
        <is>
          <t>T-AGOS</t>
        </is>
      </c>
      <c r="O1743" s="15" t="n"/>
      <c r="P1743" s="16" t="n">
        <v>2478</v>
      </c>
      <c r="S1743" s="16" t="n">
        <v>2880</v>
      </c>
      <c r="U1743" s="16" t="n">
        <v>2880</v>
      </c>
      <c r="AC1743" s="23">
        <f>IF(OR(E1743="",E1743="[PARENT]"),"ADD",IF(E1743="[ALT_VIEW]","ALT",""))</f>
        <v/>
      </c>
      <c r="AD1743" s="21">
        <f>IF(Y1743&lt;&gt;"",Y1743,IF(U1743&lt;&gt;"",U1743,S1743))</f>
        <v/>
      </c>
      <c r="AE1743" s="21">
        <f>IF(AB1743&lt;&gt;"",AB1743,Z1743)</f>
        <v/>
      </c>
      <c r="AF1743" s="13" t="inlineStr">
        <is>
          <t>P-35 &gt; TAGOS Surtass Ships &gt; Command, Control, Communications, Computers and Intelligence (C4I) &gt; Other Costs</t>
        </is>
      </c>
      <c r="AG1743" s="7" t="inlineStr">
        <is>
          <t>378</t>
        </is>
      </c>
      <c r="AH1743" s="7" t="inlineStr">
        <is>
          <t>5030</t>
        </is>
      </c>
      <c r="AJ1743" s="7" t="inlineStr">
        <is>
          <t>Command, Control, Communications, Computers and Intelligence (C4I)</t>
        </is>
      </c>
    </row>
    <row r="1744" ht="10" customHeight="1">
      <c r="A1744" s="7" t="inlineStr">
        <is>
          <t>SCN</t>
        </is>
      </c>
      <c r="B1744" s="7" t="inlineStr">
        <is>
          <t>Procurement</t>
        </is>
      </c>
      <c r="D1744" s="7" t="inlineStr">
        <is>
          <t>TAGOS Surtass Ships - P-35 Surveillance Towed Array Sensor System (SURTASS) - Major Hardware                                                                                                1</t>
        </is>
      </c>
      <c r="E1744" s="13" t="inlineStr">
        <is>
          <t>[ALT_VIEW]</t>
        </is>
      </c>
      <c r="F1744" s="7" t="inlineStr">
        <is>
          <t>5030 / TAGOS Surtass Ships</t>
        </is>
      </c>
      <c r="G1744" s="7" t="inlineStr">
        <is>
          <t>P-35</t>
        </is>
      </c>
      <c r="I1744" s="14" t="n">
        <v>1</v>
      </c>
      <c r="J1744" s="7" t="inlineStr">
        <is>
          <t>Full ship DD&amp;C</t>
        </is>
      </c>
      <c r="K1744" s="13" t="inlineStr">
        <is>
          <t>MSC</t>
        </is>
      </c>
      <c r="L1744" s="7" t="inlineStr">
        <is>
          <t>Combatant Ships</t>
        </is>
      </c>
      <c r="M1744" s="7" t="inlineStr">
        <is>
          <t>Surveillance Ships</t>
        </is>
      </c>
      <c r="N1744" s="7" t="inlineStr">
        <is>
          <t>T-AGOS</t>
        </is>
      </c>
      <c r="O1744" s="15" t="n"/>
      <c r="P1744" s="16" t="n">
        <v>30363</v>
      </c>
      <c r="S1744" s="16" t="n">
        <v>38145</v>
      </c>
      <c r="U1744" s="16" t="n">
        <v>38145</v>
      </c>
      <c r="AC1744" s="23">
        <f>IF(OR(E1744="",E1744="[PARENT]"),"ADD",IF(E1744="[ALT_VIEW]","ALT",""))</f>
        <v/>
      </c>
      <c r="AD1744" s="21">
        <f>IF(Y1744&lt;&gt;"",Y1744,IF(U1744&lt;&gt;"",U1744,S1744))</f>
        <v/>
      </c>
      <c r="AE1744" s="21">
        <f>IF(AB1744&lt;&gt;"",AB1744,Z1744)</f>
        <v/>
      </c>
      <c r="AF1744" s="13" t="inlineStr">
        <is>
          <t>P-35 &gt; TAGOS Surtass Ships &gt; Surveillance Towed Array Sensor System (SURTASS) &gt; Major Hardware                                                                                                1</t>
        </is>
      </c>
      <c r="AG1744" s="7" t="inlineStr">
        <is>
          <t>379</t>
        </is>
      </c>
      <c r="AH1744" s="7" t="inlineStr">
        <is>
          <t>5030</t>
        </is>
      </c>
      <c r="AJ1744" s="7" t="inlineStr">
        <is>
          <t>Surveillance Towed Array Sensor System (SURTASS) [T-AGOS 25]</t>
        </is>
      </c>
    </row>
    <row r="1745" ht="10" customHeight="1">
      <c r="A1745" s="7" t="inlineStr">
        <is>
          <t>SCN</t>
        </is>
      </c>
      <c r="B1745" s="7" t="inlineStr">
        <is>
          <t>Procurement</t>
        </is>
      </c>
      <c r="D1745" s="7" t="inlineStr">
        <is>
          <t>TAGOS Surtass Ships - P-35 Surveillance Towed Array Sensor System (SURTASS) - Ancillary Equipment</t>
        </is>
      </c>
      <c r="E1745" s="13" t="inlineStr">
        <is>
          <t>[ALT_VIEW]</t>
        </is>
      </c>
      <c r="F1745" s="7" t="inlineStr">
        <is>
          <t>5030 / TAGOS Surtass Ships</t>
        </is>
      </c>
      <c r="G1745" s="7" t="inlineStr">
        <is>
          <t>P-35</t>
        </is>
      </c>
      <c r="I1745" s="14" t="n">
        <v>1</v>
      </c>
      <c r="J1745" s="7" t="inlineStr">
        <is>
          <t>Full ship DD&amp;C</t>
        </is>
      </c>
      <c r="K1745" s="13" t="inlineStr">
        <is>
          <t>MSC</t>
        </is>
      </c>
      <c r="L1745" s="7" t="inlineStr">
        <is>
          <t>Combatant Ships</t>
        </is>
      </c>
      <c r="M1745" s="7" t="inlineStr">
        <is>
          <t>Surveillance Ships</t>
        </is>
      </c>
      <c r="N1745" s="7" t="inlineStr">
        <is>
          <t>T-AGOS</t>
        </is>
      </c>
      <c r="O1745" s="15" t="n"/>
      <c r="P1745" s="16" t="n">
        <v>3176</v>
      </c>
      <c r="S1745" s="16" t="n">
        <v>3990</v>
      </c>
      <c r="U1745" s="16" t="n">
        <v>3990</v>
      </c>
      <c r="AC1745" s="23">
        <f>IF(OR(E1745="",E1745="[PARENT]"),"ADD",IF(E1745="[ALT_VIEW]","ALT",""))</f>
        <v/>
      </c>
      <c r="AD1745" s="21">
        <f>IF(Y1745&lt;&gt;"",Y1745,IF(U1745&lt;&gt;"",U1745,S1745))</f>
        <v/>
      </c>
      <c r="AE1745" s="21">
        <f>IF(AB1745&lt;&gt;"",AB1745,Z1745)</f>
        <v/>
      </c>
      <c r="AF1745" s="13" t="inlineStr">
        <is>
          <t>P-35 &gt; TAGOS Surtass Ships &gt; Surveillance Towed Array Sensor System (SURTASS) &gt; Ancillary Equipment</t>
        </is>
      </c>
      <c r="AG1745" s="7" t="inlineStr">
        <is>
          <t>379</t>
        </is>
      </c>
      <c r="AH1745" s="7" t="inlineStr">
        <is>
          <t>5030</t>
        </is>
      </c>
      <c r="AJ1745" s="7" t="inlineStr">
        <is>
          <t>Surveillance Towed Array Sensor System (SURTASS)</t>
        </is>
      </c>
    </row>
    <row r="1746" ht="10" customHeight="1">
      <c r="A1746" s="7" t="inlineStr">
        <is>
          <t>SCN</t>
        </is>
      </c>
      <c r="B1746" s="7" t="inlineStr">
        <is>
          <t>Procurement</t>
        </is>
      </c>
      <c r="D1746" s="7" t="inlineStr">
        <is>
          <t>TAGOS Surtass Ships - P-35 Surveillance Towed Array Sensor System (SURTASS) - System Engineering</t>
        </is>
      </c>
      <c r="E1746" s="13" t="inlineStr">
        <is>
          <t>[ALT_VIEW]</t>
        </is>
      </c>
      <c r="F1746" s="7" t="inlineStr">
        <is>
          <t>5030 / TAGOS Surtass Ships</t>
        </is>
      </c>
      <c r="G1746" s="7" t="inlineStr">
        <is>
          <t>P-35</t>
        </is>
      </c>
      <c r="I1746" s="14" t="n">
        <v>1</v>
      </c>
      <c r="J1746" s="7" t="inlineStr">
        <is>
          <t>Full ship DD&amp;C</t>
        </is>
      </c>
      <c r="K1746" s="13" t="inlineStr">
        <is>
          <t>MSC</t>
        </is>
      </c>
      <c r="L1746" s="7" t="inlineStr">
        <is>
          <t>Combatant Ships</t>
        </is>
      </c>
      <c r="M1746" s="7" t="inlineStr">
        <is>
          <t>Surveillance Ships</t>
        </is>
      </c>
      <c r="N1746" s="7" t="inlineStr">
        <is>
          <t>T-AGOS</t>
        </is>
      </c>
      <c r="O1746" s="15" t="n"/>
      <c r="P1746" s="16" t="n">
        <v>4196</v>
      </c>
      <c r="S1746" s="16" t="n">
        <v>5271</v>
      </c>
      <c r="U1746" s="16" t="n">
        <v>5271</v>
      </c>
      <c r="AC1746" s="23">
        <f>IF(OR(E1746="",E1746="[PARENT]"),"ADD",IF(E1746="[ALT_VIEW]","ALT",""))</f>
        <v/>
      </c>
      <c r="AD1746" s="21">
        <f>IF(Y1746&lt;&gt;"",Y1746,IF(U1746&lt;&gt;"",U1746,S1746))</f>
        <v/>
      </c>
      <c r="AE1746" s="21">
        <f>IF(AB1746&lt;&gt;"",AB1746,Z1746)</f>
        <v/>
      </c>
      <c r="AF1746" s="13" t="inlineStr">
        <is>
          <t>P-35 &gt; TAGOS Surtass Ships &gt; Surveillance Towed Array Sensor System (SURTASS) &gt; System Engineering</t>
        </is>
      </c>
      <c r="AG1746" s="7" t="inlineStr">
        <is>
          <t>379</t>
        </is>
      </c>
      <c r="AH1746" s="7" t="inlineStr">
        <is>
          <t>5030</t>
        </is>
      </c>
      <c r="AJ1746" s="7" t="inlineStr">
        <is>
          <t>Surveillance Towed Array Sensor System (SURTASS)</t>
        </is>
      </c>
    </row>
    <row r="1747" ht="10" customHeight="1">
      <c r="A1747" s="7" t="inlineStr">
        <is>
          <t>SCN</t>
        </is>
      </c>
      <c r="B1747" s="7" t="inlineStr">
        <is>
          <t>Procurement</t>
        </is>
      </c>
      <c r="D1747" s="7" t="inlineStr">
        <is>
          <t>TAGOS Surtass Ships - P-35 Surveillance Towed Array Sensor System (SURTASS) - Active Array                                                                                                  1</t>
        </is>
      </c>
      <c r="E1747" s="13" t="inlineStr">
        <is>
          <t>[ALT_VIEW]</t>
        </is>
      </c>
      <c r="F1747" s="7" t="inlineStr">
        <is>
          <t>5030 / TAGOS Surtass Ships</t>
        </is>
      </c>
      <c r="G1747" s="7" t="inlineStr">
        <is>
          <t>P-35</t>
        </is>
      </c>
      <c r="I1747" s="14" t="n">
        <v>1</v>
      </c>
      <c r="J1747" s="7" t="inlineStr">
        <is>
          <t>Full ship DD&amp;C</t>
        </is>
      </c>
      <c r="K1747" s="13" t="inlineStr">
        <is>
          <t>MSC</t>
        </is>
      </c>
      <c r="L1747" s="7" t="inlineStr">
        <is>
          <t>Combatant Ships</t>
        </is>
      </c>
      <c r="M1747" s="7" t="inlineStr">
        <is>
          <t>Surveillance Ships</t>
        </is>
      </c>
      <c r="N1747" s="7" t="inlineStr">
        <is>
          <t>T-AGOS</t>
        </is>
      </c>
      <c r="O1747" s="15" t="n"/>
      <c r="P1747" s="16" t="n">
        <v>19604</v>
      </c>
      <c r="S1747" s="16" t="n">
        <v>24628</v>
      </c>
      <c r="U1747" s="16" t="n">
        <v>24628</v>
      </c>
      <c r="AC1747" s="23">
        <f>IF(OR(E1747="",E1747="[PARENT]"),"ADD",IF(E1747="[ALT_VIEW]","ALT",""))</f>
        <v/>
      </c>
      <c r="AD1747" s="21">
        <f>IF(Y1747&lt;&gt;"",Y1747,IF(U1747&lt;&gt;"",U1747,S1747))</f>
        <v/>
      </c>
      <c r="AE1747" s="21">
        <f>IF(AB1747&lt;&gt;"",AB1747,Z1747)</f>
        <v/>
      </c>
      <c r="AF1747" s="13" t="inlineStr">
        <is>
          <t>P-35 &gt; TAGOS Surtass Ships &gt; Surveillance Towed Array Sensor System (SURTASS) &gt; Active Array                                                                                                  1</t>
        </is>
      </c>
      <c r="AG1747" s="7" t="inlineStr">
        <is>
          <t>379</t>
        </is>
      </c>
      <c r="AH1747" s="7" t="inlineStr">
        <is>
          <t>5030</t>
        </is>
      </c>
      <c r="AJ1747" s="7" t="inlineStr">
        <is>
          <t>Surveillance Towed Array Sensor System (SURTASS)</t>
        </is>
      </c>
    </row>
    <row r="1748" ht="10" customHeight="1">
      <c r="A1748" s="7" t="inlineStr">
        <is>
          <t>SCN</t>
        </is>
      </c>
      <c r="B1748" s="7" t="inlineStr">
        <is>
          <t>Procurement</t>
        </is>
      </c>
      <c r="D1748" s="7" t="inlineStr">
        <is>
          <t>TAGOS Surtass Ships - P-35 Surveillance Towed Array Sensor System (SURTASS) - Active Handling System                                                                                        1</t>
        </is>
      </c>
      <c r="E1748" s="13" t="inlineStr">
        <is>
          <t>[ALT_VIEW]</t>
        </is>
      </c>
      <c r="F1748" s="7" t="inlineStr">
        <is>
          <t>5030 / TAGOS Surtass Ships</t>
        </is>
      </c>
      <c r="G1748" s="7" t="inlineStr">
        <is>
          <t>P-35</t>
        </is>
      </c>
      <c r="I1748" s="14" t="n">
        <v>1</v>
      </c>
      <c r="J1748" s="7" t="inlineStr">
        <is>
          <t>Full ship DD&amp;C</t>
        </is>
      </c>
      <c r="K1748" s="13" t="inlineStr">
        <is>
          <t>MSC</t>
        </is>
      </c>
      <c r="L1748" s="7" t="inlineStr">
        <is>
          <t>Combatant Ships</t>
        </is>
      </c>
      <c r="M1748" s="7" t="inlineStr">
        <is>
          <t>Surveillance Ships</t>
        </is>
      </c>
      <c r="N1748" s="7" t="inlineStr">
        <is>
          <t>T-AGOS</t>
        </is>
      </c>
      <c r="O1748" s="15" t="n"/>
      <c r="P1748" s="16" t="n">
        <v>9278</v>
      </c>
      <c r="S1748" s="16" t="n">
        <v>11656</v>
      </c>
      <c r="U1748" s="16" t="n">
        <v>11656</v>
      </c>
      <c r="AC1748" s="23">
        <f>IF(OR(E1748="",E1748="[PARENT]"),"ADD",IF(E1748="[ALT_VIEW]","ALT",""))</f>
        <v/>
      </c>
      <c r="AD1748" s="21">
        <f>IF(Y1748&lt;&gt;"",Y1748,IF(U1748&lt;&gt;"",U1748,S1748))</f>
        <v/>
      </c>
      <c r="AE1748" s="21">
        <f>IF(AB1748&lt;&gt;"",AB1748,Z1748)</f>
        <v/>
      </c>
      <c r="AF1748" s="13" t="inlineStr">
        <is>
          <t>P-35 &gt; TAGOS Surtass Ships &gt; Surveillance Towed Array Sensor System (SURTASS) &gt; Active Handling System                                                                                        1</t>
        </is>
      </c>
      <c r="AG1748" s="7" t="inlineStr">
        <is>
          <t>379</t>
        </is>
      </c>
      <c r="AH1748" s="7" t="inlineStr">
        <is>
          <t>5030</t>
        </is>
      </c>
    </row>
    <row r="1749" ht="10" customHeight="1">
      <c r="A1749" s="7" t="inlineStr">
        <is>
          <t>SCN</t>
        </is>
      </c>
      <c r="B1749" s="7" t="inlineStr">
        <is>
          <t>Procurement</t>
        </is>
      </c>
      <c r="D1749" s="7" t="inlineStr">
        <is>
          <t>TAGOS Surtass Ships - P-35 Surveillance Towed Array Sensor System (SURTASS) - Passive Handling System                                                                                       1</t>
        </is>
      </c>
      <c r="E1749" s="13" t="inlineStr">
        <is>
          <t>[ALT_VIEW]</t>
        </is>
      </c>
      <c r="F1749" s="7" t="inlineStr">
        <is>
          <t>5030 / TAGOS Surtass Ships</t>
        </is>
      </c>
      <c r="G1749" s="7" t="inlineStr">
        <is>
          <t>P-35</t>
        </is>
      </c>
      <c r="I1749" s="14" t="n">
        <v>1</v>
      </c>
      <c r="J1749" s="7" t="inlineStr">
        <is>
          <t>Full ship DD&amp;C</t>
        </is>
      </c>
      <c r="K1749" s="13" t="inlineStr">
        <is>
          <t>MSC</t>
        </is>
      </c>
      <c r="L1749" s="7" t="inlineStr">
        <is>
          <t>Combatant Ships</t>
        </is>
      </c>
      <c r="M1749" s="7" t="inlineStr">
        <is>
          <t>Surveillance Ships</t>
        </is>
      </c>
      <c r="N1749" s="7" t="inlineStr">
        <is>
          <t>T-AGOS</t>
        </is>
      </c>
      <c r="O1749" s="15" t="n"/>
      <c r="P1749" s="16" t="n">
        <v>4636</v>
      </c>
      <c r="S1749" s="16" t="n">
        <v>5825</v>
      </c>
      <c r="U1749" s="16" t="n">
        <v>5825</v>
      </c>
      <c r="AC1749" s="23">
        <f>IF(OR(E1749="",E1749="[PARENT]"),"ADD",IF(E1749="[ALT_VIEW]","ALT",""))</f>
        <v/>
      </c>
      <c r="AD1749" s="21">
        <f>IF(Y1749&lt;&gt;"",Y1749,IF(U1749&lt;&gt;"",U1749,S1749))</f>
        <v/>
      </c>
      <c r="AE1749" s="21">
        <f>IF(AB1749&lt;&gt;"",AB1749,Z1749)</f>
        <v/>
      </c>
      <c r="AF1749" s="13" t="inlineStr">
        <is>
          <t>P-35 &gt; TAGOS Surtass Ships &gt; Surveillance Towed Array Sensor System (SURTASS) &gt; Passive Handling System                                                                                       1</t>
        </is>
      </c>
      <c r="AG1749" s="7" t="inlineStr">
        <is>
          <t>379</t>
        </is>
      </c>
      <c r="AH1749" s="7" t="inlineStr">
        <is>
          <t>5030</t>
        </is>
      </c>
    </row>
    <row r="1750" ht="10" customHeight="1">
      <c r="A1750" s="7" t="inlineStr">
        <is>
          <t>SCN</t>
        </is>
      </c>
      <c r="B1750" s="7" t="inlineStr">
        <is>
          <t>Procurement</t>
        </is>
      </c>
      <c r="D1750" s="7" t="inlineStr">
        <is>
          <t>Towing, Salvage, and Rescue Ship (ATS) - P-5c - Basic Construction</t>
        </is>
      </c>
      <c r="E1750" s="13" t="inlineStr">
        <is>
          <t>[ALT_VIEW]</t>
        </is>
      </c>
      <c r="F1750" s="7" t="inlineStr">
        <is>
          <t>5035 / Towing Salvage and Rescue Ship (ATS)</t>
        </is>
      </c>
      <c r="G1750" s="7" t="inlineStr">
        <is>
          <t>P-5c</t>
        </is>
      </c>
      <c r="H1750" s="7" t="inlineStr">
        <is>
          <t>Basic Construction</t>
        </is>
      </c>
      <c r="I1750" s="14" t="n">
        <v>1</v>
      </c>
      <c r="J1750" s="7" t="inlineStr">
        <is>
          <t>Full ship DD&amp;C</t>
        </is>
      </c>
      <c r="K1750" s="13" t="inlineStr">
        <is>
          <t>MSC</t>
        </is>
      </c>
      <c r="L1750" s="7" t="inlineStr">
        <is>
          <t>Combatant Ships</t>
        </is>
      </c>
      <c r="M1750" s="7" t="inlineStr">
        <is>
          <t>Salvage Ships &amp; Fleet Ocean Tugs</t>
        </is>
      </c>
      <c r="N1750" s="7" t="inlineStr">
        <is>
          <t>T-ATS</t>
        </is>
      </c>
      <c r="O1750" s="15" t="n"/>
      <c r="P1750" s="16" t="n">
        <v>170643</v>
      </c>
      <c r="S1750" s="16" t="n">
        <v>82816</v>
      </c>
      <c r="U1750" s="16" t="n">
        <v>82816</v>
      </c>
      <c r="AC1750" s="23">
        <f>IF(OR(E1750="",E1750="[PARENT]"),"ADD",IF(E1750="[ALT_VIEW]","ALT",""))</f>
        <v/>
      </c>
      <c r="AD1750" s="21">
        <f>IF(Y1750&lt;&gt;"",Y1750,IF(U1750&lt;&gt;"",U1750,S1750))</f>
        <v/>
      </c>
      <c r="AE1750" s="21">
        <f>IF(AB1750&lt;&gt;"",AB1750,Z1750)</f>
        <v/>
      </c>
      <c r="AF1750" s="13" t="inlineStr">
        <is>
          <t>P-5c &gt; Towing, Salvage, and Rescue Ship (ATS) &gt; Basic Construction</t>
        </is>
      </c>
      <c r="AG1750" s="7" t="inlineStr">
        <is>
          <t>383</t>
        </is>
      </c>
      <c r="AH1750" s="7" t="inlineStr">
        <is>
          <t>5035</t>
        </is>
      </c>
      <c r="AJ1750" s="7" t="inlineStr">
        <is>
          <t>Basic Construction</t>
        </is>
      </c>
    </row>
    <row r="1751" ht="10" customHeight="1">
      <c r="A1751" s="7" t="inlineStr">
        <is>
          <t>SCN</t>
        </is>
      </c>
      <c r="B1751" s="7" t="inlineStr">
        <is>
          <t>Procurement</t>
        </is>
      </c>
      <c r="D1751" s="7" t="inlineStr">
        <is>
          <t>Towing, Salvage, and Rescue Ship (ATS) - P-5c - Change Orders</t>
        </is>
      </c>
      <c r="E1751" s="13" t="inlineStr">
        <is>
          <t>[ALT_VIEW]</t>
        </is>
      </c>
      <c r="F1751" s="7" t="inlineStr">
        <is>
          <t>5035 / Towing Salvage and Rescue Ship (ATS)</t>
        </is>
      </c>
      <c r="G1751" s="7" t="inlineStr">
        <is>
          <t>P-5c</t>
        </is>
      </c>
      <c r="H1751" s="7" t="inlineStr">
        <is>
          <t>Change Orders</t>
        </is>
      </c>
      <c r="I1751" s="14" t="n">
        <v>1</v>
      </c>
      <c r="J1751" s="7" t="inlineStr">
        <is>
          <t>Full ship DD&amp;C</t>
        </is>
      </c>
      <c r="K1751" s="13" t="inlineStr">
        <is>
          <t>MSC</t>
        </is>
      </c>
      <c r="L1751" s="7" t="inlineStr">
        <is>
          <t>Combatant Ships</t>
        </is>
      </c>
      <c r="M1751" s="7" t="inlineStr">
        <is>
          <t>Salvage Ships &amp; Fleet Ocean Tugs</t>
        </is>
      </c>
      <c r="N1751" s="7" t="inlineStr">
        <is>
          <t>T-ATS</t>
        </is>
      </c>
      <c r="O1751" s="15" t="n"/>
      <c r="P1751" s="16" t="n">
        <v>4366</v>
      </c>
      <c r="S1751" s="16" t="n">
        <v>2493</v>
      </c>
      <c r="U1751" s="16" t="n">
        <v>2493</v>
      </c>
      <c r="AC1751" s="23">
        <f>IF(OR(E1751="",E1751="[PARENT]"),"ADD",IF(E1751="[ALT_VIEW]","ALT",""))</f>
        <v/>
      </c>
      <c r="AD1751" s="21">
        <f>IF(Y1751&lt;&gt;"",Y1751,IF(U1751&lt;&gt;"",U1751,S1751))</f>
        <v/>
      </c>
      <c r="AE1751" s="21">
        <f>IF(AB1751&lt;&gt;"",AB1751,Z1751)</f>
        <v/>
      </c>
      <c r="AF1751" s="13" t="inlineStr">
        <is>
          <t>P-5c &gt; Towing, Salvage, and Rescue Ship (ATS) &gt; Change Orders</t>
        </is>
      </c>
      <c r="AG1751" s="7" t="inlineStr">
        <is>
          <t>383</t>
        </is>
      </c>
      <c r="AH1751" s="7" t="inlineStr">
        <is>
          <t>5035</t>
        </is>
      </c>
      <c r="AJ1751" s="7" t="inlineStr">
        <is>
          <t>Change Orders</t>
        </is>
      </c>
    </row>
    <row r="1752" ht="10" customHeight="1">
      <c r="A1752" s="7" t="inlineStr">
        <is>
          <t>SCN</t>
        </is>
      </c>
      <c r="B1752" s="7" t="inlineStr">
        <is>
          <t>Procurement</t>
        </is>
      </c>
      <c r="D1752" s="7" t="inlineStr">
        <is>
          <t>Towing, Salvage, and Rescue Ship (ATS) - P-5c - Electronics</t>
        </is>
      </c>
      <c r="E1752" s="13" t="inlineStr">
        <is>
          <t>[ALT_VIEW]</t>
        </is>
      </c>
      <c r="F1752" s="7" t="inlineStr">
        <is>
          <t>5035 / Towing Salvage and Rescue Ship (ATS)</t>
        </is>
      </c>
      <c r="G1752" s="7" t="inlineStr">
        <is>
          <t>P-5c</t>
        </is>
      </c>
      <c r="H1752" s="7" t="inlineStr">
        <is>
          <t>Electronics</t>
        </is>
      </c>
      <c r="I1752" s="14" t="n">
        <v>1</v>
      </c>
      <c r="J1752" s="7" t="inlineStr">
        <is>
          <t>Full ship DD&amp;C</t>
        </is>
      </c>
      <c r="K1752" s="13" t="inlineStr">
        <is>
          <t>MSC</t>
        </is>
      </c>
      <c r="L1752" s="7" t="inlineStr">
        <is>
          <t>Combatant Ships</t>
        </is>
      </c>
      <c r="M1752" s="7" t="inlineStr">
        <is>
          <t>Salvage Ships &amp; Fleet Ocean Tugs</t>
        </is>
      </c>
      <c r="N1752" s="7" t="inlineStr">
        <is>
          <t>T-ATS</t>
        </is>
      </c>
      <c r="O1752" s="15" t="n"/>
      <c r="P1752" s="16" t="n">
        <v>11756</v>
      </c>
      <c r="S1752" s="16" t="n">
        <v>5696</v>
      </c>
      <c r="U1752" s="16" t="n">
        <v>5696</v>
      </c>
      <c r="AC1752" s="23">
        <f>IF(OR(E1752="",E1752="[PARENT]"),"ADD",IF(E1752="[ALT_VIEW]","ALT",""))</f>
        <v/>
      </c>
      <c r="AD1752" s="21">
        <f>IF(Y1752&lt;&gt;"",Y1752,IF(U1752&lt;&gt;"",U1752,S1752))</f>
        <v/>
      </c>
      <c r="AE1752" s="21">
        <f>IF(AB1752&lt;&gt;"",AB1752,Z1752)</f>
        <v/>
      </c>
      <c r="AF1752" s="13" t="inlineStr">
        <is>
          <t>P-5c &gt; Towing, Salvage, and Rescue Ship (ATS) &gt; Electronics</t>
        </is>
      </c>
      <c r="AG1752" s="7" t="inlineStr">
        <is>
          <t>383</t>
        </is>
      </c>
      <c r="AH1752" s="7" t="inlineStr">
        <is>
          <t>5035</t>
        </is>
      </c>
      <c r="AJ1752" s="7" t="inlineStr">
        <is>
          <t>Electronics</t>
        </is>
      </c>
    </row>
    <row r="1753" ht="10" customHeight="1">
      <c r="A1753" s="7" t="inlineStr">
        <is>
          <t>SCN</t>
        </is>
      </c>
      <c r="B1753" s="7" t="inlineStr">
        <is>
          <t>Procurement</t>
        </is>
      </c>
      <c r="D1753" s="7" t="inlineStr">
        <is>
          <t>Oceanographic Ships - P-5c - Basic Construction</t>
        </is>
      </c>
      <c r="E1753" s="13" t="inlineStr">
        <is>
          <t>[ALT_VIEW]</t>
        </is>
      </c>
      <c r="F1753" s="7" t="inlineStr">
        <is>
          <t>5087 / Oceanographic Ships</t>
        </is>
      </c>
      <c r="G1753" s="7" t="inlineStr">
        <is>
          <t>P-5c</t>
        </is>
      </c>
      <c r="H1753" s="7" t="inlineStr">
        <is>
          <t>Basic Construction</t>
        </is>
      </c>
      <c r="I1753" s="14" t="n">
        <v>1</v>
      </c>
      <c r="J1753" s="7" t="inlineStr">
        <is>
          <t>Full ship DD&amp;C</t>
        </is>
      </c>
      <c r="K1753" s="13" t="inlineStr">
        <is>
          <t>MSC</t>
        </is>
      </c>
      <c r="L1753" s="7" t="inlineStr">
        <is>
          <t>Auxiliary Ships</t>
        </is>
      </c>
      <c r="M1753" s="7" t="inlineStr">
        <is>
          <t>Research, Survey &amp; Instrumentation Ships</t>
        </is>
      </c>
      <c r="N1753" s="7" t="inlineStr">
        <is>
          <t>T-AGS</t>
        </is>
      </c>
      <c r="O1753" s="15" t="n"/>
      <c r="AC1753" s="23">
        <f>IF(OR(E1753="",E1753="[PARENT]"),"ADD",IF(E1753="[ALT_VIEW]","ALT",""))</f>
        <v/>
      </c>
      <c r="AD1753" s="21">
        <f>IF(Y1753&lt;&gt;"",Y1753,IF(U1753&lt;&gt;"",U1753,S1753))</f>
        <v/>
      </c>
      <c r="AE1753" s="21">
        <f>IF(AB1753&lt;&gt;"",AB1753,Z1753)</f>
        <v/>
      </c>
      <c r="AF1753" s="13" t="inlineStr">
        <is>
          <t>P-5c &gt; Oceanographic Ships &gt; Basic Construction</t>
        </is>
      </c>
      <c r="AG1753" s="7" t="inlineStr">
        <is>
          <t>387</t>
        </is>
      </c>
      <c r="AH1753" s="7" t="inlineStr">
        <is>
          <t>5087</t>
        </is>
      </c>
      <c r="AJ1753" s="7" t="inlineStr">
        <is>
          <t>Basic Construction</t>
        </is>
      </c>
    </row>
    <row r="1754" ht="10" customHeight="1">
      <c r="A1754" s="7" t="inlineStr">
        <is>
          <t>SCN</t>
        </is>
      </c>
      <c r="B1754" s="7" t="inlineStr">
        <is>
          <t>Procurement</t>
        </is>
      </c>
      <c r="D1754" s="7" t="inlineStr">
        <is>
          <t>Oceanographic Ships - P-5c - Change Orders</t>
        </is>
      </c>
      <c r="E1754" s="13" t="inlineStr">
        <is>
          <t>[ALT_VIEW]</t>
        </is>
      </c>
      <c r="F1754" s="7" t="inlineStr">
        <is>
          <t>5087 / Oceanographic Ships</t>
        </is>
      </c>
      <c r="G1754" s="7" t="inlineStr">
        <is>
          <t>P-5c</t>
        </is>
      </c>
      <c r="H1754" s="7" t="inlineStr">
        <is>
          <t>Change Orders</t>
        </is>
      </c>
      <c r="I1754" s="14" t="n">
        <v>1</v>
      </c>
      <c r="J1754" s="7" t="inlineStr">
        <is>
          <t>Full ship DD&amp;C</t>
        </is>
      </c>
      <c r="K1754" s="13" t="inlineStr">
        <is>
          <t>MSC</t>
        </is>
      </c>
      <c r="L1754" s="7" t="inlineStr">
        <is>
          <t>Auxiliary Ships</t>
        </is>
      </c>
      <c r="M1754" s="7" t="inlineStr">
        <is>
          <t>Research, Survey &amp; Instrumentation Ships</t>
        </is>
      </c>
      <c r="N1754" s="7" t="inlineStr">
        <is>
          <t>T-AGS</t>
        </is>
      </c>
      <c r="O1754" s="15" t="n"/>
      <c r="AC1754" s="23">
        <f>IF(OR(E1754="",E1754="[PARENT]"),"ADD",IF(E1754="[ALT_VIEW]","ALT",""))</f>
        <v/>
      </c>
      <c r="AD1754" s="21">
        <f>IF(Y1754&lt;&gt;"",Y1754,IF(U1754&lt;&gt;"",U1754,S1754))</f>
        <v/>
      </c>
      <c r="AE1754" s="21">
        <f>IF(AB1754&lt;&gt;"",AB1754,Z1754)</f>
        <v/>
      </c>
      <c r="AF1754" s="13" t="inlineStr">
        <is>
          <t>P-5c &gt; Oceanographic Ships &gt; Change Orders</t>
        </is>
      </c>
      <c r="AG1754" s="7" t="inlineStr">
        <is>
          <t>387</t>
        </is>
      </c>
      <c r="AH1754" s="7" t="inlineStr">
        <is>
          <t>5087</t>
        </is>
      </c>
      <c r="AJ1754" s="7" t="inlineStr">
        <is>
          <t>Change Orders</t>
        </is>
      </c>
    </row>
    <row r="1755" ht="10" customHeight="1">
      <c r="A1755" s="7" t="inlineStr">
        <is>
          <t>SCN</t>
        </is>
      </c>
      <c r="B1755" s="7" t="inlineStr">
        <is>
          <t>Procurement</t>
        </is>
      </c>
      <c r="D1755" s="7" t="inlineStr">
        <is>
          <t>Oceanographic Ships - P-5c - Electronics</t>
        </is>
      </c>
      <c r="E1755" s="13" t="inlineStr">
        <is>
          <t>[ALT_VIEW]</t>
        </is>
      </c>
      <c r="F1755" s="7" t="inlineStr">
        <is>
          <t>5087 / Oceanographic Ships</t>
        </is>
      </c>
      <c r="G1755" s="7" t="inlineStr">
        <is>
          <t>P-5c</t>
        </is>
      </c>
      <c r="H1755" s="7" t="inlineStr">
        <is>
          <t>Electronics</t>
        </is>
      </c>
      <c r="I1755" s="14" t="n">
        <v>1</v>
      </c>
      <c r="J1755" s="7" t="inlineStr">
        <is>
          <t>Full ship DD&amp;C</t>
        </is>
      </c>
      <c r="K1755" s="13" t="inlineStr">
        <is>
          <t>MSC</t>
        </is>
      </c>
      <c r="L1755" s="7" t="inlineStr">
        <is>
          <t>Auxiliary Ships</t>
        </is>
      </c>
      <c r="M1755" s="7" t="inlineStr">
        <is>
          <t>Research, Survey &amp; Instrumentation Ships</t>
        </is>
      </c>
      <c r="N1755" s="7" t="inlineStr">
        <is>
          <t>T-AGS</t>
        </is>
      </c>
      <c r="O1755" s="15" t="n"/>
      <c r="AC1755" s="23">
        <f>IF(OR(E1755="",E1755="[PARENT]"),"ADD",IF(E1755="[ALT_VIEW]","ALT",""))</f>
        <v/>
      </c>
      <c r="AD1755" s="21">
        <f>IF(Y1755&lt;&gt;"",Y1755,IF(U1755&lt;&gt;"",U1755,S1755))</f>
        <v/>
      </c>
      <c r="AE1755" s="21">
        <f>IF(AB1755&lt;&gt;"",AB1755,Z1755)</f>
        <v/>
      </c>
      <c r="AF1755" s="13" t="inlineStr">
        <is>
          <t>P-5c &gt; Oceanographic Ships &gt; Electronics</t>
        </is>
      </c>
      <c r="AG1755" s="7" t="inlineStr">
        <is>
          <t>387</t>
        </is>
      </c>
      <c r="AH1755" s="7" t="inlineStr">
        <is>
          <t>5087</t>
        </is>
      </c>
      <c r="AJ1755" s="7" t="inlineStr">
        <is>
          <t>Electronics</t>
        </is>
      </c>
    </row>
    <row r="1756" ht="10" customHeight="1">
      <c r="A1756" s="7" t="inlineStr">
        <is>
          <t>SCN</t>
        </is>
      </c>
      <c r="B1756" s="7" t="inlineStr">
        <is>
          <t>Procurement</t>
        </is>
      </c>
      <c r="D1756" s="7" t="inlineStr">
        <is>
          <t>Oceanographic Ships - P-5c - Hull, Mechanical, and Electrical</t>
        </is>
      </c>
      <c r="E1756" s="13" t="inlineStr">
        <is>
          <t>[ALT_VIEW]</t>
        </is>
      </c>
      <c r="F1756" s="7" t="inlineStr">
        <is>
          <t>5087 / Oceanographic Ships</t>
        </is>
      </c>
      <c r="G1756" s="7" t="inlineStr">
        <is>
          <t>P-5c</t>
        </is>
      </c>
      <c r="H1756" s="7" t="inlineStr">
        <is>
          <t>Hull, Mechanical, and Electrical</t>
        </is>
      </c>
      <c r="I1756" s="14" t="n">
        <v>1</v>
      </c>
      <c r="J1756" s="7" t="inlineStr">
        <is>
          <t>Full ship DD&amp;C</t>
        </is>
      </c>
      <c r="K1756" s="13" t="inlineStr">
        <is>
          <t>MSC</t>
        </is>
      </c>
      <c r="L1756" s="7" t="inlineStr">
        <is>
          <t>Auxiliary Ships</t>
        </is>
      </c>
      <c r="M1756" s="7" t="inlineStr">
        <is>
          <t>Research, Survey &amp; Instrumentation Ships</t>
        </is>
      </c>
      <c r="N1756" s="7" t="inlineStr">
        <is>
          <t>T-AGS</t>
        </is>
      </c>
      <c r="O1756" s="15" t="n"/>
      <c r="AC1756" s="23">
        <f>IF(OR(E1756="",E1756="[PARENT]"),"ADD",IF(E1756="[ALT_VIEW]","ALT",""))</f>
        <v/>
      </c>
      <c r="AD1756" s="21">
        <f>IF(Y1756&lt;&gt;"",Y1756,IF(U1756&lt;&gt;"",U1756,S1756))</f>
        <v/>
      </c>
      <c r="AE1756" s="21">
        <f>IF(AB1756&lt;&gt;"",AB1756,Z1756)</f>
        <v/>
      </c>
      <c r="AF1756" s="13" t="inlineStr">
        <is>
          <t>P-5c &gt; Oceanographic Ships &gt; Hull, Mechanical, and Electrical</t>
        </is>
      </c>
      <c r="AG1756" s="7" t="inlineStr">
        <is>
          <t>387</t>
        </is>
      </c>
      <c r="AH1756" s="7" t="inlineStr">
        <is>
          <t>5087</t>
        </is>
      </c>
    </row>
    <row r="1757" ht="10" customHeight="1">
      <c r="A1757" s="7" t="inlineStr">
        <is>
          <t>SCN</t>
        </is>
      </c>
      <c r="B1757" s="7" t="inlineStr">
        <is>
          <t>Procurement</t>
        </is>
      </c>
      <c r="D1757" s="7" t="inlineStr">
        <is>
          <t>LCU 1700 - P-5c - Basic Construction</t>
        </is>
      </c>
      <c r="E1757" s="13" t="inlineStr">
        <is>
          <t>[ALT_VIEW]</t>
        </is>
      </c>
      <c r="F1757" s="7" t="inlineStr">
        <is>
          <t>5100 / LCU 1700</t>
        </is>
      </c>
      <c r="G1757" s="7" t="inlineStr">
        <is>
          <t>P-5c</t>
        </is>
      </c>
      <c r="H1757" s="7" t="inlineStr">
        <is>
          <t>Basic Construction</t>
        </is>
      </c>
      <c r="I1757" s="14" t="n">
        <v>1</v>
      </c>
      <c r="J1757" s="7" t="inlineStr">
        <is>
          <t>Full ship DD&amp;C</t>
        </is>
      </c>
      <c r="K1757" s="13" t="inlineStr">
        <is>
          <t>USN</t>
        </is>
      </c>
      <c r="L1757" s="7" t="inlineStr">
        <is>
          <t>Combatant Crafts</t>
        </is>
      </c>
      <c r="M1757" s="7" t="inlineStr">
        <is>
          <t>Amphibious Warfare Craft</t>
        </is>
      </c>
      <c r="N1757" s="7" t="inlineStr">
        <is>
          <t>LCU</t>
        </is>
      </c>
      <c r="O1757" s="15" t="n"/>
      <c r="P1757" s="16" t="n">
        <v>61726</v>
      </c>
      <c r="S1757" s="16" t="n">
        <v>58200</v>
      </c>
      <c r="U1757" s="16" t="n">
        <v>58200</v>
      </c>
      <c r="AC1757" s="23">
        <f>IF(OR(E1757="",E1757="[PARENT]"),"ADD",IF(E1757="[ALT_VIEW]","ALT",""))</f>
        <v/>
      </c>
      <c r="AD1757" s="21">
        <f>IF(Y1757&lt;&gt;"",Y1757,IF(U1757&lt;&gt;"",U1757,S1757))</f>
        <v/>
      </c>
      <c r="AE1757" s="21">
        <f>IF(AB1757&lt;&gt;"",AB1757,Z1757)</f>
        <v/>
      </c>
      <c r="AF1757" s="13" t="inlineStr">
        <is>
          <t>P-5c &gt; LCU 1700 &gt; Basic Construction</t>
        </is>
      </c>
      <c r="AG1757" s="7" t="inlineStr">
        <is>
          <t>392</t>
        </is>
      </c>
      <c r="AH1757" s="7" t="inlineStr">
        <is>
          <t>5100</t>
        </is>
      </c>
      <c r="AJ1757" s="7" t="inlineStr">
        <is>
          <t>Basic Construction</t>
        </is>
      </c>
    </row>
    <row r="1758" ht="10" customHeight="1">
      <c r="A1758" s="7" t="inlineStr">
        <is>
          <t>SCN</t>
        </is>
      </c>
      <c r="B1758" s="7" t="inlineStr">
        <is>
          <t>Procurement</t>
        </is>
      </c>
      <c r="D1758" s="7" t="inlineStr">
        <is>
          <t>LCU 1700 - P-5c - Change Orders</t>
        </is>
      </c>
      <c r="E1758" s="13" t="inlineStr">
        <is>
          <t>[ALT_VIEW]</t>
        </is>
      </c>
      <c r="F1758" s="7" t="inlineStr">
        <is>
          <t>5100 / LCU 1700</t>
        </is>
      </c>
      <c r="G1758" s="7" t="inlineStr">
        <is>
          <t>P-5c</t>
        </is>
      </c>
      <c r="H1758" s="7" t="inlineStr">
        <is>
          <t>Change Orders</t>
        </is>
      </c>
      <c r="I1758" s="14" t="n">
        <v>1</v>
      </c>
      <c r="J1758" s="7" t="inlineStr">
        <is>
          <t>Full ship DD&amp;C</t>
        </is>
      </c>
      <c r="K1758" s="13" t="inlineStr">
        <is>
          <t>USN</t>
        </is>
      </c>
      <c r="L1758" s="7" t="inlineStr">
        <is>
          <t>Combatant Crafts</t>
        </is>
      </c>
      <c r="M1758" s="7" t="inlineStr">
        <is>
          <t>Amphibious Warfare Craft</t>
        </is>
      </c>
      <c r="N1758" s="7" t="inlineStr">
        <is>
          <t>LCU</t>
        </is>
      </c>
      <c r="O1758" s="15" t="n"/>
      <c r="P1758" s="16" t="n">
        <v>2263</v>
      </c>
      <c r="S1758" s="16" t="n">
        <v>1500</v>
      </c>
      <c r="U1758" s="16" t="n">
        <v>1500</v>
      </c>
      <c r="AC1758" s="23">
        <f>IF(OR(E1758="",E1758="[PARENT]"),"ADD",IF(E1758="[ALT_VIEW]","ALT",""))</f>
        <v/>
      </c>
      <c r="AD1758" s="21">
        <f>IF(Y1758&lt;&gt;"",Y1758,IF(U1758&lt;&gt;"",U1758,S1758))</f>
        <v/>
      </c>
      <c r="AE1758" s="21">
        <f>IF(AB1758&lt;&gt;"",AB1758,Z1758)</f>
        <v/>
      </c>
      <c r="AF1758" s="13" t="inlineStr">
        <is>
          <t>P-5c &gt; LCU 1700 &gt; Change Orders</t>
        </is>
      </c>
      <c r="AG1758" s="7" t="inlineStr">
        <is>
          <t>392</t>
        </is>
      </c>
      <c r="AH1758" s="7" t="inlineStr">
        <is>
          <t>5100</t>
        </is>
      </c>
      <c r="AJ1758" s="7" t="inlineStr">
        <is>
          <t>Change Orders</t>
        </is>
      </c>
    </row>
    <row r="1759" ht="10" customHeight="1">
      <c r="A1759" s="7" t="inlineStr">
        <is>
          <t>SCN</t>
        </is>
      </c>
      <c r="B1759" s="7" t="inlineStr">
        <is>
          <t>Procurement</t>
        </is>
      </c>
      <c r="D1759" s="7" t="inlineStr">
        <is>
          <t>LCU 1700 - P-5c - Electronics</t>
        </is>
      </c>
      <c r="E1759" s="13" t="inlineStr">
        <is>
          <t>[ALT_VIEW]</t>
        </is>
      </c>
      <c r="F1759" s="7" t="inlineStr">
        <is>
          <t>5100 / LCU 1700</t>
        </is>
      </c>
      <c r="G1759" s="7" t="inlineStr">
        <is>
          <t>P-5c</t>
        </is>
      </c>
      <c r="H1759" s="7" t="inlineStr">
        <is>
          <t>Electronics</t>
        </is>
      </c>
      <c r="I1759" s="14" t="n">
        <v>1</v>
      </c>
      <c r="J1759" s="7" t="inlineStr">
        <is>
          <t>Full ship DD&amp;C</t>
        </is>
      </c>
      <c r="K1759" s="13" t="inlineStr">
        <is>
          <t>USN</t>
        </is>
      </c>
      <c r="L1759" s="7" t="inlineStr">
        <is>
          <t>Combatant Crafts</t>
        </is>
      </c>
      <c r="M1759" s="7" t="inlineStr">
        <is>
          <t>Amphibious Warfare Craft</t>
        </is>
      </c>
      <c r="N1759" s="7" t="inlineStr">
        <is>
          <t>LCU</t>
        </is>
      </c>
      <c r="O1759" s="15" t="n"/>
      <c r="P1759" s="16" t="n">
        <v>362</v>
      </c>
      <c r="S1759" s="16" t="n">
        <v>300</v>
      </c>
      <c r="U1759" s="16" t="n">
        <v>300</v>
      </c>
      <c r="AC1759" s="23">
        <f>IF(OR(E1759="",E1759="[PARENT]"),"ADD",IF(E1759="[ALT_VIEW]","ALT",""))</f>
        <v/>
      </c>
      <c r="AD1759" s="21">
        <f>IF(Y1759&lt;&gt;"",Y1759,IF(U1759&lt;&gt;"",U1759,S1759))</f>
        <v/>
      </c>
      <c r="AE1759" s="21">
        <f>IF(AB1759&lt;&gt;"",AB1759,Z1759)</f>
        <v/>
      </c>
      <c r="AF1759" s="13" t="inlineStr">
        <is>
          <t>P-5c &gt; LCU 1700 &gt; Electronics</t>
        </is>
      </c>
      <c r="AG1759" s="7" t="inlineStr">
        <is>
          <t>392</t>
        </is>
      </c>
      <c r="AH1759" s="7" t="inlineStr">
        <is>
          <t>5100</t>
        </is>
      </c>
      <c r="AJ1759" s="7" t="inlineStr">
        <is>
          <t>Electronics</t>
        </is>
      </c>
    </row>
    <row r="1760" ht="10" customHeight="1">
      <c r="A1760" s="7" t="inlineStr">
        <is>
          <t>SCN</t>
        </is>
      </c>
      <c r="B1760" s="7" t="inlineStr">
        <is>
          <t>Procurement</t>
        </is>
      </c>
      <c r="D1760" s="7" t="inlineStr">
        <is>
          <t>LCU 1700 - P-5c - Hull, Mechanical, and Electrical</t>
        </is>
      </c>
      <c r="E1760" s="13" t="inlineStr">
        <is>
          <t>[ALT_VIEW]</t>
        </is>
      </c>
      <c r="F1760" s="7" t="inlineStr">
        <is>
          <t>5100 / LCU 1700</t>
        </is>
      </c>
      <c r="G1760" s="7" t="inlineStr">
        <is>
          <t>P-5c</t>
        </is>
      </c>
      <c r="H1760" s="7" t="inlineStr">
        <is>
          <t>Hull, Mechanical, and Electrical</t>
        </is>
      </c>
      <c r="I1760" s="14" t="n">
        <v>1</v>
      </c>
      <c r="J1760" s="7" t="inlineStr">
        <is>
          <t>Full ship DD&amp;C</t>
        </is>
      </c>
      <c r="K1760" s="13" t="inlineStr">
        <is>
          <t>USN</t>
        </is>
      </c>
      <c r="L1760" s="7" t="inlineStr">
        <is>
          <t>Combatant Crafts</t>
        </is>
      </c>
      <c r="M1760" s="7" t="inlineStr">
        <is>
          <t>Amphibious Warfare Craft</t>
        </is>
      </c>
      <c r="N1760" s="7" t="inlineStr">
        <is>
          <t>LCU</t>
        </is>
      </c>
      <c r="O1760" s="15" t="n"/>
      <c r="P1760" s="16" t="n">
        <v>1805</v>
      </c>
      <c r="S1760" s="16" t="n">
        <v>1000</v>
      </c>
      <c r="U1760" s="16" t="n">
        <v>1000</v>
      </c>
      <c r="AC1760" s="23">
        <f>IF(OR(E1760="",E1760="[PARENT]"),"ADD",IF(E1760="[ALT_VIEW]","ALT",""))</f>
        <v/>
      </c>
      <c r="AD1760" s="21">
        <f>IF(Y1760&lt;&gt;"",Y1760,IF(U1760&lt;&gt;"",U1760,S1760))</f>
        <v/>
      </c>
      <c r="AE1760" s="21">
        <f>IF(AB1760&lt;&gt;"",AB1760,Z1760)</f>
        <v/>
      </c>
      <c r="AF1760" s="13" t="inlineStr">
        <is>
          <t>P-5c &gt; LCU 1700 &gt; Hull, Mechanical, and Electrical</t>
        </is>
      </c>
      <c r="AG1760" s="7" t="inlineStr">
        <is>
          <t>392</t>
        </is>
      </c>
      <c r="AH1760" s="7" t="inlineStr">
        <is>
          <t>5100</t>
        </is>
      </c>
    </row>
    <row r="1761" ht="10" customHeight="1">
      <c r="A1761" s="7" t="inlineStr">
        <is>
          <t>SCN</t>
        </is>
      </c>
      <c r="B1761" s="7" t="inlineStr">
        <is>
          <t>Procurement</t>
        </is>
      </c>
      <c r="D1761" s="7" t="inlineStr">
        <is>
          <t>LCU 1700 - P-5c - Other Cost</t>
        </is>
      </c>
      <c r="E1761" s="13" t="inlineStr">
        <is>
          <t>[ALT_VIEW]</t>
        </is>
      </c>
      <c r="F1761" s="7" t="inlineStr">
        <is>
          <t>5100 / LCU 1700</t>
        </is>
      </c>
      <c r="G1761" s="7" t="inlineStr">
        <is>
          <t>P-5c</t>
        </is>
      </c>
      <c r="H1761" s="7" t="inlineStr">
        <is>
          <t>Other Cost</t>
        </is>
      </c>
      <c r="I1761" s="14" t="n">
        <v>1</v>
      </c>
      <c r="J1761" s="7" t="inlineStr">
        <is>
          <t>Full ship DD&amp;C</t>
        </is>
      </c>
      <c r="K1761" s="13" t="inlineStr">
        <is>
          <t>USN</t>
        </is>
      </c>
      <c r="L1761" s="7" t="inlineStr">
        <is>
          <t>Combatant Crafts</t>
        </is>
      </c>
      <c r="M1761" s="7" t="inlineStr">
        <is>
          <t>Amphibious Warfare Craft</t>
        </is>
      </c>
      <c r="N1761" s="7" t="inlineStr">
        <is>
          <t>LCU</t>
        </is>
      </c>
      <c r="O1761" s="15" t="n"/>
      <c r="P1761" s="16" t="n">
        <v>1772</v>
      </c>
      <c r="S1761" s="16" t="n">
        <v>1532</v>
      </c>
      <c r="U1761" s="16" t="n">
        <v>1532</v>
      </c>
      <c r="AC1761" s="23">
        <f>IF(OR(E1761="",E1761="[PARENT]"),"ADD",IF(E1761="[ALT_VIEW]","ALT",""))</f>
        <v/>
      </c>
      <c r="AD1761" s="21">
        <f>IF(Y1761&lt;&gt;"",Y1761,IF(U1761&lt;&gt;"",U1761,S1761))</f>
        <v/>
      </c>
      <c r="AE1761" s="21">
        <f>IF(AB1761&lt;&gt;"",AB1761,Z1761)</f>
        <v/>
      </c>
      <c r="AF1761" s="13" t="inlineStr">
        <is>
          <t>P-5c &gt; LCU 1700 &gt; Other Cost</t>
        </is>
      </c>
      <c r="AG1761" s="7" t="inlineStr">
        <is>
          <t>392</t>
        </is>
      </c>
      <c r="AH1761" s="7" t="inlineStr">
        <is>
          <t>5100</t>
        </is>
      </c>
    </row>
    <row r="1762" ht="10" customHeight="1">
      <c r="A1762" s="7" t="inlineStr">
        <is>
          <t>SCN</t>
        </is>
      </c>
      <c r="B1762" s="7" t="inlineStr">
        <is>
          <t>Procurement</t>
        </is>
      </c>
      <c r="D1762" s="7" t="inlineStr">
        <is>
          <t>Ship to Shore Connector - P-5c - Basic Construction</t>
        </is>
      </c>
      <c r="E1762" s="13" t="inlineStr">
        <is>
          <t>[ALT_VIEW]</t>
        </is>
      </c>
      <c r="F1762" s="7" t="inlineStr">
        <is>
          <t>5112 / Ship to Shore Connector</t>
        </is>
      </c>
      <c r="G1762" s="7" t="inlineStr">
        <is>
          <t>P-5c</t>
        </is>
      </c>
      <c r="H1762" s="7" t="inlineStr">
        <is>
          <t>Basic Construction</t>
        </is>
      </c>
      <c r="I1762" s="14" t="n">
        <v>1</v>
      </c>
      <c r="J1762" s="7" t="inlineStr">
        <is>
          <t>Full ship DD&amp;C</t>
        </is>
      </c>
      <c r="K1762" s="13" t="inlineStr">
        <is>
          <t>USN</t>
        </is>
      </c>
      <c r="L1762" s="7" t="inlineStr">
        <is>
          <t>Combatant Crafts</t>
        </is>
      </c>
      <c r="M1762" s="7" t="inlineStr">
        <is>
          <t>Amphibious Warfare Craft</t>
        </is>
      </c>
      <c r="N1762" s="7" t="inlineStr">
        <is>
          <t>LCAC</t>
        </is>
      </c>
      <c r="O1762" s="15" t="n"/>
      <c r="P1762" s="16" t="n">
        <v>428706</v>
      </c>
      <c r="S1762" s="16" t="n">
        <v>355656</v>
      </c>
      <c r="U1762" s="16" t="n">
        <v>355656</v>
      </c>
      <c r="AC1762" s="23">
        <f>IF(OR(E1762="",E1762="[PARENT]"),"ADD",IF(E1762="[ALT_VIEW]","ALT",""))</f>
        <v/>
      </c>
      <c r="AD1762" s="21">
        <f>IF(Y1762&lt;&gt;"",Y1762,IF(U1762&lt;&gt;"",U1762,S1762))</f>
        <v/>
      </c>
      <c r="AE1762" s="21">
        <f>IF(AB1762&lt;&gt;"",AB1762,Z1762)</f>
        <v/>
      </c>
      <c r="AF1762" s="13" t="inlineStr">
        <is>
          <t>P-5c &gt; Ship to Shore Connector &gt; Basic Construction</t>
        </is>
      </c>
      <c r="AG1762" s="7" t="inlineStr">
        <is>
          <t>410</t>
        </is>
      </c>
      <c r="AH1762" s="7" t="inlineStr">
        <is>
          <t>5112</t>
        </is>
      </c>
      <c r="AJ1762" s="7" t="inlineStr">
        <is>
          <t>Basic Construction</t>
        </is>
      </c>
    </row>
    <row r="1763" ht="10" customHeight="1">
      <c r="A1763" s="7" t="inlineStr">
        <is>
          <t>SCN</t>
        </is>
      </c>
      <c r="B1763" s="7" t="inlineStr">
        <is>
          <t>Procurement</t>
        </is>
      </c>
      <c r="D1763" s="7" t="inlineStr">
        <is>
          <t>Ship to Shore Connector - P-5c - Change Orders</t>
        </is>
      </c>
      <c r="E1763" s="13" t="inlineStr">
        <is>
          <t>[ALT_VIEW]</t>
        </is>
      </c>
      <c r="F1763" s="7" t="inlineStr">
        <is>
          <t>5112 / Ship to Shore Connector</t>
        </is>
      </c>
      <c r="G1763" s="7" t="inlineStr">
        <is>
          <t>P-5c</t>
        </is>
      </c>
      <c r="H1763" s="7" t="inlineStr">
        <is>
          <t>Change Orders</t>
        </is>
      </c>
      <c r="I1763" s="14" t="n">
        <v>1</v>
      </c>
      <c r="J1763" s="7" t="inlineStr">
        <is>
          <t>Full ship DD&amp;C</t>
        </is>
      </c>
      <c r="K1763" s="13" t="inlineStr">
        <is>
          <t>USN</t>
        </is>
      </c>
      <c r="L1763" s="7" t="inlineStr">
        <is>
          <t>Combatant Crafts</t>
        </is>
      </c>
      <c r="M1763" s="7" t="inlineStr">
        <is>
          <t>Amphibious Warfare Craft</t>
        </is>
      </c>
      <c r="N1763" s="7" t="inlineStr">
        <is>
          <t>LCAC</t>
        </is>
      </c>
      <c r="O1763" s="15" t="n"/>
      <c r="P1763" s="16" t="n">
        <v>10718</v>
      </c>
      <c r="S1763" s="16" t="n">
        <v>8892</v>
      </c>
      <c r="U1763" s="16" t="n">
        <v>8892</v>
      </c>
      <c r="AC1763" s="23">
        <f>IF(OR(E1763="",E1763="[PARENT]"),"ADD",IF(E1763="[ALT_VIEW]","ALT",""))</f>
        <v/>
      </c>
      <c r="AD1763" s="21">
        <f>IF(Y1763&lt;&gt;"",Y1763,IF(U1763&lt;&gt;"",U1763,S1763))</f>
        <v/>
      </c>
      <c r="AE1763" s="21">
        <f>IF(AB1763&lt;&gt;"",AB1763,Z1763)</f>
        <v/>
      </c>
      <c r="AF1763" s="13" t="inlineStr">
        <is>
          <t>P-5c &gt; Ship to Shore Connector &gt; Change Orders</t>
        </is>
      </c>
      <c r="AG1763" s="7" t="inlineStr">
        <is>
          <t>410</t>
        </is>
      </c>
      <c r="AH1763" s="7" t="inlineStr">
        <is>
          <t>5112</t>
        </is>
      </c>
      <c r="AJ1763" s="7" t="inlineStr">
        <is>
          <t>Change Orders</t>
        </is>
      </c>
    </row>
    <row r="1764" ht="10" customHeight="1">
      <c r="A1764" s="7" t="inlineStr">
        <is>
          <t>SCN</t>
        </is>
      </c>
      <c r="B1764" s="7" t="inlineStr">
        <is>
          <t>Procurement</t>
        </is>
      </c>
      <c r="D1764" s="7" t="inlineStr">
        <is>
          <t>Ship to Shore Connector - P-5c - Electronics</t>
        </is>
      </c>
      <c r="E1764" s="13" t="inlineStr">
        <is>
          <t>[ALT_VIEW]</t>
        </is>
      </c>
      <c r="F1764" s="7" t="inlineStr">
        <is>
          <t>5112 / Ship to Shore Connector</t>
        </is>
      </c>
      <c r="G1764" s="7" t="inlineStr">
        <is>
          <t>P-5c</t>
        </is>
      </c>
      <c r="H1764" s="7" t="inlineStr">
        <is>
          <t>Electronics</t>
        </is>
      </c>
      <c r="I1764" s="14" t="n">
        <v>1</v>
      </c>
      <c r="J1764" s="7" t="inlineStr">
        <is>
          <t>Full ship DD&amp;C</t>
        </is>
      </c>
      <c r="K1764" s="13" t="inlineStr">
        <is>
          <t>USN</t>
        </is>
      </c>
      <c r="L1764" s="7" t="inlineStr">
        <is>
          <t>Combatant Crafts</t>
        </is>
      </c>
      <c r="M1764" s="7" t="inlineStr">
        <is>
          <t>Amphibious Warfare Craft</t>
        </is>
      </c>
      <c r="N1764" s="7" t="inlineStr">
        <is>
          <t>LCAC</t>
        </is>
      </c>
      <c r="O1764" s="15" t="n"/>
      <c r="P1764" s="16" t="n">
        <v>15200</v>
      </c>
      <c r="S1764" s="16" t="n">
        <v>11742</v>
      </c>
      <c r="U1764" s="16" t="n">
        <v>11742</v>
      </c>
      <c r="AC1764" s="23">
        <f>IF(OR(E1764="",E1764="[PARENT]"),"ADD",IF(E1764="[ALT_VIEW]","ALT",""))</f>
        <v/>
      </c>
      <c r="AD1764" s="21">
        <f>IF(Y1764&lt;&gt;"",Y1764,IF(U1764&lt;&gt;"",U1764,S1764))</f>
        <v/>
      </c>
      <c r="AE1764" s="21">
        <f>IF(AB1764&lt;&gt;"",AB1764,Z1764)</f>
        <v/>
      </c>
      <c r="AF1764" s="13" t="inlineStr">
        <is>
          <t>P-5c &gt; Ship to Shore Connector &gt; Electronics</t>
        </is>
      </c>
      <c r="AG1764" s="7" t="inlineStr">
        <is>
          <t>410</t>
        </is>
      </c>
      <c r="AH1764" s="7" t="inlineStr">
        <is>
          <t>5112</t>
        </is>
      </c>
      <c r="AJ1764" s="7" t="inlineStr">
        <is>
          <t>Electronics</t>
        </is>
      </c>
    </row>
    <row r="1765" ht="10" customHeight="1">
      <c r="A1765" s="7" t="inlineStr">
        <is>
          <t>SCN</t>
        </is>
      </c>
      <c r="B1765" s="7" t="inlineStr">
        <is>
          <t>Procurement</t>
        </is>
      </c>
      <c r="D1765" s="7" t="inlineStr">
        <is>
          <t>Ship to Shore Connector - P-5c - Other Cost</t>
        </is>
      </c>
      <c r="E1765" s="13" t="inlineStr">
        <is>
          <t>[ALT_VIEW]</t>
        </is>
      </c>
      <c r="F1765" s="7" t="inlineStr">
        <is>
          <t>5112 / Ship to Shore Connector</t>
        </is>
      </c>
      <c r="G1765" s="7" t="inlineStr">
        <is>
          <t>P-5c</t>
        </is>
      </c>
      <c r="H1765" s="7" t="inlineStr">
        <is>
          <t>Other Cost</t>
        </is>
      </c>
      <c r="I1765" s="14" t="n">
        <v>1</v>
      </c>
      <c r="J1765" s="7" t="inlineStr">
        <is>
          <t>Full ship DD&amp;C</t>
        </is>
      </c>
      <c r="K1765" s="13" t="inlineStr">
        <is>
          <t>USN</t>
        </is>
      </c>
      <c r="L1765" s="7" t="inlineStr">
        <is>
          <t>Combatant Crafts</t>
        </is>
      </c>
      <c r="M1765" s="7" t="inlineStr">
        <is>
          <t>Amphibious Warfare Craft</t>
        </is>
      </c>
      <c r="N1765" s="7" t="inlineStr">
        <is>
          <t>LCAC</t>
        </is>
      </c>
      <c r="O1765" s="15" t="n"/>
      <c r="P1765" s="16" t="n">
        <v>28836</v>
      </c>
      <c r="S1765" s="16" t="n">
        <v>22276</v>
      </c>
      <c r="U1765" s="16" t="n">
        <v>22276</v>
      </c>
      <c r="AC1765" s="23">
        <f>IF(OR(E1765="",E1765="[PARENT]"),"ADD",IF(E1765="[ALT_VIEW]","ALT",""))</f>
        <v/>
      </c>
      <c r="AD1765" s="21">
        <f>IF(Y1765&lt;&gt;"",Y1765,IF(U1765&lt;&gt;"",U1765,S1765))</f>
        <v/>
      </c>
      <c r="AE1765" s="21">
        <f>IF(AB1765&lt;&gt;"",AB1765,Z1765)</f>
        <v/>
      </c>
      <c r="AF1765" s="13" t="inlineStr">
        <is>
          <t>P-5c &gt; Ship to Shore Connector &gt; Other Cost</t>
        </is>
      </c>
      <c r="AG1765" s="7" t="inlineStr">
        <is>
          <t>410</t>
        </is>
      </c>
      <c r="AH1765" s="7" t="inlineStr">
        <is>
          <t>5112</t>
        </is>
      </c>
      <c r="AJ1765" s="7" t="inlineStr">
        <is>
          <t>Other Costs</t>
        </is>
      </c>
    </row>
    <row r="1766" ht="10" customHeight="1">
      <c r="A1766" s="7" t="inlineStr">
        <is>
          <t>SCN</t>
        </is>
      </c>
      <c r="B1766" s="7" t="inlineStr">
        <is>
          <t>Procurement</t>
        </is>
      </c>
      <c r="D1766" s="7" t="inlineStr">
        <is>
          <t>Ship to Shore Connector - P-8a Hull, Mechanical, and Electrical - MT7 Engines, Skirt &amp; Composite Components 16</t>
        </is>
      </c>
      <c r="E1766" s="13" t="inlineStr">
        <is>
          <t>[ALT_VIEW]</t>
        </is>
      </c>
      <c r="F1766" s="7" t="inlineStr">
        <is>
          <t>5112 / Ship to Shore Connector</t>
        </is>
      </c>
      <c r="G1766" s="7" t="inlineStr">
        <is>
          <t>P-8a</t>
        </is>
      </c>
      <c r="H1766" s="7" t="inlineStr">
        <is>
          <t>Hull, Mechanical, and Electrical</t>
        </is>
      </c>
      <c r="I1766" s="14" t="n">
        <v>1</v>
      </c>
      <c r="J1766" s="7" t="inlineStr">
        <is>
          <t>Full ship DD&amp;C</t>
        </is>
      </c>
      <c r="K1766" s="13" t="inlineStr">
        <is>
          <t>USN</t>
        </is>
      </c>
      <c r="L1766" s="7" t="inlineStr">
        <is>
          <t>Combatant Crafts</t>
        </is>
      </c>
      <c r="M1766" s="7" t="inlineStr">
        <is>
          <t>Amphibious Warfare Craft</t>
        </is>
      </c>
      <c r="N1766" s="7" t="inlineStr">
        <is>
          <t>LCAC</t>
        </is>
      </c>
      <c r="O1766" s="15" t="n"/>
      <c r="P1766" s="16" t="n">
        <v>94636</v>
      </c>
      <c r="S1766" s="16" t="n">
        <v>72934</v>
      </c>
      <c r="U1766" s="16" t="n">
        <v>72934</v>
      </c>
      <c r="AC1766" s="23">
        <f>IF(OR(E1766="",E1766="[PARENT]"),"ADD",IF(E1766="[ALT_VIEW]","ALT",""))</f>
        <v/>
      </c>
      <c r="AD1766" s="21">
        <f>IF(Y1766&lt;&gt;"",Y1766,IF(U1766&lt;&gt;"",U1766,S1766))</f>
        <v/>
      </c>
      <c r="AE1766" s="21">
        <f>IF(AB1766&lt;&gt;"",AB1766,Z1766)</f>
        <v/>
      </c>
      <c r="AF1766" s="13" t="inlineStr">
        <is>
          <t>P-8a &gt; Ship to Shore Connector &gt; Hull, Mechanical, and Electrical &gt; MT7 Engines, Skirt &amp; Composite Components 16</t>
        </is>
      </c>
      <c r="AG1766" s="7" t="inlineStr">
        <is>
          <t>412</t>
        </is>
      </c>
      <c r="AH1766" s="7" t="inlineStr">
        <is>
          <t>5112</t>
        </is>
      </c>
      <c r="AJ1766" s="7" t="inlineStr">
        <is>
          <t>MT7 Engines, Skirt &amp; Composite Components</t>
        </is>
      </c>
    </row>
    <row r="1767" ht="10" customHeight="1">
      <c r="A1767" s="7" t="inlineStr">
        <is>
          <t>SCN</t>
        </is>
      </c>
      <c r="B1767" s="7" t="inlineStr">
        <is>
          <t>Procurement</t>
        </is>
      </c>
      <c r="D1767" s="7" t="inlineStr">
        <is>
          <t>Ship to Shore Connector - P-8a Hull, Mechanical, and Electrical - Ship Design and Engineering Services</t>
        </is>
      </c>
      <c r="E1767" s="13" t="inlineStr">
        <is>
          <t>[ALT_VIEW]</t>
        </is>
      </c>
      <c r="F1767" s="7" t="inlineStr">
        <is>
          <t>5112 / Ship to Shore Connector</t>
        </is>
      </c>
      <c r="G1767" s="7" t="inlineStr">
        <is>
          <t>P-8a</t>
        </is>
      </c>
      <c r="H1767" s="7" t="inlineStr">
        <is>
          <t>Hull, Mechanical, and Electrical</t>
        </is>
      </c>
      <c r="I1767" s="14" t="n">
        <v>1</v>
      </c>
      <c r="J1767" s="7" t="inlineStr">
        <is>
          <t>Full ship DD&amp;C</t>
        </is>
      </c>
      <c r="K1767" s="13" t="inlineStr">
        <is>
          <t>USN</t>
        </is>
      </c>
      <c r="L1767" s="7" t="inlineStr">
        <is>
          <t>Combatant Crafts</t>
        </is>
      </c>
      <c r="M1767" s="7" t="inlineStr">
        <is>
          <t>Amphibious Warfare Craft</t>
        </is>
      </c>
      <c r="N1767" s="7" t="inlineStr">
        <is>
          <t>LCAC</t>
        </is>
      </c>
      <c r="O1767" s="15" t="n"/>
      <c r="P1767" s="16" t="n">
        <v>5085</v>
      </c>
      <c r="S1767" s="16" t="n">
        <v>6645</v>
      </c>
      <c r="U1767" s="16" t="n">
        <v>6645</v>
      </c>
      <c r="AC1767" s="23">
        <f>IF(OR(E1767="",E1767="[PARENT]"),"ADD",IF(E1767="[ALT_VIEW]","ALT",""))</f>
        <v/>
      </c>
      <c r="AD1767" s="21">
        <f>IF(Y1767&lt;&gt;"",Y1767,IF(U1767&lt;&gt;"",U1767,S1767))</f>
        <v/>
      </c>
      <c r="AE1767" s="21">
        <f>IF(AB1767&lt;&gt;"",AB1767,Z1767)</f>
        <v/>
      </c>
      <c r="AF1767" s="13" t="inlineStr">
        <is>
          <t>P-8a &gt; Ship to Shore Connector &gt; Hull, Mechanical, and Electrical &gt; Ship Design and Engineering Services</t>
        </is>
      </c>
      <c r="AG1767" s="7" t="inlineStr">
        <is>
          <t>412</t>
        </is>
      </c>
      <c r="AH1767" s="7" t="inlineStr">
        <is>
          <t>5112</t>
        </is>
      </c>
      <c r="AJ1767" s="7" t="inlineStr">
        <is>
          <t>Ship Design and Engineering Services</t>
        </is>
      </c>
    </row>
    <row r="1768" ht="10" customHeight="1">
      <c r="A1768" s="7" t="inlineStr">
        <is>
          <t>SCN</t>
        </is>
      </c>
      <c r="B1768" s="7" t="inlineStr">
        <is>
          <t>Procurement</t>
        </is>
      </c>
      <c r="D1768" s="7" t="inlineStr">
        <is>
          <t>Ship to Shore Connector - P-8a Hull, Mechanical, and Electrical - SUPSHIP Material/Services</t>
        </is>
      </c>
      <c r="E1768" s="13" t="inlineStr">
        <is>
          <t>[ALT_VIEW]</t>
        </is>
      </c>
      <c r="F1768" s="7" t="inlineStr">
        <is>
          <t>5112 / Ship to Shore Connector</t>
        </is>
      </c>
      <c r="G1768" s="7" t="inlineStr">
        <is>
          <t>P-8a</t>
        </is>
      </c>
      <c r="H1768" s="7" t="inlineStr">
        <is>
          <t>Hull, Mechanical, and Electrical</t>
        </is>
      </c>
      <c r="I1768" s="14" t="n">
        <v>1</v>
      </c>
      <c r="J1768" s="7" t="inlineStr">
        <is>
          <t>Full ship DD&amp;C</t>
        </is>
      </c>
      <c r="K1768" s="13" t="inlineStr">
        <is>
          <t>USN</t>
        </is>
      </c>
      <c r="L1768" s="7" t="inlineStr">
        <is>
          <t>Combatant Crafts</t>
        </is>
      </c>
      <c r="M1768" s="7" t="inlineStr">
        <is>
          <t>Amphibious Warfare Craft</t>
        </is>
      </c>
      <c r="N1768" s="7" t="inlineStr">
        <is>
          <t>LCAC</t>
        </is>
      </c>
      <c r="O1768" s="15" t="n"/>
      <c r="P1768" s="16" t="n">
        <v>1819</v>
      </c>
      <c r="S1768" s="16" t="n">
        <v>1855</v>
      </c>
      <c r="U1768" s="16" t="n">
        <v>1855</v>
      </c>
      <c r="AC1768" s="23">
        <f>IF(OR(E1768="",E1768="[PARENT]"),"ADD",IF(E1768="[ALT_VIEW]","ALT",""))</f>
        <v/>
      </c>
      <c r="AD1768" s="21">
        <f>IF(Y1768&lt;&gt;"",Y1768,IF(U1768&lt;&gt;"",U1768,S1768))</f>
        <v/>
      </c>
      <c r="AE1768" s="21">
        <f>IF(AB1768&lt;&gt;"",AB1768,Z1768)</f>
        <v/>
      </c>
      <c r="AF1768" s="13" t="inlineStr">
        <is>
          <t>P-8a &gt; Ship to Shore Connector &gt; Hull, Mechanical, and Electrical &gt; SUPSHIP Material/Services</t>
        </is>
      </c>
      <c r="AG1768" s="7" t="inlineStr">
        <is>
          <t>412</t>
        </is>
      </c>
      <c r="AH1768" s="7" t="inlineStr">
        <is>
          <t>5112</t>
        </is>
      </c>
      <c r="AJ1768" s="7" t="inlineStr">
        <is>
          <t>SUPSHIP Material/Services</t>
        </is>
      </c>
    </row>
    <row r="1769" ht="10" customHeight="1">
      <c r="A1769" s="7" t="inlineStr">
        <is>
          <t>SCN</t>
        </is>
      </c>
      <c r="B1769" s="7" t="inlineStr">
        <is>
          <t>Procurement</t>
        </is>
      </c>
      <c r="D1769" s="7" t="inlineStr">
        <is>
          <t>Service Craft - P-5c - Basic Construction</t>
        </is>
      </c>
      <c r="E1769" s="13" t="inlineStr">
        <is>
          <t>[ALT_VIEW]</t>
        </is>
      </c>
      <c r="F1769" s="7" t="inlineStr">
        <is>
          <t>5113 / Service Craft</t>
        </is>
      </c>
      <c r="G1769" s="7" t="inlineStr">
        <is>
          <t>P-5c</t>
        </is>
      </c>
      <c r="H1769" s="7" t="inlineStr">
        <is>
          <t>Basic Construction</t>
        </is>
      </c>
      <c r="I1769" s="14" t="n">
        <v>1</v>
      </c>
      <c r="J1769" s="7" t="inlineStr">
        <is>
          <t>Full ship DD&amp;C</t>
        </is>
      </c>
      <c r="K1769" s="15" t="n"/>
      <c r="O1769" s="15" t="n"/>
      <c r="P1769" s="16" t="n">
        <v>39269</v>
      </c>
      <c r="S1769" s="16" t="n">
        <v>31002</v>
      </c>
      <c r="U1769" s="16" t="n">
        <v>31002</v>
      </c>
      <c r="AC1769" s="23">
        <f>IF(OR(E1769="",E1769="[PARENT]"),"ADD",IF(E1769="[ALT_VIEW]","ALT",""))</f>
        <v/>
      </c>
      <c r="AD1769" s="21">
        <f>IF(Y1769&lt;&gt;"",Y1769,IF(U1769&lt;&gt;"",U1769,S1769))</f>
        <v/>
      </c>
      <c r="AE1769" s="21">
        <f>IF(AB1769&lt;&gt;"",AB1769,Z1769)</f>
        <v/>
      </c>
      <c r="AF1769" s="13" t="inlineStr">
        <is>
          <t>P-5c &gt; Service Craft &gt; Basic Construction</t>
        </is>
      </c>
      <c r="AG1769" s="7" t="inlineStr">
        <is>
          <t>417</t>
        </is>
      </c>
      <c r="AH1769" s="7" t="inlineStr">
        <is>
          <t>5113</t>
        </is>
      </c>
      <c r="AJ1769" s="7" t="inlineStr">
        <is>
          <t>Basic Construction</t>
        </is>
      </c>
    </row>
    <row r="1770" ht="10" customHeight="1">
      <c r="A1770" s="7" t="inlineStr">
        <is>
          <t>SCN</t>
        </is>
      </c>
      <c r="B1770" s="7" t="inlineStr">
        <is>
          <t>Procurement</t>
        </is>
      </c>
      <c r="D1770" s="7" t="inlineStr">
        <is>
          <t>Service Craft - P-5c - Change Orders</t>
        </is>
      </c>
      <c r="E1770" s="13" t="inlineStr">
        <is>
          <t>[ALT_VIEW]</t>
        </is>
      </c>
      <c r="F1770" s="7" t="inlineStr">
        <is>
          <t>5113 / Service Craft</t>
        </is>
      </c>
      <c r="G1770" s="7" t="inlineStr">
        <is>
          <t>P-5c</t>
        </is>
      </c>
      <c r="H1770" s="7" t="inlineStr">
        <is>
          <t>Change Orders</t>
        </is>
      </c>
      <c r="I1770" s="14" t="n">
        <v>1</v>
      </c>
      <c r="J1770" s="7" t="inlineStr">
        <is>
          <t>Full ship DD&amp;C</t>
        </is>
      </c>
      <c r="K1770" s="15" t="n"/>
      <c r="O1770" s="15" t="n"/>
      <c r="P1770" s="16" t="n">
        <v>943</v>
      </c>
      <c r="S1770" s="16" t="n">
        <v>600</v>
      </c>
      <c r="U1770" s="16" t="n">
        <v>600</v>
      </c>
      <c r="AC1770" s="23">
        <f>IF(OR(E1770="",E1770="[PARENT]"),"ADD",IF(E1770="[ALT_VIEW]","ALT",""))</f>
        <v/>
      </c>
      <c r="AD1770" s="21">
        <f>IF(Y1770&lt;&gt;"",Y1770,IF(U1770&lt;&gt;"",U1770,S1770))</f>
        <v/>
      </c>
      <c r="AE1770" s="21">
        <f>IF(AB1770&lt;&gt;"",AB1770,Z1770)</f>
        <v/>
      </c>
      <c r="AF1770" s="13" t="inlineStr">
        <is>
          <t>P-5c &gt; Service Craft &gt; Change Orders</t>
        </is>
      </c>
      <c r="AG1770" s="7" t="inlineStr">
        <is>
          <t>417</t>
        </is>
      </c>
      <c r="AH1770" s="7" t="inlineStr">
        <is>
          <t>5113</t>
        </is>
      </c>
      <c r="AJ1770" s="7" t="inlineStr">
        <is>
          <t>Change Orders</t>
        </is>
      </c>
    </row>
    <row r="1771" ht="10" customHeight="1">
      <c r="A1771" s="7" t="inlineStr">
        <is>
          <t>SCN</t>
        </is>
      </c>
      <c r="B1771" s="7" t="inlineStr">
        <is>
          <t>Procurement</t>
        </is>
      </c>
      <c r="D1771" s="7" t="inlineStr">
        <is>
          <t>Service Craft - P-5c - 1 YRBM: $</t>
        </is>
      </c>
      <c r="E1771" s="13" t="inlineStr">
        <is>
          <t>[ALT_VIEW]</t>
        </is>
      </c>
      <c r="F1771" s="7" t="inlineStr">
        <is>
          <t>5113 / Service Craft</t>
        </is>
      </c>
      <c r="G1771" s="7" t="inlineStr">
        <is>
          <t>P-5c</t>
        </is>
      </c>
      <c r="I1771" s="14" t="n">
        <v>1</v>
      </c>
      <c r="J1771" s="7" t="inlineStr">
        <is>
          <t>Full ship DD&amp;C</t>
        </is>
      </c>
      <c r="K1771" s="15" t="n"/>
      <c r="O1771" s="15" t="n"/>
      <c r="AC1771" s="23">
        <f>IF(OR(E1771="",E1771="[PARENT]"),"ADD",IF(E1771="[ALT_VIEW]","ALT",""))</f>
        <v/>
      </c>
      <c r="AD1771" s="21">
        <f>IF(Y1771&lt;&gt;"",Y1771,IF(U1771&lt;&gt;"",U1771,S1771))</f>
        <v/>
      </c>
      <c r="AE1771" s="21">
        <f>IF(AB1771&lt;&gt;"",AB1771,Z1771)</f>
        <v/>
      </c>
      <c r="AF1771" s="13" t="inlineStr">
        <is>
          <t>P-5c &gt; Service Craft &gt; 1 YRBM: $</t>
        </is>
      </c>
      <c r="AG1771" s="7" t="inlineStr">
        <is>
          <t>418</t>
        </is>
      </c>
      <c r="AH1771" s="7" t="inlineStr">
        <is>
          <t>5113</t>
        </is>
      </c>
    </row>
    <row r="1772" ht="10" customHeight="1">
      <c r="A1772" s="7" t="inlineStr">
        <is>
          <t>SCN</t>
        </is>
      </c>
      <c r="B1772" s="7" t="inlineStr">
        <is>
          <t>Procurement</t>
        </is>
      </c>
      <c r="D1772" s="7" t="inlineStr">
        <is>
          <t>Service Craft - P-5c - 2 YON: $</t>
        </is>
      </c>
      <c r="E1772" s="13" t="inlineStr">
        <is>
          <t>[ALT_VIEW]</t>
        </is>
      </c>
      <c r="F1772" s="7" t="inlineStr">
        <is>
          <t>5113 / Service Craft</t>
        </is>
      </c>
      <c r="G1772" s="7" t="inlineStr">
        <is>
          <t>P-5c</t>
        </is>
      </c>
      <c r="I1772" s="14" t="n">
        <v>1</v>
      </c>
      <c r="J1772" s="7" t="inlineStr">
        <is>
          <t>Full ship DD&amp;C</t>
        </is>
      </c>
      <c r="K1772" s="15" t="n"/>
      <c r="O1772" s="15" t="n"/>
      <c r="AC1772" s="23">
        <f>IF(OR(E1772="",E1772="[PARENT]"),"ADD",IF(E1772="[ALT_VIEW]","ALT",""))</f>
        <v/>
      </c>
      <c r="AD1772" s="21">
        <f>IF(Y1772&lt;&gt;"",Y1772,IF(U1772&lt;&gt;"",U1772,S1772))</f>
        <v/>
      </c>
      <c r="AE1772" s="21">
        <f>IF(AB1772&lt;&gt;"",AB1772,Z1772)</f>
        <v/>
      </c>
      <c r="AF1772" s="13" t="inlineStr">
        <is>
          <t>P-5c &gt; Service Craft &gt; 2 YON: $</t>
        </is>
      </c>
      <c r="AG1772" s="7" t="inlineStr">
        <is>
          <t>418</t>
        </is>
      </c>
      <c r="AH1772" s="7" t="inlineStr">
        <is>
          <t>5113</t>
        </is>
      </c>
    </row>
    <row r="1773" ht="10" customHeight="1">
      <c r="A1773" s="7" t="inlineStr">
        <is>
          <t>SCN</t>
        </is>
      </c>
      <c r="B1773" s="7" t="inlineStr">
        <is>
          <t>Procurement</t>
        </is>
      </c>
      <c r="D1773" s="7" t="inlineStr">
        <is>
          <t>Auxiliary Personnel Lighter - P-5c - Basic Construction</t>
        </is>
      </c>
      <c r="E1773" s="13" t="inlineStr">
        <is>
          <t>[ALT_VIEW]</t>
        </is>
      </c>
      <c r="F1773" s="7" t="inlineStr">
        <is>
          <t>5114 / Auxiliary Personnel Lighter</t>
        </is>
      </c>
      <c r="G1773" s="7" t="inlineStr">
        <is>
          <t>P-5c</t>
        </is>
      </c>
      <c r="H1773" s="7" t="inlineStr">
        <is>
          <t>Basic Construction</t>
        </is>
      </c>
      <c r="I1773" s="14" t="n">
        <v>1</v>
      </c>
      <c r="J1773" s="7" t="inlineStr">
        <is>
          <t>Full ship DD&amp;C</t>
        </is>
      </c>
      <c r="K1773" s="13" t="inlineStr">
        <is>
          <t>USN</t>
        </is>
      </c>
      <c r="L1773" s="7" t="inlineStr">
        <is>
          <t>Support Crafts</t>
        </is>
      </c>
      <c r="M1773" s="7" t="inlineStr">
        <is>
          <t>Other Craft, Non-Self-Propelled</t>
        </is>
      </c>
      <c r="N1773" s="7" t="inlineStr">
        <is>
          <t>APL</t>
        </is>
      </c>
      <c r="O1773" s="15" t="n"/>
      <c r="P1773" s="16" t="n">
        <v>69607</v>
      </c>
      <c r="S1773" s="16" t="n">
        <v>73083</v>
      </c>
      <c r="U1773" s="16" t="n">
        <v>73083</v>
      </c>
      <c r="AC1773" s="23">
        <f>IF(OR(E1773="",E1773="[PARENT]"),"ADD",IF(E1773="[ALT_VIEW]","ALT",""))</f>
        <v/>
      </c>
      <c r="AD1773" s="21">
        <f>IF(Y1773&lt;&gt;"",Y1773,IF(U1773&lt;&gt;"",U1773,S1773))</f>
        <v/>
      </c>
      <c r="AE1773" s="21">
        <f>IF(AB1773&lt;&gt;"",AB1773,Z1773)</f>
        <v/>
      </c>
      <c r="AF1773" s="13" t="inlineStr">
        <is>
          <t>P-5c &gt; Auxiliary Personnel Lighter &gt; Basic Construction</t>
        </is>
      </c>
      <c r="AG1773" s="7" t="inlineStr">
        <is>
          <t>423</t>
        </is>
      </c>
      <c r="AH1773" s="7" t="inlineStr">
        <is>
          <t>5114</t>
        </is>
      </c>
      <c r="AJ1773" s="7" t="inlineStr">
        <is>
          <t>Basic Construction</t>
        </is>
      </c>
    </row>
    <row r="1774" ht="10" customHeight="1">
      <c r="A1774" s="7" t="inlineStr">
        <is>
          <t>SCN</t>
        </is>
      </c>
      <c r="B1774" s="7" t="inlineStr">
        <is>
          <t>Procurement</t>
        </is>
      </c>
      <c r="D1774" s="7" t="inlineStr">
        <is>
          <t>Auxiliary Personnel Lighter - P-5c - Change Orders</t>
        </is>
      </c>
      <c r="E1774" s="13" t="inlineStr">
        <is>
          <t>[ALT_VIEW]</t>
        </is>
      </c>
      <c r="F1774" s="7" t="inlineStr">
        <is>
          <t>5114 / Auxiliary Personnel Lighter</t>
        </is>
      </c>
      <c r="G1774" s="7" t="inlineStr">
        <is>
          <t>P-5c</t>
        </is>
      </c>
      <c r="H1774" s="7" t="inlineStr">
        <is>
          <t>Change Orders</t>
        </is>
      </c>
      <c r="I1774" s="14" t="n">
        <v>1</v>
      </c>
      <c r="J1774" s="7" t="inlineStr">
        <is>
          <t>Full ship DD&amp;C</t>
        </is>
      </c>
      <c r="K1774" s="13" t="inlineStr">
        <is>
          <t>USN</t>
        </is>
      </c>
      <c r="L1774" s="7" t="inlineStr">
        <is>
          <t>Support Crafts</t>
        </is>
      </c>
      <c r="M1774" s="7" t="inlineStr">
        <is>
          <t>Other Craft, Non-Self-Propelled</t>
        </is>
      </c>
      <c r="N1774" s="7" t="inlineStr">
        <is>
          <t>APL</t>
        </is>
      </c>
      <c r="O1774" s="15" t="n"/>
      <c r="P1774" s="16" t="n">
        <v>1593</v>
      </c>
      <c r="S1774" s="16" t="n">
        <v>2285</v>
      </c>
      <c r="U1774" s="16" t="n">
        <v>2285</v>
      </c>
      <c r="AC1774" s="23">
        <f>IF(OR(E1774="",E1774="[PARENT]"),"ADD",IF(E1774="[ALT_VIEW]","ALT",""))</f>
        <v/>
      </c>
      <c r="AD1774" s="21">
        <f>IF(Y1774&lt;&gt;"",Y1774,IF(U1774&lt;&gt;"",U1774,S1774))</f>
        <v/>
      </c>
      <c r="AE1774" s="21">
        <f>IF(AB1774&lt;&gt;"",AB1774,Z1774)</f>
        <v/>
      </c>
      <c r="AF1774" s="13" t="inlineStr">
        <is>
          <t>P-5c &gt; Auxiliary Personnel Lighter &gt; Change Orders</t>
        </is>
      </c>
      <c r="AG1774" s="7" t="inlineStr">
        <is>
          <t>423</t>
        </is>
      </c>
      <c r="AH1774" s="7" t="inlineStr">
        <is>
          <t>5114</t>
        </is>
      </c>
      <c r="AJ1774" s="7" t="inlineStr">
        <is>
          <t>Change Orders</t>
        </is>
      </c>
    </row>
    <row r="1775" ht="10" customHeight="1">
      <c r="A1775" s="7" t="inlineStr">
        <is>
          <t>SCN</t>
        </is>
      </c>
      <c r="B1775" s="7" t="inlineStr">
        <is>
          <t>Procurement</t>
        </is>
      </c>
      <c r="D1775" s="7" t="inlineStr">
        <is>
          <t>Auxiliary Personnel Lighter - P-5c - Hull, Mechanical, and Electrical</t>
        </is>
      </c>
      <c r="E1775" s="13" t="inlineStr">
        <is>
          <t>[ALT_VIEW]</t>
        </is>
      </c>
      <c r="F1775" s="7" t="inlineStr">
        <is>
          <t>5114 / Auxiliary Personnel Lighter</t>
        </is>
      </c>
      <c r="G1775" s="7" t="inlineStr">
        <is>
          <t>P-5c</t>
        </is>
      </c>
      <c r="H1775" s="7" t="inlineStr">
        <is>
          <t>Hull, Mechanical, and Electrical</t>
        </is>
      </c>
      <c r="I1775" s="14" t="n">
        <v>1</v>
      </c>
      <c r="J1775" s="7" t="inlineStr">
        <is>
          <t>Full ship DD&amp;C</t>
        </is>
      </c>
      <c r="K1775" s="13" t="inlineStr">
        <is>
          <t>USN</t>
        </is>
      </c>
      <c r="L1775" s="7" t="inlineStr">
        <is>
          <t>Support Crafts</t>
        </is>
      </c>
      <c r="M1775" s="7" t="inlineStr">
        <is>
          <t>Other Craft, Non-Self-Propelled</t>
        </is>
      </c>
      <c r="N1775" s="7" t="inlineStr">
        <is>
          <t>APL</t>
        </is>
      </c>
      <c r="O1775" s="15" t="n"/>
      <c r="P1775" s="16" t="n">
        <v>800</v>
      </c>
      <c r="S1775" s="16" t="n">
        <v>800</v>
      </c>
      <c r="U1775" s="16" t="n">
        <v>800</v>
      </c>
      <c r="AC1775" s="23">
        <f>IF(OR(E1775="",E1775="[PARENT]"),"ADD",IF(E1775="[ALT_VIEW]","ALT",""))</f>
        <v/>
      </c>
      <c r="AD1775" s="21">
        <f>IF(Y1775&lt;&gt;"",Y1775,IF(U1775&lt;&gt;"",U1775,S1775))</f>
        <v/>
      </c>
      <c r="AE1775" s="21">
        <f>IF(AB1775&lt;&gt;"",AB1775,Z1775)</f>
        <v/>
      </c>
      <c r="AF1775" s="13" t="inlineStr">
        <is>
          <t>P-5c &gt; Auxiliary Personnel Lighter &gt; Hull, Mechanical, and Electrical</t>
        </is>
      </c>
      <c r="AG1775" s="7" t="inlineStr">
        <is>
          <t>423</t>
        </is>
      </c>
      <c r="AH1775" s="7" t="inlineStr">
        <is>
          <t>5114</t>
        </is>
      </c>
      <c r="AJ1775" s="7" t="inlineStr">
        <is>
          <t>HME</t>
        </is>
      </c>
    </row>
    <row r="1776" ht="10" customHeight="1">
      <c r="A1776" s="7" t="inlineStr">
        <is>
          <t>SCN</t>
        </is>
      </c>
      <c r="B1776" s="7" t="inlineStr">
        <is>
          <t>Procurement</t>
        </is>
      </c>
      <c r="D1776" s="7" t="inlineStr">
        <is>
          <t>LCAC SLEP - P-5c - Basic Construction</t>
        </is>
      </c>
      <c r="E1776" s="13" t="inlineStr">
        <is>
          <t>[ALT_VIEW]</t>
        </is>
      </c>
      <c r="F1776" s="7" t="inlineStr">
        <is>
          <t>5139 / LCAC SLEP</t>
        </is>
      </c>
      <c r="G1776" s="7" t="inlineStr">
        <is>
          <t>P-5c</t>
        </is>
      </c>
      <c r="H1776" s="7" t="inlineStr">
        <is>
          <t>Basic Construction</t>
        </is>
      </c>
      <c r="I1776" s="14" t="n">
        <v>5</v>
      </c>
      <c r="J1776" s="7" t="inlineStr">
        <is>
          <t>SLEP</t>
        </is>
      </c>
      <c r="K1776" s="13" t="inlineStr">
        <is>
          <t>USN</t>
        </is>
      </c>
      <c r="L1776" s="7" t="inlineStr">
        <is>
          <t>Combatant Crafts</t>
        </is>
      </c>
      <c r="M1776" s="7" t="inlineStr">
        <is>
          <t>Amphibious Warfare Craft</t>
        </is>
      </c>
      <c r="N1776" s="7" t="inlineStr">
        <is>
          <t>LCAC</t>
        </is>
      </c>
      <c r="O1776" s="15" t="n"/>
      <c r="P1776" s="16" t="n">
        <v>8502</v>
      </c>
      <c r="S1776" s="16" t="n">
        <v>25269</v>
      </c>
      <c r="U1776" s="16" t="n">
        <v>25269</v>
      </c>
      <c r="AC1776" s="23">
        <f>IF(OR(E1776="",E1776="[PARENT]"),"ADD",IF(E1776="[ALT_VIEW]","ALT",""))</f>
        <v/>
      </c>
      <c r="AD1776" s="21">
        <f>IF(Y1776&lt;&gt;"",Y1776,IF(U1776&lt;&gt;"",U1776,S1776))</f>
        <v/>
      </c>
      <c r="AE1776" s="21">
        <f>IF(AB1776&lt;&gt;"",AB1776,Z1776)</f>
        <v/>
      </c>
      <c r="AF1776" s="13" t="inlineStr">
        <is>
          <t>P-5c &gt; LCAC SLEP &gt; Basic Construction</t>
        </is>
      </c>
      <c r="AG1776" s="7" t="inlineStr">
        <is>
          <t>427</t>
        </is>
      </c>
      <c r="AH1776" s="7" t="inlineStr">
        <is>
          <t>5139</t>
        </is>
      </c>
      <c r="AJ1776" s="7" t="inlineStr">
        <is>
          <t>Basic Construction</t>
        </is>
      </c>
    </row>
    <row r="1777" ht="10" customHeight="1">
      <c r="A1777" s="7" t="inlineStr">
        <is>
          <t>SCN</t>
        </is>
      </c>
      <c r="B1777" s="7" t="inlineStr">
        <is>
          <t>Procurement</t>
        </is>
      </c>
      <c r="D1777" s="7" t="inlineStr">
        <is>
          <t>LCAC SLEP - P-5c - Electronics</t>
        </is>
      </c>
      <c r="E1777" s="13" t="inlineStr">
        <is>
          <t>[ALT_VIEW]</t>
        </is>
      </c>
      <c r="F1777" s="7" t="inlineStr">
        <is>
          <t>5139 / LCAC SLEP</t>
        </is>
      </c>
      <c r="G1777" s="7" t="inlineStr">
        <is>
          <t>P-5c</t>
        </is>
      </c>
      <c r="H1777" s="7" t="inlineStr">
        <is>
          <t>Electronics</t>
        </is>
      </c>
      <c r="I1777" s="14" t="n">
        <v>5</v>
      </c>
      <c r="J1777" s="7" t="inlineStr">
        <is>
          <t>SLEP</t>
        </is>
      </c>
      <c r="K1777" s="13" t="inlineStr">
        <is>
          <t>USN</t>
        </is>
      </c>
      <c r="L1777" s="7" t="inlineStr">
        <is>
          <t>Combatant Crafts</t>
        </is>
      </c>
      <c r="M1777" s="7" t="inlineStr">
        <is>
          <t>Amphibious Warfare Craft</t>
        </is>
      </c>
      <c r="N1777" s="7" t="inlineStr">
        <is>
          <t>LCAC</t>
        </is>
      </c>
      <c r="O1777" s="15" t="n"/>
      <c r="P1777" s="16" t="n">
        <v>651</v>
      </c>
      <c r="S1777" s="16" t="n">
        <v>4764</v>
      </c>
      <c r="U1777" s="16" t="n">
        <v>4764</v>
      </c>
      <c r="AC1777" s="23">
        <f>IF(OR(E1777="",E1777="[PARENT]"),"ADD",IF(E1777="[ALT_VIEW]","ALT",""))</f>
        <v/>
      </c>
      <c r="AD1777" s="21">
        <f>IF(Y1777&lt;&gt;"",Y1777,IF(U1777&lt;&gt;"",U1777,S1777))</f>
        <v/>
      </c>
      <c r="AE1777" s="21">
        <f>IF(AB1777&lt;&gt;"",AB1777,Z1777)</f>
        <v/>
      </c>
      <c r="AF1777" s="13" t="inlineStr">
        <is>
          <t>P-5c &gt; LCAC SLEP &gt; Electronics</t>
        </is>
      </c>
      <c r="AG1777" s="7" t="inlineStr">
        <is>
          <t>427</t>
        </is>
      </c>
      <c r="AH1777" s="7" t="inlineStr">
        <is>
          <t>5139</t>
        </is>
      </c>
      <c r="AJ1777" s="7" t="inlineStr">
        <is>
          <t>Electronics</t>
        </is>
      </c>
    </row>
    <row r="1778" ht="10" customHeight="1">
      <c r="A1778" s="7" t="inlineStr">
        <is>
          <t>SCN</t>
        </is>
      </c>
      <c r="B1778" s="7" t="inlineStr">
        <is>
          <t>Procurement</t>
        </is>
      </c>
      <c r="D1778" s="7" t="inlineStr">
        <is>
          <t>LCAC SLEP - P-5c - Hull, Mechanical, and Electrical</t>
        </is>
      </c>
      <c r="E1778" s="13" t="inlineStr">
        <is>
          <t>[ALT_VIEW]</t>
        </is>
      </c>
      <c r="F1778" s="7" t="inlineStr">
        <is>
          <t>5139 / LCAC SLEP</t>
        </is>
      </c>
      <c r="G1778" s="7" t="inlineStr">
        <is>
          <t>P-5c</t>
        </is>
      </c>
      <c r="H1778" s="7" t="inlineStr">
        <is>
          <t>Hull, Mechanical, and Electrical</t>
        </is>
      </c>
      <c r="I1778" s="14" t="n">
        <v>5</v>
      </c>
      <c r="J1778" s="7" t="inlineStr">
        <is>
          <t>SLEP</t>
        </is>
      </c>
      <c r="K1778" s="13" t="inlineStr">
        <is>
          <t>USN</t>
        </is>
      </c>
      <c r="L1778" s="7" t="inlineStr">
        <is>
          <t>Combatant Crafts</t>
        </is>
      </c>
      <c r="M1778" s="7" t="inlineStr">
        <is>
          <t>Amphibious Warfare Craft</t>
        </is>
      </c>
      <c r="N1778" s="7" t="inlineStr">
        <is>
          <t>LCAC</t>
        </is>
      </c>
      <c r="O1778" s="15" t="n"/>
      <c r="P1778" s="16" t="n">
        <v>5483</v>
      </c>
      <c r="S1778" s="16" t="n">
        <v>14124</v>
      </c>
      <c r="U1778" s="16" t="n">
        <v>14124</v>
      </c>
      <c r="AC1778" s="23">
        <f>IF(OR(E1778="",E1778="[PARENT]"),"ADD",IF(E1778="[ALT_VIEW]","ALT",""))</f>
        <v/>
      </c>
      <c r="AD1778" s="21">
        <f>IF(Y1778&lt;&gt;"",Y1778,IF(U1778&lt;&gt;"",U1778,S1778))</f>
        <v/>
      </c>
      <c r="AE1778" s="21">
        <f>IF(AB1778&lt;&gt;"",AB1778,Z1778)</f>
        <v/>
      </c>
      <c r="AF1778" s="13" t="inlineStr">
        <is>
          <t>P-5c &gt; LCAC SLEP &gt; Hull, Mechanical, and Electrical</t>
        </is>
      </c>
      <c r="AG1778" s="7" t="inlineStr">
        <is>
          <t>427</t>
        </is>
      </c>
      <c r="AH1778" s="7" t="inlineStr">
        <is>
          <t>5139</t>
        </is>
      </c>
      <c r="AJ1778" s="7" t="inlineStr">
        <is>
          <t>HME</t>
        </is>
      </c>
    </row>
    <row r="1779" ht="10" customHeight="1">
      <c r="A1779" s="7" t="inlineStr">
        <is>
          <t>SCN</t>
        </is>
      </c>
      <c r="B1779" s="7" t="inlineStr">
        <is>
          <t>Procurement</t>
        </is>
      </c>
      <c r="D1779" s="7" t="inlineStr">
        <is>
          <t>LCAC SLEP - P-5c - Other Cost</t>
        </is>
      </c>
      <c r="E1779" s="13" t="inlineStr">
        <is>
          <t>[ALT_VIEW]</t>
        </is>
      </c>
      <c r="F1779" s="7" t="inlineStr">
        <is>
          <t>5139 / LCAC SLEP</t>
        </is>
      </c>
      <c r="G1779" s="7" t="inlineStr">
        <is>
          <t>P-5c</t>
        </is>
      </c>
      <c r="H1779" s="7" t="inlineStr">
        <is>
          <t>Other Cost</t>
        </is>
      </c>
      <c r="I1779" s="14" t="n">
        <v>5</v>
      </c>
      <c r="J1779" s="7" t="inlineStr">
        <is>
          <t>SLEP</t>
        </is>
      </c>
      <c r="K1779" s="13" t="inlineStr">
        <is>
          <t>USN</t>
        </is>
      </c>
      <c r="L1779" s="7" t="inlineStr">
        <is>
          <t>Combatant Crafts</t>
        </is>
      </c>
      <c r="M1779" s="7" t="inlineStr">
        <is>
          <t>Amphibious Warfare Craft</t>
        </is>
      </c>
      <c r="N1779" s="7" t="inlineStr">
        <is>
          <t>LCAC</t>
        </is>
      </c>
      <c r="O1779" s="15" t="n"/>
      <c r="P1779" s="16" t="n">
        <v>650</v>
      </c>
      <c r="S1779" s="16" t="n">
        <v>930</v>
      </c>
      <c r="U1779" s="16" t="n">
        <v>930</v>
      </c>
      <c r="AC1779" s="23">
        <f>IF(OR(E1779="",E1779="[PARENT]"),"ADD",IF(E1779="[ALT_VIEW]","ALT",""))</f>
        <v/>
      </c>
      <c r="AD1779" s="21">
        <f>IF(Y1779&lt;&gt;"",Y1779,IF(U1779&lt;&gt;"",U1779,S1779))</f>
        <v/>
      </c>
      <c r="AE1779" s="21">
        <f>IF(AB1779&lt;&gt;"",AB1779,Z1779)</f>
        <v/>
      </c>
      <c r="AF1779" s="13" t="inlineStr">
        <is>
          <t>P-5c &gt; LCAC SLEP &gt; Other Cost</t>
        </is>
      </c>
      <c r="AG1779" s="7" t="inlineStr">
        <is>
          <t>427</t>
        </is>
      </c>
      <c r="AH1779" s="7" t="inlineStr">
        <is>
          <t>5139</t>
        </is>
      </c>
      <c r="AJ1779" s="7" t="inlineStr">
        <is>
          <t>Other Costs</t>
        </is>
      </c>
    </row>
    <row r="1780" ht="10" customHeight="1">
      <c r="A1780" s="7" t="inlineStr">
        <is>
          <t>SCN</t>
        </is>
      </c>
      <c r="B1780" s="7" t="inlineStr">
        <is>
          <t>Procurement</t>
        </is>
      </c>
      <c r="D1780" s="7" t="inlineStr">
        <is>
          <t>Auxiliary Vessels (Used Sealift) - P-5c - Basic Construction</t>
        </is>
      </c>
      <c r="E1780" s="13" t="inlineStr">
        <is>
          <t>[ALT_VIEW]</t>
        </is>
      </c>
      <c r="F1780" s="7" t="inlineStr">
        <is>
          <t>5201 / Auxiliary Vessels (Used Sealift)</t>
        </is>
      </c>
      <c r="G1780" s="7" t="inlineStr">
        <is>
          <t>P-5c</t>
        </is>
      </c>
      <c r="H1780" s="7" t="inlineStr">
        <is>
          <t>Basic Construction</t>
        </is>
      </c>
      <c r="I1780" s="14" t="n">
        <v>1</v>
      </c>
      <c r="J1780" s="7" t="inlineStr">
        <is>
          <t>Full ship DD&amp;C</t>
        </is>
      </c>
      <c r="K1780" s="15" t="n"/>
      <c r="O1780" s="15" t="n"/>
      <c r="P1780" s="16" t="n">
        <v>204939</v>
      </c>
      <c r="S1780" s="16" t="n">
        <v>45000</v>
      </c>
      <c r="U1780" s="16" t="n">
        <v>45000</v>
      </c>
      <c r="AC1780" s="23">
        <f>IF(OR(E1780="",E1780="[PARENT]"),"ADD",IF(E1780="[ALT_VIEW]","ALT",""))</f>
        <v/>
      </c>
      <c r="AD1780" s="21">
        <f>IF(Y1780&lt;&gt;"",Y1780,IF(U1780&lt;&gt;"",U1780,S1780))</f>
        <v/>
      </c>
      <c r="AE1780" s="21">
        <f>IF(AB1780&lt;&gt;"",AB1780,Z1780)</f>
        <v/>
      </c>
      <c r="AF1780" s="13" t="inlineStr">
        <is>
          <t>P-5c &gt; Auxiliary Vessels (Used Sealift) &gt; Basic Construction</t>
        </is>
      </c>
      <c r="AG1780" s="7" t="inlineStr">
        <is>
          <t>431</t>
        </is>
      </c>
      <c r="AH1780" s="7" t="inlineStr">
        <is>
          <t>5201</t>
        </is>
      </c>
    </row>
    <row r="1781" ht="10" customHeight="1">
      <c r="A1781" s="7" t="inlineStr">
        <is>
          <t>NWCF</t>
        </is>
      </c>
      <c r="B1781" s="7" t="inlineStr">
        <is>
          <t>Working Capital Fund</t>
        </is>
      </c>
      <c r="D1781" s="7" t="inlineStr">
        <is>
          <t>MSC Total New Orders</t>
        </is>
      </c>
      <c r="E1781" s="13" t="inlineStr">
        <is>
          <t>[PARENT]</t>
        </is>
      </c>
      <c r="I1781" s="14" t="n">
        <v>7</v>
      </c>
      <c r="K1781" s="15" t="n"/>
      <c r="O1781" s="15" t="n"/>
      <c r="P1781" s="16" t="n">
        <v>4419500</v>
      </c>
      <c r="Q1781" s="16" t="n">
        <v>4304300</v>
      </c>
      <c r="S1781" s="16" t="n">
        <v>2808100</v>
      </c>
      <c r="U1781" s="16" t="n">
        <v>2808100</v>
      </c>
      <c r="AC1781" s="23">
        <f>IF(OR(E1781="",E1781="[PARENT]"),"ADD",IF(E1781="[ALT_VIEW]","ALT",""))</f>
        <v/>
      </c>
      <c r="AD1781" s="21">
        <f>IF(Y1781&lt;&gt;"",Y1781,IF(U1781&lt;&gt;"",U1781,S1781))</f>
        <v/>
      </c>
      <c r="AE1781" s="21">
        <f>IF(AB1781&lt;&gt;"",AB1781,Z1781)</f>
        <v/>
      </c>
      <c r="AF1781" s="13" t="inlineStr">
        <is>
          <t>Transportation &gt; Exhibit Fund-11 &gt; Line 1. New Orders</t>
        </is>
      </c>
      <c r="AG1781" s="7" t="inlineStr">
        <is>
          <t>228</t>
        </is>
      </c>
      <c r="AH1781" s="7" t="inlineStr">
        <is>
          <t>NWCF-Transportation</t>
        </is>
      </c>
    </row>
    <row r="1782" ht="10" customHeight="1">
      <c r="A1782" s="7" t="inlineStr">
        <is>
          <t>NWCF</t>
        </is>
      </c>
      <c r="B1782" s="7" t="inlineStr">
        <is>
          <t>Working Capital Fund</t>
        </is>
      </c>
      <c r="D1782" s="7" t="inlineStr">
        <is>
          <t>MSC Total Revenue (Total Income)</t>
        </is>
      </c>
      <c r="E1782" s="13" t="inlineStr">
        <is>
          <t>[ALT_VIEW]</t>
        </is>
      </c>
      <c r="F1782" s="7" t="inlineStr">
        <is>
          <t>MSC Total New Orders</t>
        </is>
      </c>
      <c r="I1782" s="14" t="n">
        <v>7</v>
      </c>
      <c r="K1782" s="15" t="n"/>
      <c r="O1782" s="15" t="n"/>
      <c r="P1782" s="16" t="n">
        <v>4310200</v>
      </c>
      <c r="Q1782" s="16" t="n">
        <v>4304300</v>
      </c>
      <c r="S1782" s="16" t="n">
        <v>2808100</v>
      </c>
      <c r="U1782" s="16" t="n">
        <v>2808100</v>
      </c>
      <c r="AC1782" s="23">
        <f>IF(OR(E1782="",E1782="[PARENT]"),"ADD",IF(E1782="[ALT_VIEW]","ALT",""))</f>
        <v/>
      </c>
      <c r="AD1782" s="21">
        <f>IF(Y1782&lt;&gt;"",Y1782,IF(U1782&lt;&gt;"",U1782,S1782))</f>
        <v/>
      </c>
      <c r="AE1782" s="21">
        <f>IF(AB1782&lt;&gt;"",AB1782,Z1782)</f>
        <v/>
      </c>
      <c r="AF1782" s="13" t="inlineStr">
        <is>
          <t>Transportation &gt; Exhibit Fund-14 &gt; Total Income</t>
        </is>
      </c>
      <c r="AG1782" s="7" t="inlineStr">
        <is>
          <t>230</t>
        </is>
      </c>
      <c r="AH1782" s="7" t="inlineStr">
        <is>
          <t>NWCF-Transportation</t>
        </is>
      </c>
    </row>
    <row r="1783" ht="10" customHeight="1">
      <c r="A1783" s="7" t="inlineStr">
        <is>
          <t>NWCF</t>
        </is>
      </c>
      <c r="B1783" s="7" t="inlineStr">
        <is>
          <t>Working Capital Fund</t>
        </is>
      </c>
      <c r="D1783" s="7" t="inlineStr">
        <is>
          <t>MSC Total Expenses (Cost of Goods Sold)</t>
        </is>
      </c>
      <c r="E1783" s="13" t="inlineStr">
        <is>
          <t>[ALT_VIEW]</t>
        </is>
      </c>
      <c r="F1783" s="7" t="inlineStr">
        <is>
          <t>MSC Total New Orders</t>
        </is>
      </c>
      <c r="I1783" s="14" t="n">
        <v>7</v>
      </c>
      <c r="K1783" s="15" t="n"/>
      <c r="O1783" s="15" t="n"/>
      <c r="P1783" s="16" t="n">
        <v>4367700</v>
      </c>
      <c r="Q1783" s="16" t="n">
        <v>4493900</v>
      </c>
      <c r="S1783" s="16" t="n">
        <v>3070000</v>
      </c>
      <c r="U1783" s="16" t="n">
        <v>3070000</v>
      </c>
      <c r="AC1783" s="23">
        <f>IF(OR(E1783="",E1783="[PARENT]"),"ADD",IF(E1783="[ALT_VIEW]","ALT",""))</f>
        <v/>
      </c>
      <c r="AD1783" s="21">
        <f>IF(Y1783&lt;&gt;"",Y1783,IF(U1783&lt;&gt;"",U1783,S1783))</f>
        <v/>
      </c>
      <c r="AE1783" s="21">
        <f>IF(AB1783&lt;&gt;"",AB1783,Z1783)</f>
        <v/>
      </c>
      <c r="AF1783" s="13" t="inlineStr">
        <is>
          <t>Transportation &gt; Exhibit Fund-14 &gt; Total Expenses</t>
        </is>
      </c>
      <c r="AG1783" s="7" t="inlineStr">
        <is>
          <t>230</t>
        </is>
      </c>
      <c r="AH1783" s="7" t="inlineStr">
        <is>
          <t>NWCF-Transportation</t>
        </is>
      </c>
    </row>
    <row r="1784" ht="10" customHeight="1">
      <c r="A1784" s="7" t="inlineStr">
        <is>
          <t>NWCF</t>
        </is>
      </c>
      <c r="B1784" s="7" t="inlineStr">
        <is>
          <t>Working Capital Fund</t>
        </is>
      </c>
      <c r="D1784" s="7" t="inlineStr">
        <is>
          <t>CLF M&amp;R Realignment to OMN</t>
        </is>
      </c>
      <c r="E1784" s="13" t="inlineStr">
        <is>
          <t>[SUB]</t>
        </is>
      </c>
      <c r="F1784" s="7" t="inlineStr">
        <is>
          <t>MSC Total Program Changes (M&amp;R Realignment)</t>
        </is>
      </c>
      <c r="I1784" s="14" t="n">
        <v>2</v>
      </c>
      <c r="J1784" s="7" t="inlineStr">
        <is>
          <t>Scheduled Depot Maintenance</t>
        </is>
      </c>
      <c r="K1784" s="13" t="inlineStr">
        <is>
          <t>USN</t>
        </is>
      </c>
      <c r="L1784" s="7" t="inlineStr">
        <is>
          <t>Combatant Ships</t>
        </is>
      </c>
      <c r="M1784" s="7" t="inlineStr">
        <is>
          <t>Combat Logistics Ships</t>
        </is>
      </c>
      <c r="O1784" s="15" t="n"/>
      <c r="S1784" s="16" t="n">
        <v>-969320</v>
      </c>
      <c r="U1784" s="16" t="n">
        <v>-969320</v>
      </c>
      <c r="AC1784" s="23">
        <f>IF(OR(E1784="",E1784="[PARENT]"),"ADD",IF(E1784="[ALT_VIEW]","ALT",""))</f>
        <v/>
      </c>
      <c r="AD1784" s="21">
        <f>IF(Y1784&lt;&gt;"",Y1784,IF(U1784&lt;&gt;"",U1784,S1784))</f>
        <v/>
      </c>
      <c r="AE1784" s="21">
        <f>IF(AB1784&lt;&gt;"",AB1784,Z1784)</f>
        <v/>
      </c>
      <c r="AF1784" s="13" t="inlineStr">
        <is>
          <t>Transportation &gt; Narrative &gt; Significant Changes &gt; CLF</t>
        </is>
      </c>
      <c r="AG1784" s="7" t="inlineStr">
        <is>
          <t>214</t>
        </is>
      </c>
      <c r="AH1784" s="7" t="inlineStr">
        <is>
          <t>NWCF-Transportation</t>
        </is>
      </c>
      <c r="AI1784" s="7" t="inlineStr">
        <is>
          <t>CLF</t>
        </is>
      </c>
      <c r="AJ1784" s="7" t="inlineStr">
        <is>
          <t>CLF</t>
        </is>
      </c>
    </row>
    <row r="1785" ht="10" customHeight="1">
      <c r="A1785" s="7" t="inlineStr">
        <is>
          <t>NWCF</t>
        </is>
      </c>
      <c r="B1785" s="7" t="inlineStr">
        <is>
          <t>Working Capital Fund</t>
        </is>
      </c>
      <c r="D1785" s="7" t="inlineStr">
        <is>
          <t>SMS M&amp;R Realignment to OMN</t>
        </is>
      </c>
      <c r="E1785" s="13" t="inlineStr">
        <is>
          <t>[SUB]</t>
        </is>
      </c>
      <c r="F1785" s="7" t="inlineStr">
        <is>
          <t>MSC Total Program Changes (M&amp;R Realignment)</t>
        </is>
      </c>
      <c r="I1785" s="14" t="n">
        <v>2</v>
      </c>
      <c r="J1785" s="7" t="inlineStr">
        <is>
          <t>Scheduled Depot Maintenance</t>
        </is>
      </c>
      <c r="K1785" s="15" t="n"/>
      <c r="O1785" s="15" t="n"/>
      <c r="S1785" s="16" t="n">
        <v>-95820</v>
      </c>
      <c r="U1785" s="16" t="n">
        <v>-95820</v>
      </c>
      <c r="AC1785" s="23">
        <f>IF(OR(E1785="",E1785="[PARENT]"),"ADD",IF(E1785="[ALT_VIEW]","ALT",""))</f>
        <v/>
      </c>
      <c r="AD1785" s="21">
        <f>IF(Y1785&lt;&gt;"",Y1785,IF(U1785&lt;&gt;"",U1785,S1785))</f>
        <v/>
      </c>
      <c r="AE1785" s="21">
        <f>IF(AB1785&lt;&gt;"",AB1785,Z1785)</f>
        <v/>
      </c>
      <c r="AF1785" s="13" t="inlineStr">
        <is>
          <t>Transportation &gt; Narrative &gt; Significant Changes &gt; SMS</t>
        </is>
      </c>
      <c r="AG1785" s="7" t="inlineStr">
        <is>
          <t>214</t>
        </is>
      </c>
      <c r="AH1785" s="7" t="inlineStr">
        <is>
          <t>NWCF-Transportation</t>
        </is>
      </c>
      <c r="AI1785" s="7" t="inlineStr">
        <is>
          <t>SMS</t>
        </is>
      </c>
      <c r="AJ1785" s="7" t="inlineStr">
        <is>
          <t>SMS</t>
        </is>
      </c>
    </row>
    <row r="1786" ht="10" customHeight="1">
      <c r="A1786" s="7" t="inlineStr">
        <is>
          <t>NWCF</t>
        </is>
      </c>
      <c r="B1786" s="7" t="inlineStr">
        <is>
          <t>Working Capital Fund</t>
        </is>
      </c>
      <c r="D1786" s="7" t="inlineStr">
        <is>
          <t>APF-N M&amp;R Realignment to OMN</t>
        </is>
      </c>
      <c r="E1786" s="13" t="inlineStr">
        <is>
          <t>[SUB]</t>
        </is>
      </c>
      <c r="F1786" s="7" t="inlineStr">
        <is>
          <t>MSC Total Program Changes (M&amp;R Realignment)</t>
        </is>
      </c>
      <c r="I1786" s="14" t="n">
        <v>2</v>
      </c>
      <c r="J1786" s="7" t="inlineStr">
        <is>
          <t>Scheduled Depot Maintenance</t>
        </is>
      </c>
      <c r="K1786" s="15" t="n"/>
      <c r="O1786" s="15" t="n"/>
      <c r="S1786" s="16" t="n">
        <v>-209400</v>
      </c>
      <c r="U1786" s="16" t="n">
        <v>-209400</v>
      </c>
      <c r="AC1786" s="23">
        <f>IF(OR(E1786="",E1786="[PARENT]"),"ADD",IF(E1786="[ALT_VIEW]","ALT",""))</f>
        <v/>
      </c>
      <c r="AD1786" s="21">
        <f>IF(Y1786&lt;&gt;"",Y1786,IF(U1786&lt;&gt;"",U1786,S1786))</f>
        <v/>
      </c>
      <c r="AE1786" s="21">
        <f>IF(AB1786&lt;&gt;"",AB1786,Z1786)</f>
        <v/>
      </c>
      <c r="AF1786" s="13" t="inlineStr">
        <is>
          <t>Transportation &gt; Narrative &gt; Significant Changes &gt; APF-N</t>
        </is>
      </c>
      <c r="AG1786" s="7" t="inlineStr">
        <is>
          <t>216</t>
        </is>
      </c>
      <c r="AH1786" s="7" t="inlineStr">
        <is>
          <t>NWCF-Transportation</t>
        </is>
      </c>
      <c r="AI1786" s="7" t="inlineStr">
        <is>
          <t>APF-N</t>
        </is>
      </c>
      <c r="AJ1786" s="7" t="inlineStr">
        <is>
          <t>APF-N</t>
        </is>
      </c>
    </row>
    <row r="1787" ht="10" customHeight="1">
      <c r="A1787" s="7" t="inlineStr">
        <is>
          <t>NWCF</t>
        </is>
      </c>
      <c r="B1787" s="7" t="inlineStr">
        <is>
          <t>Working Capital Fund</t>
        </is>
      </c>
      <c r="D1787" s="7" t="inlineStr">
        <is>
          <t>SSS M&amp;R Realignment to OMN</t>
        </is>
      </c>
      <c r="E1787" s="13" t="inlineStr">
        <is>
          <t>[SUB]</t>
        </is>
      </c>
      <c r="F1787" s="7" t="inlineStr">
        <is>
          <t>MSC Total Program Changes (M&amp;R Realignment)</t>
        </is>
      </c>
      <c r="I1787" s="14" t="n">
        <v>2</v>
      </c>
      <c r="J1787" s="7" t="inlineStr">
        <is>
          <t>Scheduled Depot Maintenance</t>
        </is>
      </c>
      <c r="K1787" s="15" t="n"/>
      <c r="O1787" s="15" t="n"/>
      <c r="S1787" s="16" t="n">
        <v>-125460</v>
      </c>
      <c r="U1787" s="16" t="n">
        <v>-125460</v>
      </c>
      <c r="AC1787" s="23">
        <f>IF(OR(E1787="",E1787="[PARENT]"),"ADD",IF(E1787="[ALT_VIEW]","ALT",""))</f>
        <v/>
      </c>
      <c r="AD1787" s="21">
        <f>IF(Y1787&lt;&gt;"",Y1787,IF(U1787&lt;&gt;"",U1787,S1787))</f>
        <v/>
      </c>
      <c r="AE1787" s="21">
        <f>IF(AB1787&lt;&gt;"",AB1787,Z1787)</f>
        <v/>
      </c>
      <c r="AF1787" s="13" t="inlineStr">
        <is>
          <t>Transportation &gt; Narrative &gt; Significant Changes &gt; SSS</t>
        </is>
      </c>
      <c r="AG1787" s="7" t="inlineStr">
        <is>
          <t>215</t>
        </is>
      </c>
      <c r="AH1787" s="7" t="inlineStr">
        <is>
          <t>NWCF-Transportation</t>
        </is>
      </c>
      <c r="AI1787" s="7" t="inlineStr">
        <is>
          <t>SSS</t>
        </is>
      </c>
      <c r="AJ1787" s="7" t="inlineStr">
        <is>
          <t>SSS</t>
        </is>
      </c>
    </row>
    <row r="1788" ht="10" customHeight="1">
      <c r="A1788" s="7" t="inlineStr">
        <is>
          <t>NWCF</t>
        </is>
      </c>
      <c r="B1788" s="7" t="inlineStr">
        <is>
          <t>Working Capital Fund</t>
        </is>
      </c>
      <c r="D1788" s="7" t="inlineStr">
        <is>
          <t>MSC Total Program Changes (M&amp;R Realignment)</t>
        </is>
      </c>
      <c r="E1788" s="13" t="inlineStr">
        <is>
          <t>[PARENT]</t>
        </is>
      </c>
      <c r="I1788" s="14" t="n">
        <v>2</v>
      </c>
      <c r="J1788" s="7" t="inlineStr">
        <is>
          <t>Scheduled Depot Maintenance</t>
        </is>
      </c>
      <c r="K1788" s="15" t="n"/>
      <c r="O1788" s="15" t="n"/>
      <c r="S1788" s="16" t="n">
        <v>-1494060</v>
      </c>
      <c r="U1788" s="16" t="n">
        <v>-1494060</v>
      </c>
      <c r="AC1788" s="23">
        <f>IF(OR(E1788="",E1788="[PARENT]"),"ADD",IF(E1788="[ALT_VIEW]","ALT",""))</f>
        <v/>
      </c>
      <c r="AD1788" s="21">
        <f>IF(Y1788&lt;&gt;"",Y1788,IF(U1788&lt;&gt;"",U1788,S1788))</f>
        <v/>
      </c>
      <c r="AE1788" s="21">
        <f>IF(AB1788&lt;&gt;"",AB1788,Z1788)</f>
        <v/>
      </c>
      <c r="AF1788" s="13" t="inlineStr">
        <is>
          <t>Transportation &gt; Exhibit Fund-2 &gt; Program Changes</t>
        </is>
      </c>
      <c r="AG1788" s="7" t="inlineStr">
        <is>
          <t>220</t>
        </is>
      </c>
      <c r="AH1788" s="7" t="inlineStr">
        <is>
          <t>NWCF-Transportation</t>
        </is>
      </c>
    </row>
    <row r="1789" ht="10" customHeight="1">
      <c r="A1789" s="7" t="inlineStr">
        <is>
          <t>NWCF</t>
        </is>
      </c>
      <c r="B1789" s="7" t="inlineStr">
        <is>
          <t>Working Capital Fund</t>
        </is>
      </c>
      <c r="D1789" s="7" t="inlineStr">
        <is>
          <t>CLF Unit Cost Per Day ($)</t>
        </is>
      </c>
      <c r="E1789" s="13" t="inlineStr">
        <is>
          <t>[REFERENCE]</t>
        </is>
      </c>
      <c r="I1789" s="14" t="n">
        <v>7</v>
      </c>
      <c r="K1789" s="13" t="inlineStr">
        <is>
          <t>USN</t>
        </is>
      </c>
      <c r="L1789" s="7" t="inlineStr">
        <is>
          <t>Combatant Ships</t>
        </is>
      </c>
      <c r="M1789" s="7" t="inlineStr">
        <is>
          <t>Combat Logistics Ships</t>
        </is>
      </c>
      <c r="O1789" s="15" t="n"/>
      <c r="P1789" s="16" t="n">
        <v>176.259</v>
      </c>
      <c r="Q1789" s="16" t="n">
        <v>207.218</v>
      </c>
      <c r="S1789" s="16" t="n">
        <v>112.76</v>
      </c>
      <c r="U1789" s="16" t="n">
        <v>112.76</v>
      </c>
      <c r="AC1789" s="23">
        <f>IF(OR(E1789="",E1789="[PARENT]"),"ADD",IF(E1789="[ALT_VIEW]","ALT",""))</f>
        <v/>
      </c>
      <c r="AD1789" s="21">
        <f>IF(Y1789&lt;&gt;"",Y1789,IF(U1789&lt;&gt;"",U1789,S1789))</f>
        <v/>
      </c>
      <c r="AE1789" s="21">
        <f>IF(AB1789&lt;&gt;"",AB1789,Z1789)</f>
        <v/>
      </c>
      <c r="AF1789" s="13" t="inlineStr">
        <is>
          <t>Transportation &gt; Narrative &gt; Unit Cost Ratio</t>
        </is>
      </c>
      <c r="AG1789" s="7" t="inlineStr">
        <is>
          <t>217</t>
        </is>
      </c>
      <c r="AH1789" s="7" t="inlineStr">
        <is>
          <t>NWCF-Transportation</t>
        </is>
      </c>
    </row>
    <row r="1790" ht="10" customHeight="1">
      <c r="A1790" s="7" t="inlineStr">
        <is>
          <t>NWCF</t>
        </is>
      </c>
      <c r="B1790" s="7" t="inlineStr">
        <is>
          <t>Working Capital Fund</t>
        </is>
      </c>
      <c r="D1790" s="7" t="inlineStr">
        <is>
          <t>SMS Unit Cost Per Day ($)</t>
        </is>
      </c>
      <c r="E1790" s="13" t="inlineStr">
        <is>
          <t>[REFERENCE]</t>
        </is>
      </c>
      <c r="I1790" s="14" t="n">
        <v>7</v>
      </c>
      <c r="K1790" s="15" t="n"/>
      <c r="O1790" s="15" t="n"/>
      <c r="P1790" s="16" t="n">
        <v>70.003</v>
      </c>
      <c r="Q1790" s="16" t="n">
        <v>61.196</v>
      </c>
      <c r="S1790" s="16" t="n">
        <v>45.331</v>
      </c>
      <c r="U1790" s="16" t="n">
        <v>45.331</v>
      </c>
      <c r="AC1790" s="23">
        <f>IF(OR(E1790="",E1790="[PARENT]"),"ADD",IF(E1790="[ALT_VIEW]","ALT",""))</f>
        <v/>
      </c>
      <c r="AD1790" s="21">
        <f>IF(Y1790&lt;&gt;"",Y1790,IF(U1790&lt;&gt;"",U1790,S1790))</f>
        <v/>
      </c>
      <c r="AE1790" s="21">
        <f>IF(AB1790&lt;&gt;"",AB1790,Z1790)</f>
        <v/>
      </c>
      <c r="AF1790" s="13" t="inlineStr">
        <is>
          <t>Transportation &gt; Narrative &gt; Unit Cost Ratio</t>
        </is>
      </c>
      <c r="AG1790" s="7" t="inlineStr">
        <is>
          <t>217</t>
        </is>
      </c>
      <c r="AH1790" s="7" t="inlineStr">
        <is>
          <t>NWCF-Transportation</t>
        </is>
      </c>
    </row>
    <row r="1791" ht="10" customHeight="1">
      <c r="A1791" s="7" t="inlineStr">
        <is>
          <t>NWCF</t>
        </is>
      </c>
      <c r="B1791" s="7" t="inlineStr">
        <is>
          <t>Working Capital Fund</t>
        </is>
      </c>
      <c r="D1791" s="7" t="inlineStr">
        <is>
          <t>APF-N Unit Cost Per Day ($)</t>
        </is>
      </c>
      <c r="E1791" s="13" t="inlineStr">
        <is>
          <t>[REFERENCE]</t>
        </is>
      </c>
      <c r="I1791" s="14" t="n">
        <v>7</v>
      </c>
      <c r="K1791" s="15" t="n"/>
      <c r="O1791" s="15" t="n"/>
      <c r="P1791" s="16" t="n">
        <v>83.105</v>
      </c>
      <c r="Q1791" s="16" t="n">
        <v>76.16</v>
      </c>
      <c r="S1791" s="16" t="n">
        <v>64.54000000000001</v>
      </c>
      <c r="U1791" s="16" t="n">
        <v>64.54000000000001</v>
      </c>
      <c r="AC1791" s="23">
        <f>IF(OR(E1791="",E1791="[PARENT]"),"ADD",IF(E1791="[ALT_VIEW]","ALT",""))</f>
        <v/>
      </c>
      <c r="AD1791" s="21">
        <f>IF(Y1791&lt;&gt;"",Y1791,IF(U1791&lt;&gt;"",U1791,S1791))</f>
        <v/>
      </c>
      <c r="AE1791" s="21">
        <f>IF(AB1791&lt;&gt;"",AB1791,Z1791)</f>
        <v/>
      </c>
      <c r="AF1791" s="13" t="inlineStr">
        <is>
          <t>Transportation &gt; Narrative &gt; Unit Cost Ratio</t>
        </is>
      </c>
      <c r="AG1791" s="7" t="inlineStr">
        <is>
          <t>217</t>
        </is>
      </c>
      <c r="AH1791" s="7" t="inlineStr">
        <is>
          <t>NWCF-Transportation</t>
        </is>
      </c>
    </row>
    <row r="1792" ht="10" customHeight="1">
      <c r="A1792" s="7" t="inlineStr">
        <is>
          <t>NWCF</t>
        </is>
      </c>
      <c r="B1792" s="7" t="inlineStr">
        <is>
          <t>Working Capital Fund</t>
        </is>
      </c>
      <c r="D1792" s="7" t="inlineStr">
        <is>
          <t>SSS Unit Cost Per Day ($)</t>
        </is>
      </c>
      <c r="E1792" s="13" t="inlineStr">
        <is>
          <t>[REFERENCE]</t>
        </is>
      </c>
      <c r="I1792" s="14" t="n">
        <v>7</v>
      </c>
      <c r="K1792" s="15" t="n"/>
      <c r="O1792" s="15" t="n"/>
      <c r="P1792" s="16" t="n">
        <v>79.119</v>
      </c>
      <c r="Q1792" s="16" t="n">
        <v>83.358</v>
      </c>
      <c r="S1792" s="16" t="n">
        <v>87.39400000000001</v>
      </c>
      <c r="U1792" s="16" t="n">
        <v>87.39400000000001</v>
      </c>
      <c r="AC1792" s="23">
        <f>IF(OR(E1792="",E1792="[PARENT]"),"ADD",IF(E1792="[ALT_VIEW]","ALT",""))</f>
        <v/>
      </c>
      <c r="AD1792" s="21">
        <f>IF(Y1792&lt;&gt;"",Y1792,IF(U1792&lt;&gt;"",U1792,S1792))</f>
        <v/>
      </c>
      <c r="AE1792" s="21">
        <f>IF(AB1792&lt;&gt;"",AB1792,Z1792)</f>
        <v/>
      </c>
      <c r="AF1792" s="13" t="inlineStr">
        <is>
          <t>Transportation &gt; Narrative &gt; Unit Cost Ratio</t>
        </is>
      </c>
      <c r="AG1792" s="7" t="inlineStr">
        <is>
          <t>217</t>
        </is>
      </c>
      <c r="AH1792" s="7" t="inlineStr">
        <is>
          <t>NWCF-Transportation</t>
        </is>
      </c>
    </row>
    <row r="1793" ht="10" customHeight="1">
      <c r="A1793" s="7" t="inlineStr">
        <is>
          <t>NWCF</t>
        </is>
      </c>
      <c r="B1793" s="7" t="inlineStr">
        <is>
          <t>Working Capital Fund</t>
        </is>
      </c>
      <c r="D1793" s="7" t="inlineStr">
        <is>
          <t>CLF Workload (Per Diem Days)</t>
        </is>
      </c>
      <c r="E1793" s="13" t="inlineStr">
        <is>
          <t>[REFERENCE]</t>
        </is>
      </c>
      <c r="I1793" s="14" t="n">
        <v>7</v>
      </c>
      <c r="K1793" s="13" t="inlineStr">
        <is>
          <t>USN</t>
        </is>
      </c>
      <c r="L1793" s="7" t="inlineStr">
        <is>
          <t>Combatant Ships</t>
        </is>
      </c>
      <c r="M1793" s="7" t="inlineStr">
        <is>
          <t>Combat Logistics Ships</t>
        </is>
      </c>
      <c r="O1793" s="15" t="n"/>
      <c r="P1793" s="16" t="n">
        <v>11637</v>
      </c>
      <c r="Q1793" s="16" t="n">
        <v>12245</v>
      </c>
      <c r="S1793" s="16" t="n">
        <v>12471</v>
      </c>
      <c r="U1793" s="16" t="n">
        <v>12471</v>
      </c>
      <c r="AC1793" s="23">
        <f>IF(OR(E1793="",E1793="[PARENT]"),"ADD",IF(E1793="[ALT_VIEW]","ALT",""))</f>
        <v/>
      </c>
      <c r="AD1793" s="21">
        <f>IF(Y1793&lt;&gt;"",Y1793,IF(U1793&lt;&gt;"",U1793,S1793))</f>
        <v/>
      </c>
      <c r="AE1793" s="21">
        <f>IF(AB1793&lt;&gt;"",AB1793,Z1793)</f>
        <v/>
      </c>
      <c r="AF1793" s="13" t="inlineStr">
        <is>
          <t>Transportation &gt; Narrative &gt; Workload</t>
        </is>
      </c>
      <c r="AG1793" s="7" t="inlineStr">
        <is>
          <t>218</t>
        </is>
      </c>
      <c r="AH1793" s="7" t="inlineStr">
        <is>
          <t>NWCF-Transportation</t>
        </is>
      </c>
    </row>
    <row r="1794" ht="10" customHeight="1">
      <c r="A1794" s="7" t="inlineStr">
        <is>
          <t>NWCF</t>
        </is>
      </c>
      <c r="B1794" s="7" t="inlineStr">
        <is>
          <t>Working Capital Fund</t>
        </is>
      </c>
      <c r="D1794" s="7" t="inlineStr">
        <is>
          <t>SMS Workload (Per Diem Days)</t>
        </is>
      </c>
      <c r="E1794" s="13" t="inlineStr">
        <is>
          <t>[REFERENCE]</t>
        </is>
      </c>
      <c r="I1794" s="14" t="n">
        <v>7</v>
      </c>
      <c r="K1794" s="15" t="n"/>
      <c r="O1794" s="15" t="n"/>
      <c r="P1794" s="16" t="n">
        <v>6954</v>
      </c>
      <c r="Q1794" s="16" t="n">
        <v>6935</v>
      </c>
      <c r="S1794" s="16" t="n">
        <v>6692</v>
      </c>
      <c r="U1794" s="16" t="n">
        <v>6692</v>
      </c>
      <c r="AC1794" s="23">
        <f>IF(OR(E1794="",E1794="[PARENT]"),"ADD",IF(E1794="[ALT_VIEW]","ALT",""))</f>
        <v/>
      </c>
      <c r="AD1794" s="21">
        <f>IF(Y1794&lt;&gt;"",Y1794,IF(U1794&lt;&gt;"",U1794,S1794))</f>
        <v/>
      </c>
      <c r="AE1794" s="21">
        <f>IF(AB1794&lt;&gt;"",AB1794,Z1794)</f>
        <v/>
      </c>
      <c r="AF1794" s="13" t="inlineStr">
        <is>
          <t>Transportation &gt; Narrative &gt; Workload</t>
        </is>
      </c>
      <c r="AG1794" s="7" t="inlineStr">
        <is>
          <t>218</t>
        </is>
      </c>
      <c r="AH1794" s="7" t="inlineStr">
        <is>
          <t>NWCF-Transportation</t>
        </is>
      </c>
    </row>
    <row r="1795" ht="10" customHeight="1">
      <c r="A1795" s="7" t="inlineStr">
        <is>
          <t>NWCF</t>
        </is>
      </c>
      <c r="B1795" s="7" t="inlineStr">
        <is>
          <t>Working Capital Fund</t>
        </is>
      </c>
      <c r="D1795" s="7" t="inlineStr">
        <is>
          <t>APF-N Workload (Per Diem Days)</t>
        </is>
      </c>
      <c r="E1795" s="13" t="inlineStr">
        <is>
          <t>[REFERENCE]</t>
        </is>
      </c>
      <c r="I1795" s="14" t="n">
        <v>7</v>
      </c>
      <c r="K1795" s="15" t="n"/>
      <c r="O1795" s="15" t="n"/>
      <c r="P1795" s="16" t="n">
        <v>5964</v>
      </c>
      <c r="Q1795" s="16" t="n">
        <v>6205</v>
      </c>
      <c r="S1795" s="16" t="n">
        <v>5232</v>
      </c>
      <c r="U1795" s="16" t="n">
        <v>5232</v>
      </c>
      <c r="AC1795" s="23">
        <f>IF(OR(E1795="",E1795="[PARENT]"),"ADD",IF(E1795="[ALT_VIEW]","ALT",""))</f>
        <v/>
      </c>
      <c r="AD1795" s="21">
        <f>IF(Y1795&lt;&gt;"",Y1795,IF(U1795&lt;&gt;"",U1795,S1795))</f>
        <v/>
      </c>
      <c r="AE1795" s="21">
        <f>IF(AB1795&lt;&gt;"",AB1795,Z1795)</f>
        <v/>
      </c>
      <c r="AF1795" s="13" t="inlineStr">
        <is>
          <t>Transportation &gt; Narrative &gt; Workload</t>
        </is>
      </c>
      <c r="AG1795" s="7" t="inlineStr">
        <is>
          <t>218</t>
        </is>
      </c>
      <c r="AH1795" s="7" t="inlineStr">
        <is>
          <t>NWCF-Transportation</t>
        </is>
      </c>
    </row>
    <row r="1796" ht="10" customHeight="1">
      <c r="A1796" s="7" t="inlineStr">
        <is>
          <t>NWCF</t>
        </is>
      </c>
      <c r="B1796" s="7" t="inlineStr">
        <is>
          <t>Working Capital Fund</t>
        </is>
      </c>
      <c r="D1796" s="7" t="inlineStr">
        <is>
          <t>SSS Workload (Per Diem Days)</t>
        </is>
      </c>
      <c r="E1796" s="13" t="inlineStr">
        <is>
          <t>[REFERENCE]</t>
        </is>
      </c>
      <c r="I1796" s="14" t="n">
        <v>7</v>
      </c>
      <c r="K1796" s="15" t="n"/>
      <c r="O1796" s="15" t="n"/>
      <c r="P1796" s="16" t="n">
        <v>8784</v>
      </c>
      <c r="Q1796" s="16" t="n">
        <v>8702</v>
      </c>
      <c r="S1796" s="16" t="n">
        <v>8557</v>
      </c>
      <c r="U1796" s="16" t="n">
        <v>8557</v>
      </c>
      <c r="AC1796" s="23">
        <f>IF(OR(E1796="",E1796="[PARENT]"),"ADD",IF(E1796="[ALT_VIEW]","ALT",""))</f>
        <v/>
      </c>
      <c r="AD1796" s="21">
        <f>IF(Y1796&lt;&gt;"",Y1796,IF(U1796&lt;&gt;"",U1796,S1796))</f>
        <v/>
      </c>
      <c r="AE1796" s="21">
        <f>IF(AB1796&lt;&gt;"",AB1796,Z1796)</f>
        <v/>
      </c>
      <c r="AF1796" s="13" t="inlineStr">
        <is>
          <t>Transportation &gt; Narrative &gt; Workload</t>
        </is>
      </c>
      <c r="AG1796" s="7" t="inlineStr">
        <is>
          <t>218</t>
        </is>
      </c>
      <c r="AH1796" s="7" t="inlineStr">
        <is>
          <t>NWCF-Transportation</t>
        </is>
      </c>
    </row>
    <row r="1797" ht="10" customHeight="1">
      <c r="A1797" s="7" t="inlineStr">
        <is>
          <t>NWCF</t>
        </is>
      </c>
      <c r="B1797" s="7" t="inlineStr">
        <is>
          <t>Working Capital Fund</t>
        </is>
      </c>
      <c r="D1797" s="7" t="inlineStr">
        <is>
          <t>MSC Orders from O&amp;M Navy</t>
        </is>
      </c>
      <c r="E1797" s="13" t="inlineStr">
        <is>
          <t>[SUB]</t>
        </is>
      </c>
      <c r="F1797" s="7" t="inlineStr">
        <is>
          <t>MSC Total New Orders</t>
        </is>
      </c>
      <c r="I1797" s="14" t="n">
        <v>7</v>
      </c>
      <c r="K1797" s="15" t="n"/>
      <c r="O1797" s="15" t="n"/>
      <c r="P1797" s="16" t="n">
        <v>3935900</v>
      </c>
      <c r="Q1797" s="16" t="n">
        <v>4202300</v>
      </c>
      <c r="S1797" s="16" t="n">
        <v>2678100</v>
      </c>
      <c r="U1797" s="16" t="n">
        <v>2678100</v>
      </c>
      <c r="AC1797" s="23">
        <f>IF(OR(E1797="",E1797="[PARENT]"),"ADD",IF(E1797="[ALT_VIEW]","ALT",""))</f>
        <v/>
      </c>
      <c r="AD1797" s="21">
        <f>IF(Y1797&lt;&gt;"",Y1797,IF(U1797&lt;&gt;"",U1797,S1797))</f>
        <v/>
      </c>
      <c r="AE1797" s="21">
        <f>IF(AB1797&lt;&gt;"",AB1797,Z1797)</f>
        <v/>
      </c>
      <c r="AF1797" s="13" t="inlineStr">
        <is>
          <t>Transportation &gt; Exhibit Fund-11 &gt; O &amp; M Navy</t>
        </is>
      </c>
      <c r="AG1797" s="7" t="inlineStr">
        <is>
          <t>228</t>
        </is>
      </c>
      <c r="AH1797" s="7" t="inlineStr">
        <is>
          <t>NWCF-Transportation</t>
        </is>
      </c>
      <c r="AI1797" s="7" t="inlineStr">
        <is>
          <t>O &amp; M Navy</t>
        </is>
      </c>
      <c r="AJ1797" s="7" t="inlineStr">
        <is>
          <t>O &amp; M Navy</t>
        </is>
      </c>
    </row>
    <row r="1798" ht="10" customHeight="1">
      <c r="A1798" s="7" t="inlineStr">
        <is>
          <t>NWCF</t>
        </is>
      </c>
      <c r="B1798" s="7" t="inlineStr">
        <is>
          <t>Working Capital Fund</t>
        </is>
      </c>
      <c r="D1798" s="7" t="inlineStr">
        <is>
          <t>MSC Orders from O&amp;M Marine Corps</t>
        </is>
      </c>
      <c r="E1798" s="13" t="inlineStr">
        <is>
          <t>[SUB]</t>
        </is>
      </c>
      <c r="F1798" s="7" t="inlineStr">
        <is>
          <t>MSC Total New Orders</t>
        </is>
      </c>
      <c r="I1798" s="14" t="n">
        <v>7</v>
      </c>
      <c r="K1798" s="15" t="n"/>
      <c r="O1798" s="15" t="n"/>
      <c r="P1798" s="16" t="n">
        <v>29800</v>
      </c>
      <c r="Q1798" s="16" t="n">
        <v>31700</v>
      </c>
      <c r="S1798" s="16" t="n">
        <v>30000</v>
      </c>
      <c r="U1798" s="16" t="n">
        <v>30000</v>
      </c>
      <c r="AC1798" s="23">
        <f>IF(OR(E1798="",E1798="[PARENT]"),"ADD",IF(E1798="[ALT_VIEW]","ALT",""))</f>
        <v/>
      </c>
      <c r="AD1798" s="21">
        <f>IF(Y1798&lt;&gt;"",Y1798,IF(U1798&lt;&gt;"",U1798,S1798))</f>
        <v/>
      </c>
      <c r="AE1798" s="21">
        <f>IF(AB1798&lt;&gt;"",AB1798,Z1798)</f>
        <v/>
      </c>
      <c r="AF1798" s="13" t="inlineStr">
        <is>
          <t>Transportation &gt; Exhibit Fund-11 &gt; O &amp; M Marine Corps</t>
        </is>
      </c>
      <c r="AG1798" s="7" t="inlineStr">
        <is>
          <t>228</t>
        </is>
      </c>
      <c r="AH1798" s="7" t="inlineStr">
        <is>
          <t>NWCF-Transportation</t>
        </is>
      </c>
      <c r="AI1798" s="7" t="inlineStr">
        <is>
          <t>O &amp; M Marine Corps</t>
        </is>
      </c>
      <c r="AJ1798" s="7" t="inlineStr">
        <is>
          <t>O &amp; M Marine Corps</t>
        </is>
      </c>
    </row>
    <row r="1799" ht="10" customHeight="1">
      <c r="A1799" s="7" t="inlineStr">
        <is>
          <t>NWCF</t>
        </is>
      </c>
      <c r="B1799" s="7" t="inlineStr">
        <is>
          <t>Working Capital Fund</t>
        </is>
      </c>
      <c r="D1799" s="7" t="inlineStr">
        <is>
          <t>MSC Orders from Shipbuilding &amp; Conversion Navy</t>
        </is>
      </c>
      <c r="E1799" s="13" t="inlineStr">
        <is>
          <t>[SUB]</t>
        </is>
      </c>
      <c r="F1799" s="7" t="inlineStr">
        <is>
          <t>MSC Total New Orders</t>
        </is>
      </c>
      <c r="I1799" s="14" t="n">
        <v>1</v>
      </c>
      <c r="J1799" s="7" t="inlineStr">
        <is>
          <t>GFE / combat systems for newbuild</t>
        </is>
      </c>
      <c r="K1799" s="15" t="n"/>
      <c r="O1799" s="15" t="n"/>
      <c r="P1799" s="16" t="n">
        <v>10900</v>
      </c>
      <c r="Q1799" s="16" t="n">
        <v>0</v>
      </c>
      <c r="S1799" s="16" t="n">
        <v>0</v>
      </c>
      <c r="U1799" s="16" t="n">
        <v>0</v>
      </c>
      <c r="AC1799" s="23">
        <f>IF(OR(E1799="",E1799="[PARENT]"),"ADD",IF(E1799="[ALT_VIEW]","ALT",""))</f>
        <v/>
      </c>
      <c r="AD1799" s="21">
        <f>IF(Y1799&lt;&gt;"",Y1799,IF(U1799&lt;&gt;"",U1799,S1799))</f>
        <v/>
      </c>
      <c r="AE1799" s="21">
        <f>IF(AB1799&lt;&gt;"",AB1799,Z1799)</f>
        <v/>
      </c>
      <c r="AF1799" s="13" t="inlineStr">
        <is>
          <t>Transportation &gt; Exhibit Fund-11 &gt; Shipbuilding &amp; Conversion Navy</t>
        </is>
      </c>
      <c r="AG1799" s="7" t="inlineStr">
        <is>
          <t>228</t>
        </is>
      </c>
      <c r="AH1799" s="7" t="inlineStr">
        <is>
          <t>NWCF-Transportation</t>
        </is>
      </c>
      <c r="AI1799" s="7" t="inlineStr">
        <is>
          <t>Shipbuilding &amp; Conversion Navy</t>
        </is>
      </c>
      <c r="AJ1799" s="7" t="inlineStr">
        <is>
          <t>Shipbuilding &amp; Conversion Navy</t>
        </is>
      </c>
    </row>
    <row r="1800" ht="10" customHeight="1">
      <c r="A1800" s="7" t="inlineStr">
        <is>
          <t>NWCF</t>
        </is>
      </c>
      <c r="B1800" s="7" t="inlineStr">
        <is>
          <t>Working Capital Fund</t>
        </is>
      </c>
      <c r="D1800" s="7" t="inlineStr">
        <is>
          <t>MSC Orders from Other Procurement Navy</t>
        </is>
      </c>
      <c r="E1800" s="13" t="inlineStr">
        <is>
          <t>[SUB]</t>
        </is>
      </c>
      <c r="F1800" s="7" t="inlineStr">
        <is>
          <t>MSC Total New Orders</t>
        </is>
      </c>
      <c r="I1800" s="14" t="n">
        <v>4</v>
      </c>
      <c r="K1800" s="15" t="n"/>
      <c r="O1800" s="15" t="n"/>
      <c r="P1800" s="16" t="n">
        <v>112700</v>
      </c>
      <c r="Q1800" s="16" t="n">
        <v>0</v>
      </c>
      <c r="S1800" s="16" t="n">
        <v>0</v>
      </c>
      <c r="U1800" s="16" t="n">
        <v>0</v>
      </c>
      <c r="AC1800" s="23">
        <f>IF(OR(E1800="",E1800="[PARENT]"),"ADD",IF(E1800="[ALT_VIEW]","ALT",""))</f>
        <v/>
      </c>
      <c r="AD1800" s="21">
        <f>IF(Y1800&lt;&gt;"",Y1800,IF(U1800&lt;&gt;"",U1800,S1800))</f>
        <v/>
      </c>
      <c r="AE1800" s="21">
        <f>IF(AB1800&lt;&gt;"",AB1800,Z1800)</f>
        <v/>
      </c>
      <c r="AF1800" s="13" t="inlineStr">
        <is>
          <t>Transportation &gt; Exhibit Fund-11 &gt; Other Procurement Navy</t>
        </is>
      </c>
      <c r="AG1800" s="7" t="inlineStr">
        <is>
          <t>228</t>
        </is>
      </c>
      <c r="AH1800" s="7" t="inlineStr">
        <is>
          <t>NWCF-Transportation</t>
        </is>
      </c>
      <c r="AI1800" s="7" t="inlineStr">
        <is>
          <t>Other Procurement Navy</t>
        </is>
      </c>
      <c r="AJ1800" s="7" t="inlineStr">
        <is>
          <t>Other Procurement Navy</t>
        </is>
      </c>
    </row>
    <row r="1801" ht="10" customHeight="1">
      <c r="A1801" s="7" t="inlineStr">
        <is>
          <t>NWCF</t>
        </is>
      </c>
      <c r="B1801" s="7" t="inlineStr">
        <is>
          <t>Working Capital Fund</t>
        </is>
      </c>
      <c r="D1801" s="7" t="inlineStr">
        <is>
          <t>MSC Orders from RDT&amp;E Navy</t>
        </is>
      </c>
      <c r="E1801" s="13" t="inlineStr">
        <is>
          <t>[SUB]</t>
        </is>
      </c>
      <c r="F1801" s="7" t="inlineStr">
        <is>
          <t>MSC Total New Orders</t>
        </is>
      </c>
      <c r="I1801" s="14" t="n">
        <v>6</v>
      </c>
      <c r="K1801" s="15" t="n"/>
      <c r="O1801" s="15" t="n"/>
      <c r="P1801" s="16" t="n">
        <v>31300</v>
      </c>
      <c r="Q1801" s="16" t="n">
        <v>0</v>
      </c>
      <c r="S1801" s="16" t="n">
        <v>0</v>
      </c>
      <c r="U1801" s="16" t="n">
        <v>0</v>
      </c>
      <c r="AC1801" s="23">
        <f>IF(OR(E1801="",E1801="[PARENT]"),"ADD",IF(E1801="[ALT_VIEW]","ALT",""))</f>
        <v/>
      </c>
      <c r="AD1801" s="21">
        <f>IF(Y1801&lt;&gt;"",Y1801,IF(U1801&lt;&gt;"",U1801,S1801))</f>
        <v/>
      </c>
      <c r="AE1801" s="21">
        <f>IF(AB1801&lt;&gt;"",AB1801,Z1801)</f>
        <v/>
      </c>
      <c r="AF1801" s="13" t="inlineStr">
        <is>
          <t>Transportation &gt; Exhibit Fund-11 &gt; Research Dev. Test &amp; Eval. Navy</t>
        </is>
      </c>
      <c r="AG1801" s="7" t="inlineStr">
        <is>
          <t>228</t>
        </is>
      </c>
      <c r="AH1801" s="7" t="inlineStr">
        <is>
          <t>NWCF-Transportation</t>
        </is>
      </c>
      <c r="AI1801" s="7" t="inlineStr">
        <is>
          <t>Research Dev. Test &amp; Eval. Navy</t>
        </is>
      </c>
      <c r="AJ1801" s="7" t="inlineStr">
        <is>
          <t>Research Dev. Test &amp; Eval. Navy</t>
        </is>
      </c>
    </row>
    <row r="1802" ht="10" customHeight="1">
      <c r="A1802" s="7" t="inlineStr">
        <is>
          <t>NWCF</t>
        </is>
      </c>
      <c r="B1802" s="7" t="inlineStr">
        <is>
          <t>Working Capital Fund</t>
        </is>
      </c>
      <c r="D1802" s="7" t="inlineStr">
        <is>
          <t>MSC Orders from National Defense Sealift Fund</t>
        </is>
      </c>
      <c r="E1802" s="13" t="inlineStr">
        <is>
          <t>[SUB]</t>
        </is>
      </c>
      <c r="F1802" s="7" t="inlineStr">
        <is>
          <t>MSC Total New Orders</t>
        </is>
      </c>
      <c r="I1802" s="14" t="n">
        <v>1</v>
      </c>
      <c r="J1802" s="7" t="inlineStr">
        <is>
          <t>Full ship DD&amp;C</t>
        </is>
      </c>
      <c r="K1802" s="15" t="n"/>
      <c r="O1802" s="15" t="n"/>
      <c r="P1802" s="16" t="n">
        <v>4800</v>
      </c>
      <c r="Q1802" s="16" t="n">
        <v>0</v>
      </c>
      <c r="S1802" s="16" t="n">
        <v>0</v>
      </c>
      <c r="U1802" s="16" t="n">
        <v>0</v>
      </c>
      <c r="AC1802" s="23">
        <f>IF(OR(E1802="",E1802="[PARENT]"),"ADD",IF(E1802="[ALT_VIEW]","ALT",""))</f>
        <v/>
      </c>
      <c r="AD1802" s="21">
        <f>IF(Y1802&lt;&gt;"",Y1802,IF(U1802&lt;&gt;"",U1802,S1802))</f>
        <v/>
      </c>
      <c r="AE1802" s="21">
        <f>IF(AB1802&lt;&gt;"",AB1802,Z1802)</f>
        <v/>
      </c>
      <c r="AF1802" s="13" t="inlineStr">
        <is>
          <t>Transportation &gt; Exhibit Fund-11 &gt; National Defense Sealift Fund</t>
        </is>
      </c>
      <c r="AG1802" s="7" t="inlineStr">
        <is>
          <t>228</t>
        </is>
      </c>
      <c r="AH1802" s="7" t="inlineStr">
        <is>
          <t>NWCF-Transportation</t>
        </is>
      </c>
      <c r="AI1802" s="7" t="inlineStr">
        <is>
          <t>National Defense Sealift Fund</t>
        </is>
      </c>
      <c r="AJ1802" s="7" t="inlineStr">
        <is>
          <t>National Defense Sealift Fund</t>
        </is>
      </c>
    </row>
    <row r="1803" ht="10" customHeight="1">
      <c r="A1803" s="7" t="inlineStr">
        <is>
          <t>NWCF</t>
        </is>
      </c>
      <c r="B1803" s="7" t="inlineStr">
        <is>
          <t>Working Capital Fund</t>
        </is>
      </c>
      <c r="D1803" s="7" t="inlineStr">
        <is>
          <t>MSC Orders from Air Force O&amp;M</t>
        </is>
      </c>
      <c r="E1803" s="13" t="inlineStr">
        <is>
          <t>[SUB]</t>
        </is>
      </c>
      <c r="F1803" s="7" t="inlineStr">
        <is>
          <t>MSC Total New Orders</t>
        </is>
      </c>
      <c r="I1803" s="14" t="n">
        <v>7</v>
      </c>
      <c r="K1803" s="15" t="n"/>
      <c r="O1803" s="15" t="n"/>
      <c r="P1803" s="16" t="n">
        <v>45900</v>
      </c>
      <c r="Q1803" s="16" t="n">
        <v>33900</v>
      </c>
      <c r="S1803" s="16" t="n">
        <v>43200</v>
      </c>
      <c r="U1803" s="16" t="n">
        <v>43200</v>
      </c>
      <c r="AC1803" s="23">
        <f>IF(OR(E1803="",E1803="[PARENT]"),"ADD",IF(E1803="[ALT_VIEW]","ALT",""))</f>
        <v/>
      </c>
      <c r="AD1803" s="21">
        <f>IF(Y1803&lt;&gt;"",Y1803,IF(U1803&lt;&gt;"",U1803,S1803))</f>
        <v/>
      </c>
      <c r="AE1803" s="21">
        <f>IF(AB1803&lt;&gt;"",AB1803,Z1803)</f>
        <v/>
      </c>
      <c r="AF1803" s="13" t="inlineStr">
        <is>
          <t>Transportation &gt; Exhibit Fund-11 &gt; Air Force Operation &amp; Maintenance</t>
        </is>
      </c>
      <c r="AG1803" s="7" t="inlineStr">
        <is>
          <t>228</t>
        </is>
      </c>
      <c r="AH1803" s="7" t="inlineStr">
        <is>
          <t>NWCF-Transportation</t>
        </is>
      </c>
      <c r="AI1803" s="7" t="inlineStr">
        <is>
          <t>Air Force Operation &amp; Maintenance</t>
        </is>
      </c>
      <c r="AJ1803" s="7" t="inlineStr">
        <is>
          <t>Air Force Operation &amp; Maintenance</t>
        </is>
      </c>
    </row>
    <row r="1804" ht="10" customHeight="1">
      <c r="A1804" s="7" t="inlineStr">
        <is>
          <t>NWCF</t>
        </is>
      </c>
      <c r="B1804" s="7" t="inlineStr">
        <is>
          <t>Working Capital Fund</t>
        </is>
      </c>
      <c r="D1804" s="7" t="inlineStr">
        <is>
          <t>MSC Orders from DoD O&amp;M Accounts</t>
        </is>
      </c>
      <c r="E1804" s="13" t="inlineStr">
        <is>
          <t>[SUB]</t>
        </is>
      </c>
      <c r="F1804" s="7" t="inlineStr">
        <is>
          <t>MSC Total New Orders</t>
        </is>
      </c>
      <c r="I1804" s="14" t="n">
        <v>7</v>
      </c>
      <c r="K1804" s="15" t="n"/>
      <c r="O1804" s="15" t="n"/>
      <c r="P1804" s="16" t="n">
        <v>90100</v>
      </c>
      <c r="Q1804" s="16" t="n">
        <v>18800</v>
      </c>
      <c r="S1804" s="16" t="n">
        <v>19100</v>
      </c>
      <c r="U1804" s="16" t="n">
        <v>19100</v>
      </c>
      <c r="AC1804" s="23">
        <f>IF(OR(E1804="",E1804="[PARENT]"),"ADD",IF(E1804="[ALT_VIEW]","ALT",""))</f>
        <v/>
      </c>
      <c r="AD1804" s="21">
        <f>IF(Y1804&lt;&gt;"",Y1804,IF(U1804&lt;&gt;"",U1804,S1804))</f>
        <v/>
      </c>
      <c r="AE1804" s="21">
        <f>IF(AB1804&lt;&gt;"",AB1804,Z1804)</f>
        <v/>
      </c>
      <c r="AF1804" s="13" t="inlineStr">
        <is>
          <t>Transportation &gt; Exhibit Fund-11 &gt; DOD O&amp;M Accounts</t>
        </is>
      </c>
      <c r="AG1804" s="7" t="inlineStr">
        <is>
          <t>229</t>
        </is>
      </c>
      <c r="AH1804" s="7" t="inlineStr">
        <is>
          <t>NWCF-Transportation</t>
        </is>
      </c>
      <c r="AI1804" s="7" t="inlineStr">
        <is>
          <t>DOD O&amp;M Accounts</t>
        </is>
      </c>
      <c r="AJ1804" s="7" t="inlineStr">
        <is>
          <t>DOD O&amp;M Accounts</t>
        </is>
      </c>
    </row>
    <row r="1805" ht="10" customHeight="1">
      <c r="A1805" s="7" t="inlineStr">
        <is>
          <t>NWCF</t>
        </is>
      </c>
      <c r="B1805" s="7" t="inlineStr">
        <is>
          <t>Working Capital Fund</t>
        </is>
      </c>
      <c r="D1805" s="7" t="inlineStr">
        <is>
          <t>MSC Orders from DoD RDT&amp;E Accounts</t>
        </is>
      </c>
      <c r="E1805" s="13" t="inlineStr">
        <is>
          <t>[SUB]</t>
        </is>
      </c>
      <c r="F1805" s="7" t="inlineStr">
        <is>
          <t>MSC Total New Orders</t>
        </is>
      </c>
      <c r="I1805" s="14" t="n">
        <v>6</v>
      </c>
      <c r="K1805" s="15" t="n"/>
      <c r="O1805" s="15" t="n"/>
      <c r="P1805" s="16" t="n">
        <v>125400</v>
      </c>
      <c r="Q1805" s="16" t="n">
        <v>17500</v>
      </c>
      <c r="S1805" s="16" t="n">
        <v>37800</v>
      </c>
      <c r="U1805" s="16" t="n">
        <v>37800</v>
      </c>
      <c r="AC1805" s="23">
        <f>IF(OR(E1805="",E1805="[PARENT]"),"ADD",IF(E1805="[ALT_VIEW]","ALT",""))</f>
        <v/>
      </c>
      <c r="AD1805" s="21">
        <f>IF(Y1805&lt;&gt;"",Y1805,IF(U1805&lt;&gt;"",U1805,S1805))</f>
        <v/>
      </c>
      <c r="AE1805" s="21">
        <f>IF(AB1805&lt;&gt;"",AB1805,Z1805)</f>
        <v/>
      </c>
      <c r="AF1805" s="13" t="inlineStr">
        <is>
          <t>Transportation &gt; Exhibit Fund-11 &gt; DOD Res Dev Test &amp; Eval Accounts</t>
        </is>
      </c>
      <c r="AG1805" s="7" t="inlineStr">
        <is>
          <t>229</t>
        </is>
      </c>
      <c r="AH1805" s="7" t="inlineStr">
        <is>
          <t>NWCF-Transportation</t>
        </is>
      </c>
      <c r="AI1805" s="7" t="inlineStr">
        <is>
          <t>DOD Res Dev Test &amp; Eval Accounts</t>
        </is>
      </c>
      <c r="AJ1805" s="7" t="inlineStr">
        <is>
          <t>DOD Res Dev Test &amp; Eval Accounts</t>
        </is>
      </c>
    </row>
    <row r="1806" ht="10" customHeight="1">
      <c r="A1806" s="7" t="inlineStr">
        <is>
          <t>NWCF</t>
        </is>
      </c>
      <c r="B1806" s="7" t="inlineStr">
        <is>
          <t>Working Capital Fund</t>
        </is>
      </c>
      <c r="D1806" s="7" t="inlineStr">
        <is>
          <t>MSC Carry-In Orders</t>
        </is>
      </c>
      <c r="E1806" s="13" t="inlineStr">
        <is>
          <t>[REFERENCE]</t>
        </is>
      </c>
      <c r="I1806" s="14" t="n">
        <v>7</v>
      </c>
      <c r="K1806" s="15" t="n"/>
      <c r="O1806" s="15" t="n"/>
      <c r="P1806" s="16" t="n">
        <v>244600</v>
      </c>
      <c r="Q1806" s="16" t="n">
        <v>354000</v>
      </c>
      <c r="S1806" s="16" t="n">
        <v>354000</v>
      </c>
      <c r="U1806" s="16" t="n">
        <v>354000</v>
      </c>
      <c r="AC1806" s="23">
        <f>IF(OR(E1806="",E1806="[PARENT]"),"ADD",IF(E1806="[ALT_VIEW]","ALT",""))</f>
        <v/>
      </c>
      <c r="AD1806" s="21">
        <f>IF(Y1806&lt;&gt;"",Y1806,IF(U1806&lt;&gt;"",U1806,S1806))</f>
        <v/>
      </c>
      <c r="AE1806" s="21">
        <f>IF(AB1806&lt;&gt;"",AB1806,Z1806)</f>
        <v/>
      </c>
      <c r="AF1806" s="13" t="inlineStr">
        <is>
          <t>Transportation &gt; Exhibit Fund-11 &gt; Carry-In Orders</t>
        </is>
      </c>
      <c r="AG1806" s="7" t="inlineStr">
        <is>
          <t>229</t>
        </is>
      </c>
      <c r="AH1806" s="7" t="inlineStr">
        <is>
          <t>NWCF-Transportation</t>
        </is>
      </c>
    </row>
    <row r="1807" ht="10" customHeight="1">
      <c r="A1807" s="7" t="inlineStr">
        <is>
          <t>NWCF</t>
        </is>
      </c>
      <c r="B1807" s="7" t="inlineStr">
        <is>
          <t>Working Capital Fund</t>
        </is>
      </c>
      <c r="D1807" s="7" t="inlineStr">
        <is>
          <t>MSC Total Gross Orders</t>
        </is>
      </c>
      <c r="E1807" s="13" t="inlineStr">
        <is>
          <t>[PARENT]</t>
        </is>
      </c>
      <c r="I1807" s="14" t="n">
        <v>7</v>
      </c>
      <c r="K1807" s="15" t="n"/>
      <c r="O1807" s="15" t="n"/>
      <c r="P1807" s="16" t="n">
        <v>4664100</v>
      </c>
      <c r="Q1807" s="16" t="n">
        <v>4658200</v>
      </c>
      <c r="S1807" s="16" t="n">
        <v>3162100</v>
      </c>
      <c r="U1807" s="16" t="n">
        <v>3162100</v>
      </c>
      <c r="AC1807" s="23">
        <f>IF(OR(E1807="",E1807="[PARENT]"),"ADD",IF(E1807="[ALT_VIEW]","ALT",""))</f>
        <v/>
      </c>
      <c r="AD1807" s="21">
        <f>IF(Y1807&lt;&gt;"",Y1807,IF(U1807&lt;&gt;"",U1807,S1807))</f>
        <v/>
      </c>
      <c r="AE1807" s="21">
        <f>IF(AB1807&lt;&gt;"",AB1807,Z1807)</f>
        <v/>
      </c>
      <c r="AF1807" s="13" t="inlineStr">
        <is>
          <t>Transportation &gt; Exhibit Fund-11 &gt; Total Gross Orders</t>
        </is>
      </c>
      <c r="AG1807" s="7" t="inlineStr">
        <is>
          <t>229</t>
        </is>
      </c>
      <c r="AH1807" s="7" t="inlineStr">
        <is>
          <t>NWCF-Transportation</t>
        </is>
      </c>
    </row>
    <row r="1808" ht="10" customHeight="1">
      <c r="A1808" s="7" t="inlineStr">
        <is>
          <t>NWCF</t>
        </is>
      </c>
      <c r="B1808" s="7" t="inlineStr">
        <is>
          <t>Working Capital Fund</t>
        </is>
      </c>
      <c r="D1808" s="7" t="inlineStr">
        <is>
          <t>MSC Military Personnel Compensation &amp; Benefits</t>
        </is>
      </c>
      <c r="E1808" s="13" t="inlineStr">
        <is>
          <t>[SUB]</t>
        </is>
      </c>
      <c r="F1808" s="7" t="inlineStr">
        <is>
          <t>MSC Total Expenses (Cost of Goods Sold)</t>
        </is>
      </c>
      <c r="I1808" s="14" t="n">
        <v>7</v>
      </c>
      <c r="K1808" s="15" t="n"/>
      <c r="O1808" s="15" t="n"/>
      <c r="P1808" s="16" t="n">
        <v>17500</v>
      </c>
      <c r="Q1808" s="16" t="n">
        <v>19700</v>
      </c>
      <c r="S1808" s="16" t="n">
        <v>20400</v>
      </c>
      <c r="U1808" s="16" t="n">
        <v>20400</v>
      </c>
      <c r="AC1808" s="23">
        <f>IF(OR(E1808="",E1808="[PARENT]"),"ADD",IF(E1808="[ALT_VIEW]","ALT",""))</f>
        <v/>
      </c>
      <c r="AD1808" s="21">
        <f>IF(Y1808&lt;&gt;"",Y1808,IF(U1808&lt;&gt;"",U1808,S1808))</f>
        <v/>
      </c>
      <c r="AE1808" s="21">
        <f>IF(AB1808&lt;&gt;"",AB1808,Z1808)</f>
        <v/>
      </c>
      <c r="AF1808" s="13" t="inlineStr">
        <is>
          <t>Transportation &gt; Exhibit Fund-14 &gt; Military Personnel Compensation &amp; Benefits</t>
        </is>
      </c>
      <c r="AG1808" s="7" t="inlineStr">
        <is>
          <t>230</t>
        </is>
      </c>
      <c r="AH1808" s="7" t="inlineStr">
        <is>
          <t>NWCF-Transportation</t>
        </is>
      </c>
      <c r="AI1808" s="7" t="inlineStr">
        <is>
          <t>Military Personnel Compensation &amp; Benefits</t>
        </is>
      </c>
      <c r="AJ1808" s="7" t="inlineStr">
        <is>
          <t>Military Personnel Compensation &amp; Benefits</t>
        </is>
      </c>
    </row>
    <row r="1809" ht="10" customHeight="1">
      <c r="A1809" s="7" t="inlineStr">
        <is>
          <t>NWCF</t>
        </is>
      </c>
      <c r="B1809" s="7" t="inlineStr">
        <is>
          <t>Working Capital Fund</t>
        </is>
      </c>
      <c r="D1809" s="7" t="inlineStr">
        <is>
          <t>MSC Civilian Personnel Compensation &amp; Benefits</t>
        </is>
      </c>
      <c r="E1809" s="13" t="inlineStr">
        <is>
          <t>[SUB]</t>
        </is>
      </c>
      <c r="F1809" s="7" t="inlineStr">
        <is>
          <t>MSC Total Expenses (Cost of Goods Sold)</t>
        </is>
      </c>
      <c r="I1809" s="14" t="n">
        <v>7</v>
      </c>
      <c r="K1809" s="15" t="n"/>
      <c r="O1809" s="15" t="n"/>
      <c r="P1809" s="16" t="n">
        <v>1041700</v>
      </c>
      <c r="Q1809" s="16" t="n">
        <v>1138900</v>
      </c>
      <c r="S1809" s="16" t="n">
        <v>1126200</v>
      </c>
      <c r="U1809" s="16" t="n">
        <v>1126200</v>
      </c>
      <c r="AC1809" s="23">
        <f>IF(OR(E1809="",E1809="[PARENT]"),"ADD",IF(E1809="[ALT_VIEW]","ALT",""))</f>
        <v/>
      </c>
      <c r="AD1809" s="21">
        <f>IF(Y1809&lt;&gt;"",Y1809,IF(U1809&lt;&gt;"",U1809,S1809))</f>
        <v/>
      </c>
      <c r="AE1809" s="21">
        <f>IF(AB1809&lt;&gt;"",AB1809,Z1809)</f>
        <v/>
      </c>
      <c r="AF1809" s="13" t="inlineStr">
        <is>
          <t>Transportation &gt; Exhibit Fund-14 &gt; Civilian Personnel Compensation &amp; Benefits</t>
        </is>
      </c>
      <c r="AG1809" s="7" t="inlineStr">
        <is>
          <t>230</t>
        </is>
      </c>
      <c r="AH1809" s="7" t="inlineStr">
        <is>
          <t>NWCF-Transportation</t>
        </is>
      </c>
      <c r="AI1809" s="7" t="inlineStr">
        <is>
          <t>Civilian Personnel Compensation &amp; Benefits</t>
        </is>
      </c>
      <c r="AJ1809" s="7" t="inlineStr">
        <is>
          <t>Civilian Personnel Compensation &amp; Benefits</t>
        </is>
      </c>
    </row>
    <row r="1810" ht="10" customHeight="1">
      <c r="A1810" s="7" t="inlineStr">
        <is>
          <t>NWCF</t>
        </is>
      </c>
      <c r="B1810" s="7" t="inlineStr">
        <is>
          <t>Working Capital Fund</t>
        </is>
      </c>
      <c r="D1810" s="7" t="inlineStr">
        <is>
          <t>MSC Travel and Transportation of Personnel</t>
        </is>
      </c>
      <c r="E1810" s="13" t="inlineStr">
        <is>
          <t>[SUB]</t>
        </is>
      </c>
      <c r="F1810" s="7" t="inlineStr">
        <is>
          <t>MSC Total Expenses (Cost of Goods Sold)</t>
        </is>
      </c>
      <c r="I1810" s="14" t="n">
        <v>7</v>
      </c>
      <c r="K1810" s="15" t="n"/>
      <c r="O1810" s="15" t="n"/>
      <c r="P1810" s="16" t="n">
        <v>78900</v>
      </c>
      <c r="Q1810" s="16" t="n">
        <v>61800</v>
      </c>
      <c r="S1810" s="16" t="n">
        <v>50500</v>
      </c>
      <c r="U1810" s="16" t="n">
        <v>50500</v>
      </c>
      <c r="AC1810" s="23">
        <f>IF(OR(E1810="",E1810="[PARENT]"),"ADD",IF(E1810="[ALT_VIEW]","ALT",""))</f>
        <v/>
      </c>
      <c r="AD1810" s="21">
        <f>IF(Y1810&lt;&gt;"",Y1810,IF(U1810&lt;&gt;"",U1810,S1810))</f>
        <v/>
      </c>
      <c r="AE1810" s="21">
        <f>IF(AB1810&lt;&gt;"",AB1810,Z1810)</f>
        <v/>
      </c>
      <c r="AF1810" s="13" t="inlineStr">
        <is>
          <t>Transportation &gt; Exhibit Fund-14 &gt; Travel and Transportation of Personnel</t>
        </is>
      </c>
      <c r="AG1810" s="7" t="inlineStr">
        <is>
          <t>230</t>
        </is>
      </c>
      <c r="AH1810" s="7" t="inlineStr">
        <is>
          <t>NWCF-Transportation</t>
        </is>
      </c>
      <c r="AI1810" s="7" t="inlineStr">
        <is>
          <t>Travel and Transportation of Personnel</t>
        </is>
      </c>
      <c r="AJ1810" s="7" t="inlineStr">
        <is>
          <t>Travel and Transportation of Personnel</t>
        </is>
      </c>
    </row>
    <row r="1811" ht="10" customHeight="1">
      <c r="A1811" s="7" t="inlineStr">
        <is>
          <t>NWCF</t>
        </is>
      </c>
      <c r="B1811" s="7" t="inlineStr">
        <is>
          <t>Working Capital Fund</t>
        </is>
      </c>
      <c r="D1811" s="7" t="inlineStr">
        <is>
          <t>MSC Material &amp; Supplies (Internal Operations)</t>
        </is>
      </c>
      <c r="E1811" s="13" t="inlineStr">
        <is>
          <t>[SUB]</t>
        </is>
      </c>
      <c r="F1811" s="7" t="inlineStr">
        <is>
          <t>MSC Total Expenses (Cost of Goods Sold)</t>
        </is>
      </c>
      <c r="I1811" s="14" t="n">
        <v>2</v>
      </c>
      <c r="K1811" s="15" t="n"/>
      <c r="O1811" s="15" t="n"/>
      <c r="P1811" s="16" t="n">
        <v>734800</v>
      </c>
      <c r="Q1811" s="16" t="n">
        <v>622100</v>
      </c>
      <c r="S1811" s="16" t="n">
        <v>699300</v>
      </c>
      <c r="U1811" s="16" t="n">
        <v>699300</v>
      </c>
      <c r="AC1811" s="23">
        <f>IF(OR(E1811="",E1811="[PARENT]"),"ADD",IF(E1811="[ALT_VIEW]","ALT",""))</f>
        <v/>
      </c>
      <c r="AD1811" s="21">
        <f>IF(Y1811&lt;&gt;"",Y1811,IF(U1811&lt;&gt;"",U1811,S1811))</f>
        <v/>
      </c>
      <c r="AE1811" s="21">
        <f>IF(AB1811&lt;&gt;"",AB1811,Z1811)</f>
        <v/>
      </c>
      <c r="AF1811" s="13" t="inlineStr">
        <is>
          <t>Transportation &gt; Exhibit Fund-14 &gt; Material &amp; Supplies</t>
        </is>
      </c>
      <c r="AG1811" s="7" t="inlineStr">
        <is>
          <t>230</t>
        </is>
      </c>
      <c r="AH1811" s="7" t="inlineStr">
        <is>
          <t>NWCF-Transportation</t>
        </is>
      </c>
      <c r="AI1811" s="7" t="inlineStr">
        <is>
          <t>Material &amp; Supplies</t>
        </is>
      </c>
      <c r="AJ1811" s="7" t="inlineStr">
        <is>
          <t>Material &amp; Supplies</t>
        </is>
      </c>
    </row>
    <row r="1812" ht="10" customHeight="1">
      <c r="A1812" s="7" t="inlineStr">
        <is>
          <t>NWCF</t>
        </is>
      </c>
      <c r="B1812" s="7" t="inlineStr">
        <is>
          <t>Working Capital Fund</t>
        </is>
      </c>
      <c r="D1812" s="7" t="inlineStr">
        <is>
          <t>MSC Equipment</t>
        </is>
      </c>
      <c r="E1812" s="13" t="inlineStr">
        <is>
          <t>[SUB]</t>
        </is>
      </c>
      <c r="F1812" s="7" t="inlineStr">
        <is>
          <t>MSC Total Expenses (Cost of Goods Sold)</t>
        </is>
      </c>
      <c r="I1812" s="14" t="n">
        <v>4</v>
      </c>
      <c r="K1812" s="15" t="n"/>
      <c r="O1812" s="15" t="n"/>
      <c r="P1812" s="16" t="n">
        <v>35900</v>
      </c>
      <c r="Q1812" s="16" t="n">
        <v>161800</v>
      </c>
      <c r="S1812" s="16" t="n">
        <v>11800</v>
      </c>
      <c r="U1812" s="16" t="n">
        <v>11800</v>
      </c>
      <c r="AC1812" s="23">
        <f>IF(OR(E1812="",E1812="[PARENT]"),"ADD",IF(E1812="[ALT_VIEW]","ALT",""))</f>
        <v/>
      </c>
      <c r="AD1812" s="21">
        <f>IF(Y1812&lt;&gt;"",Y1812,IF(U1812&lt;&gt;"",U1812,S1812))</f>
        <v/>
      </c>
      <c r="AE1812" s="21">
        <f>IF(AB1812&lt;&gt;"",AB1812,Z1812)</f>
        <v/>
      </c>
      <c r="AF1812" s="13" t="inlineStr">
        <is>
          <t>Transportation &gt; Exhibit Fund-14 &gt; Equipment</t>
        </is>
      </c>
      <c r="AG1812" s="7" t="inlineStr">
        <is>
          <t>230</t>
        </is>
      </c>
      <c r="AH1812" s="7" t="inlineStr">
        <is>
          <t>NWCF-Transportation</t>
        </is>
      </c>
      <c r="AI1812" s="7" t="inlineStr">
        <is>
          <t>Equipment</t>
        </is>
      </c>
      <c r="AJ1812" s="7" t="inlineStr">
        <is>
          <t>Equipment</t>
        </is>
      </c>
    </row>
    <row r="1813" ht="10" customHeight="1">
      <c r="A1813" s="7" t="inlineStr">
        <is>
          <t>NWCF</t>
        </is>
      </c>
      <c r="B1813" s="7" t="inlineStr">
        <is>
          <t>Working Capital Fund</t>
        </is>
      </c>
      <c r="D1813" s="7" t="inlineStr">
        <is>
          <t>MSC Transportation of Things</t>
        </is>
      </c>
      <c r="E1813" s="13" t="inlineStr">
        <is>
          <t>[SUB]</t>
        </is>
      </c>
      <c r="F1813" s="7" t="inlineStr">
        <is>
          <t>MSC Total Expenses (Cost of Goods Sold)</t>
        </is>
      </c>
      <c r="I1813" s="14" t="n">
        <v>7</v>
      </c>
      <c r="K1813" s="15" t="n"/>
      <c r="O1813" s="15" t="n"/>
      <c r="P1813" s="16" t="n">
        <v>719300</v>
      </c>
      <c r="Q1813" s="16" t="n">
        <v>12200</v>
      </c>
      <c r="S1813" s="16" t="n">
        <v>12500</v>
      </c>
      <c r="U1813" s="16" t="n">
        <v>12500</v>
      </c>
      <c r="AC1813" s="23">
        <f>IF(OR(E1813="",E1813="[PARENT]"),"ADD",IF(E1813="[ALT_VIEW]","ALT",""))</f>
        <v/>
      </c>
      <c r="AD1813" s="21">
        <f>IF(Y1813&lt;&gt;"",Y1813,IF(U1813&lt;&gt;"",U1813,S1813))</f>
        <v/>
      </c>
      <c r="AE1813" s="21">
        <f>IF(AB1813&lt;&gt;"",AB1813,Z1813)</f>
        <v/>
      </c>
      <c r="AF1813" s="13" t="inlineStr">
        <is>
          <t>Transportation &gt; Exhibit Fund-14 &gt; Transportation of Things</t>
        </is>
      </c>
      <c r="AG1813" s="7" t="inlineStr">
        <is>
          <t>230</t>
        </is>
      </c>
      <c r="AH1813" s="7" t="inlineStr">
        <is>
          <t>NWCF-Transportation</t>
        </is>
      </c>
      <c r="AI1813" s="7" t="inlineStr">
        <is>
          <t>Transportation of Things</t>
        </is>
      </c>
      <c r="AJ1813" s="7" t="inlineStr">
        <is>
          <t>Transportation of Things</t>
        </is>
      </c>
    </row>
    <row r="1814" ht="10" customHeight="1">
      <c r="A1814" s="7" t="inlineStr">
        <is>
          <t>NWCF</t>
        </is>
      </c>
      <c r="B1814" s="7" t="inlineStr">
        <is>
          <t>Working Capital Fund</t>
        </is>
      </c>
      <c r="D1814" s="7" t="inlineStr">
        <is>
          <t>MSC Advisory and Assistance Services</t>
        </is>
      </c>
      <c r="E1814" s="13" t="inlineStr">
        <is>
          <t>[SUB]</t>
        </is>
      </c>
      <c r="F1814" s="7" t="inlineStr">
        <is>
          <t>MSC Total Expenses (Cost of Goods Sold)</t>
        </is>
      </c>
      <c r="I1814" s="14" t="n">
        <v>6</v>
      </c>
      <c r="K1814" s="15" t="n"/>
      <c r="O1814" s="15" t="n"/>
      <c r="P1814" s="16" t="n">
        <v>90800</v>
      </c>
      <c r="Q1814" s="16" t="n">
        <v>0</v>
      </c>
      <c r="S1814" s="16" t="n">
        <v>3900</v>
      </c>
      <c r="U1814" s="16" t="n">
        <v>3900</v>
      </c>
      <c r="AC1814" s="23">
        <f>IF(OR(E1814="",E1814="[PARENT]"),"ADD",IF(E1814="[ALT_VIEW]","ALT",""))</f>
        <v/>
      </c>
      <c r="AD1814" s="21">
        <f>IF(Y1814&lt;&gt;"",Y1814,IF(U1814&lt;&gt;"",U1814,S1814))</f>
        <v/>
      </c>
      <c r="AE1814" s="21">
        <f>IF(AB1814&lt;&gt;"",AB1814,Z1814)</f>
        <v/>
      </c>
      <c r="AF1814" s="13" t="inlineStr">
        <is>
          <t>Transportation &gt; Exhibit Fund-14 &gt; Advisory and Assistance Services</t>
        </is>
      </c>
      <c r="AG1814" s="7" t="inlineStr">
        <is>
          <t>230</t>
        </is>
      </c>
      <c r="AH1814" s="7" t="inlineStr">
        <is>
          <t>NWCF-Transportation</t>
        </is>
      </c>
      <c r="AI1814" s="7" t="inlineStr">
        <is>
          <t>Advisory and Assistance Services</t>
        </is>
      </c>
      <c r="AJ1814" s="7" t="inlineStr">
        <is>
          <t>Advisory and Assistance Services</t>
        </is>
      </c>
    </row>
    <row r="1815" ht="10" customHeight="1">
      <c r="A1815" s="7" t="inlineStr">
        <is>
          <t>NWCF</t>
        </is>
      </c>
      <c r="B1815" s="7" t="inlineStr">
        <is>
          <t>Working Capital Fund</t>
        </is>
      </c>
      <c r="D1815" s="7" t="inlineStr">
        <is>
          <t>MSC Rent Communication Utilities &amp; Misc</t>
        </is>
      </c>
      <c r="E1815" s="13" t="inlineStr">
        <is>
          <t>[SUB]</t>
        </is>
      </c>
      <c r="F1815" s="7" t="inlineStr">
        <is>
          <t>MSC Total Expenses (Cost of Goods Sold)</t>
        </is>
      </c>
      <c r="I1815" s="14" t="n">
        <v>7</v>
      </c>
      <c r="K1815" s="15" t="n"/>
      <c r="O1815" s="15" t="n"/>
      <c r="P1815" s="16" t="n">
        <v>71300</v>
      </c>
      <c r="Q1815" s="16" t="n">
        <v>445700</v>
      </c>
      <c r="S1815" s="16" t="n">
        <v>421000</v>
      </c>
      <c r="U1815" s="16" t="n">
        <v>421000</v>
      </c>
      <c r="AC1815" s="23">
        <f>IF(OR(E1815="",E1815="[PARENT]"),"ADD",IF(E1815="[ALT_VIEW]","ALT",""))</f>
        <v/>
      </c>
      <c r="AD1815" s="21">
        <f>IF(Y1815&lt;&gt;"",Y1815,IF(U1815&lt;&gt;"",U1815,S1815))</f>
        <v/>
      </c>
      <c r="AE1815" s="21">
        <f>IF(AB1815&lt;&gt;"",AB1815,Z1815)</f>
        <v/>
      </c>
      <c r="AF1815" s="13" t="inlineStr">
        <is>
          <t>Transportation &gt; Exhibit Fund-14 &gt; Rent Communication Utilities &amp; Misc Charges</t>
        </is>
      </c>
      <c r="AG1815" s="7" t="inlineStr">
        <is>
          <t>230</t>
        </is>
      </c>
      <c r="AH1815" s="7" t="inlineStr">
        <is>
          <t>NWCF-Transportation</t>
        </is>
      </c>
      <c r="AI1815" s="7" t="inlineStr">
        <is>
          <t>Rent Communication Utilities &amp; Misc Charges</t>
        </is>
      </c>
      <c r="AJ1815" s="7" t="inlineStr">
        <is>
          <t>Rent Communication Utilities &amp; Misc Charges</t>
        </is>
      </c>
    </row>
    <row r="1816" ht="10" customHeight="1">
      <c r="A1816" s="7" t="inlineStr">
        <is>
          <t>NWCF</t>
        </is>
      </c>
      <c r="B1816" s="7" t="inlineStr">
        <is>
          <t>Working Capital Fund</t>
        </is>
      </c>
      <c r="D1816" s="7" t="inlineStr">
        <is>
          <t>MSC Other Purchased Services</t>
        </is>
      </c>
      <c r="E1816" s="13" t="inlineStr">
        <is>
          <t>[SUB]</t>
        </is>
      </c>
      <c r="F1816" s="7" t="inlineStr">
        <is>
          <t>MSC Total Expenses (Cost of Goods Sold)</t>
        </is>
      </c>
      <c r="I1816" s="14" t="n">
        <v>7</v>
      </c>
      <c r="K1816" s="15" t="n"/>
      <c r="O1816" s="15" t="n"/>
      <c r="P1816" s="16" t="n">
        <v>1577300</v>
      </c>
      <c r="Q1816" s="16" t="n">
        <v>2031200</v>
      </c>
      <c r="S1816" s="16" t="n">
        <v>724300</v>
      </c>
      <c r="U1816" s="16" t="n">
        <v>724300</v>
      </c>
      <c r="AC1816" s="23">
        <f>IF(OR(E1816="",E1816="[PARENT]"),"ADD",IF(E1816="[ALT_VIEW]","ALT",""))</f>
        <v/>
      </c>
      <c r="AD1816" s="21">
        <f>IF(Y1816&lt;&gt;"",Y1816,IF(U1816&lt;&gt;"",U1816,S1816))</f>
        <v/>
      </c>
      <c r="AE1816" s="21">
        <f>IF(AB1816&lt;&gt;"",AB1816,Z1816)</f>
        <v/>
      </c>
      <c r="AF1816" s="13" t="inlineStr">
        <is>
          <t>Transportation &gt; Exhibit Fund-14 &gt; Other Purchased Services</t>
        </is>
      </c>
      <c r="AG1816" s="7" t="inlineStr">
        <is>
          <t>230</t>
        </is>
      </c>
      <c r="AH1816" s="7" t="inlineStr">
        <is>
          <t>NWCF-Transportation</t>
        </is>
      </c>
      <c r="AI1816" s="7" t="inlineStr">
        <is>
          <t>Other Purchased Services</t>
        </is>
      </c>
      <c r="AJ1816" s="7" t="inlineStr">
        <is>
          <t>Other Purchased Services</t>
        </is>
      </c>
    </row>
    <row r="1817" ht="10" customHeight="1">
      <c r="A1817" s="7" t="inlineStr">
        <is>
          <t>NWCF</t>
        </is>
      </c>
      <c r="B1817" s="7" t="inlineStr">
        <is>
          <t>Working Capital Fund</t>
        </is>
      </c>
      <c r="D1817" s="7" t="inlineStr">
        <is>
          <t>MSC Net Operating Result</t>
        </is>
      </c>
      <c r="E1817" s="13" t="inlineStr">
        <is>
          <t>[REFERENCE]</t>
        </is>
      </c>
      <c r="I1817" s="14" t="n">
        <v>7</v>
      </c>
      <c r="K1817" s="15" t="n"/>
      <c r="O1817" s="15" t="n"/>
      <c r="P1817" s="16" t="n">
        <v>-57600</v>
      </c>
      <c r="Q1817" s="16" t="n">
        <v>-189600</v>
      </c>
      <c r="S1817" s="16" t="n">
        <v>-261900</v>
      </c>
      <c r="U1817" s="16" t="n">
        <v>-261900</v>
      </c>
      <c r="AC1817" s="23">
        <f>IF(OR(E1817="",E1817="[PARENT]"),"ADD",IF(E1817="[ALT_VIEW]","ALT",""))</f>
        <v/>
      </c>
      <c r="AD1817" s="21">
        <f>IF(Y1817&lt;&gt;"",Y1817,IF(U1817&lt;&gt;"",U1817,S1817))</f>
        <v/>
      </c>
      <c r="AE1817" s="21">
        <f>IF(AB1817&lt;&gt;"",AB1817,Z1817)</f>
        <v/>
      </c>
      <c r="AF1817" s="13" t="inlineStr">
        <is>
          <t>Transportation &gt; Exhibit Fund-14 &gt; Net Operating Result</t>
        </is>
      </c>
      <c r="AG1817" s="7" t="inlineStr">
        <is>
          <t>230</t>
        </is>
      </c>
      <c r="AH1817" s="7" t="inlineStr">
        <is>
          <t>NWCF-Transportation</t>
        </is>
      </c>
    </row>
    <row r="1818" ht="10" customHeight="1">
      <c r="A1818" s="7" t="inlineStr">
        <is>
          <t>NWCF</t>
        </is>
      </c>
      <c r="B1818" s="7" t="inlineStr">
        <is>
          <t>Working Capital Fund</t>
        </is>
      </c>
      <c r="D1818" s="7" t="inlineStr">
        <is>
          <t>MSC Bunker Marine Fuel</t>
        </is>
      </c>
      <c r="E1818" s="13" t="inlineStr">
        <is>
          <t>[SUB]</t>
        </is>
      </c>
      <c r="F1818" s="7" t="inlineStr">
        <is>
          <t>MSC Total Expenses (Cost of Goods Sold)</t>
        </is>
      </c>
      <c r="I1818" s="14" t="n">
        <v>7</v>
      </c>
      <c r="K1818" s="15" t="n"/>
      <c r="O1818" s="15" t="n"/>
      <c r="P1818" s="16" t="n">
        <v>31120</v>
      </c>
      <c r="Q1818" s="16" t="n">
        <v>26040</v>
      </c>
      <c r="S1818" s="16" t="n">
        <v>33870</v>
      </c>
      <c r="U1818" s="16" t="n">
        <v>33870</v>
      </c>
      <c r="AC1818" s="23">
        <f>IF(OR(E1818="",E1818="[PARENT]"),"ADD",IF(E1818="[ALT_VIEW]","ALT",""))</f>
        <v/>
      </c>
      <c r="AD1818" s="21">
        <f>IF(Y1818&lt;&gt;"",Y1818,IF(U1818&lt;&gt;"",U1818,S1818))</f>
        <v/>
      </c>
      <c r="AE1818" s="21">
        <f>IF(AB1818&lt;&gt;"",AB1818,Z1818)</f>
        <v/>
      </c>
      <c r="AF1818" s="13" t="inlineStr">
        <is>
          <t>Transportation &gt; Exhibit Fund-15 &gt; Bunker Marine</t>
        </is>
      </c>
      <c r="AG1818" s="7" t="inlineStr">
        <is>
          <t>231</t>
        </is>
      </c>
      <c r="AH1818" s="7" t="inlineStr">
        <is>
          <t>NWCF-Transportation</t>
        </is>
      </c>
      <c r="AI1818" s="7" t="inlineStr">
        <is>
          <t>Bunker Marine</t>
        </is>
      </c>
      <c r="AJ1818" s="7" t="inlineStr">
        <is>
          <t>Bunker Marine</t>
        </is>
      </c>
    </row>
    <row r="1819" ht="10" customHeight="1">
      <c r="A1819" s="7" t="inlineStr">
        <is>
          <t>NWCF</t>
        </is>
      </c>
      <c r="B1819" s="7" t="inlineStr">
        <is>
          <t>Working Capital Fund</t>
        </is>
      </c>
      <c r="D1819" s="7" t="inlineStr">
        <is>
          <t>MSC Distillate (Diesel F76) Fuel</t>
        </is>
      </c>
      <c r="E1819" s="13" t="inlineStr">
        <is>
          <t>[SUB]</t>
        </is>
      </c>
      <c r="F1819" s="7" t="inlineStr">
        <is>
          <t>MSC Total Expenses (Cost of Goods Sold)</t>
        </is>
      </c>
      <c r="I1819" s="14" t="n">
        <v>7</v>
      </c>
      <c r="K1819" s="15" t="n"/>
      <c r="O1819" s="15" t="n"/>
      <c r="P1819" s="16" t="n">
        <v>468310</v>
      </c>
      <c r="Q1819" s="16" t="n">
        <v>508710</v>
      </c>
      <c r="S1819" s="16" t="n">
        <v>474480</v>
      </c>
      <c r="U1819" s="16" t="n">
        <v>474480</v>
      </c>
      <c r="AC1819" s="23">
        <f>IF(OR(E1819="",E1819="[PARENT]"),"ADD",IF(E1819="[ALT_VIEW]","ALT",""))</f>
        <v/>
      </c>
      <c r="AD1819" s="21">
        <f>IF(Y1819&lt;&gt;"",Y1819,IF(U1819&lt;&gt;"",U1819,S1819))</f>
        <v/>
      </c>
      <c r="AE1819" s="21">
        <f>IF(AB1819&lt;&gt;"",AB1819,Z1819)</f>
        <v/>
      </c>
      <c r="AF1819" s="13" t="inlineStr">
        <is>
          <t>Transportation &gt; Exhibit Fund-15 &gt; Distillate (Diesel F76)</t>
        </is>
      </c>
      <c r="AG1819" s="7" t="inlineStr">
        <is>
          <t>231</t>
        </is>
      </c>
      <c r="AH1819" s="7" t="inlineStr">
        <is>
          <t>NWCF-Transportation</t>
        </is>
      </c>
      <c r="AI1819" s="7" t="inlineStr">
        <is>
          <t>Distillate (Diesel F76)</t>
        </is>
      </c>
      <c r="AJ1819" s="7" t="inlineStr">
        <is>
          <t>Distillate (Diesel F76)</t>
        </is>
      </c>
    </row>
    <row r="1820" ht="10" customHeight="1">
      <c r="A1820" s="7" t="inlineStr">
        <is>
          <t>NWCF</t>
        </is>
      </c>
      <c r="B1820" s="7" t="inlineStr">
        <is>
          <t>Working Capital Fund</t>
        </is>
      </c>
      <c r="D1820" s="7" t="inlineStr">
        <is>
          <t>MSC Total Fuel</t>
        </is>
      </c>
      <c r="E1820" s="13" t="inlineStr">
        <is>
          <t>[PARENT]</t>
        </is>
      </c>
      <c r="I1820" s="14" t="n">
        <v>7</v>
      </c>
      <c r="K1820" s="15" t="n"/>
      <c r="O1820" s="15" t="n"/>
      <c r="P1820" s="16" t="n">
        <v>499430</v>
      </c>
      <c r="Q1820" s="16" t="n">
        <v>534740</v>
      </c>
      <c r="S1820" s="16" t="n">
        <v>508350</v>
      </c>
      <c r="U1820" s="16" t="n">
        <v>508350</v>
      </c>
      <c r="AC1820" s="23">
        <f>IF(OR(E1820="",E1820="[PARENT]"),"ADD",IF(E1820="[ALT_VIEW]","ALT",""))</f>
        <v/>
      </c>
      <c r="AD1820" s="21">
        <f>IF(Y1820&lt;&gt;"",Y1820,IF(U1820&lt;&gt;"",U1820,S1820))</f>
        <v/>
      </c>
      <c r="AE1820" s="21">
        <f>IF(AB1820&lt;&gt;"",AB1820,Z1820)</f>
        <v/>
      </c>
      <c r="AF1820" s="13" t="inlineStr">
        <is>
          <t>Transportation &gt; Exhibit Fund-15 &gt; Total</t>
        </is>
      </c>
      <c r="AG1820" s="7" t="inlineStr">
        <is>
          <t>231</t>
        </is>
      </c>
      <c r="AH1820" s="7" t="inlineStr">
        <is>
          <t>NWCF-Transportation</t>
        </is>
      </c>
    </row>
    <row r="1821" ht="10" customHeight="1">
      <c r="A1821" s="7" t="inlineStr">
        <is>
          <t>NWCF</t>
        </is>
      </c>
      <c r="B1821" s="7" t="inlineStr">
        <is>
          <t>Working Capital Fund</t>
        </is>
      </c>
      <c r="D1821" s="7" t="inlineStr">
        <is>
          <t>MSC Pricing Adjustments (FY25 to FY26)</t>
        </is>
      </c>
      <c r="E1821" s="13" t="inlineStr">
        <is>
          <t>[SUB]</t>
        </is>
      </c>
      <c r="F1821" s="7" t="inlineStr">
        <is>
          <t>MSC Total Expenses (Cost of Goods Sold)</t>
        </is>
      </c>
      <c r="I1821" s="14" t="n">
        <v>7</v>
      </c>
      <c r="K1821" s="15" t="n"/>
      <c r="O1821" s="15" t="n"/>
      <c r="S1821" s="16" t="n">
        <v>70200</v>
      </c>
      <c r="U1821" s="16" t="n">
        <v>70200</v>
      </c>
      <c r="AC1821" s="23">
        <f>IF(OR(E1821="",E1821="[PARENT]"),"ADD",IF(E1821="[ALT_VIEW]","ALT",""))</f>
        <v/>
      </c>
      <c r="AD1821" s="21">
        <f>IF(Y1821&lt;&gt;"",Y1821,IF(U1821&lt;&gt;"",U1821,S1821))</f>
        <v/>
      </c>
      <c r="AE1821" s="21">
        <f>IF(AB1821&lt;&gt;"",AB1821,Z1821)</f>
        <v/>
      </c>
      <c r="AF1821" s="13" t="inlineStr">
        <is>
          <t>Transportation &gt; Exhibit Fund-2 &gt; Pricing Adjustments</t>
        </is>
      </c>
      <c r="AG1821" s="7" t="inlineStr">
        <is>
          <t>220</t>
        </is>
      </c>
      <c r="AH1821" s="7" t="inlineStr">
        <is>
          <t>NWCF-Transportation</t>
        </is>
      </c>
      <c r="AI1821" s="7" t="inlineStr">
        <is>
          <t>Pricing Adjustments</t>
        </is>
      </c>
      <c r="AJ1821" s="7" t="inlineStr">
        <is>
          <t>Pricing Adjustments</t>
        </is>
      </c>
    </row>
    <row r="1822" ht="10" customHeight="1">
      <c r="A1822" s="7" t="inlineStr">
        <is>
          <t>NWCF</t>
        </is>
      </c>
      <c r="B1822" s="7" t="inlineStr">
        <is>
          <t>Working Capital Fund</t>
        </is>
      </c>
      <c r="D1822" s="7" t="inlineStr">
        <is>
          <t>BP28 Ship Repairable and Consumables (Wholesale) - Total Obligations</t>
        </is>
      </c>
      <c r="E1822" s="13" t="inlineStr">
        <is>
          <t>[PARENT]</t>
        </is>
      </c>
      <c r="I1822" s="14" t="n">
        <v>6</v>
      </c>
      <c r="J1822" s="7" t="inlineStr">
        <is>
          <t>Sustainment Engineering/Planning/Obsolescence Support - spares</t>
        </is>
      </c>
      <c r="K1822" s="15" t="n"/>
      <c r="O1822" s="15" t="n"/>
      <c r="P1822" s="16" t="n">
        <v>1122540</v>
      </c>
      <c r="Q1822" s="16" t="n">
        <v>1130960</v>
      </c>
      <c r="S1822" s="16" t="n">
        <v>1168800</v>
      </c>
      <c r="U1822" s="16" t="n">
        <v>1168800</v>
      </c>
      <c r="AC1822" s="23">
        <f>IF(OR(E1822="",E1822="[PARENT]"),"ADD",IF(E1822="[ALT_VIEW]","ALT",""))</f>
        <v/>
      </c>
      <c r="AD1822" s="21">
        <f>IF(Y1822&lt;&gt;"",Y1822,IF(U1822&lt;&gt;"",U1822,S1822))</f>
        <v/>
      </c>
      <c r="AE1822" s="21">
        <f>IF(AB1822&lt;&gt;"",AB1822,Z1822)</f>
        <v/>
      </c>
      <c r="AF1822" s="13" t="inlineStr">
        <is>
          <t>Supply Management &gt; Exhibit SM-1 &gt; BP28 Total Obligations</t>
        </is>
      </c>
      <c r="AG1822" s="7" t="inlineStr">
        <is>
          <t>113</t>
        </is>
      </c>
      <c r="AH1822" s="7" t="inlineStr">
        <is>
          <t>BP28</t>
        </is>
      </c>
    </row>
    <row r="1823" ht="10" customHeight="1">
      <c r="A1823" s="7" t="inlineStr">
        <is>
          <t>NWCF</t>
        </is>
      </c>
      <c r="B1823" s="7" t="inlineStr">
        <is>
          <t>Working Capital Fund</t>
        </is>
      </c>
      <c r="D1823" s="7" t="inlineStr">
        <is>
          <t>BP28 Ship Repairable and Consumables - Variability Target</t>
        </is>
      </c>
      <c r="E1823" s="13" t="inlineStr">
        <is>
          <t>[SUB]</t>
        </is>
      </c>
      <c r="F1823" s="7" t="inlineStr">
        <is>
          <t>BP28 Ship Repairable and Consumables - Target Total</t>
        </is>
      </c>
      <c r="I1823" s="14" t="n">
        <v>6</v>
      </c>
      <c r="J1823" s="7" t="inlineStr">
        <is>
          <t>Sustainment Engineering/Planning/Obsolescence Support - spares</t>
        </is>
      </c>
      <c r="K1823" s="15" t="n"/>
      <c r="O1823" s="15" t="n"/>
      <c r="P1823" s="16" t="n">
        <v>0</v>
      </c>
      <c r="Q1823" s="16" t="n">
        <v>35000</v>
      </c>
      <c r="S1823" s="16" t="n">
        <v>35000</v>
      </c>
      <c r="U1823" s="16" t="n">
        <v>35000</v>
      </c>
      <c r="AC1823" s="23">
        <f>IF(OR(E1823="",E1823="[PARENT]"),"ADD",IF(E1823="[ALT_VIEW]","ALT",""))</f>
        <v/>
      </c>
      <c r="AD1823" s="21">
        <f>IF(Y1823&lt;&gt;"",Y1823,IF(U1823&lt;&gt;"",U1823,S1823))</f>
        <v/>
      </c>
      <c r="AE1823" s="21">
        <f>IF(AB1823&lt;&gt;"",AB1823,Z1823)</f>
        <v/>
      </c>
      <c r="AF1823" s="13" t="inlineStr">
        <is>
          <t>Supply Management &gt; Exhibit SM-1 &gt; BP28 Variability Target</t>
        </is>
      </c>
      <c r="AG1823" s="7" t="inlineStr">
        <is>
          <t>113</t>
        </is>
      </c>
      <c r="AH1823" s="7" t="inlineStr">
        <is>
          <t>BP28</t>
        </is>
      </c>
      <c r="AI1823" s="7" t="inlineStr">
        <is>
          <t>BP28 Variability Target</t>
        </is>
      </c>
      <c r="AJ1823" s="7" t="inlineStr">
        <is>
          <t>BP28 Variability Target</t>
        </is>
      </c>
    </row>
    <row r="1824" ht="10" customHeight="1">
      <c r="A1824" s="7" t="inlineStr">
        <is>
          <t>NWCF</t>
        </is>
      </c>
      <c r="B1824" s="7" t="inlineStr">
        <is>
          <t>Working Capital Fund</t>
        </is>
      </c>
      <c r="D1824" s="7" t="inlineStr">
        <is>
          <t>BP28 Ship Repairable and Consumables - Target Total</t>
        </is>
      </c>
      <c r="E1824" s="13" t="inlineStr">
        <is>
          <t>[PARENT]</t>
        </is>
      </c>
      <c r="I1824" s="14" t="n">
        <v>6</v>
      </c>
      <c r="J1824" s="7" t="inlineStr">
        <is>
          <t>Sustainment Engineering/Planning/Obsolescence Support - spares</t>
        </is>
      </c>
      <c r="K1824" s="15" t="n"/>
      <c r="O1824" s="15" t="n"/>
      <c r="P1824" s="16" t="n">
        <v>1122540</v>
      </c>
      <c r="Q1824" s="16" t="n">
        <v>1165960</v>
      </c>
      <c r="S1824" s="16" t="n">
        <v>1203800</v>
      </c>
      <c r="U1824" s="16" t="n">
        <v>1203800</v>
      </c>
      <c r="AC1824" s="23">
        <f>IF(OR(E1824="",E1824="[PARENT]"),"ADD",IF(E1824="[ALT_VIEW]","ALT",""))</f>
        <v/>
      </c>
      <c r="AD1824" s="21">
        <f>IF(Y1824&lt;&gt;"",Y1824,IF(U1824&lt;&gt;"",U1824,S1824))</f>
        <v/>
      </c>
      <c r="AE1824" s="21">
        <f>IF(AB1824&lt;&gt;"",AB1824,Z1824)</f>
        <v/>
      </c>
      <c r="AF1824" s="13" t="inlineStr">
        <is>
          <t>Supply Management &gt; Exhibit SM-1 &gt; BP28 Target Total</t>
        </is>
      </c>
      <c r="AG1824" s="7" t="inlineStr">
        <is>
          <t>113</t>
        </is>
      </c>
      <c r="AH1824" s="7" t="inlineStr">
        <is>
          <t>BP28</t>
        </is>
      </c>
    </row>
    <row r="1825" ht="10" customHeight="1">
      <c r="A1825" s="7" t="inlineStr">
        <is>
          <t>NWCF</t>
        </is>
      </c>
      <c r="B1825" s="7" t="inlineStr">
        <is>
          <t>Working Capital Fund</t>
        </is>
      </c>
      <c r="D1825" s="7" t="inlineStr">
        <is>
          <t>BP28 Peacetime Inventory</t>
        </is>
      </c>
      <c r="E1825" s="13" t="inlineStr">
        <is>
          <t>[REFERENCE]</t>
        </is>
      </c>
      <c r="I1825" s="14" t="n">
        <v>6</v>
      </c>
      <c r="K1825" s="15" t="n"/>
      <c r="O1825" s="15" t="n"/>
      <c r="P1825" s="16" t="n">
        <v>2654880</v>
      </c>
      <c r="Q1825" s="16" t="n">
        <v>2604020</v>
      </c>
      <c r="S1825" s="16" t="n">
        <v>2506290</v>
      </c>
      <c r="U1825" s="16" t="n">
        <v>2506290</v>
      </c>
      <c r="AC1825" s="23">
        <f>IF(OR(E1825="",E1825="[PARENT]"),"ADD",IF(E1825="[ALT_VIEW]","ALT",""))</f>
        <v/>
      </c>
      <c r="AD1825" s="21">
        <f>IF(Y1825&lt;&gt;"",Y1825,IF(U1825&lt;&gt;"",U1825,S1825))</f>
        <v/>
      </c>
      <c r="AE1825" s="21">
        <f>IF(AB1825&lt;&gt;"",AB1825,Z1825)</f>
        <v/>
      </c>
      <c r="AF1825" s="13" t="inlineStr">
        <is>
          <t>Supply Management &gt; Exhibit SM-1 &gt; BP28 Inventory</t>
        </is>
      </c>
      <c r="AG1825" s="7" t="inlineStr">
        <is>
          <t>113</t>
        </is>
      </c>
      <c r="AH1825" s="7" t="inlineStr">
        <is>
          <t>BP28</t>
        </is>
      </c>
    </row>
    <row r="1826" ht="10" customHeight="1">
      <c r="A1826" s="7" t="inlineStr">
        <is>
          <t>NWCF</t>
        </is>
      </c>
      <c r="B1826" s="7" t="inlineStr">
        <is>
          <t>Working Capital Fund</t>
        </is>
      </c>
      <c r="D1826" s="7" t="inlineStr">
        <is>
          <t>BP81 Ship Repairable and Consumables (Wholesale) - Total Obligations</t>
        </is>
      </c>
      <c r="E1826" s="13" t="inlineStr">
        <is>
          <t>[PARENT]</t>
        </is>
      </c>
      <c r="I1826" s="14" t="n">
        <v>6</v>
      </c>
      <c r="J1826" s="7" t="inlineStr">
        <is>
          <t>Sustainment Engineering/Planning/Obsolescence Support - spares</t>
        </is>
      </c>
      <c r="K1826" s="15" t="n"/>
      <c r="O1826" s="15" t="n"/>
      <c r="P1826" s="16" t="n">
        <v>2152110</v>
      </c>
      <c r="Q1826" s="16" t="n">
        <v>2367140</v>
      </c>
      <c r="S1826" s="16" t="n">
        <v>2386350</v>
      </c>
      <c r="U1826" s="16" t="n">
        <v>2386350</v>
      </c>
      <c r="AC1826" s="23">
        <f>IF(OR(E1826="",E1826="[PARENT]"),"ADD",IF(E1826="[ALT_VIEW]","ALT",""))</f>
        <v/>
      </c>
      <c r="AD1826" s="21">
        <f>IF(Y1826&lt;&gt;"",Y1826,IF(U1826&lt;&gt;"",U1826,S1826))</f>
        <v/>
      </c>
      <c r="AE1826" s="21">
        <f>IF(AB1826&lt;&gt;"",AB1826,Z1826)</f>
        <v/>
      </c>
      <c r="AF1826" s="13" t="inlineStr">
        <is>
          <t>Supply Management &gt; Exhibit SM-1 &gt; BP81 Total Obligations</t>
        </is>
      </c>
      <c r="AG1826" s="7" t="inlineStr">
        <is>
          <t>113</t>
        </is>
      </c>
      <c r="AH1826" s="7" t="inlineStr">
        <is>
          <t>BP81</t>
        </is>
      </c>
    </row>
    <row r="1827" ht="10" customHeight="1">
      <c r="A1827" s="7" t="inlineStr">
        <is>
          <t>NWCF</t>
        </is>
      </c>
      <c r="B1827" s="7" t="inlineStr">
        <is>
          <t>Working Capital Fund</t>
        </is>
      </c>
      <c r="D1827" s="7" t="inlineStr">
        <is>
          <t>BP81 Ship Repairable and Consumables - Variability Target</t>
        </is>
      </c>
      <c r="E1827" s="13" t="inlineStr">
        <is>
          <t>[SUB]</t>
        </is>
      </c>
      <c r="F1827" s="7" t="inlineStr">
        <is>
          <t>BP81 Ship Repairable and Consumables - Target Total</t>
        </is>
      </c>
      <c r="I1827" s="14" t="n">
        <v>6</v>
      </c>
      <c r="J1827" s="7" t="inlineStr">
        <is>
          <t>Sustainment Engineering/Planning/Obsolescence Support - spares</t>
        </is>
      </c>
      <c r="K1827" s="15" t="n"/>
      <c r="O1827" s="15" t="n"/>
      <c r="P1827" s="16" t="n">
        <v>0</v>
      </c>
      <c r="Q1827" s="16" t="n">
        <v>176000</v>
      </c>
      <c r="S1827" s="16" t="n">
        <v>176000</v>
      </c>
      <c r="U1827" s="16" t="n">
        <v>176000</v>
      </c>
      <c r="AC1827" s="23">
        <f>IF(OR(E1827="",E1827="[PARENT]"),"ADD",IF(E1827="[ALT_VIEW]","ALT",""))</f>
        <v/>
      </c>
      <c r="AD1827" s="21">
        <f>IF(Y1827&lt;&gt;"",Y1827,IF(U1827&lt;&gt;"",U1827,S1827))</f>
        <v/>
      </c>
      <c r="AE1827" s="21">
        <f>IF(AB1827&lt;&gt;"",AB1827,Z1827)</f>
        <v/>
      </c>
      <c r="AF1827" s="13" t="inlineStr">
        <is>
          <t>Supply Management &gt; Exhibit SM-1 &gt; BP81 Variability Target</t>
        </is>
      </c>
      <c r="AG1827" s="7" t="inlineStr">
        <is>
          <t>113</t>
        </is>
      </c>
      <c r="AH1827" s="7" t="inlineStr">
        <is>
          <t>BP81</t>
        </is>
      </c>
      <c r="AI1827" s="7" t="inlineStr">
        <is>
          <t>BP81 Variability Target</t>
        </is>
      </c>
      <c r="AJ1827" s="7" t="inlineStr">
        <is>
          <t>BP81 Variability Target</t>
        </is>
      </c>
    </row>
    <row r="1828" ht="10" customHeight="1">
      <c r="A1828" s="7" t="inlineStr">
        <is>
          <t>NWCF</t>
        </is>
      </c>
      <c r="B1828" s="7" t="inlineStr">
        <is>
          <t>Working Capital Fund</t>
        </is>
      </c>
      <c r="D1828" s="7" t="inlineStr">
        <is>
          <t>BP81 Ship Repairable and Consumables - Target Total</t>
        </is>
      </c>
      <c r="E1828" s="13" t="inlineStr">
        <is>
          <t>[PARENT]</t>
        </is>
      </c>
      <c r="I1828" s="14" t="n">
        <v>6</v>
      </c>
      <c r="J1828" s="7" t="inlineStr">
        <is>
          <t>Sustainment Engineering/Planning/Obsolescence Support - spares</t>
        </is>
      </c>
      <c r="K1828" s="15" t="n"/>
      <c r="O1828" s="15" t="n"/>
      <c r="P1828" s="16" t="n">
        <v>2152110</v>
      </c>
      <c r="Q1828" s="16" t="n">
        <v>2543140</v>
      </c>
      <c r="S1828" s="16" t="n">
        <v>2562350</v>
      </c>
      <c r="U1828" s="16" t="n">
        <v>2562350</v>
      </c>
      <c r="AC1828" s="23">
        <f>IF(OR(E1828="",E1828="[PARENT]"),"ADD",IF(E1828="[ALT_VIEW]","ALT",""))</f>
        <v/>
      </c>
      <c r="AD1828" s="21">
        <f>IF(Y1828&lt;&gt;"",Y1828,IF(U1828&lt;&gt;"",U1828,S1828))</f>
        <v/>
      </c>
      <c r="AE1828" s="21">
        <f>IF(AB1828&lt;&gt;"",AB1828,Z1828)</f>
        <v/>
      </c>
      <c r="AF1828" s="13" t="inlineStr">
        <is>
          <t>Supply Management &gt; Exhibit SM-1 &gt; BP81 Target Total</t>
        </is>
      </c>
      <c r="AG1828" s="7" t="inlineStr">
        <is>
          <t>113</t>
        </is>
      </c>
      <c r="AH1828" s="7" t="inlineStr">
        <is>
          <t>BP81</t>
        </is>
      </c>
    </row>
    <row r="1829" ht="10" customHeight="1">
      <c r="A1829" s="7" t="inlineStr">
        <is>
          <t>NWCF</t>
        </is>
      </c>
      <c r="B1829" s="7" t="inlineStr">
        <is>
          <t>Working Capital Fund</t>
        </is>
      </c>
      <c r="D1829" s="7" t="inlineStr">
        <is>
          <t>BP81 Peacetime Inventory</t>
        </is>
      </c>
      <c r="E1829" s="13" t="inlineStr">
        <is>
          <t>[REFERENCE]</t>
        </is>
      </c>
      <c r="I1829" s="14" t="n">
        <v>6</v>
      </c>
      <c r="K1829" s="15" t="n"/>
      <c r="O1829" s="15" t="n"/>
      <c r="P1829" s="16" t="n">
        <v>8353550</v>
      </c>
      <c r="Q1829" s="16" t="n">
        <v>9515870</v>
      </c>
      <c r="S1829" s="16" t="n">
        <v>10739130</v>
      </c>
      <c r="U1829" s="16" t="n">
        <v>10739130</v>
      </c>
      <c r="AC1829" s="23">
        <f>IF(OR(E1829="",E1829="[PARENT]"),"ADD",IF(E1829="[ALT_VIEW]","ALT",""))</f>
        <v/>
      </c>
      <c r="AD1829" s="21">
        <f>IF(Y1829&lt;&gt;"",Y1829,IF(U1829&lt;&gt;"",U1829,S1829))</f>
        <v/>
      </c>
      <c r="AE1829" s="21">
        <f>IF(AB1829&lt;&gt;"",AB1829,Z1829)</f>
        <v/>
      </c>
      <c r="AF1829" s="13" t="inlineStr">
        <is>
          <t>Supply Management &gt; Exhibit SM-1 &gt; BP81 Inventory</t>
        </is>
      </c>
      <c r="AG1829" s="7" t="inlineStr">
        <is>
          <t>113</t>
        </is>
      </c>
      <c r="AH1829" s="7" t="inlineStr">
        <is>
          <t>BP81</t>
        </is>
      </c>
    </row>
    <row r="1830" ht="10" customHeight="1">
      <c r="A1830" s="7" t="inlineStr">
        <is>
          <t>NWCF</t>
        </is>
      </c>
      <c r="B1830" s="7" t="inlineStr">
        <is>
          <t>Working Capital Fund</t>
        </is>
      </c>
      <c r="D1830" s="7" t="inlineStr">
        <is>
          <t>BP34 Shipboard Repairables (Retail) - Total Obligations</t>
        </is>
      </c>
      <c r="E1830" s="13" t="inlineStr">
        <is>
          <t>[PARENT]</t>
        </is>
      </c>
      <c r="I1830" s="14" t="n">
        <v>6</v>
      </c>
      <c r="J1830" s="7" t="inlineStr">
        <is>
          <t>Sustainment Engineering/Planning/Obsolescence Support - spares</t>
        </is>
      </c>
      <c r="K1830" s="15" t="n"/>
      <c r="O1830" s="15" t="n"/>
      <c r="P1830" s="16" t="n">
        <v>111700</v>
      </c>
      <c r="Q1830" s="16" t="n">
        <v>45280</v>
      </c>
      <c r="S1830" s="16" t="n">
        <v>52070</v>
      </c>
      <c r="U1830" s="16" t="n">
        <v>52070</v>
      </c>
      <c r="AC1830" s="23">
        <f>IF(OR(E1830="",E1830="[PARENT]"),"ADD",IF(E1830="[ALT_VIEW]","ALT",""))</f>
        <v/>
      </c>
      <c r="AD1830" s="21">
        <f>IF(Y1830&lt;&gt;"",Y1830,IF(U1830&lt;&gt;"",U1830,S1830))</f>
        <v/>
      </c>
      <c r="AE1830" s="21">
        <f>IF(AB1830&lt;&gt;"",AB1830,Z1830)</f>
        <v/>
      </c>
      <c r="AF1830" s="13" t="inlineStr">
        <is>
          <t>Supply Management &gt; Exhibit SM-1 &gt; BP34 Total Obligations</t>
        </is>
      </c>
      <c r="AG1830" s="7" t="inlineStr">
        <is>
          <t>113</t>
        </is>
      </c>
      <c r="AH1830" s="7" t="inlineStr">
        <is>
          <t>BP34</t>
        </is>
      </c>
    </row>
    <row r="1831" ht="10" customHeight="1">
      <c r="A1831" s="7" t="inlineStr">
        <is>
          <t>NWCF</t>
        </is>
      </c>
      <c r="B1831" s="7" t="inlineStr">
        <is>
          <t>Working Capital Fund</t>
        </is>
      </c>
      <c r="D1831" s="7" t="inlineStr">
        <is>
          <t>BP34 Shipboard Repairables - Target Total</t>
        </is>
      </c>
      <c r="E1831" s="13" t="inlineStr">
        <is>
          <t>[PARENT]</t>
        </is>
      </c>
      <c r="I1831" s="14" t="n">
        <v>6</v>
      </c>
      <c r="J1831" s="7" t="inlineStr">
        <is>
          <t>Sustainment Engineering/Planning/Obsolescence Support - spares</t>
        </is>
      </c>
      <c r="K1831" s="15" t="n"/>
      <c r="O1831" s="15" t="n"/>
      <c r="P1831" s="16" t="n">
        <v>111700</v>
      </c>
      <c r="Q1831" s="16" t="n">
        <v>58280</v>
      </c>
      <c r="S1831" s="16" t="n">
        <v>65070</v>
      </c>
      <c r="U1831" s="16" t="n">
        <v>65070</v>
      </c>
      <c r="AC1831" s="23">
        <f>IF(OR(E1831="",E1831="[PARENT]"),"ADD",IF(E1831="[ALT_VIEW]","ALT",""))</f>
        <v/>
      </c>
      <c r="AD1831" s="21">
        <f>IF(Y1831&lt;&gt;"",Y1831,IF(U1831&lt;&gt;"",U1831,S1831))</f>
        <v/>
      </c>
      <c r="AE1831" s="21">
        <f>IF(AB1831&lt;&gt;"",AB1831,Z1831)</f>
        <v/>
      </c>
      <c r="AF1831" s="13" t="inlineStr">
        <is>
          <t>Supply Management &gt; Exhibit SM-1 &gt; BP34 Target Total</t>
        </is>
      </c>
      <c r="AG1831" s="7" t="inlineStr">
        <is>
          <t>113</t>
        </is>
      </c>
      <c r="AH1831" s="7" t="inlineStr">
        <is>
          <t>BP34</t>
        </is>
      </c>
    </row>
    <row r="1832" ht="10" customHeight="1">
      <c r="A1832" s="7" t="inlineStr">
        <is>
          <t>NWCF</t>
        </is>
      </c>
      <c r="B1832" s="7" t="inlineStr">
        <is>
          <t>Working Capital Fund</t>
        </is>
      </c>
      <c r="D1832" s="7" t="inlineStr">
        <is>
          <t>BP85 Aviation Repairables (Wholesale) - Total Obligations</t>
        </is>
      </c>
      <c r="E1832" s="13" t="inlineStr">
        <is>
          <t>[PARENT]</t>
        </is>
      </c>
      <c r="I1832" s="14" t="n">
        <v>6</v>
      </c>
      <c r="J1832" s="7" t="inlineStr">
        <is>
          <t>Sustainment Engineering/Planning/Obsolescence Support - spares</t>
        </is>
      </c>
      <c r="K1832" s="15" t="n"/>
      <c r="O1832" s="15" t="n"/>
      <c r="P1832" s="16" t="n">
        <v>4315260</v>
      </c>
      <c r="Q1832" s="16" t="n">
        <v>4694620</v>
      </c>
      <c r="S1832" s="16" t="n">
        <v>4200500</v>
      </c>
      <c r="U1832" s="16" t="n">
        <v>4200500</v>
      </c>
      <c r="AC1832" s="23">
        <f>IF(OR(E1832="",E1832="[PARENT]"),"ADD",IF(E1832="[ALT_VIEW]","ALT",""))</f>
        <v/>
      </c>
      <c r="AD1832" s="21">
        <f>IF(Y1832&lt;&gt;"",Y1832,IF(U1832&lt;&gt;"",U1832,S1832))</f>
        <v/>
      </c>
      <c r="AE1832" s="21">
        <f>IF(AB1832&lt;&gt;"",AB1832,Z1832)</f>
        <v/>
      </c>
      <c r="AF1832" s="13" t="inlineStr">
        <is>
          <t>Supply Management &gt; Exhibit SM-1 &gt; BP85 Total Obligations</t>
        </is>
      </c>
      <c r="AG1832" s="7" t="inlineStr">
        <is>
          <t>113</t>
        </is>
      </c>
      <c r="AH1832" s="7" t="inlineStr">
        <is>
          <t>BP85</t>
        </is>
      </c>
    </row>
    <row r="1833" ht="10" customHeight="1">
      <c r="A1833" s="7" t="inlineStr">
        <is>
          <t>NWCF</t>
        </is>
      </c>
      <c r="B1833" s="7" t="inlineStr">
        <is>
          <t>Working Capital Fund</t>
        </is>
      </c>
      <c r="D1833" s="7" t="inlineStr">
        <is>
          <t>BP85 Aviation Repairables - Variability Target</t>
        </is>
      </c>
      <c r="E1833" s="13" t="inlineStr">
        <is>
          <t>[SUB]</t>
        </is>
      </c>
      <c r="F1833" s="7" t="inlineStr">
        <is>
          <t>BP85 Aviation Repairables - Target Total</t>
        </is>
      </c>
      <c r="I1833" s="14" t="n">
        <v>6</v>
      </c>
      <c r="K1833" s="15" t="n"/>
      <c r="O1833" s="15" t="n"/>
      <c r="P1833" s="16" t="n">
        <v>636000</v>
      </c>
      <c r="Q1833" s="16" t="n">
        <v>636000</v>
      </c>
      <c r="S1833" s="16" t="n">
        <v>636000</v>
      </c>
      <c r="U1833" s="16" t="n">
        <v>636000</v>
      </c>
      <c r="AC1833" s="23">
        <f>IF(OR(E1833="",E1833="[PARENT]"),"ADD",IF(E1833="[ALT_VIEW]","ALT",""))</f>
        <v/>
      </c>
      <c r="AD1833" s="21">
        <f>IF(Y1833&lt;&gt;"",Y1833,IF(U1833&lt;&gt;"",U1833,S1833))</f>
        <v/>
      </c>
      <c r="AE1833" s="21">
        <f>IF(AB1833&lt;&gt;"",AB1833,Z1833)</f>
        <v/>
      </c>
      <c r="AF1833" s="13" t="inlineStr">
        <is>
          <t>Supply Management &gt; Exhibit SM-1 &gt; BP85 Variability Target</t>
        </is>
      </c>
      <c r="AG1833" s="7" t="inlineStr">
        <is>
          <t>113</t>
        </is>
      </c>
      <c r="AH1833" s="7" t="inlineStr">
        <is>
          <t>BP85</t>
        </is>
      </c>
      <c r="AI1833" s="7" t="inlineStr">
        <is>
          <t>BP85 Variability Target</t>
        </is>
      </c>
      <c r="AJ1833" s="7" t="inlineStr">
        <is>
          <t>BP85 Variability Target</t>
        </is>
      </c>
    </row>
    <row r="1834" ht="10" customHeight="1">
      <c r="A1834" s="7" t="inlineStr">
        <is>
          <t>NWCF</t>
        </is>
      </c>
      <c r="B1834" s="7" t="inlineStr">
        <is>
          <t>Working Capital Fund</t>
        </is>
      </c>
      <c r="D1834" s="7" t="inlineStr">
        <is>
          <t>BP85 Aviation Repairables - Target Total</t>
        </is>
      </c>
      <c r="E1834" s="13" t="inlineStr">
        <is>
          <t>[PARENT]</t>
        </is>
      </c>
      <c r="I1834" s="14" t="n">
        <v>6</v>
      </c>
      <c r="K1834" s="15" t="n"/>
      <c r="O1834" s="15" t="n"/>
      <c r="P1834" s="16" t="n">
        <v>4951260</v>
      </c>
      <c r="Q1834" s="16" t="n">
        <v>5330620</v>
      </c>
      <c r="S1834" s="16" t="n">
        <v>4836500</v>
      </c>
      <c r="U1834" s="16" t="n">
        <v>4836500</v>
      </c>
      <c r="AC1834" s="23">
        <f>IF(OR(E1834="",E1834="[PARENT]"),"ADD",IF(E1834="[ALT_VIEW]","ALT",""))</f>
        <v/>
      </c>
      <c r="AD1834" s="21">
        <f>IF(Y1834&lt;&gt;"",Y1834,IF(U1834&lt;&gt;"",U1834,S1834))</f>
        <v/>
      </c>
      <c r="AE1834" s="21">
        <f>IF(AB1834&lt;&gt;"",AB1834,Z1834)</f>
        <v/>
      </c>
      <c r="AF1834" s="13" t="inlineStr">
        <is>
          <t>Supply Management &gt; Exhibit SM-1 &gt; BP85 Target Total</t>
        </is>
      </c>
      <c r="AG1834" s="7" t="inlineStr">
        <is>
          <t>113</t>
        </is>
      </c>
      <c r="AH1834" s="7" t="inlineStr">
        <is>
          <t>BP85</t>
        </is>
      </c>
    </row>
    <row r="1835" ht="10" customHeight="1">
      <c r="A1835" s="7" t="inlineStr">
        <is>
          <t>NWCF</t>
        </is>
      </c>
      <c r="B1835" s="7" t="inlineStr">
        <is>
          <t>Working Capital Fund</t>
        </is>
      </c>
      <c r="D1835" s="7" t="inlineStr">
        <is>
          <t>BP91 Operations and Reimbursables - Total Obligations</t>
        </is>
      </c>
      <c r="E1835" s="13" t="inlineStr">
        <is>
          <t>[PARENT]</t>
        </is>
      </c>
      <c r="I1835" s="14" t="n">
        <v>6</v>
      </c>
      <c r="K1835" s="15" t="n"/>
      <c r="O1835" s="15" t="n"/>
      <c r="P1835" s="16" t="n">
        <v>1391300</v>
      </c>
      <c r="Q1835" s="16" t="n">
        <v>1459270</v>
      </c>
      <c r="S1835" s="16" t="n">
        <v>1316570</v>
      </c>
      <c r="U1835" s="16" t="n">
        <v>1316570</v>
      </c>
      <c r="AC1835" s="23">
        <f>IF(OR(E1835="",E1835="[PARENT]"),"ADD",IF(E1835="[ALT_VIEW]","ALT",""))</f>
        <v/>
      </c>
      <c r="AD1835" s="21">
        <f>IF(Y1835&lt;&gt;"",Y1835,IF(U1835&lt;&gt;"",U1835,S1835))</f>
        <v/>
      </c>
      <c r="AE1835" s="21">
        <f>IF(AB1835&lt;&gt;"",AB1835,Z1835)</f>
        <v/>
      </c>
      <c r="AF1835" s="13" t="inlineStr">
        <is>
          <t>Supply Management &gt; Exhibit SM-1 &gt; BP91 Total Obligations</t>
        </is>
      </c>
      <c r="AG1835" s="7" t="inlineStr">
        <is>
          <t>113</t>
        </is>
      </c>
      <c r="AH1835" s="7" t="inlineStr">
        <is>
          <t>BP91</t>
        </is>
      </c>
    </row>
    <row r="1836" ht="10" customHeight="1">
      <c r="A1836" s="7" t="inlineStr">
        <is>
          <t>NWCF</t>
        </is>
      </c>
      <c r="B1836" s="7" t="inlineStr">
        <is>
          <t>Working Capital Fund</t>
        </is>
      </c>
      <c r="D1836" s="7" t="inlineStr">
        <is>
          <t>Supply Management Navy - Total Obligations</t>
        </is>
      </c>
      <c r="E1836" s="13" t="inlineStr">
        <is>
          <t>[PARENT]</t>
        </is>
      </c>
      <c r="I1836" s="14" t="n">
        <v>6</v>
      </c>
      <c r="K1836" s="15" t="n"/>
      <c r="O1836" s="15" t="n"/>
      <c r="P1836" s="16" t="n">
        <v>9163970</v>
      </c>
      <c r="Q1836" s="16" t="n">
        <v>9767260</v>
      </c>
      <c r="S1836" s="16" t="n">
        <v>9194290</v>
      </c>
      <c r="U1836" s="16" t="n">
        <v>9194290</v>
      </c>
      <c r="AC1836" s="23">
        <f>IF(OR(E1836="",E1836="[PARENT]"),"ADD",IF(E1836="[ALT_VIEW]","ALT",""))</f>
        <v/>
      </c>
      <c r="AD1836" s="21">
        <f>IF(Y1836&lt;&gt;"",Y1836,IF(U1836&lt;&gt;"",U1836,S1836))</f>
        <v/>
      </c>
      <c r="AE1836" s="21">
        <f>IF(AB1836&lt;&gt;"",AB1836,Z1836)</f>
        <v/>
      </c>
      <c r="AF1836" s="13" t="inlineStr">
        <is>
          <t>Supply Management &gt; Exhibit SM-1 &gt; Total</t>
        </is>
      </c>
      <c r="AG1836" s="7" t="inlineStr">
        <is>
          <t>113</t>
        </is>
      </c>
      <c r="AH1836" s="7" t="inlineStr">
        <is>
          <t>NWCF-Supply</t>
        </is>
      </c>
    </row>
    <row r="1837" ht="10" customHeight="1">
      <c r="A1837" s="7" t="inlineStr">
        <is>
          <t>NWCF</t>
        </is>
      </c>
      <c r="B1837" s="7" t="inlineStr">
        <is>
          <t>Working Capital Fund</t>
        </is>
      </c>
      <c r="D1837" s="7" t="inlineStr">
        <is>
          <t>BP81 NUCLEAR - FY2024</t>
        </is>
      </c>
      <c r="E1837" s="13" t="inlineStr">
        <is>
          <t>[ALT_VIEW]</t>
        </is>
      </c>
      <c r="F1837" s="7" t="inlineStr">
        <is>
          <t>BP81 Ship Repairable and Consumables - Total Obligations</t>
        </is>
      </c>
      <c r="I1837" s="14" t="n">
        <v>6</v>
      </c>
      <c r="K1837" s="15" t="n"/>
      <c r="O1837" s="15" t="n"/>
      <c r="P1837" s="16" t="n">
        <v>124450</v>
      </c>
      <c r="AC1837" s="23">
        <f>IF(OR(E1837="",E1837="[PARENT]"),"ADD",IF(E1837="[ALT_VIEW]","ALT",""))</f>
        <v/>
      </c>
      <c r="AD1837" s="21">
        <f>IF(Y1837&lt;&gt;"",Y1837,IF(U1837&lt;&gt;"",U1837,S1837))</f>
        <v/>
      </c>
      <c r="AE1837" s="21">
        <f>IF(AB1837&lt;&gt;"",AB1837,Z1837)</f>
        <v/>
      </c>
      <c r="AF1837" s="13" t="inlineStr">
        <is>
          <t>Supply Management &gt; Exhibit SM-3b &gt; BP81 &gt; FY2024 &gt; NUCLEAR</t>
        </is>
      </c>
      <c r="AG1837" s="7" t="inlineStr">
        <is>
          <t>121</t>
        </is>
      </c>
      <c r="AH1837" s="7" t="inlineStr">
        <is>
          <t>BP81</t>
        </is>
      </c>
      <c r="AI1837" s="7" t="inlineStr">
        <is>
          <t>NUCLEAR</t>
        </is>
      </c>
      <c r="AJ1837" s="7" t="inlineStr">
        <is>
          <t>NUCLEAR</t>
        </is>
      </c>
    </row>
    <row r="1838" ht="10" customHeight="1">
      <c r="A1838" s="7" t="inlineStr">
        <is>
          <t>NWCF</t>
        </is>
      </c>
      <c r="B1838" s="7" t="inlineStr">
        <is>
          <t>Working Capital Fund</t>
        </is>
      </c>
      <c r="D1838" s="7" t="inlineStr">
        <is>
          <t>BP81 AMPHIBIOUS - FY2024</t>
        </is>
      </c>
      <c r="E1838" s="13" t="inlineStr">
        <is>
          <t>[ALT_VIEW]</t>
        </is>
      </c>
      <c r="F1838" s="7" t="inlineStr">
        <is>
          <t>BP81 Ship Repairable and Consumables - Total Obligations</t>
        </is>
      </c>
      <c r="I1838" s="14" t="n">
        <v>6</v>
      </c>
      <c r="K1838" s="13" t="inlineStr">
        <is>
          <t>USN</t>
        </is>
      </c>
      <c r="L1838" s="7" t="inlineStr">
        <is>
          <t>Combatant Ships</t>
        </is>
      </c>
      <c r="M1838" s="7" t="inlineStr">
        <is>
          <t>Amphibious Warfare Ships</t>
        </is>
      </c>
      <c r="O1838" s="15" t="n"/>
      <c r="P1838" s="16" t="n">
        <v>48800</v>
      </c>
      <c r="AC1838" s="23">
        <f>IF(OR(E1838="",E1838="[PARENT]"),"ADD",IF(E1838="[ALT_VIEW]","ALT",""))</f>
        <v/>
      </c>
      <c r="AD1838" s="21">
        <f>IF(Y1838&lt;&gt;"",Y1838,IF(U1838&lt;&gt;"",U1838,S1838))</f>
        <v/>
      </c>
      <c r="AE1838" s="21">
        <f>IF(AB1838&lt;&gt;"",AB1838,Z1838)</f>
        <v/>
      </c>
      <c r="AF1838" s="13" t="inlineStr">
        <is>
          <t>Supply Management &gt; Exhibit SM-3b &gt; BP81 &gt; FY2024 &gt; AMPHIBIOUS</t>
        </is>
      </c>
      <c r="AG1838" s="7" t="inlineStr">
        <is>
          <t>121</t>
        </is>
      </c>
      <c r="AH1838" s="7" t="inlineStr">
        <is>
          <t>BP81</t>
        </is>
      </c>
      <c r="AI1838" s="7" t="inlineStr">
        <is>
          <t>AMPHIBIOUS</t>
        </is>
      </c>
      <c r="AJ1838" s="7" t="inlineStr">
        <is>
          <t>AMPHIBIOUS</t>
        </is>
      </c>
    </row>
    <row r="1839" ht="10" customHeight="1">
      <c r="A1839" s="7" t="inlineStr">
        <is>
          <t>NWCF</t>
        </is>
      </c>
      <c r="B1839" s="7" t="inlineStr">
        <is>
          <t>Working Capital Fund</t>
        </is>
      </c>
      <c r="D1839" s="7" t="inlineStr">
        <is>
          <t>BP81 COMMON ELECTRONIC - FY2024</t>
        </is>
      </c>
      <c r="E1839" s="13" t="inlineStr">
        <is>
          <t>[ALT_VIEW]</t>
        </is>
      </c>
      <c r="F1839" s="7" t="inlineStr">
        <is>
          <t>BP81 Ship Repairable and Consumables - Total Obligations</t>
        </is>
      </c>
      <c r="I1839" s="14" t="n">
        <v>6</v>
      </c>
      <c r="K1839" s="15" t="n"/>
      <c r="O1839" s="15" t="n"/>
      <c r="P1839" s="16" t="n">
        <v>413120</v>
      </c>
      <c r="AC1839" s="23">
        <f>IF(OR(E1839="",E1839="[PARENT]"),"ADD",IF(E1839="[ALT_VIEW]","ALT",""))</f>
        <v/>
      </c>
      <c r="AD1839" s="21">
        <f>IF(Y1839&lt;&gt;"",Y1839,IF(U1839&lt;&gt;"",U1839,S1839))</f>
        <v/>
      </c>
      <c r="AE1839" s="21">
        <f>IF(AB1839&lt;&gt;"",AB1839,Z1839)</f>
        <v/>
      </c>
      <c r="AF1839" s="13" t="inlineStr">
        <is>
          <t>Supply Management &gt; Exhibit SM-3b &gt; BP81 &gt; FY2024 &gt; COMMON ELECTRONIC</t>
        </is>
      </c>
      <c r="AG1839" s="7" t="inlineStr">
        <is>
          <t>121</t>
        </is>
      </c>
      <c r="AH1839" s="7" t="inlineStr">
        <is>
          <t>BP81</t>
        </is>
      </c>
      <c r="AI1839" s="7" t="inlineStr">
        <is>
          <t>COMMON ELECTRONIC</t>
        </is>
      </c>
      <c r="AJ1839" s="7" t="inlineStr">
        <is>
          <t>COMMON ELECTRONIC</t>
        </is>
      </c>
    </row>
    <row r="1840" ht="10" customHeight="1">
      <c r="A1840" s="7" t="inlineStr">
        <is>
          <t>NWCF</t>
        </is>
      </c>
      <c r="B1840" s="7" t="inlineStr">
        <is>
          <t>Working Capital Fund</t>
        </is>
      </c>
      <c r="D1840" s="7" t="inlineStr">
        <is>
          <t>BP81 COMMON HM&amp;E - FY2024</t>
        </is>
      </c>
      <c r="E1840" s="13" t="inlineStr">
        <is>
          <t>[ALT_VIEW]</t>
        </is>
      </c>
      <c r="F1840" s="7" t="inlineStr">
        <is>
          <t>BP81 Ship Repairable and Consumables - Total Obligations</t>
        </is>
      </c>
      <c r="I1840" s="14" t="n">
        <v>6</v>
      </c>
      <c r="K1840" s="15" t="n"/>
      <c r="O1840" s="15" t="n"/>
      <c r="P1840" s="16" t="n">
        <v>306790</v>
      </c>
      <c r="AC1840" s="23">
        <f>IF(OR(E1840="",E1840="[PARENT]"),"ADD",IF(E1840="[ALT_VIEW]","ALT",""))</f>
        <v/>
      </c>
      <c r="AD1840" s="21">
        <f>IF(Y1840&lt;&gt;"",Y1840,IF(U1840&lt;&gt;"",U1840,S1840))</f>
        <v/>
      </c>
      <c r="AE1840" s="21">
        <f>IF(AB1840&lt;&gt;"",AB1840,Z1840)</f>
        <v/>
      </c>
      <c r="AF1840" s="13" t="inlineStr">
        <is>
          <t>Supply Management &gt; Exhibit SM-3b &gt; BP81 &gt; FY2024 &gt; COMMON HM&amp;E</t>
        </is>
      </c>
      <c r="AG1840" s="7" t="inlineStr">
        <is>
          <t>121</t>
        </is>
      </c>
      <c r="AH1840" s="7" t="inlineStr">
        <is>
          <t>BP81</t>
        </is>
      </c>
      <c r="AI1840" s="7" t="inlineStr">
        <is>
          <t>COMMON HM&amp;E</t>
        </is>
      </c>
      <c r="AJ1840" s="7" t="inlineStr">
        <is>
          <t>COMMON HM&amp;E</t>
        </is>
      </c>
    </row>
    <row r="1841" ht="10" customHeight="1">
      <c r="A1841" s="7" t="inlineStr">
        <is>
          <t>NWCF</t>
        </is>
      </c>
      <c r="B1841" s="7" t="inlineStr">
        <is>
          <t>Working Capital Fund</t>
        </is>
      </c>
      <c r="D1841" s="7" t="inlineStr">
        <is>
          <t>BP81 CRUDES - FY2024</t>
        </is>
      </c>
      <c r="E1841" s="13" t="inlineStr">
        <is>
          <t>[ALT_VIEW]</t>
        </is>
      </c>
      <c r="F1841" s="7" t="inlineStr">
        <is>
          <t>BP81 Ship Repairable and Consumables - Total Obligations</t>
        </is>
      </c>
      <c r="I1841" s="14" t="n">
        <v>6</v>
      </c>
      <c r="K1841" s="13" t="inlineStr">
        <is>
          <t>USN</t>
        </is>
      </c>
      <c r="L1841" s="7" t="inlineStr">
        <is>
          <t>Combatant Ships</t>
        </is>
      </c>
      <c r="M1841" s="7" t="inlineStr">
        <is>
          <t>Surface Combatants</t>
        </is>
      </c>
      <c r="O1841" s="15" t="n"/>
      <c r="P1841" s="16" t="n">
        <v>503860</v>
      </c>
      <c r="AC1841" s="23">
        <f>IF(OR(E1841="",E1841="[PARENT]"),"ADD",IF(E1841="[ALT_VIEW]","ALT",""))</f>
        <v/>
      </c>
      <c r="AD1841" s="21">
        <f>IF(Y1841&lt;&gt;"",Y1841,IF(U1841&lt;&gt;"",U1841,S1841))</f>
        <v/>
      </c>
      <c r="AE1841" s="21">
        <f>IF(AB1841&lt;&gt;"",AB1841,Z1841)</f>
        <v/>
      </c>
      <c r="AF1841" s="13" t="inlineStr">
        <is>
          <t>Supply Management &gt; Exhibit SM-3b &gt; BP81 &gt; FY2024 &gt; CRUDES</t>
        </is>
      </c>
      <c r="AG1841" s="7" t="inlineStr">
        <is>
          <t>121</t>
        </is>
      </c>
      <c r="AH1841" s="7" t="inlineStr">
        <is>
          <t>BP81</t>
        </is>
      </c>
      <c r="AI1841" s="7" t="inlineStr">
        <is>
          <t>CRUDES</t>
        </is>
      </c>
      <c r="AJ1841" s="7" t="inlineStr">
        <is>
          <t>CRUDES</t>
        </is>
      </c>
    </row>
    <row r="1842" ht="10" customHeight="1">
      <c r="A1842" s="7" t="inlineStr">
        <is>
          <t>NWCF</t>
        </is>
      </c>
      <c r="B1842" s="7" t="inlineStr">
        <is>
          <t>Working Capital Fund</t>
        </is>
      </c>
      <c r="D1842" s="7" t="inlineStr">
        <is>
          <t>BP81 CVN - FY2024</t>
        </is>
      </c>
      <c r="E1842" s="13" t="inlineStr">
        <is>
          <t>[ALT_VIEW]</t>
        </is>
      </c>
      <c r="F1842" s="7" t="inlineStr">
        <is>
          <t>BP81 Ship Repairable and Consumables - Total Obligations</t>
        </is>
      </c>
      <c r="I1842" s="14" t="n">
        <v>6</v>
      </c>
      <c r="K1842" s="13" t="inlineStr">
        <is>
          <t>USN</t>
        </is>
      </c>
      <c r="L1842" s="7" t="inlineStr">
        <is>
          <t>Combatant Ships</t>
        </is>
      </c>
      <c r="M1842" s="7" t="inlineStr">
        <is>
          <t>Aircraft Carriers</t>
        </is>
      </c>
      <c r="O1842" s="15" t="n"/>
      <c r="P1842" s="16" t="n">
        <v>66900</v>
      </c>
      <c r="AC1842" s="23">
        <f>IF(OR(E1842="",E1842="[PARENT]"),"ADD",IF(E1842="[ALT_VIEW]","ALT",""))</f>
        <v/>
      </c>
      <c r="AD1842" s="21">
        <f>IF(Y1842&lt;&gt;"",Y1842,IF(U1842&lt;&gt;"",U1842,S1842))</f>
        <v/>
      </c>
      <c r="AE1842" s="21">
        <f>IF(AB1842&lt;&gt;"",AB1842,Z1842)</f>
        <v/>
      </c>
      <c r="AF1842" s="13" t="inlineStr">
        <is>
          <t>Supply Management &gt; Exhibit SM-3b &gt; BP81 &gt; FY2024 &gt; CVN</t>
        </is>
      </c>
      <c r="AG1842" s="7" t="inlineStr">
        <is>
          <t>121</t>
        </is>
      </c>
      <c r="AH1842" s="7" t="inlineStr">
        <is>
          <t>BP81</t>
        </is>
      </c>
      <c r="AI1842" s="7" t="inlineStr">
        <is>
          <t>CVN</t>
        </is>
      </c>
      <c r="AJ1842" s="7" t="inlineStr">
        <is>
          <t>CVN</t>
        </is>
      </c>
    </row>
    <row r="1843" ht="10" customHeight="1">
      <c r="A1843" s="7" t="inlineStr">
        <is>
          <t>NWCF</t>
        </is>
      </c>
      <c r="B1843" s="7" t="inlineStr">
        <is>
          <t>Working Capital Fund</t>
        </is>
      </c>
      <c r="D1843" s="7" t="inlineStr">
        <is>
          <t>BP81 EXPEDITIONARY - FY2024</t>
        </is>
      </c>
      <c r="E1843" s="13" t="inlineStr">
        <is>
          <t>[ALT_VIEW]</t>
        </is>
      </c>
      <c r="F1843" s="7" t="inlineStr">
        <is>
          <t>BP81 Ship Repairable and Consumables - Total Obligations</t>
        </is>
      </c>
      <c r="I1843" s="14" t="n">
        <v>6</v>
      </c>
      <c r="K1843" s="13" t="inlineStr">
        <is>
          <t>USN</t>
        </is>
      </c>
      <c r="L1843" s="7" t="inlineStr">
        <is>
          <t>Combatant Ships</t>
        </is>
      </c>
      <c r="M1843" s="7" t="inlineStr">
        <is>
          <t>Expeditionary &amp; Seabasing Ships</t>
        </is>
      </c>
      <c r="O1843" s="15" t="n"/>
      <c r="P1843" s="16" t="n">
        <v>21230</v>
      </c>
      <c r="AC1843" s="23">
        <f>IF(OR(E1843="",E1843="[PARENT]"),"ADD",IF(E1843="[ALT_VIEW]","ALT",""))</f>
        <v/>
      </c>
      <c r="AD1843" s="21">
        <f>IF(Y1843&lt;&gt;"",Y1843,IF(U1843&lt;&gt;"",U1843,S1843))</f>
        <v/>
      </c>
      <c r="AE1843" s="21">
        <f>IF(AB1843&lt;&gt;"",AB1843,Z1843)</f>
        <v/>
      </c>
      <c r="AF1843" s="13" t="inlineStr">
        <is>
          <t>Supply Management &gt; Exhibit SM-3b &gt; BP81 &gt; FY2024 &gt; EXPEDITIONARY</t>
        </is>
      </c>
      <c r="AG1843" s="7" t="inlineStr">
        <is>
          <t>121</t>
        </is>
      </c>
      <c r="AH1843" s="7" t="inlineStr">
        <is>
          <t>BP81</t>
        </is>
      </c>
      <c r="AI1843" s="7" t="inlineStr">
        <is>
          <t>EXPEDITIONARY</t>
        </is>
      </c>
      <c r="AJ1843" s="7" t="inlineStr">
        <is>
          <t>EXPEDITIONARY</t>
        </is>
      </c>
    </row>
    <row r="1844" ht="10" customHeight="1">
      <c r="A1844" s="7" t="inlineStr">
        <is>
          <t>NWCF</t>
        </is>
      </c>
      <c r="B1844" s="7" t="inlineStr">
        <is>
          <t>Working Capital Fund</t>
        </is>
      </c>
      <c r="D1844" s="7" t="inlineStr">
        <is>
          <t>BP81 UM&amp;SC - FY2024</t>
        </is>
      </c>
      <c r="E1844" s="13" t="inlineStr">
        <is>
          <t>[ALT_VIEW]</t>
        </is>
      </c>
      <c r="F1844" s="7" t="inlineStr">
        <is>
          <t>BP81 Ship Repairable and Consumables - Total Obligations</t>
        </is>
      </c>
      <c r="I1844" s="14" t="n">
        <v>6</v>
      </c>
      <c r="K1844" s="15" t="n"/>
      <c r="O1844" s="15" t="n"/>
      <c r="P1844" s="16" t="n">
        <v>41840</v>
      </c>
      <c r="AC1844" s="23">
        <f>IF(OR(E1844="",E1844="[PARENT]"),"ADD",IF(E1844="[ALT_VIEW]","ALT",""))</f>
        <v/>
      </c>
      <c r="AD1844" s="21">
        <f>IF(Y1844&lt;&gt;"",Y1844,IF(U1844&lt;&gt;"",U1844,S1844))</f>
        <v/>
      </c>
      <c r="AE1844" s="21">
        <f>IF(AB1844&lt;&gt;"",AB1844,Z1844)</f>
        <v/>
      </c>
      <c r="AF1844" s="13" t="inlineStr">
        <is>
          <t>Supply Management &gt; Exhibit SM-3b &gt; BP81 &gt; FY2024 &gt; UM&amp;SC</t>
        </is>
      </c>
      <c r="AG1844" s="7" t="inlineStr">
        <is>
          <t>121</t>
        </is>
      </c>
      <c r="AH1844" s="7" t="inlineStr">
        <is>
          <t>BP81</t>
        </is>
      </c>
      <c r="AI1844" s="7" t="inlineStr">
        <is>
          <t>UM&amp;SC</t>
        </is>
      </c>
      <c r="AJ1844" s="7" t="inlineStr">
        <is>
          <t>UM&amp;SC</t>
        </is>
      </c>
    </row>
    <row r="1845" ht="10" customHeight="1">
      <c r="A1845" s="7" t="inlineStr">
        <is>
          <t>NWCF</t>
        </is>
      </c>
      <c r="B1845" s="7" t="inlineStr">
        <is>
          <t>Working Capital Fund</t>
        </is>
      </c>
      <c r="D1845" s="7" t="inlineStr">
        <is>
          <t>BP81 L1 ASDS DSSP - FY2024</t>
        </is>
      </c>
      <c r="E1845" s="13" t="inlineStr">
        <is>
          <t>[ALT_VIEW]</t>
        </is>
      </c>
      <c r="F1845" s="7" t="inlineStr">
        <is>
          <t>BP81 Ship Repairable and Consumables - Total Obligations</t>
        </is>
      </c>
      <c r="I1845" s="14" t="n">
        <v>6</v>
      </c>
      <c r="K1845" s="13" t="inlineStr">
        <is>
          <t>USN</t>
        </is>
      </c>
      <c r="L1845" s="7" t="inlineStr">
        <is>
          <t>Combatant Ships</t>
        </is>
      </c>
      <c r="M1845" s="7" t="inlineStr">
        <is>
          <t>Submarines</t>
        </is>
      </c>
      <c r="O1845" s="15" t="n"/>
      <c r="P1845" s="16" t="n">
        <v>242380</v>
      </c>
      <c r="AC1845" s="23">
        <f>IF(OR(E1845="",E1845="[PARENT]"),"ADD",IF(E1845="[ALT_VIEW]","ALT",""))</f>
        <v/>
      </c>
      <c r="AD1845" s="21">
        <f>IF(Y1845&lt;&gt;"",Y1845,IF(U1845&lt;&gt;"",U1845,S1845))</f>
        <v/>
      </c>
      <c r="AE1845" s="21">
        <f>IF(AB1845&lt;&gt;"",AB1845,Z1845)</f>
        <v/>
      </c>
      <c r="AF1845" s="13" t="inlineStr">
        <is>
          <t>Supply Management &gt; Exhibit SM-3b &gt; BP81 &gt; FY2024 &gt; L1 ASDS DSSP</t>
        </is>
      </c>
      <c r="AG1845" s="7" t="inlineStr">
        <is>
          <t>121</t>
        </is>
      </c>
      <c r="AH1845" s="7" t="inlineStr">
        <is>
          <t>BP81</t>
        </is>
      </c>
      <c r="AI1845" s="7" t="inlineStr">
        <is>
          <t>L1 ASDS DSSP</t>
        </is>
      </c>
      <c r="AJ1845" s="7" t="inlineStr">
        <is>
          <t>L1 ASDS DSSP</t>
        </is>
      </c>
    </row>
    <row r="1846" ht="10" customHeight="1">
      <c r="A1846" s="7" t="inlineStr">
        <is>
          <t>NWCF</t>
        </is>
      </c>
      <c r="B1846" s="7" t="inlineStr">
        <is>
          <t>Working Capital Fund</t>
        </is>
      </c>
      <c r="D1846" s="7" t="inlineStr">
        <is>
          <t>BP81 SUBMARINE - FY2024</t>
        </is>
      </c>
      <c r="E1846" s="13" t="inlineStr">
        <is>
          <t>[ALT_VIEW]</t>
        </is>
      </c>
      <c r="F1846" s="7" t="inlineStr">
        <is>
          <t>BP81 Ship Repairable and Consumables - Total Obligations</t>
        </is>
      </c>
      <c r="I1846" s="14" t="n">
        <v>6</v>
      </c>
      <c r="K1846" s="13" t="inlineStr">
        <is>
          <t>USN</t>
        </is>
      </c>
      <c r="L1846" s="7" t="inlineStr">
        <is>
          <t>Combatant Ships</t>
        </is>
      </c>
      <c r="M1846" s="7" t="inlineStr">
        <is>
          <t>Submarines</t>
        </is>
      </c>
      <c r="O1846" s="15" t="n"/>
      <c r="P1846" s="16" t="n">
        <v>382740</v>
      </c>
      <c r="AC1846" s="23">
        <f>IF(OR(E1846="",E1846="[PARENT]"),"ADD",IF(E1846="[ALT_VIEW]","ALT",""))</f>
        <v/>
      </c>
      <c r="AD1846" s="21">
        <f>IF(Y1846&lt;&gt;"",Y1846,IF(U1846&lt;&gt;"",U1846,S1846))</f>
        <v/>
      </c>
      <c r="AE1846" s="21">
        <f>IF(AB1846&lt;&gt;"",AB1846,Z1846)</f>
        <v/>
      </c>
      <c r="AF1846" s="13" t="inlineStr">
        <is>
          <t>Supply Management &gt; Exhibit SM-3b &gt; BP81 &gt; FY2024 &gt; SUBMARINE</t>
        </is>
      </c>
      <c r="AG1846" s="7" t="inlineStr">
        <is>
          <t>121</t>
        </is>
      </c>
      <c r="AH1846" s="7" t="inlineStr">
        <is>
          <t>BP81</t>
        </is>
      </c>
      <c r="AI1846" s="7" t="inlineStr">
        <is>
          <t>SUBMARINE</t>
        </is>
      </c>
      <c r="AJ1846" s="7" t="inlineStr">
        <is>
          <t>SUBMARINE</t>
        </is>
      </c>
    </row>
    <row r="1847" ht="10" customHeight="1">
      <c r="A1847" s="7" t="inlineStr">
        <is>
          <t>NWCF</t>
        </is>
      </c>
      <c r="B1847" s="7" t="inlineStr">
        <is>
          <t>Working Capital Fund</t>
        </is>
      </c>
      <c r="D1847" s="7" t="inlineStr">
        <is>
          <t>BP81 Total - FY2024</t>
        </is>
      </c>
      <c r="E1847" s="13" t="inlineStr">
        <is>
          <t>[PARENT]</t>
        </is>
      </c>
      <c r="I1847" s="14" t="n">
        <v>6</v>
      </c>
      <c r="K1847" s="15" t="n"/>
      <c r="O1847" s="15" t="n"/>
      <c r="P1847" s="16" t="n">
        <v>2152110</v>
      </c>
      <c r="AC1847" s="23">
        <f>IF(OR(E1847="",E1847="[PARENT]"),"ADD",IF(E1847="[ALT_VIEW]","ALT",""))</f>
        <v/>
      </c>
      <c r="AD1847" s="21">
        <f>IF(Y1847&lt;&gt;"",Y1847,IF(U1847&lt;&gt;"",U1847,S1847))</f>
        <v/>
      </c>
      <c r="AE1847" s="21">
        <f>IF(AB1847&lt;&gt;"",AB1847,Z1847)</f>
        <v/>
      </c>
      <c r="AF1847" s="13" t="inlineStr">
        <is>
          <t>Supply Management &gt; Exhibit SM-3b &gt; BP81 &gt; FY2024 &gt; Total</t>
        </is>
      </c>
      <c r="AG1847" s="7" t="inlineStr">
        <is>
          <t>121</t>
        </is>
      </c>
      <c r="AH1847" s="7" t="inlineStr">
        <is>
          <t>BP81</t>
        </is>
      </c>
    </row>
    <row r="1848" ht="10" customHeight="1">
      <c r="A1848" s="7" t="inlineStr">
        <is>
          <t>NWCF</t>
        </is>
      </c>
      <c r="B1848" s="7" t="inlineStr">
        <is>
          <t>Working Capital Fund</t>
        </is>
      </c>
      <c r="D1848" s="7" t="inlineStr">
        <is>
          <t>BP81 NUCLEAR - FY2025</t>
        </is>
      </c>
      <c r="E1848" s="13" t="inlineStr">
        <is>
          <t>[ALT_VIEW]</t>
        </is>
      </c>
      <c r="F1848" s="7" t="inlineStr">
        <is>
          <t>BP81 Ship Repairable and Consumables - Total Obligations</t>
        </is>
      </c>
      <c r="I1848" s="14" t="n">
        <v>6</v>
      </c>
      <c r="K1848" s="15" t="n"/>
      <c r="O1848" s="15" t="n"/>
      <c r="Q1848" s="16" t="n">
        <v>129880</v>
      </c>
      <c r="AC1848" s="23">
        <f>IF(OR(E1848="",E1848="[PARENT]"),"ADD",IF(E1848="[ALT_VIEW]","ALT",""))</f>
        <v/>
      </c>
      <c r="AD1848" s="21">
        <f>IF(Y1848&lt;&gt;"",Y1848,IF(U1848&lt;&gt;"",U1848,S1848))</f>
        <v/>
      </c>
      <c r="AE1848" s="21">
        <f>IF(AB1848&lt;&gt;"",AB1848,Z1848)</f>
        <v/>
      </c>
      <c r="AF1848" s="13" t="inlineStr">
        <is>
          <t>Supply Management &gt; Exhibit SM-3b &gt; BP81 &gt; FY2025 &gt; NUCLEAR</t>
        </is>
      </c>
      <c r="AG1848" s="7" t="inlineStr">
        <is>
          <t>122</t>
        </is>
      </c>
      <c r="AH1848" s="7" t="inlineStr">
        <is>
          <t>BP81</t>
        </is>
      </c>
      <c r="AI1848" s="7" t="inlineStr">
        <is>
          <t>NUCLEAR</t>
        </is>
      </c>
      <c r="AJ1848" s="7" t="inlineStr">
        <is>
          <t>NUCLEAR</t>
        </is>
      </c>
    </row>
    <row r="1849" ht="10" customHeight="1">
      <c r="A1849" s="7" t="inlineStr">
        <is>
          <t>NWCF</t>
        </is>
      </c>
      <c r="B1849" s="7" t="inlineStr">
        <is>
          <t>Working Capital Fund</t>
        </is>
      </c>
      <c r="D1849" s="7" t="inlineStr">
        <is>
          <t>BP81 AMPHIBIOUS - FY2025</t>
        </is>
      </c>
      <c r="E1849" s="13" t="inlineStr">
        <is>
          <t>[ALT_VIEW]</t>
        </is>
      </c>
      <c r="F1849" s="7" t="inlineStr">
        <is>
          <t>BP81 Ship Repairable and Consumables - Total Obligations</t>
        </is>
      </c>
      <c r="I1849" s="14" t="n">
        <v>6</v>
      </c>
      <c r="K1849" s="13" t="inlineStr">
        <is>
          <t>USN</t>
        </is>
      </c>
      <c r="L1849" s="7" t="inlineStr">
        <is>
          <t>Combatant Ships</t>
        </is>
      </c>
      <c r="M1849" s="7" t="inlineStr">
        <is>
          <t>Amphibious Warfare Ships</t>
        </is>
      </c>
      <c r="O1849" s="15" t="n"/>
      <c r="Q1849" s="16" t="n">
        <v>15130</v>
      </c>
      <c r="AC1849" s="23">
        <f>IF(OR(E1849="",E1849="[PARENT]"),"ADD",IF(E1849="[ALT_VIEW]","ALT",""))</f>
        <v/>
      </c>
      <c r="AD1849" s="21">
        <f>IF(Y1849&lt;&gt;"",Y1849,IF(U1849&lt;&gt;"",U1849,S1849))</f>
        <v/>
      </c>
      <c r="AE1849" s="21">
        <f>IF(AB1849&lt;&gt;"",AB1849,Z1849)</f>
        <v/>
      </c>
      <c r="AF1849" s="13" t="inlineStr">
        <is>
          <t>Supply Management &gt; Exhibit SM-3b &gt; BP81 &gt; FY2025 &gt; AMPHIBIOUS</t>
        </is>
      </c>
      <c r="AG1849" s="7" t="inlineStr">
        <is>
          <t>122</t>
        </is>
      </c>
      <c r="AH1849" s="7" t="inlineStr">
        <is>
          <t>BP81</t>
        </is>
      </c>
      <c r="AI1849" s="7" t="inlineStr">
        <is>
          <t>AMPHIBIOUS</t>
        </is>
      </c>
      <c r="AJ1849" s="7" t="inlineStr">
        <is>
          <t>AMPHIBIOUS</t>
        </is>
      </c>
    </row>
    <row r="1850" ht="10" customHeight="1">
      <c r="A1850" s="7" t="inlineStr">
        <is>
          <t>NWCF</t>
        </is>
      </c>
      <c r="B1850" s="7" t="inlineStr">
        <is>
          <t>Working Capital Fund</t>
        </is>
      </c>
      <c r="D1850" s="7" t="inlineStr">
        <is>
          <t>BP81 COMMON ELECTRONIC - FY2025</t>
        </is>
      </c>
      <c r="E1850" s="13" t="inlineStr">
        <is>
          <t>[ALT_VIEW]</t>
        </is>
      </c>
      <c r="F1850" s="7" t="inlineStr">
        <is>
          <t>BP81 Ship Repairable and Consumables - Total Obligations</t>
        </is>
      </c>
      <c r="I1850" s="14" t="n">
        <v>6</v>
      </c>
      <c r="K1850" s="15" t="n"/>
      <c r="O1850" s="15" t="n"/>
      <c r="Q1850" s="16" t="n">
        <v>341330</v>
      </c>
      <c r="AC1850" s="23">
        <f>IF(OR(E1850="",E1850="[PARENT]"),"ADD",IF(E1850="[ALT_VIEW]","ALT",""))</f>
        <v/>
      </c>
      <c r="AD1850" s="21">
        <f>IF(Y1850&lt;&gt;"",Y1850,IF(U1850&lt;&gt;"",U1850,S1850))</f>
        <v/>
      </c>
      <c r="AE1850" s="21">
        <f>IF(AB1850&lt;&gt;"",AB1850,Z1850)</f>
        <v/>
      </c>
      <c r="AF1850" s="13" t="inlineStr">
        <is>
          <t>Supply Management &gt; Exhibit SM-3b &gt; BP81 &gt; FY2025 &gt; COMMON ELECTRONIC</t>
        </is>
      </c>
      <c r="AG1850" s="7" t="inlineStr">
        <is>
          <t>122</t>
        </is>
      </c>
      <c r="AH1850" s="7" t="inlineStr">
        <is>
          <t>BP81</t>
        </is>
      </c>
      <c r="AI1850" s="7" t="inlineStr">
        <is>
          <t>COMMON ELECTRONIC</t>
        </is>
      </c>
      <c r="AJ1850" s="7" t="inlineStr">
        <is>
          <t>COMMON ELECTRONIC</t>
        </is>
      </c>
    </row>
    <row r="1851" ht="10" customHeight="1">
      <c r="A1851" s="7" t="inlineStr">
        <is>
          <t>NWCF</t>
        </is>
      </c>
      <c r="B1851" s="7" t="inlineStr">
        <is>
          <t>Working Capital Fund</t>
        </is>
      </c>
      <c r="D1851" s="7" t="inlineStr">
        <is>
          <t>BP81 COMMON HM&amp;E - FY2025</t>
        </is>
      </c>
      <c r="E1851" s="13" t="inlineStr">
        <is>
          <t>[ALT_VIEW]</t>
        </is>
      </c>
      <c r="F1851" s="7" t="inlineStr">
        <is>
          <t>BP81 Ship Repairable and Consumables - Total Obligations</t>
        </is>
      </c>
      <c r="I1851" s="14" t="n">
        <v>6</v>
      </c>
      <c r="K1851" s="15" t="n"/>
      <c r="O1851" s="15" t="n"/>
      <c r="Q1851" s="16" t="n">
        <v>139960</v>
      </c>
      <c r="AC1851" s="23">
        <f>IF(OR(E1851="",E1851="[PARENT]"),"ADD",IF(E1851="[ALT_VIEW]","ALT",""))</f>
        <v/>
      </c>
      <c r="AD1851" s="21">
        <f>IF(Y1851&lt;&gt;"",Y1851,IF(U1851&lt;&gt;"",U1851,S1851))</f>
        <v/>
      </c>
      <c r="AE1851" s="21">
        <f>IF(AB1851&lt;&gt;"",AB1851,Z1851)</f>
        <v/>
      </c>
      <c r="AF1851" s="13" t="inlineStr">
        <is>
          <t>Supply Management &gt; Exhibit SM-3b &gt; BP81 &gt; FY2025 &gt; COMMON HM&amp;E</t>
        </is>
      </c>
      <c r="AG1851" s="7" t="inlineStr">
        <is>
          <t>122</t>
        </is>
      </c>
      <c r="AH1851" s="7" t="inlineStr">
        <is>
          <t>BP81</t>
        </is>
      </c>
      <c r="AI1851" s="7" t="inlineStr">
        <is>
          <t>COMMON HM&amp;E</t>
        </is>
      </c>
      <c r="AJ1851" s="7" t="inlineStr">
        <is>
          <t>COMMON HM&amp;E</t>
        </is>
      </c>
    </row>
    <row r="1852" ht="10" customHeight="1">
      <c r="A1852" s="7" t="inlineStr">
        <is>
          <t>NWCF</t>
        </is>
      </c>
      <c r="B1852" s="7" t="inlineStr">
        <is>
          <t>Working Capital Fund</t>
        </is>
      </c>
      <c r="D1852" s="7" t="inlineStr">
        <is>
          <t>BP81 CRUDES - FY2025</t>
        </is>
      </c>
      <c r="E1852" s="13" t="inlineStr">
        <is>
          <t>[ALT_VIEW]</t>
        </is>
      </c>
      <c r="F1852" s="7" t="inlineStr">
        <is>
          <t>BP81 Ship Repairable and Consumables - Total Obligations</t>
        </is>
      </c>
      <c r="I1852" s="14" t="n">
        <v>6</v>
      </c>
      <c r="K1852" s="13" t="inlineStr">
        <is>
          <t>USN</t>
        </is>
      </c>
      <c r="L1852" s="7" t="inlineStr">
        <is>
          <t>Combatant Ships</t>
        </is>
      </c>
      <c r="M1852" s="7" t="inlineStr">
        <is>
          <t>Surface Combatants</t>
        </is>
      </c>
      <c r="O1852" s="15" t="n"/>
      <c r="Q1852" s="16" t="n">
        <v>833020</v>
      </c>
      <c r="AC1852" s="23">
        <f>IF(OR(E1852="",E1852="[PARENT]"),"ADD",IF(E1852="[ALT_VIEW]","ALT",""))</f>
        <v/>
      </c>
      <c r="AD1852" s="21">
        <f>IF(Y1852&lt;&gt;"",Y1852,IF(U1852&lt;&gt;"",U1852,S1852))</f>
        <v/>
      </c>
      <c r="AE1852" s="21">
        <f>IF(AB1852&lt;&gt;"",AB1852,Z1852)</f>
        <v/>
      </c>
      <c r="AF1852" s="13" t="inlineStr">
        <is>
          <t>Supply Management &gt; Exhibit SM-3b &gt; BP81 &gt; FY2025 &gt; CRUDES</t>
        </is>
      </c>
      <c r="AG1852" s="7" t="inlineStr">
        <is>
          <t>122</t>
        </is>
      </c>
      <c r="AH1852" s="7" t="inlineStr">
        <is>
          <t>BP81</t>
        </is>
      </c>
      <c r="AI1852" s="7" t="inlineStr">
        <is>
          <t>CRUDES</t>
        </is>
      </c>
      <c r="AJ1852" s="7" t="inlineStr">
        <is>
          <t>CRUDES</t>
        </is>
      </c>
    </row>
    <row r="1853" ht="10" customHeight="1">
      <c r="A1853" s="7" t="inlineStr">
        <is>
          <t>NWCF</t>
        </is>
      </c>
      <c r="B1853" s="7" t="inlineStr">
        <is>
          <t>Working Capital Fund</t>
        </is>
      </c>
      <c r="D1853" s="7" t="inlineStr">
        <is>
          <t>BP81 CVN - FY2025</t>
        </is>
      </c>
      <c r="E1853" s="13" t="inlineStr">
        <is>
          <t>[ALT_VIEW]</t>
        </is>
      </c>
      <c r="F1853" s="7" t="inlineStr">
        <is>
          <t>BP81 Ship Repairable and Consumables - Total Obligations</t>
        </is>
      </c>
      <c r="I1853" s="14" t="n">
        <v>6</v>
      </c>
      <c r="K1853" s="13" t="inlineStr">
        <is>
          <t>USN</t>
        </is>
      </c>
      <c r="L1853" s="7" t="inlineStr">
        <is>
          <t>Combatant Ships</t>
        </is>
      </c>
      <c r="M1853" s="7" t="inlineStr">
        <is>
          <t>Aircraft Carriers</t>
        </is>
      </c>
      <c r="O1853" s="15" t="n"/>
      <c r="Q1853" s="16" t="n">
        <v>54100</v>
      </c>
      <c r="AC1853" s="23">
        <f>IF(OR(E1853="",E1853="[PARENT]"),"ADD",IF(E1853="[ALT_VIEW]","ALT",""))</f>
        <v/>
      </c>
      <c r="AD1853" s="21">
        <f>IF(Y1853&lt;&gt;"",Y1853,IF(U1853&lt;&gt;"",U1853,S1853))</f>
        <v/>
      </c>
      <c r="AE1853" s="21">
        <f>IF(AB1853&lt;&gt;"",AB1853,Z1853)</f>
        <v/>
      </c>
      <c r="AF1853" s="13" t="inlineStr">
        <is>
          <t>Supply Management &gt; Exhibit SM-3b &gt; BP81 &gt; FY2025 &gt; CVN</t>
        </is>
      </c>
      <c r="AG1853" s="7" t="inlineStr">
        <is>
          <t>122</t>
        </is>
      </c>
      <c r="AH1853" s="7" t="inlineStr">
        <is>
          <t>BP81</t>
        </is>
      </c>
      <c r="AI1853" s="7" t="inlineStr">
        <is>
          <t>CVN</t>
        </is>
      </c>
      <c r="AJ1853" s="7" t="inlineStr">
        <is>
          <t>CVN</t>
        </is>
      </c>
    </row>
    <row r="1854" ht="10" customHeight="1">
      <c r="A1854" s="7" t="inlineStr">
        <is>
          <t>NWCF</t>
        </is>
      </c>
      <c r="B1854" s="7" t="inlineStr">
        <is>
          <t>Working Capital Fund</t>
        </is>
      </c>
      <c r="D1854" s="7" t="inlineStr">
        <is>
          <t>BP81 EXPEDITIONARY - FY2025</t>
        </is>
      </c>
      <c r="E1854" s="13" t="inlineStr">
        <is>
          <t>[ALT_VIEW]</t>
        </is>
      </c>
      <c r="F1854" s="7" t="inlineStr">
        <is>
          <t>BP81 Ship Repairable and Consumables - Total Obligations</t>
        </is>
      </c>
      <c r="I1854" s="14" t="n">
        <v>6</v>
      </c>
      <c r="K1854" s="13" t="inlineStr">
        <is>
          <t>USN</t>
        </is>
      </c>
      <c r="L1854" s="7" t="inlineStr">
        <is>
          <t>Combatant Ships</t>
        </is>
      </c>
      <c r="M1854" s="7" t="inlineStr">
        <is>
          <t>Expeditionary &amp; Seabasing Ships</t>
        </is>
      </c>
      <c r="O1854" s="15" t="n"/>
      <c r="Q1854" s="16" t="n">
        <v>21830</v>
      </c>
      <c r="AC1854" s="23">
        <f>IF(OR(E1854="",E1854="[PARENT]"),"ADD",IF(E1854="[ALT_VIEW]","ALT",""))</f>
        <v/>
      </c>
      <c r="AD1854" s="21">
        <f>IF(Y1854&lt;&gt;"",Y1854,IF(U1854&lt;&gt;"",U1854,S1854))</f>
        <v/>
      </c>
      <c r="AE1854" s="21">
        <f>IF(AB1854&lt;&gt;"",AB1854,Z1854)</f>
        <v/>
      </c>
      <c r="AF1854" s="13" t="inlineStr">
        <is>
          <t>Supply Management &gt; Exhibit SM-3b &gt; BP81 &gt; FY2025 &gt; EXPEDITIONARY</t>
        </is>
      </c>
      <c r="AG1854" s="7" t="inlineStr">
        <is>
          <t>122</t>
        </is>
      </c>
      <c r="AH1854" s="7" t="inlineStr">
        <is>
          <t>BP81</t>
        </is>
      </c>
      <c r="AI1854" s="7" t="inlineStr">
        <is>
          <t>EXPEDITIONARY</t>
        </is>
      </c>
      <c r="AJ1854" s="7" t="inlineStr">
        <is>
          <t>EXPEDITIONARY</t>
        </is>
      </c>
    </row>
    <row r="1855" ht="10" customHeight="1">
      <c r="A1855" s="7" t="inlineStr">
        <is>
          <t>NWCF</t>
        </is>
      </c>
      <c r="B1855" s="7" t="inlineStr">
        <is>
          <t>Working Capital Fund</t>
        </is>
      </c>
      <c r="D1855" s="7" t="inlineStr">
        <is>
          <t>BP81 UM&amp;SC - FY2025</t>
        </is>
      </c>
      <c r="E1855" s="13" t="inlineStr">
        <is>
          <t>[ALT_VIEW]</t>
        </is>
      </c>
      <c r="F1855" s="7" t="inlineStr">
        <is>
          <t>BP81 Ship Repairable and Consumables - Total Obligations</t>
        </is>
      </c>
      <c r="I1855" s="14" t="n">
        <v>6</v>
      </c>
      <c r="K1855" s="15" t="n"/>
      <c r="O1855" s="15" t="n"/>
      <c r="Q1855" s="16" t="n">
        <v>41010</v>
      </c>
      <c r="AC1855" s="23">
        <f>IF(OR(E1855="",E1855="[PARENT]"),"ADD",IF(E1855="[ALT_VIEW]","ALT",""))</f>
        <v/>
      </c>
      <c r="AD1855" s="21">
        <f>IF(Y1855&lt;&gt;"",Y1855,IF(U1855&lt;&gt;"",U1855,S1855))</f>
        <v/>
      </c>
      <c r="AE1855" s="21">
        <f>IF(AB1855&lt;&gt;"",AB1855,Z1855)</f>
        <v/>
      </c>
      <c r="AF1855" s="13" t="inlineStr">
        <is>
          <t>Supply Management &gt; Exhibit SM-3b &gt; BP81 &gt; FY2025 &gt; UM&amp;SC</t>
        </is>
      </c>
      <c r="AG1855" s="7" t="inlineStr">
        <is>
          <t>122</t>
        </is>
      </c>
      <c r="AH1855" s="7" t="inlineStr">
        <is>
          <t>BP81</t>
        </is>
      </c>
      <c r="AI1855" s="7" t="inlineStr">
        <is>
          <t>UM&amp;SC</t>
        </is>
      </c>
      <c r="AJ1855" s="7" t="inlineStr">
        <is>
          <t>UM&amp;SC</t>
        </is>
      </c>
    </row>
    <row r="1856" ht="10" customHeight="1">
      <c r="A1856" s="7" t="inlineStr">
        <is>
          <t>NWCF</t>
        </is>
      </c>
      <c r="B1856" s="7" t="inlineStr">
        <is>
          <t>Working Capital Fund</t>
        </is>
      </c>
      <c r="D1856" s="7" t="inlineStr">
        <is>
          <t>BP81 L1 ASDS DSSP - FY2025</t>
        </is>
      </c>
      <c r="E1856" s="13" t="inlineStr">
        <is>
          <t>[ALT_VIEW]</t>
        </is>
      </c>
      <c r="F1856" s="7" t="inlineStr">
        <is>
          <t>BP81 Ship Repairable and Consumables - Total Obligations</t>
        </is>
      </c>
      <c r="I1856" s="14" t="n">
        <v>6</v>
      </c>
      <c r="K1856" s="13" t="inlineStr">
        <is>
          <t>USN</t>
        </is>
      </c>
      <c r="L1856" s="7" t="inlineStr">
        <is>
          <t>Combatant Ships</t>
        </is>
      </c>
      <c r="M1856" s="7" t="inlineStr">
        <is>
          <t>Submarines</t>
        </is>
      </c>
      <c r="O1856" s="15" t="n"/>
      <c r="Q1856" s="16" t="n">
        <v>309200</v>
      </c>
      <c r="AC1856" s="23">
        <f>IF(OR(E1856="",E1856="[PARENT]"),"ADD",IF(E1856="[ALT_VIEW]","ALT",""))</f>
        <v/>
      </c>
      <c r="AD1856" s="21">
        <f>IF(Y1856&lt;&gt;"",Y1856,IF(U1856&lt;&gt;"",U1856,S1856))</f>
        <v/>
      </c>
      <c r="AE1856" s="21">
        <f>IF(AB1856&lt;&gt;"",AB1856,Z1856)</f>
        <v/>
      </c>
      <c r="AF1856" s="13" t="inlineStr">
        <is>
          <t>Supply Management &gt; Exhibit SM-3b &gt; BP81 &gt; FY2025 &gt; L1 ASDS DSSP</t>
        </is>
      </c>
      <c r="AG1856" s="7" t="inlineStr">
        <is>
          <t>122</t>
        </is>
      </c>
      <c r="AH1856" s="7" t="inlineStr">
        <is>
          <t>BP81</t>
        </is>
      </c>
      <c r="AI1856" s="7" t="inlineStr">
        <is>
          <t>L1 ASDS DSSP</t>
        </is>
      </c>
      <c r="AJ1856" s="7" t="inlineStr">
        <is>
          <t>L1 ASDS DSSP</t>
        </is>
      </c>
    </row>
    <row r="1857" ht="10" customHeight="1">
      <c r="A1857" s="7" t="inlineStr">
        <is>
          <t>NWCF</t>
        </is>
      </c>
      <c r="B1857" s="7" t="inlineStr">
        <is>
          <t>Working Capital Fund</t>
        </is>
      </c>
      <c r="D1857" s="7" t="inlineStr">
        <is>
          <t>BP81 SUBMARINE - FY2025</t>
        </is>
      </c>
      <c r="E1857" s="13" t="inlineStr">
        <is>
          <t>[ALT_VIEW]</t>
        </is>
      </c>
      <c r="F1857" s="7" t="inlineStr">
        <is>
          <t>BP81 Ship Repairable and Consumables - Total Obligations</t>
        </is>
      </c>
      <c r="I1857" s="14" t="n">
        <v>6</v>
      </c>
      <c r="K1857" s="13" t="inlineStr">
        <is>
          <t>USN</t>
        </is>
      </c>
      <c r="L1857" s="7" t="inlineStr">
        <is>
          <t>Combatant Ships</t>
        </is>
      </c>
      <c r="M1857" s="7" t="inlineStr">
        <is>
          <t>Submarines</t>
        </is>
      </c>
      <c r="O1857" s="15" t="n"/>
      <c r="Q1857" s="16" t="n">
        <v>447480</v>
      </c>
      <c r="AC1857" s="23">
        <f>IF(OR(E1857="",E1857="[PARENT]"),"ADD",IF(E1857="[ALT_VIEW]","ALT",""))</f>
        <v/>
      </c>
      <c r="AD1857" s="21">
        <f>IF(Y1857&lt;&gt;"",Y1857,IF(U1857&lt;&gt;"",U1857,S1857))</f>
        <v/>
      </c>
      <c r="AE1857" s="21">
        <f>IF(AB1857&lt;&gt;"",AB1857,Z1857)</f>
        <v/>
      </c>
      <c r="AF1857" s="13" t="inlineStr">
        <is>
          <t>Supply Management &gt; Exhibit SM-3b &gt; BP81 &gt; FY2025 &gt; SUBMARINE</t>
        </is>
      </c>
      <c r="AG1857" s="7" t="inlineStr">
        <is>
          <t>122</t>
        </is>
      </c>
      <c r="AH1857" s="7" t="inlineStr">
        <is>
          <t>BP81</t>
        </is>
      </c>
      <c r="AI1857" s="7" t="inlineStr">
        <is>
          <t>SUBMARINE</t>
        </is>
      </c>
      <c r="AJ1857" s="7" t="inlineStr">
        <is>
          <t>SUBMARINE</t>
        </is>
      </c>
    </row>
    <row r="1858" ht="10" customHeight="1">
      <c r="A1858" s="7" t="inlineStr">
        <is>
          <t>NWCF</t>
        </is>
      </c>
      <c r="B1858" s="7" t="inlineStr">
        <is>
          <t>Working Capital Fund</t>
        </is>
      </c>
      <c r="D1858" s="7" t="inlineStr">
        <is>
          <t>BP81 CLSSA - FY2025</t>
        </is>
      </c>
      <c r="E1858" s="13" t="inlineStr">
        <is>
          <t>[ALT_VIEW]</t>
        </is>
      </c>
      <c r="F1858" s="7" t="inlineStr">
        <is>
          <t>BP81 Ship Repairable and Consumables - Total Obligations</t>
        </is>
      </c>
      <c r="I1858" s="14" t="n">
        <v>6</v>
      </c>
      <c r="K1858" s="15" t="n"/>
      <c r="O1858" s="15" t="n"/>
      <c r="Q1858" s="16" t="n">
        <v>34200</v>
      </c>
      <c r="AC1858" s="23">
        <f>IF(OR(E1858="",E1858="[PARENT]"),"ADD",IF(E1858="[ALT_VIEW]","ALT",""))</f>
        <v/>
      </c>
      <c r="AD1858" s="21">
        <f>IF(Y1858&lt;&gt;"",Y1858,IF(U1858&lt;&gt;"",U1858,S1858))</f>
        <v/>
      </c>
      <c r="AE1858" s="21">
        <f>IF(AB1858&lt;&gt;"",AB1858,Z1858)</f>
        <v/>
      </c>
      <c r="AF1858" s="13" t="inlineStr">
        <is>
          <t>Supply Management &gt; Exhibit SM-3b &gt; BP81 &gt; FY2025 &gt; CLSSA</t>
        </is>
      </c>
      <c r="AG1858" s="7" t="inlineStr">
        <is>
          <t>122</t>
        </is>
      </c>
      <c r="AH1858" s="7" t="inlineStr">
        <is>
          <t>BP81</t>
        </is>
      </c>
      <c r="AI1858" s="7" t="inlineStr">
        <is>
          <t>CLSSA</t>
        </is>
      </c>
      <c r="AJ1858" s="7" t="inlineStr">
        <is>
          <t>CLSSA</t>
        </is>
      </c>
    </row>
    <row r="1859" ht="10" customHeight="1">
      <c r="A1859" s="7" t="inlineStr">
        <is>
          <t>NWCF</t>
        </is>
      </c>
      <c r="B1859" s="7" t="inlineStr">
        <is>
          <t>Working Capital Fund</t>
        </is>
      </c>
      <c r="D1859" s="7" t="inlineStr">
        <is>
          <t>BP81 Gross Requirement - FY2025</t>
        </is>
      </c>
      <c r="E1859" s="13" t="inlineStr">
        <is>
          <t>[PARENT]</t>
        </is>
      </c>
      <c r="I1859" s="14" t="n">
        <v>6</v>
      </c>
      <c r="K1859" s="15" t="n"/>
      <c r="O1859" s="15" t="n"/>
      <c r="Q1859" s="16" t="n">
        <v>2367140</v>
      </c>
      <c r="AC1859" s="23">
        <f>IF(OR(E1859="",E1859="[PARENT]"),"ADD",IF(E1859="[ALT_VIEW]","ALT",""))</f>
        <v/>
      </c>
      <c r="AD1859" s="21">
        <f>IF(Y1859&lt;&gt;"",Y1859,IF(U1859&lt;&gt;"",U1859,S1859))</f>
        <v/>
      </c>
      <c r="AE1859" s="21">
        <f>IF(AB1859&lt;&gt;"",AB1859,Z1859)</f>
        <v/>
      </c>
      <c r="AF1859" s="13" t="inlineStr">
        <is>
          <t>Supply Management &gt; Exhibit SM-3b &gt; BP81 &gt; FY2025 &gt; Gross Requirement</t>
        </is>
      </c>
      <c r="AG1859" s="7" t="inlineStr">
        <is>
          <t>122</t>
        </is>
      </c>
      <c r="AH1859" s="7" t="inlineStr">
        <is>
          <t>BP81</t>
        </is>
      </c>
    </row>
    <row r="1860" ht="10" customHeight="1">
      <c r="A1860" s="7" t="inlineStr">
        <is>
          <t>NWCF</t>
        </is>
      </c>
      <c r="B1860" s="7" t="inlineStr">
        <is>
          <t>Working Capital Fund</t>
        </is>
      </c>
      <c r="D1860" s="7" t="inlineStr">
        <is>
          <t>BP81 NUCLEAR - FY2026</t>
        </is>
      </c>
      <c r="E1860" s="13" t="inlineStr">
        <is>
          <t>[ALT_VIEW]</t>
        </is>
      </c>
      <c r="F1860" s="7" t="inlineStr">
        <is>
          <t>BP81 Ship Repairable and Consumables - Total Obligations</t>
        </is>
      </c>
      <c r="I1860" s="14" t="n">
        <v>6</v>
      </c>
      <c r="K1860" s="15" t="n"/>
      <c r="O1860" s="15" t="n"/>
      <c r="S1860" s="16" t="n">
        <v>130080</v>
      </c>
      <c r="U1860" s="16" t="n">
        <v>130080</v>
      </c>
      <c r="AC1860" s="23">
        <f>IF(OR(E1860="",E1860="[PARENT]"),"ADD",IF(E1860="[ALT_VIEW]","ALT",""))</f>
        <v/>
      </c>
      <c r="AD1860" s="21">
        <f>IF(Y1860&lt;&gt;"",Y1860,IF(U1860&lt;&gt;"",U1860,S1860))</f>
        <v/>
      </c>
      <c r="AE1860" s="21">
        <f>IF(AB1860&lt;&gt;"",AB1860,Z1860)</f>
        <v/>
      </c>
      <c r="AF1860" s="13" t="inlineStr">
        <is>
          <t>Supply Management &gt; Exhibit SM-3b &gt; BP81 &gt; FY2026 &gt; NUCLEAR</t>
        </is>
      </c>
      <c r="AG1860" s="7" t="inlineStr">
        <is>
          <t>123</t>
        </is>
      </c>
      <c r="AH1860" s="7" t="inlineStr">
        <is>
          <t>BP81</t>
        </is>
      </c>
      <c r="AI1860" s="7" t="inlineStr">
        <is>
          <t>NUCLEAR</t>
        </is>
      </c>
      <c r="AJ1860" s="7" t="inlineStr">
        <is>
          <t>NUCLEAR</t>
        </is>
      </c>
    </row>
    <row r="1861" ht="10" customHeight="1">
      <c r="A1861" s="7" t="inlineStr">
        <is>
          <t>NWCF</t>
        </is>
      </c>
      <c r="B1861" s="7" t="inlineStr">
        <is>
          <t>Working Capital Fund</t>
        </is>
      </c>
      <c r="D1861" s="7" t="inlineStr">
        <is>
          <t>BP81 AMPHIBIOUS - FY2026</t>
        </is>
      </c>
      <c r="E1861" s="13" t="inlineStr">
        <is>
          <t>[ALT_VIEW]</t>
        </is>
      </c>
      <c r="F1861" s="7" t="inlineStr">
        <is>
          <t>BP81 Ship Repairable and Consumables - Total Obligations</t>
        </is>
      </c>
      <c r="I1861" s="14" t="n">
        <v>6</v>
      </c>
      <c r="K1861" s="13" t="inlineStr">
        <is>
          <t>USN</t>
        </is>
      </c>
      <c r="L1861" s="7" t="inlineStr">
        <is>
          <t>Combatant Ships</t>
        </is>
      </c>
      <c r="M1861" s="7" t="inlineStr">
        <is>
          <t>Amphibious Warfare Ships</t>
        </is>
      </c>
      <c r="O1861" s="15" t="n"/>
      <c r="S1861" s="16" t="n">
        <v>21700</v>
      </c>
      <c r="U1861" s="16" t="n">
        <v>21700</v>
      </c>
      <c r="AC1861" s="23">
        <f>IF(OR(E1861="",E1861="[PARENT]"),"ADD",IF(E1861="[ALT_VIEW]","ALT",""))</f>
        <v/>
      </c>
      <c r="AD1861" s="21">
        <f>IF(Y1861&lt;&gt;"",Y1861,IF(U1861&lt;&gt;"",U1861,S1861))</f>
        <v/>
      </c>
      <c r="AE1861" s="21">
        <f>IF(AB1861&lt;&gt;"",AB1861,Z1861)</f>
        <v/>
      </c>
      <c r="AF1861" s="13" t="inlineStr">
        <is>
          <t>Supply Management &gt; Exhibit SM-3b &gt; BP81 &gt; FY2026 &gt; AMPHIBIOUS</t>
        </is>
      </c>
      <c r="AG1861" s="7" t="inlineStr">
        <is>
          <t>123</t>
        </is>
      </c>
      <c r="AH1861" s="7" t="inlineStr">
        <is>
          <t>BP81</t>
        </is>
      </c>
      <c r="AI1861" s="7" t="inlineStr">
        <is>
          <t>AMPHIBIOUS</t>
        </is>
      </c>
      <c r="AJ1861" s="7" t="inlineStr">
        <is>
          <t>AMPHIBIOUS</t>
        </is>
      </c>
    </row>
    <row r="1862" ht="10" customHeight="1">
      <c r="A1862" s="7" t="inlineStr">
        <is>
          <t>NWCF</t>
        </is>
      </c>
      <c r="B1862" s="7" t="inlineStr">
        <is>
          <t>Working Capital Fund</t>
        </is>
      </c>
      <c r="D1862" s="7" t="inlineStr">
        <is>
          <t>BP81 COMMON ELECTRONIC - FY2026</t>
        </is>
      </c>
      <c r="E1862" s="13" t="inlineStr">
        <is>
          <t>[ALT_VIEW]</t>
        </is>
      </c>
      <c r="F1862" s="7" t="inlineStr">
        <is>
          <t>BP81 Ship Repairable and Consumables - Total Obligations</t>
        </is>
      </c>
      <c r="I1862" s="14" t="n">
        <v>6</v>
      </c>
      <c r="K1862" s="15" t="n"/>
      <c r="O1862" s="15" t="n"/>
      <c r="S1862" s="16" t="n">
        <v>544420</v>
      </c>
      <c r="U1862" s="16" t="n">
        <v>544420</v>
      </c>
      <c r="AC1862" s="23">
        <f>IF(OR(E1862="",E1862="[PARENT]"),"ADD",IF(E1862="[ALT_VIEW]","ALT",""))</f>
        <v/>
      </c>
      <c r="AD1862" s="21">
        <f>IF(Y1862&lt;&gt;"",Y1862,IF(U1862&lt;&gt;"",U1862,S1862))</f>
        <v/>
      </c>
      <c r="AE1862" s="21">
        <f>IF(AB1862&lt;&gt;"",AB1862,Z1862)</f>
        <v/>
      </c>
      <c r="AF1862" s="13" t="inlineStr">
        <is>
          <t>Supply Management &gt; Exhibit SM-3b &gt; BP81 &gt; FY2026 &gt; COMMON ELECTRONIC</t>
        </is>
      </c>
      <c r="AG1862" s="7" t="inlineStr">
        <is>
          <t>123</t>
        </is>
      </c>
      <c r="AH1862" s="7" t="inlineStr">
        <is>
          <t>BP81</t>
        </is>
      </c>
      <c r="AI1862" s="7" t="inlineStr">
        <is>
          <t>COMMON ELECTRONIC</t>
        </is>
      </c>
      <c r="AJ1862" s="7" t="inlineStr">
        <is>
          <t>COMMON ELECTRONIC</t>
        </is>
      </c>
    </row>
    <row r="1863" ht="10" customHeight="1">
      <c r="A1863" s="7" t="inlineStr">
        <is>
          <t>NWCF</t>
        </is>
      </c>
      <c r="B1863" s="7" t="inlineStr">
        <is>
          <t>Working Capital Fund</t>
        </is>
      </c>
      <c r="D1863" s="7" t="inlineStr">
        <is>
          <t>BP81 COMMON HM&amp;E - FY2026</t>
        </is>
      </c>
      <c r="E1863" s="13" t="inlineStr">
        <is>
          <t>[ALT_VIEW]</t>
        </is>
      </c>
      <c r="F1863" s="7" t="inlineStr">
        <is>
          <t>BP81 Ship Repairable and Consumables - Total Obligations</t>
        </is>
      </c>
      <c r="I1863" s="14" t="n">
        <v>6</v>
      </c>
      <c r="K1863" s="15" t="n"/>
      <c r="O1863" s="15" t="n"/>
      <c r="S1863" s="16" t="n">
        <v>190460</v>
      </c>
      <c r="U1863" s="16" t="n">
        <v>190460</v>
      </c>
      <c r="AC1863" s="23">
        <f>IF(OR(E1863="",E1863="[PARENT]"),"ADD",IF(E1863="[ALT_VIEW]","ALT",""))</f>
        <v/>
      </c>
      <c r="AD1863" s="21">
        <f>IF(Y1863&lt;&gt;"",Y1863,IF(U1863&lt;&gt;"",U1863,S1863))</f>
        <v/>
      </c>
      <c r="AE1863" s="21">
        <f>IF(AB1863&lt;&gt;"",AB1863,Z1863)</f>
        <v/>
      </c>
      <c r="AF1863" s="13" t="inlineStr">
        <is>
          <t>Supply Management &gt; Exhibit SM-3b &gt; BP81 &gt; FY2026 &gt; COMMON HM&amp;E</t>
        </is>
      </c>
      <c r="AG1863" s="7" t="inlineStr">
        <is>
          <t>123</t>
        </is>
      </c>
      <c r="AH1863" s="7" t="inlineStr">
        <is>
          <t>BP81</t>
        </is>
      </c>
      <c r="AI1863" s="7" t="inlineStr">
        <is>
          <t>COMMON HM&amp;E</t>
        </is>
      </c>
      <c r="AJ1863" s="7" t="inlineStr">
        <is>
          <t>COMMON HM&amp;E</t>
        </is>
      </c>
    </row>
    <row r="1864" ht="10" customHeight="1">
      <c r="A1864" s="7" t="inlineStr">
        <is>
          <t>NWCF</t>
        </is>
      </c>
      <c r="B1864" s="7" t="inlineStr">
        <is>
          <t>Working Capital Fund</t>
        </is>
      </c>
      <c r="D1864" s="7" t="inlineStr">
        <is>
          <t>BP81 CRUDES - FY2026</t>
        </is>
      </c>
      <c r="E1864" s="13" t="inlineStr">
        <is>
          <t>[ALT_VIEW]</t>
        </is>
      </c>
      <c r="F1864" s="7" t="inlineStr">
        <is>
          <t>BP81 Ship Repairable and Consumables - Total Obligations</t>
        </is>
      </c>
      <c r="I1864" s="14" t="n">
        <v>6</v>
      </c>
      <c r="K1864" s="13" t="inlineStr">
        <is>
          <t>USN</t>
        </is>
      </c>
      <c r="L1864" s="7" t="inlineStr">
        <is>
          <t>Combatant Ships</t>
        </is>
      </c>
      <c r="M1864" s="7" t="inlineStr">
        <is>
          <t>Surface Combatants</t>
        </is>
      </c>
      <c r="O1864" s="15" t="n"/>
      <c r="S1864" s="16" t="n">
        <v>676910</v>
      </c>
      <c r="U1864" s="16" t="n">
        <v>676910</v>
      </c>
      <c r="AC1864" s="23">
        <f>IF(OR(E1864="",E1864="[PARENT]"),"ADD",IF(E1864="[ALT_VIEW]","ALT",""))</f>
        <v/>
      </c>
      <c r="AD1864" s="21">
        <f>IF(Y1864&lt;&gt;"",Y1864,IF(U1864&lt;&gt;"",U1864,S1864))</f>
        <v/>
      </c>
      <c r="AE1864" s="21">
        <f>IF(AB1864&lt;&gt;"",AB1864,Z1864)</f>
        <v/>
      </c>
      <c r="AF1864" s="13" t="inlineStr">
        <is>
          <t>Supply Management &gt; Exhibit SM-3b &gt; BP81 &gt; FY2026 &gt; CRUDES</t>
        </is>
      </c>
      <c r="AG1864" s="7" t="inlineStr">
        <is>
          <t>123</t>
        </is>
      </c>
      <c r="AH1864" s="7" t="inlineStr">
        <is>
          <t>BP81</t>
        </is>
      </c>
      <c r="AI1864" s="7" t="inlineStr">
        <is>
          <t>CRUDES</t>
        </is>
      </c>
      <c r="AJ1864" s="7" t="inlineStr">
        <is>
          <t>CRUDES</t>
        </is>
      </c>
    </row>
    <row r="1865" ht="10" customHeight="1">
      <c r="A1865" s="7" t="inlineStr">
        <is>
          <t>NWCF</t>
        </is>
      </c>
      <c r="B1865" s="7" t="inlineStr">
        <is>
          <t>Working Capital Fund</t>
        </is>
      </c>
      <c r="D1865" s="7" t="inlineStr">
        <is>
          <t>BP81 CVN - FY2026</t>
        </is>
      </c>
      <c r="E1865" s="13" t="inlineStr">
        <is>
          <t>[ALT_VIEW]</t>
        </is>
      </c>
      <c r="F1865" s="7" t="inlineStr">
        <is>
          <t>BP81 Ship Repairable and Consumables - Total Obligations</t>
        </is>
      </c>
      <c r="I1865" s="14" t="n">
        <v>6</v>
      </c>
      <c r="K1865" s="13" t="inlineStr">
        <is>
          <t>USN</t>
        </is>
      </c>
      <c r="L1865" s="7" t="inlineStr">
        <is>
          <t>Combatant Ships</t>
        </is>
      </c>
      <c r="M1865" s="7" t="inlineStr">
        <is>
          <t>Aircraft Carriers</t>
        </is>
      </c>
      <c r="O1865" s="15" t="n"/>
      <c r="S1865" s="16" t="n">
        <v>89070</v>
      </c>
      <c r="U1865" s="16" t="n">
        <v>89070</v>
      </c>
      <c r="AC1865" s="23">
        <f>IF(OR(E1865="",E1865="[PARENT]"),"ADD",IF(E1865="[ALT_VIEW]","ALT",""))</f>
        <v/>
      </c>
      <c r="AD1865" s="21">
        <f>IF(Y1865&lt;&gt;"",Y1865,IF(U1865&lt;&gt;"",U1865,S1865))</f>
        <v/>
      </c>
      <c r="AE1865" s="21">
        <f>IF(AB1865&lt;&gt;"",AB1865,Z1865)</f>
        <v/>
      </c>
      <c r="AF1865" s="13" t="inlineStr">
        <is>
          <t>Supply Management &gt; Exhibit SM-3b &gt; BP81 &gt; FY2026 &gt; CVN</t>
        </is>
      </c>
      <c r="AG1865" s="7" t="inlineStr">
        <is>
          <t>123</t>
        </is>
      </c>
      <c r="AH1865" s="7" t="inlineStr">
        <is>
          <t>BP81</t>
        </is>
      </c>
      <c r="AI1865" s="7" t="inlineStr">
        <is>
          <t>CVN</t>
        </is>
      </c>
      <c r="AJ1865" s="7" t="inlineStr">
        <is>
          <t>CVN</t>
        </is>
      </c>
    </row>
    <row r="1866" ht="10" customHeight="1">
      <c r="A1866" s="7" t="inlineStr">
        <is>
          <t>NWCF</t>
        </is>
      </c>
      <c r="B1866" s="7" t="inlineStr">
        <is>
          <t>Working Capital Fund</t>
        </is>
      </c>
      <c r="D1866" s="7" t="inlineStr">
        <is>
          <t>BP81 EXPEDITIONARY - FY2026</t>
        </is>
      </c>
      <c r="E1866" s="13" t="inlineStr">
        <is>
          <t>[ALT_VIEW]</t>
        </is>
      </c>
      <c r="F1866" s="7" t="inlineStr">
        <is>
          <t>BP81 Ship Repairable and Consumables - Total Obligations</t>
        </is>
      </c>
      <c r="I1866" s="14" t="n">
        <v>6</v>
      </c>
      <c r="K1866" s="13" t="inlineStr">
        <is>
          <t>USN</t>
        </is>
      </c>
      <c r="L1866" s="7" t="inlineStr">
        <is>
          <t>Combatant Ships</t>
        </is>
      </c>
      <c r="M1866" s="7" t="inlineStr">
        <is>
          <t>Expeditionary &amp; Seabasing Ships</t>
        </is>
      </c>
      <c r="O1866" s="15" t="n"/>
      <c r="S1866" s="16" t="n">
        <v>31090</v>
      </c>
      <c r="U1866" s="16" t="n">
        <v>31090</v>
      </c>
      <c r="AC1866" s="23">
        <f>IF(OR(E1866="",E1866="[PARENT]"),"ADD",IF(E1866="[ALT_VIEW]","ALT",""))</f>
        <v/>
      </c>
      <c r="AD1866" s="21">
        <f>IF(Y1866&lt;&gt;"",Y1866,IF(U1866&lt;&gt;"",U1866,S1866))</f>
        <v/>
      </c>
      <c r="AE1866" s="21">
        <f>IF(AB1866&lt;&gt;"",AB1866,Z1866)</f>
        <v/>
      </c>
      <c r="AF1866" s="13" t="inlineStr">
        <is>
          <t>Supply Management &gt; Exhibit SM-3b &gt; BP81 &gt; FY2026 &gt; EXPEDITIONARY</t>
        </is>
      </c>
      <c r="AG1866" s="7" t="inlineStr">
        <is>
          <t>123</t>
        </is>
      </c>
      <c r="AH1866" s="7" t="inlineStr">
        <is>
          <t>BP81</t>
        </is>
      </c>
      <c r="AI1866" s="7" t="inlineStr">
        <is>
          <t>EXPEDITIONARY</t>
        </is>
      </c>
      <c r="AJ1866" s="7" t="inlineStr">
        <is>
          <t>EXPEDITIONARY</t>
        </is>
      </c>
    </row>
    <row r="1867" ht="10" customHeight="1">
      <c r="A1867" s="7" t="inlineStr">
        <is>
          <t>NWCF</t>
        </is>
      </c>
      <c r="B1867" s="7" t="inlineStr">
        <is>
          <t>Working Capital Fund</t>
        </is>
      </c>
      <c r="D1867" s="7" t="inlineStr">
        <is>
          <t>BP81 UM&amp;SC - FY2026</t>
        </is>
      </c>
      <c r="E1867" s="13" t="inlineStr">
        <is>
          <t>[ALT_VIEW]</t>
        </is>
      </c>
      <c r="F1867" s="7" t="inlineStr">
        <is>
          <t>BP81 Ship Repairable and Consumables - Total Obligations</t>
        </is>
      </c>
      <c r="I1867" s="14" t="n">
        <v>6</v>
      </c>
      <c r="K1867" s="15" t="n"/>
      <c r="O1867" s="15" t="n"/>
      <c r="S1867" s="16" t="n">
        <v>47680</v>
      </c>
      <c r="U1867" s="16" t="n">
        <v>47680</v>
      </c>
      <c r="AC1867" s="23">
        <f>IF(OR(E1867="",E1867="[PARENT]"),"ADD",IF(E1867="[ALT_VIEW]","ALT",""))</f>
        <v/>
      </c>
      <c r="AD1867" s="21">
        <f>IF(Y1867&lt;&gt;"",Y1867,IF(U1867&lt;&gt;"",U1867,S1867))</f>
        <v/>
      </c>
      <c r="AE1867" s="21">
        <f>IF(AB1867&lt;&gt;"",AB1867,Z1867)</f>
        <v/>
      </c>
      <c r="AF1867" s="13" t="inlineStr">
        <is>
          <t>Supply Management &gt; Exhibit SM-3b &gt; BP81 &gt; FY2026 &gt; UM&amp;SC</t>
        </is>
      </c>
      <c r="AG1867" s="7" t="inlineStr">
        <is>
          <t>123</t>
        </is>
      </c>
      <c r="AH1867" s="7" t="inlineStr">
        <is>
          <t>BP81</t>
        </is>
      </c>
      <c r="AI1867" s="7" t="inlineStr">
        <is>
          <t>UM&amp;SC</t>
        </is>
      </c>
      <c r="AJ1867" s="7" t="inlineStr">
        <is>
          <t>UM&amp;SC</t>
        </is>
      </c>
    </row>
    <row r="1868" ht="10" customHeight="1">
      <c r="A1868" s="7" t="inlineStr">
        <is>
          <t>NWCF</t>
        </is>
      </c>
      <c r="B1868" s="7" t="inlineStr">
        <is>
          <t>Working Capital Fund</t>
        </is>
      </c>
      <c r="D1868" s="7" t="inlineStr">
        <is>
          <t>BP81 L1 ASDS DSSP - FY2026</t>
        </is>
      </c>
      <c r="E1868" s="13" t="inlineStr">
        <is>
          <t>[ALT_VIEW]</t>
        </is>
      </c>
      <c r="F1868" s="7" t="inlineStr">
        <is>
          <t>BP81 Ship Repairable and Consumables - Total Obligations</t>
        </is>
      </c>
      <c r="I1868" s="14" t="n">
        <v>6</v>
      </c>
      <c r="K1868" s="13" t="inlineStr">
        <is>
          <t>USN</t>
        </is>
      </c>
      <c r="L1868" s="7" t="inlineStr">
        <is>
          <t>Combatant Ships</t>
        </is>
      </c>
      <c r="M1868" s="7" t="inlineStr">
        <is>
          <t>Submarines</t>
        </is>
      </c>
      <c r="O1868" s="15" t="n"/>
      <c r="S1868" s="16" t="n">
        <v>252210</v>
      </c>
      <c r="U1868" s="16" t="n">
        <v>252210</v>
      </c>
      <c r="AC1868" s="23">
        <f>IF(OR(E1868="",E1868="[PARENT]"),"ADD",IF(E1868="[ALT_VIEW]","ALT",""))</f>
        <v/>
      </c>
      <c r="AD1868" s="21">
        <f>IF(Y1868&lt;&gt;"",Y1868,IF(U1868&lt;&gt;"",U1868,S1868))</f>
        <v/>
      </c>
      <c r="AE1868" s="21">
        <f>IF(AB1868&lt;&gt;"",AB1868,Z1868)</f>
        <v/>
      </c>
      <c r="AF1868" s="13" t="inlineStr">
        <is>
          <t>Supply Management &gt; Exhibit SM-3b &gt; BP81 &gt; FY2026 &gt; L1 ASDS DSSP</t>
        </is>
      </c>
      <c r="AG1868" s="7" t="inlineStr">
        <is>
          <t>123</t>
        </is>
      </c>
      <c r="AH1868" s="7" t="inlineStr">
        <is>
          <t>BP81</t>
        </is>
      </c>
      <c r="AI1868" s="7" t="inlineStr">
        <is>
          <t>L1 ASDS DSSP</t>
        </is>
      </c>
      <c r="AJ1868" s="7" t="inlineStr">
        <is>
          <t>L1 ASDS DSSP</t>
        </is>
      </c>
    </row>
    <row r="1869" ht="10" customHeight="1">
      <c r="A1869" s="7" t="inlineStr">
        <is>
          <t>NWCF</t>
        </is>
      </c>
      <c r="B1869" s="7" t="inlineStr">
        <is>
          <t>Working Capital Fund</t>
        </is>
      </c>
      <c r="D1869" s="7" t="inlineStr">
        <is>
          <t>BP81 SUBMARINE - FY2026</t>
        </is>
      </c>
      <c r="E1869" s="13" t="inlineStr">
        <is>
          <t>[ALT_VIEW]</t>
        </is>
      </c>
      <c r="F1869" s="7" t="inlineStr">
        <is>
          <t>BP81 Ship Repairable and Consumables - Total Obligations</t>
        </is>
      </c>
      <c r="I1869" s="14" t="n">
        <v>6</v>
      </c>
      <c r="K1869" s="13" t="inlineStr">
        <is>
          <t>USN</t>
        </is>
      </c>
      <c r="L1869" s="7" t="inlineStr">
        <is>
          <t>Combatant Ships</t>
        </is>
      </c>
      <c r="M1869" s="7" t="inlineStr">
        <is>
          <t>Submarines</t>
        </is>
      </c>
      <c r="O1869" s="15" t="n"/>
      <c r="S1869" s="16" t="n">
        <v>391730</v>
      </c>
      <c r="U1869" s="16" t="n">
        <v>391730</v>
      </c>
      <c r="AC1869" s="23">
        <f>IF(OR(E1869="",E1869="[PARENT]"),"ADD",IF(E1869="[ALT_VIEW]","ALT",""))</f>
        <v/>
      </c>
      <c r="AD1869" s="21">
        <f>IF(Y1869&lt;&gt;"",Y1869,IF(U1869&lt;&gt;"",U1869,S1869))</f>
        <v/>
      </c>
      <c r="AE1869" s="21">
        <f>IF(AB1869&lt;&gt;"",AB1869,Z1869)</f>
        <v/>
      </c>
      <c r="AF1869" s="13" t="inlineStr">
        <is>
          <t>Supply Management &gt; Exhibit SM-3b &gt; BP81 &gt; FY2026 &gt; SUBMARINE</t>
        </is>
      </c>
      <c r="AG1869" s="7" t="inlineStr">
        <is>
          <t>123</t>
        </is>
      </c>
      <c r="AH1869" s="7" t="inlineStr">
        <is>
          <t>BP81</t>
        </is>
      </c>
      <c r="AI1869" s="7" t="inlineStr">
        <is>
          <t>SUBMARINE</t>
        </is>
      </c>
      <c r="AJ1869" s="7" t="inlineStr">
        <is>
          <t>SUBMARINE</t>
        </is>
      </c>
    </row>
    <row r="1870" ht="10" customHeight="1">
      <c r="A1870" s="7" t="inlineStr">
        <is>
          <t>NWCF</t>
        </is>
      </c>
      <c r="B1870" s="7" t="inlineStr">
        <is>
          <t>Working Capital Fund</t>
        </is>
      </c>
      <c r="D1870" s="7" t="inlineStr">
        <is>
          <t>BP81 CLSSA - FY2026</t>
        </is>
      </c>
      <c r="E1870" s="13" t="inlineStr">
        <is>
          <t>[ALT_VIEW]</t>
        </is>
      </c>
      <c r="F1870" s="7" t="inlineStr">
        <is>
          <t>BP81 Ship Repairable and Consumables - Total Obligations</t>
        </is>
      </c>
      <c r="I1870" s="14" t="n">
        <v>6</v>
      </c>
      <c r="K1870" s="15" t="n"/>
      <c r="O1870" s="15" t="n"/>
      <c r="S1870" s="16" t="n">
        <v>11000</v>
      </c>
      <c r="U1870" s="16" t="n">
        <v>11000</v>
      </c>
      <c r="AC1870" s="23">
        <f>IF(OR(E1870="",E1870="[PARENT]"),"ADD",IF(E1870="[ALT_VIEW]","ALT",""))</f>
        <v/>
      </c>
      <c r="AD1870" s="21">
        <f>IF(Y1870&lt;&gt;"",Y1870,IF(U1870&lt;&gt;"",U1870,S1870))</f>
        <v/>
      </c>
      <c r="AE1870" s="21">
        <f>IF(AB1870&lt;&gt;"",AB1870,Z1870)</f>
        <v/>
      </c>
      <c r="AF1870" s="13" t="inlineStr">
        <is>
          <t>Supply Management &gt; Exhibit SM-3b &gt; BP81 &gt; FY2026 &gt; CLSSA</t>
        </is>
      </c>
      <c r="AG1870" s="7" t="inlineStr">
        <is>
          <t>123</t>
        </is>
      </c>
      <c r="AH1870" s="7" t="inlineStr">
        <is>
          <t>BP81</t>
        </is>
      </c>
      <c r="AI1870" s="7" t="inlineStr">
        <is>
          <t>CLSSA</t>
        </is>
      </c>
      <c r="AJ1870" s="7" t="inlineStr">
        <is>
          <t>CLSSA</t>
        </is>
      </c>
    </row>
    <row r="1871" ht="10" customHeight="1">
      <c r="A1871" s="7" t="inlineStr">
        <is>
          <t>NWCF</t>
        </is>
      </c>
      <c r="B1871" s="7" t="inlineStr">
        <is>
          <t>Working Capital Fund</t>
        </is>
      </c>
      <c r="D1871" s="7" t="inlineStr">
        <is>
          <t>BP81 Gross Requirement - FY2026</t>
        </is>
      </c>
      <c r="E1871" s="13" t="inlineStr">
        <is>
          <t>[PARENT]</t>
        </is>
      </c>
      <c r="I1871" s="14" t="n">
        <v>6</v>
      </c>
      <c r="K1871" s="15" t="n"/>
      <c r="O1871" s="15" t="n"/>
      <c r="S1871" s="16" t="n">
        <v>2386350</v>
      </c>
      <c r="U1871" s="16" t="n">
        <v>2386350</v>
      </c>
      <c r="AC1871" s="23">
        <f>IF(OR(E1871="",E1871="[PARENT]"),"ADD",IF(E1871="[ALT_VIEW]","ALT",""))</f>
        <v/>
      </c>
      <c r="AD1871" s="21">
        <f>IF(Y1871&lt;&gt;"",Y1871,IF(U1871&lt;&gt;"",U1871,S1871))</f>
        <v/>
      </c>
      <c r="AE1871" s="21">
        <f>IF(AB1871&lt;&gt;"",AB1871,Z1871)</f>
        <v/>
      </c>
      <c r="AF1871" s="13" t="inlineStr">
        <is>
          <t>Supply Management &gt; Exhibit SM-3b &gt; BP81 &gt; FY2026 &gt; Gross Requirement</t>
        </is>
      </c>
      <c r="AG1871" s="7" t="inlineStr">
        <is>
          <t>123</t>
        </is>
      </c>
      <c r="AH1871" s="7" t="inlineStr">
        <is>
          <t>BP81</t>
        </is>
      </c>
    </row>
    <row r="1872" ht="10" customHeight="1">
      <c r="A1872" s="7" t="inlineStr">
        <is>
          <t>NWCF</t>
        </is>
      </c>
      <c r="B1872" s="7" t="inlineStr">
        <is>
          <t>Working Capital Fund</t>
        </is>
      </c>
      <c r="D1872" s="7" t="inlineStr">
        <is>
          <t>Supply Orders from O&amp;M Navy</t>
        </is>
      </c>
      <c r="E1872" s="13" t="inlineStr">
        <is>
          <t>[SUB]</t>
        </is>
      </c>
      <c r="F1872" s="7" t="inlineStr">
        <is>
          <t>Supply Total New Orders</t>
        </is>
      </c>
      <c r="I1872" s="14" t="n">
        <v>6</v>
      </c>
      <c r="K1872" s="15" t="n"/>
      <c r="O1872" s="15" t="n"/>
      <c r="P1872" s="16" t="n">
        <v>7233240</v>
      </c>
      <c r="Q1872" s="16" t="n">
        <v>6796190</v>
      </c>
      <c r="S1872" s="16" t="n">
        <v>6697130</v>
      </c>
      <c r="U1872" s="16" t="n">
        <v>6697130</v>
      </c>
      <c r="AC1872" s="23">
        <f>IF(OR(E1872="",E1872="[PARENT]"),"ADD",IF(E1872="[ALT_VIEW]","ALT",""))</f>
        <v/>
      </c>
      <c r="AD1872" s="21">
        <f>IF(Y1872&lt;&gt;"",Y1872,IF(U1872&lt;&gt;"",U1872,S1872))</f>
        <v/>
      </c>
      <c r="AE1872" s="21">
        <f>IF(AB1872&lt;&gt;"",AB1872,Z1872)</f>
        <v/>
      </c>
      <c r="AF1872" s="13" t="inlineStr">
        <is>
          <t>Supply Management &gt; Exhibit Fund-11 &gt; O &amp; M Navy</t>
        </is>
      </c>
      <c r="AG1872" s="7" t="inlineStr">
        <is>
          <t>134</t>
        </is>
      </c>
      <c r="AH1872" s="7" t="inlineStr">
        <is>
          <t>NWCF-Supply</t>
        </is>
      </c>
      <c r="AI1872" s="7" t="inlineStr">
        <is>
          <t>O &amp; M Navy</t>
        </is>
      </c>
      <c r="AJ1872" s="7" t="inlineStr">
        <is>
          <t>O &amp; M Navy</t>
        </is>
      </c>
    </row>
    <row r="1873" ht="10" customHeight="1">
      <c r="A1873" s="7" t="inlineStr">
        <is>
          <t>NWCF</t>
        </is>
      </c>
      <c r="B1873" s="7" t="inlineStr">
        <is>
          <t>Working Capital Fund</t>
        </is>
      </c>
      <c r="D1873" s="7" t="inlineStr">
        <is>
          <t>Supply Orders from Shipbuilding &amp; Conversion Navy</t>
        </is>
      </c>
      <c r="E1873" s="13" t="inlineStr">
        <is>
          <t>[SUB]</t>
        </is>
      </c>
      <c r="F1873" s="7" t="inlineStr">
        <is>
          <t>Supply Total New Orders</t>
        </is>
      </c>
      <c r="I1873" s="14" t="n">
        <v>1</v>
      </c>
      <c r="J1873" s="7" t="inlineStr">
        <is>
          <t>GFE / combat systems for newbuild</t>
        </is>
      </c>
      <c r="K1873" s="15" t="n"/>
      <c r="O1873" s="15" t="n"/>
      <c r="P1873" s="16" t="n">
        <v>41340</v>
      </c>
      <c r="Q1873" s="16" t="n">
        <v>83030</v>
      </c>
      <c r="S1873" s="16" t="n">
        <v>108950</v>
      </c>
      <c r="U1873" s="16" t="n">
        <v>108950</v>
      </c>
      <c r="AC1873" s="23">
        <f>IF(OR(E1873="",E1873="[PARENT]"),"ADD",IF(E1873="[ALT_VIEW]","ALT",""))</f>
        <v/>
      </c>
      <c r="AD1873" s="21">
        <f>IF(Y1873&lt;&gt;"",Y1873,IF(U1873&lt;&gt;"",U1873,S1873))</f>
        <v/>
      </c>
      <c r="AE1873" s="21">
        <f>IF(AB1873&lt;&gt;"",AB1873,Z1873)</f>
        <v/>
      </c>
      <c r="AF1873" s="13" t="inlineStr">
        <is>
          <t>Supply Management &gt; Exhibit Fund-11 &gt; Shipbuilding &amp; Conversion Navy</t>
        </is>
      </c>
      <c r="AG1873" s="7" t="inlineStr">
        <is>
          <t>134</t>
        </is>
      </c>
      <c r="AH1873" s="7" t="inlineStr">
        <is>
          <t>NWCF-Supply</t>
        </is>
      </c>
      <c r="AI1873" s="7" t="inlineStr">
        <is>
          <t>Shipbuilding &amp; Conversion Navy</t>
        </is>
      </c>
      <c r="AJ1873" s="7" t="inlineStr">
        <is>
          <t>Shipbuilding &amp; Conversion Navy</t>
        </is>
      </c>
    </row>
    <row r="1874" ht="10" customHeight="1">
      <c r="A1874" s="7" t="inlineStr">
        <is>
          <t>NWCF</t>
        </is>
      </c>
      <c r="B1874" s="7" t="inlineStr">
        <is>
          <t>Working Capital Fund</t>
        </is>
      </c>
      <c r="D1874" s="7" t="inlineStr">
        <is>
          <t>Supply Orders from Aircraft Procurement Navy</t>
        </is>
      </c>
      <c r="E1874" s="13" t="inlineStr">
        <is>
          <t>[SUB]</t>
        </is>
      </c>
      <c r="F1874" s="7" t="inlineStr">
        <is>
          <t>Supply Total New Orders</t>
        </is>
      </c>
      <c r="I1874" s="14" t="n">
        <v>6</v>
      </c>
      <c r="K1874" s="15" t="n"/>
      <c r="O1874" s="15" t="n"/>
      <c r="P1874" s="16" t="n">
        <v>1367760</v>
      </c>
      <c r="Q1874" s="16" t="n">
        <v>1061610</v>
      </c>
      <c r="S1874" s="16" t="n">
        <v>1332940</v>
      </c>
      <c r="U1874" s="16" t="n">
        <v>1332940</v>
      </c>
      <c r="AC1874" s="23">
        <f>IF(OR(E1874="",E1874="[PARENT]"),"ADD",IF(E1874="[ALT_VIEW]","ALT",""))</f>
        <v/>
      </c>
      <c r="AD1874" s="21">
        <f>IF(Y1874&lt;&gt;"",Y1874,IF(U1874&lt;&gt;"",U1874,S1874))</f>
        <v/>
      </c>
      <c r="AE1874" s="21">
        <f>IF(AB1874&lt;&gt;"",AB1874,Z1874)</f>
        <v/>
      </c>
      <c r="AF1874" s="13" t="inlineStr">
        <is>
          <t>Supply Management &gt; Exhibit Fund-11 &gt; Aircraft Procurement Navy</t>
        </is>
      </c>
      <c r="AG1874" s="7" t="inlineStr">
        <is>
          <t>134</t>
        </is>
      </c>
      <c r="AH1874" s="7" t="inlineStr">
        <is>
          <t>NWCF-Supply</t>
        </is>
      </c>
      <c r="AI1874" s="7" t="inlineStr">
        <is>
          <t>Aircraft Procurement Navy</t>
        </is>
      </c>
      <c r="AJ1874" s="7" t="inlineStr">
        <is>
          <t>Aircraft Procurement Navy</t>
        </is>
      </c>
    </row>
    <row r="1875" ht="10" customHeight="1">
      <c r="A1875" s="7" t="inlineStr">
        <is>
          <t>NWCF</t>
        </is>
      </c>
      <c r="B1875" s="7" t="inlineStr">
        <is>
          <t>Working Capital Fund</t>
        </is>
      </c>
      <c r="D1875" s="7" t="inlineStr">
        <is>
          <t>Supply Orders from Other Procurement Navy</t>
        </is>
      </c>
      <c r="E1875" s="13" t="inlineStr">
        <is>
          <t>[SUB]</t>
        </is>
      </c>
      <c r="F1875" s="7" t="inlineStr">
        <is>
          <t>Supply Total New Orders</t>
        </is>
      </c>
      <c r="I1875" s="14" t="n">
        <v>6</v>
      </c>
      <c r="K1875" s="15" t="n"/>
      <c r="O1875" s="15" t="n"/>
      <c r="P1875" s="16" t="n">
        <v>250860</v>
      </c>
      <c r="Q1875" s="16" t="n">
        <v>122200</v>
      </c>
      <c r="S1875" s="16" t="n">
        <v>140500</v>
      </c>
      <c r="U1875" s="16" t="n">
        <v>140500</v>
      </c>
      <c r="AC1875" s="23">
        <f>IF(OR(E1875="",E1875="[PARENT]"),"ADD",IF(E1875="[ALT_VIEW]","ALT",""))</f>
        <v/>
      </c>
      <c r="AD1875" s="21">
        <f>IF(Y1875&lt;&gt;"",Y1875,IF(U1875&lt;&gt;"",U1875,S1875))</f>
        <v/>
      </c>
      <c r="AE1875" s="21">
        <f>IF(AB1875&lt;&gt;"",AB1875,Z1875)</f>
        <v/>
      </c>
      <c r="AF1875" s="13" t="inlineStr">
        <is>
          <t>Supply Management &gt; Exhibit Fund-11 &gt; Other Procurement Navy</t>
        </is>
      </c>
      <c r="AG1875" s="7" t="inlineStr">
        <is>
          <t>134</t>
        </is>
      </c>
      <c r="AH1875" s="7" t="inlineStr">
        <is>
          <t>NWCF-Supply</t>
        </is>
      </c>
      <c r="AI1875" s="7" t="inlineStr">
        <is>
          <t>Other Procurement Navy</t>
        </is>
      </c>
      <c r="AJ1875" s="7" t="inlineStr">
        <is>
          <t>Other Procurement Navy</t>
        </is>
      </c>
    </row>
    <row r="1876" ht="10" customHeight="1">
      <c r="A1876" s="7" t="inlineStr">
        <is>
          <t>NWCF</t>
        </is>
      </c>
      <c r="B1876" s="7" t="inlineStr">
        <is>
          <t>Working Capital Fund</t>
        </is>
      </c>
      <c r="D1876" s="7" t="inlineStr">
        <is>
          <t>Supply Orders from Foreign Military Sales</t>
        </is>
      </c>
      <c r="E1876" s="13" t="inlineStr">
        <is>
          <t>[SUB]</t>
        </is>
      </c>
      <c r="F1876" s="7" t="inlineStr">
        <is>
          <t>Supply Total New Orders</t>
        </is>
      </c>
      <c r="I1876" s="14" t="n">
        <v>6</v>
      </c>
      <c r="K1876" s="15" t="n"/>
      <c r="O1876" s="15" t="n"/>
      <c r="P1876" s="16" t="n">
        <v>186890</v>
      </c>
      <c r="Q1876" s="16" t="n">
        <v>154870</v>
      </c>
      <c r="S1876" s="16" t="n">
        <v>168170</v>
      </c>
      <c r="U1876" s="16" t="n">
        <v>168170</v>
      </c>
      <c r="AC1876" s="23">
        <f>IF(OR(E1876="",E1876="[PARENT]"),"ADD",IF(E1876="[ALT_VIEW]","ALT",""))</f>
        <v/>
      </c>
      <c r="AD1876" s="21">
        <f>IF(Y1876&lt;&gt;"",Y1876,IF(U1876&lt;&gt;"",U1876,S1876))</f>
        <v/>
      </c>
      <c r="AE1876" s="21">
        <f>IF(AB1876&lt;&gt;"",AB1876,Z1876)</f>
        <v/>
      </c>
      <c r="AF1876" s="13" t="inlineStr">
        <is>
          <t>Supply Management &gt; Exhibit Fund-11 &gt; Foreign Military Sales</t>
        </is>
      </c>
      <c r="AG1876" s="7" t="inlineStr">
        <is>
          <t>134</t>
        </is>
      </c>
      <c r="AH1876" s="7" t="inlineStr">
        <is>
          <t>NWCF-Supply</t>
        </is>
      </c>
      <c r="AI1876" s="7" t="inlineStr">
        <is>
          <t>Foreign Military Sales</t>
        </is>
      </c>
      <c r="AJ1876" s="7" t="inlineStr">
        <is>
          <t>Foreign Military Sales</t>
        </is>
      </c>
    </row>
    <row r="1877" ht="10" customHeight="1">
      <c r="A1877" s="7" t="inlineStr">
        <is>
          <t>NWCF</t>
        </is>
      </c>
      <c r="B1877" s="7" t="inlineStr">
        <is>
          <t>Working Capital Fund</t>
        </is>
      </c>
      <c r="D1877" s="7" t="inlineStr">
        <is>
          <t>Supply Orders from Navy Working Capital Fund</t>
        </is>
      </c>
      <c r="E1877" s="13" t="inlineStr">
        <is>
          <t>[SUB]</t>
        </is>
      </c>
      <c r="F1877" s="7" t="inlineStr">
        <is>
          <t>Supply Total New Orders</t>
        </is>
      </c>
      <c r="I1877" s="14" t="n">
        <v>6</v>
      </c>
      <c r="K1877" s="15" t="n"/>
      <c r="O1877" s="15" t="n"/>
      <c r="P1877" s="16" t="n">
        <v>233340</v>
      </c>
      <c r="Q1877" s="16" t="n">
        <v>228270</v>
      </c>
      <c r="S1877" s="16" t="n">
        <v>184880</v>
      </c>
      <c r="U1877" s="16" t="n">
        <v>184880</v>
      </c>
      <c r="AC1877" s="23">
        <f>IF(OR(E1877="",E1877="[PARENT]"),"ADD",IF(E1877="[ALT_VIEW]","ALT",""))</f>
        <v/>
      </c>
      <c r="AD1877" s="21">
        <f>IF(Y1877&lt;&gt;"",Y1877,IF(U1877&lt;&gt;"",U1877,S1877))</f>
        <v/>
      </c>
      <c r="AE1877" s="21">
        <f>IF(AB1877&lt;&gt;"",AB1877,Z1877)</f>
        <v/>
      </c>
      <c r="AF1877" s="13" t="inlineStr">
        <is>
          <t>Supply Management &gt; Exhibit Fund-11 &gt; Navy Working Capital Fund</t>
        </is>
      </c>
      <c r="AG1877" s="7" t="inlineStr">
        <is>
          <t>134</t>
        </is>
      </c>
      <c r="AH1877" s="7" t="inlineStr">
        <is>
          <t>NWCF-Supply</t>
        </is>
      </c>
      <c r="AI1877" s="7" t="inlineStr">
        <is>
          <t>Navy Working Capital Fund</t>
        </is>
      </c>
      <c r="AJ1877" s="7" t="inlineStr">
        <is>
          <t>Navy Working Capital Fund</t>
        </is>
      </c>
    </row>
    <row r="1878" ht="10" customHeight="1">
      <c r="A1878" s="7" t="inlineStr">
        <is>
          <t>NWCF</t>
        </is>
      </c>
      <c r="B1878" s="7" t="inlineStr">
        <is>
          <t>Working Capital Fund</t>
        </is>
      </c>
      <c r="D1878" s="7" t="inlineStr">
        <is>
          <t>Supply Total New Orders</t>
        </is>
      </c>
      <c r="E1878" s="13" t="inlineStr">
        <is>
          <t>[PARENT]</t>
        </is>
      </c>
      <c r="I1878" s="14" t="n">
        <v>6</v>
      </c>
      <c r="K1878" s="15" t="n"/>
      <c r="O1878" s="15" t="n"/>
      <c r="P1878" s="16" t="n">
        <v>9747270</v>
      </c>
      <c r="Q1878" s="16" t="n">
        <v>8815570</v>
      </c>
      <c r="S1878" s="16" t="n">
        <v>8914710</v>
      </c>
      <c r="U1878" s="16" t="n">
        <v>8914710</v>
      </c>
      <c r="AC1878" s="23">
        <f>IF(OR(E1878="",E1878="[PARENT]"),"ADD",IF(E1878="[ALT_VIEW]","ALT",""))</f>
        <v/>
      </c>
      <c r="AD1878" s="21">
        <f>IF(Y1878&lt;&gt;"",Y1878,IF(U1878&lt;&gt;"",U1878,S1878))</f>
        <v/>
      </c>
      <c r="AE1878" s="21">
        <f>IF(AB1878&lt;&gt;"",AB1878,Z1878)</f>
        <v/>
      </c>
      <c r="AF1878" s="13" t="inlineStr">
        <is>
          <t>Supply Management &gt; Exhibit Fund-11 &gt; Total New Orders</t>
        </is>
      </c>
      <c r="AG1878" s="7" t="inlineStr">
        <is>
          <t>134</t>
        </is>
      </c>
      <c r="AH1878" s="7" t="inlineStr">
        <is>
          <t>NWCF-Supply</t>
        </is>
      </c>
    </row>
    <row r="1879" ht="10" customHeight="1">
      <c r="A1879" s="7" t="inlineStr">
        <is>
          <t>NWCF</t>
        </is>
      </c>
      <c r="B1879" s="7" t="inlineStr">
        <is>
          <t>Working Capital Fund</t>
        </is>
      </c>
      <c r="D1879" s="7" t="inlineStr">
        <is>
          <t>Supply Carry-In Orders</t>
        </is>
      </c>
      <c r="E1879" s="13" t="inlineStr">
        <is>
          <t>[REFERENCE]</t>
        </is>
      </c>
      <c r="I1879" s="14" t="n">
        <v>6</v>
      </c>
      <c r="K1879" s="15" t="n"/>
      <c r="O1879" s="15" t="n"/>
      <c r="P1879" s="16" t="n">
        <v>2529770</v>
      </c>
      <c r="Q1879" s="16" t="n">
        <v>3168410</v>
      </c>
      <c r="S1879" s="16" t="n">
        <v>3668370</v>
      </c>
      <c r="U1879" s="16" t="n">
        <v>3668370</v>
      </c>
      <c r="AC1879" s="23">
        <f>IF(OR(E1879="",E1879="[PARENT]"),"ADD",IF(E1879="[ALT_VIEW]","ALT",""))</f>
        <v/>
      </c>
      <c r="AD1879" s="21">
        <f>IF(Y1879&lt;&gt;"",Y1879,IF(U1879&lt;&gt;"",U1879,S1879))</f>
        <v/>
      </c>
      <c r="AE1879" s="21">
        <f>IF(AB1879&lt;&gt;"",AB1879,Z1879)</f>
        <v/>
      </c>
      <c r="AF1879" s="13" t="inlineStr">
        <is>
          <t>Supply Management &gt; Exhibit Fund-11 &gt; Carry-In Orders</t>
        </is>
      </c>
      <c r="AG1879" s="7" t="inlineStr">
        <is>
          <t>134</t>
        </is>
      </c>
      <c r="AH1879" s="7" t="inlineStr">
        <is>
          <t>NWCF-Supply</t>
        </is>
      </c>
    </row>
    <row r="1880" ht="10" customHeight="1">
      <c r="A1880" s="7" t="inlineStr">
        <is>
          <t>NWCF</t>
        </is>
      </c>
      <c r="B1880" s="7" t="inlineStr">
        <is>
          <t>Working Capital Fund</t>
        </is>
      </c>
      <c r="D1880" s="7" t="inlineStr">
        <is>
          <t>Supply Net Sales</t>
        </is>
      </c>
      <c r="E1880" s="13" t="inlineStr">
        <is>
          <t>[ALT_VIEW]</t>
        </is>
      </c>
      <c r="F1880" s="7" t="inlineStr">
        <is>
          <t>Supply Total New Orders</t>
        </is>
      </c>
      <c r="I1880" s="14" t="n">
        <v>6</v>
      </c>
      <c r="K1880" s="15" t="n"/>
      <c r="O1880" s="15" t="n"/>
      <c r="P1880" s="16" t="n">
        <v>9108220</v>
      </c>
      <c r="Q1880" s="16" t="n">
        <v>8121960</v>
      </c>
      <c r="S1880" s="16" t="n">
        <v>8998380</v>
      </c>
      <c r="U1880" s="16" t="n">
        <v>8998380</v>
      </c>
      <c r="AC1880" s="23">
        <f>IF(OR(E1880="",E1880="[PARENT]"),"ADD",IF(E1880="[ALT_VIEW]","ALT",""))</f>
        <v/>
      </c>
      <c r="AD1880" s="21">
        <f>IF(Y1880&lt;&gt;"",Y1880,IF(U1880&lt;&gt;"",U1880,S1880))</f>
        <v/>
      </c>
      <c r="AE1880" s="21">
        <f>IF(AB1880&lt;&gt;"",AB1880,Z1880)</f>
        <v/>
      </c>
      <c r="AF1880" s="13" t="inlineStr">
        <is>
          <t>Supply Management &gt; Exhibit Fund-11 &gt; Net Sales</t>
        </is>
      </c>
      <c r="AG1880" s="7" t="inlineStr">
        <is>
          <t>134</t>
        </is>
      </c>
      <c r="AH1880" s="7" t="inlineStr">
        <is>
          <t>NWCF-Supply</t>
        </is>
      </c>
      <c r="AI1880" s="7" t="inlineStr">
        <is>
          <t>Net Sales</t>
        </is>
      </c>
      <c r="AJ1880" s="7" t="inlineStr">
        <is>
          <t>Net Sales</t>
        </is>
      </c>
    </row>
    <row r="1881" ht="10" customHeight="1">
      <c r="A1881" s="7" t="inlineStr">
        <is>
          <t>NWCF</t>
        </is>
      </c>
      <c r="B1881" s="7" t="inlineStr">
        <is>
          <t>Working Capital Fund</t>
        </is>
      </c>
      <c r="D1881" s="7" t="inlineStr">
        <is>
          <t>Supply Total Income</t>
        </is>
      </c>
      <c r="E1881" s="13" t="inlineStr">
        <is>
          <t>[PARENT]</t>
        </is>
      </c>
      <c r="I1881" s="14" t="n">
        <v>6</v>
      </c>
      <c r="K1881" s="15" t="n"/>
      <c r="O1881" s="15" t="n"/>
      <c r="P1881" s="16" t="n">
        <v>9110000</v>
      </c>
      <c r="Q1881" s="16" t="n">
        <v>8122000</v>
      </c>
      <c r="S1881" s="16" t="n">
        <v>8998000</v>
      </c>
      <c r="U1881" s="16" t="n">
        <v>8998000</v>
      </c>
      <c r="AC1881" s="23">
        <f>IF(OR(E1881="",E1881="[PARENT]"),"ADD",IF(E1881="[ALT_VIEW]","ALT",""))</f>
        <v/>
      </c>
      <c r="AD1881" s="21">
        <f>IF(Y1881&lt;&gt;"",Y1881,IF(U1881&lt;&gt;"",U1881,S1881))</f>
        <v/>
      </c>
      <c r="AE1881" s="21">
        <f>IF(AB1881&lt;&gt;"",AB1881,Z1881)</f>
        <v/>
      </c>
      <c r="AF1881" s="13" t="inlineStr">
        <is>
          <t>Supply Management &gt; Exhibit Fund-14 &gt; Total Income</t>
        </is>
      </c>
      <c r="AG1881" s="7" t="inlineStr">
        <is>
          <t>135</t>
        </is>
      </c>
      <c r="AH1881" s="7" t="inlineStr">
        <is>
          <t>NWCF-Supply</t>
        </is>
      </c>
    </row>
    <row r="1882" ht="10" customHeight="1">
      <c r="A1882" s="7" t="inlineStr">
        <is>
          <t>NWCF</t>
        </is>
      </c>
      <c r="B1882" s="7" t="inlineStr">
        <is>
          <t>Working Capital Fund</t>
        </is>
      </c>
      <c r="D1882" s="7" t="inlineStr">
        <is>
          <t>Supply Cost of Navy Managed Materiel (920)</t>
        </is>
      </c>
      <c r="E1882" s="13" t="inlineStr">
        <is>
          <t>[SUB]</t>
        </is>
      </c>
      <c r="F1882" s="7" t="inlineStr">
        <is>
          <t>Supply Total Expenses</t>
        </is>
      </c>
      <c r="I1882" s="14" t="n">
        <v>6</v>
      </c>
      <c r="K1882" s="15" t="n"/>
      <c r="O1882" s="15" t="n"/>
      <c r="P1882" s="16" t="n">
        <v>5337000</v>
      </c>
      <c r="Q1882" s="16" t="n">
        <v>5089000</v>
      </c>
      <c r="S1882" s="16" t="n">
        <v>8455000</v>
      </c>
      <c r="U1882" s="16" t="n">
        <v>8455000</v>
      </c>
      <c r="AC1882" s="23">
        <f>IF(OR(E1882="",E1882="[PARENT]"),"ADD",IF(E1882="[ALT_VIEW]","ALT",""))</f>
        <v/>
      </c>
      <c r="AD1882" s="21">
        <f>IF(Y1882&lt;&gt;"",Y1882,IF(U1882&lt;&gt;"",U1882,S1882))</f>
        <v/>
      </c>
      <c r="AE1882" s="21">
        <f>IF(AB1882&lt;&gt;"",AB1882,Z1882)</f>
        <v/>
      </c>
      <c r="AF1882" s="13" t="inlineStr">
        <is>
          <t>Supply Management &gt; Exhibit Fund-14 &gt; Navy Managed (920)</t>
        </is>
      </c>
      <c r="AG1882" s="7" t="inlineStr">
        <is>
          <t>135</t>
        </is>
      </c>
      <c r="AH1882" s="7" t="inlineStr">
        <is>
          <t>NWCF-Supply</t>
        </is>
      </c>
      <c r="AI1882" s="7" t="inlineStr">
        <is>
          <t>Navy Managed (920)</t>
        </is>
      </c>
      <c r="AJ1882" s="7" t="inlineStr">
        <is>
          <t>Navy Managed (920)</t>
        </is>
      </c>
    </row>
    <row r="1883" ht="10" customHeight="1">
      <c r="A1883" s="7" t="inlineStr">
        <is>
          <t>NWCF</t>
        </is>
      </c>
      <c r="B1883" s="7" t="inlineStr">
        <is>
          <t>Working Capital Fund</t>
        </is>
      </c>
      <c r="D1883" s="7" t="inlineStr">
        <is>
          <t>Supply Cost of DLA Managed Materiel (424)</t>
        </is>
      </c>
      <c r="E1883" s="13" t="inlineStr">
        <is>
          <t>[SUB]</t>
        </is>
      </c>
      <c r="F1883" s="7" t="inlineStr">
        <is>
          <t>Supply Total Expenses</t>
        </is>
      </c>
      <c r="I1883" s="14" t="n">
        <v>6</v>
      </c>
      <c r="K1883" s="15" t="n"/>
      <c r="O1883" s="15" t="n"/>
      <c r="P1883" s="16" t="n">
        <v>970000</v>
      </c>
      <c r="Q1883" s="16" t="n">
        <v>1056000</v>
      </c>
      <c r="S1883" s="16" t="n">
        <v>1122000</v>
      </c>
      <c r="U1883" s="16" t="n">
        <v>1122000</v>
      </c>
      <c r="AC1883" s="23">
        <f>IF(OR(E1883="",E1883="[PARENT]"),"ADD",IF(E1883="[ALT_VIEW]","ALT",""))</f>
        <v/>
      </c>
      <c r="AD1883" s="21">
        <f>IF(Y1883&lt;&gt;"",Y1883,IF(U1883&lt;&gt;"",U1883,S1883))</f>
        <v/>
      </c>
      <c r="AE1883" s="21">
        <f>IF(AB1883&lt;&gt;"",AB1883,Z1883)</f>
        <v/>
      </c>
      <c r="AF1883" s="13" t="inlineStr">
        <is>
          <t>Supply Management &gt; Exhibit Fund-14 &gt; DLA Managed (424)</t>
        </is>
      </c>
      <c r="AG1883" s="7" t="inlineStr">
        <is>
          <t>135</t>
        </is>
      </c>
      <c r="AH1883" s="7" t="inlineStr">
        <is>
          <t>NWCF-Supply</t>
        </is>
      </c>
      <c r="AI1883" s="7" t="inlineStr">
        <is>
          <t>DLA Managed (424)</t>
        </is>
      </c>
      <c r="AJ1883" s="7" t="inlineStr">
        <is>
          <t>DLA Managed (424)</t>
        </is>
      </c>
    </row>
    <row r="1884" ht="10" customHeight="1">
      <c r="A1884" s="7" t="inlineStr">
        <is>
          <t>NWCF</t>
        </is>
      </c>
      <c r="B1884" s="7" t="inlineStr">
        <is>
          <t>Working Capital Fund</t>
        </is>
      </c>
      <c r="D1884" s="7" t="inlineStr">
        <is>
          <t>Supply Total Expenses</t>
        </is>
      </c>
      <c r="E1884" s="13" t="inlineStr">
        <is>
          <t>[PARENT]</t>
        </is>
      </c>
      <c r="I1884" s="14" t="n">
        <v>6</v>
      </c>
      <c r="K1884" s="15" t="n"/>
      <c r="O1884" s="15" t="n"/>
      <c r="P1884" s="16" t="n">
        <v>7732000</v>
      </c>
      <c r="Q1884" s="16" t="n">
        <v>7619000</v>
      </c>
      <c r="S1884" s="16" t="n">
        <v>10909000</v>
      </c>
      <c r="U1884" s="16" t="n">
        <v>10909000</v>
      </c>
      <c r="AC1884" s="23">
        <f>IF(OR(E1884="",E1884="[PARENT]"),"ADD",IF(E1884="[ALT_VIEW]","ALT",""))</f>
        <v/>
      </c>
      <c r="AD1884" s="21">
        <f>IF(Y1884&lt;&gt;"",Y1884,IF(U1884&lt;&gt;"",U1884,S1884))</f>
        <v/>
      </c>
      <c r="AE1884" s="21">
        <f>IF(AB1884&lt;&gt;"",AB1884,Z1884)</f>
        <v/>
      </c>
      <c r="AF1884" s="13" t="inlineStr">
        <is>
          <t>Supply Management &gt; Exhibit Fund-14 &gt; Total Expenses</t>
        </is>
      </c>
      <c r="AG1884" s="7" t="inlineStr">
        <is>
          <t>135</t>
        </is>
      </c>
      <c r="AH1884" s="7" t="inlineStr">
        <is>
          <t>NWCF-Supply</t>
        </is>
      </c>
    </row>
    <row r="1885" ht="10" customHeight="1">
      <c r="A1885" s="7" t="inlineStr">
        <is>
          <t>NWCF</t>
        </is>
      </c>
      <c r="B1885" s="7" t="inlineStr">
        <is>
          <t>Working Capital Fund</t>
        </is>
      </c>
      <c r="D1885" s="7" t="inlineStr">
        <is>
          <t>Supply Net Operating Result</t>
        </is>
      </c>
      <c r="E1885" s="13" t="inlineStr">
        <is>
          <t>[REFERENCE]</t>
        </is>
      </c>
      <c r="I1885" s="14" t="n">
        <v>6</v>
      </c>
      <c r="K1885" s="15" t="n"/>
      <c r="O1885" s="15" t="n"/>
      <c r="P1885" s="16" t="n">
        <v>1378000</v>
      </c>
      <c r="Q1885" s="16" t="n">
        <v>503000</v>
      </c>
      <c r="S1885" s="16" t="n">
        <v>-1911000</v>
      </c>
      <c r="U1885" s="16" t="n">
        <v>-1911000</v>
      </c>
      <c r="AC1885" s="23">
        <f>IF(OR(E1885="",E1885="[PARENT]"),"ADD",IF(E1885="[ALT_VIEW]","ALT",""))</f>
        <v/>
      </c>
      <c r="AD1885" s="21">
        <f>IF(Y1885&lt;&gt;"",Y1885,IF(U1885&lt;&gt;"",U1885,S1885))</f>
        <v/>
      </c>
      <c r="AE1885" s="21">
        <f>IF(AB1885&lt;&gt;"",AB1885,Z1885)</f>
        <v/>
      </c>
      <c r="AF1885" s="13" t="inlineStr">
        <is>
          <t>Supply Management &gt; Exhibit Fund-14 &gt; Net Operating Result</t>
        </is>
      </c>
      <c r="AG1885" s="7" t="inlineStr">
        <is>
          <t>135</t>
        </is>
      </c>
      <c r="AH1885" s="7" t="inlineStr">
        <is>
          <t>NWCF-Supply</t>
        </is>
      </c>
    </row>
    <row r="1886" ht="10" customHeight="1">
      <c r="A1886" s="7" t="inlineStr">
        <is>
          <t>NWCF</t>
        </is>
      </c>
      <c r="B1886" s="7" t="inlineStr">
        <is>
          <t>Working Capital Fund</t>
        </is>
      </c>
      <c r="D1886" s="7" t="inlineStr">
        <is>
          <t>VACL Material Strategy</t>
        </is>
      </c>
      <c r="E1886" s="13" t="inlineStr">
        <is>
          <t>[REFERENCE]</t>
        </is>
      </c>
      <c r="I1886" s="14" t="n">
        <v>6</v>
      </c>
      <c r="J1886" s="7" t="inlineStr">
        <is>
          <t>Sustainment Engineering/Planning/Obsolescence Support - spares</t>
        </is>
      </c>
      <c r="K1886" s="13" t="inlineStr">
        <is>
          <t>USN</t>
        </is>
      </c>
      <c r="L1886" s="7" t="inlineStr">
        <is>
          <t>Combatant Ships</t>
        </is>
      </c>
      <c r="M1886" s="7" t="inlineStr">
        <is>
          <t>Submarines</t>
        </is>
      </c>
      <c r="N1886" s="7" t="inlineStr">
        <is>
          <t>SSN</t>
        </is>
      </c>
      <c r="O1886" s="15" t="n"/>
      <c r="S1886" s="16" t="n">
        <v>909000</v>
      </c>
      <c r="U1886" s="16" t="n">
        <v>909000</v>
      </c>
      <c r="AC1886" s="23">
        <f>IF(OR(E1886="",E1886="[PARENT]"),"ADD",IF(E1886="[ALT_VIEW]","ALT",""))</f>
        <v/>
      </c>
      <c r="AD1886" s="21">
        <f>IF(Y1886&lt;&gt;"",Y1886,IF(U1886&lt;&gt;"",U1886,S1886))</f>
        <v/>
      </c>
      <c r="AE1886" s="21">
        <f>IF(AB1886&lt;&gt;"",AB1886,Z1886)</f>
        <v/>
      </c>
      <c r="AF1886" s="13" t="inlineStr">
        <is>
          <t>Supply Management &gt; Narrative &gt; Significant Changes &gt; VACL Material Strategy</t>
        </is>
      </c>
      <c r="AG1886" s="7" t="inlineStr">
        <is>
          <t>102</t>
        </is>
      </c>
      <c r="AH1886" s="7" t="inlineStr">
        <is>
          <t>NWCF-Supply</t>
        </is>
      </c>
    </row>
    <row r="1887" ht="10" customHeight="1">
      <c r="A1887" s="7" t="inlineStr">
        <is>
          <t>NWCF</t>
        </is>
      </c>
      <c r="B1887" s="7" t="inlineStr">
        <is>
          <t>Working Capital Fund</t>
        </is>
      </c>
      <c r="D1887" s="7" t="inlineStr">
        <is>
          <t>Submarine Wholeness (Shipyards) CA increase</t>
        </is>
      </c>
      <c r="E1887" s="13" t="inlineStr">
        <is>
          <t>[REFERENCE]</t>
        </is>
      </c>
      <c r="I1887" s="14" t="n">
        <v>6</v>
      </c>
      <c r="J1887" s="7" t="inlineStr">
        <is>
          <t>Sustainment Engineering/Planning/Obsolescence Support - spares</t>
        </is>
      </c>
      <c r="K1887" s="13" t="inlineStr">
        <is>
          <t>USN</t>
        </is>
      </c>
      <c r="L1887" s="7" t="inlineStr">
        <is>
          <t>Combatant Ships</t>
        </is>
      </c>
      <c r="M1887" s="7" t="inlineStr">
        <is>
          <t>Submarines</t>
        </is>
      </c>
      <c r="N1887" s="7" t="inlineStr">
        <is>
          <t>SSN</t>
        </is>
      </c>
      <c r="O1887" s="15" t="n"/>
      <c r="S1887" s="16" t="n">
        <v>38000</v>
      </c>
      <c r="U1887" s="16" t="n">
        <v>38000</v>
      </c>
      <c r="AC1887" s="23">
        <f>IF(OR(E1887="",E1887="[PARENT]"),"ADD",IF(E1887="[ALT_VIEW]","ALT",""))</f>
        <v/>
      </c>
      <c r="AD1887" s="21">
        <f>IF(Y1887&lt;&gt;"",Y1887,IF(U1887&lt;&gt;"",U1887,S1887))</f>
        <v/>
      </c>
      <c r="AE1887" s="21">
        <f>IF(AB1887&lt;&gt;"",AB1887,Z1887)</f>
        <v/>
      </c>
      <c r="AF1887" s="13" t="inlineStr">
        <is>
          <t>Supply Management &gt; Narrative &gt; Contract Authority &gt; Retail</t>
        </is>
      </c>
      <c r="AG1887" s="7" t="inlineStr">
        <is>
          <t>104</t>
        </is>
      </c>
      <c r="AH1887" s="7" t="inlineStr">
        <is>
          <t>NWCF-Supply</t>
        </is>
      </c>
    </row>
    <row r="1888" ht="10" customHeight="1">
      <c r="A1888" s="7" t="inlineStr">
        <is>
          <t>NWCF</t>
        </is>
      </c>
      <c r="B1888" s="7" t="inlineStr">
        <is>
          <t>Working Capital Fund</t>
        </is>
      </c>
      <c r="D1888" s="7" t="inlineStr">
        <is>
          <t>Amphibious Reset Steam and Diesel BOM</t>
        </is>
      </c>
      <c r="E1888" s="13" t="inlineStr">
        <is>
          <t>[REFERENCE]</t>
        </is>
      </c>
      <c r="I1888" s="14" t="n">
        <v>6</v>
      </c>
      <c r="J1888" s="7" t="inlineStr">
        <is>
          <t>Sustainment Engineering/Planning/Obsolescence Support - spares</t>
        </is>
      </c>
      <c r="K1888" s="13" t="inlineStr">
        <is>
          <t>USN</t>
        </is>
      </c>
      <c r="L1888" s="7" t="inlineStr">
        <is>
          <t>Combatant Ships</t>
        </is>
      </c>
      <c r="M1888" s="7" t="inlineStr">
        <is>
          <t>Amphibious Warfare Ships</t>
        </is>
      </c>
      <c r="O1888" s="15" t="n"/>
      <c r="AC1888" s="23">
        <f>IF(OR(E1888="",E1888="[PARENT]"),"ADD",IF(E1888="[ALT_VIEW]","ALT",""))</f>
        <v/>
      </c>
      <c r="AD1888" s="21">
        <f>IF(Y1888&lt;&gt;"",Y1888,IF(U1888&lt;&gt;"",U1888,S1888))</f>
        <v/>
      </c>
      <c r="AE1888" s="21">
        <f>IF(AB1888&lt;&gt;"",AB1888,Z1888)</f>
        <v/>
      </c>
      <c r="AF1888" s="13" t="inlineStr">
        <is>
          <t>Supply Management &gt; Narrative &gt; Significant Changes</t>
        </is>
      </c>
      <c r="AG1888" s="7" t="inlineStr">
        <is>
          <t>102</t>
        </is>
      </c>
      <c r="AH1888" s="7" t="inlineStr">
        <is>
          <t>NWCF-Supply</t>
        </is>
      </c>
    </row>
    <row r="1889" ht="10" customHeight="1">
      <c r="A1889" s="7" t="inlineStr">
        <is>
          <t>NWCF</t>
        </is>
      </c>
      <c r="B1889" s="7" t="inlineStr">
        <is>
          <t>Working Capital Fund</t>
        </is>
      </c>
      <c r="D1889" s="7" t="inlineStr">
        <is>
          <t>Shipboard Consumables ICC AIC Rate</t>
        </is>
      </c>
      <c r="E1889" s="13" t="inlineStr">
        <is>
          <t>[REFERENCE]</t>
        </is>
      </c>
      <c r="I1889" s="14" t="n">
        <v>6</v>
      </c>
      <c r="K1889" s="15" t="n"/>
      <c r="O1889" s="15" t="n"/>
      <c r="S1889" s="14" t="inlineStr">
        <is>
          <t>4.74%</t>
        </is>
      </c>
      <c r="U1889" s="14" t="inlineStr">
        <is>
          <t>4.74%</t>
        </is>
      </c>
      <c r="AC1889" s="23">
        <f>IF(OR(E1889="",E1889="[PARENT]"),"ADD",IF(E1889="[ALT_VIEW]","ALT",""))</f>
        <v/>
      </c>
      <c r="AD1889" s="21">
        <f>IF(Y1889&lt;&gt;"",Y1889,IF(U1889&lt;&gt;"",U1889,S1889))</f>
        <v/>
      </c>
      <c r="AE1889" s="21">
        <f>IF(AB1889&lt;&gt;"",AB1889,Z1889)</f>
        <v/>
      </c>
      <c r="AF1889" s="13" t="inlineStr">
        <is>
          <t>Supply Management &gt; Narrative &gt; Unit Cost Ratio &gt; Shipboard Consumables</t>
        </is>
      </c>
      <c r="AG1889" s="7" t="inlineStr">
        <is>
          <t>109</t>
        </is>
      </c>
      <c r="AH1889" s="7" t="inlineStr">
        <is>
          <t>NWCF-Supply</t>
        </is>
      </c>
    </row>
    <row r="1890" ht="10" customHeight="1">
      <c r="A1890" s="7" t="inlineStr">
        <is>
          <t>NWCF</t>
        </is>
      </c>
      <c r="B1890" s="7" t="inlineStr">
        <is>
          <t>Working Capital Fund</t>
        </is>
      </c>
      <c r="D1890" s="7" t="inlineStr">
        <is>
          <t>Shipboard Repairables Standard ICC AIC Rate</t>
        </is>
      </c>
      <c r="E1890" s="13" t="inlineStr">
        <is>
          <t>[REFERENCE]</t>
        </is>
      </c>
      <c r="I1890" s="14" t="n">
        <v>6</v>
      </c>
      <c r="K1890" s="15" t="n"/>
      <c r="O1890" s="15" t="n"/>
      <c r="S1890" s="14" t="inlineStr">
        <is>
          <t>4.74%</t>
        </is>
      </c>
      <c r="U1890" s="14" t="inlineStr">
        <is>
          <t>4.74%</t>
        </is>
      </c>
      <c r="AC1890" s="23">
        <f>IF(OR(E1890="",E1890="[PARENT]"),"ADD",IF(E1890="[ALT_VIEW]","ALT",""))</f>
        <v/>
      </c>
      <c r="AD1890" s="21">
        <f>IF(Y1890&lt;&gt;"",Y1890,IF(U1890&lt;&gt;"",U1890,S1890))</f>
        <v/>
      </c>
      <c r="AE1890" s="21">
        <f>IF(AB1890&lt;&gt;"",AB1890,Z1890)</f>
        <v/>
      </c>
      <c r="AF1890" s="13" t="inlineStr">
        <is>
          <t>Supply Management &gt; Narrative &gt; Unit Cost Ratio &gt; Shipboard Repairables Standard</t>
        </is>
      </c>
      <c r="AG1890" s="7" t="inlineStr">
        <is>
          <t>109</t>
        </is>
      </c>
      <c r="AH1890" s="7" t="inlineStr">
        <is>
          <t>NWCF-Supply</t>
        </is>
      </c>
    </row>
    <row r="1891" ht="10" customHeight="1">
      <c r="A1891" s="7" t="inlineStr">
        <is>
          <t>NWCF</t>
        </is>
      </c>
      <c r="B1891" s="7" t="inlineStr">
        <is>
          <t>Working Capital Fund</t>
        </is>
      </c>
      <c r="D1891" s="7" t="inlineStr">
        <is>
          <t>Shipboard Repairables Net ICC AIC Rate</t>
        </is>
      </c>
      <c r="E1891" s="13" t="inlineStr">
        <is>
          <t>[REFERENCE]</t>
        </is>
      </c>
      <c r="I1891" s="14" t="n">
        <v>6</v>
      </c>
      <c r="K1891" s="15" t="n"/>
      <c r="O1891" s="15" t="n"/>
      <c r="S1891" s="14" t="inlineStr">
        <is>
          <t>-0.61%</t>
        </is>
      </c>
      <c r="U1891" s="14" t="inlineStr">
        <is>
          <t>-0.61%</t>
        </is>
      </c>
      <c r="AC1891" s="23">
        <f>IF(OR(E1891="",E1891="[PARENT]"),"ADD",IF(E1891="[ALT_VIEW]","ALT",""))</f>
        <v/>
      </c>
      <c r="AD1891" s="21">
        <f>IF(Y1891&lt;&gt;"",Y1891,IF(U1891&lt;&gt;"",U1891,S1891))</f>
        <v/>
      </c>
      <c r="AE1891" s="21">
        <f>IF(AB1891&lt;&gt;"",AB1891,Z1891)</f>
        <v/>
      </c>
      <c r="AF1891" s="13" t="inlineStr">
        <is>
          <t>Supply Management &gt; Narrative &gt; Unit Cost Ratio &gt; Shipboard Repairables Net</t>
        </is>
      </c>
      <c r="AG1891" s="7" t="inlineStr">
        <is>
          <t>109</t>
        </is>
      </c>
      <c r="AH1891" s="7" t="inlineStr">
        <is>
          <t>NWCF-Supply</t>
        </is>
      </c>
    </row>
    <row r="1892" ht="10" customHeight="1">
      <c r="A1892" s="7" t="inlineStr">
        <is>
          <t>NWCF</t>
        </is>
      </c>
      <c r="B1892" s="7" t="inlineStr">
        <is>
          <t>Working Capital Fund</t>
        </is>
      </c>
      <c r="D1892" s="7" t="inlineStr">
        <is>
          <t>FRC Orders from Shipbuilding &amp; Conversion Navy</t>
        </is>
      </c>
      <c r="E1892" s="15" t="n"/>
      <c r="I1892" s="14" t="n">
        <v>1</v>
      </c>
      <c r="J1892" s="7" t="inlineStr">
        <is>
          <t>Construction engineering / planning yard</t>
        </is>
      </c>
      <c r="K1892" s="15" t="n"/>
      <c r="O1892" s="15" t="n"/>
      <c r="P1892" s="16" t="n">
        <v>10510</v>
      </c>
      <c r="Q1892" s="16" t="n">
        <v>14200</v>
      </c>
      <c r="S1892" s="16" t="n">
        <v>8930</v>
      </c>
      <c r="U1892" s="16" t="n">
        <v>8930</v>
      </c>
      <c r="AC1892" s="23">
        <f>IF(OR(E1892="",E1892="[PARENT]"),"ADD",IF(E1892="[ALT_VIEW]","ALT",""))</f>
        <v/>
      </c>
      <c r="AD1892" s="21">
        <f>IF(Y1892&lt;&gt;"",Y1892,IF(U1892&lt;&gt;"",U1892,S1892))</f>
        <v/>
      </c>
      <c r="AE1892" s="21">
        <f>IF(AB1892&lt;&gt;"",AB1892,Z1892)</f>
        <v/>
      </c>
      <c r="AF1892" s="13" t="inlineStr">
        <is>
          <t>Depot Maintenance FRC &gt; Exhibit Fund-11 &gt; Shipbuilding &amp; Conversion Navy</t>
        </is>
      </c>
      <c r="AG1892" s="7" t="inlineStr">
        <is>
          <t>72</t>
        </is>
      </c>
      <c r="AH1892" s="7" t="inlineStr">
        <is>
          <t>NWCF-FRC</t>
        </is>
      </c>
    </row>
    <row r="1893" ht="10" customHeight="1">
      <c r="A1893" s="7" t="inlineStr">
        <is>
          <t>NWCF</t>
        </is>
      </c>
      <c r="B1893" s="7" t="inlineStr">
        <is>
          <t>Working Capital Fund</t>
        </is>
      </c>
      <c r="D1893" s="7" t="inlineStr">
        <is>
          <t>FRC Total New Orders</t>
        </is>
      </c>
      <c r="E1893" s="13" t="inlineStr">
        <is>
          <t>[PARENT]</t>
        </is>
      </c>
      <c r="I1893" s="14" t="n">
        <v>6</v>
      </c>
      <c r="K1893" s="15" t="n"/>
      <c r="O1893" s="15" t="n"/>
      <c r="P1893" s="16" t="n">
        <v>2692380</v>
      </c>
      <c r="Q1893" s="16" t="n">
        <v>2703030</v>
      </c>
      <c r="S1893" s="16" t="n">
        <v>2881340</v>
      </c>
      <c r="U1893" s="16" t="n">
        <v>2881340</v>
      </c>
      <c r="AC1893" s="23">
        <f>IF(OR(E1893="",E1893="[PARENT]"),"ADD",IF(E1893="[ALT_VIEW]","ALT",""))</f>
        <v/>
      </c>
      <c r="AD1893" s="21">
        <f>IF(Y1893&lt;&gt;"",Y1893,IF(U1893&lt;&gt;"",U1893,S1893))</f>
        <v/>
      </c>
      <c r="AE1893" s="21">
        <f>IF(AB1893&lt;&gt;"",AB1893,Z1893)</f>
        <v/>
      </c>
      <c r="AF1893" s="13" t="inlineStr">
        <is>
          <t>Depot Maintenance FRC &gt; Exhibit Fund-11 &gt; Line 1. New Orders</t>
        </is>
      </c>
      <c r="AG1893" s="7" t="inlineStr">
        <is>
          <t>72</t>
        </is>
      </c>
      <c r="AH1893" s="7" t="inlineStr">
        <is>
          <t>NWCF-FRC</t>
        </is>
      </c>
    </row>
    <row r="1894" ht="10" customHeight="1">
      <c r="A1894" s="7" t="inlineStr">
        <is>
          <t>NWCF</t>
        </is>
      </c>
      <c r="B1894" s="7" t="inlineStr">
        <is>
          <t>Working Capital Fund</t>
        </is>
      </c>
      <c r="D1894" s="7" t="inlineStr">
        <is>
          <t>FRC Total Revenue (Total Income)</t>
        </is>
      </c>
      <c r="E1894" s="13" t="inlineStr">
        <is>
          <t>[ALT_VIEW]</t>
        </is>
      </c>
      <c r="F1894" s="7" t="inlineStr">
        <is>
          <t>FRC Total New Orders</t>
        </is>
      </c>
      <c r="I1894" s="14" t="n">
        <v>6</v>
      </c>
      <c r="K1894" s="15" t="n"/>
      <c r="O1894" s="15" t="n"/>
      <c r="P1894" s="16" t="n">
        <v>2847640</v>
      </c>
      <c r="Q1894" s="16" t="n">
        <v>2925450</v>
      </c>
      <c r="S1894" s="16" t="n">
        <v>2937090</v>
      </c>
      <c r="U1894" s="16" t="n">
        <v>2937090</v>
      </c>
      <c r="AC1894" s="23">
        <f>IF(OR(E1894="",E1894="[PARENT]"),"ADD",IF(E1894="[ALT_VIEW]","ALT",""))</f>
        <v/>
      </c>
      <c r="AD1894" s="21">
        <f>IF(Y1894&lt;&gt;"",Y1894,IF(U1894&lt;&gt;"",U1894,S1894))</f>
        <v/>
      </c>
      <c r="AE1894" s="21">
        <f>IF(AB1894&lt;&gt;"",AB1894,Z1894)</f>
        <v/>
      </c>
      <c r="AF1894" s="13" t="inlineStr">
        <is>
          <t>Depot Maintenance FRC &gt; Exhibit Fund-14 &gt; Total Income</t>
        </is>
      </c>
      <c r="AG1894" s="7" t="inlineStr">
        <is>
          <t>74</t>
        </is>
      </c>
      <c r="AH1894" s="7" t="inlineStr">
        <is>
          <t>NWCF-FRC</t>
        </is>
      </c>
    </row>
    <row r="1895" ht="10" customHeight="1">
      <c r="A1895" s="7" t="inlineStr">
        <is>
          <t>NWCF</t>
        </is>
      </c>
      <c r="B1895" s="7" t="inlineStr">
        <is>
          <t>Working Capital Fund</t>
        </is>
      </c>
      <c r="D1895" s="7" t="inlineStr">
        <is>
          <t>FRC Total Expenses (Cost of Goods Sold)</t>
        </is>
      </c>
      <c r="E1895" s="13" t="inlineStr">
        <is>
          <t>[ALT_VIEW]</t>
        </is>
      </c>
      <c r="F1895" s="7" t="inlineStr">
        <is>
          <t>FRC Total New Orders</t>
        </is>
      </c>
      <c r="I1895" s="14" t="n">
        <v>6</v>
      </c>
      <c r="K1895" s="15" t="n"/>
      <c r="O1895" s="15" t="n"/>
      <c r="P1895" s="16" t="n">
        <v>2944000</v>
      </c>
      <c r="Q1895" s="16" t="n">
        <v>2955200</v>
      </c>
      <c r="S1895" s="16" t="n">
        <v>2900760</v>
      </c>
      <c r="U1895" s="16" t="n">
        <v>2900760</v>
      </c>
      <c r="AC1895" s="23">
        <f>IF(OR(E1895="",E1895="[PARENT]"),"ADD",IF(E1895="[ALT_VIEW]","ALT",""))</f>
        <v/>
      </c>
      <c r="AD1895" s="21">
        <f>IF(Y1895&lt;&gt;"",Y1895,IF(U1895&lt;&gt;"",U1895,S1895))</f>
        <v/>
      </c>
      <c r="AE1895" s="21">
        <f>IF(AB1895&lt;&gt;"",AB1895,Z1895)</f>
        <v/>
      </c>
      <c r="AF1895" s="13" t="inlineStr">
        <is>
          <t>Depot Maintenance FRC &gt; Exhibit Fund-14 &gt; Cost of Goods Sold</t>
        </is>
      </c>
      <c r="AG1895" s="7" t="inlineStr">
        <is>
          <t>74</t>
        </is>
      </c>
      <c r="AH1895" s="7" t="inlineStr">
        <is>
          <t>NWCF-FRC</t>
        </is>
      </c>
      <c r="AI1895" s="7" t="inlineStr">
        <is>
          <t>Cost of Goods Sold</t>
        </is>
      </c>
      <c r="AJ1895" s="7" t="inlineStr">
        <is>
          <t>Cost of Goods Sold</t>
        </is>
      </c>
    </row>
    <row r="1896" ht="10" customHeight="1">
      <c r="A1896" s="7" t="inlineStr">
        <is>
          <t>NWCF</t>
        </is>
      </c>
      <c r="B1896" s="7" t="inlineStr">
        <is>
          <t>Working Capital Fund</t>
        </is>
      </c>
      <c r="D1896" s="7" t="inlineStr">
        <is>
          <t>FRC Orders from O&amp;M Navy</t>
        </is>
      </c>
      <c r="E1896" s="13" t="inlineStr">
        <is>
          <t>[SUB]</t>
        </is>
      </c>
      <c r="F1896" s="7" t="inlineStr">
        <is>
          <t>FRC Total New Orders</t>
        </is>
      </c>
      <c r="I1896" s="14" t="n">
        <v>6</v>
      </c>
      <c r="K1896" s="15" t="n"/>
      <c r="O1896" s="15" t="n"/>
      <c r="P1896" s="16" t="n">
        <v>1494370</v>
      </c>
      <c r="Q1896" s="16" t="n">
        <v>1475320</v>
      </c>
      <c r="S1896" s="16" t="n">
        <v>1559550</v>
      </c>
      <c r="U1896" s="16" t="n">
        <v>1559550</v>
      </c>
      <c r="AC1896" s="23">
        <f>IF(OR(E1896="",E1896="[PARENT]"),"ADD",IF(E1896="[ALT_VIEW]","ALT",""))</f>
        <v/>
      </c>
      <c r="AD1896" s="21">
        <f>IF(Y1896&lt;&gt;"",Y1896,IF(U1896&lt;&gt;"",U1896,S1896))</f>
        <v/>
      </c>
      <c r="AE1896" s="21">
        <f>IF(AB1896&lt;&gt;"",AB1896,Z1896)</f>
        <v/>
      </c>
      <c r="AF1896" s="13" t="inlineStr">
        <is>
          <t>Depot Maintenance FRC &gt; Exhibit Fund-11 &gt; O &amp; M Navy</t>
        </is>
      </c>
      <c r="AG1896" s="7" t="inlineStr">
        <is>
          <t>72</t>
        </is>
      </c>
      <c r="AH1896" s="7" t="inlineStr">
        <is>
          <t>NWCF-FRC</t>
        </is>
      </c>
      <c r="AI1896" s="7" t="inlineStr">
        <is>
          <t>O &amp; M Navy</t>
        </is>
      </c>
      <c r="AJ1896" s="7" t="inlineStr">
        <is>
          <t>O &amp; M Navy</t>
        </is>
      </c>
    </row>
    <row r="1897" ht="10" customHeight="1">
      <c r="A1897" s="7" t="inlineStr">
        <is>
          <t>NWCF</t>
        </is>
      </c>
      <c r="B1897" s="7" t="inlineStr">
        <is>
          <t>Working Capital Fund</t>
        </is>
      </c>
      <c r="D1897" s="7" t="inlineStr">
        <is>
          <t>FRC Orders from Aircraft Procurement Navy</t>
        </is>
      </c>
      <c r="E1897" s="13" t="inlineStr">
        <is>
          <t>[SUB]</t>
        </is>
      </c>
      <c r="F1897" s="7" t="inlineStr">
        <is>
          <t>FRC Total New Orders</t>
        </is>
      </c>
      <c r="I1897" s="14" t="n">
        <v>6</v>
      </c>
      <c r="K1897" s="15" t="n"/>
      <c r="O1897" s="15" t="n"/>
      <c r="P1897" s="16" t="n">
        <v>298330</v>
      </c>
      <c r="Q1897" s="16" t="n">
        <v>283610</v>
      </c>
      <c r="S1897" s="16" t="n">
        <v>312980</v>
      </c>
      <c r="U1897" s="16" t="n">
        <v>312980</v>
      </c>
      <c r="AC1897" s="23">
        <f>IF(OR(E1897="",E1897="[PARENT]"),"ADD",IF(E1897="[ALT_VIEW]","ALT",""))</f>
        <v/>
      </c>
      <c r="AD1897" s="21">
        <f>IF(Y1897&lt;&gt;"",Y1897,IF(U1897&lt;&gt;"",U1897,S1897))</f>
        <v/>
      </c>
      <c r="AE1897" s="21">
        <f>IF(AB1897&lt;&gt;"",AB1897,Z1897)</f>
        <v/>
      </c>
      <c r="AF1897" s="13" t="inlineStr">
        <is>
          <t>Depot Maintenance FRC &gt; Exhibit Fund-11 &gt; Aircraft Procurement Navy</t>
        </is>
      </c>
      <c r="AG1897" s="7" t="inlineStr">
        <is>
          <t>72</t>
        </is>
      </c>
      <c r="AH1897" s="7" t="inlineStr">
        <is>
          <t>NWCF-FRC</t>
        </is>
      </c>
      <c r="AI1897" s="7" t="inlineStr">
        <is>
          <t>Aircraft Procurement Navy</t>
        </is>
      </c>
      <c r="AJ1897" s="7" t="inlineStr">
        <is>
          <t>Aircraft Procurement Navy</t>
        </is>
      </c>
    </row>
    <row r="1898" ht="10" customHeight="1">
      <c r="A1898" s="7" t="inlineStr">
        <is>
          <t>NWCF</t>
        </is>
      </c>
      <c r="B1898" s="7" t="inlineStr">
        <is>
          <t>Working Capital Fund</t>
        </is>
      </c>
      <c r="D1898" s="7" t="inlineStr">
        <is>
          <t>FRC Orders from RDT&amp;E Navy</t>
        </is>
      </c>
      <c r="E1898" s="13" t="inlineStr">
        <is>
          <t>[SUB]</t>
        </is>
      </c>
      <c r="F1898" s="7" t="inlineStr">
        <is>
          <t>FRC Total New Orders</t>
        </is>
      </c>
      <c r="I1898" s="14" t="n">
        <v>6</v>
      </c>
      <c r="K1898" s="15" t="n"/>
      <c r="O1898" s="15" t="n"/>
      <c r="P1898" s="16" t="n">
        <v>41540</v>
      </c>
      <c r="Q1898" s="16" t="n">
        <v>27260</v>
      </c>
      <c r="S1898" s="16" t="n">
        <v>33340</v>
      </c>
      <c r="U1898" s="16" t="n">
        <v>33340</v>
      </c>
      <c r="AC1898" s="23">
        <f>IF(OR(E1898="",E1898="[PARENT]"),"ADD",IF(E1898="[ALT_VIEW]","ALT",""))</f>
        <v/>
      </c>
      <c r="AD1898" s="21">
        <f>IF(Y1898&lt;&gt;"",Y1898,IF(U1898&lt;&gt;"",U1898,S1898))</f>
        <v/>
      </c>
      <c r="AE1898" s="21">
        <f>IF(AB1898&lt;&gt;"",AB1898,Z1898)</f>
        <v/>
      </c>
      <c r="AF1898" s="13" t="inlineStr">
        <is>
          <t>Depot Maintenance FRC &gt; Exhibit Fund-11 &gt; Research Dev. Test &amp; Eval. Navy</t>
        </is>
      </c>
      <c r="AG1898" s="7" t="inlineStr">
        <is>
          <t>72</t>
        </is>
      </c>
      <c r="AH1898" s="7" t="inlineStr">
        <is>
          <t>NWCF-FRC</t>
        </is>
      </c>
      <c r="AI1898" s="7" t="inlineStr">
        <is>
          <t>Research Dev. Test &amp; Eval. Navy</t>
        </is>
      </c>
      <c r="AJ1898" s="7" t="inlineStr">
        <is>
          <t>Research Dev. Test &amp; Eval. Navy</t>
        </is>
      </c>
    </row>
    <row r="1899" ht="10" customHeight="1">
      <c r="A1899" s="7" t="inlineStr">
        <is>
          <t>NWCF</t>
        </is>
      </c>
      <c r="B1899" s="7" t="inlineStr">
        <is>
          <t>Working Capital Fund</t>
        </is>
      </c>
      <c r="D1899" s="7" t="inlineStr">
        <is>
          <t>FRC Orders from Foreign Military Sales</t>
        </is>
      </c>
      <c r="E1899" s="13" t="inlineStr">
        <is>
          <t>[SUB]</t>
        </is>
      </c>
      <c r="F1899" s="7" t="inlineStr">
        <is>
          <t>FRC Total New Orders</t>
        </is>
      </c>
      <c r="I1899" s="14" t="n">
        <v>6</v>
      </c>
      <c r="K1899" s="15" t="n"/>
      <c r="O1899" s="15" t="n"/>
      <c r="P1899" s="16" t="n">
        <v>61910</v>
      </c>
      <c r="Q1899" s="16" t="n">
        <v>46400</v>
      </c>
      <c r="S1899" s="16" t="n">
        <v>48200</v>
      </c>
      <c r="U1899" s="16" t="n">
        <v>48200</v>
      </c>
      <c r="AC1899" s="23">
        <f>IF(OR(E1899="",E1899="[PARENT]"),"ADD",IF(E1899="[ALT_VIEW]","ALT",""))</f>
        <v/>
      </c>
      <c r="AD1899" s="21">
        <f>IF(Y1899&lt;&gt;"",Y1899,IF(U1899&lt;&gt;"",U1899,S1899))</f>
        <v/>
      </c>
      <c r="AE1899" s="21">
        <f>IF(AB1899&lt;&gt;"",AB1899,Z1899)</f>
        <v/>
      </c>
      <c r="AF1899" s="13" t="inlineStr">
        <is>
          <t>Depot Maintenance FRC &gt; Exhibit Fund-11 &gt; Foreign Military Sales</t>
        </is>
      </c>
      <c r="AG1899" s="7" t="inlineStr">
        <is>
          <t>72</t>
        </is>
      </c>
      <c r="AH1899" s="7" t="inlineStr">
        <is>
          <t>NWCF-FRC</t>
        </is>
      </c>
      <c r="AI1899" s="7" t="inlineStr">
        <is>
          <t>Foreign Military Sales</t>
        </is>
      </c>
      <c r="AJ1899" s="7" t="inlineStr">
        <is>
          <t>Foreign Military Sales</t>
        </is>
      </c>
    </row>
    <row r="1900" ht="10" customHeight="1">
      <c r="A1900" s="7" t="inlineStr">
        <is>
          <t>NWCF</t>
        </is>
      </c>
      <c r="B1900" s="7" t="inlineStr">
        <is>
          <t>Working Capital Fund</t>
        </is>
      </c>
      <c r="D1900" s="7" t="inlineStr">
        <is>
          <t>FRC Orders from Other Fund Activity Groups</t>
        </is>
      </c>
      <c r="E1900" s="13" t="inlineStr">
        <is>
          <t>[SUB]</t>
        </is>
      </c>
      <c r="F1900" s="7" t="inlineStr">
        <is>
          <t>FRC Total New Orders</t>
        </is>
      </c>
      <c r="I1900" s="14" t="n">
        <v>6</v>
      </c>
      <c r="K1900" s="15" t="n"/>
      <c r="O1900" s="15" t="n"/>
      <c r="P1900" s="16" t="n">
        <v>467740</v>
      </c>
      <c r="Q1900" s="16" t="n">
        <v>520710</v>
      </c>
      <c r="S1900" s="16" t="n">
        <v>535310</v>
      </c>
      <c r="U1900" s="16" t="n">
        <v>535310</v>
      </c>
      <c r="AC1900" s="23">
        <f>IF(OR(E1900="",E1900="[PARENT]"),"ADD",IF(E1900="[ALT_VIEW]","ALT",""))</f>
        <v/>
      </c>
      <c r="AD1900" s="21">
        <f>IF(Y1900&lt;&gt;"",Y1900,IF(U1900&lt;&gt;"",U1900,S1900))</f>
        <v/>
      </c>
      <c r="AE1900" s="21">
        <f>IF(AB1900&lt;&gt;"",AB1900,Z1900)</f>
        <v/>
      </c>
      <c r="AF1900" s="13" t="inlineStr">
        <is>
          <t>Depot Maintenance FRC &gt; Exhibit Fund-11 &gt; Other Fund Activity Groups</t>
        </is>
      </c>
      <c r="AG1900" s="7" t="inlineStr">
        <is>
          <t>72</t>
        </is>
      </c>
      <c r="AH1900" s="7" t="inlineStr">
        <is>
          <t>NWCF-FRC</t>
        </is>
      </c>
      <c r="AI1900" s="7" t="inlineStr">
        <is>
          <t>Other Fund Activity Groups</t>
        </is>
      </c>
      <c r="AJ1900" s="7" t="inlineStr">
        <is>
          <t>Other Fund Activity Groups</t>
        </is>
      </c>
    </row>
    <row r="1901" ht="10" customHeight="1">
      <c r="A1901" s="7" t="inlineStr">
        <is>
          <t>NWCF</t>
        </is>
      </c>
      <c r="B1901" s="7" t="inlineStr">
        <is>
          <t>Working Capital Fund</t>
        </is>
      </c>
      <c r="D1901" s="7" t="inlineStr">
        <is>
          <t>R&amp;D Orders from Shipbuilding &amp; Conversion Navy</t>
        </is>
      </c>
      <c r="E1901" s="15" t="n"/>
      <c r="I1901" s="14" t="n">
        <v>1</v>
      </c>
      <c r="J1901" s="7" t="inlineStr">
        <is>
          <t>Construction engineering / planning yard</t>
        </is>
      </c>
      <c r="K1901" s="15" t="n"/>
      <c r="O1901" s="15" t="n"/>
      <c r="P1901" s="16" t="n">
        <v>934800</v>
      </c>
      <c r="Q1901" s="16" t="n">
        <v>663100</v>
      </c>
      <c r="S1901" s="16" t="n">
        <v>1007700</v>
      </c>
      <c r="U1901" s="16" t="n">
        <v>1007700</v>
      </c>
      <c r="AC1901" s="23">
        <f>IF(OR(E1901="",E1901="[PARENT]"),"ADD",IF(E1901="[ALT_VIEW]","ALT",""))</f>
        <v/>
      </c>
      <c r="AD1901" s="21">
        <f>IF(Y1901&lt;&gt;"",Y1901,IF(U1901&lt;&gt;"",U1901,S1901))</f>
        <v/>
      </c>
      <c r="AE1901" s="21">
        <f>IF(AB1901&lt;&gt;"",AB1901,Z1901)</f>
        <v/>
      </c>
      <c r="AF1901" s="13" t="inlineStr">
        <is>
          <t>R&amp;D &gt; Exhibit Fund-11 &gt; Shipbuilding &amp; Conversion Navy</t>
        </is>
      </c>
      <c r="AG1901" s="7" t="inlineStr">
        <is>
          <t>206</t>
        </is>
      </c>
      <c r="AH1901" s="7" t="inlineStr">
        <is>
          <t>NWCF-R&amp;D</t>
        </is>
      </c>
    </row>
    <row r="1902" ht="10" customHeight="1">
      <c r="A1902" s="7" t="inlineStr">
        <is>
          <t>NWCF</t>
        </is>
      </c>
      <c r="B1902" s="7" t="inlineStr">
        <is>
          <t>Working Capital Fund</t>
        </is>
      </c>
      <c r="D1902" s="7" t="inlineStr">
        <is>
          <t>R&amp;D Orders from National Sea Base Deterrence Fund</t>
        </is>
      </c>
      <c r="E1902" s="15" t="n"/>
      <c r="I1902" s="14" t="n">
        <v>1</v>
      </c>
      <c r="J1902" s="7" t="inlineStr">
        <is>
          <t>Construction engineering / planning yard</t>
        </is>
      </c>
      <c r="K1902" s="13" t="inlineStr">
        <is>
          <t>USN</t>
        </is>
      </c>
      <c r="L1902" s="7" t="inlineStr">
        <is>
          <t>Combatant Ships</t>
        </is>
      </c>
      <c r="M1902" s="7" t="inlineStr">
        <is>
          <t>Submarines</t>
        </is>
      </c>
      <c r="N1902" s="7" t="inlineStr">
        <is>
          <t>SSBN</t>
        </is>
      </c>
      <c r="O1902" s="15" t="n"/>
      <c r="P1902" s="16" t="n">
        <v>175900</v>
      </c>
      <c r="Q1902" s="16" t="n">
        <v>622200</v>
      </c>
      <c r="S1902" s="16" t="n">
        <v>193600</v>
      </c>
      <c r="U1902" s="16" t="n">
        <v>193600</v>
      </c>
      <c r="AC1902" s="23">
        <f>IF(OR(E1902="",E1902="[PARENT]"),"ADD",IF(E1902="[ALT_VIEW]","ALT",""))</f>
        <v/>
      </c>
      <c r="AD1902" s="21">
        <f>IF(Y1902&lt;&gt;"",Y1902,IF(U1902&lt;&gt;"",U1902,S1902))</f>
        <v/>
      </c>
      <c r="AE1902" s="21">
        <f>IF(AB1902&lt;&gt;"",AB1902,Z1902)</f>
        <v/>
      </c>
      <c r="AF1902" s="13" t="inlineStr">
        <is>
          <t>R&amp;D &gt; Exhibit Fund-11 &gt; National Sea Base Deterrence Fund</t>
        </is>
      </c>
      <c r="AG1902" s="7" t="inlineStr">
        <is>
          <t>206</t>
        </is>
      </c>
      <c r="AH1902" s="7" t="inlineStr">
        <is>
          <t>NWCF-R&amp;D</t>
        </is>
      </c>
    </row>
    <row r="1903" ht="10" customHeight="1">
      <c r="A1903" s="7" t="inlineStr">
        <is>
          <t>NWCF</t>
        </is>
      </c>
      <c r="B1903" s="7" t="inlineStr">
        <is>
          <t>Working Capital Fund</t>
        </is>
      </c>
      <c r="D1903" s="7" t="inlineStr">
        <is>
          <t>R&amp;D Orders from O&amp;M Navy</t>
        </is>
      </c>
      <c r="E1903" s="13" t="inlineStr">
        <is>
          <t>[SUB]</t>
        </is>
      </c>
      <c r="F1903" s="7" t="inlineStr">
        <is>
          <t>R&amp;D Total New Orders</t>
        </is>
      </c>
      <c r="I1903" s="14" t="n">
        <v>6</v>
      </c>
      <c r="K1903" s="15" t="n"/>
      <c r="O1903" s="15" t="n"/>
      <c r="P1903" s="16" t="n">
        <v>4487900</v>
      </c>
      <c r="Q1903" s="16" t="n">
        <v>4567700</v>
      </c>
      <c r="S1903" s="16" t="n">
        <v>4313400</v>
      </c>
      <c r="U1903" s="16" t="n">
        <v>4313400</v>
      </c>
      <c r="AC1903" s="23">
        <f>IF(OR(E1903="",E1903="[PARENT]"),"ADD",IF(E1903="[ALT_VIEW]","ALT",""))</f>
        <v/>
      </c>
      <c r="AD1903" s="21">
        <f>IF(Y1903&lt;&gt;"",Y1903,IF(U1903&lt;&gt;"",U1903,S1903))</f>
        <v/>
      </c>
      <c r="AE1903" s="21">
        <f>IF(AB1903&lt;&gt;"",AB1903,Z1903)</f>
        <v/>
      </c>
      <c r="AF1903" s="13" t="inlineStr">
        <is>
          <t>R&amp;D &gt; Exhibit Fund-11 &gt; O &amp; M Navy</t>
        </is>
      </c>
      <c r="AG1903" s="7" t="inlineStr">
        <is>
          <t>206</t>
        </is>
      </c>
      <c r="AH1903" s="7" t="inlineStr">
        <is>
          <t>NWCF-R&amp;D</t>
        </is>
      </c>
      <c r="AI1903" s="7" t="inlineStr">
        <is>
          <t>O &amp; M Navy</t>
        </is>
      </c>
      <c r="AJ1903" s="7" t="inlineStr">
        <is>
          <t>O &amp; M Navy</t>
        </is>
      </c>
    </row>
    <row r="1904" ht="10" customHeight="1">
      <c r="A1904" s="7" t="inlineStr">
        <is>
          <t>NWCF</t>
        </is>
      </c>
      <c r="B1904" s="7" t="inlineStr">
        <is>
          <t>Working Capital Fund</t>
        </is>
      </c>
      <c r="D1904" s="7" t="inlineStr">
        <is>
          <t>R&amp;D Orders from Other Procurement Navy</t>
        </is>
      </c>
      <c r="E1904" s="13" t="inlineStr">
        <is>
          <t>[SUB]</t>
        </is>
      </c>
      <c r="F1904" s="7" t="inlineStr">
        <is>
          <t>R&amp;D Total New Orders</t>
        </is>
      </c>
      <c r="I1904" s="14" t="n">
        <v>4</v>
      </c>
      <c r="K1904" s="15" t="n"/>
      <c r="O1904" s="15" t="n"/>
      <c r="P1904" s="16" t="n">
        <v>2183900</v>
      </c>
      <c r="Q1904" s="16" t="n">
        <v>1851900</v>
      </c>
      <c r="S1904" s="16" t="n">
        <v>2201300</v>
      </c>
      <c r="U1904" s="16" t="n">
        <v>2201300</v>
      </c>
      <c r="AC1904" s="23">
        <f>IF(OR(E1904="",E1904="[PARENT]"),"ADD",IF(E1904="[ALT_VIEW]","ALT",""))</f>
        <v/>
      </c>
      <c r="AD1904" s="21">
        <f>IF(Y1904&lt;&gt;"",Y1904,IF(U1904&lt;&gt;"",U1904,S1904))</f>
        <v/>
      </c>
      <c r="AE1904" s="21">
        <f>IF(AB1904&lt;&gt;"",AB1904,Z1904)</f>
        <v/>
      </c>
      <c r="AF1904" s="13" t="inlineStr">
        <is>
          <t>R&amp;D &gt; Exhibit Fund-11 &gt; Other Procurement Navy</t>
        </is>
      </c>
      <c r="AG1904" s="7" t="inlineStr">
        <is>
          <t>206</t>
        </is>
      </c>
      <c r="AH1904" s="7" t="inlineStr">
        <is>
          <t>NWCF-R&amp;D</t>
        </is>
      </c>
      <c r="AI1904" s="7" t="inlineStr">
        <is>
          <t>Other Procurement Navy</t>
        </is>
      </c>
      <c r="AJ1904" s="7" t="inlineStr">
        <is>
          <t>Other Procurement Navy</t>
        </is>
      </c>
    </row>
    <row r="1905" ht="10" customHeight="1">
      <c r="A1905" s="7" t="inlineStr">
        <is>
          <t>NWCF</t>
        </is>
      </c>
      <c r="B1905" s="7" t="inlineStr">
        <is>
          <t>Working Capital Fund</t>
        </is>
      </c>
      <c r="D1905" s="7" t="inlineStr">
        <is>
          <t>R&amp;D Orders from Weapons Procurement Navy</t>
        </is>
      </c>
      <c r="E1905" s="13" t="inlineStr">
        <is>
          <t>[SUB]</t>
        </is>
      </c>
      <c r="F1905" s="7" t="inlineStr">
        <is>
          <t>R&amp;D Total New Orders</t>
        </is>
      </c>
      <c r="I1905" s="14" t="n">
        <v>4</v>
      </c>
      <c r="K1905" s="15" t="n"/>
      <c r="O1905" s="15" t="n"/>
      <c r="P1905" s="16" t="n">
        <v>452100</v>
      </c>
      <c r="Q1905" s="16" t="n">
        <v>426300</v>
      </c>
      <c r="S1905" s="16" t="n">
        <v>511100</v>
      </c>
      <c r="U1905" s="16" t="n">
        <v>511100</v>
      </c>
      <c r="AC1905" s="23">
        <f>IF(OR(E1905="",E1905="[PARENT]"),"ADD",IF(E1905="[ALT_VIEW]","ALT",""))</f>
        <v/>
      </c>
      <c r="AD1905" s="21">
        <f>IF(Y1905&lt;&gt;"",Y1905,IF(U1905&lt;&gt;"",U1905,S1905))</f>
        <v/>
      </c>
      <c r="AE1905" s="21">
        <f>IF(AB1905&lt;&gt;"",AB1905,Z1905)</f>
        <v/>
      </c>
      <c r="AF1905" s="13" t="inlineStr">
        <is>
          <t>R&amp;D &gt; Exhibit Fund-11 &gt; Weapons Procurement Navy</t>
        </is>
      </c>
      <c r="AG1905" s="7" t="inlineStr">
        <is>
          <t>206</t>
        </is>
      </c>
      <c r="AH1905" s="7" t="inlineStr">
        <is>
          <t>NWCF-R&amp;D</t>
        </is>
      </c>
      <c r="AI1905" s="7" t="inlineStr">
        <is>
          <t>Weapons Procurement Navy</t>
        </is>
      </c>
      <c r="AJ1905" s="7" t="inlineStr">
        <is>
          <t>Weapons Procurement Navy</t>
        </is>
      </c>
    </row>
    <row r="1906" ht="10" customHeight="1">
      <c r="A1906" s="7" t="inlineStr">
        <is>
          <t>NWCF</t>
        </is>
      </c>
      <c r="B1906" s="7" t="inlineStr">
        <is>
          <t>Working Capital Fund</t>
        </is>
      </c>
      <c r="D1906" s="7" t="inlineStr">
        <is>
          <t>R&amp;D Orders from RDT&amp;E Navy</t>
        </is>
      </c>
      <c r="E1906" s="13" t="inlineStr">
        <is>
          <t>[SUB]</t>
        </is>
      </c>
      <c r="F1906" s="7" t="inlineStr">
        <is>
          <t>R&amp;D Total New Orders</t>
        </is>
      </c>
      <c r="I1906" s="14" t="n">
        <v>6</v>
      </c>
      <c r="K1906" s="15" t="n"/>
      <c r="O1906" s="15" t="n"/>
      <c r="P1906" s="16" t="n">
        <v>5315700</v>
      </c>
      <c r="Q1906" s="16" t="n">
        <v>4125700</v>
      </c>
      <c r="S1906" s="16" t="n">
        <v>5118700</v>
      </c>
      <c r="U1906" s="16" t="n">
        <v>5118700</v>
      </c>
      <c r="AC1906" s="23">
        <f>IF(OR(E1906="",E1906="[PARENT]"),"ADD",IF(E1906="[ALT_VIEW]","ALT",""))</f>
        <v/>
      </c>
      <c r="AD1906" s="21">
        <f>IF(Y1906&lt;&gt;"",Y1906,IF(U1906&lt;&gt;"",U1906,S1906))</f>
        <v/>
      </c>
      <c r="AE1906" s="21">
        <f>IF(AB1906&lt;&gt;"",AB1906,Z1906)</f>
        <v/>
      </c>
      <c r="AF1906" s="13" t="inlineStr">
        <is>
          <t>R&amp;D &gt; Exhibit Fund-11 &gt; Research Dev. Test &amp; Eval. Navy</t>
        </is>
      </c>
      <c r="AG1906" s="7" t="inlineStr">
        <is>
          <t>206</t>
        </is>
      </c>
      <c r="AH1906" s="7" t="inlineStr">
        <is>
          <t>NWCF-R&amp;D</t>
        </is>
      </c>
      <c r="AI1906" s="7" t="inlineStr">
        <is>
          <t>Research Dev. Test &amp; Eval. Navy</t>
        </is>
      </c>
      <c r="AJ1906" s="7" t="inlineStr">
        <is>
          <t>Research Dev. Test &amp; Eval. Navy</t>
        </is>
      </c>
    </row>
    <row r="1907" ht="10" customHeight="1">
      <c r="A1907" s="7" t="inlineStr">
        <is>
          <t>NWCF</t>
        </is>
      </c>
      <c r="B1907" s="7" t="inlineStr">
        <is>
          <t>Working Capital Fund</t>
        </is>
      </c>
      <c r="D1907" s="7" t="inlineStr">
        <is>
          <t>R&amp;D Orders from National Defense Sealift Fund</t>
        </is>
      </c>
      <c r="E1907" s="13" t="inlineStr">
        <is>
          <t>[SUB]</t>
        </is>
      </c>
      <c r="F1907" s="7" t="inlineStr">
        <is>
          <t>R&amp;D Total New Orders</t>
        </is>
      </c>
      <c r="I1907" s="14" t="n">
        <v>1</v>
      </c>
      <c r="J1907" s="7" t="inlineStr">
        <is>
          <t>Construction engineering / planning yard</t>
        </is>
      </c>
      <c r="K1907" s="15" t="n"/>
      <c r="O1907" s="15" t="n"/>
      <c r="P1907" s="16" t="n">
        <v>100</v>
      </c>
      <c r="Q1907" s="16" t="n">
        <v>2400</v>
      </c>
      <c r="S1907" s="16" t="n">
        <v>300</v>
      </c>
      <c r="U1907" s="16" t="n">
        <v>300</v>
      </c>
      <c r="AC1907" s="23">
        <f>IF(OR(E1907="",E1907="[PARENT]"),"ADD",IF(E1907="[ALT_VIEW]","ALT",""))</f>
        <v/>
      </c>
      <c r="AD1907" s="21">
        <f>IF(Y1907&lt;&gt;"",Y1907,IF(U1907&lt;&gt;"",U1907,S1907))</f>
        <v/>
      </c>
      <c r="AE1907" s="21">
        <f>IF(AB1907&lt;&gt;"",AB1907,Z1907)</f>
        <v/>
      </c>
      <c r="AF1907" s="13" t="inlineStr">
        <is>
          <t>R&amp;D &gt; Exhibit Fund-11 &gt; National Defense Sealift Fund</t>
        </is>
      </c>
      <c r="AG1907" s="7" t="inlineStr">
        <is>
          <t>206</t>
        </is>
      </c>
      <c r="AH1907" s="7" t="inlineStr">
        <is>
          <t>NWCF-R&amp;D</t>
        </is>
      </c>
      <c r="AI1907" s="7" t="inlineStr">
        <is>
          <t>National Defense Sealift Fund</t>
        </is>
      </c>
      <c r="AJ1907" s="7" t="inlineStr">
        <is>
          <t>National Defense Sealift Fund</t>
        </is>
      </c>
    </row>
    <row r="1908" ht="10" customHeight="1">
      <c r="A1908" s="7" t="inlineStr">
        <is>
          <t>NWCF</t>
        </is>
      </c>
      <c r="B1908" s="7" t="inlineStr">
        <is>
          <t>Working Capital Fund</t>
        </is>
      </c>
      <c r="D1908" s="7" t="inlineStr">
        <is>
          <t>R&amp;D Orders from Foreign Military Sales</t>
        </is>
      </c>
      <c r="E1908" s="13" t="inlineStr">
        <is>
          <t>[SUB]</t>
        </is>
      </c>
      <c r="F1908" s="7" t="inlineStr">
        <is>
          <t>R&amp;D Total New Orders</t>
        </is>
      </c>
      <c r="I1908" s="14" t="n">
        <v>6</v>
      </c>
      <c r="K1908" s="15" t="n"/>
      <c r="O1908" s="15" t="n"/>
      <c r="P1908" s="16" t="n">
        <v>900000</v>
      </c>
      <c r="Q1908" s="16" t="n">
        <v>532200</v>
      </c>
      <c r="S1908" s="16" t="n">
        <v>736800</v>
      </c>
      <c r="U1908" s="16" t="n">
        <v>736800</v>
      </c>
      <c r="AC1908" s="23">
        <f>IF(OR(E1908="",E1908="[PARENT]"),"ADD",IF(E1908="[ALT_VIEW]","ALT",""))</f>
        <v/>
      </c>
      <c r="AD1908" s="21">
        <f>IF(Y1908&lt;&gt;"",Y1908,IF(U1908&lt;&gt;"",U1908,S1908))</f>
        <v/>
      </c>
      <c r="AE1908" s="21">
        <f>IF(AB1908&lt;&gt;"",AB1908,Z1908)</f>
        <v/>
      </c>
      <c r="AF1908" s="13" t="inlineStr">
        <is>
          <t>R&amp;D &gt; Exhibit Fund-11 &gt; Foreign Military Sales</t>
        </is>
      </c>
      <c r="AG1908" s="7" t="inlineStr">
        <is>
          <t>206</t>
        </is>
      </c>
      <c r="AH1908" s="7" t="inlineStr">
        <is>
          <t>NWCF-R&amp;D</t>
        </is>
      </c>
      <c r="AI1908" s="7" t="inlineStr">
        <is>
          <t>Foreign Military Sales</t>
        </is>
      </c>
      <c r="AJ1908" s="7" t="inlineStr">
        <is>
          <t>Foreign Military Sales</t>
        </is>
      </c>
    </row>
    <row r="1909" ht="10" customHeight="1">
      <c r="A1909" s="7" t="inlineStr">
        <is>
          <t>NWCF</t>
        </is>
      </c>
      <c r="B1909" s="7" t="inlineStr">
        <is>
          <t>Working Capital Fund</t>
        </is>
      </c>
      <c r="D1909" s="7" t="inlineStr">
        <is>
          <t>R&amp;D Total New Orders</t>
        </is>
      </c>
      <c r="E1909" s="13" t="inlineStr">
        <is>
          <t>[PARENT]</t>
        </is>
      </c>
      <c r="I1909" s="14" t="n">
        <v>6</v>
      </c>
      <c r="K1909" s="15" t="n"/>
      <c r="O1909" s="15" t="n"/>
      <c r="P1909" s="16" t="n">
        <v>20433200</v>
      </c>
      <c r="Q1909" s="16" t="n">
        <v>21080500</v>
      </c>
      <c r="S1909" s="16" t="n">
        <v>20773300</v>
      </c>
      <c r="U1909" s="16" t="n">
        <v>20773300</v>
      </c>
      <c r="AC1909" s="23">
        <f>IF(OR(E1909="",E1909="[PARENT]"),"ADD",IF(E1909="[ALT_VIEW]","ALT",""))</f>
        <v/>
      </c>
      <c r="AD1909" s="21">
        <f>IF(Y1909&lt;&gt;"",Y1909,IF(U1909&lt;&gt;"",U1909,S1909))</f>
        <v/>
      </c>
      <c r="AE1909" s="21">
        <f>IF(AB1909&lt;&gt;"",AB1909,Z1909)</f>
        <v/>
      </c>
      <c r="AF1909" s="13" t="inlineStr">
        <is>
          <t>R&amp;D &gt; Exhibit Fund-11 &gt; Total New Orders</t>
        </is>
      </c>
      <c r="AG1909" s="7" t="inlineStr">
        <is>
          <t>206</t>
        </is>
      </c>
      <c r="AH1909" s="7" t="inlineStr">
        <is>
          <t>NWCF-R&amp;D</t>
        </is>
      </c>
    </row>
    <row r="1910" ht="10" customHeight="1">
      <c r="A1910" s="7" t="inlineStr">
        <is>
          <t>NWCF</t>
        </is>
      </c>
      <c r="B1910" s="7" t="inlineStr">
        <is>
          <t>Working Capital Fund</t>
        </is>
      </c>
      <c r="D1910" s="7" t="inlineStr">
        <is>
          <t>R&amp;D Total Revenue (Total Income)</t>
        </is>
      </c>
      <c r="E1910" s="13" t="inlineStr">
        <is>
          <t>[ALT_VIEW]</t>
        </is>
      </c>
      <c r="F1910" s="7" t="inlineStr">
        <is>
          <t>R&amp;D Total New Orders</t>
        </is>
      </c>
      <c r="I1910" s="14" t="n">
        <v>6</v>
      </c>
      <c r="K1910" s="15" t="n"/>
      <c r="O1910" s="15" t="n"/>
      <c r="P1910" s="16" t="n">
        <v>20035000</v>
      </c>
      <c r="Q1910" s="16" t="n">
        <v>19972100</v>
      </c>
      <c r="S1910" s="16" t="n">
        <v>19792200</v>
      </c>
      <c r="U1910" s="16" t="n">
        <v>19792200</v>
      </c>
      <c r="AC1910" s="23">
        <f>IF(OR(E1910="",E1910="[PARENT]"),"ADD",IF(E1910="[ALT_VIEW]","ALT",""))</f>
        <v/>
      </c>
      <c r="AD1910" s="21">
        <f>IF(Y1910&lt;&gt;"",Y1910,IF(U1910&lt;&gt;"",U1910,S1910))</f>
        <v/>
      </c>
      <c r="AE1910" s="21">
        <f>IF(AB1910&lt;&gt;"",AB1910,Z1910)</f>
        <v/>
      </c>
      <c r="AF1910" s="13" t="inlineStr">
        <is>
          <t>R&amp;D &gt; Exhibit Fund-14 &gt; Total Income</t>
        </is>
      </c>
      <c r="AG1910" s="7" t="inlineStr">
        <is>
          <t>207</t>
        </is>
      </c>
      <c r="AH1910" s="7" t="inlineStr">
        <is>
          <t>NWCF-R&amp;D</t>
        </is>
      </c>
    </row>
    <row r="1911" ht="10" customHeight="1">
      <c r="A1911" s="7" t="inlineStr">
        <is>
          <t>NWCF</t>
        </is>
      </c>
      <c r="B1911" s="7" t="inlineStr">
        <is>
          <t>Working Capital Fund</t>
        </is>
      </c>
      <c r="D1911" s="7" t="inlineStr">
        <is>
          <t>Working Capital Fund Navy - Direct Appropriation (Naval Surface Warfare Centers)</t>
        </is>
      </c>
      <c r="E1911" s="15" t="n"/>
      <c r="I1911" s="14" t="n">
        <v>6</v>
      </c>
      <c r="K1911" s="15" t="n"/>
      <c r="O1911" s="15" t="n"/>
      <c r="P1911" s="16" t="n">
        <v>34495</v>
      </c>
      <c r="Q1911" s="16" t="n">
        <v>30000</v>
      </c>
      <c r="S1911" s="16" t="n">
        <v>381600</v>
      </c>
      <c r="U1911" s="16" t="n">
        <v>381600</v>
      </c>
      <c r="AC1911" s="23">
        <f>IF(OR(E1911="",E1911="[PARENT]"),"ADD",IF(E1911="[ALT_VIEW]","ALT",""))</f>
        <v/>
      </c>
      <c r="AD1911" s="21">
        <f>IF(Y1911&lt;&gt;"",Y1911,IF(U1911&lt;&gt;"",U1911,S1911))</f>
        <v/>
      </c>
      <c r="AE1911" s="21">
        <f>IF(AB1911&lt;&gt;"",AB1911,Z1911)</f>
        <v/>
      </c>
      <c r="AF1911" s="13" t="inlineStr">
        <is>
          <t>R&amp;D &gt; Exhibit RF-1 &gt; Working Capital Fund Navy &gt; Naval Surface Warfare Centers</t>
        </is>
      </c>
      <c r="AG1911" s="7" t="inlineStr">
        <is>
          <t>Supp Book p.4</t>
        </is>
      </c>
      <c r="AH1911" s="7" t="inlineStr">
        <is>
          <t>NWCF-R&amp;D</t>
        </is>
      </c>
    </row>
    <row r="1912" ht="10" customHeight="1">
      <c r="A1912" s="7" t="inlineStr">
        <is>
          <t>NWCF</t>
        </is>
      </c>
      <c r="B1912" s="7" t="inlineStr">
        <is>
          <t>Working Capital Fund</t>
        </is>
      </c>
      <c r="D1912" s="7" t="inlineStr">
        <is>
          <t>NAWC-38 Vessel Replacement</t>
        </is>
      </c>
      <c r="E1912" s="15" t="n"/>
      <c r="I1912" s="14" t="n">
        <v>1</v>
      </c>
      <c r="J1912" s="7" t="inlineStr">
        <is>
          <t>Full ship DD&amp;C</t>
        </is>
      </c>
      <c r="K1912" s="13" t="inlineStr">
        <is>
          <t>USN</t>
        </is>
      </c>
      <c r="L1912" s="7" t="inlineStr">
        <is>
          <t>Auxiliary Ships</t>
        </is>
      </c>
      <c r="M1912" s="7" t="inlineStr">
        <is>
          <t>General Auxiliary</t>
        </is>
      </c>
      <c r="N1912" s="7" t="inlineStr">
        <is>
          <t>AG</t>
        </is>
      </c>
      <c r="O1912" s="15" t="n"/>
      <c r="AC1912" s="23">
        <f>IF(OR(E1912="",E1912="[PARENT]"),"ADD",IF(E1912="[ALT_VIEW]","ALT",""))</f>
        <v/>
      </c>
      <c r="AD1912" s="21">
        <f>IF(Y1912&lt;&gt;"",Y1912,IF(U1912&lt;&gt;"",U1912,S1912))</f>
        <v/>
      </c>
      <c r="AE1912" s="21">
        <f>IF(AB1912&lt;&gt;"",AB1912,Z1912)</f>
        <v/>
      </c>
      <c r="AF1912" s="13" t="inlineStr">
        <is>
          <t>R&amp;D &gt; Exhibit Fund-9B &gt; NAWC-38 Vessel Replacement</t>
        </is>
      </c>
      <c r="AG1912" s="7" t="inlineStr">
        <is>
          <t>151</t>
        </is>
      </c>
      <c r="AH1912" s="7" t="inlineStr">
        <is>
          <t>NWCF-R&amp;D</t>
        </is>
      </c>
    </row>
    <row r="1913" ht="10" customHeight="1">
      <c r="A1913" s="7" t="inlineStr">
        <is>
          <t>NWCF</t>
        </is>
      </c>
      <c r="B1913" s="7" t="inlineStr">
        <is>
          <t>Working Capital Fund</t>
        </is>
      </c>
      <c r="D1913" s="7" t="inlineStr">
        <is>
          <t>Lake Glendora Heavyweight Ship Shock Platform Infrastructure (Tunable Deck)</t>
        </is>
      </c>
      <c r="E1913" s="13" t="inlineStr">
        <is>
          <t>[SUB]</t>
        </is>
      </c>
      <c r="F1913" s="7" t="inlineStr">
        <is>
          <t>R&amp;D CIP Total</t>
        </is>
      </c>
      <c r="I1913" s="14" t="n">
        <v>6</v>
      </c>
      <c r="K1913" s="15" t="n"/>
      <c r="O1913" s="15" t="n"/>
      <c r="P1913" s="16" t="n">
        <v>2500</v>
      </c>
      <c r="AC1913" s="23">
        <f>IF(OR(E1913="",E1913="[PARENT]"),"ADD",IF(E1913="[ALT_VIEW]","ALT",""))</f>
        <v/>
      </c>
      <c r="AD1913" s="21">
        <f>IF(Y1913&lt;&gt;"",Y1913,IF(U1913&lt;&gt;"",U1913,S1913))</f>
        <v/>
      </c>
      <c r="AE1913" s="21">
        <f>IF(AB1913&lt;&gt;"",AB1913,Z1913)</f>
        <v/>
      </c>
      <c r="AF1913" s="13" t="inlineStr">
        <is>
          <t>R&amp;D &gt; Exhibit Fund-9B &gt; FY24 &gt; NSWC Crane</t>
        </is>
      </c>
      <c r="AG1913" s="7" t="inlineStr">
        <is>
          <t>156</t>
        </is>
      </c>
      <c r="AH1913" s="7" t="inlineStr">
        <is>
          <t>NWCF-R&amp;D</t>
        </is>
      </c>
      <c r="AI1913" s="7" t="inlineStr">
        <is>
          <t>NSWC Crane</t>
        </is>
      </c>
      <c r="AJ1913" s="7" t="inlineStr">
        <is>
          <t>NSWC Crane</t>
        </is>
      </c>
    </row>
    <row r="1914" ht="10" customHeight="1">
      <c r="A1914" s="7" t="inlineStr">
        <is>
          <t>NWCF</t>
        </is>
      </c>
      <c r="B1914" s="7" t="inlineStr">
        <is>
          <t>Working Capital Fund</t>
        </is>
      </c>
      <c r="D1914" s="7" t="inlineStr">
        <is>
          <t>Battery-Rated Environmental Test Chamber</t>
        </is>
      </c>
      <c r="E1914" s="13" t="inlineStr">
        <is>
          <t>[SUB]</t>
        </is>
      </c>
      <c r="F1914" s="7" t="inlineStr">
        <is>
          <t>R&amp;D CIP Total</t>
        </is>
      </c>
      <c r="I1914" s="14" t="n">
        <v>6</v>
      </c>
      <c r="K1914" s="15" t="n"/>
      <c r="O1914" s="15" t="n"/>
      <c r="Q1914" s="16" t="n">
        <v>1400</v>
      </c>
      <c r="AC1914" s="23">
        <f>IF(OR(E1914="",E1914="[PARENT]"),"ADD",IF(E1914="[ALT_VIEW]","ALT",""))</f>
        <v/>
      </c>
      <c r="AD1914" s="21">
        <f>IF(Y1914&lt;&gt;"",Y1914,IF(U1914&lt;&gt;"",U1914,S1914))</f>
        <v/>
      </c>
      <c r="AE1914" s="21">
        <f>IF(AB1914&lt;&gt;"",AB1914,Z1914)</f>
        <v/>
      </c>
      <c r="AF1914" s="13" t="inlineStr">
        <is>
          <t>R&amp;D &gt; Exhibit Fund-9B &gt; FY25 &gt; NSWC Carderock</t>
        </is>
      </c>
      <c r="AG1914" s="7" t="inlineStr">
        <is>
          <t>153</t>
        </is>
      </c>
      <c r="AH1914" s="7" t="inlineStr">
        <is>
          <t>NWCF-R&amp;D</t>
        </is>
      </c>
      <c r="AI1914" s="7" t="inlineStr">
        <is>
          <t>NSWC Carderock</t>
        </is>
      </c>
      <c r="AJ1914" s="7" t="inlineStr">
        <is>
          <t>NSWC Carderock</t>
        </is>
      </c>
    </row>
    <row r="1915" ht="10" customHeight="1">
      <c r="A1915" s="7" t="inlineStr">
        <is>
          <t>NWCF</t>
        </is>
      </c>
      <c r="B1915" s="7" t="inlineStr">
        <is>
          <t>Working Capital Fund</t>
        </is>
      </c>
      <c r="D1915" s="7" t="inlineStr">
        <is>
          <t>Deployable Signature Measurement System</t>
        </is>
      </c>
      <c r="E1915" s="13" t="inlineStr">
        <is>
          <t>[SUB]</t>
        </is>
      </c>
      <c r="F1915" s="7" t="inlineStr">
        <is>
          <t>R&amp;D CIP Total</t>
        </is>
      </c>
      <c r="I1915" s="14" t="n">
        <v>6</v>
      </c>
      <c r="K1915" s="15" t="n"/>
      <c r="O1915" s="15" t="n"/>
      <c r="Q1915" s="16" t="n">
        <v>2500</v>
      </c>
      <c r="AC1915" s="23">
        <f>IF(OR(E1915="",E1915="[PARENT]"),"ADD",IF(E1915="[ALT_VIEW]","ALT",""))</f>
        <v/>
      </c>
      <c r="AD1915" s="21">
        <f>IF(Y1915&lt;&gt;"",Y1915,IF(U1915&lt;&gt;"",U1915,S1915))</f>
        <v/>
      </c>
      <c r="AE1915" s="21">
        <f>IF(AB1915&lt;&gt;"",AB1915,Z1915)</f>
        <v/>
      </c>
      <c r="AF1915" s="13" t="inlineStr">
        <is>
          <t>R&amp;D &gt; Exhibit Fund-9B &gt; FY25 &gt; NSWC Carderock</t>
        </is>
      </c>
      <c r="AG1915" s="7" t="inlineStr">
        <is>
          <t>154</t>
        </is>
      </c>
      <c r="AH1915" s="7" t="inlineStr">
        <is>
          <t>NWCF-R&amp;D</t>
        </is>
      </c>
      <c r="AI1915" s="7" t="inlineStr">
        <is>
          <t>NSWC Carderock</t>
        </is>
      </c>
      <c r="AJ1915" s="7" t="inlineStr">
        <is>
          <t>NSWC Carderock</t>
        </is>
      </c>
    </row>
    <row r="1916" ht="10" customHeight="1">
      <c r="A1916" s="7" t="inlineStr">
        <is>
          <t>NWCF</t>
        </is>
      </c>
      <c r="B1916" s="7" t="inlineStr">
        <is>
          <t>Working Capital Fund</t>
        </is>
      </c>
      <c r="D1916" s="7" t="inlineStr">
        <is>
          <t>Modernized Deployable Signature Measurement System for Navy Platforms (RCS)</t>
        </is>
      </c>
      <c r="E1916" s="13" t="inlineStr">
        <is>
          <t>[SUB]</t>
        </is>
      </c>
      <c r="F1916" s="7" t="inlineStr">
        <is>
          <t>R&amp;D CIP Total</t>
        </is>
      </c>
      <c r="I1916" s="14" t="n">
        <v>6</v>
      </c>
      <c r="K1916" s="15" t="n"/>
      <c r="O1916" s="15" t="n"/>
      <c r="S1916" s="16" t="n">
        <v>2500</v>
      </c>
      <c r="U1916" s="16" t="n">
        <v>2500</v>
      </c>
      <c r="AC1916" s="23">
        <f>IF(OR(E1916="",E1916="[PARENT]"),"ADD",IF(E1916="[ALT_VIEW]","ALT",""))</f>
        <v/>
      </c>
      <c r="AD1916" s="21">
        <f>IF(Y1916&lt;&gt;"",Y1916,IF(U1916&lt;&gt;"",U1916,S1916))</f>
        <v/>
      </c>
      <c r="AE1916" s="21">
        <f>IF(AB1916&lt;&gt;"",AB1916,Z1916)</f>
        <v/>
      </c>
      <c r="AF1916" s="13" t="inlineStr">
        <is>
          <t>R&amp;D &gt; Exhibit Fund-9B &gt; FY26 &gt; NSWC Carderock</t>
        </is>
      </c>
      <c r="AG1916" s="7" t="inlineStr">
        <is>
          <t>160</t>
        </is>
      </c>
      <c r="AH1916" s="7" t="inlineStr">
        <is>
          <t>NWCF-R&amp;D</t>
        </is>
      </c>
      <c r="AI1916" s="7" t="inlineStr">
        <is>
          <t>NSWC Carderock</t>
        </is>
      </c>
      <c r="AJ1916" s="7" t="inlineStr">
        <is>
          <t>NSWC Carderock</t>
        </is>
      </c>
    </row>
    <row r="1917" ht="10" customHeight="1">
      <c r="A1917" s="7" t="inlineStr">
        <is>
          <t>NWCF</t>
        </is>
      </c>
      <c r="B1917" s="7" t="inlineStr">
        <is>
          <t>Working Capital Fund</t>
        </is>
      </c>
      <c r="D1917" s="7" t="inlineStr">
        <is>
          <t>Hydrostatic Pressure Vessel</t>
        </is>
      </c>
      <c r="E1917" s="13" t="inlineStr">
        <is>
          <t>[SUB]</t>
        </is>
      </c>
      <c r="F1917" s="7" t="inlineStr">
        <is>
          <t>R&amp;D CIP Total</t>
        </is>
      </c>
      <c r="I1917" s="14" t="n">
        <v>6</v>
      </c>
      <c r="K1917" s="15" t="n"/>
      <c r="O1917" s="15" t="n"/>
      <c r="P1917" s="16" t="n">
        <v>5100</v>
      </c>
      <c r="AC1917" s="23">
        <f>IF(OR(E1917="",E1917="[PARENT]"),"ADD",IF(E1917="[ALT_VIEW]","ALT",""))</f>
        <v/>
      </c>
      <c r="AD1917" s="21">
        <f>IF(Y1917&lt;&gt;"",Y1917,IF(U1917&lt;&gt;"",U1917,S1917))</f>
        <v/>
      </c>
      <c r="AE1917" s="21">
        <f>IF(AB1917&lt;&gt;"",AB1917,Z1917)</f>
        <v/>
      </c>
      <c r="AF1917" s="13" t="inlineStr">
        <is>
          <t>R&amp;D &gt; Exhibit Fund-9B &gt; FY24 &gt; NUWC Newport</t>
        </is>
      </c>
      <c r="AG1917" s="7" t="inlineStr">
        <is>
          <t>162</t>
        </is>
      </c>
      <c r="AH1917" s="7" t="inlineStr">
        <is>
          <t>NWCF-R&amp;D</t>
        </is>
      </c>
      <c r="AI1917" s="7" t="inlineStr">
        <is>
          <t>NUWC Newport</t>
        </is>
      </c>
      <c r="AJ1917" s="7" t="inlineStr">
        <is>
          <t>NUWC Newport</t>
        </is>
      </c>
    </row>
    <row r="1918" ht="10" customHeight="1">
      <c r="A1918" s="7" t="inlineStr">
        <is>
          <t>NWCF</t>
        </is>
      </c>
      <c r="B1918" s="7" t="inlineStr">
        <is>
          <t>Working Capital Fund</t>
        </is>
      </c>
      <c r="D1918" s="7" t="inlineStr">
        <is>
          <t>Payload Integration Modernization for Payload Tube Facility - System</t>
        </is>
      </c>
      <c r="E1918" s="13" t="inlineStr">
        <is>
          <t>[SUB]</t>
        </is>
      </c>
      <c r="F1918" s="7" t="inlineStr">
        <is>
          <t>R&amp;D CIP Total</t>
        </is>
      </c>
      <c r="I1918" s="14" t="n">
        <v>6</v>
      </c>
      <c r="K1918" s="13" t="inlineStr">
        <is>
          <t>USN</t>
        </is>
      </c>
      <c r="L1918" s="7" t="inlineStr">
        <is>
          <t>Combatant Ships</t>
        </is>
      </c>
      <c r="M1918" s="7" t="inlineStr">
        <is>
          <t>Submarines</t>
        </is>
      </c>
      <c r="O1918" s="15" t="n"/>
      <c r="S1918" s="16" t="n">
        <v>3810</v>
      </c>
      <c r="U1918" s="16" t="n">
        <v>3810</v>
      </c>
      <c r="AC1918" s="23">
        <f>IF(OR(E1918="",E1918="[PARENT]"),"ADD",IF(E1918="[ALT_VIEW]","ALT",""))</f>
        <v/>
      </c>
      <c r="AD1918" s="21">
        <f>IF(Y1918&lt;&gt;"",Y1918,IF(U1918&lt;&gt;"",U1918,S1918))</f>
        <v/>
      </c>
      <c r="AE1918" s="21">
        <f>IF(AB1918&lt;&gt;"",AB1918,Z1918)</f>
        <v/>
      </c>
      <c r="AF1918" s="13" t="inlineStr">
        <is>
          <t>R&amp;D &gt; Exhibit Fund-9B &gt; FY26 &gt; NUWC Newport</t>
        </is>
      </c>
      <c r="AG1918" s="7" t="inlineStr">
        <is>
          <t>164</t>
        </is>
      </c>
      <c r="AH1918" s="7" t="inlineStr">
        <is>
          <t>NWCF-R&amp;D</t>
        </is>
      </c>
      <c r="AI1918" s="7" t="inlineStr">
        <is>
          <t>NUWC Newport</t>
        </is>
      </c>
      <c r="AJ1918" s="7" t="inlineStr">
        <is>
          <t>NUWC Newport</t>
        </is>
      </c>
    </row>
    <row r="1919" ht="10" customHeight="1">
      <c r="A1919" s="7" t="inlineStr">
        <is>
          <t>NWCF</t>
        </is>
      </c>
      <c r="B1919" s="7" t="inlineStr">
        <is>
          <t>Working Capital Fund</t>
        </is>
      </c>
      <c r="D1919" s="7" t="inlineStr">
        <is>
          <t>Building 1319 Land Based Submarine Radio Room Integration</t>
        </is>
      </c>
      <c r="E1919" s="13" t="inlineStr">
        <is>
          <t>[SUB]</t>
        </is>
      </c>
      <c r="F1919" s="7" t="inlineStr">
        <is>
          <t>R&amp;D CIP Total</t>
        </is>
      </c>
      <c r="I1919" s="14" t="n">
        <v>6</v>
      </c>
      <c r="K1919" s="13" t="inlineStr">
        <is>
          <t>USN</t>
        </is>
      </c>
      <c r="L1919" s="7" t="inlineStr">
        <is>
          <t>Combatant Ships</t>
        </is>
      </c>
      <c r="M1919" s="7" t="inlineStr">
        <is>
          <t>Submarines</t>
        </is>
      </c>
      <c r="O1919" s="15" t="n"/>
      <c r="P1919" s="16" t="n">
        <v>1362</v>
      </c>
      <c r="AC1919" s="23">
        <f>IF(OR(E1919="",E1919="[PARENT]"),"ADD",IF(E1919="[ALT_VIEW]","ALT",""))</f>
        <v/>
      </c>
      <c r="AD1919" s="21">
        <f>IF(Y1919&lt;&gt;"",Y1919,IF(U1919&lt;&gt;"",U1919,S1919))</f>
        <v/>
      </c>
      <c r="AE1919" s="21">
        <f>IF(AB1919&lt;&gt;"",AB1919,Z1919)</f>
        <v/>
      </c>
      <c r="AF1919" s="13" t="inlineStr">
        <is>
          <t>R&amp;D &gt; Exhibit Fund-9B &gt; FY24 &gt; NUWC Newport Minor Construction</t>
        </is>
      </c>
      <c r="AG1919" s="7" t="inlineStr">
        <is>
          <t>195</t>
        </is>
      </c>
      <c r="AH1919" s="7" t="inlineStr">
        <is>
          <t>NWCF-R&amp;D</t>
        </is>
      </c>
      <c r="AI1919" s="7" t="inlineStr">
        <is>
          <t>NUWC Newport Minor Construction</t>
        </is>
      </c>
      <c r="AJ1919" s="7" t="inlineStr">
        <is>
          <t>NUWC Newport Minor Construction</t>
        </is>
      </c>
    </row>
    <row r="1920" ht="10" customHeight="1">
      <c r="A1920" s="7" t="inlineStr">
        <is>
          <t>NWCF</t>
        </is>
      </c>
      <c r="B1920" s="7" t="inlineStr">
        <is>
          <t>Working Capital Fund</t>
        </is>
      </c>
      <c r="D1920" s="7" t="inlineStr">
        <is>
          <t>Submarine Defense Systems Land Based Integration and Test Facility</t>
        </is>
      </c>
      <c r="E1920" s="13" t="inlineStr">
        <is>
          <t>[SUB]</t>
        </is>
      </c>
      <c r="F1920" s="7" t="inlineStr">
        <is>
          <t>R&amp;D CIP Total</t>
        </is>
      </c>
      <c r="I1920" s="14" t="n">
        <v>6</v>
      </c>
      <c r="K1920" s="13" t="inlineStr">
        <is>
          <t>USN</t>
        </is>
      </c>
      <c r="L1920" s="7" t="inlineStr">
        <is>
          <t>Combatant Ships</t>
        </is>
      </c>
      <c r="M1920" s="7" t="inlineStr">
        <is>
          <t>Submarines</t>
        </is>
      </c>
      <c r="O1920" s="15" t="n"/>
      <c r="Q1920" s="16" t="n">
        <v>4725</v>
      </c>
      <c r="AC1920" s="23">
        <f>IF(OR(E1920="",E1920="[PARENT]"),"ADD",IF(E1920="[ALT_VIEW]","ALT",""))</f>
        <v/>
      </c>
      <c r="AD1920" s="21">
        <f>IF(Y1920&lt;&gt;"",Y1920,IF(U1920&lt;&gt;"",U1920,S1920))</f>
        <v/>
      </c>
      <c r="AE1920" s="21">
        <f>IF(AB1920&lt;&gt;"",AB1920,Z1920)</f>
        <v/>
      </c>
      <c r="AF1920" s="13" t="inlineStr">
        <is>
          <t>R&amp;D &gt; Exhibit Fund-9B &gt; FY25 &gt; NUWC Newport Minor Construction</t>
        </is>
      </c>
      <c r="AG1920" s="7" t="inlineStr">
        <is>
          <t>197</t>
        </is>
      </c>
      <c r="AH1920" s="7" t="inlineStr">
        <is>
          <t>NWCF-R&amp;D</t>
        </is>
      </c>
      <c r="AI1920" s="7" t="inlineStr">
        <is>
          <t>NUWC Newport Minor Construction</t>
        </is>
      </c>
      <c r="AJ1920" s="7" t="inlineStr">
        <is>
          <t>NUWC Newport Minor Construction</t>
        </is>
      </c>
    </row>
    <row r="1921" ht="10" customHeight="1">
      <c r="A1921" s="7" t="inlineStr">
        <is>
          <t>NWCF</t>
        </is>
      </c>
      <c r="B1921" s="7" t="inlineStr">
        <is>
          <t>Working Capital Fund</t>
        </is>
      </c>
      <c r="D1921" s="7" t="inlineStr">
        <is>
          <t>Building 13 Heading Sensor Calibration Facility Upgrades</t>
        </is>
      </c>
      <c r="E1921" s="13" t="inlineStr">
        <is>
          <t>[SUB]</t>
        </is>
      </c>
      <c r="F1921" s="7" t="inlineStr">
        <is>
          <t>R&amp;D CIP Total</t>
        </is>
      </c>
      <c r="I1921" s="14" t="n">
        <v>6</v>
      </c>
      <c r="K1921" s="13" t="inlineStr">
        <is>
          <t>USN</t>
        </is>
      </c>
      <c r="L1921" s="7" t="inlineStr">
        <is>
          <t>Combatant Ships</t>
        </is>
      </c>
      <c r="M1921" s="7" t="inlineStr">
        <is>
          <t>Submarines</t>
        </is>
      </c>
      <c r="O1921" s="15" t="n"/>
      <c r="S1921" s="16" t="n">
        <v>3600</v>
      </c>
      <c r="U1921" s="16" t="n">
        <v>3600</v>
      </c>
      <c r="AC1921" s="23">
        <f>IF(OR(E1921="",E1921="[PARENT]"),"ADD",IF(E1921="[ALT_VIEW]","ALT",""))</f>
        <v/>
      </c>
      <c r="AD1921" s="21">
        <f>IF(Y1921&lt;&gt;"",Y1921,IF(U1921&lt;&gt;"",U1921,S1921))</f>
        <v/>
      </c>
      <c r="AE1921" s="21">
        <f>IF(AB1921&lt;&gt;"",AB1921,Z1921)</f>
        <v/>
      </c>
      <c r="AF1921" s="13" t="inlineStr">
        <is>
          <t>R&amp;D &gt; Exhibit Fund-9B &gt; FY26 &gt; NUWC Newport Minor Construction</t>
        </is>
      </c>
      <c r="AG1921" s="7" t="inlineStr">
        <is>
          <t>197</t>
        </is>
      </c>
      <c r="AH1921" s="7" t="inlineStr">
        <is>
          <t>NWCF-R&amp;D</t>
        </is>
      </c>
      <c r="AI1921" s="7" t="inlineStr">
        <is>
          <t>NUWC Newport Minor Construction</t>
        </is>
      </c>
      <c r="AJ1921" s="7" t="inlineStr">
        <is>
          <t>NUWC Newport Minor Construction</t>
        </is>
      </c>
    </row>
    <row r="1922" ht="10" customHeight="1">
      <c r="A1922" s="7" t="inlineStr">
        <is>
          <t>NWCF</t>
        </is>
      </c>
      <c r="B1922" s="7" t="inlineStr">
        <is>
          <t>Working Capital Fund</t>
        </is>
      </c>
      <c r="D1922" s="7" t="inlineStr">
        <is>
          <t>Building 124 Upgrade - Construction</t>
        </is>
      </c>
      <c r="E1922" s="13" t="inlineStr">
        <is>
          <t>[SUB]</t>
        </is>
      </c>
      <c r="F1922" s="7" t="inlineStr">
        <is>
          <t>R&amp;D CIP Total</t>
        </is>
      </c>
      <c r="I1922" s="14" t="n">
        <v>6</v>
      </c>
      <c r="K1922" s="13" t="inlineStr">
        <is>
          <t>USN</t>
        </is>
      </c>
      <c r="L1922" s="7" t="inlineStr">
        <is>
          <t>Combatant Ships</t>
        </is>
      </c>
      <c r="M1922" s="7" t="inlineStr">
        <is>
          <t>Submarines</t>
        </is>
      </c>
      <c r="O1922" s="15" t="n"/>
      <c r="S1922" s="16" t="n">
        <v>8500</v>
      </c>
      <c r="U1922" s="16" t="n">
        <v>8500</v>
      </c>
      <c r="AC1922" s="23">
        <f>IF(OR(E1922="",E1922="[PARENT]"),"ADD",IF(E1922="[ALT_VIEW]","ALT",""))</f>
        <v/>
      </c>
      <c r="AD1922" s="21">
        <f>IF(Y1922&lt;&gt;"",Y1922,IF(U1922&lt;&gt;"",U1922,S1922))</f>
        <v/>
      </c>
      <c r="AE1922" s="21">
        <f>IF(AB1922&lt;&gt;"",AB1922,Z1922)</f>
        <v/>
      </c>
      <c r="AF1922" s="13" t="inlineStr">
        <is>
          <t>R&amp;D &gt; Exhibit Fund-9B &gt; FY26 &gt; NUWC Newport Minor Construction</t>
        </is>
      </c>
      <c r="AG1922" s="7" t="inlineStr">
        <is>
          <t>196</t>
        </is>
      </c>
      <c r="AH1922" s="7" t="inlineStr">
        <is>
          <t>NWCF-R&amp;D</t>
        </is>
      </c>
      <c r="AI1922" s="7" t="inlineStr">
        <is>
          <t>NUWC Newport Minor Construction</t>
        </is>
      </c>
      <c r="AJ1922" s="7" t="inlineStr">
        <is>
          <t>NUWC Newport Minor Construction</t>
        </is>
      </c>
    </row>
    <row r="1923" ht="10" customHeight="1">
      <c r="A1923" s="7" t="inlineStr">
        <is>
          <t>NWCF</t>
        </is>
      </c>
      <c r="B1923" s="7" t="inlineStr">
        <is>
          <t>Working Capital Fund</t>
        </is>
      </c>
      <c r="D1923" s="7" t="inlineStr">
        <is>
          <t>Deep Depth Test Facility Modernization</t>
        </is>
      </c>
      <c r="E1923" s="13" t="inlineStr">
        <is>
          <t>[SUB]</t>
        </is>
      </c>
      <c r="F1923" s="7" t="inlineStr">
        <is>
          <t>R&amp;D CIP Total</t>
        </is>
      </c>
      <c r="I1923" s="14" t="n">
        <v>6</v>
      </c>
      <c r="K1923" s="13" t="inlineStr">
        <is>
          <t>USN</t>
        </is>
      </c>
      <c r="L1923" s="7" t="inlineStr">
        <is>
          <t>Combatant Ships</t>
        </is>
      </c>
      <c r="M1923" s="7" t="inlineStr">
        <is>
          <t>Submarines</t>
        </is>
      </c>
      <c r="O1923" s="15" t="n"/>
      <c r="Q1923" s="16" t="n">
        <v>2521</v>
      </c>
      <c r="AC1923" s="23">
        <f>IF(OR(E1923="",E1923="[PARENT]"),"ADD",IF(E1923="[ALT_VIEW]","ALT",""))</f>
        <v/>
      </c>
      <c r="AD1923" s="21">
        <f>IF(Y1923&lt;&gt;"",Y1923,IF(U1923&lt;&gt;"",U1923,S1923))</f>
        <v/>
      </c>
      <c r="AE1923" s="21">
        <f>IF(AB1923&lt;&gt;"",AB1923,Z1923)</f>
        <v/>
      </c>
      <c r="AF1923" s="13" t="inlineStr">
        <is>
          <t>R&amp;D &gt; Exhibit Fund-9B &gt; FY25 &gt; NUWC Newport Minor Construction</t>
        </is>
      </c>
      <c r="AG1923" s="7" t="inlineStr">
        <is>
          <t>196</t>
        </is>
      </c>
      <c r="AH1923" s="7" t="inlineStr">
        <is>
          <t>NWCF-R&amp;D</t>
        </is>
      </c>
      <c r="AI1923" s="7" t="inlineStr">
        <is>
          <t>NUWC Newport Minor Construction</t>
        </is>
      </c>
      <c r="AJ1923" s="7" t="inlineStr">
        <is>
          <t>NUWC Newport Minor Construction</t>
        </is>
      </c>
    </row>
    <row r="1924" ht="10" customHeight="1">
      <c r="A1924" s="7" t="inlineStr">
        <is>
          <t>NWCF</t>
        </is>
      </c>
      <c r="B1924" s="7" t="inlineStr">
        <is>
          <t>Working Capital Fund</t>
        </is>
      </c>
      <c r="D1924" s="7" t="inlineStr">
        <is>
          <t>Pier 171 Upgrades</t>
        </is>
      </c>
      <c r="E1924" s="13" t="inlineStr">
        <is>
          <t>[SUB]</t>
        </is>
      </c>
      <c r="F1924" s="7" t="inlineStr">
        <is>
          <t>R&amp;D CIP Total</t>
        </is>
      </c>
      <c r="I1924" s="14" t="n">
        <v>6</v>
      </c>
      <c r="K1924" s="15" t="n"/>
      <c r="O1924" s="15" t="n"/>
      <c r="Q1924" s="16" t="n">
        <v>5835</v>
      </c>
      <c r="AC1924" s="23">
        <f>IF(OR(E1924="",E1924="[PARENT]"),"ADD",IF(E1924="[ALT_VIEW]","ALT",""))</f>
        <v/>
      </c>
      <c r="AD1924" s="21">
        <f>IF(Y1924&lt;&gt;"",Y1924,IF(U1924&lt;&gt;"",U1924,S1924))</f>
        <v/>
      </c>
      <c r="AE1924" s="21">
        <f>IF(AB1924&lt;&gt;"",AB1924,Z1924)</f>
        <v/>
      </c>
      <c r="AF1924" s="13" t="inlineStr">
        <is>
          <t>R&amp;D &gt; Exhibit Fund-9B &gt; FY25 &gt; NUWC Newport Minor Construction</t>
        </is>
      </c>
      <c r="AG1924" s="7" t="inlineStr">
        <is>
          <t>197</t>
        </is>
      </c>
      <c r="AH1924" s="7" t="inlineStr">
        <is>
          <t>NWCF-R&amp;D</t>
        </is>
      </c>
      <c r="AI1924" s="7" t="inlineStr">
        <is>
          <t>NUWC Newport Minor Construction</t>
        </is>
      </c>
      <c r="AJ1924" s="7" t="inlineStr">
        <is>
          <t>NUWC Newport Minor Construction</t>
        </is>
      </c>
    </row>
    <row r="1925" ht="10" customHeight="1">
      <c r="A1925" s="7" t="inlineStr">
        <is>
          <t>NWCF</t>
        </is>
      </c>
      <c r="B1925" s="7" t="inlineStr">
        <is>
          <t>Working Capital Fund</t>
        </is>
      </c>
      <c r="D1925" s="7" t="inlineStr">
        <is>
          <t>UUV/CUUV Support Craft</t>
        </is>
      </c>
      <c r="E1925" s="13" t="inlineStr">
        <is>
          <t>[SUB]</t>
        </is>
      </c>
      <c r="F1925" s="7" t="inlineStr">
        <is>
          <t>R&amp;D CIP Total</t>
        </is>
      </c>
      <c r="I1925" s="14" t="n">
        <v>6</v>
      </c>
      <c r="K1925" s="13" t="inlineStr">
        <is>
          <t>USN</t>
        </is>
      </c>
      <c r="L1925" s="7" t="inlineStr">
        <is>
          <t>Unmanned Maritime Platforms</t>
        </is>
      </c>
      <c r="M1925" s="7" t="inlineStr">
        <is>
          <t>Unmanned Undersea Vehicles</t>
        </is>
      </c>
      <c r="O1925" s="15" t="n"/>
      <c r="Q1925" s="16" t="n">
        <v>2500</v>
      </c>
      <c r="AC1925" s="23">
        <f>IF(OR(E1925="",E1925="[PARENT]"),"ADD",IF(E1925="[ALT_VIEW]","ALT",""))</f>
        <v/>
      </c>
      <c r="AD1925" s="21">
        <f>IF(Y1925&lt;&gt;"",Y1925,IF(U1925&lt;&gt;"",U1925,S1925))</f>
        <v/>
      </c>
      <c r="AE1925" s="21">
        <f>IF(AB1925&lt;&gt;"",AB1925,Z1925)</f>
        <v/>
      </c>
      <c r="AF1925" s="13" t="inlineStr">
        <is>
          <t>R&amp;D &gt; Exhibit Fund-9B &gt; FY25 &gt; NUWC Keyport</t>
        </is>
      </c>
      <c r="AG1925" s="7" t="inlineStr">
        <is>
          <t>162</t>
        </is>
      </c>
      <c r="AH1925" s="7" t="inlineStr">
        <is>
          <t>NWCF-R&amp;D</t>
        </is>
      </c>
      <c r="AI1925" s="7" t="inlineStr">
        <is>
          <t>NUWC Keyport</t>
        </is>
      </c>
      <c r="AJ1925" s="7" t="inlineStr">
        <is>
          <t>NUWC Keyport</t>
        </is>
      </c>
    </row>
    <row r="1926" ht="10" customHeight="1">
      <c r="A1926" s="7" t="inlineStr">
        <is>
          <t>NWCF</t>
        </is>
      </c>
      <c r="B1926" s="7" t="inlineStr">
        <is>
          <t>Working Capital Fund</t>
        </is>
      </c>
      <c r="D1926" s="7" t="inlineStr">
        <is>
          <t>Over the Horizon (OTH) Lab Facility - 100% Design</t>
        </is>
      </c>
      <c r="E1926" s="13" t="inlineStr">
        <is>
          <t>[SUB]</t>
        </is>
      </c>
      <c r="F1926" s="7" t="inlineStr">
        <is>
          <t>R&amp;D CIP Total</t>
        </is>
      </c>
      <c r="I1926" s="14" t="n">
        <v>6</v>
      </c>
      <c r="K1926" s="13" t="inlineStr">
        <is>
          <t>USN</t>
        </is>
      </c>
      <c r="L1926" s="7" t="inlineStr">
        <is>
          <t>Combatant Ships</t>
        </is>
      </c>
      <c r="M1926" s="7" t="inlineStr">
        <is>
          <t>Surface Combatants</t>
        </is>
      </c>
      <c r="O1926" s="15" t="n"/>
      <c r="S1926" s="16" t="n">
        <v>800</v>
      </c>
      <c r="U1926" s="16" t="n">
        <v>800</v>
      </c>
      <c r="AC1926" s="23">
        <f>IF(OR(E1926="",E1926="[PARENT]"),"ADD",IF(E1926="[ALT_VIEW]","ALT",""))</f>
        <v/>
      </c>
      <c r="AD1926" s="21">
        <f>IF(Y1926&lt;&gt;"",Y1926,IF(U1926&lt;&gt;"",U1926,S1926))</f>
        <v/>
      </c>
      <c r="AE1926" s="21">
        <f>IF(AB1926&lt;&gt;"",AB1926,Z1926)</f>
        <v/>
      </c>
      <c r="AF1926" s="13" t="inlineStr">
        <is>
          <t>R&amp;D &gt; Exhibit Fund-9B &gt; FY26 &gt; NSWC Port Hueneme Minor Construction</t>
        </is>
      </c>
      <c r="AG1926" s="7" t="inlineStr">
        <is>
          <t>194</t>
        </is>
      </c>
      <c r="AH1926" s="7" t="inlineStr">
        <is>
          <t>NWCF-R&amp;D</t>
        </is>
      </c>
      <c r="AI1926" s="7" t="inlineStr">
        <is>
          <t>NSWC Port Hueneme Minor Construction</t>
        </is>
      </c>
      <c r="AJ1926" s="7" t="inlineStr">
        <is>
          <t>NSWC Port Hueneme Minor Construction</t>
        </is>
      </c>
    </row>
    <row r="1927" ht="10" customHeight="1">
      <c r="A1927" s="7" t="inlineStr">
        <is>
          <t>NWCF</t>
        </is>
      </c>
      <c r="B1927" s="7" t="inlineStr">
        <is>
          <t>Working Capital Fund</t>
        </is>
      </c>
      <c r="D1927" s="7" t="inlineStr">
        <is>
          <t>VLS Automated Test Equipment Innovation Facility - 100% Design</t>
        </is>
      </c>
      <c r="E1927" s="13" t="inlineStr">
        <is>
          <t>[SUB]</t>
        </is>
      </c>
      <c r="F1927" s="7" t="inlineStr">
        <is>
          <t>R&amp;D CIP Total</t>
        </is>
      </c>
      <c r="I1927" s="14" t="n">
        <v>6</v>
      </c>
      <c r="K1927" s="13" t="inlineStr">
        <is>
          <t>USN</t>
        </is>
      </c>
      <c r="L1927" s="7" t="inlineStr">
        <is>
          <t>Combatant Ships</t>
        </is>
      </c>
      <c r="M1927" s="7" t="inlineStr">
        <is>
          <t>Surface Combatants</t>
        </is>
      </c>
      <c r="O1927" s="15" t="n"/>
      <c r="S1927" s="16" t="n">
        <v>800</v>
      </c>
      <c r="U1927" s="16" t="n">
        <v>800</v>
      </c>
      <c r="AC1927" s="23">
        <f>IF(OR(E1927="",E1927="[PARENT]"),"ADD",IF(E1927="[ALT_VIEW]","ALT",""))</f>
        <v/>
      </c>
      <c r="AD1927" s="21">
        <f>IF(Y1927&lt;&gt;"",Y1927,IF(U1927&lt;&gt;"",U1927,S1927))</f>
        <v/>
      </c>
      <c r="AE1927" s="21">
        <f>IF(AB1927&lt;&gt;"",AB1927,Z1927)</f>
        <v/>
      </c>
      <c r="AF1927" s="13" t="inlineStr">
        <is>
          <t>R&amp;D &gt; Exhibit Fund-9B &gt; FY26 &gt; NSWC Port Hueneme Minor Construction</t>
        </is>
      </c>
      <c r="AG1927" s="7" t="inlineStr">
        <is>
          <t>194</t>
        </is>
      </c>
      <c r="AH1927" s="7" t="inlineStr">
        <is>
          <t>NWCF-R&amp;D</t>
        </is>
      </c>
      <c r="AI1927" s="7" t="inlineStr">
        <is>
          <t>NSWC Port Hueneme Minor Construction</t>
        </is>
      </c>
      <c r="AJ1927" s="7" t="inlineStr">
        <is>
          <t>NSWC Port Hueneme Minor Construction</t>
        </is>
      </c>
    </row>
    <row r="1928" ht="10" customHeight="1">
      <c r="A1928" s="7" t="inlineStr">
        <is>
          <t>NWCF</t>
        </is>
      </c>
      <c r="B1928" s="7" t="inlineStr">
        <is>
          <t>Working Capital Fund</t>
        </is>
      </c>
      <c r="D1928" s="7" t="inlineStr">
        <is>
          <t>Maritime Mining Lab</t>
        </is>
      </c>
      <c r="E1928" s="13" t="inlineStr">
        <is>
          <t>[SUB]</t>
        </is>
      </c>
      <c r="F1928" s="7" t="inlineStr">
        <is>
          <t>R&amp;D CIP Total</t>
        </is>
      </c>
      <c r="I1928" s="14" t="n">
        <v>6</v>
      </c>
      <c r="K1928" s="13" t="inlineStr">
        <is>
          <t>USN</t>
        </is>
      </c>
      <c r="L1928" s="7" t="inlineStr">
        <is>
          <t>Combatant Ships</t>
        </is>
      </c>
      <c r="M1928" s="7" t="inlineStr">
        <is>
          <t>Mine Warfare</t>
        </is>
      </c>
      <c r="N1928" s="7" t="inlineStr">
        <is>
          <t>MCM</t>
        </is>
      </c>
      <c r="O1928" s="15" t="n"/>
      <c r="S1928" s="16" t="n">
        <v>4000</v>
      </c>
      <c r="U1928" s="16" t="n">
        <v>4000</v>
      </c>
      <c r="AC1928" s="23">
        <f>IF(OR(E1928="",E1928="[PARENT]"),"ADD",IF(E1928="[ALT_VIEW]","ALT",""))</f>
        <v/>
      </c>
      <c r="AD1928" s="21">
        <f>IF(Y1928&lt;&gt;"",Y1928,IF(U1928&lt;&gt;"",U1928,S1928))</f>
        <v/>
      </c>
      <c r="AE1928" s="21">
        <f>IF(AB1928&lt;&gt;"",AB1928,Z1928)</f>
        <v/>
      </c>
      <c r="AF1928" s="13" t="inlineStr">
        <is>
          <t>R&amp;D &gt; Exhibit Fund-9B &gt; FY26 &gt; NSWC Panama City Minor Construction</t>
        </is>
      </c>
      <c r="AG1928" s="7" t="inlineStr">
        <is>
          <t>193</t>
        </is>
      </c>
      <c r="AH1928" s="7" t="inlineStr">
        <is>
          <t>NWCF-R&amp;D</t>
        </is>
      </c>
      <c r="AI1928" s="7" t="inlineStr">
        <is>
          <t>NSWC Panama City Minor Construction</t>
        </is>
      </c>
      <c r="AJ1928" s="7" t="inlineStr">
        <is>
          <t>NSWC Panama City Minor Construction</t>
        </is>
      </c>
    </row>
    <row r="1929" ht="10" customHeight="1">
      <c r="A1929" s="7" t="inlineStr">
        <is>
          <t>NWCF</t>
        </is>
      </c>
      <c r="B1929" s="7" t="inlineStr">
        <is>
          <t>Working Capital Fund</t>
        </is>
      </c>
      <c r="D1929" s="7" t="inlineStr">
        <is>
          <t>Shipboard/Ground Systems Lab Design</t>
        </is>
      </c>
      <c r="E1929" s="13" t="inlineStr">
        <is>
          <t>[SUB]</t>
        </is>
      </c>
      <c r="F1929" s="7" t="inlineStr">
        <is>
          <t>R&amp;D CIP Total</t>
        </is>
      </c>
      <c r="I1929" s="14" t="n">
        <v>6</v>
      </c>
      <c r="K1929" s="13" t="inlineStr">
        <is>
          <t>USN</t>
        </is>
      </c>
      <c r="L1929" s="7" t="inlineStr">
        <is>
          <t>Combatant Ships</t>
        </is>
      </c>
      <c r="M1929" s="7" t="inlineStr">
        <is>
          <t>Submarines</t>
        </is>
      </c>
      <c r="O1929" s="15" t="n"/>
      <c r="S1929" s="16" t="n">
        <v>1800</v>
      </c>
      <c r="U1929" s="16" t="n">
        <v>1800</v>
      </c>
      <c r="AC1929" s="23">
        <f>IF(OR(E1929="",E1929="[PARENT]"),"ADD",IF(E1929="[ALT_VIEW]","ALT",""))</f>
        <v/>
      </c>
      <c r="AD1929" s="21">
        <f>IF(Y1929&lt;&gt;"",Y1929,IF(U1929&lt;&gt;"",U1929,S1929))</f>
        <v/>
      </c>
      <c r="AE1929" s="21">
        <f>IF(AB1929&lt;&gt;"",AB1929,Z1929)</f>
        <v/>
      </c>
      <c r="AF1929" s="13" t="inlineStr">
        <is>
          <t>R&amp;D &gt; Exhibit Fund-9B &gt; FY26 &gt; NSWC Crane Minor Construction</t>
        </is>
      </c>
      <c r="AG1929" s="7" t="inlineStr">
        <is>
          <t>192</t>
        </is>
      </c>
      <c r="AH1929" s="7" t="inlineStr">
        <is>
          <t>NWCF-R&amp;D</t>
        </is>
      </c>
      <c r="AI1929" s="7" t="inlineStr">
        <is>
          <t>NSWC Crane Minor Construction</t>
        </is>
      </c>
      <c r="AJ1929" s="7" t="inlineStr">
        <is>
          <t>NSWC Crane Minor Construction</t>
        </is>
      </c>
    </row>
    <row r="1930" ht="10" customHeight="1">
      <c r="A1930" s="7" t="inlineStr">
        <is>
          <t>NWCF</t>
        </is>
      </c>
      <c r="B1930" s="7" t="inlineStr">
        <is>
          <t>Working Capital Fund</t>
        </is>
      </c>
      <c r="D1930" s="7" t="inlineStr">
        <is>
          <t>MINCON Construct ARD Boathouse #11</t>
        </is>
      </c>
      <c r="E1930" s="13" t="inlineStr">
        <is>
          <t>[SUB]</t>
        </is>
      </c>
      <c r="F1930" s="7" t="inlineStr">
        <is>
          <t>R&amp;D CIP Total</t>
        </is>
      </c>
      <c r="I1930" s="14" t="n">
        <v>6</v>
      </c>
      <c r="K1930" s="15" t="n"/>
      <c r="O1930" s="15" t="n"/>
      <c r="S1930" s="16" t="n">
        <v>1500</v>
      </c>
      <c r="U1930" s="16" t="n">
        <v>1500</v>
      </c>
      <c r="AC1930" s="23">
        <f>IF(OR(E1930="",E1930="[PARENT]"),"ADD",IF(E1930="[ALT_VIEW]","ALT",""))</f>
        <v/>
      </c>
      <c r="AD1930" s="21">
        <f>IF(Y1930&lt;&gt;"",Y1930,IF(U1930&lt;&gt;"",U1930,S1930))</f>
        <v/>
      </c>
      <c r="AE1930" s="21">
        <f>IF(AB1930&lt;&gt;"",AB1930,Z1930)</f>
        <v/>
      </c>
      <c r="AF1930" s="13" t="inlineStr">
        <is>
          <t>R&amp;D &gt; Exhibit Fund-9B &gt; FY26 &gt; NSWC Carderock Minor Construction</t>
        </is>
      </c>
      <c r="AG1930" s="7" t="inlineStr">
        <is>
          <t>185</t>
        </is>
      </c>
      <c r="AH1930" s="7" t="inlineStr">
        <is>
          <t>NWCF-R&amp;D</t>
        </is>
      </c>
      <c r="AI1930" s="7" t="inlineStr">
        <is>
          <t>NSWC Carderock Minor Construction</t>
        </is>
      </c>
      <c r="AJ1930" s="7" t="inlineStr">
        <is>
          <t>NSWC Carderock Minor Construction</t>
        </is>
      </c>
    </row>
    <row r="1931" ht="10" customHeight="1">
      <c r="A1931" s="7" t="inlineStr">
        <is>
          <t>NWCF</t>
        </is>
      </c>
      <c r="B1931" s="7" t="inlineStr">
        <is>
          <t>Working Capital Fund</t>
        </is>
      </c>
      <c r="D1931" s="7" t="inlineStr">
        <is>
          <t>MINCON Construct V-47 Boathouse</t>
        </is>
      </c>
      <c r="E1931" s="13" t="inlineStr">
        <is>
          <t>[SUB]</t>
        </is>
      </c>
      <c r="F1931" s="7" t="inlineStr">
        <is>
          <t>R&amp;D CIP Total</t>
        </is>
      </c>
      <c r="I1931" s="14" t="n">
        <v>6</v>
      </c>
      <c r="K1931" s="15" t="n"/>
      <c r="O1931" s="15" t="n"/>
      <c r="S1931" s="16" t="n">
        <v>4690</v>
      </c>
      <c r="U1931" s="16" t="n">
        <v>4690</v>
      </c>
      <c r="AC1931" s="23">
        <f>IF(OR(E1931="",E1931="[PARENT]"),"ADD",IF(E1931="[ALT_VIEW]","ALT",""))</f>
        <v/>
      </c>
      <c r="AD1931" s="21">
        <f>IF(Y1931&lt;&gt;"",Y1931,IF(U1931&lt;&gt;"",U1931,S1931))</f>
        <v/>
      </c>
      <c r="AE1931" s="21">
        <f>IF(AB1931&lt;&gt;"",AB1931,Z1931)</f>
        <v/>
      </c>
      <c r="AF1931" s="13" t="inlineStr">
        <is>
          <t>R&amp;D &gt; Exhibit Fund-9B &gt; FY26 &gt; NSWC Carderock Minor Construction</t>
        </is>
      </c>
      <c r="AG1931" s="7" t="inlineStr">
        <is>
          <t>191</t>
        </is>
      </c>
      <c r="AH1931" s="7" t="inlineStr">
        <is>
          <t>NWCF-R&amp;D</t>
        </is>
      </c>
      <c r="AI1931" s="7" t="inlineStr">
        <is>
          <t>NSWC Carderock Minor Construction</t>
        </is>
      </c>
      <c r="AJ1931" s="7" t="inlineStr">
        <is>
          <t>NSWC Carderock Minor Construction</t>
        </is>
      </c>
    </row>
    <row r="1932" ht="10" customHeight="1">
      <c r="A1932" s="7" t="inlineStr">
        <is>
          <t>NWCF</t>
        </is>
      </c>
      <c r="B1932" s="7" t="inlineStr">
        <is>
          <t>Working Capital Fund</t>
        </is>
      </c>
      <c r="D1932" s="7" t="inlineStr">
        <is>
          <t>LMSR (Large Medium Speed Ro/Ro) - Construction &amp; Conversion</t>
        </is>
      </c>
      <c r="E1932" s="15" t="n"/>
      <c r="I1932" s="14" t="n">
        <v>1</v>
      </c>
      <c r="J1932" s="7" t="inlineStr">
        <is>
          <t>Full ship DD&amp;C</t>
        </is>
      </c>
      <c r="K1932" s="13" t="inlineStr">
        <is>
          <t>MSC</t>
        </is>
      </c>
      <c r="L1932" s="7" t="inlineStr">
        <is>
          <t>Auxiliary Ships</t>
        </is>
      </c>
      <c r="M1932" s="7" t="inlineStr">
        <is>
          <t>Cargo &amp; Vehicle Cargo Ships</t>
        </is>
      </c>
      <c r="N1932" s="7" t="inlineStr">
        <is>
          <t>T-AKR</t>
        </is>
      </c>
      <c r="O1932" s="15" t="n"/>
      <c r="P1932" s="16" t="n">
        <v>40</v>
      </c>
      <c r="AC1932" s="23">
        <f>IF(OR(E1932="",E1932="[PARENT]"),"ADD",IF(E1932="[ALT_VIEW]","ALT",""))</f>
        <v/>
      </c>
      <c r="AD1932" s="21">
        <f>IF(Y1932&lt;&gt;"",Y1932,IF(U1932&lt;&gt;"",U1932,S1932))</f>
        <v/>
      </c>
      <c r="AE1932" s="21">
        <f>IF(AB1932&lt;&gt;"",AB1932,Z1932)</f>
        <v/>
      </c>
      <c r="AF1932" s="13" t="inlineStr">
        <is>
          <t>Supp Book &gt; Exhibit RF-1 &gt; NDSF &gt; BA01 &gt; LMSR</t>
        </is>
      </c>
      <c r="AG1932" s="7" t="inlineStr">
        <is>
          <t>Supp Book p.2</t>
        </is>
      </c>
      <c r="AH1932" s="7" t="inlineStr">
        <is>
          <t>NDSF</t>
        </is>
      </c>
    </row>
    <row r="1933" ht="10" customHeight="1">
      <c r="A1933" s="7" t="inlineStr">
        <is>
          <t>NWCF</t>
        </is>
      </c>
      <c r="B1933" s="7" t="inlineStr">
        <is>
          <t>Working Capital Fund</t>
        </is>
      </c>
      <c r="D1933" s="7" t="inlineStr">
        <is>
          <t>MPF MLP (Mobile Landing Platform)</t>
        </is>
      </c>
      <c r="E1933" s="15" t="n"/>
      <c r="I1933" s="14" t="n">
        <v>1</v>
      </c>
      <c r="J1933" s="7" t="inlineStr">
        <is>
          <t>Full ship DD&amp;C</t>
        </is>
      </c>
      <c r="K1933" s="13" t="inlineStr">
        <is>
          <t>MSC</t>
        </is>
      </c>
      <c r="L1933" s="7" t="inlineStr">
        <is>
          <t>Combatant Ships</t>
        </is>
      </c>
      <c r="M1933" s="7" t="inlineStr">
        <is>
          <t>Expeditionary &amp; Seabasing Ships</t>
        </is>
      </c>
      <c r="N1933" s="7" t="inlineStr">
        <is>
          <t>ESD</t>
        </is>
      </c>
      <c r="O1933" s="15" t="n"/>
      <c r="P1933" s="16" t="n">
        <v>31</v>
      </c>
      <c r="AC1933" s="23">
        <f>IF(OR(E1933="",E1933="[PARENT]"),"ADD",IF(E1933="[ALT_VIEW]","ALT",""))</f>
        <v/>
      </c>
      <c r="AD1933" s="21">
        <f>IF(Y1933&lt;&gt;"",Y1933,IF(U1933&lt;&gt;"",U1933,S1933))</f>
        <v/>
      </c>
      <c r="AE1933" s="21">
        <f>IF(AB1933&lt;&gt;"",AB1933,Z1933)</f>
        <v/>
      </c>
      <c r="AF1933" s="13" t="inlineStr">
        <is>
          <t>Supp Book &gt; Exhibit RF-1 &gt; NDSF &gt; BA01 &gt; MPF MLP</t>
        </is>
      </c>
      <c r="AG1933" s="7" t="inlineStr">
        <is>
          <t>Supp Book p.2</t>
        </is>
      </c>
      <c r="AH1933" s="7" t="inlineStr">
        <is>
          <t>NDSF</t>
        </is>
      </c>
    </row>
    <row r="1934" ht="10" customHeight="1">
      <c r="A1934" s="7" t="inlineStr">
        <is>
          <t>NWCF</t>
        </is>
      </c>
      <c r="B1934" s="7" t="inlineStr">
        <is>
          <t>Working Capital Fund</t>
        </is>
      </c>
      <c r="D1934" s="7" t="inlineStr">
        <is>
          <t>LG Med Spd Ro/Ro Maintenance</t>
        </is>
      </c>
      <c r="E1934" s="15" t="n"/>
      <c r="I1934" s="14" t="n">
        <v>2</v>
      </c>
      <c r="K1934" s="13" t="inlineStr">
        <is>
          <t>MSC</t>
        </is>
      </c>
      <c r="L1934" s="7" t="inlineStr">
        <is>
          <t>Auxiliary Ships</t>
        </is>
      </c>
      <c r="M1934" s="7" t="inlineStr">
        <is>
          <t>Cargo &amp; Vehicle Cargo Ships</t>
        </is>
      </c>
      <c r="N1934" s="7" t="inlineStr">
        <is>
          <t>T-AKR</t>
        </is>
      </c>
      <c r="O1934" s="15" t="n"/>
      <c r="P1934" s="16" t="n">
        <v>28264</v>
      </c>
      <c r="AC1934" s="23">
        <f>IF(OR(E1934="",E1934="[PARENT]"),"ADD",IF(E1934="[ALT_VIEW]","ALT",""))</f>
        <v/>
      </c>
      <c r="AD1934" s="21">
        <f>IF(Y1934&lt;&gt;"",Y1934,IF(U1934&lt;&gt;"",U1934,S1934))</f>
        <v/>
      </c>
      <c r="AE1934" s="21">
        <f>IF(AB1934&lt;&gt;"",AB1934,Z1934)</f>
        <v/>
      </c>
      <c r="AF1934" s="13" t="inlineStr">
        <is>
          <t>Supp Book &gt; Exhibit RF-1 &gt; NDSF &gt; BA02 &gt; LG Med Spd Ro/Ro Maintenance</t>
        </is>
      </c>
      <c r="AG1934" s="7" t="inlineStr">
        <is>
          <t>Supp Book p.2</t>
        </is>
      </c>
      <c r="AH1934" s="7" t="inlineStr">
        <is>
          <t>NDSF</t>
        </is>
      </c>
    </row>
    <row r="1935" ht="10" customHeight="1">
      <c r="A1935" s="7" t="inlineStr">
        <is>
          <t>NWCF</t>
        </is>
      </c>
      <c r="B1935" s="7" t="inlineStr">
        <is>
          <t>Working Capital Fund</t>
        </is>
      </c>
      <c r="D1935" s="7" t="inlineStr">
        <is>
          <t>DoD Mobilization Alterations</t>
        </is>
      </c>
      <c r="E1935" s="15" t="n"/>
      <c r="I1935" s="14" t="n">
        <v>4</v>
      </c>
      <c r="K1935" s="15" t="n"/>
      <c r="O1935" s="15" t="n"/>
      <c r="P1935" s="16" t="n">
        <v>6939</v>
      </c>
      <c r="AC1935" s="23">
        <f>IF(OR(E1935="",E1935="[PARENT]"),"ADD",IF(E1935="[ALT_VIEW]","ALT",""))</f>
        <v/>
      </c>
      <c r="AD1935" s="21">
        <f>IF(Y1935&lt;&gt;"",Y1935,IF(U1935&lt;&gt;"",U1935,S1935))</f>
        <v/>
      </c>
      <c r="AE1935" s="21">
        <f>IF(AB1935&lt;&gt;"",AB1935,Z1935)</f>
        <v/>
      </c>
      <c r="AF1935" s="13" t="inlineStr">
        <is>
          <t>Supp Book &gt; Exhibit RF-1 &gt; NDSF &gt; BA02 &gt; DoD Mobilization Alterations</t>
        </is>
      </c>
      <c r="AG1935" s="7" t="inlineStr">
        <is>
          <t>Supp Book p.2</t>
        </is>
      </c>
      <c r="AH1935" s="7" t="inlineStr">
        <is>
          <t>NDSF</t>
        </is>
      </c>
    </row>
    <row r="1936" ht="10" customHeight="1">
      <c r="A1936" s="7" t="inlineStr">
        <is>
          <t>NWCF</t>
        </is>
      </c>
      <c r="B1936" s="7" t="inlineStr">
        <is>
          <t>Working Capital Fund</t>
        </is>
      </c>
      <c r="D1936" s="7" t="inlineStr">
        <is>
          <t>NDSF Research and Development</t>
        </is>
      </c>
      <c r="E1936" s="15" t="n"/>
      <c r="I1936" s="14" t="n">
        <v>6</v>
      </c>
      <c r="K1936" s="15" t="n"/>
      <c r="O1936" s="15" t="n"/>
      <c r="P1936" s="16" t="n">
        <v>310</v>
      </c>
      <c r="AC1936" s="23">
        <f>IF(OR(E1936="",E1936="[PARENT]"),"ADD",IF(E1936="[ALT_VIEW]","ALT",""))</f>
        <v/>
      </c>
      <c r="AD1936" s="21">
        <f>IF(Y1936&lt;&gt;"",Y1936,IF(U1936&lt;&gt;"",U1936,S1936))</f>
        <v/>
      </c>
      <c r="AE1936" s="21">
        <f>IF(AB1936&lt;&gt;"",AB1936,Z1936)</f>
        <v/>
      </c>
      <c r="AF1936" s="13" t="inlineStr">
        <is>
          <t>Supp Book &gt; Exhibit RF-1 &gt; NDSF &gt; BA04 &gt; Research And Development</t>
        </is>
      </c>
      <c r="AG1936" s="7" t="inlineStr">
        <is>
          <t>Supp Book p.3</t>
        </is>
      </c>
      <c r="AH1936" s="7" t="inlineStr">
        <is>
          <t>NDSF</t>
        </is>
      </c>
    </row>
    <row r="1937" ht="10" customHeight="1">
      <c r="A1937" s="7" t="inlineStr">
        <is>
          <t>NWCF</t>
        </is>
      </c>
      <c r="B1937" s="7" t="inlineStr">
        <is>
          <t>Working Capital Fund</t>
        </is>
      </c>
      <c r="D1937" s="7" t="inlineStr">
        <is>
          <t>Total National Defense Sealift Fund</t>
        </is>
      </c>
      <c r="E1937" s="13" t="inlineStr">
        <is>
          <t>[PARENT]</t>
        </is>
      </c>
      <c r="I1937" s="14" t="n">
        <v>1</v>
      </c>
      <c r="K1937" s="15" t="n"/>
      <c r="O1937" s="15" t="n"/>
      <c r="P1937" s="16" t="n">
        <v>35584</v>
      </c>
      <c r="AC1937" s="23">
        <f>IF(OR(E1937="",E1937="[PARENT]"),"ADD",IF(E1937="[ALT_VIEW]","ALT",""))</f>
        <v/>
      </c>
      <c r="AD1937" s="21">
        <f>IF(Y1937&lt;&gt;"",Y1937,IF(U1937&lt;&gt;"",U1937,S1937))</f>
        <v/>
      </c>
      <c r="AE1937" s="21">
        <f>IF(AB1937&lt;&gt;"",AB1937,Z1937)</f>
        <v/>
      </c>
      <c r="AF1937" s="13" t="inlineStr">
        <is>
          <t>Supp Book &gt; Exhibit RF-1 &gt; Total National Defense Sealift Fund</t>
        </is>
      </c>
      <c r="AG1937" s="7" t="inlineStr">
        <is>
          <t>Supp Book p.2</t>
        </is>
      </c>
      <c r="AH1937" s="7" t="inlineStr">
        <is>
          <t>NDSF</t>
        </is>
      </c>
    </row>
    <row r="1938" ht="10" customHeight="1">
      <c r="A1938" s="7" t="inlineStr">
        <is>
          <t>OMN</t>
        </is>
      </c>
      <c r="B1938" s="7" t="inlineStr">
        <is>
          <t>O&amp;M</t>
        </is>
      </c>
      <c r="D1938" s="7" t="inlineStr">
        <is>
          <t>Ship Maintenance</t>
        </is>
      </c>
      <c r="E1938" s="13" t="inlineStr">
        <is>
          <t>[PARENT]</t>
        </is>
      </c>
      <c r="I1938" s="14" t="n">
        <v>2</v>
      </c>
      <c r="K1938" s="15" t="n"/>
      <c r="O1938" s="15" t="n"/>
      <c r="P1938" s="16" t="n">
        <v>11502495</v>
      </c>
      <c r="Q1938" s="16" t="n">
        <v>11763594</v>
      </c>
      <c r="S1938" s="16" t="n">
        <v>13803188</v>
      </c>
      <c r="U1938" s="16" t="n">
        <v>13803188</v>
      </c>
      <c r="W1938" s="16" t="n">
        <v>61600</v>
      </c>
      <c r="X1938" s="16" t="n">
        <v>13813188</v>
      </c>
      <c r="Y1938" s="16" t="n">
        <v>13874788</v>
      </c>
      <c r="AC1938" s="23">
        <f>IF(OR(E1938="",E1938="[PARENT]"),"ADD",IF(E1938="[ALT_VIEW]","ALT",""))</f>
        <v/>
      </c>
      <c r="AD1938" s="21">
        <f>IF(Y1938&lt;&gt;"",Y1938,IF(U1938&lt;&gt;"",U1938,S1938))</f>
        <v/>
      </c>
      <c r="AE1938" s="21">
        <f>IF(AB1938&lt;&gt;"",AB1938,Z1938)</f>
        <v/>
      </c>
      <c r="AF1938" s="13" t="inlineStr">
        <is>
          <t>BA1 &gt; Ship Operations &gt; 1B4B Ship Maintenance &gt; Financial Summary</t>
        </is>
      </c>
      <c r="AG1938" s="7" t="inlineStr">
        <is>
          <t>153</t>
        </is>
      </c>
      <c r="AH1938" s="7" t="inlineStr">
        <is>
          <t>1B4B</t>
        </is>
      </c>
    </row>
    <row r="1939" ht="10" customHeight="1">
      <c r="A1939" s="7" t="inlineStr">
        <is>
          <t>OMN</t>
        </is>
      </c>
      <c r="B1939" s="7" t="inlineStr">
        <is>
          <t>O&amp;M</t>
        </is>
      </c>
      <c r="D1939" s="7" t="inlineStr">
        <is>
          <t>Overhauls (OH)</t>
        </is>
      </c>
      <c r="E1939" s="13" t="inlineStr">
        <is>
          <t>[ALT_VIEW]</t>
        </is>
      </c>
      <c r="F1939" s="7" t="inlineStr">
        <is>
          <t>Ship Maintenance</t>
        </is>
      </c>
      <c r="I1939" s="14" t="n">
        <v>2</v>
      </c>
      <c r="K1939" s="15" t="n"/>
      <c r="O1939" s="15" t="n"/>
      <c r="P1939" s="16" t="n">
        <v>329274</v>
      </c>
      <c r="Q1939" s="16" t="n">
        <v>250497</v>
      </c>
      <c r="S1939" s="16" t="n">
        <v>250312</v>
      </c>
      <c r="U1939" s="16" t="n">
        <v>250312</v>
      </c>
      <c r="AC1939" s="23">
        <f>IF(OR(E1939="",E1939="[PARENT]"),"ADD",IF(E1939="[ALT_VIEW]","ALT",""))</f>
        <v/>
      </c>
      <c r="AD1939" s="21">
        <f>IF(Y1939&lt;&gt;"",Y1939,IF(U1939&lt;&gt;"",U1939,S1939))</f>
        <v/>
      </c>
      <c r="AE1939" s="21">
        <f>IF(AB1939&lt;&gt;"",AB1939,Z1939)</f>
        <v/>
      </c>
      <c r="AF1939" s="13" t="inlineStr">
        <is>
          <t>BA1 &gt; 1B4B &gt; Performance Criteria &gt; Availability Type (Total Program)</t>
        </is>
      </c>
      <c r="AG1939" s="7" t="inlineStr">
        <is>
          <t>157</t>
        </is>
      </c>
      <c r="AH1939" s="7" t="inlineStr">
        <is>
          <t>1B4B</t>
        </is>
      </c>
    </row>
    <row r="1940" ht="10" customHeight="1">
      <c r="A1940" s="7" t="inlineStr">
        <is>
          <t>OMN</t>
        </is>
      </c>
      <c r="B1940" s="7" t="inlineStr">
        <is>
          <t>O&amp;M</t>
        </is>
      </c>
      <c r="D1940" s="7" t="inlineStr">
        <is>
          <t>Selected Restricted Availabilities (SRA)</t>
        </is>
      </c>
      <c r="E1940" s="13" t="inlineStr">
        <is>
          <t>[ALT_VIEW]</t>
        </is>
      </c>
      <c r="F1940" s="7" t="inlineStr">
        <is>
          <t>Ship Maintenance</t>
        </is>
      </c>
      <c r="I1940" s="14" t="n">
        <v>2</v>
      </c>
      <c r="K1940" s="15" t="n"/>
      <c r="O1940" s="15" t="n"/>
      <c r="P1940" s="16" t="n">
        <v>717140</v>
      </c>
      <c r="Q1940" s="16" t="n">
        <v>384455</v>
      </c>
      <c r="S1940" s="16" t="n">
        <v>305424</v>
      </c>
      <c r="U1940" s="16" t="n">
        <v>305424</v>
      </c>
      <c r="AC1940" s="23">
        <f>IF(OR(E1940="",E1940="[PARENT]"),"ADD",IF(E1940="[ALT_VIEW]","ALT",""))</f>
        <v/>
      </c>
      <c r="AD1940" s="21">
        <f>IF(Y1940&lt;&gt;"",Y1940,IF(U1940&lt;&gt;"",U1940,S1940))</f>
        <v/>
      </c>
      <c r="AE1940" s="21">
        <f>IF(AB1940&lt;&gt;"",AB1940,Z1940)</f>
        <v/>
      </c>
      <c r="AF1940" s="13" t="inlineStr">
        <is>
          <t>BA1 &gt; 1B4B &gt; Performance Criteria &gt; Availability Type (Total Program)</t>
        </is>
      </c>
      <c r="AG1940" s="7" t="inlineStr">
        <is>
          <t>157</t>
        </is>
      </c>
      <c r="AH1940" s="7" t="inlineStr">
        <is>
          <t>1B4B</t>
        </is>
      </c>
    </row>
    <row r="1941" ht="10" customHeight="1">
      <c r="A1941" s="7" t="inlineStr">
        <is>
          <t>OMN</t>
        </is>
      </c>
      <c r="B1941" s="7" t="inlineStr">
        <is>
          <t>O&amp;M</t>
        </is>
      </c>
      <c r="D1941" s="7" t="inlineStr">
        <is>
          <t>Surface Incremental Availabilities (SIA)</t>
        </is>
      </c>
      <c r="E1941" s="13" t="inlineStr">
        <is>
          <t>[ALT_VIEW]</t>
        </is>
      </c>
      <c r="F1941" s="7" t="inlineStr">
        <is>
          <t>Ship Maintenance</t>
        </is>
      </c>
      <c r="I1941" s="14" t="n">
        <v>2</v>
      </c>
      <c r="K1941" s="15" t="n"/>
      <c r="O1941" s="15" t="n"/>
      <c r="P1941" s="16" t="n">
        <v>95837</v>
      </c>
      <c r="Q1941" s="16" t="n">
        <v>63660</v>
      </c>
      <c r="S1941" s="16" t="n">
        <v>104367</v>
      </c>
      <c r="U1941" s="16" t="n">
        <v>104367</v>
      </c>
      <c r="AC1941" s="23">
        <f>IF(OR(E1941="",E1941="[PARENT]"),"ADD",IF(E1941="[ALT_VIEW]","ALT",""))</f>
        <v/>
      </c>
      <c r="AD1941" s="21">
        <f>IF(Y1941&lt;&gt;"",Y1941,IF(U1941&lt;&gt;"",U1941,S1941))</f>
        <v/>
      </c>
      <c r="AE1941" s="21">
        <f>IF(AB1941&lt;&gt;"",AB1941,Z1941)</f>
        <v/>
      </c>
      <c r="AF1941" s="13" t="inlineStr">
        <is>
          <t>BA1 &gt; 1B4B &gt; Performance Criteria &gt; Availability Type (Total Program)</t>
        </is>
      </c>
      <c r="AG1941" s="7" t="inlineStr">
        <is>
          <t>157</t>
        </is>
      </c>
      <c r="AH1941" s="7" t="inlineStr">
        <is>
          <t>1B4B</t>
        </is>
      </c>
    </row>
    <row r="1942" ht="10" customHeight="1">
      <c r="A1942" s="7" t="inlineStr">
        <is>
          <t>OMN</t>
        </is>
      </c>
      <c r="B1942" s="7" t="inlineStr">
        <is>
          <t>O&amp;M</t>
        </is>
      </c>
      <c r="D1942" s="7" t="inlineStr">
        <is>
          <t>Planned Incremental Availabilities (PIA)</t>
        </is>
      </c>
      <c r="E1942" s="13" t="inlineStr">
        <is>
          <t>[ALT_VIEW]</t>
        </is>
      </c>
      <c r="F1942" s="7" t="inlineStr">
        <is>
          <t>Ship Maintenance</t>
        </is>
      </c>
      <c r="I1942" s="14" t="n">
        <v>2</v>
      </c>
      <c r="K1942" s="13" t="inlineStr">
        <is>
          <t>USN</t>
        </is>
      </c>
      <c r="L1942" s="7" t="inlineStr">
        <is>
          <t>Combatant Ships</t>
        </is>
      </c>
      <c r="M1942" s="7" t="inlineStr">
        <is>
          <t>Aircraft Carriers</t>
        </is>
      </c>
      <c r="N1942" s="7" t="inlineStr">
        <is>
          <t>CVN</t>
        </is>
      </c>
      <c r="O1942" s="15" t="n"/>
      <c r="P1942" s="16" t="n">
        <v>99893</v>
      </c>
      <c r="Q1942" s="16" t="n">
        <v>322052</v>
      </c>
      <c r="S1942" s="16" t="n">
        <v>349822</v>
      </c>
      <c r="U1942" s="16" t="n">
        <v>349822</v>
      </c>
      <c r="AC1942" s="23">
        <f>IF(OR(E1942="",E1942="[PARENT]"),"ADD",IF(E1942="[ALT_VIEW]","ALT",""))</f>
        <v/>
      </c>
      <c r="AD1942" s="21">
        <f>IF(Y1942&lt;&gt;"",Y1942,IF(U1942&lt;&gt;"",U1942,S1942))</f>
        <v/>
      </c>
      <c r="AE1942" s="21">
        <f>IF(AB1942&lt;&gt;"",AB1942,Z1942)</f>
        <v/>
      </c>
      <c r="AF1942" s="13" t="inlineStr">
        <is>
          <t>BA1 &gt; 1B4B &gt; Performance Criteria &gt; Availability Type (Total Program)</t>
        </is>
      </c>
      <c r="AG1942" s="7" t="inlineStr">
        <is>
          <t>157</t>
        </is>
      </c>
      <c r="AH1942" s="7" t="inlineStr">
        <is>
          <t>1B4B</t>
        </is>
      </c>
    </row>
    <row r="1943" ht="10" customHeight="1">
      <c r="A1943" s="7" t="inlineStr">
        <is>
          <t>OMN</t>
        </is>
      </c>
      <c r="B1943" s="7" t="inlineStr">
        <is>
          <t>O&amp;M</t>
        </is>
      </c>
      <c r="D1943" s="7" t="inlineStr">
        <is>
          <t>Carrier Incremental Availabilities (CIA)</t>
        </is>
      </c>
      <c r="E1943" s="13" t="inlineStr">
        <is>
          <t>[ALT_VIEW]</t>
        </is>
      </c>
      <c r="F1943" s="7" t="inlineStr">
        <is>
          <t>Ship Maintenance</t>
        </is>
      </c>
      <c r="I1943" s="14" t="n">
        <v>2</v>
      </c>
      <c r="K1943" s="13" t="inlineStr">
        <is>
          <t>USN</t>
        </is>
      </c>
      <c r="L1943" s="7" t="inlineStr">
        <is>
          <t>Combatant Ships</t>
        </is>
      </c>
      <c r="M1943" s="7" t="inlineStr">
        <is>
          <t>Aircraft Carriers</t>
        </is>
      </c>
      <c r="N1943" s="7" t="inlineStr">
        <is>
          <t>CVN</t>
        </is>
      </c>
      <c r="O1943" s="15" t="n"/>
      <c r="P1943" s="16" t="n">
        <v>28204</v>
      </c>
      <c r="Q1943" s="16" t="n">
        <v>16251</v>
      </c>
      <c r="S1943" s="16" t="n">
        <v>44947</v>
      </c>
      <c r="U1943" s="16" t="n">
        <v>44947</v>
      </c>
      <c r="AC1943" s="23">
        <f>IF(OR(E1943="",E1943="[PARENT]"),"ADD",IF(E1943="[ALT_VIEW]","ALT",""))</f>
        <v/>
      </c>
      <c r="AD1943" s="21">
        <f>IF(Y1943&lt;&gt;"",Y1943,IF(U1943&lt;&gt;"",U1943,S1943))</f>
        <v/>
      </c>
      <c r="AE1943" s="21">
        <f>IF(AB1943&lt;&gt;"",AB1943,Z1943)</f>
        <v/>
      </c>
      <c r="AF1943" s="13" t="inlineStr">
        <is>
          <t>BA1 &gt; 1B4B &gt; Performance Criteria &gt; Availability Type (Total Program)</t>
        </is>
      </c>
      <c r="AG1943" s="7" t="inlineStr">
        <is>
          <t>157</t>
        </is>
      </c>
      <c r="AH1943" s="7" t="inlineStr">
        <is>
          <t>1B4B</t>
        </is>
      </c>
    </row>
    <row r="1944" ht="10" customHeight="1">
      <c r="A1944" s="7" t="inlineStr">
        <is>
          <t>OMN</t>
        </is>
      </c>
      <c r="B1944" s="7" t="inlineStr">
        <is>
          <t>O&amp;M</t>
        </is>
      </c>
      <c r="D1944" s="7" t="inlineStr">
        <is>
          <t>Service Craft Overhauls (SCO)</t>
        </is>
      </c>
      <c r="E1944" s="13" t="inlineStr">
        <is>
          <t>[ALT_VIEW]</t>
        </is>
      </c>
      <c r="F1944" s="7" t="inlineStr">
        <is>
          <t>Ship Maintenance</t>
        </is>
      </c>
      <c r="I1944" s="14" t="n">
        <v>2</v>
      </c>
      <c r="K1944" s="15" t="n"/>
      <c r="O1944" s="15" t="n"/>
      <c r="P1944" s="16" t="n">
        <v>21554</v>
      </c>
      <c r="Q1944" s="16" t="n">
        <v>22924</v>
      </c>
      <c r="AC1944" s="23">
        <f>IF(OR(E1944="",E1944="[PARENT]"),"ADD",IF(E1944="[ALT_VIEW]","ALT",""))</f>
        <v/>
      </c>
      <c r="AD1944" s="21">
        <f>IF(Y1944&lt;&gt;"",Y1944,IF(U1944&lt;&gt;"",U1944,S1944))</f>
        <v/>
      </c>
      <c r="AE1944" s="21">
        <f>IF(AB1944&lt;&gt;"",AB1944,Z1944)</f>
        <v/>
      </c>
      <c r="AF1944" s="13" t="inlineStr">
        <is>
          <t>BA1 &gt; 1B4B &gt; Performance Criteria &gt; Availability Type (Total Program)</t>
        </is>
      </c>
      <c r="AG1944" s="7" t="inlineStr">
        <is>
          <t>157</t>
        </is>
      </c>
      <c r="AH1944" s="7" t="inlineStr">
        <is>
          <t>1B4B</t>
        </is>
      </c>
    </row>
    <row r="1945" ht="10" customHeight="1">
      <c r="A1945" s="7" t="inlineStr">
        <is>
          <t>OMN</t>
        </is>
      </c>
      <c r="B1945" s="7" t="inlineStr">
        <is>
          <t>O&amp;M</t>
        </is>
      </c>
      <c r="D1945" s="7" t="inlineStr">
        <is>
          <t>Emergent Repair (ERATA)</t>
        </is>
      </c>
      <c r="E1945" s="13" t="inlineStr">
        <is>
          <t>[ALT_VIEW]</t>
        </is>
      </c>
      <c r="F1945" s="7" t="inlineStr">
        <is>
          <t>Ship Maintenance</t>
        </is>
      </c>
      <c r="I1945" s="14" t="n">
        <v>3</v>
      </c>
      <c r="K1945" s="15" t="n"/>
      <c r="O1945" s="15" t="n"/>
      <c r="P1945" s="16" t="n">
        <v>118950</v>
      </c>
      <c r="Q1945" s="16" t="n">
        <v>136225</v>
      </c>
      <c r="S1945" s="16" t="n">
        <v>139467</v>
      </c>
      <c r="U1945" s="16" t="n">
        <v>139467</v>
      </c>
      <c r="AC1945" s="23">
        <f>IF(OR(E1945="",E1945="[PARENT]"),"ADD",IF(E1945="[ALT_VIEW]","ALT",""))</f>
        <v/>
      </c>
      <c r="AD1945" s="21">
        <f>IF(Y1945&lt;&gt;"",Y1945,IF(U1945&lt;&gt;"",U1945,S1945))</f>
        <v/>
      </c>
      <c r="AE1945" s="21">
        <f>IF(AB1945&lt;&gt;"",AB1945,Z1945)</f>
        <v/>
      </c>
      <c r="AF1945" s="13" t="inlineStr">
        <is>
          <t>BA1 &gt; 1B4B &gt; Performance Criteria &gt; Availability Type (Total Program)</t>
        </is>
      </c>
      <c r="AG1945" s="7" t="inlineStr">
        <is>
          <t>157</t>
        </is>
      </c>
      <c r="AH1945" s="7" t="inlineStr">
        <is>
          <t>1B4B</t>
        </is>
      </c>
    </row>
    <row r="1946" ht="10" customHeight="1">
      <c r="A1946" s="7" t="inlineStr">
        <is>
          <t>OMN</t>
        </is>
      </c>
      <c r="B1946" s="7" t="inlineStr">
        <is>
          <t>O&amp;M</t>
        </is>
      </c>
      <c r="D1946" s="7" t="inlineStr">
        <is>
          <t>Miscellaneous RA/TA (ORATA)</t>
        </is>
      </c>
      <c r="E1946" s="13" t="inlineStr">
        <is>
          <t>[ALT_VIEW]</t>
        </is>
      </c>
      <c r="F1946" s="7" t="inlineStr">
        <is>
          <t>Ship Maintenance</t>
        </is>
      </c>
      <c r="I1946" s="14" t="n">
        <v>3</v>
      </c>
      <c r="K1946" s="15" t="n"/>
      <c r="O1946" s="15" t="n"/>
      <c r="P1946" s="16" t="n">
        <v>973522</v>
      </c>
      <c r="Q1946" s="16" t="n">
        <v>990461</v>
      </c>
      <c r="S1946" s="16" t="n">
        <v>1070896</v>
      </c>
      <c r="U1946" s="16" t="n">
        <v>1070896</v>
      </c>
      <c r="AC1946" s="23">
        <f>IF(OR(E1946="",E1946="[PARENT]"),"ADD",IF(E1946="[ALT_VIEW]","ALT",""))</f>
        <v/>
      </c>
      <c r="AD1946" s="21">
        <f>IF(Y1946&lt;&gt;"",Y1946,IF(U1946&lt;&gt;"",U1946,S1946))</f>
        <v/>
      </c>
      <c r="AE1946" s="21">
        <f>IF(AB1946&lt;&gt;"",AB1946,Z1946)</f>
        <v/>
      </c>
      <c r="AF1946" s="13" t="inlineStr">
        <is>
          <t>BA1 &gt; 1B4B &gt; Performance Criteria &gt; Availability Type (Total Program)</t>
        </is>
      </c>
      <c r="AG1946" s="7" t="inlineStr">
        <is>
          <t>157</t>
        </is>
      </c>
      <c r="AH1946" s="7" t="inlineStr">
        <is>
          <t>1B4B</t>
        </is>
      </c>
    </row>
    <row r="1947" ht="10" customHeight="1">
      <c r="A1947" s="7" t="inlineStr">
        <is>
          <t>OMN</t>
        </is>
      </c>
      <c r="B1947" s="7" t="inlineStr">
        <is>
          <t>O&amp;M</t>
        </is>
      </c>
      <c r="D1947" s="7" t="inlineStr">
        <is>
          <t>Continuous Maintenance (CM)</t>
        </is>
      </c>
      <c r="E1947" s="13" t="inlineStr">
        <is>
          <t>[ALT_VIEW]</t>
        </is>
      </c>
      <c r="F1947" s="7" t="inlineStr">
        <is>
          <t>Ship Maintenance</t>
        </is>
      </c>
      <c r="I1947" s="14" t="n">
        <v>3</v>
      </c>
      <c r="K1947" s="15" t="n"/>
      <c r="O1947" s="15" t="n"/>
      <c r="P1947" s="16" t="n">
        <v>696548</v>
      </c>
      <c r="Q1947" s="16" t="n">
        <v>662899</v>
      </c>
      <c r="S1947" s="16" t="n">
        <v>650869</v>
      </c>
      <c r="U1947" s="16" t="n">
        <v>650869</v>
      </c>
      <c r="AC1947" s="23">
        <f>IF(OR(E1947="",E1947="[PARENT]"),"ADD",IF(E1947="[ALT_VIEW]","ALT",""))</f>
        <v/>
      </c>
      <c r="AD1947" s="21">
        <f>IF(Y1947&lt;&gt;"",Y1947,IF(U1947&lt;&gt;"",U1947,S1947))</f>
        <v/>
      </c>
      <c r="AE1947" s="21">
        <f>IF(AB1947&lt;&gt;"",AB1947,Z1947)</f>
        <v/>
      </c>
      <c r="AF1947" s="13" t="inlineStr">
        <is>
          <t>BA1 &gt; 1B4B &gt; Performance Criteria &gt; Availability Type (Total Program)</t>
        </is>
      </c>
      <c r="AG1947" s="7" t="inlineStr">
        <is>
          <t>157</t>
        </is>
      </c>
      <c r="AH1947" s="7" t="inlineStr">
        <is>
          <t>1B4B</t>
        </is>
      </c>
    </row>
    <row r="1948" ht="10" customHeight="1">
      <c r="A1948" s="7" t="inlineStr">
        <is>
          <t>OMN</t>
        </is>
      </c>
      <c r="B1948" s="7" t="inlineStr">
        <is>
          <t>O&amp;M</t>
        </is>
      </c>
      <c r="D1948" s="7" t="inlineStr">
        <is>
          <t>Non-Depot / Intermediate Maintenance (IL)</t>
        </is>
      </c>
      <c r="E1948" s="13" t="inlineStr">
        <is>
          <t>[ALT_VIEW]</t>
        </is>
      </c>
      <c r="F1948" s="7" t="inlineStr">
        <is>
          <t>Ship Maintenance</t>
        </is>
      </c>
      <c r="I1948" s="14" t="n">
        <v>3</v>
      </c>
      <c r="K1948" s="15" t="n"/>
      <c r="O1948" s="15" t="n"/>
      <c r="P1948" s="16" t="n">
        <v>1497600</v>
      </c>
      <c r="Q1948" s="16" t="n">
        <v>1429333</v>
      </c>
      <c r="S1948" s="16" t="n">
        <v>1525270</v>
      </c>
      <c r="U1948" s="16" t="n">
        <v>1525270</v>
      </c>
      <c r="AC1948" s="23">
        <f>IF(OR(E1948="",E1948="[PARENT]"),"ADD",IF(E1948="[ALT_VIEW]","ALT",""))</f>
        <v/>
      </c>
      <c r="AD1948" s="21">
        <f>IF(Y1948&lt;&gt;"",Y1948,IF(U1948&lt;&gt;"",U1948,S1948))</f>
        <v/>
      </c>
      <c r="AE1948" s="21">
        <f>IF(AB1948&lt;&gt;"",AB1948,Z1948)</f>
        <v/>
      </c>
      <c r="AF1948" s="13" t="inlineStr">
        <is>
          <t>BA1 &gt; 1B4B &gt; Performance Criteria &gt; Availability Type (Total Program)</t>
        </is>
      </c>
      <c r="AG1948" s="7" t="inlineStr">
        <is>
          <t>157</t>
        </is>
      </c>
      <c r="AH1948" s="7" t="inlineStr">
        <is>
          <t>1B4B</t>
        </is>
      </c>
    </row>
    <row r="1949" ht="10" customHeight="1">
      <c r="A1949" s="7" t="inlineStr">
        <is>
          <t>OMN</t>
        </is>
      </c>
      <c r="B1949" s="7" t="inlineStr">
        <is>
          <t>O&amp;M</t>
        </is>
      </c>
      <c r="D1949" s="7" t="inlineStr">
        <is>
          <t>Norfolk Naval Shipyard (NNSY)</t>
        </is>
      </c>
      <c r="E1949" s="13" t="inlineStr">
        <is>
          <t>[ALT_VIEW]</t>
        </is>
      </c>
      <c r="F1949" s="7" t="inlineStr">
        <is>
          <t>Ship Maintenance</t>
        </is>
      </c>
      <c r="I1949" s="14" t="n">
        <v>2</v>
      </c>
      <c r="K1949" s="15" t="n"/>
      <c r="O1949" s="15" t="n"/>
      <c r="P1949" s="16" t="n">
        <v>1635116</v>
      </c>
      <c r="Q1949" s="16" t="n">
        <v>1789606</v>
      </c>
      <c r="S1949" s="16" t="n">
        <v>1775132</v>
      </c>
      <c r="U1949" s="16" t="n">
        <v>1775132</v>
      </c>
      <c r="AC1949" s="23">
        <f>IF(OR(E1949="",E1949="[PARENT]"),"ADD",IF(E1949="[ALT_VIEW]","ALT",""))</f>
        <v/>
      </c>
      <c r="AD1949" s="21">
        <f>IF(Y1949&lt;&gt;"",Y1949,IF(U1949&lt;&gt;"",U1949,S1949))</f>
        <v/>
      </c>
      <c r="AE1949" s="21">
        <f>IF(AB1949&lt;&gt;"",AB1949,Z1949)</f>
        <v/>
      </c>
      <c r="AF1949" s="13" t="inlineStr">
        <is>
          <t>BA1 &gt; 1B4B &gt; Performance Criteria &gt; By Shipyard</t>
        </is>
      </c>
      <c r="AG1949" s="7" t="inlineStr">
        <is>
          <t>157</t>
        </is>
      </c>
      <c r="AH1949" s="7" t="inlineStr">
        <is>
          <t>1B4B</t>
        </is>
      </c>
      <c r="AI1949" s="7" t="inlineStr">
        <is>
          <t>By Shipyard</t>
        </is>
      </c>
    </row>
    <row r="1950" ht="10" customHeight="1">
      <c r="A1950" s="7" t="inlineStr">
        <is>
          <t>OMN</t>
        </is>
      </c>
      <c r="B1950" s="7" t="inlineStr">
        <is>
          <t>O&amp;M</t>
        </is>
      </c>
      <c r="D1950" s="7" t="inlineStr">
        <is>
          <t>Portsmouth Naval Shipyard (PNSY)</t>
        </is>
      </c>
      <c r="E1950" s="13" t="inlineStr">
        <is>
          <t>[ALT_VIEW]</t>
        </is>
      </c>
      <c r="F1950" s="7" t="inlineStr">
        <is>
          <t>Ship Maintenance</t>
        </is>
      </c>
      <c r="I1950" s="14" t="n">
        <v>2</v>
      </c>
      <c r="K1950" s="15" t="n"/>
      <c r="O1950" s="15" t="n"/>
      <c r="P1950" s="16" t="n">
        <v>1191581</v>
      </c>
      <c r="Q1950" s="16" t="n">
        <v>1468055</v>
      </c>
      <c r="S1950" s="16" t="n">
        <v>1401503</v>
      </c>
      <c r="U1950" s="16" t="n">
        <v>1401503</v>
      </c>
      <c r="AC1950" s="23">
        <f>IF(OR(E1950="",E1950="[PARENT]"),"ADD",IF(E1950="[ALT_VIEW]","ALT",""))</f>
        <v/>
      </c>
      <c r="AD1950" s="21">
        <f>IF(Y1950&lt;&gt;"",Y1950,IF(U1950&lt;&gt;"",U1950,S1950))</f>
        <v/>
      </c>
      <c r="AE1950" s="21">
        <f>IF(AB1950&lt;&gt;"",AB1950,Z1950)</f>
        <v/>
      </c>
      <c r="AF1950" s="13" t="inlineStr">
        <is>
          <t>BA1 &gt; 1B4B &gt; Performance Criteria &gt; By Shipyard</t>
        </is>
      </c>
      <c r="AG1950" s="7" t="inlineStr">
        <is>
          <t>157</t>
        </is>
      </c>
      <c r="AH1950" s="7" t="inlineStr">
        <is>
          <t>1B4B</t>
        </is>
      </c>
      <c r="AI1950" s="7" t="inlineStr">
        <is>
          <t>By Shipyard</t>
        </is>
      </c>
    </row>
    <row r="1951" ht="10" customHeight="1">
      <c r="A1951" s="7" t="inlineStr">
        <is>
          <t>OMN</t>
        </is>
      </c>
      <c r="B1951" s="7" t="inlineStr">
        <is>
          <t>O&amp;M</t>
        </is>
      </c>
      <c r="D1951" s="7" t="inlineStr">
        <is>
          <t>Puget Sound Naval Shipyard (PSNSY)</t>
        </is>
      </c>
      <c r="E1951" s="13" t="inlineStr">
        <is>
          <t>[ALT_VIEW]</t>
        </is>
      </c>
      <c r="F1951" s="7" t="inlineStr">
        <is>
          <t>Ship Maintenance</t>
        </is>
      </c>
      <c r="I1951" s="14" t="n">
        <v>2</v>
      </c>
      <c r="K1951" s="15" t="n"/>
      <c r="O1951" s="15" t="n"/>
      <c r="P1951" s="16" t="n">
        <v>2521756</v>
      </c>
      <c r="Q1951" s="16" t="n">
        <v>2741203</v>
      </c>
      <c r="S1951" s="16" t="n">
        <v>2944801</v>
      </c>
      <c r="U1951" s="16" t="n">
        <v>2944801</v>
      </c>
      <c r="AC1951" s="23">
        <f>IF(OR(E1951="",E1951="[PARENT]"),"ADD",IF(E1951="[ALT_VIEW]","ALT",""))</f>
        <v/>
      </c>
      <c r="AD1951" s="21">
        <f>IF(Y1951&lt;&gt;"",Y1951,IF(U1951&lt;&gt;"",U1951,S1951))</f>
        <v/>
      </c>
      <c r="AE1951" s="21">
        <f>IF(AB1951&lt;&gt;"",AB1951,Z1951)</f>
        <v/>
      </c>
      <c r="AF1951" s="13" t="inlineStr">
        <is>
          <t>BA1 &gt; 1B4B &gt; Performance Criteria &gt; By Shipyard</t>
        </is>
      </c>
      <c r="AG1951" s="7" t="inlineStr">
        <is>
          <t>157</t>
        </is>
      </c>
      <c r="AH1951" s="7" t="inlineStr">
        <is>
          <t>1B4B</t>
        </is>
      </c>
      <c r="AI1951" s="7" t="inlineStr">
        <is>
          <t>By Shipyard</t>
        </is>
      </c>
    </row>
    <row r="1952" ht="10" customHeight="1">
      <c r="A1952" s="7" t="inlineStr">
        <is>
          <t>OMN</t>
        </is>
      </c>
      <c r="B1952" s="7" t="inlineStr">
        <is>
          <t>O&amp;M</t>
        </is>
      </c>
      <c r="D1952" s="7" t="inlineStr">
        <is>
          <t>Pearl Harbor Naval Shipyard (PHNSY)</t>
        </is>
      </c>
      <c r="E1952" s="13" t="inlineStr">
        <is>
          <t>[ALT_VIEW]</t>
        </is>
      </c>
      <c r="F1952" s="7" t="inlineStr">
        <is>
          <t>Ship Maintenance</t>
        </is>
      </c>
      <c r="I1952" s="14" t="n">
        <v>2</v>
      </c>
      <c r="K1952" s="15" t="n"/>
      <c r="O1952" s="15" t="n"/>
      <c r="P1952" s="16" t="n">
        <v>1237273</v>
      </c>
      <c r="Q1952" s="16" t="n">
        <v>1485973</v>
      </c>
      <c r="S1952" s="16" t="n">
        <v>1656378</v>
      </c>
      <c r="U1952" s="16" t="n">
        <v>1656378</v>
      </c>
      <c r="AC1952" s="23">
        <f>IF(OR(E1952="",E1952="[PARENT]"),"ADD",IF(E1952="[ALT_VIEW]","ALT",""))</f>
        <v/>
      </c>
      <c r="AD1952" s="21">
        <f>IF(Y1952&lt;&gt;"",Y1952,IF(U1952&lt;&gt;"",U1952,S1952))</f>
        <v/>
      </c>
      <c r="AE1952" s="21">
        <f>IF(AB1952&lt;&gt;"",AB1952,Z1952)</f>
        <v/>
      </c>
      <c r="AF1952" s="13" t="inlineStr">
        <is>
          <t>BA1 &gt; 1B4B &gt; Performance Criteria &gt; By Shipyard</t>
        </is>
      </c>
      <c r="AG1952" s="7" t="inlineStr">
        <is>
          <t>157</t>
        </is>
      </c>
      <c r="AH1952" s="7" t="inlineStr">
        <is>
          <t>1B4B</t>
        </is>
      </c>
      <c r="AI1952" s="7" t="inlineStr">
        <is>
          <t>By Shipyard</t>
        </is>
      </c>
    </row>
    <row r="1953" ht="10" customHeight="1">
      <c r="A1953" s="7" t="inlineStr">
        <is>
          <t>OMN</t>
        </is>
      </c>
      <c r="B1953" s="7" t="inlineStr">
        <is>
          <t>O&amp;M</t>
        </is>
      </c>
      <c r="D1953" s="7" t="inlineStr">
        <is>
          <t>Intermediate-Level (I-Level) Maintenance - Labor</t>
        </is>
      </c>
      <c r="E1953" s="13" t="inlineStr">
        <is>
          <t>[SUB]</t>
        </is>
      </c>
      <c r="F1953" s="7" t="inlineStr">
        <is>
          <t>Non-Depot / Intermediate Maintenance (IL)</t>
        </is>
      </c>
      <c r="I1953" s="14" t="n">
        <v>3</v>
      </c>
      <c r="K1953" s="15" t="n"/>
      <c r="O1953" s="15" t="n"/>
      <c r="P1953" s="16" t="n">
        <v>849162</v>
      </c>
      <c r="Q1953" s="16" t="n">
        <v>913937</v>
      </c>
      <c r="S1953" s="16" t="n">
        <v>799626</v>
      </c>
      <c r="U1953" s="16" t="n">
        <v>799626</v>
      </c>
      <c r="AC1953" s="23">
        <f>IF(OR(E1953="",E1953="[PARENT]"),"ADD",IF(E1953="[ALT_VIEW]","ALT",""))</f>
        <v/>
      </c>
      <c r="AD1953" s="21">
        <f>IF(Y1953&lt;&gt;"",Y1953,IF(U1953&lt;&gt;"",U1953,S1953))</f>
        <v/>
      </c>
      <c r="AE1953" s="21">
        <f>IF(AB1953&lt;&gt;"",AB1953,Z1953)</f>
        <v/>
      </c>
      <c r="AF1953" s="13" t="inlineStr">
        <is>
          <t>BA1 &gt; 1B4B &gt; Performance Criteria &gt; Table II I-Level</t>
        </is>
      </c>
      <c r="AG1953" s="7" t="inlineStr">
        <is>
          <t>159</t>
        </is>
      </c>
      <c r="AH1953" s="7" t="inlineStr">
        <is>
          <t>1B4B</t>
        </is>
      </c>
      <c r="AI1953" s="7" t="inlineStr">
        <is>
          <t>Table II I-Level</t>
        </is>
      </c>
    </row>
    <row r="1954" ht="10" customHeight="1">
      <c r="A1954" s="7" t="inlineStr">
        <is>
          <t>OMN</t>
        </is>
      </c>
      <c r="B1954" s="7" t="inlineStr">
        <is>
          <t>O&amp;M</t>
        </is>
      </c>
      <c r="D1954" s="7" t="inlineStr">
        <is>
          <t>Intermediate-Level (I-Level) Maintenance - Non-Labor</t>
        </is>
      </c>
      <c r="E1954" s="13" t="inlineStr">
        <is>
          <t>[SUB]</t>
        </is>
      </c>
      <c r="F1954" s="7" t="inlineStr">
        <is>
          <t>Non-Depot / Intermediate Maintenance (IL)</t>
        </is>
      </c>
      <c r="I1954" s="14" t="n">
        <v>3</v>
      </c>
      <c r="K1954" s="15" t="n"/>
      <c r="O1954" s="15" t="n"/>
      <c r="P1954" s="16" t="n">
        <v>2368347</v>
      </c>
      <c r="Q1954" s="16" t="n">
        <v>2019921</v>
      </c>
      <c r="S1954" s="16" t="n">
        <v>3969612</v>
      </c>
      <c r="U1954" s="16" t="n">
        <v>3969612</v>
      </c>
      <c r="AC1954" s="23">
        <f>IF(OR(E1954="",E1954="[PARENT]"),"ADD",IF(E1954="[ALT_VIEW]","ALT",""))</f>
        <v/>
      </c>
      <c r="AD1954" s="21">
        <f>IF(Y1954&lt;&gt;"",Y1954,IF(U1954&lt;&gt;"",U1954,S1954))</f>
        <v/>
      </c>
      <c r="AE1954" s="21">
        <f>IF(AB1954&lt;&gt;"",AB1954,Z1954)</f>
        <v/>
      </c>
      <c r="AF1954" s="13" t="inlineStr">
        <is>
          <t>BA1 &gt; 1B4B &gt; Performance Criteria &gt; Table II I-Level</t>
        </is>
      </c>
      <c r="AG1954" s="7" t="inlineStr">
        <is>
          <t>159</t>
        </is>
      </c>
      <c r="AH1954" s="7" t="inlineStr">
        <is>
          <t>1B4B</t>
        </is>
      </c>
      <c r="AI1954" s="7" t="inlineStr">
        <is>
          <t>Table II I-Level</t>
        </is>
      </c>
    </row>
    <row r="1955" ht="10" customHeight="1">
      <c r="A1955" s="7" t="inlineStr">
        <is>
          <t>OMN</t>
        </is>
      </c>
      <c r="B1955" s="7" t="inlineStr">
        <is>
          <t>O&amp;M</t>
        </is>
      </c>
      <c r="D1955" s="7" t="inlineStr">
        <is>
          <t>MSC Mid-Term Availability (MTA)</t>
        </is>
      </c>
      <c r="E1955" s="13" t="inlineStr">
        <is>
          <t>[SUB]</t>
        </is>
      </c>
      <c r="F1955" s="7" t="inlineStr">
        <is>
          <t>Ship Maintenance</t>
        </is>
      </c>
      <c r="I1955" s="14" t="n">
        <v>2</v>
      </c>
      <c r="K1955" s="15" t="n"/>
      <c r="O1955" s="15" t="n"/>
      <c r="S1955" s="16" t="n">
        <v>341925</v>
      </c>
      <c r="U1955" s="16" t="n">
        <v>341925</v>
      </c>
      <c r="AC1955" s="23">
        <f>IF(OR(E1955="",E1955="[PARENT]"),"ADD",IF(E1955="[ALT_VIEW]","ALT",""))</f>
        <v/>
      </c>
      <c r="AD1955" s="21">
        <f>IF(Y1955&lt;&gt;"",Y1955,IF(U1955&lt;&gt;"",U1955,S1955))</f>
        <v/>
      </c>
      <c r="AE1955" s="21">
        <f>IF(AB1955&lt;&gt;"",AB1955,Z1955)</f>
        <v/>
      </c>
      <c r="AF1955" s="13" t="inlineStr">
        <is>
          <t>BA1 &gt; 1B4B &gt; MSC Availability Type</t>
        </is>
      </c>
      <c r="AG1955" s="7" t="inlineStr">
        <is>
          <t>158</t>
        </is>
      </c>
      <c r="AH1955" s="7" t="inlineStr">
        <is>
          <t>1B4B</t>
        </is>
      </c>
    </row>
    <row r="1956" ht="10" customHeight="1">
      <c r="A1956" s="7" t="inlineStr">
        <is>
          <t>OMN</t>
        </is>
      </c>
      <c r="B1956" s="7" t="inlineStr">
        <is>
          <t>O&amp;M</t>
        </is>
      </c>
      <c r="D1956" s="7" t="inlineStr">
        <is>
          <t>MSC Regular Overhaul (ROH)</t>
        </is>
      </c>
      <c r="E1956" s="13" t="inlineStr">
        <is>
          <t>[SUB]</t>
        </is>
      </c>
      <c r="F1956" s="7" t="inlineStr">
        <is>
          <t>Ship Maintenance</t>
        </is>
      </c>
      <c r="I1956" s="14" t="n">
        <v>2</v>
      </c>
      <c r="K1956" s="15" t="n"/>
      <c r="O1956" s="15" t="n"/>
      <c r="S1956" s="16" t="n">
        <v>666329</v>
      </c>
      <c r="U1956" s="16" t="n">
        <v>666329</v>
      </c>
      <c r="AC1956" s="23">
        <f>IF(OR(E1956="",E1956="[PARENT]"),"ADD",IF(E1956="[ALT_VIEW]","ALT",""))</f>
        <v/>
      </c>
      <c r="AD1956" s="21">
        <f>IF(Y1956&lt;&gt;"",Y1956,IF(U1956&lt;&gt;"",U1956,S1956))</f>
        <v/>
      </c>
      <c r="AE1956" s="21">
        <f>IF(AB1956&lt;&gt;"",AB1956,Z1956)</f>
        <v/>
      </c>
      <c r="AF1956" s="13" t="inlineStr">
        <is>
          <t>BA1 &gt; 1B4B &gt; MSC Availability Type</t>
        </is>
      </c>
      <c r="AG1956" s="7" t="inlineStr">
        <is>
          <t>158</t>
        </is>
      </c>
      <c r="AH1956" s="7" t="inlineStr">
        <is>
          <t>1B4B</t>
        </is>
      </c>
    </row>
    <row r="1957" ht="10" customHeight="1">
      <c r="A1957" s="7" t="inlineStr">
        <is>
          <t>OMN</t>
        </is>
      </c>
      <c r="B1957" s="7" t="inlineStr">
        <is>
          <t>O&amp;M</t>
        </is>
      </c>
      <c r="D1957" s="7" t="inlineStr">
        <is>
          <t>MSC Other Maintenance and Repair</t>
        </is>
      </c>
      <c r="E1957" s="13" t="inlineStr">
        <is>
          <t>[SUB]</t>
        </is>
      </c>
      <c r="F1957" s="7" t="inlineStr">
        <is>
          <t>Ship Maintenance</t>
        </is>
      </c>
      <c r="I1957" s="14" t="n">
        <v>2</v>
      </c>
      <c r="K1957" s="15" t="n"/>
      <c r="O1957" s="15" t="n"/>
      <c r="S1957" s="16" t="n">
        <v>575746</v>
      </c>
      <c r="U1957" s="16" t="n">
        <v>575746</v>
      </c>
      <c r="AC1957" s="23">
        <f>IF(OR(E1957="",E1957="[PARENT]"),"ADD",IF(E1957="[ALT_VIEW]","ALT",""))</f>
        <v/>
      </c>
      <c r="AD1957" s="21">
        <f>IF(Y1957&lt;&gt;"",Y1957,IF(U1957&lt;&gt;"",U1957,S1957))</f>
        <v/>
      </c>
      <c r="AE1957" s="21">
        <f>IF(AB1957&lt;&gt;"",AB1957,Z1957)</f>
        <v/>
      </c>
      <c r="AF1957" s="13" t="inlineStr">
        <is>
          <t>BA1 &gt; 1B4B &gt; MSC Availability Type</t>
        </is>
      </c>
      <c r="AG1957" s="7" t="inlineStr">
        <is>
          <t>158</t>
        </is>
      </c>
      <c r="AH1957" s="7" t="inlineStr">
        <is>
          <t>1B4B</t>
        </is>
      </c>
    </row>
    <row r="1958" ht="10" customHeight="1">
      <c r="A1958" s="7" t="inlineStr">
        <is>
          <t>OMN</t>
        </is>
      </c>
      <c r="B1958" s="7" t="inlineStr">
        <is>
          <t>O&amp;M</t>
        </is>
      </c>
      <c r="D1958" s="7" t="inlineStr">
        <is>
          <t>PHNSY - SSN 789 EDSRA / SSN 780 DMP / SSN 761 DSRA</t>
        </is>
      </c>
      <c r="E1958" s="13" t="inlineStr">
        <is>
          <t>[SUB]</t>
        </is>
      </c>
      <c r="F1958" s="7" t="inlineStr">
        <is>
          <t>Ship Maintenance</t>
        </is>
      </c>
      <c r="I1958" s="14" t="n">
        <v>2</v>
      </c>
      <c r="K1958" s="13" t="inlineStr">
        <is>
          <t>USN</t>
        </is>
      </c>
      <c r="L1958" s="7" t="inlineStr">
        <is>
          <t>Combatant Ships</t>
        </is>
      </c>
      <c r="M1958" s="7" t="inlineStr">
        <is>
          <t>Submarines</t>
        </is>
      </c>
      <c r="N1958" s="7" t="inlineStr">
        <is>
          <t>SSN</t>
        </is>
      </c>
      <c r="O1958" s="15" t="n"/>
      <c r="S1958" s="16" t="n">
        <v>293392</v>
      </c>
      <c r="U1958" s="16" t="n">
        <v>293392</v>
      </c>
      <c r="AC1958" s="23">
        <f>IF(OR(E1958="",E1958="[PARENT]"),"ADD",IF(E1958="[ALT_VIEW]","ALT",""))</f>
        <v/>
      </c>
      <c r="AD1958" s="21">
        <f>IF(Y1958&lt;&gt;"",Y1958,IF(U1958&lt;&gt;"",U1958,S1958))</f>
        <v/>
      </c>
      <c r="AE1958" s="21">
        <f>IF(AB1958&lt;&gt;"",AB1958,Z1958)</f>
        <v/>
      </c>
      <c r="AF1958" s="13" t="inlineStr">
        <is>
          <t>BA1 &gt; 1B4B &gt; Reconciliation &gt; Program Increases &gt; i</t>
        </is>
      </c>
      <c r="AG1958" s="7" t="inlineStr">
        <is>
          <t>154</t>
        </is>
      </c>
      <c r="AH1958" s="7" t="inlineStr">
        <is>
          <t>1B4B</t>
        </is>
      </c>
      <c r="AI1958" s="7" t="inlineStr">
        <is>
          <t>Program Increases</t>
        </is>
      </c>
      <c r="AJ1958" s="7" t="inlineStr">
        <is>
          <t>i</t>
        </is>
      </c>
    </row>
    <row r="1959" ht="10" customHeight="1">
      <c r="A1959" s="7" t="inlineStr">
        <is>
          <t>OMN</t>
        </is>
      </c>
      <c r="B1959" s="7" t="inlineStr">
        <is>
          <t>O&amp;M</t>
        </is>
      </c>
      <c r="D1959" s="7" t="inlineStr">
        <is>
          <t>Non-Depot / Intermediate Maintenance (IL) - RMC Support</t>
        </is>
      </c>
      <c r="E1959" s="13" t="inlineStr">
        <is>
          <t>[SUB]</t>
        </is>
      </c>
      <c r="F1959" s="7" t="inlineStr">
        <is>
          <t>Ship Maintenance</t>
        </is>
      </c>
      <c r="I1959" s="14" t="n">
        <v>3</v>
      </c>
      <c r="K1959" s="15" t="n"/>
      <c r="O1959" s="15" t="n"/>
      <c r="S1959" s="16" t="n">
        <v>86752</v>
      </c>
      <c r="U1959" s="16" t="n">
        <v>86752</v>
      </c>
      <c r="AC1959" s="23">
        <f>IF(OR(E1959="",E1959="[PARENT]"),"ADD",IF(E1959="[ALT_VIEW]","ALT",""))</f>
        <v/>
      </c>
      <c r="AD1959" s="21">
        <f>IF(Y1959&lt;&gt;"",Y1959,IF(U1959&lt;&gt;"",U1959,S1959))</f>
        <v/>
      </c>
      <c r="AE1959" s="21">
        <f>IF(AB1959&lt;&gt;"",AB1959,Z1959)</f>
        <v/>
      </c>
      <c r="AF1959" s="13" t="inlineStr">
        <is>
          <t>BA1 &gt; 1B4B &gt; Reconciliation &gt; Program Increases &gt; ii</t>
        </is>
      </c>
      <c r="AG1959" s="7" t="inlineStr">
        <is>
          <t>155</t>
        </is>
      </c>
      <c r="AH1959" s="7" t="inlineStr">
        <is>
          <t>1B4B</t>
        </is>
      </c>
      <c r="AI1959" s="7" t="inlineStr">
        <is>
          <t>Program Increases</t>
        </is>
      </c>
      <c r="AJ1959" s="7" t="inlineStr">
        <is>
          <t>ii</t>
        </is>
      </c>
    </row>
    <row r="1960" ht="10" customHeight="1">
      <c r="A1960" s="7" t="inlineStr">
        <is>
          <t>OMN</t>
        </is>
      </c>
      <c r="B1960" s="7" t="inlineStr">
        <is>
          <t>O&amp;M</t>
        </is>
      </c>
      <c r="D1960" s="7" t="inlineStr">
        <is>
          <t>PSNSY - USS KENTUCKY (SSBN 737) Induction</t>
        </is>
      </c>
      <c r="E1960" s="13" t="inlineStr">
        <is>
          <t>[SUB]</t>
        </is>
      </c>
      <c r="F1960" s="7" t="inlineStr">
        <is>
          <t>Ship Maintenance</t>
        </is>
      </c>
      <c r="I1960" s="14" t="n">
        <v>2</v>
      </c>
      <c r="K1960" s="13" t="inlineStr">
        <is>
          <t>USN</t>
        </is>
      </c>
      <c r="L1960" s="7" t="inlineStr">
        <is>
          <t>Combatant Ships</t>
        </is>
      </c>
      <c r="M1960" s="7" t="inlineStr">
        <is>
          <t>Submarines</t>
        </is>
      </c>
      <c r="N1960" s="7" t="inlineStr">
        <is>
          <t>SSBN</t>
        </is>
      </c>
      <c r="O1960" s="15" t="n"/>
      <c r="S1960" s="16" t="n">
        <v>77927</v>
      </c>
      <c r="U1960" s="16" t="n">
        <v>77927</v>
      </c>
      <c r="AC1960" s="23">
        <f>IF(OR(E1960="",E1960="[PARENT]"),"ADD",IF(E1960="[ALT_VIEW]","ALT",""))</f>
        <v/>
      </c>
      <c r="AD1960" s="21">
        <f>IF(Y1960&lt;&gt;"",Y1960,IF(U1960&lt;&gt;"",U1960,S1960))</f>
        <v/>
      </c>
      <c r="AE1960" s="21">
        <f>IF(AB1960&lt;&gt;"",AB1960,Z1960)</f>
        <v/>
      </c>
      <c r="AF1960" s="13" t="inlineStr">
        <is>
          <t>BA1 &gt; 1B4B &gt; Reconciliation &gt; Program Increases &gt; iii</t>
        </is>
      </c>
      <c r="AG1960" s="7" t="inlineStr">
        <is>
          <t>155</t>
        </is>
      </c>
      <c r="AH1960" s="7" t="inlineStr">
        <is>
          <t>1B4B</t>
        </is>
      </c>
      <c r="AI1960" s="7" t="inlineStr">
        <is>
          <t>Program Increases</t>
        </is>
      </c>
      <c r="AJ1960" s="7" t="inlineStr">
        <is>
          <t>iii</t>
        </is>
      </c>
    </row>
    <row r="1961" ht="10" customHeight="1">
      <c r="A1961" s="7" t="inlineStr">
        <is>
          <t>OMN</t>
        </is>
      </c>
      <c r="B1961" s="7" t="inlineStr">
        <is>
          <t>O&amp;M</t>
        </is>
      </c>
      <c r="D1961" s="7" t="inlineStr">
        <is>
          <t>ORATA - Outsourcing to Private Sector</t>
        </is>
      </c>
      <c r="E1961" s="13" t="inlineStr">
        <is>
          <t>[SUB]</t>
        </is>
      </c>
      <c r="F1961" s="7" t="inlineStr">
        <is>
          <t>Ship Maintenance</t>
        </is>
      </c>
      <c r="I1961" s="14" t="n">
        <v>3</v>
      </c>
      <c r="K1961" s="13" t="inlineStr">
        <is>
          <t>USN</t>
        </is>
      </c>
      <c r="L1961" s="7" t="inlineStr">
        <is>
          <t>Combatant Ships</t>
        </is>
      </c>
      <c r="M1961" s="7" t="inlineStr">
        <is>
          <t>Submarines</t>
        </is>
      </c>
      <c r="N1961" s="7" t="inlineStr">
        <is>
          <t>SSN</t>
        </is>
      </c>
      <c r="O1961" s="15" t="n"/>
      <c r="S1961" s="16" t="n">
        <v>65354</v>
      </c>
      <c r="U1961" s="16" t="n">
        <v>65354</v>
      </c>
      <c r="AC1961" s="23">
        <f>IF(OR(E1961="",E1961="[PARENT]"),"ADD",IF(E1961="[ALT_VIEW]","ALT",""))</f>
        <v/>
      </c>
      <c r="AD1961" s="21">
        <f>IF(Y1961&lt;&gt;"",Y1961,IF(U1961&lt;&gt;"",U1961,S1961))</f>
        <v/>
      </c>
      <c r="AE1961" s="21">
        <f>IF(AB1961&lt;&gt;"",AB1961,Z1961)</f>
        <v/>
      </c>
      <c r="AF1961" s="13" t="inlineStr">
        <is>
          <t>BA1 &gt; 1B4B &gt; Reconciliation &gt; Program Increases &gt; iv</t>
        </is>
      </c>
      <c r="AG1961" s="7" t="inlineStr">
        <is>
          <t>155</t>
        </is>
      </c>
      <c r="AH1961" s="7" t="inlineStr">
        <is>
          <t>1B4B</t>
        </is>
      </c>
      <c r="AI1961" s="7" t="inlineStr">
        <is>
          <t>Program Increases</t>
        </is>
      </c>
      <c r="AJ1961" s="7" t="inlineStr">
        <is>
          <t>iv</t>
        </is>
      </c>
    </row>
    <row r="1962" ht="10" customHeight="1">
      <c r="A1962" s="7" t="inlineStr">
        <is>
          <t>OMN</t>
        </is>
      </c>
      <c r="B1962" s="7" t="inlineStr">
        <is>
          <t>O&amp;M</t>
        </is>
      </c>
      <c r="D1962" s="7" t="inlineStr">
        <is>
          <t>CIA - CVN 69, CVN 74, CVN 71 Inductions</t>
        </is>
      </c>
      <c r="E1962" s="13" t="inlineStr">
        <is>
          <t>[SUB]</t>
        </is>
      </c>
      <c r="F1962" s="7" t="inlineStr">
        <is>
          <t>Ship Maintenance</t>
        </is>
      </c>
      <c r="I1962" s="14" t="n">
        <v>2</v>
      </c>
      <c r="K1962" s="13" t="inlineStr">
        <is>
          <t>USN</t>
        </is>
      </c>
      <c r="L1962" s="7" t="inlineStr">
        <is>
          <t>Combatant Ships</t>
        </is>
      </c>
      <c r="M1962" s="7" t="inlineStr">
        <is>
          <t>Aircraft Carriers</t>
        </is>
      </c>
      <c r="N1962" s="7" t="inlineStr">
        <is>
          <t>CVN</t>
        </is>
      </c>
      <c r="O1962" s="15" t="n"/>
      <c r="S1962" s="16" t="n">
        <v>44006</v>
      </c>
      <c r="U1962" s="16" t="n">
        <v>44006</v>
      </c>
      <c r="AC1962" s="23">
        <f>IF(OR(E1962="",E1962="[PARENT]"),"ADD",IF(E1962="[ALT_VIEW]","ALT",""))</f>
        <v/>
      </c>
      <c r="AD1962" s="21">
        <f>IF(Y1962&lt;&gt;"",Y1962,IF(U1962&lt;&gt;"",U1962,S1962))</f>
        <v/>
      </c>
      <c r="AE1962" s="21">
        <f>IF(AB1962&lt;&gt;"",AB1962,Z1962)</f>
        <v/>
      </c>
      <c r="AF1962" s="13" t="inlineStr">
        <is>
          <t>BA1 &gt; 1B4B &gt; Reconciliation &gt; Program Increases &gt; v</t>
        </is>
      </c>
      <c r="AG1962" s="7" t="inlineStr">
        <is>
          <t>155</t>
        </is>
      </c>
      <c r="AH1962" s="7" t="inlineStr">
        <is>
          <t>1B4B</t>
        </is>
      </c>
      <c r="AI1962" s="7" t="inlineStr">
        <is>
          <t>Program Increases</t>
        </is>
      </c>
      <c r="AJ1962" s="7" t="inlineStr">
        <is>
          <t>v</t>
        </is>
      </c>
    </row>
    <row r="1963" ht="10" customHeight="1">
      <c r="A1963" s="7" t="inlineStr">
        <is>
          <t>OMN</t>
        </is>
      </c>
      <c r="B1963" s="7" t="inlineStr">
        <is>
          <t>O&amp;M</t>
        </is>
      </c>
      <c r="D1963" s="7" t="inlineStr">
        <is>
          <t>PHNSY - AUKUS SRF-W Non-Labor Support</t>
        </is>
      </c>
      <c r="E1963" s="13" t="inlineStr">
        <is>
          <t>[SUB]</t>
        </is>
      </c>
      <c r="F1963" s="7" t="inlineStr">
        <is>
          <t>Ship Maintenance</t>
        </is>
      </c>
      <c r="I1963" s="14" t="n">
        <v>2</v>
      </c>
      <c r="K1963" s="13" t="inlineStr">
        <is>
          <t>USN</t>
        </is>
      </c>
      <c r="L1963" s="7" t="inlineStr">
        <is>
          <t>Combatant Ships</t>
        </is>
      </c>
      <c r="M1963" s="7" t="inlineStr">
        <is>
          <t>Submarines</t>
        </is>
      </c>
      <c r="N1963" s="7" t="inlineStr">
        <is>
          <t>SSN</t>
        </is>
      </c>
      <c r="O1963" s="15" t="n"/>
      <c r="S1963" s="16" t="n">
        <v>42000</v>
      </c>
      <c r="U1963" s="16" t="n">
        <v>42000</v>
      </c>
      <c r="AC1963" s="23">
        <f>IF(OR(E1963="",E1963="[PARENT]"),"ADD",IF(E1963="[ALT_VIEW]","ALT",""))</f>
        <v/>
      </c>
      <c r="AD1963" s="21">
        <f>IF(Y1963&lt;&gt;"",Y1963,IF(U1963&lt;&gt;"",U1963,S1963))</f>
        <v/>
      </c>
      <c r="AE1963" s="21">
        <f>IF(AB1963&lt;&gt;"",AB1963,Z1963)</f>
        <v/>
      </c>
      <c r="AF1963" s="13" t="inlineStr">
        <is>
          <t>BA1 &gt; 1B4B &gt; Reconciliation &gt; Program Increases &gt; vi</t>
        </is>
      </c>
      <c r="AG1963" s="7" t="inlineStr">
        <is>
          <t>155</t>
        </is>
      </c>
      <c r="AH1963" s="7" t="inlineStr">
        <is>
          <t>1B4B</t>
        </is>
      </c>
      <c r="AI1963" s="7" t="inlineStr">
        <is>
          <t>Program Increases</t>
        </is>
      </c>
      <c r="AJ1963" s="7" t="inlineStr">
        <is>
          <t>vi</t>
        </is>
      </c>
    </row>
    <row r="1964" ht="10" customHeight="1">
      <c r="A1964" s="7" t="inlineStr">
        <is>
          <t>OMN</t>
        </is>
      </c>
      <c r="B1964" s="7" t="inlineStr">
        <is>
          <t>O&amp;M</t>
        </is>
      </c>
      <c r="D1964" s="7" t="inlineStr">
        <is>
          <t>SIA - USS ARLEIGH BURKE (DDG 51) / USS RUSHMORE (LSD 47)</t>
        </is>
      </c>
      <c r="E1964" s="13" t="inlineStr">
        <is>
          <t>[SUB]</t>
        </is>
      </c>
      <c r="F1964" s="7" t="inlineStr">
        <is>
          <t>Ship Maintenance</t>
        </is>
      </c>
      <c r="I1964" s="14" t="n">
        <v>2</v>
      </c>
      <c r="K1964" s="15" t="n"/>
      <c r="O1964" s="15" t="n"/>
      <c r="S1964" s="16" t="n">
        <v>40142</v>
      </c>
      <c r="U1964" s="16" t="n">
        <v>40142</v>
      </c>
      <c r="AC1964" s="23">
        <f>IF(OR(E1964="",E1964="[PARENT]"),"ADD",IF(E1964="[ALT_VIEW]","ALT",""))</f>
        <v/>
      </c>
      <c r="AD1964" s="21">
        <f>IF(Y1964&lt;&gt;"",Y1964,IF(U1964&lt;&gt;"",U1964,S1964))</f>
        <v/>
      </c>
      <c r="AE1964" s="21">
        <f>IF(AB1964&lt;&gt;"",AB1964,Z1964)</f>
        <v/>
      </c>
      <c r="AF1964" s="13" t="inlineStr">
        <is>
          <t>BA1 &gt; 1B4B &gt; Reconciliation &gt; Program Increases &gt; vii</t>
        </is>
      </c>
      <c r="AG1964" s="7" t="inlineStr">
        <is>
          <t>155</t>
        </is>
      </c>
      <c r="AH1964" s="7" t="inlineStr">
        <is>
          <t>1B4B</t>
        </is>
      </c>
      <c r="AI1964" s="7" t="inlineStr">
        <is>
          <t>Program Increases</t>
        </is>
      </c>
      <c r="AJ1964" s="7" t="inlineStr">
        <is>
          <t>vii</t>
        </is>
      </c>
    </row>
    <row r="1965" ht="10" customHeight="1">
      <c r="A1965" s="7" t="inlineStr">
        <is>
          <t>OMN</t>
        </is>
      </c>
      <c r="B1965" s="7" t="inlineStr">
        <is>
          <t>O&amp;M</t>
        </is>
      </c>
      <c r="D1965" s="7" t="inlineStr">
        <is>
          <t>PSNSY - CVN 72 DPIA / CVN 70 PIA / CVN 73 SRA</t>
        </is>
      </c>
      <c r="E1965" s="13" t="inlineStr">
        <is>
          <t>[SUB]</t>
        </is>
      </c>
      <c r="F1965" s="7" t="inlineStr">
        <is>
          <t>Ship Maintenance</t>
        </is>
      </c>
      <c r="I1965" s="14" t="n">
        <v>2</v>
      </c>
      <c r="K1965" s="13" t="inlineStr">
        <is>
          <t>USN</t>
        </is>
      </c>
      <c r="L1965" s="7" t="inlineStr">
        <is>
          <t>Combatant Ships</t>
        </is>
      </c>
      <c r="M1965" s="7" t="inlineStr">
        <is>
          <t>Aircraft Carriers</t>
        </is>
      </c>
      <c r="N1965" s="7" t="inlineStr">
        <is>
          <t>CVN</t>
        </is>
      </c>
      <c r="O1965" s="15" t="n"/>
      <c r="S1965" s="16" t="n">
        <v>40125</v>
      </c>
      <c r="U1965" s="16" t="n">
        <v>40125</v>
      </c>
      <c r="AC1965" s="23">
        <f>IF(OR(E1965="",E1965="[PARENT]"),"ADD",IF(E1965="[ALT_VIEW]","ALT",""))</f>
        <v/>
      </c>
      <c r="AD1965" s="21">
        <f>IF(Y1965&lt;&gt;"",Y1965,IF(U1965&lt;&gt;"",U1965,S1965))</f>
        <v/>
      </c>
      <c r="AE1965" s="21">
        <f>IF(AB1965&lt;&gt;"",AB1965,Z1965)</f>
        <v/>
      </c>
      <c r="AF1965" s="13" t="inlineStr">
        <is>
          <t>BA1 &gt; 1B4B &gt; Reconciliation &gt; Program Increases &gt; viii</t>
        </is>
      </c>
      <c r="AG1965" s="7" t="inlineStr">
        <is>
          <t>148</t>
        </is>
      </c>
      <c r="AH1965" s="7" t="inlineStr">
        <is>
          <t>1B4B</t>
        </is>
      </c>
      <c r="AI1965" s="7" t="inlineStr">
        <is>
          <t>Program Increases</t>
        </is>
      </c>
      <c r="AJ1965" s="7" t="inlineStr">
        <is>
          <t>viii</t>
        </is>
      </c>
    </row>
    <row r="1966" ht="10" customHeight="1">
      <c r="A1966" s="7" t="inlineStr">
        <is>
          <t>OMN</t>
        </is>
      </c>
      <c r="B1966" s="7" t="inlineStr">
        <is>
          <t>O&amp;M</t>
        </is>
      </c>
      <c r="D1966" s="7" t="inlineStr">
        <is>
          <t>PSNSY - USS MICHIGAN (SSGN 727) Complexity</t>
        </is>
      </c>
      <c r="E1966" s="13" t="inlineStr">
        <is>
          <t>[SUB]</t>
        </is>
      </c>
      <c r="F1966" s="7" t="inlineStr">
        <is>
          <t>Ship Maintenance</t>
        </is>
      </c>
      <c r="I1966" s="14" t="n">
        <v>2</v>
      </c>
      <c r="K1966" s="13" t="inlineStr">
        <is>
          <t>USN</t>
        </is>
      </c>
      <c r="L1966" s="7" t="inlineStr">
        <is>
          <t>Combatant Ships</t>
        </is>
      </c>
      <c r="M1966" s="7" t="inlineStr">
        <is>
          <t>Submarines</t>
        </is>
      </c>
      <c r="N1966" s="7" t="inlineStr">
        <is>
          <t>SSBN</t>
        </is>
      </c>
      <c r="O1966" s="15" t="n"/>
      <c r="S1966" s="16" t="n">
        <v>32154</v>
      </c>
      <c r="U1966" s="16" t="n">
        <v>32154</v>
      </c>
      <c r="AC1966" s="23">
        <f>IF(OR(E1966="",E1966="[PARENT]"),"ADD",IF(E1966="[ALT_VIEW]","ALT",""))</f>
        <v/>
      </c>
      <c r="AD1966" s="21">
        <f>IF(Y1966&lt;&gt;"",Y1966,IF(U1966&lt;&gt;"",U1966,S1966))</f>
        <v/>
      </c>
      <c r="AE1966" s="21">
        <f>IF(AB1966&lt;&gt;"",AB1966,Z1966)</f>
        <v/>
      </c>
      <c r="AF1966" s="13" t="inlineStr">
        <is>
          <t>BA1 &gt; 1B4B &gt; Reconciliation &gt; Program Increases &gt; ix</t>
        </is>
      </c>
      <c r="AG1966" s="7" t="inlineStr">
        <is>
          <t>155</t>
        </is>
      </c>
      <c r="AH1966" s="7" t="inlineStr">
        <is>
          <t>1B4B</t>
        </is>
      </c>
      <c r="AI1966" s="7" t="inlineStr">
        <is>
          <t>Program Increases</t>
        </is>
      </c>
      <c r="AJ1966" s="7" t="inlineStr">
        <is>
          <t>ix</t>
        </is>
      </c>
    </row>
    <row r="1967" ht="10" customHeight="1">
      <c r="A1967" s="7" t="inlineStr">
        <is>
          <t>OMN</t>
        </is>
      </c>
      <c r="B1967" s="7" t="inlineStr">
        <is>
          <t>O&amp;M</t>
        </is>
      </c>
      <c r="D1967" s="7" t="inlineStr">
        <is>
          <t>PIA - USS GERALD R. FORD (CVN 78)</t>
        </is>
      </c>
      <c r="E1967" s="13" t="inlineStr">
        <is>
          <t>[SUB]</t>
        </is>
      </c>
      <c r="F1967" s="7" t="inlineStr">
        <is>
          <t>Ship Maintenance</t>
        </is>
      </c>
      <c r="I1967" s="14" t="n">
        <v>2</v>
      </c>
      <c r="K1967" s="13" t="inlineStr">
        <is>
          <t>USN</t>
        </is>
      </c>
      <c r="L1967" s="7" t="inlineStr">
        <is>
          <t>Combatant Ships</t>
        </is>
      </c>
      <c r="M1967" s="7" t="inlineStr">
        <is>
          <t>Aircraft Carriers</t>
        </is>
      </c>
      <c r="N1967" s="7" t="inlineStr">
        <is>
          <t>CVN</t>
        </is>
      </c>
      <c r="O1967" s="15" t="n"/>
      <c r="S1967" s="16" t="n">
        <v>24751</v>
      </c>
      <c r="U1967" s="16" t="n">
        <v>24751</v>
      </c>
      <c r="AC1967" s="23">
        <f>IF(OR(E1967="",E1967="[PARENT]"),"ADD",IF(E1967="[ALT_VIEW]","ALT",""))</f>
        <v/>
      </c>
      <c r="AD1967" s="21">
        <f>IF(Y1967&lt;&gt;"",Y1967,IF(U1967&lt;&gt;"",U1967,S1967))</f>
        <v/>
      </c>
      <c r="AE1967" s="21">
        <f>IF(AB1967&lt;&gt;"",AB1967,Z1967)</f>
        <v/>
      </c>
      <c r="AF1967" s="13" t="inlineStr">
        <is>
          <t>BA1 &gt; 1B4B &gt; Reconciliation &gt; Program Increases &gt; x</t>
        </is>
      </c>
      <c r="AG1967" s="7" t="inlineStr">
        <is>
          <t>155</t>
        </is>
      </c>
      <c r="AH1967" s="7" t="inlineStr">
        <is>
          <t>1B4B</t>
        </is>
      </c>
      <c r="AI1967" s="7" t="inlineStr">
        <is>
          <t>Program Increases</t>
        </is>
      </c>
      <c r="AJ1967" s="7" t="inlineStr">
        <is>
          <t>x</t>
        </is>
      </c>
    </row>
    <row r="1968" ht="10" customHeight="1">
      <c r="A1968" s="7" t="inlineStr">
        <is>
          <t>OMN</t>
        </is>
      </c>
      <c r="B1968" s="7" t="inlineStr">
        <is>
          <t>O&amp;M</t>
        </is>
      </c>
      <c r="D1968" s="7" t="inlineStr">
        <is>
          <t>PHNSY - AUKUS SRF-W Civilian Personnel</t>
        </is>
      </c>
      <c r="E1968" s="13" t="inlineStr">
        <is>
          <t>[SUB]</t>
        </is>
      </c>
      <c r="F1968" s="7" t="inlineStr">
        <is>
          <t>Ship Maintenance</t>
        </is>
      </c>
      <c r="I1968" s="14" t="n">
        <v>6</v>
      </c>
      <c r="K1968" s="13" t="inlineStr">
        <is>
          <t>USN</t>
        </is>
      </c>
      <c r="L1968" s="7" t="inlineStr">
        <is>
          <t>Combatant Ships</t>
        </is>
      </c>
      <c r="M1968" s="7" t="inlineStr">
        <is>
          <t>Submarines</t>
        </is>
      </c>
      <c r="N1968" s="7" t="inlineStr">
        <is>
          <t>SSN</t>
        </is>
      </c>
      <c r="O1968" s="15" t="n"/>
      <c r="S1968" s="16" t="n">
        <v>22754</v>
      </c>
      <c r="U1968" s="16" t="n">
        <v>22754</v>
      </c>
      <c r="AC1968" s="23">
        <f>IF(OR(E1968="",E1968="[PARENT]"),"ADD",IF(E1968="[ALT_VIEW]","ALT",""))</f>
        <v/>
      </c>
      <c r="AD1968" s="21">
        <f>IF(Y1968&lt;&gt;"",Y1968,IF(U1968&lt;&gt;"",U1968,S1968))</f>
        <v/>
      </c>
      <c r="AE1968" s="21">
        <f>IF(AB1968&lt;&gt;"",AB1968,Z1968)</f>
        <v/>
      </c>
      <c r="AF1968" s="13" t="inlineStr">
        <is>
          <t>BA1 &gt; 1B4B &gt; Reconciliation &gt; Program Increases &gt; xi</t>
        </is>
      </c>
      <c r="AG1968" s="7" t="inlineStr">
        <is>
          <t>155</t>
        </is>
      </c>
      <c r="AH1968" s="7" t="inlineStr">
        <is>
          <t>1B4B</t>
        </is>
      </c>
      <c r="AI1968" s="7" t="inlineStr">
        <is>
          <t>Program Increases</t>
        </is>
      </c>
      <c r="AJ1968" s="7" t="inlineStr">
        <is>
          <t>xi</t>
        </is>
      </c>
    </row>
    <row r="1969" ht="10" customHeight="1">
      <c r="A1969" s="7" t="inlineStr">
        <is>
          <t>OMN</t>
        </is>
      </c>
      <c r="B1969" s="7" t="inlineStr">
        <is>
          <t>O&amp;M</t>
        </is>
      </c>
      <c r="D1969" s="7" t="inlineStr">
        <is>
          <t>PNSY - USS NEW MEXICO (SSN 779) DMP</t>
        </is>
      </c>
      <c r="E1969" s="13" t="inlineStr">
        <is>
          <t>[SUB]</t>
        </is>
      </c>
      <c r="F1969" s="7" t="inlineStr">
        <is>
          <t>Ship Maintenance</t>
        </is>
      </c>
      <c r="I1969" s="14" t="n">
        <v>2</v>
      </c>
      <c r="K1969" s="13" t="inlineStr">
        <is>
          <t>USN</t>
        </is>
      </c>
      <c r="L1969" s="7" t="inlineStr">
        <is>
          <t>Combatant Ships</t>
        </is>
      </c>
      <c r="M1969" s="7" t="inlineStr">
        <is>
          <t>Submarines</t>
        </is>
      </c>
      <c r="N1969" s="7" t="inlineStr">
        <is>
          <t>SSN</t>
        </is>
      </c>
      <c r="O1969" s="15" t="n"/>
      <c r="S1969" s="16" t="n">
        <v>20603</v>
      </c>
      <c r="U1969" s="16" t="n">
        <v>20603</v>
      </c>
      <c r="AC1969" s="23">
        <f>IF(OR(E1969="",E1969="[PARENT]"),"ADD",IF(E1969="[ALT_VIEW]","ALT",""))</f>
        <v/>
      </c>
      <c r="AD1969" s="21">
        <f>IF(Y1969&lt;&gt;"",Y1969,IF(U1969&lt;&gt;"",U1969,S1969))</f>
        <v/>
      </c>
      <c r="AE1969" s="21">
        <f>IF(AB1969&lt;&gt;"",AB1969,Z1969)</f>
        <v/>
      </c>
      <c r="AF1969" s="13" t="inlineStr">
        <is>
          <t>BA1 &gt; 1B4B &gt; Reconciliation &gt; Program Increases &gt; xii</t>
        </is>
      </c>
      <c r="AG1969" s="7" t="inlineStr">
        <is>
          <t>43</t>
        </is>
      </c>
      <c r="AH1969" s="7" t="inlineStr">
        <is>
          <t>1B4B</t>
        </is>
      </c>
      <c r="AI1969" s="7" t="inlineStr">
        <is>
          <t>Program Increases</t>
        </is>
      </c>
      <c r="AJ1969" s="7" t="inlineStr">
        <is>
          <t>xii</t>
        </is>
      </c>
    </row>
    <row r="1970" ht="10" customHeight="1">
      <c r="A1970" s="7" t="inlineStr">
        <is>
          <t>OMN</t>
        </is>
      </c>
      <c r="B1970" s="7" t="inlineStr">
        <is>
          <t>O&amp;M</t>
        </is>
      </c>
      <c r="D1970" s="7" t="inlineStr">
        <is>
          <t>NNSY - USS GERALD R. FORD (CVN 78) PIA</t>
        </is>
      </c>
      <c r="E1970" s="13" t="inlineStr">
        <is>
          <t>[SUB]</t>
        </is>
      </c>
      <c r="F1970" s="7" t="inlineStr">
        <is>
          <t>Ship Maintenance</t>
        </is>
      </c>
      <c r="I1970" s="14" t="n">
        <v>2</v>
      </c>
      <c r="K1970" s="13" t="inlineStr">
        <is>
          <t>USN</t>
        </is>
      </c>
      <c r="L1970" s="7" t="inlineStr">
        <is>
          <t>Combatant Ships</t>
        </is>
      </c>
      <c r="M1970" s="7" t="inlineStr">
        <is>
          <t>Aircraft Carriers</t>
        </is>
      </c>
      <c r="N1970" s="7" t="inlineStr">
        <is>
          <t>CVN</t>
        </is>
      </c>
      <c r="O1970" s="15" t="n"/>
      <c r="S1970" s="16" t="n">
        <v>13788</v>
      </c>
      <c r="U1970" s="16" t="n">
        <v>13788</v>
      </c>
      <c r="AC1970" s="23">
        <f>IF(OR(E1970="",E1970="[PARENT]"),"ADD",IF(E1970="[ALT_VIEW]","ALT",""))</f>
        <v/>
      </c>
      <c r="AD1970" s="21">
        <f>IF(Y1970&lt;&gt;"",Y1970,IF(U1970&lt;&gt;"",U1970,S1970))</f>
        <v/>
      </c>
      <c r="AE1970" s="21">
        <f>IF(AB1970&lt;&gt;"",AB1970,Z1970)</f>
        <v/>
      </c>
      <c r="AF1970" s="13" t="inlineStr">
        <is>
          <t>BA1 &gt; 1B4B &gt; Reconciliation &gt; Program Increases &gt; xiv</t>
        </is>
      </c>
      <c r="AG1970" s="7" t="inlineStr">
        <is>
          <t>33</t>
        </is>
      </c>
      <c r="AH1970" s="7" t="inlineStr">
        <is>
          <t>1B4B</t>
        </is>
      </c>
      <c r="AI1970" s="7" t="inlineStr">
        <is>
          <t>Program Increases</t>
        </is>
      </c>
      <c r="AJ1970" s="7" t="inlineStr">
        <is>
          <t>xiv</t>
        </is>
      </c>
    </row>
    <row r="1971" ht="10" customHeight="1">
      <c r="A1971" s="7" t="inlineStr">
        <is>
          <t>OMN</t>
        </is>
      </c>
      <c r="B1971" s="7" t="inlineStr">
        <is>
          <t>O&amp;M</t>
        </is>
      </c>
      <c r="D1971" s="7" t="inlineStr">
        <is>
          <t>PNSY - USS ALBANY (SSN 753) DSRA / USS NEW MEXICO (SSN 779) DMP</t>
        </is>
      </c>
      <c r="E1971" s="13" t="inlineStr">
        <is>
          <t>[SUB]</t>
        </is>
      </c>
      <c r="F1971" s="7" t="inlineStr">
        <is>
          <t>Ship Maintenance</t>
        </is>
      </c>
      <c r="I1971" s="14" t="n">
        <v>2</v>
      </c>
      <c r="K1971" s="13" t="inlineStr">
        <is>
          <t>USN</t>
        </is>
      </c>
      <c r="L1971" s="7" t="inlineStr">
        <is>
          <t>Combatant Ships</t>
        </is>
      </c>
      <c r="M1971" s="7" t="inlineStr">
        <is>
          <t>Submarines</t>
        </is>
      </c>
      <c r="N1971" s="7" t="inlineStr">
        <is>
          <t>SSN</t>
        </is>
      </c>
      <c r="O1971" s="15" t="n"/>
      <c r="S1971" s="16" t="n">
        <v>12972</v>
      </c>
      <c r="U1971" s="16" t="n">
        <v>12972</v>
      </c>
      <c r="AC1971" s="23">
        <f>IF(OR(E1971="",E1971="[PARENT]"),"ADD",IF(E1971="[ALT_VIEW]","ALT",""))</f>
        <v/>
      </c>
      <c r="AD1971" s="21">
        <f>IF(Y1971&lt;&gt;"",Y1971,IF(U1971&lt;&gt;"",U1971,S1971))</f>
        <v/>
      </c>
      <c r="AE1971" s="21">
        <f>IF(AB1971&lt;&gt;"",AB1971,Z1971)</f>
        <v/>
      </c>
      <c r="AF1971" s="13" t="inlineStr">
        <is>
          <t>BA1 &gt; 1B4B &gt; Reconciliation &gt; Program Increases &gt; xv</t>
        </is>
      </c>
      <c r="AG1971" s="7" t="inlineStr">
        <is>
          <t>156</t>
        </is>
      </c>
      <c r="AH1971" s="7" t="inlineStr">
        <is>
          <t>1B4B</t>
        </is>
      </c>
      <c r="AI1971" s="7" t="inlineStr">
        <is>
          <t>Program Increases</t>
        </is>
      </c>
      <c r="AJ1971" s="7" t="inlineStr">
        <is>
          <t>xv</t>
        </is>
      </c>
    </row>
    <row r="1972" ht="10" customHeight="1">
      <c r="A1972" s="7" t="inlineStr">
        <is>
          <t>OMN</t>
        </is>
      </c>
      <c r="B1972" s="7" t="inlineStr">
        <is>
          <t>O&amp;M</t>
        </is>
      </c>
      <c r="D1972" s="7" t="inlineStr">
        <is>
          <t>SRA - USS JOHN F. KENNEDY (CVN 79) Decrease</t>
        </is>
      </c>
      <c r="E1972" s="13" t="inlineStr">
        <is>
          <t>[SUB]</t>
        </is>
      </c>
      <c r="F1972" s="7" t="inlineStr">
        <is>
          <t>Ship Maintenance</t>
        </is>
      </c>
      <c r="I1972" s="14" t="n">
        <v>2</v>
      </c>
      <c r="K1972" s="13" t="inlineStr">
        <is>
          <t>USN</t>
        </is>
      </c>
      <c r="L1972" s="7" t="inlineStr">
        <is>
          <t>Combatant Ships</t>
        </is>
      </c>
      <c r="M1972" s="7" t="inlineStr">
        <is>
          <t>Aircraft Carriers</t>
        </is>
      </c>
      <c r="N1972" s="7" t="inlineStr">
        <is>
          <t>CVN</t>
        </is>
      </c>
      <c r="O1972" s="15" t="n"/>
      <c r="S1972" s="16" t="n">
        <v>-42775</v>
      </c>
      <c r="U1972" s="16" t="n">
        <v>-42775</v>
      </c>
      <c r="AC1972" s="23">
        <f>IF(OR(E1972="",E1972="[PARENT]"),"ADD",IF(E1972="[ALT_VIEW]","ALT",""))</f>
        <v/>
      </c>
      <c r="AD1972" s="21">
        <f>IF(Y1972&lt;&gt;"",Y1972,IF(U1972&lt;&gt;"",U1972,S1972))</f>
        <v/>
      </c>
      <c r="AE1972" s="21">
        <f>IF(AB1972&lt;&gt;"",AB1972,Z1972)</f>
        <v/>
      </c>
      <c r="AF1972" s="13" t="inlineStr">
        <is>
          <t>BA1 &gt; 1B4B &gt; Reconciliation &gt; Program Decreases &gt; ii</t>
        </is>
      </c>
      <c r="AG1972" s="7" t="inlineStr">
        <is>
          <t>156</t>
        </is>
      </c>
      <c r="AH1972" s="7" t="inlineStr">
        <is>
          <t>1B4B</t>
        </is>
      </c>
      <c r="AI1972" s="7" t="inlineStr">
        <is>
          <t>Program Decreases</t>
        </is>
      </c>
      <c r="AJ1972" s="7" t="inlineStr">
        <is>
          <t>ii</t>
        </is>
      </c>
    </row>
    <row r="1973" ht="10" customHeight="1">
      <c r="A1973" s="7" t="inlineStr">
        <is>
          <t>OMN</t>
        </is>
      </c>
      <c r="B1973" s="7" t="inlineStr">
        <is>
          <t>O&amp;M</t>
        </is>
      </c>
      <c r="D1973" s="7" t="inlineStr">
        <is>
          <t>Efficiency - Contract Services Reduction</t>
        </is>
      </c>
      <c r="E1973" s="13" t="inlineStr">
        <is>
          <t>[SUB]</t>
        </is>
      </c>
      <c r="F1973" s="7" t="inlineStr">
        <is>
          <t>Ship Maintenance</t>
        </is>
      </c>
      <c r="I1973" s="14" t="n">
        <v>2</v>
      </c>
      <c r="K1973" s="15" t="n"/>
      <c r="O1973" s="15" t="n"/>
      <c r="S1973" s="16" t="n">
        <v>-76395</v>
      </c>
      <c r="U1973" s="16" t="n">
        <v>-76395</v>
      </c>
      <c r="AC1973" s="23">
        <f>IF(OR(E1973="",E1973="[PARENT]"),"ADD",IF(E1973="[ALT_VIEW]","ALT",""))</f>
        <v/>
      </c>
      <c r="AD1973" s="21">
        <f>IF(Y1973&lt;&gt;"",Y1973,IF(U1973&lt;&gt;"",U1973,S1973))</f>
        <v/>
      </c>
      <c r="AE1973" s="21">
        <f>IF(AB1973&lt;&gt;"",AB1973,Z1973)</f>
        <v/>
      </c>
      <c r="AF1973" s="13" t="inlineStr">
        <is>
          <t>BA1 &gt; 1B4B &gt; Reconciliation &gt; Program Decreases &gt; iv</t>
        </is>
      </c>
      <c r="AG1973" s="7" t="inlineStr">
        <is>
          <t>156</t>
        </is>
      </c>
      <c r="AH1973" s="7" t="inlineStr">
        <is>
          <t>1B4B</t>
        </is>
      </c>
      <c r="AI1973" s="7" t="inlineStr">
        <is>
          <t>Program Decreases</t>
        </is>
      </c>
      <c r="AJ1973" s="7" t="inlineStr">
        <is>
          <t>iv</t>
        </is>
      </c>
    </row>
    <row r="1974" ht="10" customHeight="1">
      <c r="A1974" s="7" t="inlineStr">
        <is>
          <t>OMN</t>
        </is>
      </c>
      <c r="B1974" s="7" t="inlineStr">
        <is>
          <t>O&amp;M</t>
        </is>
      </c>
      <c r="D1974" s="7" t="inlineStr">
        <is>
          <t>Efficiency - Workforce Optimization (Public Shipyards)</t>
        </is>
      </c>
      <c r="E1974" s="13" t="inlineStr">
        <is>
          <t>[SUB]</t>
        </is>
      </c>
      <c r="F1974" s="7" t="inlineStr">
        <is>
          <t>Ship Maintenance</t>
        </is>
      </c>
      <c r="I1974" s="14" t="n">
        <v>2</v>
      </c>
      <c r="K1974" s="15" t="n"/>
      <c r="O1974" s="15" t="n"/>
      <c r="S1974" s="16" t="n">
        <v>-207734</v>
      </c>
      <c r="U1974" s="16" t="n">
        <v>-207734</v>
      </c>
      <c r="AC1974" s="23">
        <f>IF(OR(E1974="",E1974="[PARENT]"),"ADD",IF(E1974="[ALT_VIEW]","ALT",""))</f>
        <v/>
      </c>
      <c r="AD1974" s="21">
        <f>IF(Y1974&lt;&gt;"",Y1974,IF(U1974&lt;&gt;"",U1974,S1974))</f>
        <v/>
      </c>
      <c r="AE1974" s="21">
        <f>IF(AB1974&lt;&gt;"",AB1974,Z1974)</f>
        <v/>
      </c>
      <c r="AF1974" s="13" t="inlineStr">
        <is>
          <t>BA1 &gt; 1B4B &gt; Reconciliation &gt; Program Decreases &gt; v</t>
        </is>
      </c>
      <c r="AG1974" s="7" t="inlineStr">
        <is>
          <t>156</t>
        </is>
      </c>
      <c r="AH1974" s="7" t="inlineStr">
        <is>
          <t>1B4B</t>
        </is>
      </c>
      <c r="AI1974" s="7" t="inlineStr">
        <is>
          <t>Program Decreases</t>
        </is>
      </c>
      <c r="AJ1974" s="7" t="inlineStr">
        <is>
          <t>v</t>
        </is>
      </c>
    </row>
    <row r="1975" ht="10" customHeight="1">
      <c r="A1975" s="7" t="inlineStr">
        <is>
          <t>OMN</t>
        </is>
      </c>
      <c r="B1975" s="7" t="inlineStr">
        <is>
          <t>O&amp;M</t>
        </is>
      </c>
      <c r="C1975" s="7" t="inlineStr">
        <is>
          <t>928</t>
        </is>
      </c>
      <c r="D1975" s="7" t="inlineStr">
        <is>
          <t>Ship Maintenance By Contract</t>
        </is>
      </c>
      <c r="E1975" s="13" t="inlineStr">
        <is>
          <t>[SUB]</t>
        </is>
      </c>
      <c r="F1975" s="7" t="inlineStr">
        <is>
          <t>Ship Maintenance</t>
        </is>
      </c>
      <c r="I1975" s="14" t="n">
        <v>2</v>
      </c>
      <c r="K1975" s="15" t="n"/>
      <c r="O1975" s="15" t="n"/>
      <c r="P1975" s="16" t="n">
        <v>1769659</v>
      </c>
      <c r="Q1975" s="16" t="n">
        <v>2228255</v>
      </c>
      <c r="S1975" s="16" t="n">
        <v>3971574</v>
      </c>
      <c r="U1975" s="16" t="n">
        <v>3971574</v>
      </c>
      <c r="AC1975" s="23">
        <f>IF(OR(E1975="",E1975="[PARENT]"),"ADD",IF(E1975="[ALT_VIEW]","ALT",""))</f>
        <v/>
      </c>
      <c r="AD1975" s="21">
        <f>IF(Y1975&lt;&gt;"",Y1975,IF(U1975&lt;&gt;"",U1975,S1975))</f>
        <v/>
      </c>
      <c r="AE1975" s="21">
        <f>IF(AB1975&lt;&gt;"",AB1975,Z1975)</f>
        <v/>
      </c>
      <c r="AF1975" s="13" t="inlineStr">
        <is>
          <t>BA1 &gt; 1B4B &gt; OP-32 Line Items &gt; 928</t>
        </is>
      </c>
      <c r="AG1975" s="7" t="inlineStr">
        <is>
          <t>178</t>
        </is>
      </c>
      <c r="AH1975" s="7" t="inlineStr">
        <is>
          <t>1B4B</t>
        </is>
      </c>
      <c r="AI1975" s="7" t="inlineStr">
        <is>
          <t>928 - Ship Maintenance by Contract</t>
        </is>
      </c>
    </row>
    <row r="1976" ht="10" customHeight="1">
      <c r="A1976" s="7" t="inlineStr">
        <is>
          <t>OMN</t>
        </is>
      </c>
      <c r="B1976" s="7" t="inlineStr">
        <is>
          <t>O&amp;M</t>
        </is>
      </c>
      <c r="C1976" s="7" t="inlineStr">
        <is>
          <t>922</t>
        </is>
      </c>
      <c r="D1976" s="7" t="inlineStr">
        <is>
          <t>Equipment Maintenance By Contract</t>
        </is>
      </c>
      <c r="E1976" s="13" t="inlineStr">
        <is>
          <t>[SUB]</t>
        </is>
      </c>
      <c r="F1976" s="7" t="inlineStr">
        <is>
          <t>Ship Maintenance</t>
        </is>
      </c>
      <c r="I1976" s="14" t="n">
        <v>2</v>
      </c>
      <c r="K1976" s="15" t="n"/>
      <c r="O1976" s="15" t="n"/>
      <c r="P1976" s="16" t="n">
        <v>369293</v>
      </c>
      <c r="Q1976" s="16" t="n">
        <v>311029</v>
      </c>
      <c r="S1976" s="16" t="n">
        <v>502290</v>
      </c>
      <c r="U1976" s="16" t="n">
        <v>502290</v>
      </c>
      <c r="AC1976" s="23">
        <f>IF(OR(E1976="",E1976="[PARENT]"),"ADD",IF(E1976="[ALT_VIEW]","ALT",""))</f>
        <v/>
      </c>
      <c r="AD1976" s="21">
        <f>IF(Y1976&lt;&gt;"",Y1976,IF(U1976&lt;&gt;"",U1976,S1976))</f>
        <v/>
      </c>
      <c r="AE1976" s="21">
        <f>IF(AB1976&lt;&gt;"",AB1976,Z1976)</f>
        <v/>
      </c>
      <c r="AF1976" s="13" t="inlineStr">
        <is>
          <t>BA1 &gt; 1B4B &gt; OP-32 Line Items &gt; 922</t>
        </is>
      </c>
      <c r="AG1976" s="7" t="inlineStr">
        <is>
          <t>178</t>
        </is>
      </c>
      <c r="AH1976" s="7" t="inlineStr">
        <is>
          <t>1B4B</t>
        </is>
      </c>
      <c r="AI1976" s="7" t="inlineStr">
        <is>
          <t>922 - Equipment Maintenance by Contract</t>
        </is>
      </c>
    </row>
    <row r="1977" ht="10" customHeight="1">
      <c r="A1977" s="7" t="inlineStr">
        <is>
          <t>OMN</t>
        </is>
      </c>
      <c r="B1977" s="7" t="inlineStr">
        <is>
          <t>O&amp;M</t>
        </is>
      </c>
      <c r="C1977" s="7" t="inlineStr">
        <is>
          <t>101</t>
        </is>
      </c>
      <c r="D1977" s="7" t="inlineStr">
        <is>
          <t>Executive, General and Special Schedules</t>
        </is>
      </c>
      <c r="E1977" s="13" t="inlineStr">
        <is>
          <t>[SUB]</t>
        </is>
      </c>
      <c r="F1977" s="7" t="inlineStr">
        <is>
          <t>Ship Maintenance</t>
        </is>
      </c>
      <c r="I1977" s="14" t="n">
        <v>2</v>
      </c>
      <c r="K1977" s="15" t="n"/>
      <c r="O1977" s="15" t="n"/>
      <c r="P1977" s="16" t="n">
        <v>2865677</v>
      </c>
      <c r="Q1977" s="16" t="n">
        <v>3255145</v>
      </c>
      <c r="S1977" s="16" t="n">
        <v>3057102</v>
      </c>
      <c r="U1977" s="16" t="n">
        <v>3057102</v>
      </c>
      <c r="AC1977" s="23">
        <f>IF(OR(E1977="",E1977="[PARENT]"),"ADD",IF(E1977="[ALT_VIEW]","ALT",""))</f>
        <v/>
      </c>
      <c r="AD1977" s="21">
        <f>IF(Y1977&lt;&gt;"",Y1977,IF(U1977&lt;&gt;"",U1977,S1977))</f>
        <v/>
      </c>
      <c r="AE1977" s="21">
        <f>IF(AB1977&lt;&gt;"",AB1977,Z1977)</f>
        <v/>
      </c>
      <c r="AF1977" s="13" t="inlineStr">
        <is>
          <t>BA1 &gt; 1B4B &gt; OP-32 Line Items &gt; 101</t>
        </is>
      </c>
      <c r="AG1977" s="7" t="inlineStr">
        <is>
          <t>177</t>
        </is>
      </c>
      <c r="AH1977" s="7" t="inlineStr">
        <is>
          <t>1B4B</t>
        </is>
      </c>
      <c r="AI1977" s="7" t="inlineStr">
        <is>
          <t>101 - Executive, General and Special Schedules</t>
        </is>
      </c>
    </row>
    <row r="1978" ht="10" customHeight="1">
      <c r="A1978" s="7" t="inlineStr">
        <is>
          <t>OMN</t>
        </is>
      </c>
      <c r="B1978" s="7" t="inlineStr">
        <is>
          <t>O&amp;M</t>
        </is>
      </c>
      <c r="C1978" s="7" t="inlineStr">
        <is>
          <t>103</t>
        </is>
      </c>
      <c r="D1978" s="7" t="inlineStr">
        <is>
          <t>Wage Board</t>
        </is>
      </c>
      <c r="E1978" s="13" t="inlineStr">
        <is>
          <t>[SUB]</t>
        </is>
      </c>
      <c r="F1978" s="7" t="inlineStr">
        <is>
          <t>Ship Maintenance</t>
        </is>
      </c>
      <c r="I1978" s="14" t="n">
        <v>2</v>
      </c>
      <c r="K1978" s="15" t="n"/>
      <c r="O1978" s="15" t="n"/>
      <c r="P1978" s="16" t="n">
        <v>2686257</v>
      </c>
      <c r="Q1978" s="16" t="n">
        <v>2743576</v>
      </c>
      <c r="S1978" s="16" t="n">
        <v>2713903</v>
      </c>
      <c r="U1978" s="16" t="n">
        <v>2713903</v>
      </c>
      <c r="AC1978" s="23">
        <f>IF(OR(E1978="",E1978="[PARENT]"),"ADD",IF(E1978="[ALT_VIEW]","ALT",""))</f>
        <v/>
      </c>
      <c r="AD1978" s="21">
        <f>IF(Y1978&lt;&gt;"",Y1978,IF(U1978&lt;&gt;"",U1978,S1978))</f>
        <v/>
      </c>
      <c r="AE1978" s="21">
        <f>IF(AB1978&lt;&gt;"",AB1978,Z1978)</f>
        <v/>
      </c>
      <c r="AF1978" s="13" t="inlineStr">
        <is>
          <t>BA1 &gt; 1B4B &gt; OP-32 Line Items &gt; 103</t>
        </is>
      </c>
      <c r="AG1978" s="7" t="inlineStr">
        <is>
          <t>177</t>
        </is>
      </c>
      <c r="AH1978" s="7" t="inlineStr">
        <is>
          <t>1B4B</t>
        </is>
      </c>
      <c r="AI1978" s="7" t="inlineStr">
        <is>
          <t>103 - Wage Board</t>
        </is>
      </c>
    </row>
    <row r="1979" ht="10" customHeight="1">
      <c r="A1979" s="7" t="inlineStr">
        <is>
          <t>OMN</t>
        </is>
      </c>
      <c r="B1979" s="7" t="inlineStr">
        <is>
          <t>O&amp;M</t>
        </is>
      </c>
      <c r="C1979" s="7" t="inlineStr">
        <is>
          <t>412</t>
        </is>
      </c>
      <c r="D1979" s="7" t="inlineStr">
        <is>
          <t>Navy Managed Supplies &amp; Materials</t>
        </is>
      </c>
      <c r="E1979" s="13" t="inlineStr">
        <is>
          <t>[SUB]</t>
        </is>
      </c>
      <c r="F1979" s="7" t="inlineStr">
        <is>
          <t>Ship Maintenance</t>
        </is>
      </c>
      <c r="I1979" s="14" t="n">
        <v>2</v>
      </c>
      <c r="K1979" s="15" t="n"/>
      <c r="O1979" s="15" t="n"/>
      <c r="P1979" s="16" t="n">
        <v>90272</v>
      </c>
      <c r="Q1979" s="16" t="n">
        <v>307237</v>
      </c>
      <c r="S1979" s="16" t="n">
        <v>814422</v>
      </c>
      <c r="U1979" s="16" t="n">
        <v>814422</v>
      </c>
      <c r="AC1979" s="23">
        <f>IF(OR(E1979="",E1979="[PARENT]"),"ADD",IF(E1979="[ALT_VIEW]","ALT",""))</f>
        <v/>
      </c>
      <c r="AD1979" s="21">
        <f>IF(Y1979&lt;&gt;"",Y1979,IF(U1979&lt;&gt;"",U1979,S1979))</f>
        <v/>
      </c>
      <c r="AE1979" s="21">
        <f>IF(AB1979&lt;&gt;"",AB1979,Z1979)</f>
        <v/>
      </c>
      <c r="AF1979" s="13" t="inlineStr">
        <is>
          <t>BA1 &gt; 1B4B &gt; OP-32 Line Items &gt; 412</t>
        </is>
      </c>
      <c r="AG1979" s="7" t="inlineStr">
        <is>
          <t>177</t>
        </is>
      </c>
      <c r="AH1979" s="7" t="inlineStr">
        <is>
          <t>1B4B</t>
        </is>
      </c>
      <c r="AI1979" s="7" t="inlineStr">
        <is>
          <t>412 - Navy Managed Supplies &amp; Materials</t>
        </is>
      </c>
    </row>
    <row r="1980" ht="10" customHeight="1">
      <c r="A1980" s="7" t="inlineStr">
        <is>
          <t>OMN</t>
        </is>
      </c>
      <c r="B1980" s="7" t="inlineStr">
        <is>
          <t>O&amp;M</t>
        </is>
      </c>
      <c r="C1980" s="7" t="inlineStr">
        <is>
          <t>424</t>
        </is>
      </c>
      <c r="D1980" s="7" t="inlineStr">
        <is>
          <t>DLA Material Supply Chain - Weapon Systems</t>
        </is>
      </c>
      <c r="E1980" s="13" t="inlineStr">
        <is>
          <t>[SUB]</t>
        </is>
      </c>
      <c r="F1980" s="7" t="inlineStr">
        <is>
          <t>Ship Maintenance</t>
        </is>
      </c>
      <c r="I1980" s="14" t="n">
        <v>2</v>
      </c>
      <c r="K1980" s="15" t="n"/>
      <c r="O1980" s="15" t="n"/>
      <c r="P1980" s="16" t="n">
        <v>660585</v>
      </c>
      <c r="Q1980" s="16" t="n">
        <v>715100</v>
      </c>
      <c r="S1980" s="16" t="n">
        <v>696056</v>
      </c>
      <c r="U1980" s="16" t="n">
        <v>696056</v>
      </c>
      <c r="AC1980" s="23">
        <f>IF(OR(E1980="",E1980="[PARENT]"),"ADD",IF(E1980="[ALT_VIEW]","ALT",""))</f>
        <v/>
      </c>
      <c r="AD1980" s="21">
        <f>IF(Y1980&lt;&gt;"",Y1980,IF(U1980&lt;&gt;"",U1980,S1980))</f>
        <v/>
      </c>
      <c r="AE1980" s="21">
        <f>IF(AB1980&lt;&gt;"",AB1980,Z1980)</f>
        <v/>
      </c>
      <c r="AF1980" s="13" t="inlineStr">
        <is>
          <t>BA1 &gt; 1B4B &gt; OP-32 Line Items &gt; 424</t>
        </is>
      </c>
      <c r="AG1980" s="7" t="inlineStr">
        <is>
          <t>177</t>
        </is>
      </c>
      <c r="AH1980" s="7" t="inlineStr">
        <is>
          <t>1B4B</t>
        </is>
      </c>
      <c r="AI1980" s="7" t="inlineStr">
        <is>
          <t>424 - DLA Material Supply Chain (Weapon Systems)</t>
        </is>
      </c>
    </row>
    <row r="1981" ht="10" customHeight="1">
      <c r="A1981" s="7" t="inlineStr">
        <is>
          <t>OMN</t>
        </is>
      </c>
      <c r="B1981" s="7" t="inlineStr">
        <is>
          <t>O&amp;M</t>
        </is>
      </c>
      <c r="C1981" s="7" t="inlineStr">
        <is>
          <t>611</t>
        </is>
      </c>
      <c r="D1981" s="7" t="inlineStr">
        <is>
          <t>Naval Surface Warfare Center</t>
        </is>
      </c>
      <c r="E1981" s="13" t="inlineStr">
        <is>
          <t>[SUB]</t>
        </is>
      </c>
      <c r="F1981" s="7" t="inlineStr">
        <is>
          <t>Ship Maintenance</t>
        </is>
      </c>
      <c r="I1981" s="14" t="n">
        <v>6</v>
      </c>
      <c r="K1981" s="15" t="n"/>
      <c r="O1981" s="15" t="n"/>
      <c r="P1981" s="16" t="n">
        <v>159840</v>
      </c>
      <c r="Q1981" s="16" t="n">
        <v>160689</v>
      </c>
      <c r="S1981" s="16" t="n">
        <v>170409</v>
      </c>
      <c r="U1981" s="16" t="n">
        <v>170409</v>
      </c>
      <c r="AC1981" s="23">
        <f>IF(OR(E1981="",E1981="[PARENT]"),"ADD",IF(E1981="[ALT_VIEW]","ALT",""))</f>
        <v/>
      </c>
      <c r="AD1981" s="21">
        <f>IF(Y1981&lt;&gt;"",Y1981,IF(U1981&lt;&gt;"",U1981,S1981))</f>
        <v/>
      </c>
      <c r="AE1981" s="21">
        <f>IF(AB1981&lt;&gt;"",AB1981,Z1981)</f>
        <v/>
      </c>
      <c r="AF1981" s="13" t="inlineStr">
        <is>
          <t>BA1 &gt; 1B4B &gt; OP-32 Line Items &gt; 611</t>
        </is>
      </c>
      <c r="AG1981" s="7" t="inlineStr">
        <is>
          <t>177</t>
        </is>
      </c>
      <c r="AH1981" s="7" t="inlineStr">
        <is>
          <t>1B4B</t>
        </is>
      </c>
      <c r="AI1981" s="7" t="inlineStr">
        <is>
          <t>611 - Naval Surface Warfare Center</t>
        </is>
      </c>
    </row>
    <row r="1982" ht="10" customHeight="1">
      <c r="A1982" s="7" t="inlineStr">
        <is>
          <t>OMN</t>
        </is>
      </c>
      <c r="B1982" s="7" t="inlineStr">
        <is>
          <t>O&amp;M</t>
        </is>
      </c>
      <c r="C1982" s="7" t="inlineStr">
        <is>
          <t>930</t>
        </is>
      </c>
      <c r="D1982" s="7" t="inlineStr">
        <is>
          <t>Other Depot Maintenance Non-Fund</t>
        </is>
      </c>
      <c r="E1982" s="13" t="inlineStr">
        <is>
          <t>[SUB]</t>
        </is>
      </c>
      <c r="F1982" s="7" t="inlineStr">
        <is>
          <t>Ship Maintenance</t>
        </is>
      </c>
      <c r="I1982" s="14" t="n">
        <v>2</v>
      </c>
      <c r="K1982" s="15" t="n"/>
      <c r="O1982" s="15" t="n"/>
      <c r="P1982" s="16" t="n">
        <v>135824</v>
      </c>
      <c r="Q1982" s="16" t="n">
        <v>464072</v>
      </c>
      <c r="S1982" s="16" t="n">
        <v>447544</v>
      </c>
      <c r="U1982" s="16" t="n">
        <v>447544</v>
      </c>
      <c r="AC1982" s="23">
        <f>IF(OR(E1982="",E1982="[PARENT]"),"ADD",IF(E1982="[ALT_VIEW]","ALT",""))</f>
        <v/>
      </c>
      <c r="AD1982" s="21">
        <f>IF(Y1982&lt;&gt;"",Y1982,IF(U1982&lt;&gt;"",U1982,S1982))</f>
        <v/>
      </c>
      <c r="AE1982" s="21">
        <f>IF(AB1982&lt;&gt;"",AB1982,Z1982)</f>
        <v/>
      </c>
      <c r="AF1982" s="13" t="inlineStr">
        <is>
          <t>BA1 &gt; 1B4B &gt; OP-32 Line Items &gt; 930</t>
        </is>
      </c>
      <c r="AG1982" s="7" t="inlineStr">
        <is>
          <t>178</t>
        </is>
      </c>
      <c r="AH1982" s="7" t="inlineStr">
        <is>
          <t>1B4B</t>
        </is>
      </c>
      <c r="AI1982" s="7" t="inlineStr">
        <is>
          <t>930 - Other Depot Maintenance (Non-Fund)</t>
        </is>
      </c>
    </row>
    <row r="1983" ht="10" customHeight="1">
      <c r="A1983" s="7" t="inlineStr">
        <is>
          <t>OMN</t>
        </is>
      </c>
      <c r="B1983" s="7" t="inlineStr">
        <is>
          <t>O&amp;M</t>
        </is>
      </c>
      <c r="C1983" s="7" t="inlineStr">
        <is>
          <t>987</t>
        </is>
      </c>
      <c r="D1983" s="7" t="inlineStr">
        <is>
          <t>Other Intra-Government Purchases</t>
        </is>
      </c>
      <c r="E1983" s="13" t="inlineStr">
        <is>
          <t>[SUB]</t>
        </is>
      </c>
      <c r="F1983" s="7" t="inlineStr">
        <is>
          <t>Ship Maintenance</t>
        </is>
      </c>
      <c r="I1983" s="14" t="n">
        <v>2</v>
      </c>
      <c r="K1983" s="15" t="n"/>
      <c r="O1983" s="15" t="n"/>
      <c r="P1983" s="16" t="n">
        <v>322352</v>
      </c>
      <c r="Q1983" s="16" t="n">
        <v>227588</v>
      </c>
      <c r="S1983" s="16" t="n">
        <v>236115</v>
      </c>
      <c r="U1983" s="16" t="n">
        <v>236115</v>
      </c>
      <c r="AC1983" s="23">
        <f>IF(OR(E1983="",E1983="[PARENT]"),"ADD",IF(E1983="[ALT_VIEW]","ALT",""))</f>
        <v/>
      </c>
      <c r="AD1983" s="21">
        <f>IF(Y1983&lt;&gt;"",Y1983,IF(U1983&lt;&gt;"",U1983,S1983))</f>
        <v/>
      </c>
      <c r="AE1983" s="21">
        <f>IF(AB1983&lt;&gt;"",AB1983,Z1983)</f>
        <v/>
      </c>
      <c r="AF1983" s="13" t="inlineStr">
        <is>
          <t>BA1 &gt; 1B4B &gt; OP-32 Line Items &gt; 987</t>
        </is>
      </c>
      <c r="AG1983" s="7" t="inlineStr">
        <is>
          <t>178</t>
        </is>
      </c>
      <c r="AH1983" s="7" t="inlineStr">
        <is>
          <t>1B4B</t>
        </is>
      </c>
      <c r="AI1983" s="7" t="inlineStr">
        <is>
          <t>987 - Other Intragovernmental Purchases</t>
        </is>
      </c>
    </row>
    <row r="1984" ht="10" customHeight="1">
      <c r="A1984" s="7" t="inlineStr">
        <is>
          <t>OMN</t>
        </is>
      </c>
      <c r="B1984" s="7" t="inlineStr">
        <is>
          <t>O&amp;M</t>
        </is>
      </c>
      <c r="C1984" s="7" t="inlineStr">
        <is>
          <t>SSN 753</t>
        </is>
      </c>
      <c r="D1984" s="7" t="inlineStr">
        <is>
          <t>USS ALBANY - SRA</t>
        </is>
      </c>
      <c r="E1984" s="13" t="inlineStr">
        <is>
          <t>[SUB]</t>
        </is>
      </c>
      <c r="F1984" s="7" t="inlineStr">
        <is>
          <t>Ship Maintenance</t>
        </is>
      </c>
      <c r="I1984" s="14" t="n">
        <v>2</v>
      </c>
      <c r="K1984" s="13" t="inlineStr">
        <is>
          <t>USN</t>
        </is>
      </c>
      <c r="L1984" s="7" t="inlineStr">
        <is>
          <t>Combatant Ships</t>
        </is>
      </c>
      <c r="M1984" s="7" t="inlineStr">
        <is>
          <t>Submarines</t>
        </is>
      </c>
      <c r="N1984" s="7" t="inlineStr">
        <is>
          <t>SSN</t>
        </is>
      </c>
      <c r="O1984" s="15" t="n"/>
      <c r="S1984" s="16" t="n">
        <v>142049</v>
      </c>
      <c r="U1984" s="16" t="n">
        <v>142049</v>
      </c>
      <c r="AC1984" s="23">
        <f>IF(OR(E1984="",E1984="[PARENT]"),"ADD",IF(E1984="[ALT_VIEW]","ALT",""))</f>
        <v/>
      </c>
      <c r="AD1984" s="21">
        <f>IF(Y1984&lt;&gt;"",Y1984,IF(U1984&lt;&gt;"",U1984,S1984))</f>
        <v/>
      </c>
      <c r="AE1984" s="21">
        <f>IF(AB1984&lt;&gt;"",AB1984,Z1984)</f>
        <v/>
      </c>
      <c r="AF1984" s="13" t="inlineStr">
        <is>
          <t>BA1 &gt; 1B4B &gt; Table III CNO Availabilities</t>
        </is>
      </c>
      <c r="AG1984" s="7" t="inlineStr">
        <is>
          <t>159</t>
        </is>
      </c>
      <c r="AH1984" s="7" t="inlineStr">
        <is>
          <t>1B4B</t>
        </is>
      </c>
    </row>
    <row r="1985" ht="10" customHeight="1">
      <c r="A1985" s="7" t="inlineStr">
        <is>
          <t>OMN</t>
        </is>
      </c>
      <c r="B1985" s="7" t="inlineStr">
        <is>
          <t>O&amp;M</t>
        </is>
      </c>
      <c r="C1985" s="7" t="inlineStr">
        <is>
          <t>SSN 778</t>
        </is>
      </c>
      <c r="D1985" s="7" t="inlineStr">
        <is>
          <t>USS NEW HAMPSHIRE - OH</t>
        </is>
      </c>
      <c r="E1985" s="13" t="inlineStr">
        <is>
          <t>[SUB]</t>
        </is>
      </c>
      <c r="F1985" s="7" t="inlineStr">
        <is>
          <t>Ship Maintenance</t>
        </is>
      </c>
      <c r="I1985" s="14" t="n">
        <v>2</v>
      </c>
      <c r="K1985" s="13" t="inlineStr">
        <is>
          <t>USN</t>
        </is>
      </c>
      <c r="L1985" s="7" t="inlineStr">
        <is>
          <t>Combatant Ships</t>
        </is>
      </c>
      <c r="M1985" s="7" t="inlineStr">
        <is>
          <t>Submarines</t>
        </is>
      </c>
      <c r="N1985" s="7" t="inlineStr">
        <is>
          <t>SSN</t>
        </is>
      </c>
      <c r="O1985" s="15" t="n"/>
      <c r="S1985" s="16" t="n">
        <v>178950</v>
      </c>
      <c r="U1985" s="16" t="n">
        <v>178950</v>
      </c>
      <c r="AC1985" s="23">
        <f>IF(OR(E1985="",E1985="[PARENT]"),"ADD",IF(E1985="[ALT_VIEW]","ALT",""))</f>
        <v/>
      </c>
      <c r="AD1985" s="21">
        <f>IF(Y1985&lt;&gt;"",Y1985,IF(U1985&lt;&gt;"",U1985,S1985))</f>
        <v/>
      </c>
      <c r="AE1985" s="21">
        <f>IF(AB1985&lt;&gt;"",AB1985,Z1985)</f>
        <v/>
      </c>
      <c r="AF1985" s="13" t="inlineStr">
        <is>
          <t>BA1 &gt; 1B4B &gt; Table III CNO Availabilities</t>
        </is>
      </c>
      <c r="AG1985" s="7" t="inlineStr">
        <is>
          <t>159</t>
        </is>
      </c>
      <c r="AH1985" s="7" t="inlineStr">
        <is>
          <t>1B4B</t>
        </is>
      </c>
    </row>
    <row r="1986" ht="10" customHeight="1">
      <c r="A1986" s="7" t="inlineStr">
        <is>
          <t>OMN</t>
        </is>
      </c>
      <c r="B1986" s="7" t="inlineStr">
        <is>
          <t>O&amp;M</t>
        </is>
      </c>
      <c r="C1986" s="7" t="inlineStr">
        <is>
          <t>SSN 779</t>
        </is>
      </c>
      <c r="D1986" s="7" t="inlineStr">
        <is>
          <t>USS NEW MEXICO - OH</t>
        </is>
      </c>
      <c r="E1986" s="13" t="inlineStr">
        <is>
          <t>[SUB]</t>
        </is>
      </c>
      <c r="F1986" s="7" t="inlineStr">
        <is>
          <t>Ship Maintenance</t>
        </is>
      </c>
      <c r="I1986" s="14" t="n">
        <v>2</v>
      </c>
      <c r="K1986" s="13" t="inlineStr">
        <is>
          <t>USN</t>
        </is>
      </c>
      <c r="L1986" s="7" t="inlineStr">
        <is>
          <t>Combatant Ships</t>
        </is>
      </c>
      <c r="M1986" s="7" t="inlineStr">
        <is>
          <t>Submarines</t>
        </is>
      </c>
      <c r="N1986" s="7" t="inlineStr">
        <is>
          <t>SSN</t>
        </is>
      </c>
      <c r="O1986" s="15" t="n"/>
      <c r="S1986" s="16" t="n">
        <v>162742</v>
      </c>
      <c r="U1986" s="16" t="n">
        <v>162742</v>
      </c>
      <c r="AC1986" s="23">
        <f>IF(OR(E1986="",E1986="[PARENT]"),"ADD",IF(E1986="[ALT_VIEW]","ALT",""))</f>
        <v/>
      </c>
      <c r="AD1986" s="21">
        <f>IF(Y1986&lt;&gt;"",Y1986,IF(U1986&lt;&gt;"",U1986,S1986))</f>
        <v/>
      </c>
      <c r="AE1986" s="21">
        <f>IF(AB1986&lt;&gt;"",AB1986,Z1986)</f>
        <v/>
      </c>
      <c r="AF1986" s="13" t="inlineStr">
        <is>
          <t>BA1 &gt; 1B4B &gt; Table III CNO Availabilities</t>
        </is>
      </c>
      <c r="AG1986" s="7" t="inlineStr">
        <is>
          <t>159</t>
        </is>
      </c>
      <c r="AH1986" s="7" t="inlineStr">
        <is>
          <t>1B4B</t>
        </is>
      </c>
    </row>
    <row r="1987" ht="10" customHeight="1">
      <c r="A1987" s="7" t="inlineStr">
        <is>
          <t>OMN</t>
        </is>
      </c>
      <c r="B1987" s="7" t="inlineStr">
        <is>
          <t>O&amp;M</t>
        </is>
      </c>
      <c r="C1987" s="7" t="inlineStr">
        <is>
          <t>CVN 078</t>
        </is>
      </c>
      <c r="D1987" s="7" t="inlineStr">
        <is>
          <t>USS GERALD R. FORD - PIA</t>
        </is>
      </c>
      <c r="E1987" s="13" t="inlineStr">
        <is>
          <t>[SUB]</t>
        </is>
      </c>
      <c r="F1987" s="7" t="inlineStr">
        <is>
          <t>Ship Maintenance</t>
        </is>
      </c>
      <c r="I1987" s="14" t="n">
        <v>2</v>
      </c>
      <c r="K1987" s="13" t="inlineStr">
        <is>
          <t>USN</t>
        </is>
      </c>
      <c r="L1987" s="7" t="inlineStr">
        <is>
          <t>Combatant Ships</t>
        </is>
      </c>
      <c r="M1987" s="7" t="inlineStr">
        <is>
          <t>Aircraft Carriers</t>
        </is>
      </c>
      <c r="N1987" s="7" t="inlineStr">
        <is>
          <t>CVN</t>
        </is>
      </c>
      <c r="O1987" s="15" t="n"/>
      <c r="S1987" s="16" t="n">
        <v>163559</v>
      </c>
      <c r="U1987" s="16" t="n">
        <v>163559</v>
      </c>
      <c r="AC1987" s="23">
        <f>IF(OR(E1987="",E1987="[PARENT]"),"ADD",IF(E1987="[ALT_VIEW]","ALT",""))</f>
        <v/>
      </c>
      <c r="AD1987" s="21">
        <f>IF(Y1987&lt;&gt;"",Y1987,IF(U1987&lt;&gt;"",U1987,S1987))</f>
        <v/>
      </c>
      <c r="AE1987" s="21">
        <f>IF(AB1987&lt;&gt;"",AB1987,Z1987)</f>
        <v/>
      </c>
      <c r="AF1987" s="13" t="inlineStr">
        <is>
          <t>BA1 &gt; 1B4B &gt; Table III CNO Availabilities</t>
        </is>
      </c>
      <c r="AG1987" s="7" t="inlineStr">
        <is>
          <t>159</t>
        </is>
      </c>
      <c r="AH1987" s="7" t="inlineStr">
        <is>
          <t>1B4B</t>
        </is>
      </c>
    </row>
    <row r="1988" ht="10" customHeight="1">
      <c r="A1988" s="7" t="inlineStr">
        <is>
          <t>OMN</t>
        </is>
      </c>
      <c r="B1988" s="7" t="inlineStr">
        <is>
          <t>O&amp;M</t>
        </is>
      </c>
      <c r="C1988" s="7" t="inlineStr">
        <is>
          <t>CVN 074</t>
        </is>
      </c>
      <c r="D1988" s="7" t="inlineStr">
        <is>
          <t>USS JOHN C STENNIS - CIA</t>
        </is>
      </c>
      <c r="E1988" s="13" t="inlineStr">
        <is>
          <t>[SUB]</t>
        </is>
      </c>
      <c r="F1988" s="7" t="inlineStr">
        <is>
          <t>Ship Maintenance</t>
        </is>
      </c>
      <c r="I1988" s="14" t="n">
        <v>2</v>
      </c>
      <c r="K1988" s="13" t="inlineStr">
        <is>
          <t>USN</t>
        </is>
      </c>
      <c r="L1988" s="7" t="inlineStr">
        <is>
          <t>Combatant Ships</t>
        </is>
      </c>
      <c r="M1988" s="7" t="inlineStr">
        <is>
          <t>Aircraft Carriers</t>
        </is>
      </c>
      <c r="N1988" s="7" t="inlineStr">
        <is>
          <t>CVN</t>
        </is>
      </c>
      <c r="O1988" s="15" t="n"/>
      <c r="S1988" s="16" t="n">
        <v>12307</v>
      </c>
      <c r="U1988" s="16" t="n">
        <v>12307</v>
      </c>
      <c r="AC1988" s="23">
        <f>IF(OR(E1988="",E1988="[PARENT]"),"ADD",IF(E1988="[ALT_VIEW]","ALT",""))</f>
        <v/>
      </c>
      <c r="AD1988" s="21">
        <f>IF(Y1988&lt;&gt;"",Y1988,IF(U1988&lt;&gt;"",U1988,S1988))</f>
        <v/>
      </c>
      <c r="AE1988" s="21">
        <f>IF(AB1988&lt;&gt;"",AB1988,Z1988)</f>
        <v/>
      </c>
      <c r="AF1988" s="13" t="inlineStr">
        <is>
          <t>BA1 &gt; 1B4B &gt; Table III CNO Availabilities</t>
        </is>
      </c>
      <c r="AG1988" s="7" t="inlineStr">
        <is>
          <t>159</t>
        </is>
      </c>
      <c r="AH1988" s="7" t="inlineStr">
        <is>
          <t>1B4B</t>
        </is>
      </c>
    </row>
    <row r="1989" ht="10" customHeight="1">
      <c r="A1989" s="7" t="inlineStr">
        <is>
          <t>OMN</t>
        </is>
      </c>
      <c r="B1989" s="7" t="inlineStr">
        <is>
          <t>O&amp;M</t>
        </is>
      </c>
      <c r="C1989" s="7" t="inlineStr">
        <is>
          <t>SSN 762</t>
        </is>
      </c>
      <c r="D1989" s="7" t="inlineStr">
        <is>
          <t>USS COLUMBUS - OH</t>
        </is>
      </c>
      <c r="E1989" s="13" t="inlineStr">
        <is>
          <t>[SUB]</t>
        </is>
      </c>
      <c r="F1989" s="7" t="inlineStr">
        <is>
          <t>Ship Maintenance</t>
        </is>
      </c>
      <c r="I1989" s="14" t="n">
        <v>2</v>
      </c>
      <c r="K1989" s="13" t="inlineStr">
        <is>
          <t>USN</t>
        </is>
      </c>
      <c r="L1989" s="7" t="inlineStr">
        <is>
          <t>Combatant Ships</t>
        </is>
      </c>
      <c r="M1989" s="7" t="inlineStr">
        <is>
          <t>Submarines</t>
        </is>
      </c>
      <c r="N1989" s="7" t="inlineStr">
        <is>
          <t>SSN</t>
        </is>
      </c>
      <c r="O1989" s="15" t="n"/>
      <c r="S1989" s="16" t="n">
        <v>165354</v>
      </c>
      <c r="U1989" s="16" t="n">
        <v>165354</v>
      </c>
      <c r="AC1989" s="23">
        <f>IF(OR(E1989="",E1989="[PARENT]"),"ADD",IF(E1989="[ALT_VIEW]","ALT",""))</f>
        <v/>
      </c>
      <c r="AD1989" s="21">
        <f>IF(Y1989&lt;&gt;"",Y1989,IF(U1989&lt;&gt;"",U1989,S1989))</f>
        <v/>
      </c>
      <c r="AE1989" s="21">
        <f>IF(AB1989&lt;&gt;"",AB1989,Z1989)</f>
        <v/>
      </c>
      <c r="AF1989" s="13" t="inlineStr">
        <is>
          <t>BA1 &gt; 1B4B &gt; Table III CNO Availabilities</t>
        </is>
      </c>
      <c r="AG1989" s="7" t="inlineStr">
        <is>
          <t>159</t>
        </is>
      </c>
      <c r="AH1989" s="7" t="inlineStr">
        <is>
          <t>1B4B</t>
        </is>
      </c>
    </row>
    <row r="1990" ht="10" customHeight="1">
      <c r="A1990" s="7" t="inlineStr">
        <is>
          <t>OMN</t>
        </is>
      </c>
      <c r="B1990" s="7" t="inlineStr">
        <is>
          <t>O&amp;M</t>
        </is>
      </c>
      <c r="C1990" s="7" t="inlineStr">
        <is>
          <t>SSN 768</t>
        </is>
      </c>
      <c r="D1990" s="7" t="inlineStr">
        <is>
          <t>USS HARTFORD - OH</t>
        </is>
      </c>
      <c r="E1990" s="13" t="inlineStr">
        <is>
          <t>[SUB]</t>
        </is>
      </c>
      <c r="F1990" s="7" t="inlineStr">
        <is>
          <t>Ship Maintenance</t>
        </is>
      </c>
      <c r="I1990" s="14" t="n">
        <v>2</v>
      </c>
      <c r="K1990" s="13" t="inlineStr">
        <is>
          <t>USN</t>
        </is>
      </c>
      <c r="L1990" s="7" t="inlineStr">
        <is>
          <t>Combatant Ships</t>
        </is>
      </c>
      <c r="M1990" s="7" t="inlineStr">
        <is>
          <t>Submarines</t>
        </is>
      </c>
      <c r="N1990" s="7" t="inlineStr">
        <is>
          <t>SSN</t>
        </is>
      </c>
      <c r="O1990" s="15" t="n"/>
      <c r="S1990" s="16" t="n">
        <v>50000</v>
      </c>
      <c r="U1990" s="16" t="n">
        <v>50000</v>
      </c>
      <c r="AC1990" s="23">
        <f>IF(OR(E1990="",E1990="[PARENT]"),"ADD",IF(E1990="[ALT_VIEW]","ALT",""))</f>
        <v/>
      </c>
      <c r="AD1990" s="21">
        <f>IF(Y1990&lt;&gt;"",Y1990,IF(U1990&lt;&gt;"",U1990,S1990))</f>
        <v/>
      </c>
      <c r="AE1990" s="21">
        <f>IF(AB1990&lt;&gt;"",AB1990,Z1990)</f>
        <v/>
      </c>
      <c r="AF1990" s="13" t="inlineStr">
        <is>
          <t>BA1 &gt; 1B4B &gt; Table III CNO Availabilities</t>
        </is>
      </c>
      <c r="AG1990" s="7" t="inlineStr">
        <is>
          <t>159</t>
        </is>
      </c>
      <c r="AH1990" s="7" t="inlineStr">
        <is>
          <t>1B4B</t>
        </is>
      </c>
    </row>
    <row r="1991" ht="10" customHeight="1">
      <c r="A1991" s="7" t="inlineStr">
        <is>
          <t>OMN</t>
        </is>
      </c>
      <c r="B1991" s="7" t="inlineStr">
        <is>
          <t>O&amp;M</t>
        </is>
      </c>
      <c r="C1991" s="7" t="inlineStr">
        <is>
          <t>DDG 088</t>
        </is>
      </c>
      <c r="D1991" s="7" t="inlineStr">
        <is>
          <t>USS PREBLE - SRA</t>
        </is>
      </c>
      <c r="E1991" s="13" t="inlineStr">
        <is>
          <t>[SUB]</t>
        </is>
      </c>
      <c r="F1991" s="7" t="inlineStr">
        <is>
          <t>Ship Maintenance</t>
        </is>
      </c>
      <c r="I1991" s="14" t="n">
        <v>2</v>
      </c>
      <c r="K1991" s="13" t="inlineStr">
        <is>
          <t>USN</t>
        </is>
      </c>
      <c r="L1991" s="7" t="inlineStr">
        <is>
          <t>Combatant Ships</t>
        </is>
      </c>
      <c r="M1991" s="7" t="inlineStr">
        <is>
          <t>Surface Combatants</t>
        </is>
      </c>
      <c r="N1991" s="7" t="inlineStr">
        <is>
          <t>DDG</t>
        </is>
      </c>
      <c r="O1991" s="15" t="n"/>
      <c r="S1991" s="16" t="n">
        <v>20881</v>
      </c>
      <c r="U1991" s="16" t="n">
        <v>20881</v>
      </c>
      <c r="AC1991" s="23">
        <f>IF(OR(E1991="",E1991="[PARENT]"),"ADD",IF(E1991="[ALT_VIEW]","ALT",""))</f>
        <v/>
      </c>
      <c r="AD1991" s="21">
        <f>IF(Y1991&lt;&gt;"",Y1991,IF(U1991&lt;&gt;"",U1991,S1991))</f>
        <v/>
      </c>
      <c r="AE1991" s="21">
        <f>IF(AB1991&lt;&gt;"",AB1991,Z1991)</f>
        <v/>
      </c>
      <c r="AF1991" s="13" t="inlineStr">
        <is>
          <t>BA1 &gt; 1B4B &gt; Table III CNO Availabilities</t>
        </is>
      </c>
      <c r="AG1991" s="7" t="inlineStr">
        <is>
          <t>160</t>
        </is>
      </c>
      <c r="AH1991" s="7" t="inlineStr">
        <is>
          <t>1B4B</t>
        </is>
      </c>
    </row>
    <row r="1992" ht="10" customHeight="1">
      <c r="A1992" s="7" t="inlineStr">
        <is>
          <t>OMN</t>
        </is>
      </c>
      <c r="B1992" s="7" t="inlineStr">
        <is>
          <t>O&amp;M</t>
        </is>
      </c>
      <c r="C1992" s="7" t="inlineStr">
        <is>
          <t>DDG 113</t>
        </is>
      </c>
      <c r="D1992" s="7" t="inlineStr">
        <is>
          <t>USS JOHN FINN - SIA</t>
        </is>
      </c>
      <c r="E1992" s="13" t="inlineStr">
        <is>
          <t>[SUB]</t>
        </is>
      </c>
      <c r="F1992" s="7" t="inlineStr">
        <is>
          <t>Ship Maintenance</t>
        </is>
      </c>
      <c r="I1992" s="14" t="n">
        <v>2</v>
      </c>
      <c r="K1992" s="13" t="inlineStr">
        <is>
          <t>USN</t>
        </is>
      </c>
      <c r="L1992" s="7" t="inlineStr">
        <is>
          <t>Combatant Ships</t>
        </is>
      </c>
      <c r="M1992" s="7" t="inlineStr">
        <is>
          <t>Surface Combatants</t>
        </is>
      </c>
      <c r="N1992" s="7" t="inlineStr">
        <is>
          <t>DDG</t>
        </is>
      </c>
      <c r="O1992" s="15" t="n"/>
      <c r="S1992" s="16" t="n">
        <v>3794</v>
      </c>
      <c r="U1992" s="16" t="n">
        <v>3794</v>
      </c>
      <c r="AC1992" s="23">
        <f>IF(OR(E1992="",E1992="[PARENT]"),"ADD",IF(E1992="[ALT_VIEW]","ALT",""))</f>
        <v/>
      </c>
      <c r="AD1992" s="21">
        <f>IF(Y1992&lt;&gt;"",Y1992,IF(U1992&lt;&gt;"",U1992,S1992))</f>
        <v/>
      </c>
      <c r="AE1992" s="21">
        <f>IF(AB1992&lt;&gt;"",AB1992,Z1992)</f>
        <v/>
      </c>
      <c r="AF1992" s="13" t="inlineStr">
        <is>
          <t>BA1 &gt; 1B4B &gt; Table III CNO Availabilities</t>
        </is>
      </c>
      <c r="AG1992" s="7" t="inlineStr">
        <is>
          <t>160</t>
        </is>
      </c>
      <c r="AH1992" s="7" t="inlineStr">
        <is>
          <t>1B4B</t>
        </is>
      </c>
    </row>
    <row r="1993" ht="10" customHeight="1">
      <c r="A1993" s="7" t="inlineStr">
        <is>
          <t>OMN</t>
        </is>
      </c>
      <c r="B1993" s="7" t="inlineStr">
        <is>
          <t>O&amp;M</t>
        </is>
      </c>
      <c r="C1993" s="7" t="inlineStr">
        <is>
          <t>CVN 069</t>
        </is>
      </c>
      <c r="D1993" s="7" t="inlineStr">
        <is>
          <t>USS DWIGHT D EISENHOWER - CIA</t>
        </is>
      </c>
      <c r="E1993" s="13" t="inlineStr">
        <is>
          <t>[SUB]</t>
        </is>
      </c>
      <c r="F1993" s="7" t="inlineStr">
        <is>
          <t>Ship Maintenance</t>
        </is>
      </c>
      <c r="I1993" s="14" t="n">
        <v>2</v>
      </c>
      <c r="K1993" s="13" t="inlineStr">
        <is>
          <t>USN</t>
        </is>
      </c>
      <c r="L1993" s="7" t="inlineStr">
        <is>
          <t>Combatant Ships</t>
        </is>
      </c>
      <c r="M1993" s="7" t="inlineStr">
        <is>
          <t>Aircraft Carriers</t>
        </is>
      </c>
      <c r="N1993" s="7" t="inlineStr">
        <is>
          <t>CVN</t>
        </is>
      </c>
      <c r="O1993" s="15" t="n"/>
      <c r="S1993" s="16" t="n">
        <v>16772</v>
      </c>
      <c r="U1993" s="16" t="n">
        <v>16772</v>
      </c>
      <c r="AC1993" s="23">
        <f>IF(OR(E1993="",E1993="[PARENT]"),"ADD",IF(E1993="[ALT_VIEW]","ALT",""))</f>
        <v/>
      </c>
      <c r="AD1993" s="21">
        <f>IF(Y1993&lt;&gt;"",Y1993,IF(U1993&lt;&gt;"",U1993,S1993))</f>
        <v/>
      </c>
      <c r="AE1993" s="21">
        <f>IF(AB1993&lt;&gt;"",AB1993,Z1993)</f>
        <v/>
      </c>
      <c r="AF1993" s="13" t="inlineStr">
        <is>
          <t>BA1 &gt; 1B4B &gt; Table III CNO Availabilities</t>
        </is>
      </c>
      <c r="AG1993" s="7" t="inlineStr">
        <is>
          <t>160</t>
        </is>
      </c>
      <c r="AH1993" s="7" t="inlineStr">
        <is>
          <t>1B4B</t>
        </is>
      </c>
    </row>
    <row r="1994" ht="10" customHeight="1">
      <c r="A1994" s="7" t="inlineStr">
        <is>
          <t>OMN</t>
        </is>
      </c>
      <c r="B1994" s="7" t="inlineStr">
        <is>
          <t>O&amp;M</t>
        </is>
      </c>
      <c r="C1994" s="7" t="inlineStr">
        <is>
          <t>LPD 018</t>
        </is>
      </c>
      <c r="D1994" s="7" t="inlineStr">
        <is>
          <t>USS NEW ORLEANS - SIA</t>
        </is>
      </c>
      <c r="E1994" s="13" t="inlineStr">
        <is>
          <t>[SUB]</t>
        </is>
      </c>
      <c r="F1994" s="7" t="inlineStr">
        <is>
          <t>Ship Maintenance</t>
        </is>
      </c>
      <c r="I1994" s="14" t="n">
        <v>2</v>
      </c>
      <c r="K1994" s="13" t="inlineStr">
        <is>
          <t>USN</t>
        </is>
      </c>
      <c r="L1994" s="7" t="inlineStr">
        <is>
          <t>Combatant Ships</t>
        </is>
      </c>
      <c r="M1994" s="7" t="inlineStr">
        <is>
          <t>Amphibious Warfare Ships</t>
        </is>
      </c>
      <c r="N1994" s="7" t="inlineStr">
        <is>
          <t>LPD</t>
        </is>
      </c>
      <c r="O1994" s="15" t="n"/>
      <c r="S1994" s="16" t="n">
        <v>10756</v>
      </c>
      <c r="U1994" s="16" t="n">
        <v>10756</v>
      </c>
      <c r="AC1994" s="23">
        <f>IF(OR(E1994="",E1994="[PARENT]"),"ADD",IF(E1994="[ALT_VIEW]","ALT",""))</f>
        <v/>
      </c>
      <c r="AD1994" s="21">
        <f>IF(Y1994&lt;&gt;"",Y1994,IF(U1994&lt;&gt;"",U1994,S1994))</f>
        <v/>
      </c>
      <c r="AE1994" s="21">
        <f>IF(AB1994&lt;&gt;"",AB1994,Z1994)</f>
        <v/>
      </c>
      <c r="AF1994" s="13" t="inlineStr">
        <is>
          <t>BA1 &gt; 1B4B &gt; Table III CNO Availabilities</t>
        </is>
      </c>
      <c r="AG1994" s="7" t="inlineStr">
        <is>
          <t>160</t>
        </is>
      </c>
      <c r="AH1994" s="7" t="inlineStr">
        <is>
          <t>1B4B</t>
        </is>
      </c>
    </row>
    <row r="1995" ht="10" customHeight="1">
      <c r="A1995" s="7" t="inlineStr">
        <is>
          <t>OMN</t>
        </is>
      </c>
      <c r="B1995" s="7" t="inlineStr">
        <is>
          <t>O&amp;M</t>
        </is>
      </c>
      <c r="C1995" s="7" t="inlineStr">
        <is>
          <t>SSBN 737</t>
        </is>
      </c>
      <c r="D1995" s="7" t="inlineStr">
        <is>
          <t>USS KENTUCKY - SRA</t>
        </is>
      </c>
      <c r="E1995" s="13" t="inlineStr">
        <is>
          <t>[SUB]</t>
        </is>
      </c>
      <c r="F1995" s="7" t="inlineStr">
        <is>
          <t>Ship Maintenance</t>
        </is>
      </c>
      <c r="I1995" s="14" t="n">
        <v>2</v>
      </c>
      <c r="K1995" s="13" t="inlineStr">
        <is>
          <t>USN</t>
        </is>
      </c>
      <c r="L1995" s="7" t="inlineStr">
        <is>
          <t>Combatant Ships</t>
        </is>
      </c>
      <c r="M1995" s="7" t="inlineStr">
        <is>
          <t>Submarines</t>
        </is>
      </c>
      <c r="N1995" s="7" t="inlineStr">
        <is>
          <t>SSBN</t>
        </is>
      </c>
      <c r="O1995" s="15" t="n"/>
      <c r="S1995" s="16" t="n">
        <v>91063</v>
      </c>
      <c r="U1995" s="16" t="n">
        <v>91063</v>
      </c>
      <c r="AC1995" s="23">
        <f>IF(OR(E1995="",E1995="[PARENT]"),"ADD",IF(E1995="[ALT_VIEW]","ALT",""))</f>
        <v/>
      </c>
      <c r="AD1995" s="21">
        <f>IF(Y1995&lt;&gt;"",Y1995,IF(U1995&lt;&gt;"",U1995,S1995))</f>
        <v/>
      </c>
      <c r="AE1995" s="21">
        <f>IF(AB1995&lt;&gt;"",AB1995,Z1995)</f>
        <v/>
      </c>
      <c r="AF1995" s="13" t="inlineStr">
        <is>
          <t>BA1 &gt; 1B4B &gt; Table III CNO Availabilities</t>
        </is>
      </c>
      <c r="AG1995" s="7" t="inlineStr">
        <is>
          <t>160</t>
        </is>
      </c>
      <c r="AH1995" s="7" t="inlineStr">
        <is>
          <t>1B4B</t>
        </is>
      </c>
    </row>
    <row r="1996" ht="10" customHeight="1">
      <c r="A1996" s="7" t="inlineStr">
        <is>
          <t>OMN</t>
        </is>
      </c>
      <c r="B1996" s="7" t="inlineStr">
        <is>
          <t>O&amp;M</t>
        </is>
      </c>
      <c r="C1996" s="7" t="inlineStr">
        <is>
          <t>CVN 071</t>
        </is>
      </c>
      <c r="D1996" s="7" t="inlineStr">
        <is>
          <t>USS THEODORE ROOSEVELT - CIA</t>
        </is>
      </c>
      <c r="E1996" s="13" t="inlineStr">
        <is>
          <t>[SUB]</t>
        </is>
      </c>
      <c r="F1996" s="7" t="inlineStr">
        <is>
          <t>Ship Maintenance</t>
        </is>
      </c>
      <c r="I1996" s="14" t="n">
        <v>2</v>
      </c>
      <c r="K1996" s="13" t="inlineStr">
        <is>
          <t>USN</t>
        </is>
      </c>
      <c r="L1996" s="7" t="inlineStr">
        <is>
          <t>Combatant Ships</t>
        </is>
      </c>
      <c r="M1996" s="7" t="inlineStr">
        <is>
          <t>Aircraft Carriers</t>
        </is>
      </c>
      <c r="N1996" s="7" t="inlineStr">
        <is>
          <t>CVN</t>
        </is>
      </c>
      <c r="O1996" s="15" t="n"/>
      <c r="S1996" s="16" t="n">
        <v>15868</v>
      </c>
      <c r="U1996" s="16" t="n">
        <v>15868</v>
      </c>
      <c r="AC1996" s="23">
        <f>IF(OR(E1996="",E1996="[PARENT]"),"ADD",IF(E1996="[ALT_VIEW]","ALT",""))</f>
        <v/>
      </c>
      <c r="AD1996" s="21">
        <f>IF(Y1996&lt;&gt;"",Y1996,IF(U1996&lt;&gt;"",U1996,S1996))</f>
        <v/>
      </c>
      <c r="AE1996" s="21">
        <f>IF(AB1996&lt;&gt;"",AB1996,Z1996)</f>
        <v/>
      </c>
      <c r="AF1996" s="13" t="inlineStr">
        <is>
          <t>BA1 &gt; 1B4B &gt; Table III CNO Availabilities</t>
        </is>
      </c>
      <c r="AG1996" s="7" t="inlineStr">
        <is>
          <t>160</t>
        </is>
      </c>
      <c r="AH1996" s="7" t="inlineStr">
        <is>
          <t>1B4B</t>
        </is>
      </c>
    </row>
    <row r="1997" ht="10" customHeight="1">
      <c r="A1997" s="7" t="inlineStr">
        <is>
          <t>OMN</t>
        </is>
      </c>
      <c r="B1997" s="7" t="inlineStr">
        <is>
          <t>O&amp;M</t>
        </is>
      </c>
      <c r="C1997" s="7" t="inlineStr">
        <is>
          <t>LCC 019</t>
        </is>
      </c>
      <c r="D1997" s="7" t="inlineStr">
        <is>
          <t>USS BLUE RIDGE - SRA</t>
        </is>
      </c>
      <c r="E1997" s="13" t="inlineStr">
        <is>
          <t>[SUB]</t>
        </is>
      </c>
      <c r="F1997" s="7" t="inlineStr">
        <is>
          <t>Ship Maintenance</t>
        </is>
      </c>
      <c r="I1997" s="14" t="n">
        <v>2</v>
      </c>
      <c r="K1997" s="13" t="inlineStr">
        <is>
          <t>USN</t>
        </is>
      </c>
      <c r="L1997" s="7" t="inlineStr">
        <is>
          <t>Combatant Ships</t>
        </is>
      </c>
      <c r="M1997" s="7" t="inlineStr">
        <is>
          <t>Command Ships</t>
        </is>
      </c>
      <c r="N1997" s="7" t="inlineStr">
        <is>
          <t>LCC</t>
        </is>
      </c>
      <c r="O1997" s="15" t="n"/>
      <c r="S1997" s="16" t="n">
        <v>3292</v>
      </c>
      <c r="U1997" s="16" t="n">
        <v>3292</v>
      </c>
      <c r="AC1997" s="23">
        <f>IF(OR(E1997="",E1997="[PARENT]"),"ADD",IF(E1997="[ALT_VIEW]","ALT",""))</f>
        <v/>
      </c>
      <c r="AD1997" s="21">
        <f>IF(Y1997&lt;&gt;"",Y1997,IF(U1997&lt;&gt;"",U1997,S1997))</f>
        <v/>
      </c>
      <c r="AE1997" s="21">
        <f>IF(AB1997&lt;&gt;"",AB1997,Z1997)</f>
        <v/>
      </c>
      <c r="AF1997" s="13" t="inlineStr">
        <is>
          <t>BA1 &gt; 1B4B &gt; Table III CNO Availabilities</t>
        </is>
      </c>
      <c r="AG1997" s="7" t="inlineStr">
        <is>
          <t>160</t>
        </is>
      </c>
      <c r="AH1997" s="7" t="inlineStr">
        <is>
          <t>1B4B</t>
        </is>
      </c>
    </row>
    <row r="1998" ht="10" customHeight="1">
      <c r="A1998" s="7" t="inlineStr">
        <is>
          <t>OMN</t>
        </is>
      </c>
      <c r="B1998" s="7" t="inlineStr">
        <is>
          <t>O&amp;M</t>
        </is>
      </c>
      <c r="C1998" s="7" t="inlineStr">
        <is>
          <t>CVN 073</t>
        </is>
      </c>
      <c r="D1998" s="7" t="inlineStr">
        <is>
          <t>USS GEORGE WASHINGTON - SRA</t>
        </is>
      </c>
      <c r="E1998" s="13" t="inlineStr">
        <is>
          <t>[SUB]</t>
        </is>
      </c>
      <c r="F1998" s="7" t="inlineStr">
        <is>
          <t>Ship Maintenance</t>
        </is>
      </c>
      <c r="I1998" s="14" t="n">
        <v>2</v>
      </c>
      <c r="K1998" s="13" t="inlineStr">
        <is>
          <t>USN</t>
        </is>
      </c>
      <c r="L1998" s="7" t="inlineStr">
        <is>
          <t>Combatant Ships</t>
        </is>
      </c>
      <c r="M1998" s="7" t="inlineStr">
        <is>
          <t>Aircraft Carriers</t>
        </is>
      </c>
      <c r="N1998" s="7" t="inlineStr">
        <is>
          <t>CVN</t>
        </is>
      </c>
      <c r="O1998" s="15" t="n"/>
      <c r="S1998" s="16" t="n">
        <v>40103</v>
      </c>
      <c r="U1998" s="16" t="n">
        <v>40103</v>
      </c>
      <c r="AC1998" s="23">
        <f>IF(OR(E1998="",E1998="[PARENT]"),"ADD",IF(E1998="[ALT_VIEW]","ALT",""))</f>
        <v/>
      </c>
      <c r="AD1998" s="21">
        <f>IF(Y1998&lt;&gt;"",Y1998,IF(U1998&lt;&gt;"",U1998,S1998))</f>
        <v/>
      </c>
      <c r="AE1998" s="21">
        <f>IF(AB1998&lt;&gt;"",AB1998,Z1998)</f>
        <v/>
      </c>
      <c r="AF1998" s="13" t="inlineStr">
        <is>
          <t>BA1 &gt; 1B4B &gt; Table III CNO Availabilities</t>
        </is>
      </c>
      <c r="AG1998" s="7" t="inlineStr">
        <is>
          <t>160</t>
        </is>
      </c>
      <c r="AH1998" s="7" t="inlineStr">
        <is>
          <t>1B4B</t>
        </is>
      </c>
    </row>
    <row r="1999" ht="10" customHeight="1">
      <c r="A1999" s="7" t="inlineStr">
        <is>
          <t>OMN</t>
        </is>
      </c>
      <c r="B1999" s="7" t="inlineStr">
        <is>
          <t>O&amp;M</t>
        </is>
      </c>
      <c r="C1999" s="7" t="inlineStr">
        <is>
          <t>DDG 117</t>
        </is>
      </c>
      <c r="D1999" s="7" t="inlineStr">
        <is>
          <t>USS PAUL IGNATIUS - SRA</t>
        </is>
      </c>
      <c r="E1999" s="13" t="inlineStr">
        <is>
          <t>[SUB]</t>
        </is>
      </c>
      <c r="F1999" s="7" t="inlineStr">
        <is>
          <t>Ship Maintenance</t>
        </is>
      </c>
      <c r="I1999" s="14" t="n">
        <v>2</v>
      </c>
      <c r="K1999" s="13" t="inlineStr">
        <is>
          <t>USN</t>
        </is>
      </c>
      <c r="L1999" s="7" t="inlineStr">
        <is>
          <t>Combatant Ships</t>
        </is>
      </c>
      <c r="M1999" s="7" t="inlineStr">
        <is>
          <t>Surface Combatants</t>
        </is>
      </c>
      <c r="N1999" s="7" t="inlineStr">
        <is>
          <t>DDG</t>
        </is>
      </c>
      <c r="O1999" s="15" t="n"/>
      <c r="S1999" s="16" t="n">
        <v>24811</v>
      </c>
      <c r="U1999" s="16" t="n">
        <v>24811</v>
      </c>
      <c r="AC1999" s="23">
        <f>IF(OR(E1999="",E1999="[PARENT]"),"ADD",IF(E1999="[ALT_VIEW]","ALT",""))</f>
        <v/>
      </c>
      <c r="AD1999" s="21">
        <f>IF(Y1999&lt;&gt;"",Y1999,IF(U1999&lt;&gt;"",U1999,S1999))</f>
        <v/>
      </c>
      <c r="AE1999" s="21">
        <f>IF(AB1999&lt;&gt;"",AB1999,Z1999)</f>
        <v/>
      </c>
      <c r="AF1999" s="13" t="inlineStr">
        <is>
          <t>BA1 &gt; 1B4B &gt; Table III CNO Availabilities</t>
        </is>
      </c>
      <c r="AG1999" s="7" t="inlineStr">
        <is>
          <t>160</t>
        </is>
      </c>
      <c r="AH1999" s="7" t="inlineStr">
        <is>
          <t>1B4B</t>
        </is>
      </c>
    </row>
    <row r="2000" ht="10" customHeight="1">
      <c r="A2000" s="7" t="inlineStr">
        <is>
          <t>OMN</t>
        </is>
      </c>
      <c r="B2000" s="7" t="inlineStr">
        <is>
          <t>O&amp;M</t>
        </is>
      </c>
      <c r="C2000" s="7" t="inlineStr">
        <is>
          <t>DDG 105</t>
        </is>
      </c>
      <c r="D2000" s="7" t="inlineStr">
        <is>
          <t>USS DEWEY - SRA</t>
        </is>
      </c>
      <c r="E2000" s="13" t="inlineStr">
        <is>
          <t>[SUB]</t>
        </is>
      </c>
      <c r="F2000" s="7" t="inlineStr">
        <is>
          <t>Ship Maintenance</t>
        </is>
      </c>
      <c r="I2000" s="14" t="n">
        <v>2</v>
      </c>
      <c r="K2000" s="13" t="inlineStr">
        <is>
          <t>USN</t>
        </is>
      </c>
      <c r="L2000" s="7" t="inlineStr">
        <is>
          <t>Combatant Ships</t>
        </is>
      </c>
      <c r="M2000" s="7" t="inlineStr">
        <is>
          <t>Surface Combatants</t>
        </is>
      </c>
      <c r="N2000" s="7" t="inlineStr">
        <is>
          <t>DDG</t>
        </is>
      </c>
      <c r="O2000" s="15" t="n"/>
      <c r="S2000" s="16" t="n">
        <v>22440</v>
      </c>
      <c r="U2000" s="16" t="n">
        <v>22440</v>
      </c>
      <c r="AC2000" s="23">
        <f>IF(OR(E2000="",E2000="[PARENT]"),"ADD",IF(E2000="[ALT_VIEW]","ALT",""))</f>
        <v/>
      </c>
      <c r="AD2000" s="21">
        <f>IF(Y2000&lt;&gt;"",Y2000,IF(U2000&lt;&gt;"",U2000,S2000))</f>
        <v/>
      </c>
      <c r="AE2000" s="21">
        <f>IF(AB2000&lt;&gt;"",AB2000,Z2000)</f>
        <v/>
      </c>
      <c r="AF2000" s="13" t="inlineStr">
        <is>
          <t>BA1 &gt; 1B4B &gt; Table III CNO Availabilities</t>
        </is>
      </c>
      <c r="AG2000" s="7" t="inlineStr">
        <is>
          <t>160</t>
        </is>
      </c>
      <c r="AH2000" s="7" t="inlineStr">
        <is>
          <t>1B4B</t>
        </is>
      </c>
    </row>
    <row r="2001" ht="10" customHeight="1">
      <c r="A2001" s="7" t="inlineStr">
        <is>
          <t>OMN</t>
        </is>
      </c>
      <c r="B2001" s="7" t="inlineStr">
        <is>
          <t>O&amp;M</t>
        </is>
      </c>
      <c r="C2001" s="7" t="inlineStr">
        <is>
          <t>SSN 789</t>
        </is>
      </c>
      <c r="D2001" s="7" t="inlineStr">
        <is>
          <t>USS INDIANA - SRA</t>
        </is>
      </c>
      <c r="E2001" s="13" t="inlineStr">
        <is>
          <t>[SUB]</t>
        </is>
      </c>
      <c r="F2001" s="7" t="inlineStr">
        <is>
          <t>Ship Maintenance</t>
        </is>
      </c>
      <c r="I2001" s="14" t="n">
        <v>2</v>
      </c>
      <c r="K2001" s="13" t="inlineStr">
        <is>
          <t>USN</t>
        </is>
      </c>
      <c r="L2001" s="7" t="inlineStr">
        <is>
          <t>Combatant Ships</t>
        </is>
      </c>
      <c r="M2001" s="7" t="inlineStr">
        <is>
          <t>Submarines</t>
        </is>
      </c>
      <c r="N2001" s="7" t="inlineStr">
        <is>
          <t>SSN</t>
        </is>
      </c>
      <c r="O2001" s="15" t="n"/>
      <c r="S2001" s="16" t="n">
        <v>168040</v>
      </c>
      <c r="U2001" s="16" t="n">
        <v>168040</v>
      </c>
      <c r="AC2001" s="23">
        <f>IF(OR(E2001="",E2001="[PARENT]"),"ADD",IF(E2001="[ALT_VIEW]","ALT",""))</f>
        <v/>
      </c>
      <c r="AD2001" s="21">
        <f>IF(Y2001&lt;&gt;"",Y2001,IF(U2001&lt;&gt;"",U2001,S2001))</f>
        <v/>
      </c>
      <c r="AE2001" s="21">
        <f>IF(AB2001&lt;&gt;"",AB2001,Z2001)</f>
        <v/>
      </c>
      <c r="AF2001" s="13" t="inlineStr">
        <is>
          <t>BA1 &gt; 1B4B &gt; Table III CNO Availabilities</t>
        </is>
      </c>
      <c r="AG2001" s="7" t="inlineStr">
        <is>
          <t>160</t>
        </is>
      </c>
      <c r="AH2001" s="7" t="inlineStr">
        <is>
          <t>1B4B</t>
        </is>
      </c>
    </row>
    <row r="2002" ht="10" customHeight="1">
      <c r="A2002" s="7" t="inlineStr">
        <is>
          <t>OMN</t>
        </is>
      </c>
      <c r="B2002" s="7" t="inlineStr">
        <is>
          <t>O&amp;M</t>
        </is>
      </c>
      <c r="C2002" s="7" t="inlineStr">
        <is>
          <t>DDG 115</t>
        </is>
      </c>
      <c r="D2002" s="7" t="inlineStr">
        <is>
          <t>USS RAFAEL PERALTA - SIA</t>
        </is>
      </c>
      <c r="E2002" s="13" t="inlineStr">
        <is>
          <t>[SUB]</t>
        </is>
      </c>
      <c r="F2002" s="7" t="inlineStr">
        <is>
          <t>Ship Maintenance</t>
        </is>
      </c>
      <c r="I2002" s="14" t="n">
        <v>2</v>
      </c>
      <c r="K2002" s="13" t="inlineStr">
        <is>
          <t>USN</t>
        </is>
      </c>
      <c r="L2002" s="7" t="inlineStr">
        <is>
          <t>Combatant Ships</t>
        </is>
      </c>
      <c r="M2002" s="7" t="inlineStr">
        <is>
          <t>Surface Combatants</t>
        </is>
      </c>
      <c r="N2002" s="7" t="inlineStr">
        <is>
          <t>DDG</t>
        </is>
      </c>
      <c r="O2002" s="15" t="n"/>
      <c r="S2002" s="16" t="n">
        <v>3699</v>
      </c>
      <c r="U2002" s="16" t="n">
        <v>3699</v>
      </c>
      <c r="AC2002" s="23">
        <f>IF(OR(E2002="",E2002="[PARENT]"),"ADD",IF(E2002="[ALT_VIEW]","ALT",""))</f>
        <v/>
      </c>
      <c r="AD2002" s="21">
        <f>IF(Y2002&lt;&gt;"",Y2002,IF(U2002&lt;&gt;"",U2002,S2002))</f>
        <v/>
      </c>
      <c r="AE2002" s="21">
        <f>IF(AB2002&lt;&gt;"",AB2002,Z2002)</f>
        <v/>
      </c>
      <c r="AF2002" s="13" t="inlineStr">
        <is>
          <t>BA1 &gt; 1B4B &gt; Table III CNO Availabilities</t>
        </is>
      </c>
      <c r="AG2002" s="7" t="inlineStr">
        <is>
          <t>160</t>
        </is>
      </c>
      <c r="AH2002" s="7" t="inlineStr">
        <is>
          <t>1B4B</t>
        </is>
      </c>
    </row>
    <row r="2003" ht="10" customHeight="1">
      <c r="A2003" s="7" t="inlineStr">
        <is>
          <t>OMN</t>
        </is>
      </c>
      <c r="B2003" s="7" t="inlineStr">
        <is>
          <t>O&amp;M</t>
        </is>
      </c>
      <c r="C2003" s="7" t="inlineStr">
        <is>
          <t>CVN 079</t>
        </is>
      </c>
      <c r="D2003" s="7" t="inlineStr">
        <is>
          <t>USS JOHN F KENNEDY - SRA</t>
        </is>
      </c>
      <c r="E2003" s="13" t="inlineStr">
        <is>
          <t>[SUB]</t>
        </is>
      </c>
      <c r="F2003" s="7" t="inlineStr">
        <is>
          <t>Ship Maintenance</t>
        </is>
      </c>
      <c r="I2003" s="14" t="n">
        <v>2</v>
      </c>
      <c r="K2003" s="13" t="inlineStr">
        <is>
          <t>USN</t>
        </is>
      </c>
      <c r="L2003" s="7" t="inlineStr">
        <is>
          <t>Combatant Ships</t>
        </is>
      </c>
      <c r="M2003" s="7" t="inlineStr">
        <is>
          <t>Aircraft Carriers</t>
        </is>
      </c>
      <c r="N2003" s="7" t="inlineStr">
        <is>
          <t>CVN</t>
        </is>
      </c>
      <c r="O2003" s="15" t="n"/>
      <c r="S2003" s="16" t="n">
        <v>18102</v>
      </c>
      <c r="U2003" s="16" t="n">
        <v>18102</v>
      </c>
      <c r="AC2003" s="23">
        <f>IF(OR(E2003="",E2003="[PARENT]"),"ADD",IF(E2003="[ALT_VIEW]","ALT",""))</f>
        <v/>
      </c>
      <c r="AD2003" s="21">
        <f>IF(Y2003&lt;&gt;"",Y2003,IF(U2003&lt;&gt;"",U2003,S2003))</f>
        <v/>
      </c>
      <c r="AE2003" s="21">
        <f>IF(AB2003&lt;&gt;"",AB2003,Z2003)</f>
        <v/>
      </c>
      <c r="AF2003" s="13" t="inlineStr">
        <is>
          <t>BA1 &gt; 1B4B &gt; Table III CNO Availabilities</t>
        </is>
      </c>
      <c r="AG2003" s="7" t="inlineStr">
        <is>
          <t>160</t>
        </is>
      </c>
      <c r="AH2003" s="7" t="inlineStr">
        <is>
          <t>1B4B</t>
        </is>
      </c>
    </row>
    <row r="2004" ht="10" customHeight="1">
      <c r="A2004" s="7" t="inlineStr">
        <is>
          <t>OMN</t>
        </is>
      </c>
      <c r="B2004" s="7" t="inlineStr">
        <is>
          <t>O&amp;M</t>
        </is>
      </c>
      <c r="C2004" s="7" t="inlineStr">
        <is>
          <t>LPD 022</t>
        </is>
      </c>
      <c r="D2004" s="7" t="inlineStr">
        <is>
          <t>USS SAN DIEGO - SRA</t>
        </is>
      </c>
      <c r="E2004" s="13" t="inlineStr">
        <is>
          <t>[SUB]</t>
        </is>
      </c>
      <c r="F2004" s="7" t="inlineStr">
        <is>
          <t>Ship Maintenance</t>
        </is>
      </c>
      <c r="I2004" s="14" t="n">
        <v>2</v>
      </c>
      <c r="K2004" s="13" t="inlineStr">
        <is>
          <t>USN</t>
        </is>
      </c>
      <c r="L2004" s="7" t="inlineStr">
        <is>
          <t>Combatant Ships</t>
        </is>
      </c>
      <c r="M2004" s="7" t="inlineStr">
        <is>
          <t>Amphibious Warfare Ships</t>
        </is>
      </c>
      <c r="N2004" s="7" t="inlineStr">
        <is>
          <t>LPD</t>
        </is>
      </c>
      <c r="O2004" s="15" t="n"/>
      <c r="S2004" s="16" t="n">
        <v>29116</v>
      </c>
      <c r="U2004" s="16" t="n">
        <v>29116</v>
      </c>
      <c r="AC2004" s="23">
        <f>IF(OR(E2004="",E2004="[PARENT]"),"ADD",IF(E2004="[ALT_VIEW]","ALT",""))</f>
        <v/>
      </c>
      <c r="AD2004" s="21">
        <f>IF(Y2004&lt;&gt;"",Y2004,IF(U2004&lt;&gt;"",U2004,S2004))</f>
        <v/>
      </c>
      <c r="AE2004" s="21">
        <f>IF(AB2004&lt;&gt;"",AB2004,Z2004)</f>
        <v/>
      </c>
      <c r="AF2004" s="13" t="inlineStr">
        <is>
          <t>BA1 &gt; 1B4B &gt; Table III CNO Availabilities</t>
        </is>
      </c>
      <c r="AG2004" s="7" t="inlineStr">
        <is>
          <t>160</t>
        </is>
      </c>
      <c r="AH2004" s="7" t="inlineStr">
        <is>
          <t>1B4B</t>
        </is>
      </c>
    </row>
    <row r="2005" ht="10" customHeight="1">
      <c r="A2005" s="7" t="inlineStr">
        <is>
          <t>OMN</t>
        </is>
      </c>
      <c r="B2005" s="7" t="inlineStr">
        <is>
          <t>O&amp;M</t>
        </is>
      </c>
      <c r="C2005" s="7" t="inlineStr">
        <is>
          <t>SSN 021</t>
        </is>
      </c>
      <c r="D2005" s="7" t="inlineStr">
        <is>
          <t>USS SEAWOLF - SRA</t>
        </is>
      </c>
      <c r="E2005" s="13" t="inlineStr">
        <is>
          <t>[SUB]</t>
        </is>
      </c>
      <c r="F2005" s="7" t="inlineStr">
        <is>
          <t>Ship Maintenance</t>
        </is>
      </c>
      <c r="I2005" s="14" t="n">
        <v>2</v>
      </c>
      <c r="K2005" s="13" t="inlineStr">
        <is>
          <t>USN</t>
        </is>
      </c>
      <c r="L2005" s="7" t="inlineStr">
        <is>
          <t>Combatant Ships</t>
        </is>
      </c>
      <c r="M2005" s="7" t="inlineStr">
        <is>
          <t>Submarines</t>
        </is>
      </c>
      <c r="N2005" s="7" t="inlineStr">
        <is>
          <t>SSN</t>
        </is>
      </c>
      <c r="O2005" s="15" t="n"/>
      <c r="S2005" s="16" t="n">
        <v>133439</v>
      </c>
      <c r="U2005" s="16" t="n">
        <v>133439</v>
      </c>
      <c r="AC2005" s="23">
        <f>IF(OR(E2005="",E2005="[PARENT]"),"ADD",IF(E2005="[ALT_VIEW]","ALT",""))</f>
        <v/>
      </c>
      <c r="AD2005" s="21">
        <f>IF(Y2005&lt;&gt;"",Y2005,IF(U2005&lt;&gt;"",U2005,S2005))</f>
        <v/>
      </c>
      <c r="AE2005" s="21">
        <f>IF(AB2005&lt;&gt;"",AB2005,Z2005)</f>
        <v/>
      </c>
      <c r="AF2005" s="13" t="inlineStr">
        <is>
          <t>BA1 &gt; 1B4B &gt; Table III CNO Availabilities</t>
        </is>
      </c>
      <c r="AG2005" s="7" t="inlineStr">
        <is>
          <t>160</t>
        </is>
      </c>
      <c r="AH2005" s="7" t="inlineStr">
        <is>
          <t>1B4B</t>
        </is>
      </c>
    </row>
    <row r="2006" ht="10" customHeight="1">
      <c r="A2006" s="7" t="inlineStr">
        <is>
          <t>OMN</t>
        </is>
      </c>
      <c r="B2006" s="7" t="inlineStr">
        <is>
          <t>O&amp;M</t>
        </is>
      </c>
      <c r="C2006" s="7" t="inlineStr">
        <is>
          <t>DDG 069</t>
        </is>
      </c>
      <c r="D2006" s="7" t="inlineStr">
        <is>
          <t>USS MILIUS - SIA</t>
        </is>
      </c>
      <c r="E2006" s="13" t="inlineStr">
        <is>
          <t>[SUB]</t>
        </is>
      </c>
      <c r="F2006" s="7" t="inlineStr">
        <is>
          <t>Ship Maintenance</t>
        </is>
      </c>
      <c r="I2006" s="14" t="n">
        <v>2</v>
      </c>
      <c r="K2006" s="13" t="inlineStr">
        <is>
          <t>USN</t>
        </is>
      </c>
      <c r="L2006" s="7" t="inlineStr">
        <is>
          <t>Combatant Ships</t>
        </is>
      </c>
      <c r="M2006" s="7" t="inlineStr">
        <is>
          <t>Surface Combatants</t>
        </is>
      </c>
      <c r="N2006" s="7" t="inlineStr">
        <is>
          <t>DDG</t>
        </is>
      </c>
      <c r="O2006" s="15" t="n"/>
      <c r="S2006" s="16" t="n">
        <v>4494</v>
      </c>
      <c r="U2006" s="16" t="n">
        <v>4494</v>
      </c>
      <c r="AC2006" s="23">
        <f>IF(OR(E2006="",E2006="[PARENT]"),"ADD",IF(E2006="[ALT_VIEW]","ALT",""))</f>
        <v/>
      </c>
      <c r="AD2006" s="21">
        <f>IF(Y2006&lt;&gt;"",Y2006,IF(U2006&lt;&gt;"",U2006,S2006))</f>
        <v/>
      </c>
      <c r="AE2006" s="21">
        <f>IF(AB2006&lt;&gt;"",AB2006,Z2006)</f>
        <v/>
      </c>
      <c r="AF2006" s="13" t="inlineStr">
        <is>
          <t>BA1 &gt; 1B4B &gt; Table III CNO Availabilities</t>
        </is>
      </c>
      <c r="AG2006" s="7" t="inlineStr">
        <is>
          <t>160</t>
        </is>
      </c>
      <c r="AH2006" s="7" t="inlineStr">
        <is>
          <t>1B4B</t>
        </is>
      </c>
    </row>
    <row r="2007" ht="10" customHeight="1">
      <c r="A2007" s="7" t="inlineStr">
        <is>
          <t>OMN</t>
        </is>
      </c>
      <c r="B2007" s="7" t="inlineStr">
        <is>
          <t>O&amp;M</t>
        </is>
      </c>
      <c r="C2007" s="7" t="inlineStr">
        <is>
          <t>DDG 084</t>
        </is>
      </c>
      <c r="D2007" s="7" t="inlineStr">
        <is>
          <t>USS BULKELEY - SIA</t>
        </is>
      </c>
      <c r="E2007" s="13" t="inlineStr">
        <is>
          <t>[SUB]</t>
        </is>
      </c>
      <c r="F2007" s="7" t="inlineStr">
        <is>
          <t>Ship Maintenance</t>
        </is>
      </c>
      <c r="I2007" s="14" t="n">
        <v>2</v>
      </c>
      <c r="K2007" s="13" t="inlineStr">
        <is>
          <t>USN</t>
        </is>
      </c>
      <c r="L2007" s="7" t="inlineStr">
        <is>
          <t>Combatant Ships</t>
        </is>
      </c>
      <c r="M2007" s="7" t="inlineStr">
        <is>
          <t>Surface Combatants</t>
        </is>
      </c>
      <c r="N2007" s="7" t="inlineStr">
        <is>
          <t>DDG</t>
        </is>
      </c>
      <c r="O2007" s="15" t="n"/>
      <c r="S2007" s="16" t="n">
        <v>24810</v>
      </c>
      <c r="U2007" s="16" t="n">
        <v>24810</v>
      </c>
      <c r="AC2007" s="23">
        <f>IF(OR(E2007="",E2007="[PARENT]"),"ADD",IF(E2007="[ALT_VIEW]","ALT",""))</f>
        <v/>
      </c>
      <c r="AD2007" s="21">
        <f>IF(Y2007&lt;&gt;"",Y2007,IF(U2007&lt;&gt;"",U2007,S2007))</f>
        <v/>
      </c>
      <c r="AE2007" s="21">
        <f>IF(AB2007&lt;&gt;"",AB2007,Z2007)</f>
        <v/>
      </c>
      <c r="AF2007" s="13" t="inlineStr">
        <is>
          <t>BA1 &gt; 1B4B &gt; Table III CNO Availabilities</t>
        </is>
      </c>
      <c r="AG2007" s="7" t="inlineStr">
        <is>
          <t>160</t>
        </is>
      </c>
      <c r="AH2007" s="7" t="inlineStr">
        <is>
          <t>1B4B</t>
        </is>
      </c>
    </row>
    <row r="2008" ht="10" customHeight="1">
      <c r="A2008" s="7" t="inlineStr">
        <is>
          <t>OMN</t>
        </is>
      </c>
      <c r="B2008" s="7" t="inlineStr">
        <is>
          <t>O&amp;M</t>
        </is>
      </c>
      <c r="C2008" s="7" t="inlineStr">
        <is>
          <t>DDG 086</t>
        </is>
      </c>
      <c r="D2008" s="7" t="inlineStr">
        <is>
          <t>USS SHOUP - SIA</t>
        </is>
      </c>
      <c r="E2008" s="13" t="inlineStr">
        <is>
          <t>[SUB]</t>
        </is>
      </c>
      <c r="F2008" s="7" t="inlineStr">
        <is>
          <t>Ship Maintenance</t>
        </is>
      </c>
      <c r="I2008" s="14" t="n">
        <v>2</v>
      </c>
      <c r="K2008" s="13" t="inlineStr">
        <is>
          <t>USN</t>
        </is>
      </c>
      <c r="L2008" s="7" t="inlineStr">
        <is>
          <t>Combatant Ships</t>
        </is>
      </c>
      <c r="M2008" s="7" t="inlineStr">
        <is>
          <t>Surface Combatants</t>
        </is>
      </c>
      <c r="N2008" s="7" t="inlineStr">
        <is>
          <t>DDG</t>
        </is>
      </c>
      <c r="O2008" s="15" t="n"/>
      <c r="S2008" s="16" t="n">
        <v>4491</v>
      </c>
      <c r="U2008" s="16" t="n">
        <v>4491</v>
      </c>
      <c r="AC2008" s="23">
        <f>IF(OR(E2008="",E2008="[PARENT]"),"ADD",IF(E2008="[ALT_VIEW]","ALT",""))</f>
        <v/>
      </c>
      <c r="AD2008" s="21">
        <f>IF(Y2008&lt;&gt;"",Y2008,IF(U2008&lt;&gt;"",U2008,S2008))</f>
        <v/>
      </c>
      <c r="AE2008" s="21">
        <f>IF(AB2008&lt;&gt;"",AB2008,Z2008)</f>
        <v/>
      </c>
      <c r="AF2008" s="13" t="inlineStr">
        <is>
          <t>BA1 &gt; 1B4B &gt; Table III CNO Availabilities</t>
        </is>
      </c>
      <c r="AG2008" s="7" t="inlineStr">
        <is>
          <t>160</t>
        </is>
      </c>
      <c r="AH2008" s="7" t="inlineStr">
        <is>
          <t>1B4B</t>
        </is>
      </c>
    </row>
    <row r="2009" ht="10" customHeight="1">
      <c r="A2009" s="7" t="inlineStr">
        <is>
          <t>OMN</t>
        </is>
      </c>
      <c r="B2009" s="7" t="inlineStr">
        <is>
          <t>O&amp;M</t>
        </is>
      </c>
      <c r="C2009" s="7" t="inlineStr">
        <is>
          <t>CVN 078</t>
        </is>
      </c>
      <c r="D2009" s="7" t="inlineStr">
        <is>
          <t>USS GERALD R FORD (PIA) - PIA</t>
        </is>
      </c>
      <c r="E2009" s="13" t="inlineStr">
        <is>
          <t>[SUB]</t>
        </is>
      </c>
      <c r="F2009" s="7" t="inlineStr">
        <is>
          <t>Ship Maintenance</t>
        </is>
      </c>
      <c r="I2009" s="14" t="n">
        <v>2</v>
      </c>
      <c r="K2009" s="13" t="inlineStr">
        <is>
          <t>USN</t>
        </is>
      </c>
      <c r="L2009" s="7" t="inlineStr">
        <is>
          <t>Combatant Ships</t>
        </is>
      </c>
      <c r="M2009" s="7" t="inlineStr">
        <is>
          <t>Aircraft Carriers</t>
        </is>
      </c>
      <c r="N2009" s="7" t="inlineStr">
        <is>
          <t>CVN</t>
        </is>
      </c>
      <c r="O2009" s="15" t="n"/>
      <c r="S2009" s="16" t="n">
        <v>141539</v>
      </c>
      <c r="U2009" s="16" t="n">
        <v>141539</v>
      </c>
      <c r="AC2009" s="23">
        <f>IF(OR(E2009="",E2009="[PARENT]"),"ADD",IF(E2009="[ALT_VIEW]","ALT",""))</f>
        <v/>
      </c>
      <c r="AD2009" s="21">
        <f>IF(Y2009&lt;&gt;"",Y2009,IF(U2009&lt;&gt;"",U2009,S2009))</f>
        <v/>
      </c>
      <c r="AE2009" s="21">
        <f>IF(AB2009&lt;&gt;"",AB2009,Z2009)</f>
        <v/>
      </c>
      <c r="AF2009" s="13" t="inlineStr">
        <is>
          <t>BA1 &gt; 1B4B &gt; Table III CNO Availabilities</t>
        </is>
      </c>
      <c r="AG2009" s="7" t="inlineStr">
        <is>
          <t>161</t>
        </is>
      </c>
      <c r="AH2009" s="7" t="inlineStr">
        <is>
          <t>1B4B</t>
        </is>
      </c>
    </row>
    <row r="2010" ht="10" customHeight="1">
      <c r="A2010" s="7" t="inlineStr">
        <is>
          <t>OMN</t>
        </is>
      </c>
      <c r="B2010" s="7" t="inlineStr">
        <is>
          <t>O&amp;M</t>
        </is>
      </c>
      <c r="C2010" s="7" t="inlineStr">
        <is>
          <t>SSN 776</t>
        </is>
      </c>
      <c r="D2010" s="7" t="inlineStr">
        <is>
          <t>USS HAWAII - CMAV</t>
        </is>
      </c>
      <c r="E2010" s="13" t="inlineStr">
        <is>
          <t>[SUB]</t>
        </is>
      </c>
      <c r="F2010" s="7" t="inlineStr">
        <is>
          <t>Ship Maintenance</t>
        </is>
      </c>
      <c r="I2010" s="14" t="n">
        <v>3</v>
      </c>
      <c r="K2010" s="13" t="inlineStr">
        <is>
          <t>USN</t>
        </is>
      </c>
      <c r="L2010" s="7" t="inlineStr">
        <is>
          <t>Combatant Ships</t>
        </is>
      </c>
      <c r="M2010" s="7" t="inlineStr">
        <is>
          <t>Submarines</t>
        </is>
      </c>
      <c r="N2010" s="7" t="inlineStr">
        <is>
          <t>SSN</t>
        </is>
      </c>
      <c r="O2010" s="15" t="n"/>
      <c r="S2010" s="16" t="n">
        <v>19975</v>
      </c>
      <c r="U2010" s="16" t="n">
        <v>19975</v>
      </c>
      <c r="AC2010" s="23">
        <f>IF(OR(E2010="",E2010="[PARENT]"),"ADD",IF(E2010="[ALT_VIEW]","ALT",""))</f>
        <v/>
      </c>
      <c r="AD2010" s="21">
        <f>IF(Y2010&lt;&gt;"",Y2010,IF(U2010&lt;&gt;"",U2010,S2010))</f>
        <v/>
      </c>
      <c r="AE2010" s="21">
        <f>IF(AB2010&lt;&gt;"",AB2010,Z2010)</f>
        <v/>
      </c>
      <c r="AF2010" s="13" t="inlineStr">
        <is>
          <t>BA1 &gt; 1B4B &gt; Table III CNO Availabilities</t>
        </is>
      </c>
      <c r="AG2010" s="7" t="inlineStr">
        <is>
          <t>161</t>
        </is>
      </c>
      <c r="AH2010" s="7" t="inlineStr">
        <is>
          <t>1B4B</t>
        </is>
      </c>
    </row>
    <row r="2011" ht="10" customHeight="1">
      <c r="A2011" s="7" t="inlineStr">
        <is>
          <t>OMN</t>
        </is>
      </c>
      <c r="B2011" s="7" t="inlineStr">
        <is>
          <t>O&amp;M</t>
        </is>
      </c>
      <c r="C2011" s="7" t="inlineStr">
        <is>
          <t>DDG 076</t>
        </is>
      </c>
      <c r="D2011" s="7" t="inlineStr">
        <is>
          <t>USS HIGGINS - SRA</t>
        </is>
      </c>
      <c r="E2011" s="13" t="inlineStr">
        <is>
          <t>[SUB]</t>
        </is>
      </c>
      <c r="F2011" s="7" t="inlineStr">
        <is>
          <t>Ship Maintenance</t>
        </is>
      </c>
      <c r="I2011" s="14" t="n">
        <v>2</v>
      </c>
      <c r="K2011" s="13" t="inlineStr">
        <is>
          <t>USN</t>
        </is>
      </c>
      <c r="L2011" s="7" t="inlineStr">
        <is>
          <t>Combatant Ships</t>
        </is>
      </c>
      <c r="M2011" s="7" t="inlineStr">
        <is>
          <t>Surface Combatants</t>
        </is>
      </c>
      <c r="N2011" s="7" t="inlineStr">
        <is>
          <t>DDG</t>
        </is>
      </c>
      <c r="O2011" s="15" t="n"/>
      <c r="S2011" s="16" t="n">
        <v>22013</v>
      </c>
      <c r="U2011" s="16" t="n">
        <v>22013</v>
      </c>
      <c r="AC2011" s="23">
        <f>IF(OR(E2011="",E2011="[PARENT]"),"ADD",IF(E2011="[ALT_VIEW]","ALT",""))</f>
        <v/>
      </c>
      <c r="AD2011" s="21">
        <f>IF(Y2011&lt;&gt;"",Y2011,IF(U2011&lt;&gt;"",U2011,S2011))</f>
        <v/>
      </c>
      <c r="AE2011" s="21">
        <f>IF(AB2011&lt;&gt;"",AB2011,Z2011)</f>
        <v/>
      </c>
      <c r="AF2011" s="13" t="inlineStr">
        <is>
          <t>BA1 &gt; 1B4B &gt; Table III CNO Availabilities</t>
        </is>
      </c>
      <c r="AG2011" s="7" t="inlineStr">
        <is>
          <t>161</t>
        </is>
      </c>
      <c r="AH2011" s="7" t="inlineStr">
        <is>
          <t>1B4B</t>
        </is>
      </c>
    </row>
    <row r="2012" ht="10" customHeight="1">
      <c r="A2012" s="7" t="inlineStr">
        <is>
          <t>OMN</t>
        </is>
      </c>
      <c r="B2012" s="7" t="inlineStr">
        <is>
          <t>O&amp;M</t>
        </is>
      </c>
      <c r="C2012" s="7" t="inlineStr">
        <is>
          <t>DDG 085</t>
        </is>
      </c>
      <c r="D2012" s="7" t="inlineStr">
        <is>
          <t>USS MCCAMPBELL - SIA</t>
        </is>
      </c>
      <c r="E2012" s="13" t="inlineStr">
        <is>
          <t>[SUB]</t>
        </is>
      </c>
      <c r="F2012" s="7" t="inlineStr">
        <is>
          <t>Ship Maintenance</t>
        </is>
      </c>
      <c r="I2012" s="14" t="n">
        <v>2</v>
      </c>
      <c r="K2012" s="13" t="inlineStr">
        <is>
          <t>USN</t>
        </is>
      </c>
      <c r="L2012" s="7" t="inlineStr">
        <is>
          <t>Combatant Ships</t>
        </is>
      </c>
      <c r="M2012" s="7" t="inlineStr">
        <is>
          <t>Surface Combatants</t>
        </is>
      </c>
      <c r="N2012" s="7" t="inlineStr">
        <is>
          <t>DDG</t>
        </is>
      </c>
      <c r="O2012" s="15" t="n"/>
      <c r="S2012" s="16" t="n">
        <v>4494</v>
      </c>
      <c r="U2012" s="16" t="n">
        <v>4494</v>
      </c>
      <c r="AC2012" s="23">
        <f>IF(OR(E2012="",E2012="[PARENT]"),"ADD",IF(E2012="[ALT_VIEW]","ALT",""))</f>
        <v/>
      </c>
      <c r="AD2012" s="21">
        <f>IF(Y2012&lt;&gt;"",Y2012,IF(U2012&lt;&gt;"",U2012,S2012))</f>
        <v/>
      </c>
      <c r="AE2012" s="21">
        <f>IF(AB2012&lt;&gt;"",AB2012,Z2012)</f>
        <v/>
      </c>
      <c r="AF2012" s="13" t="inlineStr">
        <is>
          <t>BA1 &gt; 1B4B &gt; Table III CNO Availabilities</t>
        </is>
      </c>
      <c r="AG2012" s="7" t="inlineStr">
        <is>
          <t>160</t>
        </is>
      </c>
      <c r="AH2012" s="7" t="inlineStr">
        <is>
          <t>1B4B</t>
        </is>
      </c>
    </row>
    <row r="2013" ht="10" customHeight="1">
      <c r="A2013" s="7" t="inlineStr">
        <is>
          <t>OMN</t>
        </is>
      </c>
      <c r="B2013" s="7" t="inlineStr">
        <is>
          <t>O&amp;M</t>
        </is>
      </c>
      <c r="C2013" s="7" t="inlineStr">
        <is>
          <t>CVN 072</t>
        </is>
      </c>
      <c r="D2013" s="7" t="inlineStr">
        <is>
          <t>USS ABRAHAM LINCOLN - PIA</t>
        </is>
      </c>
      <c r="E2013" s="13" t="inlineStr">
        <is>
          <t>[SUB]</t>
        </is>
      </c>
      <c r="F2013" s="7" t="inlineStr">
        <is>
          <t>Ship Maintenance</t>
        </is>
      </c>
      <c r="I2013" s="14" t="n">
        <v>2</v>
      </c>
      <c r="K2013" s="13" t="inlineStr">
        <is>
          <t>USN</t>
        </is>
      </c>
      <c r="L2013" s="7" t="inlineStr">
        <is>
          <t>Combatant Ships</t>
        </is>
      </c>
      <c r="M2013" s="7" t="inlineStr">
        <is>
          <t>Aircraft Carriers</t>
        </is>
      </c>
      <c r="N2013" s="7" t="inlineStr">
        <is>
          <t>CVN</t>
        </is>
      </c>
      <c r="O2013" s="15" t="n"/>
      <c r="S2013" s="16" t="n">
        <v>192591</v>
      </c>
      <c r="U2013" s="16" t="n">
        <v>192591</v>
      </c>
      <c r="AC2013" s="23">
        <f>IF(OR(E2013="",E2013="[PARENT]"),"ADD",IF(E2013="[ALT_VIEW]","ALT",""))</f>
        <v/>
      </c>
      <c r="AD2013" s="21">
        <f>IF(Y2013&lt;&gt;"",Y2013,IF(U2013&lt;&gt;"",U2013,S2013))</f>
        <v/>
      </c>
      <c r="AE2013" s="21">
        <f>IF(AB2013&lt;&gt;"",AB2013,Z2013)</f>
        <v/>
      </c>
      <c r="AF2013" s="13" t="inlineStr">
        <is>
          <t>BA1 &gt; 1B4B &gt; Table III CNO Availabilities</t>
        </is>
      </c>
      <c r="AG2013" s="7" t="inlineStr">
        <is>
          <t>161</t>
        </is>
      </c>
      <c r="AH2013" s="7" t="inlineStr">
        <is>
          <t>1B4B</t>
        </is>
      </c>
    </row>
    <row r="2014" ht="10" customHeight="1">
      <c r="A2014" s="7" t="inlineStr">
        <is>
          <t>OMN</t>
        </is>
      </c>
      <c r="B2014" s="7" t="inlineStr">
        <is>
          <t>O&amp;M</t>
        </is>
      </c>
      <c r="C2014" s="7" t="inlineStr">
        <is>
          <t>SSN 780</t>
        </is>
      </c>
      <c r="D2014" s="7" t="inlineStr">
        <is>
          <t>USS MISSOURI - OH</t>
        </is>
      </c>
      <c r="E2014" s="13" t="inlineStr">
        <is>
          <t>[SUB]</t>
        </is>
      </c>
      <c r="F2014" s="7" t="inlineStr">
        <is>
          <t>Ship Maintenance</t>
        </is>
      </c>
      <c r="I2014" s="14" t="n">
        <v>2</v>
      </c>
      <c r="K2014" s="13" t="inlineStr">
        <is>
          <t>USN</t>
        </is>
      </c>
      <c r="L2014" s="7" t="inlineStr">
        <is>
          <t>Combatant Ships</t>
        </is>
      </c>
      <c r="M2014" s="7" t="inlineStr">
        <is>
          <t>Submarines</t>
        </is>
      </c>
      <c r="N2014" s="7" t="inlineStr">
        <is>
          <t>SSN</t>
        </is>
      </c>
      <c r="O2014" s="15" t="n"/>
      <c r="S2014" s="16" t="n">
        <v>104357</v>
      </c>
      <c r="U2014" s="16" t="n">
        <v>104357</v>
      </c>
      <c r="AC2014" s="23">
        <f>IF(OR(E2014="",E2014="[PARENT]"),"ADD",IF(E2014="[ALT_VIEW]","ALT",""))</f>
        <v/>
      </c>
      <c r="AD2014" s="21">
        <f>IF(Y2014&lt;&gt;"",Y2014,IF(U2014&lt;&gt;"",U2014,S2014))</f>
        <v/>
      </c>
      <c r="AE2014" s="21">
        <f>IF(AB2014&lt;&gt;"",AB2014,Z2014)</f>
        <v/>
      </c>
      <c r="AF2014" s="13" t="inlineStr">
        <is>
          <t>BA1 &gt; 1B4B &gt; Table III CNO Availabilities</t>
        </is>
      </c>
      <c r="AG2014" s="7" t="inlineStr">
        <is>
          <t>161</t>
        </is>
      </c>
      <c r="AH2014" s="7" t="inlineStr">
        <is>
          <t>1B4B</t>
        </is>
      </c>
    </row>
    <row r="2015" ht="10" customHeight="1">
      <c r="A2015" s="7" t="inlineStr">
        <is>
          <t>OMN</t>
        </is>
      </c>
      <c r="B2015" s="7" t="inlineStr">
        <is>
          <t>O&amp;M</t>
        </is>
      </c>
      <c r="C2015" s="7" t="inlineStr">
        <is>
          <t>DDG 051</t>
        </is>
      </c>
      <c r="D2015" s="7" t="inlineStr">
        <is>
          <t>USS ARLEIGH BURKE - SIA</t>
        </is>
      </c>
      <c r="E2015" s="13" t="inlineStr">
        <is>
          <t>[SUB]</t>
        </is>
      </c>
      <c r="F2015" s="7" t="inlineStr">
        <is>
          <t>Ship Maintenance</t>
        </is>
      </c>
      <c r="I2015" s="14" t="n">
        <v>2</v>
      </c>
      <c r="K2015" s="13" t="inlineStr">
        <is>
          <t>USN</t>
        </is>
      </c>
      <c r="L2015" s="7" t="inlineStr">
        <is>
          <t>Combatant Ships</t>
        </is>
      </c>
      <c r="M2015" s="7" t="inlineStr">
        <is>
          <t>Surface Combatants</t>
        </is>
      </c>
      <c r="N2015" s="7" t="inlineStr">
        <is>
          <t>DDG</t>
        </is>
      </c>
      <c r="O2015" s="15" t="n"/>
      <c r="S2015" s="16" t="n">
        <v>24810</v>
      </c>
      <c r="U2015" s="16" t="n">
        <v>24810</v>
      </c>
      <c r="AC2015" s="23">
        <f>IF(OR(E2015="",E2015="[PARENT]"),"ADD",IF(E2015="[ALT_VIEW]","ALT",""))</f>
        <v/>
      </c>
      <c r="AD2015" s="21">
        <f>IF(Y2015&lt;&gt;"",Y2015,IF(U2015&lt;&gt;"",U2015,S2015))</f>
        <v/>
      </c>
      <c r="AE2015" s="21">
        <f>IF(AB2015&lt;&gt;"",AB2015,Z2015)</f>
        <v/>
      </c>
      <c r="AF2015" s="13" t="inlineStr">
        <is>
          <t>BA1 &gt; 1B4B &gt; Table III CNO Availabilities</t>
        </is>
      </c>
      <c r="AG2015" s="7" t="inlineStr">
        <is>
          <t>160</t>
        </is>
      </c>
      <c r="AH2015" s="7" t="inlineStr">
        <is>
          <t>1B4B</t>
        </is>
      </c>
    </row>
    <row r="2016" ht="10" customHeight="1">
      <c r="A2016" s="7" t="inlineStr">
        <is>
          <t>OMN</t>
        </is>
      </c>
      <c r="B2016" s="7" t="inlineStr">
        <is>
          <t>O&amp;M</t>
        </is>
      </c>
      <c r="C2016" s="7" t="inlineStr">
        <is>
          <t>SSN 759</t>
        </is>
      </c>
      <c r="D2016" s="7" t="inlineStr">
        <is>
          <t>USS JEFFERSON CITY - SRA</t>
        </is>
      </c>
      <c r="E2016" s="13" t="inlineStr">
        <is>
          <t>[SUB]</t>
        </is>
      </c>
      <c r="F2016" s="7" t="inlineStr">
        <is>
          <t>Ship Maintenance</t>
        </is>
      </c>
      <c r="I2016" s="14" t="n">
        <v>2</v>
      </c>
      <c r="K2016" s="13" t="inlineStr">
        <is>
          <t>USN</t>
        </is>
      </c>
      <c r="L2016" s="7" t="inlineStr">
        <is>
          <t>Combatant Ships</t>
        </is>
      </c>
      <c r="M2016" s="7" t="inlineStr">
        <is>
          <t>Submarines</t>
        </is>
      </c>
      <c r="N2016" s="7" t="inlineStr">
        <is>
          <t>SSN</t>
        </is>
      </c>
      <c r="O2016" s="15" t="n"/>
      <c r="S2016" s="16" t="n">
        <v>85595</v>
      </c>
      <c r="U2016" s="16" t="n">
        <v>85595</v>
      </c>
      <c r="AC2016" s="23">
        <f>IF(OR(E2016="",E2016="[PARENT]"),"ADD",IF(E2016="[ALT_VIEW]","ALT",""))</f>
        <v/>
      </c>
      <c r="AD2016" s="21">
        <f>IF(Y2016&lt;&gt;"",Y2016,IF(U2016&lt;&gt;"",U2016,S2016))</f>
        <v/>
      </c>
      <c r="AE2016" s="21">
        <f>IF(AB2016&lt;&gt;"",AB2016,Z2016)</f>
        <v/>
      </c>
      <c r="AF2016" s="13" t="inlineStr">
        <is>
          <t>BA1 &gt; 1B4B &gt; Table III CNO Availabilities</t>
        </is>
      </c>
      <c r="AG2016" s="7" t="inlineStr">
        <is>
          <t>161</t>
        </is>
      </c>
      <c r="AH2016" s="7" t="inlineStr">
        <is>
          <t>1B4B</t>
        </is>
      </c>
    </row>
    <row r="2017" ht="10" customHeight="1">
      <c r="A2017" s="7" t="inlineStr">
        <is>
          <t>OMN</t>
        </is>
      </c>
      <c r="B2017" s="7" t="inlineStr">
        <is>
          <t>O&amp;M</t>
        </is>
      </c>
      <c r="C2017" s="7" t="inlineStr">
        <is>
          <t>DDG 089</t>
        </is>
      </c>
      <c r="D2017" s="7" t="inlineStr">
        <is>
          <t>USS MUSTIN - SIA</t>
        </is>
      </c>
      <c r="E2017" s="13" t="inlineStr">
        <is>
          <t>[SUB]</t>
        </is>
      </c>
      <c r="F2017" s="7" t="inlineStr">
        <is>
          <t>Ship Maintenance</t>
        </is>
      </c>
      <c r="I2017" s="14" t="n">
        <v>2</v>
      </c>
      <c r="K2017" s="13" t="inlineStr">
        <is>
          <t>USN</t>
        </is>
      </c>
      <c r="L2017" s="7" t="inlineStr">
        <is>
          <t>Combatant Ships</t>
        </is>
      </c>
      <c r="M2017" s="7" t="inlineStr">
        <is>
          <t>Surface Combatants</t>
        </is>
      </c>
      <c r="N2017" s="7" t="inlineStr">
        <is>
          <t>DDG</t>
        </is>
      </c>
      <c r="O2017" s="15" t="n"/>
      <c r="S2017" s="16" t="n">
        <v>4404</v>
      </c>
      <c r="U2017" s="16" t="n">
        <v>4404</v>
      </c>
      <c r="AC2017" s="23">
        <f>IF(OR(E2017="",E2017="[PARENT]"),"ADD",IF(E2017="[ALT_VIEW]","ALT",""))</f>
        <v/>
      </c>
      <c r="AD2017" s="21">
        <f>IF(Y2017&lt;&gt;"",Y2017,IF(U2017&lt;&gt;"",U2017,S2017))</f>
        <v/>
      </c>
      <c r="AE2017" s="21">
        <f>IF(AB2017&lt;&gt;"",AB2017,Z2017)</f>
        <v/>
      </c>
      <c r="AF2017" s="13" t="inlineStr">
        <is>
          <t>BA1 &gt; 1B4B &gt; Table III CNO Availabilities</t>
        </is>
      </c>
      <c r="AG2017" s="7" t="inlineStr">
        <is>
          <t>161</t>
        </is>
      </c>
      <c r="AH2017" s="7" t="inlineStr">
        <is>
          <t>1B4B</t>
        </is>
      </c>
    </row>
    <row r="2018" ht="10" customHeight="1">
      <c r="A2018" s="7" t="inlineStr">
        <is>
          <t>OMN</t>
        </is>
      </c>
      <c r="B2018" s="7" t="inlineStr">
        <is>
          <t>O&amp;M</t>
        </is>
      </c>
      <c r="C2018" s="7" t="inlineStr">
        <is>
          <t>LSD 047</t>
        </is>
      </c>
      <c r="D2018" s="7" t="inlineStr">
        <is>
          <t>USS RUSHMORE - SIA</t>
        </is>
      </c>
      <c r="E2018" s="13" t="inlineStr">
        <is>
          <t>[SUB]</t>
        </is>
      </c>
      <c r="F2018" s="7" t="inlineStr">
        <is>
          <t>Ship Maintenance</t>
        </is>
      </c>
      <c r="I2018" s="14" t="n">
        <v>2</v>
      </c>
      <c r="K2018" s="13" t="inlineStr">
        <is>
          <t>USN</t>
        </is>
      </c>
      <c r="L2018" s="7" t="inlineStr">
        <is>
          <t>Combatant Ships</t>
        </is>
      </c>
      <c r="M2018" s="7" t="inlineStr">
        <is>
          <t>Amphibious Warfare Ships</t>
        </is>
      </c>
      <c r="N2018" s="7" t="inlineStr">
        <is>
          <t>LSD</t>
        </is>
      </c>
      <c r="O2018" s="15" t="n"/>
      <c r="S2018" s="16" t="n">
        <v>12058</v>
      </c>
      <c r="U2018" s="16" t="n">
        <v>12058</v>
      </c>
      <c r="AC2018" s="23">
        <f>IF(OR(E2018="",E2018="[PARENT]"),"ADD",IF(E2018="[ALT_VIEW]","ALT",""))</f>
        <v/>
      </c>
      <c r="AD2018" s="21">
        <f>IF(Y2018&lt;&gt;"",Y2018,IF(U2018&lt;&gt;"",U2018,S2018))</f>
        <v/>
      </c>
      <c r="AE2018" s="21">
        <f>IF(AB2018&lt;&gt;"",AB2018,Z2018)</f>
        <v/>
      </c>
      <c r="AF2018" s="13" t="inlineStr">
        <is>
          <t>BA1 &gt; 1B4B &gt; Table III CNO Availabilities</t>
        </is>
      </c>
      <c r="AG2018" s="7" t="inlineStr">
        <is>
          <t>161</t>
        </is>
      </c>
      <c r="AH2018" s="7" t="inlineStr">
        <is>
          <t>1B4B</t>
        </is>
      </c>
    </row>
    <row r="2019" ht="10" customHeight="1">
      <c r="A2019" s="7" t="inlineStr">
        <is>
          <t>OMN</t>
        </is>
      </c>
      <c r="B2019" s="7" t="inlineStr">
        <is>
          <t>O&amp;M</t>
        </is>
      </c>
      <c r="C2019" s="7" t="inlineStr">
        <is>
          <t>SSN 761</t>
        </is>
      </c>
      <c r="D2019" s="7" t="inlineStr">
        <is>
          <t>USS SPRINGFIELD - SRA</t>
        </is>
      </c>
      <c r="E2019" s="13" t="inlineStr">
        <is>
          <t>[SUB]</t>
        </is>
      </c>
      <c r="F2019" s="7" t="inlineStr">
        <is>
          <t>Ship Maintenance</t>
        </is>
      </c>
      <c r="I2019" s="14" t="n">
        <v>2</v>
      </c>
      <c r="K2019" s="13" t="inlineStr">
        <is>
          <t>USN</t>
        </is>
      </c>
      <c r="L2019" s="7" t="inlineStr">
        <is>
          <t>Combatant Ships</t>
        </is>
      </c>
      <c r="M2019" s="7" t="inlineStr">
        <is>
          <t>Submarines</t>
        </is>
      </c>
      <c r="N2019" s="7" t="inlineStr">
        <is>
          <t>SSN</t>
        </is>
      </c>
      <c r="O2019" s="15" t="n"/>
      <c r="S2019" s="16" t="n">
        <v>20995</v>
      </c>
      <c r="U2019" s="16" t="n">
        <v>20995</v>
      </c>
      <c r="AC2019" s="23">
        <f>IF(OR(E2019="",E2019="[PARENT]"),"ADD",IF(E2019="[ALT_VIEW]","ALT",""))</f>
        <v/>
      </c>
      <c r="AD2019" s="21">
        <f>IF(Y2019&lt;&gt;"",Y2019,IF(U2019&lt;&gt;"",U2019,S2019))</f>
        <v/>
      </c>
      <c r="AE2019" s="21">
        <f>IF(AB2019&lt;&gt;"",AB2019,Z2019)</f>
        <v/>
      </c>
      <c r="AF2019" s="13" t="inlineStr">
        <is>
          <t>BA1 &gt; 1B4B &gt; Table III CNO Availabilities</t>
        </is>
      </c>
      <c r="AG2019" s="7" t="inlineStr">
        <is>
          <t>161</t>
        </is>
      </c>
      <c r="AH2019" s="7" t="inlineStr">
        <is>
          <t>1B4B</t>
        </is>
      </c>
    </row>
    <row r="2020" ht="10" customHeight="1">
      <c r="A2020" s="7" t="inlineStr">
        <is>
          <t>OMN</t>
        </is>
      </c>
      <c r="B2020" s="7" t="inlineStr">
        <is>
          <t>O&amp;M</t>
        </is>
      </c>
      <c r="C2020" s="7" t="inlineStr">
        <is>
          <t>LHD 001</t>
        </is>
      </c>
      <c r="D2020" s="7" t="inlineStr">
        <is>
          <t>USS WASP - SRA</t>
        </is>
      </c>
      <c r="E2020" s="13" t="inlineStr">
        <is>
          <t>[REFERENCE]</t>
        </is>
      </c>
      <c r="F2020" s="7" t="inlineStr">
        <is>
          <t>OPN-funded; not OMN TAM</t>
        </is>
      </c>
      <c r="I2020" s="14" t="n">
        <v>2</v>
      </c>
      <c r="K2020" s="13" t="inlineStr">
        <is>
          <t>USN</t>
        </is>
      </c>
      <c r="L2020" s="7" t="inlineStr">
        <is>
          <t>Combatant Ships</t>
        </is>
      </c>
      <c r="M2020" s="7" t="inlineStr">
        <is>
          <t>Amphibious Warfare Ships</t>
        </is>
      </c>
      <c r="N2020" s="7" t="inlineStr">
        <is>
          <t>LHD</t>
        </is>
      </c>
      <c r="O2020" s="15" t="n"/>
      <c r="S2020" s="16" t="n">
        <v>8898</v>
      </c>
      <c r="U2020" s="16" t="n">
        <v>8898</v>
      </c>
      <c r="AC2020" s="23">
        <f>IF(OR(E2020="",E2020="[PARENT]"),"ADD",IF(E2020="[ALT_VIEW]","ALT",""))</f>
        <v/>
      </c>
      <c r="AD2020" s="21">
        <f>IF(Y2020&lt;&gt;"",Y2020,IF(U2020&lt;&gt;"",U2020,S2020))</f>
        <v/>
      </c>
      <c r="AE2020" s="21">
        <f>IF(AB2020&lt;&gt;"",AB2020,Z2020)</f>
        <v/>
      </c>
      <c r="AF2020" s="13" t="inlineStr">
        <is>
          <t>BA1 &gt; 1B4B &gt; Table III CNO Availabilities (OPN)</t>
        </is>
      </c>
      <c r="AG2020" s="7" t="inlineStr">
        <is>
          <t>161</t>
        </is>
      </c>
      <c r="AH2020" s="7" t="inlineStr">
        <is>
          <t>1B4B</t>
        </is>
      </c>
    </row>
    <row r="2021" ht="10" customHeight="1">
      <c r="A2021" s="7" t="inlineStr">
        <is>
          <t>OMN</t>
        </is>
      </c>
      <c r="B2021" s="7" t="inlineStr">
        <is>
          <t>O&amp;M</t>
        </is>
      </c>
      <c r="C2021" s="7" t="inlineStr">
        <is>
          <t>DDG 058</t>
        </is>
      </c>
      <c r="D2021" s="7" t="inlineStr">
        <is>
          <t>USS LABOON - SRA</t>
        </is>
      </c>
      <c r="E2021" s="13" t="inlineStr">
        <is>
          <t>[REFERENCE]</t>
        </is>
      </c>
      <c r="F2021" s="7" t="inlineStr">
        <is>
          <t>OPN-funded; not OMN TAM</t>
        </is>
      </c>
      <c r="I2021" s="14" t="n">
        <v>2</v>
      </c>
      <c r="K2021" s="13" t="inlineStr">
        <is>
          <t>USN</t>
        </is>
      </c>
      <c r="L2021" s="7" t="inlineStr">
        <is>
          <t>Combatant Ships</t>
        </is>
      </c>
      <c r="M2021" s="7" t="inlineStr">
        <is>
          <t>Surface Combatants</t>
        </is>
      </c>
      <c r="N2021" s="7" t="inlineStr">
        <is>
          <t>DDG</t>
        </is>
      </c>
      <c r="O2021" s="15" t="n"/>
      <c r="S2021" s="16" t="n">
        <v>15000</v>
      </c>
      <c r="U2021" s="16" t="n">
        <v>15000</v>
      </c>
      <c r="AC2021" s="23">
        <f>IF(OR(E2021="",E2021="[PARENT]"),"ADD",IF(E2021="[ALT_VIEW]","ALT",""))</f>
        <v/>
      </c>
      <c r="AD2021" s="21">
        <f>IF(Y2021&lt;&gt;"",Y2021,IF(U2021&lt;&gt;"",U2021,S2021))</f>
        <v/>
      </c>
      <c r="AE2021" s="21">
        <f>IF(AB2021&lt;&gt;"",AB2021,Z2021)</f>
        <v/>
      </c>
      <c r="AF2021" s="13" t="inlineStr">
        <is>
          <t>BA1 &gt; 1B4B &gt; Table III CNO Availabilities (OPN)</t>
        </is>
      </c>
      <c r="AG2021" s="7" t="inlineStr">
        <is>
          <t>162</t>
        </is>
      </c>
      <c r="AH2021" s="7" t="inlineStr">
        <is>
          <t>1B4B</t>
        </is>
      </c>
    </row>
    <row r="2022" ht="10" customHeight="1">
      <c r="A2022" s="7" t="inlineStr">
        <is>
          <t>OMN</t>
        </is>
      </c>
      <c r="B2022" s="7" t="inlineStr">
        <is>
          <t>O&amp;M</t>
        </is>
      </c>
      <c r="C2022" s="7" t="inlineStr">
        <is>
          <t>LPD 021</t>
        </is>
      </c>
      <c r="D2022" s="7" t="inlineStr">
        <is>
          <t>USS NEW YORK - SRA</t>
        </is>
      </c>
      <c r="E2022" s="13" t="inlineStr">
        <is>
          <t>[REFERENCE]</t>
        </is>
      </c>
      <c r="F2022" s="7" t="inlineStr">
        <is>
          <t>OPN-funded; not OMN TAM</t>
        </is>
      </c>
      <c r="I2022" s="14" t="n">
        <v>2</v>
      </c>
      <c r="K2022" s="13" t="inlineStr">
        <is>
          <t>USN</t>
        </is>
      </c>
      <c r="L2022" s="7" t="inlineStr">
        <is>
          <t>Combatant Ships</t>
        </is>
      </c>
      <c r="M2022" s="7" t="inlineStr">
        <is>
          <t>Amphibious Warfare Ships</t>
        </is>
      </c>
      <c r="N2022" s="7" t="inlineStr">
        <is>
          <t>LPD</t>
        </is>
      </c>
      <c r="O2022" s="15" t="n"/>
      <c r="S2022" s="16" t="n">
        <v>9325</v>
      </c>
      <c r="U2022" s="16" t="n">
        <v>9325</v>
      </c>
      <c r="AC2022" s="23">
        <f>IF(OR(E2022="",E2022="[PARENT]"),"ADD",IF(E2022="[ALT_VIEW]","ALT",""))</f>
        <v/>
      </c>
      <c r="AD2022" s="21">
        <f>IF(Y2022&lt;&gt;"",Y2022,IF(U2022&lt;&gt;"",U2022,S2022))</f>
        <v/>
      </c>
      <c r="AE2022" s="21">
        <f>IF(AB2022&lt;&gt;"",AB2022,Z2022)</f>
        <v/>
      </c>
      <c r="AF2022" s="13" t="inlineStr">
        <is>
          <t>BA1 &gt; 1B4B &gt; Table III CNO Availabilities (OPN)</t>
        </is>
      </c>
      <c r="AG2022" s="7" t="inlineStr">
        <is>
          <t>162</t>
        </is>
      </c>
      <c r="AH2022" s="7" t="inlineStr">
        <is>
          <t>1B4B</t>
        </is>
      </c>
    </row>
    <row r="2023" ht="10" customHeight="1">
      <c r="A2023" s="7" t="inlineStr">
        <is>
          <t>OMN</t>
        </is>
      </c>
      <c r="B2023" s="7" t="inlineStr">
        <is>
          <t>O&amp;M</t>
        </is>
      </c>
      <c r="C2023" s="7" t="inlineStr">
        <is>
          <t>LSD 051</t>
        </is>
      </c>
      <c r="D2023" s="7" t="inlineStr">
        <is>
          <t>USS OAK HILL - SRA</t>
        </is>
      </c>
      <c r="E2023" s="13" t="inlineStr">
        <is>
          <t>[REFERENCE]</t>
        </is>
      </c>
      <c r="F2023" s="7" t="inlineStr">
        <is>
          <t>OPN-funded; not OMN TAM</t>
        </is>
      </c>
      <c r="I2023" s="14" t="n">
        <v>2</v>
      </c>
      <c r="K2023" s="13" t="inlineStr">
        <is>
          <t>USN</t>
        </is>
      </c>
      <c r="L2023" s="7" t="inlineStr">
        <is>
          <t>Combatant Ships</t>
        </is>
      </c>
      <c r="M2023" s="7" t="inlineStr">
        <is>
          <t>Amphibious Warfare Ships</t>
        </is>
      </c>
      <c r="N2023" s="7" t="inlineStr">
        <is>
          <t>LSD</t>
        </is>
      </c>
      <c r="O2023" s="15" t="n"/>
      <c r="S2023" s="16" t="n">
        <v>14036</v>
      </c>
      <c r="U2023" s="16" t="n">
        <v>14036</v>
      </c>
      <c r="AC2023" s="23">
        <f>IF(OR(E2023="",E2023="[PARENT]"),"ADD",IF(E2023="[ALT_VIEW]","ALT",""))</f>
        <v/>
      </c>
      <c r="AD2023" s="21">
        <f>IF(Y2023&lt;&gt;"",Y2023,IF(U2023&lt;&gt;"",U2023,S2023))</f>
        <v/>
      </c>
      <c r="AE2023" s="21">
        <f>IF(AB2023&lt;&gt;"",AB2023,Z2023)</f>
        <v/>
      </c>
      <c r="AF2023" s="13" t="inlineStr">
        <is>
          <t>BA1 &gt; 1B4B &gt; Table III CNO Availabilities (OPN)</t>
        </is>
      </c>
      <c r="AG2023" s="7" t="inlineStr">
        <is>
          <t>162</t>
        </is>
      </c>
      <c r="AH2023" s="7" t="inlineStr">
        <is>
          <t>1B4B</t>
        </is>
      </c>
    </row>
    <row r="2024" ht="10" customHeight="1">
      <c r="A2024" s="7" t="inlineStr">
        <is>
          <t>OMN</t>
        </is>
      </c>
      <c r="B2024" s="7" t="inlineStr">
        <is>
          <t>O&amp;M</t>
        </is>
      </c>
      <c r="C2024" s="7" t="inlineStr">
        <is>
          <t>DDG 068</t>
        </is>
      </c>
      <c r="D2024" s="7" t="inlineStr">
        <is>
          <t>USS THE SULLIVANS - SRA</t>
        </is>
      </c>
      <c r="E2024" s="13" t="inlineStr">
        <is>
          <t>[REFERENCE]</t>
        </is>
      </c>
      <c r="F2024" s="7" t="inlineStr">
        <is>
          <t>OPN-funded; not OMN TAM</t>
        </is>
      </c>
      <c r="I2024" s="14" t="n">
        <v>2</v>
      </c>
      <c r="K2024" s="13" t="inlineStr">
        <is>
          <t>USN</t>
        </is>
      </c>
      <c r="L2024" s="7" t="inlineStr">
        <is>
          <t>Combatant Ships</t>
        </is>
      </c>
      <c r="M2024" s="7" t="inlineStr">
        <is>
          <t>Surface Combatants</t>
        </is>
      </c>
      <c r="N2024" s="7" t="inlineStr">
        <is>
          <t>DDG</t>
        </is>
      </c>
      <c r="O2024" s="15" t="n"/>
      <c r="S2024" s="16" t="n">
        <v>12087</v>
      </c>
      <c r="U2024" s="16" t="n">
        <v>12087</v>
      </c>
      <c r="AC2024" s="23">
        <f>IF(OR(E2024="",E2024="[PARENT]"),"ADD",IF(E2024="[ALT_VIEW]","ALT",""))</f>
        <v/>
      </c>
      <c r="AD2024" s="21">
        <f>IF(Y2024&lt;&gt;"",Y2024,IF(U2024&lt;&gt;"",U2024,S2024))</f>
        <v/>
      </c>
      <c r="AE2024" s="21">
        <f>IF(AB2024&lt;&gt;"",AB2024,Z2024)</f>
        <v/>
      </c>
      <c r="AF2024" s="13" t="inlineStr">
        <is>
          <t>BA1 &gt; 1B4B &gt; Table III CNO Availabilities (OPN)</t>
        </is>
      </c>
      <c r="AG2024" s="7" t="inlineStr">
        <is>
          <t>162</t>
        </is>
      </c>
      <c r="AH2024" s="7" t="inlineStr">
        <is>
          <t>1B4B</t>
        </is>
      </c>
    </row>
    <row r="2025" ht="10" customHeight="1">
      <c r="A2025" s="7" t="inlineStr">
        <is>
          <t>OMN</t>
        </is>
      </c>
      <c r="B2025" s="7" t="inlineStr">
        <is>
          <t>O&amp;M</t>
        </is>
      </c>
      <c r="C2025" s="7" t="inlineStr">
        <is>
          <t>LHA 006</t>
        </is>
      </c>
      <c r="D2025" s="7" t="inlineStr">
        <is>
          <t>USS AMERICA - SRA</t>
        </is>
      </c>
      <c r="E2025" s="13" t="inlineStr">
        <is>
          <t>[REFERENCE]</t>
        </is>
      </c>
      <c r="F2025" s="7" t="inlineStr">
        <is>
          <t>OPN-funded; not OMN TAM</t>
        </is>
      </c>
      <c r="I2025" s="14" t="n">
        <v>2</v>
      </c>
      <c r="K2025" s="13" t="inlineStr">
        <is>
          <t>USN</t>
        </is>
      </c>
      <c r="L2025" s="7" t="inlineStr">
        <is>
          <t>Combatant Ships</t>
        </is>
      </c>
      <c r="M2025" s="7" t="inlineStr">
        <is>
          <t>Amphibious Warfare Ships</t>
        </is>
      </c>
      <c r="N2025" s="7" t="inlineStr">
        <is>
          <t>LHA</t>
        </is>
      </c>
      <c r="O2025" s="15" t="n"/>
      <c r="S2025" s="16" t="n">
        <v>12065</v>
      </c>
      <c r="U2025" s="16" t="n">
        <v>12065</v>
      </c>
      <c r="AC2025" s="23">
        <f>IF(OR(E2025="",E2025="[PARENT]"),"ADD",IF(E2025="[ALT_VIEW]","ALT",""))</f>
        <v/>
      </c>
      <c r="AD2025" s="21">
        <f>IF(Y2025&lt;&gt;"",Y2025,IF(U2025&lt;&gt;"",U2025,S2025))</f>
        <v/>
      </c>
      <c r="AE2025" s="21">
        <f>IF(AB2025&lt;&gt;"",AB2025,Z2025)</f>
        <v/>
      </c>
      <c r="AF2025" s="13" t="inlineStr">
        <is>
          <t>BA1 &gt; 1B4B &gt; Table III CNO Availabilities (OPN)</t>
        </is>
      </c>
      <c r="AG2025" s="7" t="inlineStr">
        <is>
          <t>162</t>
        </is>
      </c>
      <c r="AH2025" s="7" t="inlineStr">
        <is>
          <t>1B4B</t>
        </is>
      </c>
    </row>
    <row r="2026" ht="10" customHeight="1">
      <c r="A2026" s="7" t="inlineStr">
        <is>
          <t>OMN</t>
        </is>
      </c>
      <c r="B2026" s="7" t="inlineStr">
        <is>
          <t>O&amp;M</t>
        </is>
      </c>
      <c r="C2026" s="7" t="inlineStr">
        <is>
          <t>LSD 052</t>
        </is>
      </c>
      <c r="D2026" s="7" t="inlineStr">
        <is>
          <t>USS PEARL HARBOR - SRA</t>
        </is>
      </c>
      <c r="E2026" s="13" t="inlineStr">
        <is>
          <t>[REFERENCE]</t>
        </is>
      </c>
      <c r="F2026" s="7" t="inlineStr">
        <is>
          <t>OPN-funded; not OMN TAM</t>
        </is>
      </c>
      <c r="I2026" s="14" t="n">
        <v>2</v>
      </c>
      <c r="K2026" s="13" t="inlineStr">
        <is>
          <t>USN</t>
        </is>
      </c>
      <c r="L2026" s="7" t="inlineStr">
        <is>
          <t>Combatant Ships</t>
        </is>
      </c>
      <c r="M2026" s="7" t="inlineStr">
        <is>
          <t>Amphibious Warfare Ships</t>
        </is>
      </c>
      <c r="N2026" s="7" t="inlineStr">
        <is>
          <t>LSD</t>
        </is>
      </c>
      <c r="O2026" s="15" t="n"/>
      <c r="S2026" s="16" t="n">
        <v>18380</v>
      </c>
      <c r="U2026" s="16" t="n">
        <v>18380</v>
      </c>
      <c r="AC2026" s="23">
        <f>IF(OR(E2026="",E2026="[PARENT]"),"ADD",IF(E2026="[ALT_VIEW]","ALT",""))</f>
        <v/>
      </c>
      <c r="AD2026" s="21">
        <f>IF(Y2026&lt;&gt;"",Y2026,IF(U2026&lt;&gt;"",U2026,S2026))</f>
        <v/>
      </c>
      <c r="AE2026" s="21">
        <f>IF(AB2026&lt;&gt;"",AB2026,Z2026)</f>
        <v/>
      </c>
      <c r="AF2026" s="13" t="inlineStr">
        <is>
          <t>BA1 &gt; 1B4B &gt; Table III CNO Availabilities (OPN)</t>
        </is>
      </c>
      <c r="AG2026" s="7" t="inlineStr">
        <is>
          <t>162</t>
        </is>
      </c>
      <c r="AH2026" s="7" t="inlineStr">
        <is>
          <t>1B4B</t>
        </is>
      </c>
    </row>
    <row r="2027" ht="10" customHeight="1">
      <c r="A2027" s="7" t="inlineStr">
        <is>
          <t>OMN</t>
        </is>
      </c>
      <c r="B2027" s="7" t="inlineStr">
        <is>
          <t>O&amp;M</t>
        </is>
      </c>
      <c r="C2027" s="7" t="inlineStr">
        <is>
          <t>DDG 098</t>
        </is>
      </c>
      <c r="D2027" s="7" t="inlineStr">
        <is>
          <t>USS FORREST SHERMAN - OH</t>
        </is>
      </c>
      <c r="E2027" s="13" t="inlineStr">
        <is>
          <t>[REFERENCE]</t>
        </is>
      </c>
      <c r="F2027" s="7" t="inlineStr">
        <is>
          <t>OPN-funded; not OMN TAM</t>
        </is>
      </c>
      <c r="I2027" s="14" t="n">
        <v>2</v>
      </c>
      <c r="K2027" s="13" t="inlineStr">
        <is>
          <t>USN</t>
        </is>
      </c>
      <c r="L2027" s="7" t="inlineStr">
        <is>
          <t>Combatant Ships</t>
        </is>
      </c>
      <c r="M2027" s="7" t="inlineStr">
        <is>
          <t>Surface Combatants</t>
        </is>
      </c>
      <c r="N2027" s="7" t="inlineStr">
        <is>
          <t>DDG</t>
        </is>
      </c>
      <c r="O2027" s="15" t="n"/>
      <c r="S2027" s="16" t="n">
        <v>112127</v>
      </c>
      <c r="U2027" s="16" t="n">
        <v>112127</v>
      </c>
      <c r="AC2027" s="23">
        <f>IF(OR(E2027="",E2027="[PARENT]"),"ADD",IF(E2027="[ALT_VIEW]","ALT",""))</f>
        <v/>
      </c>
      <c r="AD2027" s="21">
        <f>IF(Y2027&lt;&gt;"",Y2027,IF(U2027&lt;&gt;"",U2027,S2027))</f>
        <v/>
      </c>
      <c r="AE2027" s="21">
        <f>IF(AB2027&lt;&gt;"",AB2027,Z2027)</f>
        <v/>
      </c>
      <c r="AF2027" s="13" t="inlineStr">
        <is>
          <t>BA1 &gt; 1B4B &gt; Table III CNO Availabilities (OPN)</t>
        </is>
      </c>
      <c r="AG2027" s="7" t="inlineStr">
        <is>
          <t>162</t>
        </is>
      </c>
      <c r="AH2027" s="7" t="inlineStr">
        <is>
          <t>1B4B</t>
        </is>
      </c>
    </row>
    <row r="2028" ht="10" customHeight="1">
      <c r="A2028" s="7" t="inlineStr">
        <is>
          <t>OMN</t>
        </is>
      </c>
      <c r="B2028" s="7" t="inlineStr">
        <is>
          <t>O&amp;M</t>
        </is>
      </c>
      <c r="C2028" s="7" t="inlineStr">
        <is>
          <t>DDG 096</t>
        </is>
      </c>
      <c r="D2028" s="7" t="inlineStr">
        <is>
          <t>USS BAINBRIDGE - SRA</t>
        </is>
      </c>
      <c r="E2028" s="13" t="inlineStr">
        <is>
          <t>[REFERENCE]</t>
        </is>
      </c>
      <c r="F2028" s="7" t="inlineStr">
        <is>
          <t>OPN-funded; not OMN TAM</t>
        </is>
      </c>
      <c r="I2028" s="14" t="n">
        <v>2</v>
      </c>
      <c r="K2028" s="13" t="inlineStr">
        <is>
          <t>USN</t>
        </is>
      </c>
      <c r="L2028" s="7" t="inlineStr">
        <is>
          <t>Combatant Ships</t>
        </is>
      </c>
      <c r="M2028" s="7" t="inlineStr">
        <is>
          <t>Surface Combatants</t>
        </is>
      </c>
      <c r="N2028" s="7" t="inlineStr">
        <is>
          <t>DDG</t>
        </is>
      </c>
      <c r="O2028" s="15" t="n"/>
      <c r="S2028" s="16" t="n">
        <v>42281</v>
      </c>
      <c r="U2028" s="16" t="n">
        <v>42281</v>
      </c>
      <c r="AC2028" s="23">
        <f>IF(OR(E2028="",E2028="[PARENT]"),"ADD",IF(E2028="[ALT_VIEW]","ALT",""))</f>
        <v/>
      </c>
      <c r="AD2028" s="21">
        <f>IF(Y2028&lt;&gt;"",Y2028,IF(U2028&lt;&gt;"",U2028,S2028))</f>
        <v/>
      </c>
      <c r="AE2028" s="21">
        <f>IF(AB2028&lt;&gt;"",AB2028,Z2028)</f>
        <v/>
      </c>
      <c r="AF2028" s="13" t="inlineStr">
        <is>
          <t>BA1 &gt; 1B4B &gt; Table III CNO Availabilities (OPN)</t>
        </is>
      </c>
      <c r="AG2028" s="7" t="inlineStr">
        <is>
          <t>162</t>
        </is>
      </c>
      <c r="AH2028" s="7" t="inlineStr">
        <is>
          <t>1B4B</t>
        </is>
      </c>
    </row>
    <row r="2029" ht="10" customHeight="1">
      <c r="A2029" s="7" t="inlineStr">
        <is>
          <t>OMN</t>
        </is>
      </c>
      <c r="B2029" s="7" t="inlineStr">
        <is>
          <t>O&amp;M</t>
        </is>
      </c>
      <c r="C2029" s="7" t="inlineStr">
        <is>
          <t>DDG 067</t>
        </is>
      </c>
      <c r="D2029" s="7" t="inlineStr">
        <is>
          <t>USS COLE - SRA</t>
        </is>
      </c>
      <c r="E2029" s="13" t="inlineStr">
        <is>
          <t>[REFERENCE]</t>
        </is>
      </c>
      <c r="F2029" s="7" t="inlineStr">
        <is>
          <t>OPN-funded; not OMN TAM</t>
        </is>
      </c>
      <c r="I2029" s="14" t="n">
        <v>2</v>
      </c>
      <c r="K2029" s="13" t="inlineStr">
        <is>
          <t>USN</t>
        </is>
      </c>
      <c r="L2029" s="7" t="inlineStr">
        <is>
          <t>Combatant Ships</t>
        </is>
      </c>
      <c r="M2029" s="7" t="inlineStr">
        <is>
          <t>Surface Combatants</t>
        </is>
      </c>
      <c r="N2029" s="7" t="inlineStr">
        <is>
          <t>DDG</t>
        </is>
      </c>
      <c r="O2029" s="15" t="n"/>
      <c r="S2029" s="16" t="n">
        <v>121048</v>
      </c>
      <c r="U2029" s="16" t="n">
        <v>121048</v>
      </c>
      <c r="AC2029" s="23">
        <f>IF(OR(E2029="",E2029="[PARENT]"),"ADD",IF(E2029="[ALT_VIEW]","ALT",""))</f>
        <v/>
      </c>
      <c r="AD2029" s="21">
        <f>IF(Y2029&lt;&gt;"",Y2029,IF(U2029&lt;&gt;"",U2029,S2029))</f>
        <v/>
      </c>
      <c r="AE2029" s="21">
        <f>IF(AB2029&lt;&gt;"",AB2029,Z2029)</f>
        <v/>
      </c>
      <c r="AF2029" s="13" t="inlineStr">
        <is>
          <t>BA1 &gt; 1B4B &gt; Table III CNO Availabilities (OPN)</t>
        </is>
      </c>
      <c r="AG2029" s="7" t="inlineStr">
        <is>
          <t>162</t>
        </is>
      </c>
      <c r="AH2029" s="7" t="inlineStr">
        <is>
          <t>1B4B</t>
        </is>
      </c>
    </row>
    <row r="2030" ht="10" customHeight="1">
      <c r="A2030" s="7" t="inlineStr">
        <is>
          <t>OMN</t>
        </is>
      </c>
      <c r="B2030" s="7" t="inlineStr">
        <is>
          <t>O&amp;M</t>
        </is>
      </c>
      <c r="C2030" s="7" t="inlineStr">
        <is>
          <t>DDG 106</t>
        </is>
      </c>
      <c r="D2030" s="7" t="inlineStr">
        <is>
          <t>USS STOCKDALE - SRA</t>
        </is>
      </c>
      <c r="E2030" s="13" t="inlineStr">
        <is>
          <t>[REFERENCE]</t>
        </is>
      </c>
      <c r="F2030" s="7" t="inlineStr">
        <is>
          <t>OPN-funded; not OMN TAM</t>
        </is>
      </c>
      <c r="I2030" s="14" t="n">
        <v>2</v>
      </c>
      <c r="K2030" s="13" t="inlineStr">
        <is>
          <t>USN</t>
        </is>
      </c>
      <c r="L2030" s="7" t="inlineStr">
        <is>
          <t>Combatant Ships</t>
        </is>
      </c>
      <c r="M2030" s="7" t="inlineStr">
        <is>
          <t>Surface Combatants</t>
        </is>
      </c>
      <c r="N2030" s="7" t="inlineStr">
        <is>
          <t>DDG</t>
        </is>
      </c>
      <c r="O2030" s="15" t="n"/>
      <c r="S2030" s="16" t="n">
        <v>91072</v>
      </c>
      <c r="U2030" s="16" t="n">
        <v>91072</v>
      </c>
      <c r="AC2030" s="23">
        <f>IF(OR(E2030="",E2030="[PARENT]"),"ADD",IF(E2030="[ALT_VIEW]","ALT",""))</f>
        <v/>
      </c>
      <c r="AD2030" s="21">
        <f>IF(Y2030&lt;&gt;"",Y2030,IF(U2030&lt;&gt;"",U2030,S2030))</f>
        <v/>
      </c>
      <c r="AE2030" s="21">
        <f>IF(AB2030&lt;&gt;"",AB2030,Z2030)</f>
        <v/>
      </c>
      <c r="AF2030" s="13" t="inlineStr">
        <is>
          <t>BA1 &gt; 1B4B &gt; Table III CNO Availabilities (OPN)</t>
        </is>
      </c>
      <c r="AG2030" s="7" t="inlineStr">
        <is>
          <t>162</t>
        </is>
      </c>
      <c r="AH2030" s="7" t="inlineStr">
        <is>
          <t>1B4B</t>
        </is>
      </c>
    </row>
    <row r="2031" ht="10" customHeight="1">
      <c r="A2031" s="7" t="inlineStr">
        <is>
          <t>OMN</t>
        </is>
      </c>
      <c r="B2031" s="7" t="inlineStr">
        <is>
          <t>O&amp;M</t>
        </is>
      </c>
      <c r="C2031" s="7" t="inlineStr">
        <is>
          <t>LCS 022</t>
        </is>
      </c>
      <c r="D2031" s="7" t="inlineStr">
        <is>
          <t>USS KANSAS CITY - SRA</t>
        </is>
      </c>
      <c r="E2031" s="13" t="inlineStr">
        <is>
          <t>[REFERENCE]</t>
        </is>
      </c>
      <c r="F2031" s="7" t="inlineStr">
        <is>
          <t>OPN-funded; not OMN TAM</t>
        </is>
      </c>
      <c r="I2031" s="14" t="n">
        <v>2</v>
      </c>
      <c r="K2031" s="13" t="inlineStr">
        <is>
          <t>USN</t>
        </is>
      </c>
      <c r="L2031" s="7" t="inlineStr">
        <is>
          <t>Combatant Ships</t>
        </is>
      </c>
      <c r="M2031" s="7" t="inlineStr">
        <is>
          <t>Surface Combatants</t>
        </is>
      </c>
      <c r="N2031" s="7" t="inlineStr">
        <is>
          <t>LCS</t>
        </is>
      </c>
      <c r="O2031" s="15" t="n"/>
      <c r="S2031" s="16" t="n">
        <v>74329</v>
      </c>
      <c r="U2031" s="16" t="n">
        <v>74329</v>
      </c>
      <c r="AC2031" s="23">
        <f>IF(OR(E2031="",E2031="[PARENT]"),"ADD",IF(E2031="[ALT_VIEW]","ALT",""))</f>
        <v/>
      </c>
      <c r="AD2031" s="21">
        <f>IF(Y2031&lt;&gt;"",Y2031,IF(U2031&lt;&gt;"",U2031,S2031))</f>
        <v/>
      </c>
      <c r="AE2031" s="21">
        <f>IF(AB2031&lt;&gt;"",AB2031,Z2031)</f>
        <v/>
      </c>
      <c r="AF2031" s="13" t="inlineStr">
        <is>
          <t>BA1 &gt; 1B4B &gt; Table III CNO Availabilities (OPN)</t>
        </is>
      </c>
      <c r="AG2031" s="7" t="inlineStr">
        <is>
          <t>163</t>
        </is>
      </c>
      <c r="AH2031" s="7" t="inlineStr">
        <is>
          <t>1B4B</t>
        </is>
      </c>
    </row>
    <row r="2032" ht="10" customHeight="1">
      <c r="A2032" s="7" t="inlineStr">
        <is>
          <t>OMN</t>
        </is>
      </c>
      <c r="B2032" s="7" t="inlineStr">
        <is>
          <t>O&amp;M</t>
        </is>
      </c>
      <c r="C2032" s="7" t="inlineStr">
        <is>
          <t>LCS 013</t>
        </is>
      </c>
      <c r="D2032" s="7" t="inlineStr">
        <is>
          <t>USS WICHITA - SRA</t>
        </is>
      </c>
      <c r="E2032" s="13" t="inlineStr">
        <is>
          <t>[REFERENCE]</t>
        </is>
      </c>
      <c r="F2032" s="7" t="inlineStr">
        <is>
          <t>OPN-funded; not OMN TAM</t>
        </is>
      </c>
      <c r="I2032" s="14" t="n">
        <v>2</v>
      </c>
      <c r="K2032" s="13" t="inlineStr">
        <is>
          <t>USN</t>
        </is>
      </c>
      <c r="L2032" s="7" t="inlineStr">
        <is>
          <t>Combatant Ships</t>
        </is>
      </c>
      <c r="M2032" s="7" t="inlineStr">
        <is>
          <t>Surface Combatants</t>
        </is>
      </c>
      <c r="N2032" s="7" t="inlineStr">
        <is>
          <t>LCS</t>
        </is>
      </c>
      <c r="O2032" s="15" t="n"/>
      <c r="S2032" s="16" t="n">
        <v>60305</v>
      </c>
      <c r="U2032" s="16" t="n">
        <v>60305</v>
      </c>
      <c r="AC2032" s="23">
        <f>IF(OR(E2032="",E2032="[PARENT]"),"ADD",IF(E2032="[ALT_VIEW]","ALT",""))</f>
        <v/>
      </c>
      <c r="AD2032" s="21">
        <f>IF(Y2032&lt;&gt;"",Y2032,IF(U2032&lt;&gt;"",U2032,S2032))</f>
        <v/>
      </c>
      <c r="AE2032" s="21">
        <f>IF(AB2032&lt;&gt;"",AB2032,Z2032)</f>
        <v/>
      </c>
      <c r="AF2032" s="13" t="inlineStr">
        <is>
          <t>BA1 &gt; 1B4B &gt; Table III CNO Availabilities (OPN)</t>
        </is>
      </c>
      <c r="AG2032" s="7" t="inlineStr">
        <is>
          <t>163</t>
        </is>
      </c>
      <c r="AH2032" s="7" t="inlineStr">
        <is>
          <t>1B4B</t>
        </is>
      </c>
    </row>
    <row r="2033" ht="10" customHeight="1">
      <c r="A2033" s="7" t="inlineStr">
        <is>
          <t>OMN</t>
        </is>
      </c>
      <c r="B2033" s="7" t="inlineStr">
        <is>
          <t>O&amp;M</t>
        </is>
      </c>
      <c r="C2033" s="7" t="inlineStr">
        <is>
          <t>LHD 007</t>
        </is>
      </c>
      <c r="D2033" s="7" t="inlineStr">
        <is>
          <t>USS IWO JIMA - SRA</t>
        </is>
      </c>
      <c r="E2033" s="13" t="inlineStr">
        <is>
          <t>[REFERENCE]</t>
        </is>
      </c>
      <c r="F2033" s="7" t="inlineStr">
        <is>
          <t>OPN-funded; not OMN TAM</t>
        </is>
      </c>
      <c r="I2033" s="14" t="n">
        <v>2</v>
      </c>
      <c r="K2033" s="13" t="inlineStr">
        <is>
          <t>USN</t>
        </is>
      </c>
      <c r="L2033" s="7" t="inlineStr">
        <is>
          <t>Combatant Ships</t>
        </is>
      </c>
      <c r="M2033" s="7" t="inlineStr">
        <is>
          <t>Amphibious Warfare Ships</t>
        </is>
      </c>
      <c r="N2033" s="7" t="inlineStr">
        <is>
          <t>LHD</t>
        </is>
      </c>
      <c r="O2033" s="15" t="n"/>
      <c r="S2033" s="16" t="n">
        <v>57113</v>
      </c>
      <c r="U2033" s="16" t="n">
        <v>57113</v>
      </c>
      <c r="AC2033" s="23">
        <f>IF(OR(E2033="",E2033="[PARENT]"),"ADD",IF(E2033="[ALT_VIEW]","ALT",""))</f>
        <v/>
      </c>
      <c r="AD2033" s="21">
        <f>IF(Y2033&lt;&gt;"",Y2033,IF(U2033&lt;&gt;"",U2033,S2033))</f>
        <v/>
      </c>
      <c r="AE2033" s="21">
        <f>IF(AB2033&lt;&gt;"",AB2033,Z2033)</f>
        <v/>
      </c>
      <c r="AF2033" s="13" t="inlineStr">
        <is>
          <t>BA1 &gt; 1B4B &gt; Table III CNO Availabilities (OPN)</t>
        </is>
      </c>
      <c r="AG2033" s="7" t="inlineStr">
        <is>
          <t>163</t>
        </is>
      </c>
      <c r="AH2033" s="7" t="inlineStr">
        <is>
          <t>1B4B</t>
        </is>
      </c>
    </row>
    <row r="2034" ht="10" customHeight="1">
      <c r="A2034" s="7" t="inlineStr">
        <is>
          <t>OMN</t>
        </is>
      </c>
      <c r="B2034" s="7" t="inlineStr">
        <is>
          <t>O&amp;M</t>
        </is>
      </c>
      <c r="C2034" s="7" t="inlineStr">
        <is>
          <t>LPD 028</t>
        </is>
      </c>
      <c r="D2034" s="7" t="inlineStr">
        <is>
          <t>USS FORT LAUDERDALE - SRA</t>
        </is>
      </c>
      <c r="E2034" s="13" t="inlineStr">
        <is>
          <t>[REFERENCE]</t>
        </is>
      </c>
      <c r="F2034" s="7" t="inlineStr">
        <is>
          <t>OPN-funded; not OMN TAM</t>
        </is>
      </c>
      <c r="I2034" s="14" t="n">
        <v>2</v>
      </c>
      <c r="K2034" s="13" t="inlineStr">
        <is>
          <t>USN</t>
        </is>
      </c>
      <c r="L2034" s="7" t="inlineStr">
        <is>
          <t>Combatant Ships</t>
        </is>
      </c>
      <c r="M2034" s="7" t="inlineStr">
        <is>
          <t>Amphibious Warfare Ships</t>
        </is>
      </c>
      <c r="N2034" s="7" t="inlineStr">
        <is>
          <t>LPD</t>
        </is>
      </c>
      <c r="O2034" s="15" t="n"/>
      <c r="S2034" s="16" t="n">
        <v>25577</v>
      </c>
      <c r="U2034" s="16" t="n">
        <v>25577</v>
      </c>
      <c r="AC2034" s="23">
        <f>IF(OR(E2034="",E2034="[PARENT]"),"ADD",IF(E2034="[ALT_VIEW]","ALT",""))</f>
        <v/>
      </c>
      <c r="AD2034" s="21">
        <f>IF(Y2034&lt;&gt;"",Y2034,IF(U2034&lt;&gt;"",U2034,S2034))</f>
        <v/>
      </c>
      <c r="AE2034" s="21">
        <f>IF(AB2034&lt;&gt;"",AB2034,Z2034)</f>
        <v/>
      </c>
      <c r="AF2034" s="13" t="inlineStr">
        <is>
          <t>BA1 &gt; 1B4B &gt; Table III CNO Availabilities (OPN)</t>
        </is>
      </c>
      <c r="AG2034" s="7" t="inlineStr">
        <is>
          <t>163</t>
        </is>
      </c>
      <c r="AH2034" s="7" t="inlineStr">
        <is>
          <t>1B4B</t>
        </is>
      </c>
    </row>
    <row r="2035" ht="10" customHeight="1">
      <c r="A2035" s="7" t="inlineStr">
        <is>
          <t>OMN</t>
        </is>
      </c>
      <c r="B2035" s="7" t="inlineStr">
        <is>
          <t>O&amp;M</t>
        </is>
      </c>
      <c r="C2035" s="7" t="inlineStr">
        <is>
          <t>DDG 116</t>
        </is>
      </c>
      <c r="D2035" s="7" t="inlineStr">
        <is>
          <t>USS THOMAS HUDNER - SRA</t>
        </is>
      </c>
      <c r="E2035" s="13" t="inlineStr">
        <is>
          <t>[REFERENCE]</t>
        </is>
      </c>
      <c r="F2035" s="7" t="inlineStr">
        <is>
          <t>OPN-funded; not OMN TAM</t>
        </is>
      </c>
      <c r="I2035" s="14" t="n">
        <v>2</v>
      </c>
      <c r="K2035" s="13" t="inlineStr">
        <is>
          <t>USN</t>
        </is>
      </c>
      <c r="L2035" s="7" t="inlineStr">
        <is>
          <t>Combatant Ships</t>
        </is>
      </c>
      <c r="M2035" s="7" t="inlineStr">
        <is>
          <t>Surface Combatants</t>
        </is>
      </c>
      <c r="N2035" s="7" t="inlineStr">
        <is>
          <t>DDG</t>
        </is>
      </c>
      <c r="O2035" s="15" t="n"/>
      <c r="S2035" s="16" t="n">
        <v>96808</v>
      </c>
      <c r="U2035" s="16" t="n">
        <v>96808</v>
      </c>
      <c r="AC2035" s="23">
        <f>IF(OR(E2035="",E2035="[PARENT]"),"ADD",IF(E2035="[ALT_VIEW]","ALT",""))</f>
        <v/>
      </c>
      <c r="AD2035" s="21">
        <f>IF(Y2035&lt;&gt;"",Y2035,IF(U2035&lt;&gt;"",U2035,S2035))</f>
        <v/>
      </c>
      <c r="AE2035" s="21">
        <f>IF(AB2035&lt;&gt;"",AB2035,Z2035)</f>
        <v/>
      </c>
      <c r="AF2035" s="13" t="inlineStr">
        <is>
          <t>BA1 &gt; 1B4B &gt; Table III CNO Availabilities (OPN)</t>
        </is>
      </c>
      <c r="AG2035" s="7" t="inlineStr">
        <is>
          <t>163</t>
        </is>
      </c>
      <c r="AH2035" s="7" t="inlineStr">
        <is>
          <t>1B4B</t>
        </is>
      </c>
    </row>
    <row r="2036" ht="10" customHeight="1">
      <c r="A2036" s="7" t="inlineStr">
        <is>
          <t>OMN</t>
        </is>
      </c>
      <c r="B2036" s="7" t="inlineStr">
        <is>
          <t>O&amp;M</t>
        </is>
      </c>
      <c r="C2036" s="7" t="inlineStr">
        <is>
          <t>DDG 102</t>
        </is>
      </c>
      <c r="D2036" s="7" t="inlineStr">
        <is>
          <t>USS SAMPSON - OH</t>
        </is>
      </c>
      <c r="E2036" s="13" t="inlineStr">
        <is>
          <t>[REFERENCE]</t>
        </is>
      </c>
      <c r="F2036" s="7" t="inlineStr">
        <is>
          <t>OPN-funded; not OMN TAM</t>
        </is>
      </c>
      <c r="I2036" s="14" t="n">
        <v>2</v>
      </c>
      <c r="K2036" s="13" t="inlineStr">
        <is>
          <t>USN</t>
        </is>
      </c>
      <c r="L2036" s="7" t="inlineStr">
        <is>
          <t>Combatant Ships</t>
        </is>
      </c>
      <c r="M2036" s="7" t="inlineStr">
        <is>
          <t>Surface Combatants</t>
        </is>
      </c>
      <c r="N2036" s="7" t="inlineStr">
        <is>
          <t>DDG</t>
        </is>
      </c>
      <c r="O2036" s="15" t="n"/>
      <c r="S2036" s="16" t="n">
        <v>139296</v>
      </c>
      <c r="U2036" s="16" t="n">
        <v>139296</v>
      </c>
      <c r="AC2036" s="23">
        <f>IF(OR(E2036="",E2036="[PARENT]"),"ADD",IF(E2036="[ALT_VIEW]","ALT",""))</f>
        <v/>
      </c>
      <c r="AD2036" s="21">
        <f>IF(Y2036&lt;&gt;"",Y2036,IF(U2036&lt;&gt;"",U2036,S2036))</f>
        <v/>
      </c>
      <c r="AE2036" s="21">
        <f>IF(AB2036&lt;&gt;"",AB2036,Z2036)</f>
        <v/>
      </c>
      <c r="AF2036" s="13" t="inlineStr">
        <is>
          <t>BA1 &gt; 1B4B &gt; Table III CNO Availabilities (OPN)</t>
        </is>
      </c>
      <c r="AG2036" s="7" t="inlineStr">
        <is>
          <t>163</t>
        </is>
      </c>
      <c r="AH2036" s="7" t="inlineStr">
        <is>
          <t>1B4B</t>
        </is>
      </c>
    </row>
    <row r="2037" ht="10" customHeight="1">
      <c r="A2037" s="7" t="inlineStr">
        <is>
          <t>OMN</t>
        </is>
      </c>
      <c r="B2037" s="7" t="inlineStr">
        <is>
          <t>O&amp;M</t>
        </is>
      </c>
      <c r="C2037" s="7" t="inlineStr">
        <is>
          <t>LPD 017</t>
        </is>
      </c>
      <c r="D2037" s="7" t="inlineStr">
        <is>
          <t>USS SAN ANTONIO - SRA</t>
        </is>
      </c>
      <c r="E2037" s="13" t="inlineStr">
        <is>
          <t>[REFERENCE]</t>
        </is>
      </c>
      <c r="F2037" s="7" t="inlineStr">
        <is>
          <t>OPN-funded; not OMN TAM</t>
        </is>
      </c>
      <c r="I2037" s="14" t="n">
        <v>2</v>
      </c>
      <c r="K2037" s="13" t="inlineStr">
        <is>
          <t>USN</t>
        </is>
      </c>
      <c r="L2037" s="7" t="inlineStr">
        <is>
          <t>Combatant Ships</t>
        </is>
      </c>
      <c r="M2037" s="7" t="inlineStr">
        <is>
          <t>Amphibious Warfare Ships</t>
        </is>
      </c>
      <c r="N2037" s="7" t="inlineStr">
        <is>
          <t>LPD</t>
        </is>
      </c>
      <c r="O2037" s="15" t="n"/>
      <c r="S2037" s="16" t="n">
        <v>106345</v>
      </c>
      <c r="U2037" s="16" t="n">
        <v>106345</v>
      </c>
      <c r="AC2037" s="23">
        <f>IF(OR(E2037="",E2037="[PARENT]"),"ADD",IF(E2037="[ALT_VIEW]","ALT",""))</f>
        <v/>
      </c>
      <c r="AD2037" s="21">
        <f>IF(Y2037&lt;&gt;"",Y2037,IF(U2037&lt;&gt;"",U2037,S2037))</f>
        <v/>
      </c>
      <c r="AE2037" s="21">
        <f>IF(AB2037&lt;&gt;"",AB2037,Z2037)</f>
        <v/>
      </c>
      <c r="AF2037" s="13" t="inlineStr">
        <is>
          <t>BA1 &gt; 1B4B &gt; Table III CNO Availabilities (OPN)</t>
        </is>
      </c>
      <c r="AG2037" s="7" t="inlineStr">
        <is>
          <t>163</t>
        </is>
      </c>
      <c r="AH2037" s="7" t="inlineStr">
        <is>
          <t>1B4B</t>
        </is>
      </c>
    </row>
    <row r="2038" ht="10" customHeight="1">
      <c r="A2038" s="7" t="inlineStr">
        <is>
          <t>OMN</t>
        </is>
      </c>
      <c r="B2038" s="7" t="inlineStr">
        <is>
          <t>O&amp;M</t>
        </is>
      </c>
      <c r="C2038" s="7" t="inlineStr">
        <is>
          <t>DDG-1001</t>
        </is>
      </c>
      <c r="D2038" s="7" t="inlineStr">
        <is>
          <t>USS MICHAEL MONSOOR - SRA</t>
        </is>
      </c>
      <c r="E2038" s="13" t="inlineStr">
        <is>
          <t>[REFERENCE]</t>
        </is>
      </c>
      <c r="F2038" s="7" t="inlineStr">
        <is>
          <t>OPN-funded; not OMN TAM</t>
        </is>
      </c>
      <c r="I2038" s="14" t="n">
        <v>2</v>
      </c>
      <c r="K2038" s="13" t="inlineStr">
        <is>
          <t>USN</t>
        </is>
      </c>
      <c r="L2038" s="7" t="inlineStr">
        <is>
          <t>Combatant Ships</t>
        </is>
      </c>
      <c r="M2038" s="7" t="inlineStr">
        <is>
          <t>Surface Combatants</t>
        </is>
      </c>
      <c r="N2038" s="7" t="inlineStr">
        <is>
          <t>DDG</t>
        </is>
      </c>
      <c r="O2038" s="15" t="n"/>
      <c r="S2038" s="16" t="n">
        <v>55319</v>
      </c>
      <c r="U2038" s="16" t="n">
        <v>55319</v>
      </c>
      <c r="AC2038" s="23">
        <f>IF(OR(E2038="",E2038="[PARENT]"),"ADD",IF(E2038="[ALT_VIEW]","ALT",""))</f>
        <v/>
      </c>
      <c r="AD2038" s="21">
        <f>IF(Y2038&lt;&gt;"",Y2038,IF(U2038&lt;&gt;"",U2038,S2038))</f>
        <v/>
      </c>
      <c r="AE2038" s="21">
        <f>IF(AB2038&lt;&gt;"",AB2038,Z2038)</f>
        <v/>
      </c>
      <c r="AF2038" s="13" t="inlineStr">
        <is>
          <t>BA1 &gt; 1B4B &gt; Table III CNO Availabilities (OPN)</t>
        </is>
      </c>
      <c r="AG2038" s="7" t="inlineStr">
        <is>
          <t>163</t>
        </is>
      </c>
      <c r="AH2038" s="7" t="inlineStr">
        <is>
          <t>1B4B</t>
        </is>
      </c>
    </row>
    <row r="2039" ht="10" customHeight="1">
      <c r="A2039" s="7" t="inlineStr">
        <is>
          <t>OMN</t>
        </is>
      </c>
      <c r="B2039" s="7" t="inlineStr">
        <is>
          <t>O&amp;M</t>
        </is>
      </c>
      <c r="C2039" s="7" t="inlineStr">
        <is>
          <t>DDG 072</t>
        </is>
      </c>
      <c r="D2039" s="7" t="inlineStr">
        <is>
          <t>USS MAHAN - SRA</t>
        </is>
      </c>
      <c r="E2039" s="13" t="inlineStr">
        <is>
          <t>[REFERENCE]</t>
        </is>
      </c>
      <c r="F2039" s="7" t="inlineStr">
        <is>
          <t>OPN-funded; not OMN TAM</t>
        </is>
      </c>
      <c r="I2039" s="14" t="n">
        <v>2</v>
      </c>
      <c r="K2039" s="13" t="inlineStr">
        <is>
          <t>USN</t>
        </is>
      </c>
      <c r="L2039" s="7" t="inlineStr">
        <is>
          <t>Combatant Ships</t>
        </is>
      </c>
      <c r="M2039" s="7" t="inlineStr">
        <is>
          <t>Surface Combatants</t>
        </is>
      </c>
      <c r="N2039" s="7" t="inlineStr">
        <is>
          <t>DDG</t>
        </is>
      </c>
      <c r="O2039" s="15" t="n"/>
      <c r="S2039" s="16" t="n">
        <v>107108</v>
      </c>
      <c r="U2039" s="16" t="n">
        <v>107108</v>
      </c>
      <c r="AC2039" s="23">
        <f>IF(OR(E2039="",E2039="[PARENT]"),"ADD",IF(E2039="[ALT_VIEW]","ALT",""))</f>
        <v/>
      </c>
      <c r="AD2039" s="21">
        <f>IF(Y2039&lt;&gt;"",Y2039,IF(U2039&lt;&gt;"",U2039,S2039))</f>
        <v/>
      </c>
      <c r="AE2039" s="21">
        <f>IF(AB2039&lt;&gt;"",AB2039,Z2039)</f>
        <v/>
      </c>
      <c r="AF2039" s="13" t="inlineStr">
        <is>
          <t>BA1 &gt; 1B4B &gt; Table III CNO Availabilities (OPN)</t>
        </is>
      </c>
      <c r="AG2039" s="7" t="inlineStr">
        <is>
          <t>163</t>
        </is>
      </c>
      <c r="AH2039" s="7" t="inlineStr">
        <is>
          <t>1B4B</t>
        </is>
      </c>
    </row>
    <row r="2040" ht="10" customHeight="1">
      <c r="A2040" s="7" t="inlineStr">
        <is>
          <t>OMN</t>
        </is>
      </c>
      <c r="B2040" s="7" t="inlineStr">
        <is>
          <t>O&amp;M</t>
        </is>
      </c>
      <c r="C2040" s="7" t="inlineStr">
        <is>
          <t>DDG 123</t>
        </is>
      </c>
      <c r="D2040" s="7" t="inlineStr">
        <is>
          <t>USS LENAH H. SUTCLIFFE HIGBEE - SRA</t>
        </is>
      </c>
      <c r="E2040" s="13" t="inlineStr">
        <is>
          <t>[REFERENCE]</t>
        </is>
      </c>
      <c r="F2040" s="7" t="inlineStr">
        <is>
          <t>OPN-funded; not OMN TAM</t>
        </is>
      </c>
      <c r="I2040" s="14" t="n">
        <v>2</v>
      </c>
      <c r="K2040" s="13" t="inlineStr">
        <is>
          <t>USN</t>
        </is>
      </c>
      <c r="L2040" s="7" t="inlineStr">
        <is>
          <t>Combatant Ships</t>
        </is>
      </c>
      <c r="M2040" s="7" t="inlineStr">
        <is>
          <t>Surface Combatants</t>
        </is>
      </c>
      <c r="N2040" s="7" t="inlineStr">
        <is>
          <t>DDG</t>
        </is>
      </c>
      <c r="O2040" s="15" t="n"/>
      <c r="S2040" s="16" t="n">
        <v>25083</v>
      </c>
      <c r="U2040" s="16" t="n">
        <v>25083</v>
      </c>
      <c r="AC2040" s="23">
        <f>IF(OR(E2040="",E2040="[PARENT]"),"ADD",IF(E2040="[ALT_VIEW]","ALT",""))</f>
        <v/>
      </c>
      <c r="AD2040" s="21">
        <f>IF(Y2040&lt;&gt;"",Y2040,IF(U2040&lt;&gt;"",U2040,S2040))</f>
        <v/>
      </c>
      <c r="AE2040" s="21">
        <f>IF(AB2040&lt;&gt;"",AB2040,Z2040)</f>
        <v/>
      </c>
      <c r="AF2040" s="13" t="inlineStr">
        <is>
          <t>BA1 &gt; 1B4B &gt; Table III CNO Availabilities (OPN)</t>
        </is>
      </c>
      <c r="AG2040" s="7" t="inlineStr">
        <is>
          <t>163</t>
        </is>
      </c>
      <c r="AH2040" s="7" t="inlineStr">
        <is>
          <t>1B4B</t>
        </is>
      </c>
    </row>
    <row r="2041" ht="10" customHeight="1">
      <c r="A2041" s="7" t="inlineStr">
        <is>
          <t>OMN</t>
        </is>
      </c>
      <c r="B2041" s="7" t="inlineStr">
        <is>
          <t>O&amp;M</t>
        </is>
      </c>
      <c r="C2041" s="7" t="inlineStr">
        <is>
          <t>LCS 030</t>
        </is>
      </c>
      <c r="D2041" s="7" t="inlineStr">
        <is>
          <t>USS CANBERRA - SRA</t>
        </is>
      </c>
      <c r="E2041" s="13" t="inlineStr">
        <is>
          <t>[REFERENCE]</t>
        </is>
      </c>
      <c r="F2041" s="7" t="inlineStr">
        <is>
          <t>OPN-funded; not OMN TAM</t>
        </is>
      </c>
      <c r="I2041" s="14" t="n">
        <v>2</v>
      </c>
      <c r="K2041" s="13" t="inlineStr">
        <is>
          <t>USN</t>
        </is>
      </c>
      <c r="L2041" s="7" t="inlineStr">
        <is>
          <t>Combatant Ships</t>
        </is>
      </c>
      <c r="M2041" s="7" t="inlineStr">
        <is>
          <t>Surface Combatants</t>
        </is>
      </c>
      <c r="N2041" s="7" t="inlineStr">
        <is>
          <t>LCS</t>
        </is>
      </c>
      <c r="O2041" s="15" t="n"/>
      <c r="S2041" s="16" t="n">
        <v>73360</v>
      </c>
      <c r="U2041" s="16" t="n">
        <v>73360</v>
      </c>
      <c r="AC2041" s="23">
        <f>IF(OR(E2041="",E2041="[PARENT]"),"ADD",IF(E2041="[ALT_VIEW]","ALT",""))</f>
        <v/>
      </c>
      <c r="AD2041" s="21">
        <f>IF(Y2041&lt;&gt;"",Y2041,IF(U2041&lt;&gt;"",U2041,S2041))</f>
        <v/>
      </c>
      <c r="AE2041" s="21">
        <f>IF(AB2041&lt;&gt;"",AB2041,Z2041)</f>
        <v/>
      </c>
      <c r="AF2041" s="13" t="inlineStr">
        <is>
          <t>BA1 &gt; 1B4B &gt; Table III CNO Availabilities (OPN)</t>
        </is>
      </c>
      <c r="AG2041" s="7" t="inlineStr">
        <is>
          <t>163</t>
        </is>
      </c>
      <c r="AH2041" s="7" t="inlineStr">
        <is>
          <t>1B4B</t>
        </is>
      </c>
    </row>
    <row r="2042" ht="10" customHeight="1">
      <c r="A2042" s="7" t="inlineStr">
        <is>
          <t>OMN</t>
        </is>
      </c>
      <c r="B2042" s="7" t="inlineStr">
        <is>
          <t>O&amp;M</t>
        </is>
      </c>
      <c r="C2042" s="7" t="inlineStr">
        <is>
          <t>LCS 034</t>
        </is>
      </c>
      <c r="D2042" s="7" t="inlineStr">
        <is>
          <t>USS AUGUSTA - SRA</t>
        </is>
      </c>
      <c r="E2042" s="13" t="inlineStr">
        <is>
          <t>[REFERENCE]</t>
        </is>
      </c>
      <c r="F2042" s="7" t="inlineStr">
        <is>
          <t>OPN-funded; not OMN TAM</t>
        </is>
      </c>
      <c r="I2042" s="14" t="n">
        <v>2</v>
      </c>
      <c r="K2042" s="13" t="inlineStr">
        <is>
          <t>USN</t>
        </is>
      </c>
      <c r="L2042" s="7" t="inlineStr">
        <is>
          <t>Combatant Ships</t>
        </is>
      </c>
      <c r="M2042" s="7" t="inlineStr">
        <is>
          <t>Surface Combatants</t>
        </is>
      </c>
      <c r="N2042" s="7" t="inlineStr">
        <is>
          <t>LCS</t>
        </is>
      </c>
      <c r="O2042" s="15" t="n"/>
      <c r="S2042" s="16" t="n">
        <v>74891</v>
      </c>
      <c r="U2042" s="16" t="n">
        <v>74891</v>
      </c>
      <c r="AC2042" s="23">
        <f>IF(OR(E2042="",E2042="[PARENT]"),"ADD",IF(E2042="[ALT_VIEW]","ALT",""))</f>
        <v/>
      </c>
      <c r="AD2042" s="21">
        <f>IF(Y2042&lt;&gt;"",Y2042,IF(U2042&lt;&gt;"",U2042,S2042))</f>
        <v/>
      </c>
      <c r="AE2042" s="21">
        <f>IF(AB2042&lt;&gt;"",AB2042,Z2042)</f>
        <v/>
      </c>
      <c r="AF2042" s="13" t="inlineStr">
        <is>
          <t>BA1 &gt; 1B4B &gt; Table III CNO Availabilities (OPN)</t>
        </is>
      </c>
      <c r="AG2042" s="7" t="inlineStr">
        <is>
          <t>163</t>
        </is>
      </c>
      <c r="AH2042" s="7" t="inlineStr">
        <is>
          <t>1B4B</t>
        </is>
      </c>
    </row>
    <row r="2043" ht="10" customHeight="1">
      <c r="A2043" s="7" t="inlineStr">
        <is>
          <t>OMN</t>
        </is>
      </c>
      <c r="B2043" s="7" t="inlineStr">
        <is>
          <t>O&amp;M</t>
        </is>
      </c>
      <c r="C2043" s="7" t="inlineStr">
        <is>
          <t>DDG 091</t>
        </is>
      </c>
      <c r="D2043" s="7" t="inlineStr">
        <is>
          <t>USS PINCKNEY - OH</t>
        </is>
      </c>
      <c r="E2043" s="13" t="inlineStr">
        <is>
          <t>[REFERENCE]</t>
        </is>
      </c>
      <c r="F2043" s="7" t="inlineStr">
        <is>
          <t>OPN-funded; not OMN TAM</t>
        </is>
      </c>
      <c r="I2043" s="14" t="n">
        <v>2</v>
      </c>
      <c r="K2043" s="13" t="inlineStr">
        <is>
          <t>USN</t>
        </is>
      </c>
      <c r="L2043" s="7" t="inlineStr">
        <is>
          <t>Combatant Ships</t>
        </is>
      </c>
      <c r="M2043" s="7" t="inlineStr">
        <is>
          <t>Surface Combatants</t>
        </is>
      </c>
      <c r="N2043" s="7" t="inlineStr">
        <is>
          <t>DDG</t>
        </is>
      </c>
      <c r="O2043" s="15" t="n"/>
      <c r="S2043" s="16" t="n">
        <v>56967</v>
      </c>
      <c r="U2043" s="16" t="n">
        <v>56967</v>
      </c>
      <c r="AC2043" s="23">
        <f>IF(OR(E2043="",E2043="[PARENT]"),"ADD",IF(E2043="[ALT_VIEW]","ALT",""))</f>
        <v/>
      </c>
      <c r="AD2043" s="21">
        <f>IF(Y2043&lt;&gt;"",Y2043,IF(U2043&lt;&gt;"",U2043,S2043))</f>
        <v/>
      </c>
      <c r="AE2043" s="21">
        <f>IF(AB2043&lt;&gt;"",AB2043,Z2043)</f>
        <v/>
      </c>
      <c r="AF2043" s="13" t="inlineStr">
        <is>
          <t>BA1 &gt; 1B4B &gt; Table III CNO Availabilities (OPN)</t>
        </is>
      </c>
      <c r="AG2043" s="7" t="inlineStr">
        <is>
          <t>163</t>
        </is>
      </c>
      <c r="AH2043" s="7" t="inlineStr">
        <is>
          <t>1B4B</t>
        </is>
      </c>
    </row>
    <row r="2044" ht="10" customHeight="1">
      <c r="A2044" s="7" t="inlineStr">
        <is>
          <t>OMN</t>
        </is>
      </c>
      <c r="B2044" s="7" t="inlineStr">
        <is>
          <t>O&amp;M</t>
        </is>
      </c>
      <c r="C2044" s="7" t="inlineStr">
        <is>
          <t>CG 071</t>
        </is>
      </c>
      <c r="D2044" s="7" t="inlineStr">
        <is>
          <t>USS CAPE ST GEORGE - SRA</t>
        </is>
      </c>
      <c r="E2044" s="13" t="inlineStr">
        <is>
          <t>[REFERENCE]</t>
        </is>
      </c>
      <c r="F2044" s="7" t="inlineStr">
        <is>
          <t>OPN-funded; not OMN TAM</t>
        </is>
      </c>
      <c r="I2044" s="14" t="n">
        <v>2</v>
      </c>
      <c r="K2044" s="13" t="inlineStr">
        <is>
          <t>USN</t>
        </is>
      </c>
      <c r="L2044" s="7" t="inlineStr">
        <is>
          <t>Combatant Ships</t>
        </is>
      </c>
      <c r="M2044" s="7" t="inlineStr">
        <is>
          <t>Surface Combatants</t>
        </is>
      </c>
      <c r="N2044" s="7" t="inlineStr">
        <is>
          <t>CG</t>
        </is>
      </c>
      <c r="O2044" s="15" t="n"/>
      <c r="S2044" s="16" t="n">
        <v>42351</v>
      </c>
      <c r="U2044" s="16" t="n">
        <v>42351</v>
      </c>
      <c r="AC2044" s="23">
        <f>IF(OR(E2044="",E2044="[PARENT]"),"ADD",IF(E2044="[ALT_VIEW]","ALT",""))</f>
        <v/>
      </c>
      <c r="AD2044" s="21">
        <f>IF(Y2044&lt;&gt;"",Y2044,IF(U2044&lt;&gt;"",U2044,S2044))</f>
        <v/>
      </c>
      <c r="AE2044" s="21">
        <f>IF(AB2044&lt;&gt;"",AB2044,Z2044)</f>
        <v/>
      </c>
      <c r="AF2044" s="13" t="inlineStr">
        <is>
          <t>BA1 &gt; 1B4B &gt; Table III CNO Availabilities (OPN)</t>
        </is>
      </c>
      <c r="AG2044" s="7" t="inlineStr">
        <is>
          <t>164</t>
        </is>
      </c>
      <c r="AH2044" s="7" t="inlineStr">
        <is>
          <t>1B4B</t>
        </is>
      </c>
    </row>
    <row r="2045" ht="10" customHeight="1">
      <c r="A2045" s="7" t="inlineStr">
        <is>
          <t>OMN</t>
        </is>
      </c>
      <c r="B2045" s="7" t="inlineStr">
        <is>
          <t>O&amp;M</t>
        </is>
      </c>
      <c r="C2045" s="7" t="inlineStr">
        <is>
          <t>LHD 004</t>
        </is>
      </c>
      <c r="D2045" s="7" t="inlineStr">
        <is>
          <t>USS BOXER - SRA</t>
        </is>
      </c>
      <c r="E2045" s="13" t="inlineStr">
        <is>
          <t>[REFERENCE]</t>
        </is>
      </c>
      <c r="F2045" s="7" t="inlineStr">
        <is>
          <t>OPN-funded; not OMN TAM</t>
        </is>
      </c>
      <c r="I2045" s="14" t="n">
        <v>2</v>
      </c>
      <c r="K2045" s="13" t="inlineStr">
        <is>
          <t>USN</t>
        </is>
      </c>
      <c r="L2045" s="7" t="inlineStr">
        <is>
          <t>Combatant Ships</t>
        </is>
      </c>
      <c r="M2045" s="7" t="inlineStr">
        <is>
          <t>Amphibious Warfare Ships</t>
        </is>
      </c>
      <c r="N2045" s="7" t="inlineStr">
        <is>
          <t>LHD</t>
        </is>
      </c>
      <c r="O2045" s="15" t="n"/>
      <c r="S2045" s="16" t="n">
        <v>179791</v>
      </c>
      <c r="U2045" s="16" t="n">
        <v>179791</v>
      </c>
      <c r="AC2045" s="23">
        <f>IF(OR(E2045="",E2045="[PARENT]"),"ADD",IF(E2045="[ALT_VIEW]","ALT",""))</f>
        <v/>
      </c>
      <c r="AD2045" s="21">
        <f>IF(Y2045&lt;&gt;"",Y2045,IF(U2045&lt;&gt;"",U2045,S2045))</f>
        <v/>
      </c>
      <c r="AE2045" s="21">
        <f>IF(AB2045&lt;&gt;"",AB2045,Z2045)</f>
        <v/>
      </c>
      <c r="AF2045" s="13" t="inlineStr">
        <is>
          <t>BA1 &gt; 1B4B &gt; Table III CNO Availabilities (OPN)</t>
        </is>
      </c>
      <c r="AG2045" s="7" t="inlineStr">
        <is>
          <t>164</t>
        </is>
      </c>
      <c r="AH2045" s="7" t="inlineStr">
        <is>
          <t>1B4B</t>
        </is>
      </c>
    </row>
    <row r="2046" ht="10" customHeight="1">
      <c r="A2046" s="7" t="inlineStr">
        <is>
          <t>OMN</t>
        </is>
      </c>
      <c r="B2046" s="7" t="inlineStr">
        <is>
          <t>O&amp;M</t>
        </is>
      </c>
      <c r="C2046" s="7" t="inlineStr">
        <is>
          <t>DDG 075</t>
        </is>
      </c>
      <c r="D2046" s="7" t="inlineStr">
        <is>
          <t>USS DONALD COOK - SRA</t>
        </is>
      </c>
      <c r="E2046" s="13" t="inlineStr">
        <is>
          <t>[REFERENCE]</t>
        </is>
      </c>
      <c r="F2046" s="7" t="inlineStr">
        <is>
          <t>OPN-funded; not OMN TAM</t>
        </is>
      </c>
      <c r="I2046" s="14" t="n">
        <v>2</v>
      </c>
      <c r="K2046" s="13" t="inlineStr">
        <is>
          <t>USN</t>
        </is>
      </c>
      <c r="L2046" s="7" t="inlineStr">
        <is>
          <t>Combatant Ships</t>
        </is>
      </c>
      <c r="M2046" s="7" t="inlineStr">
        <is>
          <t>Surface Combatants</t>
        </is>
      </c>
      <c r="N2046" s="7" t="inlineStr">
        <is>
          <t>DDG</t>
        </is>
      </c>
      <c r="O2046" s="15" t="n"/>
      <c r="S2046" s="16" t="n">
        <v>103218</v>
      </c>
      <c r="U2046" s="16" t="n">
        <v>103218</v>
      </c>
      <c r="AC2046" s="23">
        <f>IF(OR(E2046="",E2046="[PARENT]"),"ADD",IF(E2046="[ALT_VIEW]","ALT",""))</f>
        <v/>
      </c>
      <c r="AD2046" s="21">
        <f>IF(Y2046&lt;&gt;"",Y2046,IF(U2046&lt;&gt;"",U2046,S2046))</f>
        <v/>
      </c>
      <c r="AE2046" s="21">
        <f>IF(AB2046&lt;&gt;"",AB2046,Z2046)</f>
        <v/>
      </c>
      <c r="AF2046" s="13" t="inlineStr">
        <is>
          <t>BA1 &gt; 1B4B &gt; Table III CNO Availabilities (OPN)</t>
        </is>
      </c>
      <c r="AG2046" s="7" t="inlineStr">
        <is>
          <t>164</t>
        </is>
      </c>
      <c r="AH2046" s="7" t="inlineStr">
        <is>
          <t>1B4B</t>
        </is>
      </c>
    </row>
    <row r="2047" ht="10" customHeight="1">
      <c r="A2047" s="7" t="inlineStr">
        <is>
          <t>OMN</t>
        </is>
      </c>
      <c r="B2047" s="7" t="inlineStr">
        <is>
          <t>O&amp;M</t>
        </is>
      </c>
      <c r="C2047" s="7" t="inlineStr">
        <is>
          <t>AS 39</t>
        </is>
      </c>
      <c r="D2047" s="7" t="inlineStr">
        <is>
          <t>USS EMORY LAND</t>
        </is>
      </c>
      <c r="E2047" s="13" t="inlineStr">
        <is>
          <t>[SUB]</t>
        </is>
      </c>
      <c r="F2047" s="7" t="inlineStr">
        <is>
          <t>MSC Regular Overhaul (ROH)</t>
        </is>
      </c>
      <c r="I2047" s="14" t="n">
        <v>2</v>
      </c>
      <c r="K2047" s="13" t="inlineStr">
        <is>
          <t>USN</t>
        </is>
      </c>
      <c r="L2047" s="7" t="inlineStr">
        <is>
          <t>Combatant Ships</t>
        </is>
      </c>
      <c r="M2047" s="7" t="inlineStr">
        <is>
          <t>Material Support Ships</t>
        </is>
      </c>
      <c r="N2047" s="7" t="inlineStr">
        <is>
          <t>AS</t>
        </is>
      </c>
      <c r="O2047" s="15" t="n"/>
      <c r="S2047" s="16" t="n">
        <v>60807</v>
      </c>
      <c r="U2047" s="16" t="n">
        <v>60807</v>
      </c>
      <c r="AC2047" s="23">
        <f>IF(OR(E2047="",E2047="[PARENT]"),"ADD",IF(E2047="[ALT_VIEW]","ALT",""))</f>
        <v/>
      </c>
      <c r="AD2047" s="21">
        <f>IF(Y2047&lt;&gt;"",Y2047,IF(U2047&lt;&gt;"",U2047,S2047))</f>
        <v/>
      </c>
      <c r="AE2047" s="21">
        <f>IF(AB2047&lt;&gt;"",AB2047,Z2047)</f>
        <v/>
      </c>
      <c r="AF2047" s="13" t="inlineStr">
        <is>
          <t>BA1 &gt; 1B4B &gt; Table IV MSC M&amp;R</t>
        </is>
      </c>
      <c r="AG2047" s="7" t="inlineStr">
        <is>
          <t>166</t>
        </is>
      </c>
      <c r="AH2047" s="7" t="inlineStr">
        <is>
          <t>1B4B</t>
        </is>
      </c>
    </row>
    <row r="2048" ht="10" customHeight="1">
      <c r="A2048" s="7" t="inlineStr">
        <is>
          <t>OMN</t>
        </is>
      </c>
      <c r="B2048" s="7" t="inlineStr">
        <is>
          <t>O&amp;M</t>
        </is>
      </c>
      <c r="C2048" s="7" t="inlineStr">
        <is>
          <t>AS 40</t>
        </is>
      </c>
      <c r="D2048" s="7" t="inlineStr">
        <is>
          <t>USS FRANK CABLE</t>
        </is>
      </c>
      <c r="E2048" s="13" t="inlineStr">
        <is>
          <t>[SUB]</t>
        </is>
      </c>
      <c r="F2048" s="7" t="inlineStr">
        <is>
          <t>MSC Mid-Term Availability (MTA)</t>
        </is>
      </c>
      <c r="I2048" s="14" t="n">
        <v>2</v>
      </c>
      <c r="K2048" s="13" t="inlineStr">
        <is>
          <t>USN</t>
        </is>
      </c>
      <c r="L2048" s="7" t="inlineStr">
        <is>
          <t>Combatant Ships</t>
        </is>
      </c>
      <c r="M2048" s="7" t="inlineStr">
        <is>
          <t>Material Support Ships</t>
        </is>
      </c>
      <c r="N2048" s="7" t="inlineStr">
        <is>
          <t>AS</t>
        </is>
      </c>
      <c r="O2048" s="15" t="n"/>
      <c r="S2048" s="16" t="n">
        <v>15165</v>
      </c>
      <c r="U2048" s="16" t="n">
        <v>15165</v>
      </c>
      <c r="AC2048" s="23">
        <f>IF(OR(E2048="",E2048="[PARENT]"),"ADD",IF(E2048="[ALT_VIEW]","ALT",""))</f>
        <v/>
      </c>
      <c r="AD2048" s="21">
        <f>IF(Y2048&lt;&gt;"",Y2048,IF(U2048&lt;&gt;"",U2048,S2048))</f>
        <v/>
      </c>
      <c r="AE2048" s="21">
        <f>IF(AB2048&lt;&gt;"",AB2048,Z2048)</f>
        <v/>
      </c>
      <c r="AF2048" s="13" t="inlineStr">
        <is>
          <t>BA1 &gt; 1B4B &gt; Table IV MSC M&amp;R</t>
        </is>
      </c>
      <c r="AG2048" s="7" t="inlineStr">
        <is>
          <t>166</t>
        </is>
      </c>
      <c r="AH2048" s="7" t="inlineStr">
        <is>
          <t>1B4B</t>
        </is>
      </c>
    </row>
    <row r="2049" ht="10" customHeight="1">
      <c r="A2049" s="7" t="inlineStr">
        <is>
          <t>OMN</t>
        </is>
      </c>
      <c r="B2049" s="7" t="inlineStr">
        <is>
          <t>O&amp;M</t>
        </is>
      </c>
      <c r="C2049" s="7" t="inlineStr">
        <is>
          <t>ESB 3</t>
        </is>
      </c>
      <c r="D2049" s="7" t="inlineStr">
        <is>
          <t>USS LEWIS B. PULLER</t>
        </is>
      </c>
      <c r="E2049" s="13" t="inlineStr">
        <is>
          <t>[SUB]</t>
        </is>
      </c>
      <c r="F2049" s="7" t="inlineStr">
        <is>
          <t>MSC Mid-Term Availability (MTA)</t>
        </is>
      </c>
      <c r="I2049" s="14" t="n">
        <v>2</v>
      </c>
      <c r="K2049" s="13" t="inlineStr">
        <is>
          <t>MSC</t>
        </is>
      </c>
      <c r="L2049" s="7" t="inlineStr">
        <is>
          <t>Combatant Ships</t>
        </is>
      </c>
      <c r="M2049" s="7" t="inlineStr">
        <is>
          <t>Expeditionary &amp; Seabasing Ships</t>
        </is>
      </c>
      <c r="N2049" s="7" t="inlineStr">
        <is>
          <t>T-ESB</t>
        </is>
      </c>
      <c r="O2049" s="15" t="n"/>
      <c r="S2049" s="16" t="n">
        <v>7051</v>
      </c>
      <c r="U2049" s="16" t="n">
        <v>7051</v>
      </c>
      <c r="AC2049" s="23">
        <f>IF(OR(E2049="",E2049="[PARENT]"),"ADD",IF(E2049="[ALT_VIEW]","ALT",""))</f>
        <v/>
      </c>
      <c r="AD2049" s="21">
        <f>IF(Y2049&lt;&gt;"",Y2049,IF(U2049&lt;&gt;"",U2049,S2049))</f>
        <v/>
      </c>
      <c r="AE2049" s="21">
        <f>IF(AB2049&lt;&gt;"",AB2049,Z2049)</f>
        <v/>
      </c>
      <c r="AF2049" s="13" t="inlineStr">
        <is>
          <t>BA1 &gt; 1B4B &gt; Table IV MSC M&amp;R</t>
        </is>
      </c>
      <c r="AG2049" s="7" t="inlineStr">
        <is>
          <t>166</t>
        </is>
      </c>
      <c r="AH2049" s="7" t="inlineStr">
        <is>
          <t>1B4B</t>
        </is>
      </c>
    </row>
    <row r="2050" ht="10" customHeight="1">
      <c r="A2050" s="7" t="inlineStr">
        <is>
          <t>OMN</t>
        </is>
      </c>
      <c r="B2050" s="7" t="inlineStr">
        <is>
          <t>O&amp;M</t>
        </is>
      </c>
      <c r="C2050" s="7" t="inlineStr">
        <is>
          <t>ESB 4</t>
        </is>
      </c>
      <c r="D2050" s="7" t="inlineStr">
        <is>
          <t>ESB 4 H. WILLIAMS</t>
        </is>
      </c>
      <c r="E2050" s="13" t="inlineStr">
        <is>
          <t>[SUB]</t>
        </is>
      </c>
      <c r="F2050" s="7" t="inlineStr">
        <is>
          <t>MSC Regular Overhaul (ROH)</t>
        </is>
      </c>
      <c r="I2050" s="14" t="n">
        <v>2</v>
      </c>
      <c r="K2050" s="13" t="inlineStr">
        <is>
          <t>MSC</t>
        </is>
      </c>
      <c r="L2050" s="7" t="inlineStr">
        <is>
          <t>Combatant Ships</t>
        </is>
      </c>
      <c r="M2050" s="7" t="inlineStr">
        <is>
          <t>Expeditionary &amp; Seabasing Ships</t>
        </is>
      </c>
      <c r="N2050" s="7" t="inlineStr">
        <is>
          <t>T-ESB</t>
        </is>
      </c>
      <c r="O2050" s="15" t="n"/>
      <c r="S2050" s="16" t="n">
        <v>8087</v>
      </c>
      <c r="U2050" s="16" t="n">
        <v>8087</v>
      </c>
      <c r="AC2050" s="23">
        <f>IF(OR(E2050="",E2050="[PARENT]"),"ADD",IF(E2050="[ALT_VIEW]","ALT",""))</f>
        <v/>
      </c>
      <c r="AD2050" s="21">
        <f>IF(Y2050&lt;&gt;"",Y2050,IF(U2050&lt;&gt;"",U2050,S2050))</f>
        <v/>
      </c>
      <c r="AE2050" s="21">
        <f>IF(AB2050&lt;&gt;"",AB2050,Z2050)</f>
        <v/>
      </c>
      <c r="AF2050" s="13" t="inlineStr">
        <is>
          <t>BA1 &gt; 1B4B &gt; Table IV MSC M&amp;R</t>
        </is>
      </c>
      <c r="AG2050" s="7" t="inlineStr">
        <is>
          <t>166</t>
        </is>
      </c>
      <c r="AH2050" s="7" t="inlineStr">
        <is>
          <t>1B4B</t>
        </is>
      </c>
    </row>
    <row r="2051" ht="10" customHeight="1">
      <c r="A2051" s="7" t="inlineStr">
        <is>
          <t>OMN</t>
        </is>
      </c>
      <c r="B2051" s="7" t="inlineStr">
        <is>
          <t>O&amp;M</t>
        </is>
      </c>
      <c r="C2051" s="7" t="inlineStr">
        <is>
          <t>ESB 5</t>
        </is>
      </c>
      <c r="D2051" s="7" t="inlineStr">
        <is>
          <t>USNS MIGUEL KEITH</t>
        </is>
      </c>
      <c r="E2051" s="13" t="inlineStr">
        <is>
          <t>[SUB]</t>
        </is>
      </c>
      <c r="F2051" s="7" t="inlineStr">
        <is>
          <t>MSC Mid-Term Availability (MTA)</t>
        </is>
      </c>
      <c r="I2051" s="14" t="n">
        <v>2</v>
      </c>
      <c r="K2051" s="13" t="inlineStr">
        <is>
          <t>MSC</t>
        </is>
      </c>
      <c r="L2051" s="7" t="inlineStr">
        <is>
          <t>Combatant Ships</t>
        </is>
      </c>
      <c r="M2051" s="7" t="inlineStr">
        <is>
          <t>Expeditionary &amp; Seabasing Ships</t>
        </is>
      </c>
      <c r="N2051" s="7" t="inlineStr">
        <is>
          <t>T-ESB</t>
        </is>
      </c>
      <c r="O2051" s="15" t="n"/>
      <c r="S2051" s="16" t="n">
        <v>18342</v>
      </c>
      <c r="U2051" s="16" t="n">
        <v>18342</v>
      </c>
      <c r="AC2051" s="23">
        <f>IF(OR(E2051="",E2051="[PARENT]"),"ADD",IF(E2051="[ALT_VIEW]","ALT",""))</f>
        <v/>
      </c>
      <c r="AD2051" s="21">
        <f>IF(Y2051&lt;&gt;"",Y2051,IF(U2051&lt;&gt;"",U2051,S2051))</f>
        <v/>
      </c>
      <c r="AE2051" s="21">
        <f>IF(AB2051&lt;&gt;"",AB2051,Z2051)</f>
        <v/>
      </c>
      <c r="AF2051" s="13" t="inlineStr">
        <is>
          <t>BA1 &gt; 1B4B &gt; Table IV MSC M&amp;R</t>
        </is>
      </c>
      <c r="AG2051" s="7" t="inlineStr">
        <is>
          <t>167</t>
        </is>
      </c>
      <c r="AH2051" s="7" t="inlineStr">
        <is>
          <t>1B4B</t>
        </is>
      </c>
    </row>
    <row r="2052" ht="10" customHeight="1">
      <c r="A2052" s="7" t="inlineStr">
        <is>
          <t>OMN</t>
        </is>
      </c>
      <c r="B2052" s="7" t="inlineStr">
        <is>
          <t>O&amp;M</t>
        </is>
      </c>
      <c r="C2052" s="7" t="inlineStr">
        <is>
          <t>ESB 6</t>
        </is>
      </c>
      <c r="D2052" s="7" t="inlineStr">
        <is>
          <t>USNS JOHN L CANLEY</t>
        </is>
      </c>
      <c r="E2052" s="13" t="inlineStr">
        <is>
          <t>[SUB]</t>
        </is>
      </c>
      <c r="F2052" s="7" t="inlineStr">
        <is>
          <t>MSC Regular Overhaul (ROH)</t>
        </is>
      </c>
      <c r="I2052" s="14" t="n">
        <v>2</v>
      </c>
      <c r="K2052" s="13" t="inlineStr">
        <is>
          <t>MSC</t>
        </is>
      </c>
      <c r="L2052" s="7" t="inlineStr">
        <is>
          <t>Combatant Ships</t>
        </is>
      </c>
      <c r="M2052" s="7" t="inlineStr">
        <is>
          <t>Expeditionary &amp; Seabasing Ships</t>
        </is>
      </c>
      <c r="N2052" s="7" t="inlineStr">
        <is>
          <t>T-ESB</t>
        </is>
      </c>
      <c r="O2052" s="15" t="n"/>
      <c r="S2052" s="16" t="n">
        <v>9683</v>
      </c>
      <c r="U2052" s="16" t="n">
        <v>9683</v>
      </c>
      <c r="AC2052" s="23">
        <f>IF(OR(E2052="",E2052="[PARENT]"),"ADD",IF(E2052="[ALT_VIEW]","ALT",""))</f>
        <v/>
      </c>
      <c r="AD2052" s="21">
        <f>IF(Y2052&lt;&gt;"",Y2052,IF(U2052&lt;&gt;"",U2052,S2052))</f>
        <v/>
      </c>
      <c r="AE2052" s="21">
        <f>IF(AB2052&lt;&gt;"",AB2052,Z2052)</f>
        <v/>
      </c>
      <c r="AF2052" s="13" t="inlineStr">
        <is>
          <t>BA1 &gt; 1B4B &gt; Table IV MSC M&amp;R</t>
        </is>
      </c>
      <c r="AG2052" s="7" t="inlineStr">
        <is>
          <t>167</t>
        </is>
      </c>
      <c r="AH2052" s="7" t="inlineStr">
        <is>
          <t>1B4B</t>
        </is>
      </c>
    </row>
    <row r="2053" ht="10" customHeight="1">
      <c r="A2053" s="7" t="inlineStr">
        <is>
          <t>OMN</t>
        </is>
      </c>
      <c r="B2053" s="7" t="inlineStr">
        <is>
          <t>O&amp;M</t>
        </is>
      </c>
      <c r="C2053" s="7" t="inlineStr">
        <is>
          <t>ESB 7</t>
        </is>
      </c>
      <c r="D2053" s="7" t="inlineStr">
        <is>
          <t>USNS ROBERT E SIMANEK</t>
        </is>
      </c>
      <c r="E2053" s="13" t="inlineStr">
        <is>
          <t>[SUB]</t>
        </is>
      </c>
      <c r="F2053" s="7" t="inlineStr">
        <is>
          <t>Ship Maintenance</t>
        </is>
      </c>
      <c r="I2053" s="14" t="n">
        <v>2</v>
      </c>
      <c r="K2053" s="13" t="inlineStr">
        <is>
          <t>MSC</t>
        </is>
      </c>
      <c r="L2053" s="7" t="inlineStr">
        <is>
          <t>Combatant Ships</t>
        </is>
      </c>
      <c r="M2053" s="7" t="inlineStr">
        <is>
          <t>Expeditionary &amp; Seabasing Ships</t>
        </is>
      </c>
      <c r="N2053" s="7" t="inlineStr">
        <is>
          <t>T-ESB</t>
        </is>
      </c>
      <c r="O2053" s="15" t="n"/>
      <c r="S2053" s="16" t="n">
        <v>21018</v>
      </c>
      <c r="U2053" s="16" t="n">
        <v>21018</v>
      </c>
      <c r="AC2053" s="23">
        <f>IF(OR(E2053="",E2053="[PARENT]"),"ADD",IF(E2053="[ALT_VIEW]","ALT",""))</f>
        <v/>
      </c>
      <c r="AD2053" s="21">
        <f>IF(Y2053&lt;&gt;"",Y2053,IF(U2053&lt;&gt;"",U2053,S2053))</f>
        <v/>
      </c>
      <c r="AE2053" s="21">
        <f>IF(AB2053&lt;&gt;"",AB2053,Z2053)</f>
        <v/>
      </c>
      <c r="AF2053" s="13" t="inlineStr">
        <is>
          <t>BA1 &gt; 1B4B &gt; Table IV MSC M&amp;R</t>
        </is>
      </c>
      <c r="AG2053" s="7" t="inlineStr">
        <is>
          <t>167</t>
        </is>
      </c>
      <c r="AH2053" s="7" t="inlineStr">
        <is>
          <t>1B4B</t>
        </is>
      </c>
    </row>
    <row r="2054" ht="10" customHeight="1">
      <c r="A2054" s="7" t="inlineStr">
        <is>
          <t>OMN</t>
        </is>
      </c>
      <c r="B2054" s="7" t="inlineStr">
        <is>
          <t>O&amp;M</t>
        </is>
      </c>
      <c r="C2054" s="7" t="inlineStr">
        <is>
          <t>ESB 8</t>
        </is>
      </c>
      <c r="D2054" s="7" t="inlineStr">
        <is>
          <t>USNS HECTOR A. CAFFERATA JR.</t>
        </is>
      </c>
      <c r="E2054" s="13" t="inlineStr">
        <is>
          <t>[SUB]</t>
        </is>
      </c>
      <c r="F2054" s="7" t="inlineStr">
        <is>
          <t>MSC Other Maintenance and Repair</t>
        </is>
      </c>
      <c r="I2054" s="14" t="n">
        <v>2</v>
      </c>
      <c r="K2054" s="13" t="inlineStr">
        <is>
          <t>MSC</t>
        </is>
      </c>
      <c r="L2054" s="7" t="inlineStr">
        <is>
          <t>Combatant Ships</t>
        </is>
      </c>
      <c r="M2054" s="7" t="inlineStr">
        <is>
          <t>Expeditionary &amp; Seabasing Ships</t>
        </is>
      </c>
      <c r="N2054" s="7" t="inlineStr">
        <is>
          <t>T-ESB</t>
        </is>
      </c>
      <c r="O2054" s="15" t="n"/>
      <c r="S2054" s="16" t="n">
        <v>630</v>
      </c>
      <c r="U2054" s="16" t="n">
        <v>630</v>
      </c>
      <c r="AC2054" s="23">
        <f>IF(OR(E2054="",E2054="[PARENT]"),"ADD",IF(E2054="[ALT_VIEW]","ALT",""))</f>
        <v/>
      </c>
      <c r="AD2054" s="21">
        <f>IF(Y2054&lt;&gt;"",Y2054,IF(U2054&lt;&gt;"",U2054,S2054))</f>
        <v/>
      </c>
      <c r="AE2054" s="21">
        <f>IF(AB2054&lt;&gt;"",AB2054,Z2054)</f>
        <v/>
      </c>
      <c r="AF2054" s="13" t="inlineStr">
        <is>
          <t>BA1 &gt; 1B4B &gt; Table IV MSC M&amp;R</t>
        </is>
      </c>
      <c r="AG2054" s="7" t="inlineStr">
        <is>
          <t>167</t>
        </is>
      </c>
      <c r="AH2054" s="7" t="inlineStr">
        <is>
          <t>1B4B</t>
        </is>
      </c>
    </row>
    <row r="2055" ht="10" customHeight="1">
      <c r="A2055" s="7" t="inlineStr">
        <is>
          <t>OMN</t>
        </is>
      </c>
      <c r="B2055" s="7" t="inlineStr">
        <is>
          <t>O&amp;M</t>
        </is>
      </c>
      <c r="C2055" s="7" t="inlineStr">
        <is>
          <t>HST 1</t>
        </is>
      </c>
      <c r="D2055" s="7" t="inlineStr">
        <is>
          <t>USNS GUAM</t>
        </is>
      </c>
      <c r="E2055" s="13" t="inlineStr">
        <is>
          <t>[SUB]</t>
        </is>
      </c>
      <c r="F2055" s="7" t="inlineStr">
        <is>
          <t>MSC Regular Overhaul (ROH)</t>
        </is>
      </c>
      <c r="I2055" s="14" t="n">
        <v>2</v>
      </c>
      <c r="K2055" s="13" t="inlineStr">
        <is>
          <t>USN</t>
        </is>
      </c>
      <c r="L2055" s="7" t="inlineStr">
        <is>
          <t>Auxiliary Ships</t>
        </is>
      </c>
      <c r="M2055" s="7" t="inlineStr">
        <is>
          <t>High Speed Transport</t>
        </is>
      </c>
      <c r="N2055" s="7" t="inlineStr">
        <is>
          <t>HST</t>
        </is>
      </c>
      <c r="O2055" s="15" t="n"/>
      <c r="S2055" s="16" t="n">
        <v>7528</v>
      </c>
      <c r="U2055" s="16" t="n">
        <v>7528</v>
      </c>
      <c r="AC2055" s="23">
        <f>IF(OR(E2055="",E2055="[PARENT]"),"ADD",IF(E2055="[ALT_VIEW]","ALT",""))</f>
        <v/>
      </c>
      <c r="AD2055" s="21">
        <f>IF(Y2055&lt;&gt;"",Y2055,IF(U2055&lt;&gt;"",U2055,S2055))</f>
        <v/>
      </c>
      <c r="AE2055" s="21">
        <f>IF(AB2055&lt;&gt;"",AB2055,Z2055)</f>
        <v/>
      </c>
      <c r="AF2055" s="13" t="inlineStr">
        <is>
          <t>BA1 &gt; 1B4B &gt; Table IV MSC M&amp;R</t>
        </is>
      </c>
      <c r="AG2055" s="7" t="inlineStr">
        <is>
          <t>167</t>
        </is>
      </c>
      <c r="AH2055" s="7" t="inlineStr">
        <is>
          <t>1B4B</t>
        </is>
      </c>
    </row>
    <row r="2056" ht="10" customHeight="1">
      <c r="A2056" s="7" t="inlineStr">
        <is>
          <t>OMN</t>
        </is>
      </c>
      <c r="B2056" s="7" t="inlineStr">
        <is>
          <t>O&amp;M</t>
        </is>
      </c>
      <c r="C2056" s="7" t="inlineStr">
        <is>
          <t>LCC 20</t>
        </is>
      </c>
      <c r="D2056" s="7" t="inlineStr">
        <is>
          <t>USS MT WHITNEY</t>
        </is>
      </c>
      <c r="E2056" s="13" t="inlineStr">
        <is>
          <t>[SUB]</t>
        </is>
      </c>
      <c r="F2056" s="7" t="inlineStr">
        <is>
          <t>MSC Regular Overhaul (ROH)</t>
        </is>
      </c>
      <c r="I2056" s="14" t="n">
        <v>2</v>
      </c>
      <c r="K2056" s="13" t="inlineStr">
        <is>
          <t>USN</t>
        </is>
      </c>
      <c r="L2056" s="7" t="inlineStr">
        <is>
          <t>Combatant Ships</t>
        </is>
      </c>
      <c r="M2056" s="7" t="inlineStr">
        <is>
          <t>Command Ships</t>
        </is>
      </c>
      <c r="N2056" s="7" t="inlineStr">
        <is>
          <t>LCC</t>
        </is>
      </c>
      <c r="O2056" s="15" t="n"/>
      <c r="S2056" s="16" t="n">
        <v>32346</v>
      </c>
      <c r="U2056" s="16" t="n">
        <v>32346</v>
      </c>
      <c r="AC2056" s="23">
        <f>IF(OR(E2056="",E2056="[PARENT]"),"ADD",IF(E2056="[ALT_VIEW]","ALT",""))</f>
        <v/>
      </c>
      <c r="AD2056" s="21">
        <f>IF(Y2056&lt;&gt;"",Y2056,IF(U2056&lt;&gt;"",U2056,S2056))</f>
        <v/>
      </c>
      <c r="AE2056" s="21">
        <f>IF(AB2056&lt;&gt;"",AB2056,Z2056)</f>
        <v/>
      </c>
      <c r="AF2056" s="13" t="inlineStr">
        <is>
          <t>BA1 &gt; 1B4B &gt; Table IV MSC M&amp;R</t>
        </is>
      </c>
      <c r="AG2056" s="7" t="inlineStr">
        <is>
          <t>167</t>
        </is>
      </c>
      <c r="AH2056" s="7" t="inlineStr">
        <is>
          <t>1B4B</t>
        </is>
      </c>
    </row>
    <row r="2057" ht="10" customHeight="1">
      <c r="A2057" s="7" t="inlineStr">
        <is>
          <t>OMN</t>
        </is>
      </c>
      <c r="B2057" s="7" t="inlineStr">
        <is>
          <t>O&amp;M</t>
        </is>
      </c>
      <c r="C2057" s="7" t="inlineStr">
        <is>
          <t>T-AG 5001</t>
        </is>
      </c>
      <c r="D2057" s="7" t="inlineStr">
        <is>
          <t>USNS VADM K.R. WHEELER</t>
        </is>
      </c>
      <c r="E2057" s="13" t="inlineStr">
        <is>
          <t>[SUB]</t>
        </is>
      </c>
      <c r="F2057" s="7" t="inlineStr">
        <is>
          <t>MSC Other Maintenance and Repair</t>
        </is>
      </c>
      <c r="I2057" s="14" t="n">
        <v>2</v>
      </c>
      <c r="K2057" s="13" t="inlineStr">
        <is>
          <t>USN</t>
        </is>
      </c>
      <c r="L2057" s="7" t="inlineStr">
        <is>
          <t>Auxiliary Ships</t>
        </is>
      </c>
      <c r="M2057" s="7" t="inlineStr">
        <is>
          <t>General Auxiliary</t>
        </is>
      </c>
      <c r="N2057" s="7" t="inlineStr">
        <is>
          <t>AG</t>
        </is>
      </c>
      <c r="O2057" s="15" t="n"/>
      <c r="S2057" s="16" t="n">
        <v>18892</v>
      </c>
      <c r="U2057" s="16" t="n">
        <v>18892</v>
      </c>
      <c r="AC2057" s="23">
        <f>IF(OR(E2057="",E2057="[PARENT]"),"ADD",IF(E2057="[ALT_VIEW]","ALT",""))</f>
        <v/>
      </c>
      <c r="AD2057" s="21">
        <f>IF(Y2057&lt;&gt;"",Y2057,IF(U2057&lt;&gt;"",U2057,S2057))</f>
        <v/>
      </c>
      <c r="AE2057" s="21">
        <f>IF(AB2057&lt;&gt;"",AB2057,Z2057)</f>
        <v/>
      </c>
      <c r="AF2057" s="13" t="inlineStr">
        <is>
          <t>BA1 &gt; 1B4B &gt; Table IV MSC M&amp;R</t>
        </is>
      </c>
      <c r="AG2057" s="7" t="inlineStr">
        <is>
          <t>167</t>
        </is>
      </c>
      <c r="AH2057" s="7" t="inlineStr">
        <is>
          <t>1B4B</t>
        </is>
      </c>
    </row>
    <row r="2058" ht="10" customHeight="1">
      <c r="A2058" s="7" t="inlineStr">
        <is>
          <t>OMN</t>
        </is>
      </c>
      <c r="B2058" s="7" t="inlineStr">
        <is>
          <t>O&amp;M</t>
        </is>
      </c>
      <c r="C2058" s="7" t="inlineStr">
        <is>
          <t>T-AGOS 19</t>
        </is>
      </c>
      <c r="D2058" s="7" t="inlineStr">
        <is>
          <t>USNS VICTORIOUS</t>
        </is>
      </c>
      <c r="E2058" s="13" t="inlineStr">
        <is>
          <t>[SUB]</t>
        </is>
      </c>
      <c r="F2058" s="7" t="inlineStr">
        <is>
          <t>MSC Other Maintenance and Repair</t>
        </is>
      </c>
      <c r="I2058" s="14" t="n">
        <v>2</v>
      </c>
      <c r="K2058" s="13" t="inlineStr">
        <is>
          <t>MSC</t>
        </is>
      </c>
      <c r="L2058" s="7" t="inlineStr">
        <is>
          <t>Combatant Ships</t>
        </is>
      </c>
      <c r="M2058" s="7" t="inlineStr">
        <is>
          <t>Surveillance Ships</t>
        </is>
      </c>
      <c r="N2058" s="7" t="inlineStr">
        <is>
          <t>T-AGOS</t>
        </is>
      </c>
      <c r="O2058" s="15" t="n"/>
      <c r="S2058" s="16" t="n">
        <v>5757</v>
      </c>
      <c r="U2058" s="16" t="n">
        <v>5757</v>
      </c>
      <c r="AC2058" s="23">
        <f>IF(OR(E2058="",E2058="[PARENT]"),"ADD",IF(E2058="[ALT_VIEW]","ALT",""))</f>
        <v/>
      </c>
      <c r="AD2058" s="21">
        <f>IF(Y2058&lt;&gt;"",Y2058,IF(U2058&lt;&gt;"",U2058,S2058))</f>
        <v/>
      </c>
      <c r="AE2058" s="21">
        <f>IF(AB2058&lt;&gt;"",AB2058,Z2058)</f>
        <v/>
      </c>
      <c r="AF2058" s="13" t="inlineStr">
        <is>
          <t>BA1 &gt; 1B4B &gt; Table IV MSC M&amp;R</t>
        </is>
      </c>
      <c r="AG2058" s="7" t="inlineStr">
        <is>
          <t>167</t>
        </is>
      </c>
      <c r="AH2058" s="7" t="inlineStr">
        <is>
          <t>1B4B</t>
        </is>
      </c>
    </row>
    <row r="2059" ht="10" customHeight="1">
      <c r="A2059" s="7" t="inlineStr">
        <is>
          <t>OMN</t>
        </is>
      </c>
      <c r="B2059" s="7" t="inlineStr">
        <is>
          <t>O&amp;M</t>
        </is>
      </c>
      <c r="C2059" s="7" t="inlineStr">
        <is>
          <t>T-AGOS 20</t>
        </is>
      </c>
      <c r="D2059" s="7" t="inlineStr">
        <is>
          <t>USNS ABLE</t>
        </is>
      </c>
      <c r="E2059" s="13" t="inlineStr">
        <is>
          <t>[SUB]</t>
        </is>
      </c>
      <c r="F2059" s="7" t="inlineStr">
        <is>
          <t>MSC Regular Overhaul (ROH)</t>
        </is>
      </c>
      <c r="I2059" s="14" t="n">
        <v>2</v>
      </c>
      <c r="K2059" s="13" t="inlineStr">
        <is>
          <t>MSC</t>
        </is>
      </c>
      <c r="L2059" s="7" t="inlineStr">
        <is>
          <t>Combatant Ships</t>
        </is>
      </c>
      <c r="M2059" s="7" t="inlineStr">
        <is>
          <t>Surveillance Ships</t>
        </is>
      </c>
      <c r="N2059" s="7" t="inlineStr">
        <is>
          <t>T-AGOS</t>
        </is>
      </c>
      <c r="O2059" s="15" t="n"/>
      <c r="S2059" s="16" t="n">
        <v>5763</v>
      </c>
      <c r="U2059" s="16" t="n">
        <v>5763</v>
      </c>
      <c r="AC2059" s="23">
        <f>IF(OR(E2059="",E2059="[PARENT]"),"ADD",IF(E2059="[ALT_VIEW]","ALT",""))</f>
        <v/>
      </c>
      <c r="AD2059" s="21">
        <f>IF(Y2059&lt;&gt;"",Y2059,IF(U2059&lt;&gt;"",U2059,S2059))</f>
        <v/>
      </c>
      <c r="AE2059" s="21">
        <f>IF(AB2059&lt;&gt;"",AB2059,Z2059)</f>
        <v/>
      </c>
      <c r="AF2059" s="13" t="inlineStr">
        <is>
          <t>BA1 &gt; 1B4B &gt; Table IV MSC M&amp;R</t>
        </is>
      </c>
      <c r="AG2059" s="7" t="inlineStr">
        <is>
          <t>167</t>
        </is>
      </c>
      <c r="AH2059" s="7" t="inlineStr">
        <is>
          <t>1B4B</t>
        </is>
      </c>
    </row>
    <row r="2060" ht="10" customHeight="1">
      <c r="A2060" s="7" t="inlineStr">
        <is>
          <t>OMN</t>
        </is>
      </c>
      <c r="B2060" s="7" t="inlineStr">
        <is>
          <t>O&amp;M</t>
        </is>
      </c>
      <c r="C2060" s="7" t="inlineStr">
        <is>
          <t>T-AGOS 21</t>
        </is>
      </c>
      <c r="D2060" s="7" t="inlineStr">
        <is>
          <t>USNS EFFECTIVE</t>
        </is>
      </c>
      <c r="E2060" s="13" t="inlineStr">
        <is>
          <t>[SUB]</t>
        </is>
      </c>
      <c r="F2060" s="7" t="inlineStr">
        <is>
          <t>MSC Regular Overhaul (ROH)</t>
        </is>
      </c>
      <c r="I2060" s="14" t="n">
        <v>2</v>
      </c>
      <c r="K2060" s="13" t="inlineStr">
        <is>
          <t>MSC</t>
        </is>
      </c>
      <c r="L2060" s="7" t="inlineStr">
        <is>
          <t>Combatant Ships</t>
        </is>
      </c>
      <c r="M2060" s="7" t="inlineStr">
        <is>
          <t>Surveillance Ships</t>
        </is>
      </c>
      <c r="N2060" s="7" t="inlineStr">
        <is>
          <t>T-AGOS</t>
        </is>
      </c>
      <c r="O2060" s="15" t="n"/>
      <c r="S2060" s="16" t="n">
        <v>6131</v>
      </c>
      <c r="U2060" s="16" t="n">
        <v>6131</v>
      </c>
      <c r="AC2060" s="23">
        <f>IF(OR(E2060="",E2060="[PARENT]"),"ADD",IF(E2060="[ALT_VIEW]","ALT",""))</f>
        <v/>
      </c>
      <c r="AD2060" s="21">
        <f>IF(Y2060&lt;&gt;"",Y2060,IF(U2060&lt;&gt;"",U2060,S2060))</f>
        <v/>
      </c>
      <c r="AE2060" s="21">
        <f>IF(AB2060&lt;&gt;"",AB2060,Z2060)</f>
        <v/>
      </c>
      <c r="AF2060" s="13" t="inlineStr">
        <is>
          <t>BA1 &gt; 1B4B &gt; Table IV MSC M&amp;R</t>
        </is>
      </c>
      <c r="AG2060" s="7" t="inlineStr">
        <is>
          <t>167</t>
        </is>
      </c>
      <c r="AH2060" s="7" t="inlineStr">
        <is>
          <t>1B4B</t>
        </is>
      </c>
    </row>
    <row r="2061" ht="10" customHeight="1">
      <c r="A2061" s="7" t="inlineStr">
        <is>
          <t>OMN</t>
        </is>
      </c>
      <c r="B2061" s="7" t="inlineStr">
        <is>
          <t>O&amp;M</t>
        </is>
      </c>
      <c r="C2061" s="7" t="inlineStr">
        <is>
          <t>T-AGOS 22</t>
        </is>
      </c>
      <c r="D2061" s="7" t="inlineStr">
        <is>
          <t>USNS LOYAL</t>
        </is>
      </c>
      <c r="E2061" s="13" t="inlineStr">
        <is>
          <t>[SUB]</t>
        </is>
      </c>
      <c r="F2061" s="7" t="inlineStr">
        <is>
          <t>MSC Regular Overhaul (ROH)</t>
        </is>
      </c>
      <c r="I2061" s="14" t="n">
        <v>2</v>
      </c>
      <c r="K2061" s="13" t="inlineStr">
        <is>
          <t>MSC</t>
        </is>
      </c>
      <c r="L2061" s="7" t="inlineStr">
        <is>
          <t>Combatant Ships</t>
        </is>
      </c>
      <c r="M2061" s="7" t="inlineStr">
        <is>
          <t>Surveillance Ships</t>
        </is>
      </c>
      <c r="N2061" s="7" t="inlineStr">
        <is>
          <t>T-AGOS</t>
        </is>
      </c>
      <c r="O2061" s="15" t="n"/>
      <c r="S2061" s="16" t="n">
        <v>9880</v>
      </c>
      <c r="U2061" s="16" t="n">
        <v>9880</v>
      </c>
      <c r="AC2061" s="23">
        <f>IF(OR(E2061="",E2061="[PARENT]"),"ADD",IF(E2061="[ALT_VIEW]","ALT",""))</f>
        <v/>
      </c>
      <c r="AD2061" s="21">
        <f>IF(Y2061&lt;&gt;"",Y2061,IF(U2061&lt;&gt;"",U2061,S2061))</f>
        <v/>
      </c>
      <c r="AE2061" s="21">
        <f>IF(AB2061&lt;&gt;"",AB2061,Z2061)</f>
        <v/>
      </c>
      <c r="AF2061" s="13" t="inlineStr">
        <is>
          <t>BA1 &gt; 1B4B &gt; Table IV MSC M&amp;R</t>
        </is>
      </c>
      <c r="AG2061" s="7" t="inlineStr">
        <is>
          <t>167</t>
        </is>
      </c>
      <c r="AH2061" s="7" t="inlineStr">
        <is>
          <t>1B4B</t>
        </is>
      </c>
    </row>
    <row r="2062" ht="10" customHeight="1">
      <c r="A2062" s="7" t="inlineStr">
        <is>
          <t>OMN</t>
        </is>
      </c>
      <c r="B2062" s="7" t="inlineStr">
        <is>
          <t>O&amp;M</t>
        </is>
      </c>
      <c r="C2062" s="7" t="inlineStr">
        <is>
          <t>T-AGOS 23</t>
        </is>
      </c>
      <c r="D2062" s="7" t="inlineStr">
        <is>
          <t>USNS IMPECCABLE</t>
        </is>
      </c>
      <c r="E2062" s="13" t="inlineStr">
        <is>
          <t>[SUB]</t>
        </is>
      </c>
      <c r="F2062" s="7" t="inlineStr">
        <is>
          <t>MSC Regular Overhaul (ROH)</t>
        </is>
      </c>
      <c r="I2062" s="14" t="n">
        <v>2</v>
      </c>
      <c r="K2062" s="13" t="inlineStr">
        <is>
          <t>MSC</t>
        </is>
      </c>
      <c r="L2062" s="7" t="inlineStr">
        <is>
          <t>Combatant Ships</t>
        </is>
      </c>
      <c r="M2062" s="7" t="inlineStr">
        <is>
          <t>Surveillance Ships</t>
        </is>
      </c>
      <c r="N2062" s="7" t="inlineStr">
        <is>
          <t>T-AGOS</t>
        </is>
      </c>
      <c r="O2062" s="15" t="n"/>
      <c r="S2062" s="16" t="n">
        <v>643</v>
      </c>
      <c r="U2062" s="16" t="n">
        <v>643</v>
      </c>
      <c r="AC2062" s="23">
        <f>IF(OR(E2062="",E2062="[PARENT]"),"ADD",IF(E2062="[ALT_VIEW]","ALT",""))</f>
        <v/>
      </c>
      <c r="AD2062" s="21">
        <f>IF(Y2062&lt;&gt;"",Y2062,IF(U2062&lt;&gt;"",U2062,S2062))</f>
        <v/>
      </c>
      <c r="AE2062" s="21">
        <f>IF(AB2062&lt;&gt;"",AB2062,Z2062)</f>
        <v/>
      </c>
      <c r="AF2062" s="13" t="inlineStr">
        <is>
          <t>BA1 &gt; 1B4B &gt; Table IV MSC M&amp;R</t>
        </is>
      </c>
      <c r="AG2062" s="7" t="inlineStr">
        <is>
          <t>167</t>
        </is>
      </c>
      <c r="AH2062" s="7" t="inlineStr">
        <is>
          <t>1B4B</t>
        </is>
      </c>
    </row>
    <row r="2063" ht="10" customHeight="1">
      <c r="A2063" s="7" t="inlineStr">
        <is>
          <t>OMN</t>
        </is>
      </c>
      <c r="B2063" s="7" t="inlineStr">
        <is>
          <t>O&amp;M</t>
        </is>
      </c>
      <c r="C2063" s="7" t="inlineStr">
        <is>
          <t>T-AGS 45</t>
        </is>
      </c>
      <c r="D2063" s="7" t="inlineStr">
        <is>
          <t>USNS WATERS</t>
        </is>
      </c>
      <c r="E2063" s="13" t="inlineStr">
        <is>
          <t>[SUB]</t>
        </is>
      </c>
      <c r="F2063" s="7" t="inlineStr">
        <is>
          <t>MSC Other Maintenance and Repair</t>
        </is>
      </c>
      <c r="I2063" s="14" t="n">
        <v>2</v>
      </c>
      <c r="K2063" s="13" t="inlineStr">
        <is>
          <t>MSC</t>
        </is>
      </c>
      <c r="L2063" s="7" t="inlineStr">
        <is>
          <t>Auxiliary Ships</t>
        </is>
      </c>
      <c r="M2063" s="7" t="inlineStr">
        <is>
          <t>Research, Survey &amp; Instrumentation Ships</t>
        </is>
      </c>
      <c r="N2063" s="7" t="inlineStr">
        <is>
          <t>T-AGS</t>
        </is>
      </c>
      <c r="O2063" s="15" t="n"/>
      <c r="S2063" s="16" t="n">
        <v>19856</v>
      </c>
      <c r="U2063" s="16" t="n">
        <v>19856</v>
      </c>
      <c r="AC2063" s="23">
        <f>IF(OR(E2063="",E2063="[PARENT]"),"ADD",IF(E2063="[ALT_VIEW]","ALT",""))</f>
        <v/>
      </c>
      <c r="AD2063" s="21">
        <f>IF(Y2063&lt;&gt;"",Y2063,IF(U2063&lt;&gt;"",U2063,S2063))</f>
        <v/>
      </c>
      <c r="AE2063" s="21">
        <f>IF(AB2063&lt;&gt;"",AB2063,Z2063)</f>
        <v/>
      </c>
      <c r="AF2063" s="13" t="inlineStr">
        <is>
          <t>BA1 &gt; 1B4B &gt; Table IV MSC M&amp;R</t>
        </is>
      </c>
      <c r="AG2063" s="7" t="inlineStr">
        <is>
          <t>167</t>
        </is>
      </c>
      <c r="AH2063" s="7" t="inlineStr">
        <is>
          <t>1B4B</t>
        </is>
      </c>
    </row>
    <row r="2064" ht="10" customHeight="1">
      <c r="A2064" s="7" t="inlineStr">
        <is>
          <t>OMN</t>
        </is>
      </c>
      <c r="B2064" s="7" t="inlineStr">
        <is>
          <t>O&amp;M</t>
        </is>
      </c>
      <c r="C2064" s="7" t="inlineStr">
        <is>
          <t>T-AGS 60</t>
        </is>
      </c>
      <c r="D2064" s="7" t="inlineStr">
        <is>
          <t>USNS PATHFINDER</t>
        </is>
      </c>
      <c r="E2064" s="13" t="inlineStr">
        <is>
          <t>[SUB]</t>
        </is>
      </c>
      <c r="F2064" s="7" t="inlineStr">
        <is>
          <t>MSC Other Maintenance and Repair</t>
        </is>
      </c>
      <c r="I2064" s="14" t="n">
        <v>2</v>
      </c>
      <c r="K2064" s="13" t="inlineStr">
        <is>
          <t>MSC</t>
        </is>
      </c>
      <c r="L2064" s="7" t="inlineStr">
        <is>
          <t>Auxiliary Ships</t>
        </is>
      </c>
      <c r="M2064" s="7" t="inlineStr">
        <is>
          <t>Research, Survey &amp; Instrumentation Ships</t>
        </is>
      </c>
      <c r="N2064" s="7" t="inlineStr">
        <is>
          <t>T-AGS</t>
        </is>
      </c>
      <c r="O2064" s="15" t="n"/>
      <c r="S2064" s="16" t="n">
        <v>1779</v>
      </c>
      <c r="U2064" s="16" t="n">
        <v>1779</v>
      </c>
      <c r="AC2064" s="23">
        <f>IF(OR(E2064="",E2064="[PARENT]"),"ADD",IF(E2064="[ALT_VIEW]","ALT",""))</f>
        <v/>
      </c>
      <c r="AD2064" s="21">
        <f>IF(Y2064&lt;&gt;"",Y2064,IF(U2064&lt;&gt;"",U2064,S2064))</f>
        <v/>
      </c>
      <c r="AE2064" s="21">
        <f>IF(AB2064&lt;&gt;"",AB2064,Z2064)</f>
        <v/>
      </c>
      <c r="AF2064" s="13" t="inlineStr">
        <is>
          <t>BA1 &gt; 1B4B &gt; Table IV MSC M&amp;R</t>
        </is>
      </c>
      <c r="AG2064" s="7" t="inlineStr">
        <is>
          <t>167</t>
        </is>
      </c>
      <c r="AH2064" s="7" t="inlineStr">
        <is>
          <t>1B4B</t>
        </is>
      </c>
    </row>
    <row r="2065" ht="10" customHeight="1">
      <c r="A2065" s="7" t="inlineStr">
        <is>
          <t>OMN</t>
        </is>
      </c>
      <c r="B2065" s="7" t="inlineStr">
        <is>
          <t>O&amp;M</t>
        </is>
      </c>
      <c r="C2065" s="7" t="inlineStr">
        <is>
          <t>T-AGS 62</t>
        </is>
      </c>
      <c r="D2065" s="7" t="inlineStr">
        <is>
          <t>USNS BOWDITCH</t>
        </is>
      </c>
      <c r="E2065" s="13" t="inlineStr">
        <is>
          <t>[SUB]</t>
        </is>
      </c>
      <c r="F2065" s="7" t="inlineStr">
        <is>
          <t>MSC Regular Overhaul (ROH)</t>
        </is>
      </c>
      <c r="I2065" s="14" t="n">
        <v>2</v>
      </c>
      <c r="K2065" s="13" t="inlineStr">
        <is>
          <t>MSC</t>
        </is>
      </c>
      <c r="L2065" s="7" t="inlineStr">
        <is>
          <t>Auxiliary Ships</t>
        </is>
      </c>
      <c r="M2065" s="7" t="inlineStr">
        <is>
          <t>Research, Survey &amp; Instrumentation Ships</t>
        </is>
      </c>
      <c r="N2065" s="7" t="inlineStr">
        <is>
          <t>T-AGS</t>
        </is>
      </c>
      <c r="O2065" s="15" t="n"/>
      <c r="S2065" s="16" t="n">
        <v>5063</v>
      </c>
      <c r="U2065" s="16" t="n">
        <v>5063</v>
      </c>
      <c r="AC2065" s="23">
        <f>IF(OR(E2065="",E2065="[PARENT]"),"ADD",IF(E2065="[ALT_VIEW]","ALT",""))</f>
        <v/>
      </c>
      <c r="AD2065" s="21">
        <f>IF(Y2065&lt;&gt;"",Y2065,IF(U2065&lt;&gt;"",U2065,S2065))</f>
        <v/>
      </c>
      <c r="AE2065" s="21">
        <f>IF(AB2065&lt;&gt;"",AB2065,Z2065)</f>
        <v/>
      </c>
      <c r="AF2065" s="13" t="inlineStr">
        <is>
          <t>BA1 &gt; 1B4B &gt; Table IV MSC M&amp;R</t>
        </is>
      </c>
      <c r="AG2065" s="7" t="inlineStr">
        <is>
          <t>167</t>
        </is>
      </c>
      <c r="AH2065" s="7" t="inlineStr">
        <is>
          <t>1B4B</t>
        </is>
      </c>
    </row>
    <row r="2066" ht="10" customHeight="1">
      <c r="A2066" s="7" t="inlineStr">
        <is>
          <t>OMN</t>
        </is>
      </c>
      <c r="B2066" s="7" t="inlineStr">
        <is>
          <t>O&amp;M</t>
        </is>
      </c>
      <c r="C2066" s="7" t="inlineStr">
        <is>
          <t>T-AGS 63</t>
        </is>
      </c>
      <c r="D2066" s="7" t="inlineStr">
        <is>
          <t>USNS HENSON</t>
        </is>
      </c>
      <c r="E2066" s="13" t="inlineStr">
        <is>
          <t>[SUB]</t>
        </is>
      </c>
      <c r="F2066" s="7" t="inlineStr">
        <is>
          <t>MSC Regular Overhaul (ROH)</t>
        </is>
      </c>
      <c r="I2066" s="14" t="n">
        <v>2</v>
      </c>
      <c r="K2066" s="13" t="inlineStr">
        <is>
          <t>MSC</t>
        </is>
      </c>
      <c r="L2066" s="7" t="inlineStr">
        <is>
          <t>Auxiliary Ships</t>
        </is>
      </c>
      <c r="M2066" s="7" t="inlineStr">
        <is>
          <t>Research, Survey &amp; Instrumentation Ships</t>
        </is>
      </c>
      <c r="N2066" s="7" t="inlineStr">
        <is>
          <t>T-AGS</t>
        </is>
      </c>
      <c r="O2066" s="15" t="n"/>
      <c r="S2066" s="16" t="n">
        <v>1038</v>
      </c>
      <c r="U2066" s="16" t="n">
        <v>1038</v>
      </c>
      <c r="AC2066" s="23">
        <f>IF(OR(E2066="",E2066="[PARENT]"),"ADD",IF(E2066="[ALT_VIEW]","ALT",""))</f>
        <v/>
      </c>
      <c r="AD2066" s="21">
        <f>IF(Y2066&lt;&gt;"",Y2066,IF(U2066&lt;&gt;"",U2066,S2066))</f>
        <v/>
      </c>
      <c r="AE2066" s="21">
        <f>IF(AB2066&lt;&gt;"",AB2066,Z2066)</f>
        <v/>
      </c>
      <c r="AF2066" s="13" t="inlineStr">
        <is>
          <t>BA1 &gt; 1B4B &gt; Table IV MSC M&amp;R</t>
        </is>
      </c>
      <c r="AG2066" s="7" t="inlineStr">
        <is>
          <t>167</t>
        </is>
      </c>
      <c r="AH2066" s="7" t="inlineStr">
        <is>
          <t>1B4B</t>
        </is>
      </c>
    </row>
    <row r="2067" ht="10" customHeight="1">
      <c r="A2067" s="7" t="inlineStr">
        <is>
          <t>OMN</t>
        </is>
      </c>
      <c r="B2067" s="7" t="inlineStr">
        <is>
          <t>O&amp;M</t>
        </is>
      </c>
      <c r="C2067" s="7" t="inlineStr">
        <is>
          <t>T-AGS 64</t>
        </is>
      </c>
      <c r="D2067" s="7" t="inlineStr">
        <is>
          <t>USNS BRUCE HEEZEN</t>
        </is>
      </c>
      <c r="E2067" s="13" t="inlineStr">
        <is>
          <t>[SUB]</t>
        </is>
      </c>
      <c r="F2067" s="7" t="inlineStr">
        <is>
          <t>MSC Other Maintenance and Repair</t>
        </is>
      </c>
      <c r="I2067" s="14" t="n">
        <v>2</v>
      </c>
      <c r="K2067" s="13" t="inlineStr">
        <is>
          <t>MSC</t>
        </is>
      </c>
      <c r="L2067" s="7" t="inlineStr">
        <is>
          <t>Auxiliary Ships</t>
        </is>
      </c>
      <c r="M2067" s="7" t="inlineStr">
        <is>
          <t>Research, Survey &amp; Instrumentation Ships</t>
        </is>
      </c>
      <c r="N2067" s="7" t="inlineStr">
        <is>
          <t>T-AGS</t>
        </is>
      </c>
      <c r="O2067" s="15" t="n"/>
      <c r="S2067" s="16" t="n">
        <v>955</v>
      </c>
      <c r="U2067" s="16" t="n">
        <v>955</v>
      </c>
      <c r="AC2067" s="23">
        <f>IF(OR(E2067="",E2067="[PARENT]"),"ADD",IF(E2067="[ALT_VIEW]","ALT",""))</f>
        <v/>
      </c>
      <c r="AD2067" s="21">
        <f>IF(Y2067&lt;&gt;"",Y2067,IF(U2067&lt;&gt;"",U2067,S2067))</f>
        <v/>
      </c>
      <c r="AE2067" s="21">
        <f>IF(AB2067&lt;&gt;"",AB2067,Z2067)</f>
        <v/>
      </c>
      <c r="AF2067" s="13" t="inlineStr">
        <is>
          <t>BA1 &gt; 1B4B &gt; Table IV MSC M&amp;R</t>
        </is>
      </c>
      <c r="AG2067" s="7" t="inlineStr">
        <is>
          <t>167</t>
        </is>
      </c>
      <c r="AH2067" s="7" t="inlineStr">
        <is>
          <t>1B4B</t>
        </is>
      </c>
    </row>
    <row r="2068" ht="10" customHeight="1">
      <c r="A2068" s="7" t="inlineStr">
        <is>
          <t>OMN</t>
        </is>
      </c>
      <c r="B2068" s="7" t="inlineStr">
        <is>
          <t>O&amp;M</t>
        </is>
      </c>
      <c r="C2068" s="7" t="inlineStr">
        <is>
          <t>T-AGS 65</t>
        </is>
      </c>
      <c r="D2068" s="7" t="inlineStr">
        <is>
          <t>USNS MARY SEARS</t>
        </is>
      </c>
      <c r="E2068" s="13" t="inlineStr">
        <is>
          <t>[SUB]</t>
        </is>
      </c>
      <c r="F2068" s="7" t="inlineStr">
        <is>
          <t>MSC Regular Overhaul (ROH)</t>
        </is>
      </c>
      <c r="I2068" s="14" t="n">
        <v>2</v>
      </c>
      <c r="K2068" s="13" t="inlineStr">
        <is>
          <t>MSC</t>
        </is>
      </c>
      <c r="L2068" s="7" t="inlineStr">
        <is>
          <t>Auxiliary Ships</t>
        </is>
      </c>
      <c r="M2068" s="7" t="inlineStr">
        <is>
          <t>Research, Survey &amp; Instrumentation Ships</t>
        </is>
      </c>
      <c r="N2068" s="7" t="inlineStr">
        <is>
          <t>T-AGS</t>
        </is>
      </c>
      <c r="O2068" s="15" t="n"/>
      <c r="S2068" s="16" t="n">
        <v>3464</v>
      </c>
      <c r="U2068" s="16" t="n">
        <v>3464</v>
      </c>
      <c r="AC2068" s="23">
        <f>IF(OR(E2068="",E2068="[PARENT]"),"ADD",IF(E2068="[ALT_VIEW]","ALT",""))</f>
        <v/>
      </c>
      <c r="AD2068" s="21">
        <f>IF(Y2068&lt;&gt;"",Y2068,IF(U2068&lt;&gt;"",U2068,S2068))</f>
        <v/>
      </c>
      <c r="AE2068" s="21">
        <f>IF(AB2068&lt;&gt;"",AB2068,Z2068)</f>
        <v/>
      </c>
      <c r="AF2068" s="13" t="inlineStr">
        <is>
          <t>BA1 &gt; 1B4B &gt; Table IV MSC M&amp;R</t>
        </is>
      </c>
      <c r="AG2068" s="7" t="inlineStr">
        <is>
          <t>167</t>
        </is>
      </c>
      <c r="AH2068" s="7" t="inlineStr">
        <is>
          <t>1B4B</t>
        </is>
      </c>
    </row>
    <row r="2069" ht="10" customHeight="1">
      <c r="A2069" s="7" t="inlineStr">
        <is>
          <t>OMN</t>
        </is>
      </c>
      <c r="B2069" s="7" t="inlineStr">
        <is>
          <t>O&amp;M</t>
        </is>
      </c>
      <c r="C2069" s="7" t="inlineStr">
        <is>
          <t>T-AGS 66</t>
        </is>
      </c>
      <c r="D2069" s="7" t="inlineStr">
        <is>
          <t>USNS MARIE THARP</t>
        </is>
      </c>
      <c r="E2069" s="13" t="inlineStr">
        <is>
          <t>[SUB]</t>
        </is>
      </c>
      <c r="F2069" s="7" t="inlineStr">
        <is>
          <t>MSC Regular Overhaul (ROH)</t>
        </is>
      </c>
      <c r="I2069" s="14" t="n">
        <v>2</v>
      </c>
      <c r="K2069" s="13" t="inlineStr">
        <is>
          <t>MSC</t>
        </is>
      </c>
      <c r="L2069" s="7" t="inlineStr">
        <is>
          <t>Auxiliary Ships</t>
        </is>
      </c>
      <c r="M2069" s="7" t="inlineStr">
        <is>
          <t>Research, Survey &amp; Instrumentation Ships</t>
        </is>
      </c>
      <c r="N2069" s="7" t="inlineStr">
        <is>
          <t>T-AGS</t>
        </is>
      </c>
      <c r="O2069" s="15" t="n"/>
      <c r="S2069" s="16" t="n">
        <v>1617</v>
      </c>
      <c r="U2069" s="16" t="n">
        <v>1617</v>
      </c>
      <c r="AC2069" s="23">
        <f>IF(OR(E2069="",E2069="[PARENT]"),"ADD",IF(E2069="[ALT_VIEW]","ALT",""))</f>
        <v/>
      </c>
      <c r="AD2069" s="21">
        <f>IF(Y2069&lt;&gt;"",Y2069,IF(U2069&lt;&gt;"",U2069,S2069))</f>
        <v/>
      </c>
      <c r="AE2069" s="21">
        <f>IF(AB2069&lt;&gt;"",AB2069,Z2069)</f>
        <v/>
      </c>
      <c r="AF2069" s="13" t="inlineStr">
        <is>
          <t>BA1 &gt; 1B4B &gt; Table IV MSC M&amp;R</t>
        </is>
      </c>
      <c r="AG2069" s="7" t="inlineStr">
        <is>
          <t>167</t>
        </is>
      </c>
      <c r="AH2069" s="7" t="inlineStr">
        <is>
          <t>1B4B</t>
        </is>
      </c>
    </row>
    <row r="2070" ht="10" customHeight="1">
      <c r="A2070" s="7" t="inlineStr">
        <is>
          <t>OMN</t>
        </is>
      </c>
      <c r="B2070" s="7" t="inlineStr">
        <is>
          <t>O&amp;M</t>
        </is>
      </c>
      <c r="C2070" s="7" t="inlineStr">
        <is>
          <t>T-AGS 67</t>
        </is>
      </c>
      <c r="D2070" s="7" t="inlineStr">
        <is>
          <t>USNS ROBERT BALLARD</t>
        </is>
      </c>
      <c r="E2070" s="13" t="inlineStr">
        <is>
          <t>[SUB]</t>
        </is>
      </c>
      <c r="F2070" s="7" t="inlineStr">
        <is>
          <t>MSC Other Maintenance and Repair</t>
        </is>
      </c>
      <c r="I2070" s="14" t="n">
        <v>2</v>
      </c>
      <c r="K2070" s="13" t="inlineStr">
        <is>
          <t>MSC</t>
        </is>
      </c>
      <c r="L2070" s="7" t="inlineStr">
        <is>
          <t>Auxiliary Ships</t>
        </is>
      </c>
      <c r="M2070" s="7" t="inlineStr">
        <is>
          <t>Research, Survey &amp; Instrumentation Ships</t>
        </is>
      </c>
      <c r="N2070" s="7" t="inlineStr">
        <is>
          <t>T-AGS</t>
        </is>
      </c>
      <c r="O2070" s="15" t="n"/>
      <c r="S2070" s="16" t="n">
        <v>808</v>
      </c>
      <c r="U2070" s="16" t="n">
        <v>808</v>
      </c>
      <c r="AC2070" s="23">
        <f>IF(OR(E2070="",E2070="[PARENT]"),"ADD",IF(E2070="[ALT_VIEW]","ALT",""))</f>
        <v/>
      </c>
      <c r="AD2070" s="21">
        <f>IF(Y2070&lt;&gt;"",Y2070,IF(U2070&lt;&gt;"",U2070,S2070))</f>
        <v/>
      </c>
      <c r="AE2070" s="21">
        <f>IF(AB2070&lt;&gt;"",AB2070,Z2070)</f>
        <v/>
      </c>
      <c r="AF2070" s="13" t="inlineStr">
        <is>
          <t>BA1 &gt; 1B4B &gt; Table IV MSC M&amp;R</t>
        </is>
      </c>
      <c r="AG2070" s="7" t="inlineStr">
        <is>
          <t>168</t>
        </is>
      </c>
      <c r="AH2070" s="7" t="inlineStr">
        <is>
          <t>1B4B</t>
        </is>
      </c>
    </row>
    <row r="2071" ht="10" customHeight="1">
      <c r="A2071" s="7" t="inlineStr">
        <is>
          <t>OMN</t>
        </is>
      </c>
      <c r="B2071" s="7" t="inlineStr">
        <is>
          <t>O&amp;M</t>
        </is>
      </c>
      <c r="C2071" s="7" t="inlineStr">
        <is>
          <t>T-AGSE 1</t>
        </is>
      </c>
      <c r="D2071" s="7" t="inlineStr">
        <is>
          <t>USNS BLACK POWDER</t>
        </is>
      </c>
      <c r="E2071" s="13" t="inlineStr">
        <is>
          <t>[SUB]</t>
        </is>
      </c>
      <c r="F2071" s="7" t="inlineStr">
        <is>
          <t>MSC Regular Overhaul (ROH)</t>
        </is>
      </c>
      <c r="I2071" s="14" t="n">
        <v>2</v>
      </c>
      <c r="K2071" s="13" t="inlineStr">
        <is>
          <t>USN</t>
        </is>
      </c>
      <c r="L2071" s="7" t="inlineStr">
        <is>
          <t>Auxiliary Ships</t>
        </is>
      </c>
      <c r="M2071" s="7" t="inlineStr">
        <is>
          <t>Submarine Escort Ship</t>
        </is>
      </c>
      <c r="N2071" s="7" t="inlineStr">
        <is>
          <t>AGSE</t>
        </is>
      </c>
      <c r="O2071" s="15" t="n"/>
      <c r="S2071" s="16" t="n">
        <v>7358</v>
      </c>
      <c r="U2071" s="16" t="n">
        <v>7358</v>
      </c>
      <c r="AC2071" s="23">
        <f>IF(OR(E2071="",E2071="[PARENT]"),"ADD",IF(E2071="[ALT_VIEW]","ALT",""))</f>
        <v/>
      </c>
      <c r="AD2071" s="21">
        <f>IF(Y2071&lt;&gt;"",Y2071,IF(U2071&lt;&gt;"",U2071,S2071))</f>
        <v/>
      </c>
      <c r="AE2071" s="21">
        <f>IF(AB2071&lt;&gt;"",AB2071,Z2071)</f>
        <v/>
      </c>
      <c r="AF2071" s="13" t="inlineStr">
        <is>
          <t>BA1 &gt; 1B4B &gt; Table IV MSC M&amp;R</t>
        </is>
      </c>
      <c r="AG2071" s="7" t="inlineStr">
        <is>
          <t>168</t>
        </is>
      </c>
      <c r="AH2071" s="7" t="inlineStr">
        <is>
          <t>1B4B</t>
        </is>
      </c>
    </row>
    <row r="2072" ht="10" customHeight="1">
      <c r="A2072" s="7" t="inlineStr">
        <is>
          <t>OMN</t>
        </is>
      </c>
      <c r="B2072" s="7" t="inlineStr">
        <is>
          <t>O&amp;M</t>
        </is>
      </c>
      <c r="C2072" s="7" t="inlineStr">
        <is>
          <t>T-AGSE 2</t>
        </is>
      </c>
      <c r="D2072" s="7" t="inlineStr">
        <is>
          <t>USNS WEST WIND</t>
        </is>
      </c>
      <c r="E2072" s="13" t="inlineStr">
        <is>
          <t>[SUB]</t>
        </is>
      </c>
      <c r="F2072" s="7" t="inlineStr">
        <is>
          <t>MSC Other Maintenance and Repair</t>
        </is>
      </c>
      <c r="I2072" s="14" t="n">
        <v>2</v>
      </c>
      <c r="K2072" s="13" t="inlineStr">
        <is>
          <t>USN</t>
        </is>
      </c>
      <c r="L2072" s="7" t="inlineStr">
        <is>
          <t>Auxiliary Ships</t>
        </is>
      </c>
      <c r="M2072" s="7" t="inlineStr">
        <is>
          <t>Submarine Escort Ship</t>
        </is>
      </c>
      <c r="N2072" s="7" t="inlineStr">
        <is>
          <t>AGSE</t>
        </is>
      </c>
      <c r="O2072" s="15" t="n"/>
      <c r="S2072" s="16" t="n">
        <v>7358</v>
      </c>
      <c r="U2072" s="16" t="n">
        <v>7358</v>
      </c>
      <c r="AC2072" s="23">
        <f>IF(OR(E2072="",E2072="[PARENT]"),"ADD",IF(E2072="[ALT_VIEW]","ALT",""))</f>
        <v/>
      </c>
      <c r="AD2072" s="21">
        <f>IF(Y2072&lt;&gt;"",Y2072,IF(U2072&lt;&gt;"",U2072,S2072))</f>
        <v/>
      </c>
      <c r="AE2072" s="21">
        <f>IF(AB2072&lt;&gt;"",AB2072,Z2072)</f>
        <v/>
      </c>
      <c r="AF2072" s="13" t="inlineStr">
        <is>
          <t>BA1 &gt; 1B4B &gt; Table IV MSC M&amp;R</t>
        </is>
      </c>
      <c r="AG2072" s="7" t="inlineStr">
        <is>
          <t>168</t>
        </is>
      </c>
      <c r="AH2072" s="7" t="inlineStr">
        <is>
          <t>1B4B</t>
        </is>
      </c>
    </row>
    <row r="2073" ht="10" customHeight="1">
      <c r="A2073" s="7" t="inlineStr">
        <is>
          <t>OMN</t>
        </is>
      </c>
      <c r="B2073" s="7" t="inlineStr">
        <is>
          <t>O&amp;M</t>
        </is>
      </c>
      <c r="C2073" s="7" t="inlineStr">
        <is>
          <t>T-AGSE 3</t>
        </is>
      </c>
      <c r="D2073" s="7" t="inlineStr">
        <is>
          <t>USNS EAGLE VIEW</t>
        </is>
      </c>
      <c r="E2073" s="13" t="inlineStr">
        <is>
          <t>[SUB]</t>
        </is>
      </c>
      <c r="F2073" s="7" t="inlineStr">
        <is>
          <t>MSC Other Maintenance and Repair</t>
        </is>
      </c>
      <c r="I2073" s="14" t="n">
        <v>2</v>
      </c>
      <c r="K2073" s="13" t="inlineStr">
        <is>
          <t>USN</t>
        </is>
      </c>
      <c r="L2073" s="7" t="inlineStr">
        <is>
          <t>Auxiliary Ships</t>
        </is>
      </c>
      <c r="M2073" s="7" t="inlineStr">
        <is>
          <t>Submarine Escort Ship</t>
        </is>
      </c>
      <c r="N2073" s="7" t="inlineStr">
        <is>
          <t>AGSE</t>
        </is>
      </c>
      <c r="O2073" s="15" t="n"/>
      <c r="S2073" s="16" t="n">
        <v>9175</v>
      </c>
      <c r="U2073" s="16" t="n">
        <v>9175</v>
      </c>
      <c r="AC2073" s="23">
        <f>IF(OR(E2073="",E2073="[PARENT]"),"ADD",IF(E2073="[ALT_VIEW]","ALT",""))</f>
        <v/>
      </c>
      <c r="AD2073" s="21">
        <f>IF(Y2073&lt;&gt;"",Y2073,IF(U2073&lt;&gt;"",U2073,S2073))</f>
        <v/>
      </c>
      <c r="AE2073" s="21">
        <f>IF(AB2073&lt;&gt;"",AB2073,Z2073)</f>
        <v/>
      </c>
      <c r="AF2073" s="13" t="inlineStr">
        <is>
          <t>BA1 &gt; 1B4B &gt; Table IV MSC M&amp;R</t>
        </is>
      </c>
      <c r="AG2073" s="7" t="inlineStr">
        <is>
          <t>168</t>
        </is>
      </c>
      <c r="AH2073" s="7" t="inlineStr">
        <is>
          <t>1B4B</t>
        </is>
      </c>
    </row>
    <row r="2074" ht="10" customHeight="1">
      <c r="A2074" s="7" t="inlineStr">
        <is>
          <t>OMN</t>
        </is>
      </c>
      <c r="B2074" s="7" t="inlineStr">
        <is>
          <t>O&amp;M</t>
        </is>
      </c>
      <c r="C2074" s="7" t="inlineStr">
        <is>
          <t>T-AGSE 4</t>
        </is>
      </c>
      <c r="D2074" s="7" t="inlineStr">
        <is>
          <t>USNS ARROWHEAD</t>
        </is>
      </c>
      <c r="E2074" s="13" t="inlineStr">
        <is>
          <t>[SUB]</t>
        </is>
      </c>
      <c r="F2074" s="7" t="inlineStr">
        <is>
          <t>MSC Mid-Term Availability (MTA)</t>
        </is>
      </c>
      <c r="I2074" s="14" t="n">
        <v>2</v>
      </c>
      <c r="K2074" s="13" t="inlineStr">
        <is>
          <t>USN</t>
        </is>
      </c>
      <c r="L2074" s="7" t="inlineStr">
        <is>
          <t>Auxiliary Ships</t>
        </is>
      </c>
      <c r="M2074" s="7" t="inlineStr">
        <is>
          <t>Submarine Escort Ship</t>
        </is>
      </c>
      <c r="N2074" s="7" t="inlineStr">
        <is>
          <t>AGSE</t>
        </is>
      </c>
      <c r="O2074" s="15" t="n"/>
      <c r="S2074" s="16" t="n">
        <v>9175</v>
      </c>
      <c r="U2074" s="16" t="n">
        <v>9175</v>
      </c>
      <c r="AC2074" s="23">
        <f>IF(OR(E2074="",E2074="[PARENT]"),"ADD",IF(E2074="[ALT_VIEW]","ALT",""))</f>
        <v/>
      </c>
      <c r="AD2074" s="21">
        <f>IF(Y2074&lt;&gt;"",Y2074,IF(U2074&lt;&gt;"",U2074,S2074))</f>
        <v/>
      </c>
      <c r="AE2074" s="21">
        <f>IF(AB2074&lt;&gt;"",AB2074,Z2074)</f>
        <v/>
      </c>
      <c r="AF2074" s="13" t="inlineStr">
        <is>
          <t>BA1 &gt; 1B4B &gt; Table IV MSC M&amp;R</t>
        </is>
      </c>
      <c r="AG2074" s="7" t="inlineStr">
        <is>
          <t>168</t>
        </is>
      </c>
      <c r="AH2074" s="7" t="inlineStr">
        <is>
          <t>1B4B</t>
        </is>
      </c>
    </row>
    <row r="2075" ht="10" customHeight="1">
      <c r="A2075" s="7" t="inlineStr">
        <is>
          <t>OMN</t>
        </is>
      </c>
      <c r="B2075" s="7" t="inlineStr">
        <is>
          <t>O&amp;M</t>
        </is>
      </c>
      <c r="C2075" s="7" t="inlineStr">
        <is>
          <t>T-AH 19</t>
        </is>
      </c>
      <c r="D2075" s="7" t="inlineStr">
        <is>
          <t>USNS MERCY</t>
        </is>
      </c>
      <c r="E2075" s="13" t="inlineStr">
        <is>
          <t>[SUB]</t>
        </is>
      </c>
      <c r="F2075" s="7" t="inlineStr">
        <is>
          <t>MSC Regular Overhaul (ROH)</t>
        </is>
      </c>
      <c r="I2075" s="14" t="n">
        <v>2</v>
      </c>
      <c r="K2075" s="13" t="inlineStr">
        <is>
          <t>MSC</t>
        </is>
      </c>
      <c r="L2075" s="7" t="inlineStr">
        <is>
          <t>Auxiliary Ships</t>
        </is>
      </c>
      <c r="M2075" s="7" t="inlineStr">
        <is>
          <t>Hospital Ship</t>
        </is>
      </c>
      <c r="N2075" s="7" t="inlineStr">
        <is>
          <t>T-AH</t>
        </is>
      </c>
      <c r="O2075" s="15" t="n"/>
      <c r="S2075" s="16" t="n">
        <v>49265</v>
      </c>
      <c r="U2075" s="16" t="n">
        <v>49265</v>
      </c>
      <c r="AC2075" s="23">
        <f>IF(OR(E2075="",E2075="[PARENT]"),"ADD",IF(E2075="[ALT_VIEW]","ALT",""))</f>
        <v/>
      </c>
      <c r="AD2075" s="21">
        <f>IF(Y2075&lt;&gt;"",Y2075,IF(U2075&lt;&gt;"",U2075,S2075))</f>
        <v/>
      </c>
      <c r="AE2075" s="21">
        <f>IF(AB2075&lt;&gt;"",AB2075,Z2075)</f>
        <v/>
      </c>
      <c r="AF2075" s="13" t="inlineStr">
        <is>
          <t>BA1 &gt; 1B4B &gt; Table IV MSC M&amp;R</t>
        </is>
      </c>
      <c r="AG2075" s="7" t="inlineStr">
        <is>
          <t>168</t>
        </is>
      </c>
      <c r="AH2075" s="7" t="inlineStr">
        <is>
          <t>1B4B</t>
        </is>
      </c>
    </row>
    <row r="2076" ht="10" customHeight="1">
      <c r="A2076" s="7" t="inlineStr">
        <is>
          <t>OMN</t>
        </is>
      </c>
      <c r="B2076" s="7" t="inlineStr">
        <is>
          <t>O&amp;M</t>
        </is>
      </c>
      <c r="C2076" s="7" t="inlineStr">
        <is>
          <t>T-AH 20</t>
        </is>
      </c>
      <c r="D2076" s="7" t="inlineStr">
        <is>
          <t>USNS COMFORT</t>
        </is>
      </c>
      <c r="E2076" s="13" t="inlineStr">
        <is>
          <t>[SUB]</t>
        </is>
      </c>
      <c r="F2076" s="7" t="inlineStr">
        <is>
          <t>MSC Mid-Term Availability (MTA)</t>
        </is>
      </c>
      <c r="I2076" s="14" t="n">
        <v>2</v>
      </c>
      <c r="K2076" s="13" t="inlineStr">
        <is>
          <t>MSC</t>
        </is>
      </c>
      <c r="L2076" s="7" t="inlineStr">
        <is>
          <t>Auxiliary Ships</t>
        </is>
      </c>
      <c r="M2076" s="7" t="inlineStr">
        <is>
          <t>Hospital Ship</t>
        </is>
      </c>
      <c r="N2076" s="7" t="inlineStr">
        <is>
          <t>T-AH</t>
        </is>
      </c>
      <c r="O2076" s="15" t="n"/>
      <c r="S2076" s="16" t="n">
        <v>17141</v>
      </c>
      <c r="U2076" s="16" t="n">
        <v>17141</v>
      </c>
      <c r="AC2076" s="23">
        <f>IF(OR(E2076="",E2076="[PARENT]"),"ADD",IF(E2076="[ALT_VIEW]","ALT",""))</f>
        <v/>
      </c>
      <c r="AD2076" s="21">
        <f>IF(Y2076&lt;&gt;"",Y2076,IF(U2076&lt;&gt;"",U2076,S2076))</f>
        <v/>
      </c>
      <c r="AE2076" s="21">
        <f>IF(AB2076&lt;&gt;"",AB2076,Z2076)</f>
        <v/>
      </c>
      <c r="AF2076" s="13" t="inlineStr">
        <is>
          <t>BA1 &gt; 1B4B &gt; Table IV MSC M&amp;R</t>
        </is>
      </c>
      <c r="AG2076" s="7" t="inlineStr">
        <is>
          <t>168</t>
        </is>
      </c>
      <c r="AH2076" s="7" t="inlineStr">
        <is>
          <t>1B4B</t>
        </is>
      </c>
    </row>
    <row r="2077" ht="10" customHeight="1">
      <c r="A2077" s="7" t="inlineStr">
        <is>
          <t>OMN</t>
        </is>
      </c>
      <c r="B2077" s="7" t="inlineStr">
        <is>
          <t>O&amp;M</t>
        </is>
      </c>
      <c r="C2077" s="7" t="inlineStr">
        <is>
          <t>T-AKE 1</t>
        </is>
      </c>
      <c r="D2077" s="7" t="inlineStr">
        <is>
          <t>USNS LEWIS AND CLARK</t>
        </is>
      </c>
      <c r="E2077" s="13" t="inlineStr">
        <is>
          <t>[SUB]</t>
        </is>
      </c>
      <c r="F2077" s="7" t="inlineStr">
        <is>
          <t>MSC Regular Overhaul (ROH)</t>
        </is>
      </c>
      <c r="I2077" s="14" t="n">
        <v>2</v>
      </c>
      <c r="K2077" s="13" t="inlineStr">
        <is>
          <t>MSC</t>
        </is>
      </c>
      <c r="L2077" s="7" t="inlineStr">
        <is>
          <t>Combatant Ships</t>
        </is>
      </c>
      <c r="M2077" s="7" t="inlineStr">
        <is>
          <t>Combat Logistics Ships</t>
        </is>
      </c>
      <c r="N2077" s="7" t="inlineStr">
        <is>
          <t>T-AKE</t>
        </is>
      </c>
      <c r="O2077" s="15" t="n"/>
      <c r="S2077" s="16" t="n">
        <v>27595</v>
      </c>
      <c r="U2077" s="16" t="n">
        <v>27595</v>
      </c>
      <c r="AC2077" s="23">
        <f>IF(OR(E2077="",E2077="[PARENT]"),"ADD",IF(E2077="[ALT_VIEW]","ALT",""))</f>
        <v/>
      </c>
      <c r="AD2077" s="21">
        <f>IF(Y2077&lt;&gt;"",Y2077,IF(U2077&lt;&gt;"",U2077,S2077))</f>
        <v/>
      </c>
      <c r="AE2077" s="21">
        <f>IF(AB2077&lt;&gt;"",AB2077,Z2077)</f>
        <v/>
      </c>
      <c r="AF2077" s="13" t="inlineStr">
        <is>
          <t>BA1 &gt; 1B4B &gt; Table IV MSC M&amp;R</t>
        </is>
      </c>
      <c r="AG2077" s="7" t="inlineStr">
        <is>
          <t>168</t>
        </is>
      </c>
      <c r="AH2077" s="7" t="inlineStr">
        <is>
          <t>1B4B</t>
        </is>
      </c>
    </row>
    <row r="2078" ht="10" customHeight="1">
      <c r="A2078" s="7" t="inlineStr">
        <is>
          <t>OMN</t>
        </is>
      </c>
      <c r="B2078" s="7" t="inlineStr">
        <is>
          <t>O&amp;M</t>
        </is>
      </c>
      <c r="C2078" s="7" t="inlineStr">
        <is>
          <t>T-AKE 10</t>
        </is>
      </c>
      <c r="D2078" s="7" t="inlineStr">
        <is>
          <t>USNS CHARLES DREW</t>
        </is>
      </c>
      <c r="E2078" s="13" t="inlineStr">
        <is>
          <t>[SUB]</t>
        </is>
      </c>
      <c r="F2078" s="7" t="inlineStr">
        <is>
          <t>MSC Regular Overhaul (ROH)</t>
        </is>
      </c>
      <c r="I2078" s="14" t="n">
        <v>2</v>
      </c>
      <c r="K2078" s="13" t="inlineStr">
        <is>
          <t>MSC</t>
        </is>
      </c>
      <c r="L2078" s="7" t="inlineStr">
        <is>
          <t>Combatant Ships</t>
        </is>
      </c>
      <c r="M2078" s="7" t="inlineStr">
        <is>
          <t>Combat Logistics Ships</t>
        </is>
      </c>
      <c r="N2078" s="7" t="inlineStr">
        <is>
          <t>T-AKE</t>
        </is>
      </c>
      <c r="O2078" s="15" t="n"/>
      <c r="S2078" s="16" t="n">
        <v>17622</v>
      </c>
      <c r="U2078" s="16" t="n">
        <v>17622</v>
      </c>
      <c r="AC2078" s="23">
        <f>IF(OR(E2078="",E2078="[PARENT]"),"ADD",IF(E2078="[ALT_VIEW]","ALT",""))</f>
        <v/>
      </c>
      <c r="AD2078" s="21">
        <f>IF(Y2078&lt;&gt;"",Y2078,IF(U2078&lt;&gt;"",U2078,S2078))</f>
        <v/>
      </c>
      <c r="AE2078" s="21">
        <f>IF(AB2078&lt;&gt;"",AB2078,Z2078)</f>
        <v/>
      </c>
      <c r="AF2078" s="13" t="inlineStr">
        <is>
          <t>BA1 &gt; 1B4B &gt; Table IV MSC M&amp;R</t>
        </is>
      </c>
      <c r="AG2078" s="7" t="inlineStr">
        <is>
          <t>168</t>
        </is>
      </c>
      <c r="AH2078" s="7" t="inlineStr">
        <is>
          <t>1B4B</t>
        </is>
      </c>
    </row>
    <row r="2079" ht="10" customHeight="1">
      <c r="A2079" s="7" t="inlineStr">
        <is>
          <t>OMN</t>
        </is>
      </c>
      <c r="B2079" s="7" t="inlineStr">
        <is>
          <t>O&amp;M</t>
        </is>
      </c>
      <c r="C2079" s="7" t="inlineStr">
        <is>
          <t>T-AKE 11</t>
        </is>
      </c>
      <c r="D2079" s="7" t="inlineStr">
        <is>
          <t>USNS WASHINGTON CHAMBERS</t>
        </is>
      </c>
      <c r="E2079" s="13" t="inlineStr">
        <is>
          <t>[SUB]</t>
        </is>
      </c>
      <c r="F2079" s="7" t="inlineStr">
        <is>
          <t>MSC Regular Overhaul (ROH)</t>
        </is>
      </c>
      <c r="I2079" s="14" t="n">
        <v>2</v>
      </c>
      <c r="K2079" s="13" t="inlineStr">
        <is>
          <t>MSC</t>
        </is>
      </c>
      <c r="L2079" s="7" t="inlineStr">
        <is>
          <t>Combatant Ships</t>
        </is>
      </c>
      <c r="M2079" s="7" t="inlineStr">
        <is>
          <t>Combat Logistics Ships</t>
        </is>
      </c>
      <c r="N2079" s="7" t="inlineStr">
        <is>
          <t>T-AKE</t>
        </is>
      </c>
      <c r="O2079" s="15" t="n"/>
      <c r="S2079" s="16" t="n">
        <v>34203</v>
      </c>
      <c r="U2079" s="16" t="n">
        <v>34203</v>
      </c>
      <c r="AC2079" s="23">
        <f>IF(OR(E2079="",E2079="[PARENT]"),"ADD",IF(E2079="[ALT_VIEW]","ALT",""))</f>
        <v/>
      </c>
      <c r="AD2079" s="21">
        <f>IF(Y2079&lt;&gt;"",Y2079,IF(U2079&lt;&gt;"",U2079,S2079))</f>
        <v/>
      </c>
      <c r="AE2079" s="21">
        <f>IF(AB2079&lt;&gt;"",AB2079,Z2079)</f>
        <v/>
      </c>
      <c r="AF2079" s="13" t="inlineStr">
        <is>
          <t>BA1 &gt; 1B4B &gt; Table IV MSC M&amp;R</t>
        </is>
      </c>
      <c r="AG2079" s="7" t="inlineStr">
        <is>
          <t>168</t>
        </is>
      </c>
      <c r="AH2079" s="7" t="inlineStr">
        <is>
          <t>1B4B</t>
        </is>
      </c>
    </row>
    <row r="2080" ht="10" customHeight="1">
      <c r="A2080" s="7" t="inlineStr">
        <is>
          <t>OMN</t>
        </is>
      </c>
      <c r="B2080" s="7" t="inlineStr">
        <is>
          <t>O&amp;M</t>
        </is>
      </c>
      <c r="C2080" s="7" t="inlineStr">
        <is>
          <t>T-AKE 12</t>
        </is>
      </c>
      <c r="D2080" s="7" t="inlineStr">
        <is>
          <t>USNS WILLIAM MCLEAN</t>
        </is>
      </c>
      <c r="E2080" s="13" t="inlineStr">
        <is>
          <t>[SUB]</t>
        </is>
      </c>
      <c r="F2080" s="7" t="inlineStr">
        <is>
          <t>MSC Regular Overhaul (ROH)</t>
        </is>
      </c>
      <c r="I2080" s="14" t="n">
        <v>2</v>
      </c>
      <c r="K2080" s="13" t="inlineStr">
        <is>
          <t>MSC</t>
        </is>
      </c>
      <c r="L2080" s="7" t="inlineStr">
        <is>
          <t>Combatant Ships</t>
        </is>
      </c>
      <c r="M2080" s="7" t="inlineStr">
        <is>
          <t>Combat Logistics Ships</t>
        </is>
      </c>
      <c r="N2080" s="7" t="inlineStr">
        <is>
          <t>T-AKE</t>
        </is>
      </c>
      <c r="O2080" s="15" t="n"/>
      <c r="S2080" s="16" t="n">
        <v>30203</v>
      </c>
      <c r="U2080" s="16" t="n">
        <v>30203</v>
      </c>
      <c r="AC2080" s="23">
        <f>IF(OR(E2080="",E2080="[PARENT]"),"ADD",IF(E2080="[ALT_VIEW]","ALT",""))</f>
        <v/>
      </c>
      <c r="AD2080" s="21">
        <f>IF(Y2080&lt;&gt;"",Y2080,IF(U2080&lt;&gt;"",U2080,S2080))</f>
        <v/>
      </c>
      <c r="AE2080" s="21">
        <f>IF(AB2080&lt;&gt;"",AB2080,Z2080)</f>
        <v/>
      </c>
      <c r="AF2080" s="13" t="inlineStr">
        <is>
          <t>BA1 &gt; 1B4B &gt; Table IV MSC M&amp;R</t>
        </is>
      </c>
      <c r="AG2080" s="7" t="inlineStr">
        <is>
          <t>168</t>
        </is>
      </c>
      <c r="AH2080" s="7" t="inlineStr">
        <is>
          <t>1B4B</t>
        </is>
      </c>
    </row>
    <row r="2081" ht="10" customHeight="1">
      <c r="A2081" s="7" t="inlineStr">
        <is>
          <t>OMN</t>
        </is>
      </c>
      <c r="B2081" s="7" t="inlineStr">
        <is>
          <t>O&amp;M</t>
        </is>
      </c>
      <c r="C2081" s="7" t="inlineStr">
        <is>
          <t>T-AKE 13</t>
        </is>
      </c>
      <c r="D2081" s="7" t="inlineStr">
        <is>
          <t>USNS MEDGAR EVERS</t>
        </is>
      </c>
      <c r="E2081" s="13" t="inlineStr">
        <is>
          <t>[SUB]</t>
        </is>
      </c>
      <c r="F2081" s="7" t="inlineStr">
        <is>
          <t>MSC Regular Overhaul (ROH)</t>
        </is>
      </c>
      <c r="I2081" s="14" t="n">
        <v>2</v>
      </c>
      <c r="K2081" s="13" t="inlineStr">
        <is>
          <t>MSC</t>
        </is>
      </c>
      <c r="L2081" s="7" t="inlineStr">
        <is>
          <t>Combatant Ships</t>
        </is>
      </c>
      <c r="M2081" s="7" t="inlineStr">
        <is>
          <t>Combat Logistics Ships</t>
        </is>
      </c>
      <c r="N2081" s="7" t="inlineStr">
        <is>
          <t>T-AKE</t>
        </is>
      </c>
      <c r="O2081" s="15" t="n"/>
      <c r="S2081" s="16" t="n">
        <v>40255</v>
      </c>
      <c r="U2081" s="16" t="n">
        <v>40255</v>
      </c>
      <c r="AC2081" s="23">
        <f>IF(OR(E2081="",E2081="[PARENT]"),"ADD",IF(E2081="[ALT_VIEW]","ALT",""))</f>
        <v/>
      </c>
      <c r="AD2081" s="21">
        <f>IF(Y2081&lt;&gt;"",Y2081,IF(U2081&lt;&gt;"",U2081,S2081))</f>
        <v/>
      </c>
      <c r="AE2081" s="21">
        <f>IF(AB2081&lt;&gt;"",AB2081,Z2081)</f>
        <v/>
      </c>
      <c r="AF2081" s="13" t="inlineStr">
        <is>
          <t>BA1 &gt; 1B4B &gt; Table IV MSC M&amp;R</t>
        </is>
      </c>
      <c r="AG2081" s="7" t="inlineStr">
        <is>
          <t>168</t>
        </is>
      </c>
      <c r="AH2081" s="7" t="inlineStr">
        <is>
          <t>1B4B</t>
        </is>
      </c>
    </row>
    <row r="2082" ht="10" customHeight="1">
      <c r="A2082" s="7" t="inlineStr">
        <is>
          <t>OMN</t>
        </is>
      </c>
      <c r="B2082" s="7" t="inlineStr">
        <is>
          <t>O&amp;M</t>
        </is>
      </c>
      <c r="C2082" s="7" t="inlineStr">
        <is>
          <t>T-AKE 14</t>
        </is>
      </c>
      <c r="D2082" s="7" t="inlineStr">
        <is>
          <t>USNS CESAR CHAVEZ</t>
        </is>
      </c>
      <c r="E2082" s="13" t="inlineStr">
        <is>
          <t>[SUB]</t>
        </is>
      </c>
      <c r="F2082" s="7" t="inlineStr">
        <is>
          <t>MSC Regular Overhaul (ROH)</t>
        </is>
      </c>
      <c r="I2082" s="14" t="n">
        <v>2</v>
      </c>
      <c r="K2082" s="13" t="inlineStr">
        <is>
          <t>MSC</t>
        </is>
      </c>
      <c r="L2082" s="7" t="inlineStr">
        <is>
          <t>Combatant Ships</t>
        </is>
      </c>
      <c r="M2082" s="7" t="inlineStr">
        <is>
          <t>Combat Logistics Ships</t>
        </is>
      </c>
      <c r="N2082" s="7" t="inlineStr">
        <is>
          <t>T-AKE</t>
        </is>
      </c>
      <c r="O2082" s="15" t="n"/>
      <c r="S2082" s="16" t="n">
        <v>20787</v>
      </c>
      <c r="U2082" s="16" t="n">
        <v>20787</v>
      </c>
      <c r="AC2082" s="23">
        <f>IF(OR(E2082="",E2082="[PARENT]"),"ADD",IF(E2082="[ALT_VIEW]","ALT",""))</f>
        <v/>
      </c>
      <c r="AD2082" s="21">
        <f>IF(Y2082&lt;&gt;"",Y2082,IF(U2082&lt;&gt;"",U2082,S2082))</f>
        <v/>
      </c>
      <c r="AE2082" s="21">
        <f>IF(AB2082&lt;&gt;"",AB2082,Z2082)</f>
        <v/>
      </c>
      <c r="AF2082" s="13" t="inlineStr">
        <is>
          <t>BA1 &gt; 1B4B &gt; Table IV MSC M&amp;R</t>
        </is>
      </c>
      <c r="AG2082" s="7" t="inlineStr">
        <is>
          <t>168</t>
        </is>
      </c>
      <c r="AH2082" s="7" t="inlineStr">
        <is>
          <t>1B4B</t>
        </is>
      </c>
    </row>
    <row r="2083" ht="10" customHeight="1">
      <c r="A2083" s="7" t="inlineStr">
        <is>
          <t>OMN</t>
        </is>
      </c>
      <c r="B2083" s="7" t="inlineStr">
        <is>
          <t>O&amp;M</t>
        </is>
      </c>
      <c r="C2083" s="7" t="inlineStr">
        <is>
          <t>T-AKE 2</t>
        </is>
      </c>
      <c r="D2083" s="7" t="inlineStr">
        <is>
          <t>USNS SACAGAWEA</t>
        </is>
      </c>
      <c r="E2083" s="13" t="inlineStr">
        <is>
          <t>[SUB]</t>
        </is>
      </c>
      <c r="F2083" s="7" t="inlineStr">
        <is>
          <t>MSC Other Maintenance and Repair</t>
        </is>
      </c>
      <c r="I2083" s="14" t="n">
        <v>2</v>
      </c>
      <c r="K2083" s="13" t="inlineStr">
        <is>
          <t>MSC</t>
        </is>
      </c>
      <c r="L2083" s="7" t="inlineStr">
        <is>
          <t>Combatant Ships</t>
        </is>
      </c>
      <c r="M2083" s="7" t="inlineStr">
        <is>
          <t>Combat Logistics Ships</t>
        </is>
      </c>
      <c r="N2083" s="7" t="inlineStr">
        <is>
          <t>T-AKE</t>
        </is>
      </c>
      <c r="O2083" s="15" t="n"/>
      <c r="S2083" s="16" t="n">
        <v>13288</v>
      </c>
      <c r="U2083" s="16" t="n">
        <v>13288</v>
      </c>
      <c r="AC2083" s="23">
        <f>IF(OR(E2083="",E2083="[PARENT]"),"ADD",IF(E2083="[ALT_VIEW]","ALT",""))</f>
        <v/>
      </c>
      <c r="AD2083" s="21">
        <f>IF(Y2083&lt;&gt;"",Y2083,IF(U2083&lt;&gt;"",U2083,S2083))</f>
        <v/>
      </c>
      <c r="AE2083" s="21">
        <f>IF(AB2083&lt;&gt;"",AB2083,Z2083)</f>
        <v/>
      </c>
      <c r="AF2083" s="13" t="inlineStr">
        <is>
          <t>BA1 &gt; 1B4B &gt; Table IV MSC M&amp;R</t>
        </is>
      </c>
      <c r="AG2083" s="7" t="inlineStr">
        <is>
          <t>169</t>
        </is>
      </c>
      <c r="AH2083" s="7" t="inlineStr">
        <is>
          <t>1B4B</t>
        </is>
      </c>
    </row>
    <row r="2084" ht="10" customHeight="1">
      <c r="A2084" s="7" t="inlineStr">
        <is>
          <t>OMN</t>
        </is>
      </c>
      <c r="B2084" s="7" t="inlineStr">
        <is>
          <t>O&amp;M</t>
        </is>
      </c>
      <c r="C2084" s="7" t="inlineStr">
        <is>
          <t>T-AKE 3</t>
        </is>
      </c>
      <c r="D2084" s="7" t="inlineStr">
        <is>
          <t>USNS ALAN SHEPARD</t>
        </is>
      </c>
      <c r="E2084" s="13" t="inlineStr">
        <is>
          <t>[SUB]</t>
        </is>
      </c>
      <c r="F2084" s="7" t="inlineStr">
        <is>
          <t>MSC Regular Overhaul (ROH)</t>
        </is>
      </c>
      <c r="I2084" s="14" t="n">
        <v>2</v>
      </c>
      <c r="K2084" s="13" t="inlineStr">
        <is>
          <t>MSC</t>
        </is>
      </c>
      <c r="L2084" s="7" t="inlineStr">
        <is>
          <t>Combatant Ships</t>
        </is>
      </c>
      <c r="M2084" s="7" t="inlineStr">
        <is>
          <t>Combat Logistics Ships</t>
        </is>
      </c>
      <c r="N2084" s="7" t="inlineStr">
        <is>
          <t>T-AKE</t>
        </is>
      </c>
      <c r="O2084" s="15" t="n"/>
      <c r="S2084" s="16" t="n">
        <v>17623</v>
      </c>
      <c r="U2084" s="16" t="n">
        <v>17623</v>
      </c>
      <c r="AC2084" s="23">
        <f>IF(OR(E2084="",E2084="[PARENT]"),"ADD",IF(E2084="[ALT_VIEW]","ALT",""))</f>
        <v/>
      </c>
      <c r="AD2084" s="21">
        <f>IF(Y2084&lt;&gt;"",Y2084,IF(U2084&lt;&gt;"",U2084,S2084))</f>
        <v/>
      </c>
      <c r="AE2084" s="21">
        <f>IF(AB2084&lt;&gt;"",AB2084,Z2084)</f>
        <v/>
      </c>
      <c r="AF2084" s="13" t="inlineStr">
        <is>
          <t>BA1 &gt; 1B4B &gt; Table IV MSC M&amp;R</t>
        </is>
      </c>
      <c r="AG2084" s="7" t="inlineStr">
        <is>
          <t>169</t>
        </is>
      </c>
      <c r="AH2084" s="7" t="inlineStr">
        <is>
          <t>1B4B</t>
        </is>
      </c>
    </row>
    <row r="2085" ht="10" customHeight="1">
      <c r="A2085" s="7" t="inlineStr">
        <is>
          <t>OMN</t>
        </is>
      </c>
      <c r="B2085" s="7" t="inlineStr">
        <is>
          <t>O&amp;M</t>
        </is>
      </c>
      <c r="C2085" s="7" t="inlineStr">
        <is>
          <t>T-AKE 4</t>
        </is>
      </c>
      <c r="D2085" s="7" t="inlineStr">
        <is>
          <t>USNS RICHARD E. BYRD</t>
        </is>
      </c>
      <c r="E2085" s="13" t="inlineStr">
        <is>
          <t>[SUB]</t>
        </is>
      </c>
      <c r="F2085" s="7" t="inlineStr">
        <is>
          <t>MSC Regular Overhaul (ROH)</t>
        </is>
      </c>
      <c r="I2085" s="14" t="n">
        <v>2</v>
      </c>
      <c r="K2085" s="13" t="inlineStr">
        <is>
          <t>MSC</t>
        </is>
      </c>
      <c r="L2085" s="7" t="inlineStr">
        <is>
          <t>Combatant Ships</t>
        </is>
      </c>
      <c r="M2085" s="7" t="inlineStr">
        <is>
          <t>Combat Logistics Ships</t>
        </is>
      </c>
      <c r="N2085" s="7" t="inlineStr">
        <is>
          <t>T-AKE</t>
        </is>
      </c>
      <c r="O2085" s="15" t="n"/>
      <c r="S2085" s="16" t="n">
        <v>23768</v>
      </c>
      <c r="U2085" s="16" t="n">
        <v>23768</v>
      </c>
      <c r="AC2085" s="23">
        <f>IF(OR(E2085="",E2085="[PARENT]"),"ADD",IF(E2085="[ALT_VIEW]","ALT",""))</f>
        <v/>
      </c>
      <c r="AD2085" s="21">
        <f>IF(Y2085&lt;&gt;"",Y2085,IF(U2085&lt;&gt;"",U2085,S2085))</f>
        <v/>
      </c>
      <c r="AE2085" s="21">
        <f>IF(AB2085&lt;&gt;"",AB2085,Z2085)</f>
        <v/>
      </c>
      <c r="AF2085" s="13" t="inlineStr">
        <is>
          <t>BA1 &gt; 1B4B &gt; Table IV MSC M&amp;R</t>
        </is>
      </c>
      <c r="AG2085" s="7" t="inlineStr">
        <is>
          <t>169</t>
        </is>
      </c>
      <c r="AH2085" s="7" t="inlineStr">
        <is>
          <t>1B4B</t>
        </is>
      </c>
    </row>
    <row r="2086" ht="10" customHeight="1">
      <c r="A2086" s="7" t="inlineStr">
        <is>
          <t>OMN</t>
        </is>
      </c>
      <c r="B2086" s="7" t="inlineStr">
        <is>
          <t>O&amp;M</t>
        </is>
      </c>
      <c r="C2086" s="7" t="inlineStr">
        <is>
          <t>T-AKE 5</t>
        </is>
      </c>
      <c r="D2086" s="7" t="inlineStr">
        <is>
          <t>USNS ROBERT E PEARY</t>
        </is>
      </c>
      <c r="E2086" s="13" t="inlineStr">
        <is>
          <t>[SUB]</t>
        </is>
      </c>
      <c r="F2086" s="7" t="inlineStr">
        <is>
          <t>MSC Regular Overhaul (ROH)</t>
        </is>
      </c>
      <c r="I2086" s="14" t="n">
        <v>2</v>
      </c>
      <c r="K2086" s="13" t="inlineStr">
        <is>
          <t>MSC</t>
        </is>
      </c>
      <c r="L2086" s="7" t="inlineStr">
        <is>
          <t>Combatant Ships</t>
        </is>
      </c>
      <c r="M2086" s="7" t="inlineStr">
        <is>
          <t>Combat Logistics Ships</t>
        </is>
      </c>
      <c r="N2086" s="7" t="inlineStr">
        <is>
          <t>T-AKE</t>
        </is>
      </c>
      <c r="O2086" s="15" t="n"/>
      <c r="S2086" s="16" t="n">
        <v>23768</v>
      </c>
      <c r="U2086" s="16" t="n">
        <v>23768</v>
      </c>
      <c r="AC2086" s="23">
        <f>IF(OR(E2086="",E2086="[PARENT]"),"ADD",IF(E2086="[ALT_VIEW]","ALT",""))</f>
        <v/>
      </c>
      <c r="AD2086" s="21">
        <f>IF(Y2086&lt;&gt;"",Y2086,IF(U2086&lt;&gt;"",U2086,S2086))</f>
        <v/>
      </c>
      <c r="AE2086" s="21">
        <f>IF(AB2086&lt;&gt;"",AB2086,Z2086)</f>
        <v/>
      </c>
      <c r="AF2086" s="13" t="inlineStr">
        <is>
          <t>BA1 &gt; 1B4B &gt; Table IV MSC M&amp;R</t>
        </is>
      </c>
      <c r="AG2086" s="7" t="inlineStr">
        <is>
          <t>169</t>
        </is>
      </c>
      <c r="AH2086" s="7" t="inlineStr">
        <is>
          <t>1B4B</t>
        </is>
      </c>
    </row>
    <row r="2087" ht="10" customHeight="1">
      <c r="A2087" s="7" t="inlineStr">
        <is>
          <t>OMN</t>
        </is>
      </c>
      <c r="B2087" s="7" t="inlineStr">
        <is>
          <t>O&amp;M</t>
        </is>
      </c>
      <c r="C2087" s="7" t="inlineStr">
        <is>
          <t>T-AKE 6</t>
        </is>
      </c>
      <c r="D2087" s="7" t="inlineStr">
        <is>
          <t>USNS AMELIA EARHART</t>
        </is>
      </c>
      <c r="E2087" s="13" t="inlineStr">
        <is>
          <t>[SUB]</t>
        </is>
      </c>
      <c r="F2087" s="7" t="inlineStr">
        <is>
          <t>MSC Mid-Term Availability (MTA)</t>
        </is>
      </c>
      <c r="I2087" s="14" t="n">
        <v>2</v>
      </c>
      <c r="K2087" s="13" t="inlineStr">
        <is>
          <t>MSC</t>
        </is>
      </c>
      <c r="L2087" s="7" t="inlineStr">
        <is>
          <t>Combatant Ships</t>
        </is>
      </c>
      <c r="M2087" s="7" t="inlineStr">
        <is>
          <t>Combat Logistics Ships</t>
        </is>
      </c>
      <c r="N2087" s="7" t="inlineStr">
        <is>
          <t>T-AKE</t>
        </is>
      </c>
      <c r="O2087" s="15" t="n"/>
      <c r="S2087" s="16" t="n">
        <v>16965</v>
      </c>
      <c r="U2087" s="16" t="n">
        <v>16965</v>
      </c>
      <c r="AC2087" s="23">
        <f>IF(OR(E2087="",E2087="[PARENT]"),"ADD",IF(E2087="[ALT_VIEW]","ALT",""))</f>
        <v/>
      </c>
      <c r="AD2087" s="21">
        <f>IF(Y2087&lt;&gt;"",Y2087,IF(U2087&lt;&gt;"",U2087,S2087))</f>
        <v/>
      </c>
      <c r="AE2087" s="21">
        <f>IF(AB2087&lt;&gt;"",AB2087,Z2087)</f>
        <v/>
      </c>
      <c r="AF2087" s="13" t="inlineStr">
        <is>
          <t>BA1 &gt; 1B4B &gt; Table IV MSC M&amp;R</t>
        </is>
      </c>
      <c r="AG2087" s="7" t="inlineStr">
        <is>
          <t>169</t>
        </is>
      </c>
      <c r="AH2087" s="7" t="inlineStr">
        <is>
          <t>1B4B</t>
        </is>
      </c>
    </row>
    <row r="2088" ht="10" customHeight="1">
      <c r="A2088" s="7" t="inlineStr">
        <is>
          <t>OMN</t>
        </is>
      </c>
      <c r="B2088" s="7" t="inlineStr">
        <is>
          <t>O&amp;M</t>
        </is>
      </c>
      <c r="C2088" s="7" t="inlineStr">
        <is>
          <t>T-AKE 7</t>
        </is>
      </c>
      <c r="D2088" s="7" t="inlineStr">
        <is>
          <t>USNS CARL BRASHEAR</t>
        </is>
      </c>
      <c r="E2088" s="13" t="inlineStr">
        <is>
          <t>[SUB]</t>
        </is>
      </c>
      <c r="F2088" s="7" t="inlineStr">
        <is>
          <t>MSC Mid-Term Availability (MTA)</t>
        </is>
      </c>
      <c r="I2088" s="14" t="n">
        <v>2</v>
      </c>
      <c r="K2088" s="13" t="inlineStr">
        <is>
          <t>MSC</t>
        </is>
      </c>
      <c r="L2088" s="7" t="inlineStr">
        <is>
          <t>Combatant Ships</t>
        </is>
      </c>
      <c r="M2088" s="7" t="inlineStr">
        <is>
          <t>Combat Logistics Ships</t>
        </is>
      </c>
      <c r="N2088" s="7" t="inlineStr">
        <is>
          <t>T-AKE</t>
        </is>
      </c>
      <c r="O2088" s="15" t="n"/>
      <c r="S2088" s="16" t="n">
        <v>18523</v>
      </c>
      <c r="U2088" s="16" t="n">
        <v>18523</v>
      </c>
      <c r="AC2088" s="23">
        <f>IF(OR(E2088="",E2088="[PARENT]"),"ADD",IF(E2088="[ALT_VIEW]","ALT",""))</f>
        <v/>
      </c>
      <c r="AD2088" s="21">
        <f>IF(Y2088&lt;&gt;"",Y2088,IF(U2088&lt;&gt;"",U2088,S2088))</f>
        <v/>
      </c>
      <c r="AE2088" s="21">
        <f>IF(AB2088&lt;&gt;"",AB2088,Z2088)</f>
        <v/>
      </c>
      <c r="AF2088" s="13" t="inlineStr">
        <is>
          <t>BA1 &gt; 1B4B &gt; Table IV MSC M&amp;R</t>
        </is>
      </c>
      <c r="AG2088" s="7" t="inlineStr">
        <is>
          <t>169</t>
        </is>
      </c>
      <c r="AH2088" s="7" t="inlineStr">
        <is>
          <t>1B4B</t>
        </is>
      </c>
    </row>
    <row r="2089" ht="10" customHeight="1">
      <c r="A2089" s="7" t="inlineStr">
        <is>
          <t>OMN</t>
        </is>
      </c>
      <c r="B2089" s="7" t="inlineStr">
        <is>
          <t>O&amp;M</t>
        </is>
      </c>
      <c r="C2089" s="7" t="inlineStr">
        <is>
          <t>T-AKE 8</t>
        </is>
      </c>
      <c r="D2089" s="7" t="inlineStr">
        <is>
          <t>USNS WALLY SCHIRRA</t>
        </is>
      </c>
      <c r="E2089" s="13" t="inlineStr">
        <is>
          <t>[SUB]</t>
        </is>
      </c>
      <c r="F2089" s="7" t="inlineStr">
        <is>
          <t>MSC Mid-Term Availability (MTA)</t>
        </is>
      </c>
      <c r="I2089" s="14" t="n">
        <v>2</v>
      </c>
      <c r="K2089" s="13" t="inlineStr">
        <is>
          <t>MSC</t>
        </is>
      </c>
      <c r="L2089" s="7" t="inlineStr">
        <is>
          <t>Combatant Ships</t>
        </is>
      </c>
      <c r="M2089" s="7" t="inlineStr">
        <is>
          <t>Combat Logistics Ships</t>
        </is>
      </c>
      <c r="N2089" s="7" t="inlineStr">
        <is>
          <t>T-AKE</t>
        </is>
      </c>
      <c r="O2089" s="15" t="n"/>
      <c r="S2089" s="16" t="n">
        <v>16965</v>
      </c>
      <c r="U2089" s="16" t="n">
        <v>16965</v>
      </c>
      <c r="AC2089" s="23">
        <f>IF(OR(E2089="",E2089="[PARENT]"),"ADD",IF(E2089="[ALT_VIEW]","ALT",""))</f>
        <v/>
      </c>
      <c r="AD2089" s="21">
        <f>IF(Y2089&lt;&gt;"",Y2089,IF(U2089&lt;&gt;"",U2089,S2089))</f>
        <v/>
      </c>
      <c r="AE2089" s="21">
        <f>IF(AB2089&lt;&gt;"",AB2089,Z2089)</f>
        <v/>
      </c>
      <c r="AF2089" s="13" t="inlineStr">
        <is>
          <t>BA1 &gt; 1B4B &gt; Table IV MSC M&amp;R</t>
        </is>
      </c>
      <c r="AG2089" s="7" t="inlineStr">
        <is>
          <t>169</t>
        </is>
      </c>
      <c r="AH2089" s="7" t="inlineStr">
        <is>
          <t>1B4B</t>
        </is>
      </c>
    </row>
    <row r="2090" ht="10" customHeight="1">
      <c r="A2090" s="7" t="inlineStr">
        <is>
          <t>OMN</t>
        </is>
      </c>
      <c r="B2090" s="7" t="inlineStr">
        <is>
          <t>O&amp;M</t>
        </is>
      </c>
      <c r="C2090" s="7" t="inlineStr">
        <is>
          <t>T-AKE 9</t>
        </is>
      </c>
      <c r="D2090" s="7" t="inlineStr">
        <is>
          <t>USNS MATTHEW PERRY</t>
        </is>
      </c>
      <c r="E2090" s="13" t="inlineStr">
        <is>
          <t>[SUB]</t>
        </is>
      </c>
      <c r="F2090" s="7" t="inlineStr">
        <is>
          <t>MSC Mid-Term Availability (MTA)</t>
        </is>
      </c>
      <c r="I2090" s="14" t="n">
        <v>2</v>
      </c>
      <c r="K2090" s="13" t="inlineStr">
        <is>
          <t>MSC</t>
        </is>
      </c>
      <c r="L2090" s="7" t="inlineStr">
        <is>
          <t>Combatant Ships</t>
        </is>
      </c>
      <c r="M2090" s="7" t="inlineStr">
        <is>
          <t>Combat Logistics Ships</t>
        </is>
      </c>
      <c r="N2090" s="7" t="inlineStr">
        <is>
          <t>T-AKE</t>
        </is>
      </c>
      <c r="O2090" s="15" t="n"/>
      <c r="S2090" s="16" t="n">
        <v>17623</v>
      </c>
      <c r="U2090" s="16" t="n">
        <v>17623</v>
      </c>
      <c r="AC2090" s="23">
        <f>IF(OR(E2090="",E2090="[PARENT]"),"ADD",IF(E2090="[ALT_VIEW]","ALT",""))</f>
        <v/>
      </c>
      <c r="AD2090" s="21">
        <f>IF(Y2090&lt;&gt;"",Y2090,IF(U2090&lt;&gt;"",U2090,S2090))</f>
        <v/>
      </c>
      <c r="AE2090" s="21">
        <f>IF(AB2090&lt;&gt;"",AB2090,Z2090)</f>
        <v/>
      </c>
      <c r="AF2090" s="13" t="inlineStr">
        <is>
          <t>BA1 &gt; 1B4B &gt; Table IV MSC M&amp;R</t>
        </is>
      </c>
      <c r="AG2090" s="7" t="inlineStr">
        <is>
          <t>169</t>
        </is>
      </c>
      <c r="AH2090" s="7" t="inlineStr">
        <is>
          <t>1B4B</t>
        </is>
      </c>
    </row>
    <row r="2091" ht="10" customHeight="1">
      <c r="A2091" s="7" t="inlineStr">
        <is>
          <t>OMN</t>
        </is>
      </c>
      <c r="B2091" s="7" t="inlineStr">
        <is>
          <t>O&amp;M</t>
        </is>
      </c>
      <c r="C2091" s="7" t="inlineStr">
        <is>
          <t>T-AO 187</t>
        </is>
      </c>
      <c r="D2091" s="7" t="inlineStr">
        <is>
          <t>USNS HENRY J. KAISER</t>
        </is>
      </c>
      <c r="E2091" s="13" t="inlineStr">
        <is>
          <t>[SUB]</t>
        </is>
      </c>
      <c r="F2091" s="7" t="inlineStr">
        <is>
          <t>MSC Other Maintenance and Repair</t>
        </is>
      </c>
      <c r="I2091" s="14" t="n">
        <v>2</v>
      </c>
      <c r="K2091" s="13" t="inlineStr">
        <is>
          <t>MSC</t>
        </is>
      </c>
      <c r="L2091" s="7" t="inlineStr">
        <is>
          <t>Combatant Ships</t>
        </is>
      </c>
      <c r="M2091" s="7" t="inlineStr">
        <is>
          <t>Combat Logistics Ships</t>
        </is>
      </c>
      <c r="N2091" s="7" t="inlineStr">
        <is>
          <t>T-AO</t>
        </is>
      </c>
      <c r="O2091" s="15" t="n"/>
      <c r="S2091" s="16" t="n">
        <v>56514</v>
      </c>
      <c r="U2091" s="16" t="n">
        <v>56514</v>
      </c>
      <c r="AC2091" s="23">
        <f>IF(OR(E2091="",E2091="[PARENT]"),"ADD",IF(E2091="[ALT_VIEW]","ALT",""))</f>
        <v/>
      </c>
      <c r="AD2091" s="21">
        <f>IF(Y2091&lt;&gt;"",Y2091,IF(U2091&lt;&gt;"",U2091,S2091))</f>
        <v/>
      </c>
      <c r="AE2091" s="21">
        <f>IF(AB2091&lt;&gt;"",AB2091,Z2091)</f>
        <v/>
      </c>
      <c r="AF2091" s="13" t="inlineStr">
        <is>
          <t>BA1 &gt; 1B4B &gt; Table IV MSC M&amp;R</t>
        </is>
      </c>
      <c r="AG2091" s="7" t="inlineStr">
        <is>
          <t>169</t>
        </is>
      </c>
      <c r="AH2091" s="7" t="inlineStr">
        <is>
          <t>1B4B</t>
        </is>
      </c>
    </row>
    <row r="2092" ht="10" customHeight="1">
      <c r="A2092" s="7" t="inlineStr">
        <is>
          <t>OMN</t>
        </is>
      </c>
      <c r="B2092" s="7" t="inlineStr">
        <is>
          <t>O&amp;M</t>
        </is>
      </c>
      <c r="C2092" s="7" t="inlineStr">
        <is>
          <t>T-AO 188</t>
        </is>
      </c>
      <c r="D2092" s="7" t="inlineStr">
        <is>
          <t>USNS JOSHUA HUMPHREYS</t>
        </is>
      </c>
      <c r="E2092" s="13" t="inlineStr">
        <is>
          <t>[SUB]</t>
        </is>
      </c>
      <c r="F2092" s="7" t="inlineStr">
        <is>
          <t>MSC Mid-Term Availability (MTA)</t>
        </is>
      </c>
      <c r="I2092" s="14" t="n">
        <v>2</v>
      </c>
      <c r="K2092" s="13" t="inlineStr">
        <is>
          <t>MSC</t>
        </is>
      </c>
      <c r="L2092" s="7" t="inlineStr">
        <is>
          <t>Combatant Ships</t>
        </is>
      </c>
      <c r="M2092" s="7" t="inlineStr">
        <is>
          <t>Combat Logistics Ships</t>
        </is>
      </c>
      <c r="N2092" s="7" t="inlineStr">
        <is>
          <t>T-AO</t>
        </is>
      </c>
      <c r="O2092" s="15" t="n"/>
      <c r="S2092" s="16" t="n">
        <v>32237</v>
      </c>
      <c r="U2092" s="16" t="n">
        <v>32237</v>
      </c>
      <c r="AC2092" s="23">
        <f>IF(OR(E2092="",E2092="[PARENT]"),"ADD",IF(E2092="[ALT_VIEW]","ALT",""))</f>
        <v/>
      </c>
      <c r="AD2092" s="21">
        <f>IF(Y2092&lt;&gt;"",Y2092,IF(U2092&lt;&gt;"",U2092,S2092))</f>
        <v/>
      </c>
      <c r="AE2092" s="21">
        <f>IF(AB2092&lt;&gt;"",AB2092,Z2092)</f>
        <v/>
      </c>
      <c r="AF2092" s="13" t="inlineStr">
        <is>
          <t>BA1 &gt; 1B4B &gt; Table IV MSC M&amp;R</t>
        </is>
      </c>
      <c r="AG2092" s="7" t="inlineStr">
        <is>
          <t>169</t>
        </is>
      </c>
      <c r="AH2092" s="7" t="inlineStr">
        <is>
          <t>1B4B</t>
        </is>
      </c>
    </row>
    <row r="2093" ht="10" customHeight="1">
      <c r="A2093" s="7" t="inlineStr">
        <is>
          <t>OMN</t>
        </is>
      </c>
      <c r="B2093" s="7" t="inlineStr">
        <is>
          <t>O&amp;M</t>
        </is>
      </c>
      <c r="C2093" s="7" t="inlineStr">
        <is>
          <t>T-AO 189</t>
        </is>
      </c>
      <c r="D2093" s="7" t="inlineStr">
        <is>
          <t>USNS JOHN LENTHALL</t>
        </is>
      </c>
      <c r="E2093" s="13" t="inlineStr">
        <is>
          <t>[SUB]</t>
        </is>
      </c>
      <c r="F2093" s="7" t="inlineStr">
        <is>
          <t>MSC Mid-Term Availability (MTA)</t>
        </is>
      </c>
      <c r="I2093" s="14" t="n">
        <v>2</v>
      </c>
      <c r="K2093" s="13" t="inlineStr">
        <is>
          <t>MSC</t>
        </is>
      </c>
      <c r="L2093" s="7" t="inlineStr">
        <is>
          <t>Combatant Ships</t>
        </is>
      </c>
      <c r="M2093" s="7" t="inlineStr">
        <is>
          <t>Combat Logistics Ships</t>
        </is>
      </c>
      <c r="N2093" s="7" t="inlineStr">
        <is>
          <t>T-AO</t>
        </is>
      </c>
      <c r="O2093" s="15" t="n"/>
      <c r="S2093" s="16" t="n">
        <v>32237</v>
      </c>
      <c r="U2093" s="16" t="n">
        <v>32237</v>
      </c>
      <c r="AC2093" s="23">
        <f>IF(OR(E2093="",E2093="[PARENT]"),"ADD",IF(E2093="[ALT_VIEW]","ALT",""))</f>
        <v/>
      </c>
      <c r="AD2093" s="21">
        <f>IF(Y2093&lt;&gt;"",Y2093,IF(U2093&lt;&gt;"",U2093,S2093))</f>
        <v/>
      </c>
      <c r="AE2093" s="21">
        <f>IF(AB2093&lt;&gt;"",AB2093,Z2093)</f>
        <v/>
      </c>
      <c r="AF2093" s="13" t="inlineStr">
        <is>
          <t>BA1 &gt; 1B4B &gt; Table IV MSC M&amp;R</t>
        </is>
      </c>
      <c r="AG2093" s="7" t="inlineStr">
        <is>
          <t>169</t>
        </is>
      </c>
      <c r="AH2093" s="7" t="inlineStr">
        <is>
          <t>1B4B</t>
        </is>
      </c>
    </row>
    <row r="2094" ht="10" customHeight="1">
      <c r="A2094" s="7" t="inlineStr">
        <is>
          <t>OMN</t>
        </is>
      </c>
      <c r="B2094" s="7" t="inlineStr">
        <is>
          <t>O&amp;M</t>
        </is>
      </c>
      <c r="C2094" s="7" t="inlineStr">
        <is>
          <t>T-AO 194</t>
        </is>
      </c>
      <c r="D2094" s="7" t="inlineStr">
        <is>
          <t>USNS JOHN ERICSSON</t>
        </is>
      </c>
      <c r="E2094" s="13" t="inlineStr">
        <is>
          <t>[SUB]</t>
        </is>
      </c>
      <c r="F2094" s="7" t="inlineStr">
        <is>
          <t>Ship Maintenance</t>
        </is>
      </c>
      <c r="I2094" s="14" t="n">
        <v>2</v>
      </c>
      <c r="K2094" s="13" t="inlineStr">
        <is>
          <t>MSC</t>
        </is>
      </c>
      <c r="L2094" s="7" t="inlineStr">
        <is>
          <t>Combatant Ships</t>
        </is>
      </c>
      <c r="M2094" s="7" t="inlineStr">
        <is>
          <t>Combat Logistics Ships</t>
        </is>
      </c>
      <c r="N2094" s="7" t="inlineStr">
        <is>
          <t>T-AO</t>
        </is>
      </c>
      <c r="O2094" s="15" t="n"/>
      <c r="S2094" s="16" t="n">
        <v>11755</v>
      </c>
      <c r="U2094" s="16" t="n">
        <v>11755</v>
      </c>
      <c r="AC2094" s="23">
        <f>IF(OR(E2094="",E2094="[PARENT]"),"ADD",IF(E2094="[ALT_VIEW]","ALT",""))</f>
        <v/>
      </c>
      <c r="AD2094" s="21">
        <f>IF(Y2094&lt;&gt;"",Y2094,IF(U2094&lt;&gt;"",U2094,S2094))</f>
        <v/>
      </c>
      <c r="AE2094" s="21">
        <f>IF(AB2094&lt;&gt;"",AB2094,Z2094)</f>
        <v/>
      </c>
      <c r="AF2094" s="13" t="inlineStr">
        <is>
          <t>BA1 &gt; 1B4B &gt; Table IV MSC M&amp;R</t>
        </is>
      </c>
      <c r="AG2094" s="7" t="inlineStr">
        <is>
          <t>169</t>
        </is>
      </c>
      <c r="AH2094" s="7" t="inlineStr">
        <is>
          <t>1B4B</t>
        </is>
      </c>
    </row>
    <row r="2095" ht="10" customHeight="1">
      <c r="A2095" s="7" t="inlineStr">
        <is>
          <t>OMN</t>
        </is>
      </c>
      <c r="B2095" s="7" t="inlineStr">
        <is>
          <t>O&amp;M</t>
        </is>
      </c>
      <c r="C2095" s="7" t="inlineStr">
        <is>
          <t>T-AO 195</t>
        </is>
      </c>
      <c r="D2095" s="7" t="inlineStr">
        <is>
          <t>USNS LEROY GRUMMAN</t>
        </is>
      </c>
      <c r="E2095" s="13" t="inlineStr">
        <is>
          <t>[SUB]</t>
        </is>
      </c>
      <c r="F2095" s="7" t="inlineStr">
        <is>
          <t>MSC Mid-Term Availability (MTA)</t>
        </is>
      </c>
      <c r="I2095" s="14" t="n">
        <v>2</v>
      </c>
      <c r="K2095" s="13" t="inlineStr">
        <is>
          <t>MSC</t>
        </is>
      </c>
      <c r="L2095" s="7" t="inlineStr">
        <is>
          <t>Combatant Ships</t>
        </is>
      </c>
      <c r="M2095" s="7" t="inlineStr">
        <is>
          <t>Combat Logistics Ships</t>
        </is>
      </c>
      <c r="N2095" s="7" t="inlineStr">
        <is>
          <t>T-AO</t>
        </is>
      </c>
      <c r="O2095" s="15" t="n"/>
      <c r="S2095" s="16" t="n">
        <v>44148</v>
      </c>
      <c r="U2095" s="16" t="n">
        <v>44148</v>
      </c>
      <c r="AC2095" s="23">
        <f>IF(OR(E2095="",E2095="[PARENT]"),"ADD",IF(E2095="[ALT_VIEW]","ALT",""))</f>
        <v/>
      </c>
      <c r="AD2095" s="21">
        <f>IF(Y2095&lt;&gt;"",Y2095,IF(U2095&lt;&gt;"",U2095,S2095))</f>
        <v/>
      </c>
      <c r="AE2095" s="21">
        <f>IF(AB2095&lt;&gt;"",AB2095,Z2095)</f>
        <v/>
      </c>
      <c r="AF2095" s="13" t="inlineStr">
        <is>
          <t>BA1 &gt; 1B4B &gt; Table IV MSC M&amp;R</t>
        </is>
      </c>
      <c r="AG2095" s="7" t="inlineStr">
        <is>
          <t>169</t>
        </is>
      </c>
      <c r="AH2095" s="7" t="inlineStr">
        <is>
          <t>1B4B</t>
        </is>
      </c>
    </row>
    <row r="2096" ht="10" customHeight="1">
      <c r="A2096" s="7" t="inlineStr">
        <is>
          <t>OMN</t>
        </is>
      </c>
      <c r="B2096" s="7" t="inlineStr">
        <is>
          <t>O&amp;M</t>
        </is>
      </c>
      <c r="C2096" s="7" t="inlineStr">
        <is>
          <t>T-AO 196</t>
        </is>
      </c>
      <c r="D2096" s="7" t="inlineStr">
        <is>
          <t>USNS KANAWHA</t>
        </is>
      </c>
      <c r="E2096" s="13" t="inlineStr">
        <is>
          <t>[SUB]</t>
        </is>
      </c>
      <c r="F2096" s="7" t="inlineStr">
        <is>
          <t>MSC Mid-Term Availability (MTA)</t>
        </is>
      </c>
      <c r="I2096" s="14" t="n">
        <v>2</v>
      </c>
      <c r="K2096" s="13" t="inlineStr">
        <is>
          <t>MSC</t>
        </is>
      </c>
      <c r="L2096" s="7" t="inlineStr">
        <is>
          <t>Combatant Ships</t>
        </is>
      </c>
      <c r="M2096" s="7" t="inlineStr">
        <is>
          <t>Combat Logistics Ships</t>
        </is>
      </c>
      <c r="N2096" s="7" t="inlineStr">
        <is>
          <t>T-AO</t>
        </is>
      </c>
      <c r="O2096" s="15" t="n"/>
      <c r="S2096" s="16" t="n">
        <v>32237</v>
      </c>
      <c r="U2096" s="16" t="n">
        <v>32237</v>
      </c>
      <c r="AC2096" s="23">
        <f>IF(OR(E2096="",E2096="[PARENT]"),"ADD",IF(E2096="[ALT_VIEW]","ALT",""))</f>
        <v/>
      </c>
      <c r="AD2096" s="21">
        <f>IF(Y2096&lt;&gt;"",Y2096,IF(U2096&lt;&gt;"",U2096,S2096))</f>
        <v/>
      </c>
      <c r="AE2096" s="21">
        <f>IF(AB2096&lt;&gt;"",AB2096,Z2096)</f>
        <v/>
      </c>
      <c r="AF2096" s="13" t="inlineStr">
        <is>
          <t>BA1 &gt; 1B4B &gt; Table IV MSC M&amp;R</t>
        </is>
      </c>
      <c r="AG2096" s="7" t="inlineStr">
        <is>
          <t>170</t>
        </is>
      </c>
      <c r="AH2096" s="7" t="inlineStr">
        <is>
          <t>1B4B</t>
        </is>
      </c>
    </row>
    <row r="2097" ht="10" customHeight="1">
      <c r="A2097" s="7" t="inlineStr">
        <is>
          <t>OMN</t>
        </is>
      </c>
      <c r="B2097" s="7" t="inlineStr">
        <is>
          <t>O&amp;M</t>
        </is>
      </c>
      <c r="C2097" s="7" t="inlineStr">
        <is>
          <t>T-AO 197</t>
        </is>
      </c>
      <c r="D2097" s="7" t="inlineStr">
        <is>
          <t>USNS PECOS</t>
        </is>
      </c>
      <c r="E2097" s="13" t="inlineStr">
        <is>
          <t>[SUB]</t>
        </is>
      </c>
      <c r="F2097" s="7" t="inlineStr">
        <is>
          <t>Ship Maintenance</t>
        </is>
      </c>
      <c r="I2097" s="14" t="n">
        <v>2</v>
      </c>
      <c r="K2097" s="13" t="inlineStr">
        <is>
          <t>MSC</t>
        </is>
      </c>
      <c r="L2097" s="7" t="inlineStr">
        <is>
          <t>Combatant Ships</t>
        </is>
      </c>
      <c r="M2097" s="7" t="inlineStr">
        <is>
          <t>Combat Logistics Ships</t>
        </is>
      </c>
      <c r="N2097" s="7" t="inlineStr">
        <is>
          <t>T-AO</t>
        </is>
      </c>
      <c r="O2097" s="15" t="n"/>
      <c r="S2097" s="16" t="n">
        <v>15946</v>
      </c>
      <c r="U2097" s="16" t="n">
        <v>15946</v>
      </c>
      <c r="AC2097" s="23">
        <f>IF(OR(E2097="",E2097="[PARENT]"),"ADD",IF(E2097="[ALT_VIEW]","ALT",""))</f>
        <v/>
      </c>
      <c r="AD2097" s="21">
        <f>IF(Y2097&lt;&gt;"",Y2097,IF(U2097&lt;&gt;"",U2097,S2097))</f>
        <v/>
      </c>
      <c r="AE2097" s="21">
        <f>IF(AB2097&lt;&gt;"",AB2097,Z2097)</f>
        <v/>
      </c>
      <c r="AF2097" s="13" t="inlineStr">
        <is>
          <t>BA1 &gt; 1B4B &gt; Table IV MSC M&amp;R</t>
        </is>
      </c>
      <c r="AG2097" s="7" t="inlineStr">
        <is>
          <t>170</t>
        </is>
      </c>
      <c r="AH2097" s="7" t="inlineStr">
        <is>
          <t>1B4B</t>
        </is>
      </c>
    </row>
    <row r="2098" ht="10" customHeight="1">
      <c r="A2098" s="7" t="inlineStr">
        <is>
          <t>OMN</t>
        </is>
      </c>
      <c r="B2098" s="7" t="inlineStr">
        <is>
          <t>O&amp;M</t>
        </is>
      </c>
      <c r="C2098" s="7" t="inlineStr">
        <is>
          <t>T-AO 198</t>
        </is>
      </c>
      <c r="D2098" s="7" t="inlineStr">
        <is>
          <t>USNS BIG HORN</t>
        </is>
      </c>
      <c r="E2098" s="13" t="inlineStr">
        <is>
          <t>[SUB]</t>
        </is>
      </c>
      <c r="F2098" s="7" t="inlineStr">
        <is>
          <t>Ship Maintenance</t>
        </is>
      </c>
      <c r="I2098" s="14" t="n">
        <v>2</v>
      </c>
      <c r="K2098" s="13" t="inlineStr">
        <is>
          <t>MSC</t>
        </is>
      </c>
      <c r="L2098" s="7" t="inlineStr">
        <is>
          <t>Combatant Ships</t>
        </is>
      </c>
      <c r="M2098" s="7" t="inlineStr">
        <is>
          <t>Combat Logistics Ships</t>
        </is>
      </c>
      <c r="N2098" s="7" t="inlineStr">
        <is>
          <t>T-AO</t>
        </is>
      </c>
      <c r="O2098" s="15" t="n"/>
      <c r="S2098" s="16" t="n">
        <v>11755</v>
      </c>
      <c r="U2098" s="16" t="n">
        <v>11755</v>
      </c>
      <c r="AC2098" s="23">
        <f>IF(OR(E2098="",E2098="[PARENT]"),"ADD",IF(E2098="[ALT_VIEW]","ALT",""))</f>
        <v/>
      </c>
      <c r="AD2098" s="21">
        <f>IF(Y2098&lt;&gt;"",Y2098,IF(U2098&lt;&gt;"",U2098,S2098))</f>
        <v/>
      </c>
      <c r="AE2098" s="21">
        <f>IF(AB2098&lt;&gt;"",AB2098,Z2098)</f>
        <v/>
      </c>
      <c r="AF2098" s="13" t="inlineStr">
        <is>
          <t>BA1 &gt; 1B4B &gt; Table IV MSC M&amp;R</t>
        </is>
      </c>
      <c r="AG2098" s="7" t="inlineStr">
        <is>
          <t>170</t>
        </is>
      </c>
      <c r="AH2098" s="7" t="inlineStr">
        <is>
          <t>1B4B</t>
        </is>
      </c>
    </row>
    <row r="2099" ht="10" customHeight="1">
      <c r="A2099" s="7" t="inlineStr">
        <is>
          <t>OMN</t>
        </is>
      </c>
      <c r="B2099" s="7" t="inlineStr">
        <is>
          <t>O&amp;M</t>
        </is>
      </c>
      <c r="C2099" s="7" t="inlineStr">
        <is>
          <t>T-AO 199</t>
        </is>
      </c>
      <c r="D2099" s="7" t="inlineStr">
        <is>
          <t>USNS TIPPECANOE</t>
        </is>
      </c>
      <c r="E2099" s="13" t="inlineStr">
        <is>
          <t>[SUB]</t>
        </is>
      </c>
      <c r="F2099" s="7" t="inlineStr">
        <is>
          <t>MSC Regular Overhaul (ROH)</t>
        </is>
      </c>
      <c r="I2099" s="14" t="n">
        <v>2</v>
      </c>
      <c r="K2099" s="13" t="inlineStr">
        <is>
          <t>MSC</t>
        </is>
      </c>
      <c r="L2099" s="7" t="inlineStr">
        <is>
          <t>Combatant Ships</t>
        </is>
      </c>
      <c r="M2099" s="7" t="inlineStr">
        <is>
          <t>Combat Logistics Ships</t>
        </is>
      </c>
      <c r="N2099" s="7" t="inlineStr">
        <is>
          <t>T-AO</t>
        </is>
      </c>
      <c r="O2099" s="15" t="n"/>
      <c r="S2099" s="16" t="n">
        <v>28069</v>
      </c>
      <c r="U2099" s="16" t="n">
        <v>28069</v>
      </c>
      <c r="AC2099" s="23">
        <f>IF(OR(E2099="",E2099="[PARENT]"),"ADD",IF(E2099="[ALT_VIEW]","ALT",""))</f>
        <v/>
      </c>
      <c r="AD2099" s="21">
        <f>IF(Y2099&lt;&gt;"",Y2099,IF(U2099&lt;&gt;"",U2099,S2099))</f>
        <v/>
      </c>
      <c r="AE2099" s="21">
        <f>IF(AB2099&lt;&gt;"",AB2099,Z2099)</f>
        <v/>
      </c>
      <c r="AF2099" s="13" t="inlineStr">
        <is>
          <t>BA1 &gt; 1B4B &gt; Table IV MSC M&amp;R</t>
        </is>
      </c>
      <c r="AG2099" s="7" t="inlineStr">
        <is>
          <t>170</t>
        </is>
      </c>
      <c r="AH2099" s="7" t="inlineStr">
        <is>
          <t>1B4B</t>
        </is>
      </c>
    </row>
    <row r="2100" ht="10" customHeight="1">
      <c r="A2100" s="7" t="inlineStr">
        <is>
          <t>OMN</t>
        </is>
      </c>
      <c r="B2100" s="7" t="inlineStr">
        <is>
          <t>O&amp;M</t>
        </is>
      </c>
      <c r="C2100" s="7" t="inlineStr">
        <is>
          <t>T-AO 200</t>
        </is>
      </c>
      <c r="D2100" s="7" t="inlineStr">
        <is>
          <t>USNS GUADALUPE</t>
        </is>
      </c>
      <c r="E2100" s="13" t="inlineStr">
        <is>
          <t>[SUB]</t>
        </is>
      </c>
      <c r="F2100" s="7" t="inlineStr">
        <is>
          <t>MSC Regular Overhaul (ROH)</t>
        </is>
      </c>
      <c r="I2100" s="14" t="n">
        <v>2</v>
      </c>
      <c r="K2100" s="13" t="inlineStr">
        <is>
          <t>MSC</t>
        </is>
      </c>
      <c r="L2100" s="7" t="inlineStr">
        <is>
          <t>Combatant Ships</t>
        </is>
      </c>
      <c r="M2100" s="7" t="inlineStr">
        <is>
          <t>Combat Logistics Ships</t>
        </is>
      </c>
      <c r="N2100" s="7" t="inlineStr">
        <is>
          <t>T-AO</t>
        </is>
      </c>
      <c r="O2100" s="15" t="n"/>
      <c r="S2100" s="16" t="n">
        <v>32237</v>
      </c>
      <c r="U2100" s="16" t="n">
        <v>32237</v>
      </c>
      <c r="AC2100" s="23">
        <f>IF(OR(E2100="",E2100="[PARENT]"),"ADD",IF(E2100="[ALT_VIEW]","ALT",""))</f>
        <v/>
      </c>
      <c r="AD2100" s="21">
        <f>IF(Y2100&lt;&gt;"",Y2100,IF(U2100&lt;&gt;"",U2100,S2100))</f>
        <v/>
      </c>
      <c r="AE2100" s="21">
        <f>IF(AB2100&lt;&gt;"",AB2100,Z2100)</f>
        <v/>
      </c>
      <c r="AF2100" s="13" t="inlineStr">
        <is>
          <t>BA1 &gt; 1B4B &gt; Table IV MSC M&amp;R</t>
        </is>
      </c>
      <c r="AG2100" s="7" t="inlineStr">
        <is>
          <t>170</t>
        </is>
      </c>
      <c r="AH2100" s="7" t="inlineStr">
        <is>
          <t>1B4B</t>
        </is>
      </c>
    </row>
    <row r="2101" ht="10" customHeight="1">
      <c r="A2101" s="7" t="inlineStr">
        <is>
          <t>OMN</t>
        </is>
      </c>
      <c r="B2101" s="7" t="inlineStr">
        <is>
          <t>O&amp;M</t>
        </is>
      </c>
      <c r="C2101" s="7" t="inlineStr">
        <is>
          <t>T-AO 201</t>
        </is>
      </c>
      <c r="D2101" s="7" t="inlineStr">
        <is>
          <t>USNS PATUXENT</t>
        </is>
      </c>
      <c r="E2101" s="13" t="inlineStr">
        <is>
          <t>[SUB]</t>
        </is>
      </c>
      <c r="F2101" s="7" t="inlineStr">
        <is>
          <t>MSC Mid-Term Availability (MTA)</t>
        </is>
      </c>
      <c r="I2101" s="14" t="n">
        <v>2</v>
      </c>
      <c r="K2101" s="13" t="inlineStr">
        <is>
          <t>MSC</t>
        </is>
      </c>
      <c r="L2101" s="7" t="inlineStr">
        <is>
          <t>Combatant Ships</t>
        </is>
      </c>
      <c r="M2101" s="7" t="inlineStr">
        <is>
          <t>Combat Logistics Ships</t>
        </is>
      </c>
      <c r="N2101" s="7" t="inlineStr">
        <is>
          <t>T-AO</t>
        </is>
      </c>
      <c r="O2101" s="15" t="n"/>
      <c r="S2101" s="16" t="n">
        <v>27033</v>
      </c>
      <c r="U2101" s="16" t="n">
        <v>27033</v>
      </c>
      <c r="AC2101" s="23">
        <f>IF(OR(E2101="",E2101="[PARENT]"),"ADD",IF(E2101="[ALT_VIEW]","ALT",""))</f>
        <v/>
      </c>
      <c r="AD2101" s="21">
        <f>IF(Y2101&lt;&gt;"",Y2101,IF(U2101&lt;&gt;"",U2101,S2101))</f>
        <v/>
      </c>
      <c r="AE2101" s="21">
        <f>IF(AB2101&lt;&gt;"",AB2101,Z2101)</f>
        <v/>
      </c>
      <c r="AF2101" s="13" t="inlineStr">
        <is>
          <t>BA1 &gt; 1B4B &gt; Table IV MSC M&amp;R</t>
        </is>
      </c>
      <c r="AG2101" s="7" t="inlineStr">
        <is>
          <t>170</t>
        </is>
      </c>
      <c r="AH2101" s="7" t="inlineStr">
        <is>
          <t>1B4B</t>
        </is>
      </c>
    </row>
    <row r="2102" ht="10" customHeight="1">
      <c r="A2102" s="7" t="inlineStr">
        <is>
          <t>OMN</t>
        </is>
      </c>
      <c r="B2102" s="7" t="inlineStr">
        <is>
          <t>O&amp;M</t>
        </is>
      </c>
      <c r="C2102" s="7" t="inlineStr">
        <is>
          <t>T-AO 202</t>
        </is>
      </c>
      <c r="D2102" s="7" t="inlineStr">
        <is>
          <t>USNS YUKON</t>
        </is>
      </c>
      <c r="E2102" s="13" t="inlineStr">
        <is>
          <t>[SUB]</t>
        </is>
      </c>
      <c r="F2102" s="7" t="inlineStr">
        <is>
          <t>MSC Regular Overhaul (ROH)</t>
        </is>
      </c>
      <c r="I2102" s="14" t="n">
        <v>2</v>
      </c>
      <c r="K2102" s="13" t="inlineStr">
        <is>
          <t>MSC</t>
        </is>
      </c>
      <c r="L2102" s="7" t="inlineStr">
        <is>
          <t>Combatant Ships</t>
        </is>
      </c>
      <c r="M2102" s="7" t="inlineStr">
        <is>
          <t>Combat Logistics Ships</t>
        </is>
      </c>
      <c r="N2102" s="7" t="inlineStr">
        <is>
          <t>T-AO</t>
        </is>
      </c>
      <c r="O2102" s="15" t="n"/>
      <c r="S2102" s="16" t="n">
        <v>27479</v>
      </c>
      <c r="U2102" s="16" t="n">
        <v>27479</v>
      </c>
      <c r="AC2102" s="23">
        <f>IF(OR(E2102="",E2102="[PARENT]"),"ADD",IF(E2102="[ALT_VIEW]","ALT",""))</f>
        <v/>
      </c>
      <c r="AD2102" s="21">
        <f>IF(Y2102&lt;&gt;"",Y2102,IF(U2102&lt;&gt;"",U2102,S2102))</f>
        <v/>
      </c>
      <c r="AE2102" s="21">
        <f>IF(AB2102&lt;&gt;"",AB2102,Z2102)</f>
        <v/>
      </c>
      <c r="AF2102" s="13" t="inlineStr">
        <is>
          <t>BA1 &gt; 1B4B &gt; Table IV MSC M&amp;R</t>
        </is>
      </c>
      <c r="AG2102" s="7" t="inlineStr">
        <is>
          <t>170</t>
        </is>
      </c>
      <c r="AH2102" s="7" t="inlineStr">
        <is>
          <t>1B4B</t>
        </is>
      </c>
    </row>
    <row r="2103" ht="10" customHeight="1">
      <c r="A2103" s="7" t="inlineStr">
        <is>
          <t>OMN</t>
        </is>
      </c>
      <c r="B2103" s="7" t="inlineStr">
        <is>
          <t>O&amp;M</t>
        </is>
      </c>
      <c r="C2103" s="7" t="inlineStr">
        <is>
          <t>T-AO 203</t>
        </is>
      </c>
      <c r="D2103" s="7" t="inlineStr">
        <is>
          <t>USNS LARAMIE</t>
        </is>
      </c>
      <c r="E2103" s="13" t="inlineStr">
        <is>
          <t>[SUB]</t>
        </is>
      </c>
      <c r="F2103" s="7" t="inlineStr">
        <is>
          <t>MSC Regular Overhaul (ROH)</t>
        </is>
      </c>
      <c r="I2103" s="14" t="n">
        <v>2</v>
      </c>
      <c r="K2103" s="13" t="inlineStr">
        <is>
          <t>MSC</t>
        </is>
      </c>
      <c r="L2103" s="7" t="inlineStr">
        <is>
          <t>Combatant Ships</t>
        </is>
      </c>
      <c r="M2103" s="7" t="inlineStr">
        <is>
          <t>Combat Logistics Ships</t>
        </is>
      </c>
      <c r="N2103" s="7" t="inlineStr">
        <is>
          <t>T-AO</t>
        </is>
      </c>
      <c r="O2103" s="15" t="n"/>
      <c r="S2103" s="16" t="n">
        <v>26128</v>
      </c>
      <c r="U2103" s="16" t="n">
        <v>26128</v>
      </c>
      <c r="AC2103" s="23">
        <f>IF(OR(E2103="",E2103="[PARENT]"),"ADD",IF(E2103="[ALT_VIEW]","ALT",""))</f>
        <v/>
      </c>
      <c r="AD2103" s="21">
        <f>IF(Y2103&lt;&gt;"",Y2103,IF(U2103&lt;&gt;"",U2103,S2103))</f>
        <v/>
      </c>
      <c r="AE2103" s="21">
        <f>IF(AB2103&lt;&gt;"",AB2103,Z2103)</f>
        <v/>
      </c>
      <c r="AF2103" s="13" t="inlineStr">
        <is>
          <t>BA1 &gt; 1B4B &gt; Table IV MSC M&amp;R</t>
        </is>
      </c>
      <c r="AG2103" s="7" t="inlineStr">
        <is>
          <t>170</t>
        </is>
      </c>
      <c r="AH2103" s="7" t="inlineStr">
        <is>
          <t>1B4B</t>
        </is>
      </c>
    </row>
    <row r="2104" ht="10" customHeight="1">
      <c r="A2104" s="7" t="inlineStr">
        <is>
          <t>OMN</t>
        </is>
      </c>
      <c r="B2104" s="7" t="inlineStr">
        <is>
          <t>O&amp;M</t>
        </is>
      </c>
      <c r="C2104" s="7" t="inlineStr">
        <is>
          <t>T-AO 204</t>
        </is>
      </c>
      <c r="D2104" s="7" t="inlineStr">
        <is>
          <t>USNS RAPPAHANNOCK</t>
        </is>
      </c>
      <c r="E2104" s="13" t="inlineStr">
        <is>
          <t>[SUB]</t>
        </is>
      </c>
      <c r="F2104" s="7" t="inlineStr">
        <is>
          <t>MSC Regular Overhaul (ROH)</t>
        </is>
      </c>
      <c r="I2104" s="14" t="n">
        <v>2</v>
      </c>
      <c r="K2104" s="13" t="inlineStr">
        <is>
          <t>MSC</t>
        </is>
      </c>
      <c r="L2104" s="7" t="inlineStr">
        <is>
          <t>Combatant Ships</t>
        </is>
      </c>
      <c r="M2104" s="7" t="inlineStr">
        <is>
          <t>Combat Logistics Ships</t>
        </is>
      </c>
      <c r="N2104" s="7" t="inlineStr">
        <is>
          <t>T-AO</t>
        </is>
      </c>
      <c r="O2104" s="15" t="n"/>
      <c r="S2104" s="16" t="n">
        <v>25953</v>
      </c>
      <c r="U2104" s="16" t="n">
        <v>25953</v>
      </c>
      <c r="AC2104" s="23">
        <f>IF(OR(E2104="",E2104="[PARENT]"),"ADD",IF(E2104="[ALT_VIEW]","ALT",""))</f>
        <v/>
      </c>
      <c r="AD2104" s="21">
        <f>IF(Y2104&lt;&gt;"",Y2104,IF(U2104&lt;&gt;"",U2104,S2104))</f>
        <v/>
      </c>
      <c r="AE2104" s="21">
        <f>IF(AB2104&lt;&gt;"",AB2104,Z2104)</f>
        <v/>
      </c>
      <c r="AF2104" s="13" t="inlineStr">
        <is>
          <t>BA1 &gt; 1B4B &gt; Table IV MSC M&amp;R</t>
        </is>
      </c>
      <c r="AG2104" s="7" t="inlineStr">
        <is>
          <t>170</t>
        </is>
      </c>
      <c r="AH2104" s="7" t="inlineStr">
        <is>
          <t>1B4B</t>
        </is>
      </c>
    </row>
    <row r="2105" ht="10" customHeight="1">
      <c r="A2105" s="7" t="inlineStr">
        <is>
          <t>OMN</t>
        </is>
      </c>
      <c r="B2105" s="7" t="inlineStr">
        <is>
          <t>O&amp;M</t>
        </is>
      </c>
      <c r="C2105" s="7" t="inlineStr">
        <is>
          <t>T-AO 205</t>
        </is>
      </c>
      <c r="D2105" s="7" t="inlineStr">
        <is>
          <t>USNS JOHN LEWIS</t>
        </is>
      </c>
      <c r="E2105" s="13" t="inlineStr">
        <is>
          <t>[SUB]</t>
        </is>
      </c>
      <c r="F2105" s="7" t="inlineStr">
        <is>
          <t>MSC Regular Overhaul (ROH)</t>
        </is>
      </c>
      <c r="I2105" s="14" t="n">
        <v>2</v>
      </c>
      <c r="K2105" s="13" t="inlineStr">
        <is>
          <t>MSC</t>
        </is>
      </c>
      <c r="L2105" s="7" t="inlineStr">
        <is>
          <t>Combatant Ships</t>
        </is>
      </c>
      <c r="M2105" s="7" t="inlineStr">
        <is>
          <t>Combat Logistics Ships</t>
        </is>
      </c>
      <c r="N2105" s="7" t="inlineStr">
        <is>
          <t>T-AO</t>
        </is>
      </c>
      <c r="O2105" s="15" t="n"/>
      <c r="S2105" s="16" t="n">
        <v>21623</v>
      </c>
      <c r="U2105" s="16" t="n">
        <v>21623</v>
      </c>
      <c r="AC2105" s="23">
        <f>IF(OR(E2105="",E2105="[PARENT]"),"ADD",IF(E2105="[ALT_VIEW]","ALT",""))</f>
        <v/>
      </c>
      <c r="AD2105" s="21">
        <f>IF(Y2105&lt;&gt;"",Y2105,IF(U2105&lt;&gt;"",U2105,S2105))</f>
        <v/>
      </c>
      <c r="AE2105" s="21">
        <f>IF(AB2105&lt;&gt;"",AB2105,Z2105)</f>
        <v/>
      </c>
      <c r="AF2105" s="13" t="inlineStr">
        <is>
          <t>BA1 &gt; 1B4B &gt; Table IV MSC M&amp;R</t>
        </is>
      </c>
      <c r="AG2105" s="7" t="inlineStr">
        <is>
          <t>170</t>
        </is>
      </c>
      <c r="AH2105" s="7" t="inlineStr">
        <is>
          <t>1B4B</t>
        </is>
      </c>
    </row>
    <row r="2106" ht="10" customHeight="1">
      <c r="A2106" s="7" t="inlineStr">
        <is>
          <t>OMN</t>
        </is>
      </c>
      <c r="B2106" s="7" t="inlineStr">
        <is>
          <t>O&amp;M</t>
        </is>
      </c>
      <c r="C2106" s="7" t="inlineStr">
        <is>
          <t>T-AO 206</t>
        </is>
      </c>
      <c r="D2106" s="7" t="inlineStr">
        <is>
          <t>USNS HARVEY MILK</t>
        </is>
      </c>
      <c r="E2106" s="13" t="inlineStr">
        <is>
          <t>[SUB]</t>
        </is>
      </c>
      <c r="F2106" s="7" t="inlineStr">
        <is>
          <t>MSC Mid-Term Availability (MTA)</t>
        </is>
      </c>
      <c r="I2106" s="14" t="n">
        <v>2</v>
      </c>
      <c r="K2106" s="13" t="inlineStr">
        <is>
          <t>MSC</t>
        </is>
      </c>
      <c r="L2106" s="7" t="inlineStr">
        <is>
          <t>Combatant Ships</t>
        </is>
      </c>
      <c r="M2106" s="7" t="inlineStr">
        <is>
          <t>Combat Logistics Ships</t>
        </is>
      </c>
      <c r="N2106" s="7" t="inlineStr">
        <is>
          <t>T-AO</t>
        </is>
      </c>
      <c r="O2106" s="15" t="n"/>
      <c r="S2106" s="16" t="n">
        <v>20259</v>
      </c>
      <c r="U2106" s="16" t="n">
        <v>20259</v>
      </c>
      <c r="AC2106" s="23">
        <f>IF(OR(E2106="",E2106="[PARENT]"),"ADD",IF(E2106="[ALT_VIEW]","ALT",""))</f>
        <v/>
      </c>
      <c r="AD2106" s="21">
        <f>IF(Y2106&lt;&gt;"",Y2106,IF(U2106&lt;&gt;"",U2106,S2106))</f>
        <v/>
      </c>
      <c r="AE2106" s="21">
        <f>IF(AB2106&lt;&gt;"",AB2106,Z2106)</f>
        <v/>
      </c>
      <c r="AF2106" s="13" t="inlineStr">
        <is>
          <t>BA1 &gt; 1B4B &gt; Table IV MSC M&amp;R</t>
        </is>
      </c>
      <c r="AG2106" s="7" t="inlineStr">
        <is>
          <t>170</t>
        </is>
      </c>
      <c r="AH2106" s="7" t="inlineStr">
        <is>
          <t>1B4B</t>
        </is>
      </c>
    </row>
    <row r="2107" ht="10" customHeight="1">
      <c r="A2107" s="7" t="inlineStr">
        <is>
          <t>OMN</t>
        </is>
      </c>
      <c r="B2107" s="7" t="inlineStr">
        <is>
          <t>O&amp;M</t>
        </is>
      </c>
      <c r="C2107" s="7" t="inlineStr">
        <is>
          <t>T-AO 207</t>
        </is>
      </c>
      <c r="D2107" s="7" t="inlineStr">
        <is>
          <t>USNS EARL WARREN</t>
        </is>
      </c>
      <c r="E2107" s="13" t="inlineStr">
        <is>
          <t>[SUB]</t>
        </is>
      </c>
      <c r="F2107" s="7" t="inlineStr">
        <is>
          <t>MSC Other Maintenance and Repair</t>
        </is>
      </c>
      <c r="I2107" s="14" t="n">
        <v>2</v>
      </c>
      <c r="K2107" s="13" t="inlineStr">
        <is>
          <t>MSC</t>
        </is>
      </c>
      <c r="L2107" s="7" t="inlineStr">
        <is>
          <t>Combatant Ships</t>
        </is>
      </c>
      <c r="M2107" s="7" t="inlineStr">
        <is>
          <t>Combat Logistics Ships</t>
        </is>
      </c>
      <c r="N2107" s="7" t="inlineStr">
        <is>
          <t>T-AO</t>
        </is>
      </c>
      <c r="O2107" s="15" t="n"/>
      <c r="S2107" s="16" t="n">
        <v>55297</v>
      </c>
      <c r="U2107" s="16" t="n">
        <v>55297</v>
      </c>
      <c r="AC2107" s="23">
        <f>IF(OR(E2107="",E2107="[PARENT]"),"ADD",IF(E2107="[ALT_VIEW]","ALT",""))</f>
        <v/>
      </c>
      <c r="AD2107" s="21">
        <f>IF(Y2107&lt;&gt;"",Y2107,IF(U2107&lt;&gt;"",U2107,S2107))</f>
        <v/>
      </c>
      <c r="AE2107" s="21">
        <f>IF(AB2107&lt;&gt;"",AB2107,Z2107)</f>
        <v/>
      </c>
      <c r="AF2107" s="13" t="inlineStr">
        <is>
          <t>BA1 &gt; 1B4B &gt; Table IV MSC M&amp;R</t>
        </is>
      </c>
      <c r="AG2107" s="7" t="inlineStr">
        <is>
          <t>170</t>
        </is>
      </c>
      <c r="AH2107" s="7" t="inlineStr">
        <is>
          <t>1B4B</t>
        </is>
      </c>
    </row>
    <row r="2108" ht="10" customHeight="1">
      <c r="A2108" s="7" t="inlineStr">
        <is>
          <t>OMN</t>
        </is>
      </c>
      <c r="B2108" s="7" t="inlineStr">
        <is>
          <t>O&amp;M</t>
        </is>
      </c>
      <c r="C2108" s="7" t="inlineStr">
        <is>
          <t>T-AO 208</t>
        </is>
      </c>
      <c r="D2108" s="7" t="inlineStr">
        <is>
          <t>USNS ROBERT F KENNEDY</t>
        </is>
      </c>
      <c r="E2108" s="13" t="inlineStr">
        <is>
          <t>[SUB]</t>
        </is>
      </c>
      <c r="F2108" s="7" t="inlineStr">
        <is>
          <t>MSC Other Maintenance and Repair</t>
        </is>
      </c>
      <c r="I2108" s="14" t="n">
        <v>2</v>
      </c>
      <c r="K2108" s="13" t="inlineStr">
        <is>
          <t>MSC</t>
        </is>
      </c>
      <c r="L2108" s="7" t="inlineStr">
        <is>
          <t>Combatant Ships</t>
        </is>
      </c>
      <c r="M2108" s="7" t="inlineStr">
        <is>
          <t>Combat Logistics Ships</t>
        </is>
      </c>
      <c r="N2108" s="7" t="inlineStr">
        <is>
          <t>T-AO</t>
        </is>
      </c>
      <c r="O2108" s="15" t="n"/>
      <c r="S2108" s="16" t="n">
        <v>55297</v>
      </c>
      <c r="U2108" s="16" t="n">
        <v>55297</v>
      </c>
      <c r="AC2108" s="23">
        <f>IF(OR(E2108="",E2108="[PARENT]"),"ADD",IF(E2108="[ALT_VIEW]","ALT",""))</f>
        <v/>
      </c>
      <c r="AD2108" s="21">
        <f>IF(Y2108&lt;&gt;"",Y2108,IF(U2108&lt;&gt;"",U2108,S2108))</f>
        <v/>
      </c>
      <c r="AE2108" s="21">
        <f>IF(AB2108&lt;&gt;"",AB2108,Z2108)</f>
        <v/>
      </c>
      <c r="AF2108" s="13" t="inlineStr">
        <is>
          <t>BA1 &gt; 1B4B &gt; Table IV MSC M&amp;R</t>
        </is>
      </c>
      <c r="AG2108" s="7" t="inlineStr">
        <is>
          <t>170</t>
        </is>
      </c>
      <c r="AH2108" s="7" t="inlineStr">
        <is>
          <t>1B4B</t>
        </is>
      </c>
    </row>
    <row r="2109" ht="10" customHeight="1">
      <c r="A2109" s="7" t="inlineStr">
        <is>
          <t>OMN</t>
        </is>
      </c>
      <c r="B2109" s="7" t="inlineStr">
        <is>
          <t>O&amp;M</t>
        </is>
      </c>
      <c r="C2109" s="7" t="inlineStr">
        <is>
          <t>T-AO 209</t>
        </is>
      </c>
      <c r="D2109" s="7" t="inlineStr">
        <is>
          <t>USNS STONE</t>
        </is>
      </c>
      <c r="E2109" s="13" t="inlineStr">
        <is>
          <t>[SUB]</t>
        </is>
      </c>
      <c r="F2109" s="7" t="inlineStr">
        <is>
          <t>MSC Other Maintenance and Repair</t>
        </is>
      </c>
      <c r="I2109" s="14" t="n">
        <v>2</v>
      </c>
      <c r="K2109" s="13" t="inlineStr">
        <is>
          <t>MSC</t>
        </is>
      </c>
      <c r="L2109" s="7" t="inlineStr">
        <is>
          <t>Combatant Ships</t>
        </is>
      </c>
      <c r="M2109" s="7" t="inlineStr">
        <is>
          <t>Combat Logistics Ships</t>
        </is>
      </c>
      <c r="N2109" s="7" t="inlineStr">
        <is>
          <t>T-AO</t>
        </is>
      </c>
      <c r="O2109" s="15" t="n"/>
      <c r="S2109" s="16" t="n">
        <v>55297</v>
      </c>
      <c r="U2109" s="16" t="n">
        <v>55297</v>
      </c>
      <c r="AC2109" s="23">
        <f>IF(OR(E2109="",E2109="[PARENT]"),"ADD",IF(E2109="[ALT_VIEW]","ALT",""))</f>
        <v/>
      </c>
      <c r="AD2109" s="21">
        <f>IF(Y2109&lt;&gt;"",Y2109,IF(U2109&lt;&gt;"",U2109,S2109))</f>
        <v/>
      </c>
      <c r="AE2109" s="21">
        <f>IF(AB2109&lt;&gt;"",AB2109,Z2109)</f>
        <v/>
      </c>
      <c r="AF2109" s="13" t="inlineStr">
        <is>
          <t>BA1 &gt; 1B4B &gt; Table IV MSC M&amp;R</t>
        </is>
      </c>
      <c r="AG2109" s="7" t="inlineStr">
        <is>
          <t>170</t>
        </is>
      </c>
      <c r="AH2109" s="7" t="inlineStr">
        <is>
          <t>1B4B</t>
        </is>
      </c>
    </row>
    <row r="2110" ht="10" customHeight="1">
      <c r="A2110" s="7" t="inlineStr">
        <is>
          <t>OMN</t>
        </is>
      </c>
      <c r="B2110" s="7" t="inlineStr">
        <is>
          <t>O&amp;M</t>
        </is>
      </c>
      <c r="C2110" s="7" t="inlineStr">
        <is>
          <t>T-AOE 6</t>
        </is>
      </c>
      <c r="D2110" s="7" t="inlineStr">
        <is>
          <t>USNS SUPPLY</t>
        </is>
      </c>
      <c r="E2110" s="13" t="inlineStr">
        <is>
          <t>[SUB]</t>
        </is>
      </c>
      <c r="F2110" s="7" t="inlineStr">
        <is>
          <t>MSC Regular Overhaul (ROH)</t>
        </is>
      </c>
      <c r="I2110" s="14" t="n">
        <v>2</v>
      </c>
      <c r="K2110" s="13" t="inlineStr">
        <is>
          <t>MSC</t>
        </is>
      </c>
      <c r="L2110" s="7" t="inlineStr">
        <is>
          <t>Combatant Ships</t>
        </is>
      </c>
      <c r="M2110" s="7" t="inlineStr">
        <is>
          <t>Combat Logistics Ships</t>
        </is>
      </c>
      <c r="N2110" s="7" t="inlineStr">
        <is>
          <t>T-AOE</t>
        </is>
      </c>
      <c r="O2110" s="15" t="n"/>
      <c r="S2110" s="16" t="n">
        <v>16524</v>
      </c>
      <c r="U2110" s="16" t="n">
        <v>16524</v>
      </c>
      <c r="AC2110" s="23">
        <f>IF(OR(E2110="",E2110="[PARENT]"),"ADD",IF(E2110="[ALT_VIEW]","ALT",""))</f>
        <v/>
      </c>
      <c r="AD2110" s="21">
        <f>IF(Y2110&lt;&gt;"",Y2110,IF(U2110&lt;&gt;"",U2110,S2110))</f>
        <v/>
      </c>
      <c r="AE2110" s="21">
        <f>IF(AB2110&lt;&gt;"",AB2110,Z2110)</f>
        <v/>
      </c>
      <c r="AF2110" s="13" t="inlineStr">
        <is>
          <t>BA1 &gt; 1B4B &gt; Table IV MSC M&amp;R</t>
        </is>
      </c>
      <c r="AG2110" s="7" t="inlineStr">
        <is>
          <t>170</t>
        </is>
      </c>
      <c r="AH2110" s="7" t="inlineStr">
        <is>
          <t>1B4B</t>
        </is>
      </c>
    </row>
    <row r="2111" ht="10" customHeight="1">
      <c r="A2111" s="7" t="inlineStr">
        <is>
          <t>OMN</t>
        </is>
      </c>
      <c r="B2111" s="7" t="inlineStr">
        <is>
          <t>O&amp;M</t>
        </is>
      </c>
      <c r="C2111" s="7" t="inlineStr">
        <is>
          <t>T-AOE 6</t>
        </is>
      </c>
      <c r="D2111" s="7" t="inlineStr">
        <is>
          <t>USNS SUPPLY (ops)</t>
        </is>
      </c>
      <c r="E2111" s="13" t="inlineStr">
        <is>
          <t>[SUB]</t>
        </is>
      </c>
      <c r="F2111" s="7" t="inlineStr">
        <is>
          <t>MSC Other Maintenance and Repair</t>
        </is>
      </c>
      <c r="I2111" s="14" t="n">
        <v>2</v>
      </c>
      <c r="K2111" s="13" t="inlineStr">
        <is>
          <t>MSC</t>
        </is>
      </c>
      <c r="L2111" s="7" t="inlineStr">
        <is>
          <t>Combatant Ships</t>
        </is>
      </c>
      <c r="M2111" s="7" t="inlineStr">
        <is>
          <t>Combat Logistics Ships</t>
        </is>
      </c>
      <c r="N2111" s="7" t="inlineStr">
        <is>
          <t>T-AOE</t>
        </is>
      </c>
      <c r="O2111" s="15" t="n"/>
      <c r="S2111" s="16" t="n">
        <v>10976</v>
      </c>
      <c r="U2111" s="16" t="n">
        <v>10976</v>
      </c>
      <c r="AC2111" s="23">
        <f>IF(OR(E2111="",E2111="[PARENT]"),"ADD",IF(E2111="[ALT_VIEW]","ALT",""))</f>
        <v/>
      </c>
      <c r="AD2111" s="21">
        <f>IF(Y2111&lt;&gt;"",Y2111,IF(U2111&lt;&gt;"",U2111,S2111))</f>
        <v/>
      </c>
      <c r="AE2111" s="21">
        <f>IF(AB2111&lt;&gt;"",AB2111,Z2111)</f>
        <v/>
      </c>
      <c r="AF2111" s="13" t="inlineStr">
        <is>
          <t>BA1 &gt; 1B4B &gt; Table IV MSC M&amp;R</t>
        </is>
      </c>
      <c r="AG2111" s="7" t="inlineStr">
        <is>
          <t>170</t>
        </is>
      </c>
      <c r="AH2111" s="7" t="inlineStr">
        <is>
          <t>1B4B</t>
        </is>
      </c>
    </row>
    <row r="2112" ht="10" customHeight="1">
      <c r="A2112" s="7" t="inlineStr">
        <is>
          <t>OMN</t>
        </is>
      </c>
      <c r="B2112" s="7" t="inlineStr">
        <is>
          <t>O&amp;M</t>
        </is>
      </c>
      <c r="C2112" s="7" t="inlineStr">
        <is>
          <t>T-AOE 8</t>
        </is>
      </c>
      <c r="D2112" s="7" t="inlineStr">
        <is>
          <t>USNS ARCTIC</t>
        </is>
      </c>
      <c r="E2112" s="13" t="inlineStr">
        <is>
          <t>[SUB]</t>
        </is>
      </c>
      <c r="F2112" s="7" t="inlineStr">
        <is>
          <t>MSC Other Maintenance and Repair</t>
        </is>
      </c>
      <c r="I2112" s="14" t="n">
        <v>2</v>
      </c>
      <c r="K2112" s="13" t="inlineStr">
        <is>
          <t>MSC</t>
        </is>
      </c>
      <c r="L2112" s="7" t="inlineStr">
        <is>
          <t>Combatant Ships</t>
        </is>
      </c>
      <c r="M2112" s="7" t="inlineStr">
        <is>
          <t>Combat Logistics Ships</t>
        </is>
      </c>
      <c r="N2112" s="7" t="inlineStr">
        <is>
          <t>T-AOE</t>
        </is>
      </c>
      <c r="O2112" s="15" t="n"/>
      <c r="S2112" s="16" t="n">
        <v>19282</v>
      </c>
      <c r="U2112" s="16" t="n">
        <v>19282</v>
      </c>
      <c r="AC2112" s="23">
        <f>IF(OR(E2112="",E2112="[PARENT]"),"ADD",IF(E2112="[ALT_VIEW]","ALT",""))</f>
        <v/>
      </c>
      <c r="AD2112" s="21">
        <f>IF(Y2112&lt;&gt;"",Y2112,IF(U2112&lt;&gt;"",U2112,S2112))</f>
        <v/>
      </c>
      <c r="AE2112" s="21">
        <f>IF(AB2112&lt;&gt;"",AB2112,Z2112)</f>
        <v/>
      </c>
      <c r="AF2112" s="13" t="inlineStr">
        <is>
          <t>BA1 &gt; 1B4B &gt; Table IV MSC M&amp;R</t>
        </is>
      </c>
      <c r="AG2112" s="7" t="inlineStr">
        <is>
          <t>170</t>
        </is>
      </c>
      <c r="AH2112" s="7" t="inlineStr">
        <is>
          <t>1B4B</t>
        </is>
      </c>
    </row>
    <row r="2113" ht="10" customHeight="1">
      <c r="A2113" s="7" t="inlineStr">
        <is>
          <t>OMN</t>
        </is>
      </c>
      <c r="B2113" s="7" t="inlineStr">
        <is>
          <t>O&amp;M</t>
        </is>
      </c>
      <c r="C2113" s="7" t="inlineStr">
        <is>
          <t>T-ARS 51</t>
        </is>
      </c>
      <c r="D2113" s="7" t="inlineStr">
        <is>
          <t>USNS GRASP</t>
        </is>
      </c>
      <c r="E2113" s="13" t="inlineStr">
        <is>
          <t>[SUB]</t>
        </is>
      </c>
      <c r="F2113" s="7" t="inlineStr">
        <is>
          <t>MSC Mid-Term Availability (MTA)</t>
        </is>
      </c>
      <c r="I2113" s="14" t="n">
        <v>2</v>
      </c>
      <c r="K2113" s="13" t="inlineStr">
        <is>
          <t>USN</t>
        </is>
      </c>
      <c r="L2113" s="7" t="inlineStr">
        <is>
          <t>Combatant Ships</t>
        </is>
      </c>
      <c r="M2113" s="7" t="inlineStr">
        <is>
          <t>Salvage Ships &amp; Fleet Ocean Tugs</t>
        </is>
      </c>
      <c r="N2113" s="7" t="inlineStr">
        <is>
          <t>ARS</t>
        </is>
      </c>
      <c r="O2113" s="15" t="n"/>
      <c r="S2113" s="16" t="n">
        <v>13939</v>
      </c>
      <c r="U2113" s="16" t="n">
        <v>13939</v>
      </c>
      <c r="AC2113" s="23">
        <f>IF(OR(E2113="",E2113="[PARENT]"),"ADD",IF(E2113="[ALT_VIEW]","ALT",""))</f>
        <v/>
      </c>
      <c r="AD2113" s="21">
        <f>IF(Y2113&lt;&gt;"",Y2113,IF(U2113&lt;&gt;"",U2113,S2113))</f>
        <v/>
      </c>
      <c r="AE2113" s="21">
        <f>IF(AB2113&lt;&gt;"",AB2113,Z2113)</f>
        <v/>
      </c>
      <c r="AF2113" s="13" t="inlineStr">
        <is>
          <t>BA1 &gt; 1B4B &gt; Table IV MSC M&amp;R</t>
        </is>
      </c>
      <c r="AG2113" s="7" t="inlineStr">
        <is>
          <t>170</t>
        </is>
      </c>
      <c r="AH2113" s="7" t="inlineStr">
        <is>
          <t>1B4B</t>
        </is>
      </c>
    </row>
    <row r="2114" ht="10" customHeight="1">
      <c r="A2114" s="7" t="inlineStr">
        <is>
          <t>OMN</t>
        </is>
      </c>
      <c r="B2114" s="7" t="inlineStr">
        <is>
          <t>O&amp;M</t>
        </is>
      </c>
      <c r="C2114" s="7" t="inlineStr">
        <is>
          <t>T-ARS 52</t>
        </is>
      </c>
      <c r="D2114" s="7" t="inlineStr">
        <is>
          <t>USNS SALVOR</t>
        </is>
      </c>
      <c r="E2114" s="13" t="inlineStr">
        <is>
          <t>[SUB]</t>
        </is>
      </c>
      <c r="F2114" s="7" t="inlineStr">
        <is>
          <t>MSC Regular Overhaul (ROH)</t>
        </is>
      </c>
      <c r="I2114" s="14" t="n">
        <v>2</v>
      </c>
      <c r="K2114" s="13" t="inlineStr">
        <is>
          <t>USN</t>
        </is>
      </c>
      <c r="L2114" s="7" t="inlineStr">
        <is>
          <t>Combatant Ships</t>
        </is>
      </c>
      <c r="M2114" s="7" t="inlineStr">
        <is>
          <t>Salvage Ships &amp; Fleet Ocean Tugs</t>
        </is>
      </c>
      <c r="N2114" s="7" t="inlineStr">
        <is>
          <t>ARS</t>
        </is>
      </c>
      <c r="O2114" s="15" t="n"/>
      <c r="S2114" s="16" t="n">
        <v>6690</v>
      </c>
      <c r="U2114" s="16" t="n">
        <v>6690</v>
      </c>
      <c r="AC2114" s="23">
        <f>IF(OR(E2114="",E2114="[PARENT]"),"ADD",IF(E2114="[ALT_VIEW]","ALT",""))</f>
        <v/>
      </c>
      <c r="AD2114" s="21">
        <f>IF(Y2114&lt;&gt;"",Y2114,IF(U2114&lt;&gt;"",U2114,S2114))</f>
        <v/>
      </c>
      <c r="AE2114" s="21">
        <f>IF(AB2114&lt;&gt;"",AB2114,Z2114)</f>
        <v/>
      </c>
      <c r="AF2114" s="13" t="inlineStr">
        <is>
          <t>BA1 &gt; 1B4B &gt; Table IV MSC M&amp;R</t>
        </is>
      </c>
      <c r="AG2114" s="7" t="inlineStr">
        <is>
          <t>170</t>
        </is>
      </c>
      <c r="AH2114" s="7" t="inlineStr">
        <is>
          <t>1B4B</t>
        </is>
      </c>
    </row>
    <row r="2115" ht="10" customHeight="1">
      <c r="A2115" s="7" t="inlineStr">
        <is>
          <t>OMN</t>
        </is>
      </c>
      <c r="B2115" s="7" t="inlineStr">
        <is>
          <t>O&amp;M</t>
        </is>
      </c>
      <c r="C2115" s="7" t="inlineStr">
        <is>
          <t>T-ATF 168</t>
        </is>
      </c>
      <c r="D2115" s="7" t="inlineStr">
        <is>
          <t>USNS CATAWBA</t>
        </is>
      </c>
      <c r="E2115" s="13" t="inlineStr">
        <is>
          <t>[SUB]</t>
        </is>
      </c>
      <c r="F2115" s="7" t="inlineStr">
        <is>
          <t>MSC Mid-Term Availability (MTA)</t>
        </is>
      </c>
      <c r="I2115" s="14" t="n">
        <v>2</v>
      </c>
      <c r="K2115" s="13" t="inlineStr">
        <is>
          <t>USN</t>
        </is>
      </c>
      <c r="L2115" s="7" t="inlineStr">
        <is>
          <t>Combatant Ships</t>
        </is>
      </c>
      <c r="M2115" s="7" t="inlineStr">
        <is>
          <t>Salvage Ships &amp; Fleet Ocean Tugs</t>
        </is>
      </c>
      <c r="N2115" s="7" t="inlineStr">
        <is>
          <t>ATF</t>
        </is>
      </c>
      <c r="O2115" s="15" t="n"/>
      <c r="S2115" s="16" t="n">
        <v>2883</v>
      </c>
      <c r="U2115" s="16" t="n">
        <v>2883</v>
      </c>
      <c r="AC2115" s="23">
        <f>IF(OR(E2115="",E2115="[PARENT]"),"ADD",IF(E2115="[ALT_VIEW]","ALT",""))</f>
        <v/>
      </c>
      <c r="AD2115" s="21">
        <f>IF(Y2115&lt;&gt;"",Y2115,IF(U2115&lt;&gt;"",U2115,S2115))</f>
        <v/>
      </c>
      <c r="AE2115" s="21">
        <f>IF(AB2115&lt;&gt;"",AB2115,Z2115)</f>
        <v/>
      </c>
      <c r="AF2115" s="13" t="inlineStr">
        <is>
          <t>BA1 &gt; 1B4B &gt; Table IV MSC M&amp;R</t>
        </is>
      </c>
      <c r="AG2115" s="7" t="inlineStr">
        <is>
          <t>170</t>
        </is>
      </c>
      <c r="AH2115" s="7" t="inlineStr">
        <is>
          <t>1B4B</t>
        </is>
      </c>
    </row>
    <row r="2116" ht="10" customHeight="1">
      <c r="A2116" s="7" t="inlineStr">
        <is>
          <t>OMN</t>
        </is>
      </c>
      <c r="B2116" s="7" t="inlineStr">
        <is>
          <t>O&amp;M</t>
        </is>
      </c>
      <c r="C2116" s="7" t="inlineStr">
        <is>
          <t>T-ATS 11</t>
        </is>
      </c>
      <c r="D2116" s="7" t="inlineStr">
        <is>
          <t>USNS BILLY FRANK JR</t>
        </is>
      </c>
      <c r="E2116" s="13" t="inlineStr">
        <is>
          <t>[SUB]</t>
        </is>
      </c>
      <c r="F2116" s="7" t="inlineStr">
        <is>
          <t>MSC Other Maintenance and Repair</t>
        </is>
      </c>
      <c r="I2116" s="14" t="n">
        <v>2</v>
      </c>
      <c r="K2116" s="13" t="inlineStr">
        <is>
          <t>MSC</t>
        </is>
      </c>
      <c r="L2116" s="7" t="inlineStr">
        <is>
          <t>Combatant Ships</t>
        </is>
      </c>
      <c r="M2116" s="7" t="inlineStr">
        <is>
          <t>Salvage Ships &amp; Fleet Ocean Tugs</t>
        </is>
      </c>
      <c r="N2116" s="7" t="inlineStr">
        <is>
          <t>T-ATS</t>
        </is>
      </c>
      <c r="O2116" s="15" t="n"/>
      <c r="S2116" s="16" t="n">
        <v>4536</v>
      </c>
      <c r="U2116" s="16" t="n">
        <v>4536</v>
      </c>
      <c r="AC2116" s="23">
        <f>IF(OR(E2116="",E2116="[PARENT]"),"ADD",IF(E2116="[ALT_VIEW]","ALT",""))</f>
        <v/>
      </c>
      <c r="AD2116" s="21">
        <f>IF(Y2116&lt;&gt;"",Y2116,IF(U2116&lt;&gt;"",U2116,S2116))</f>
        <v/>
      </c>
      <c r="AE2116" s="21">
        <f>IF(AB2116&lt;&gt;"",AB2116,Z2116)</f>
        <v/>
      </c>
      <c r="AF2116" s="13" t="inlineStr">
        <is>
          <t>BA1 &gt; 1B4B &gt; Table IV MSC M&amp;R</t>
        </is>
      </c>
      <c r="AG2116" s="7" t="inlineStr">
        <is>
          <t>170</t>
        </is>
      </c>
      <c r="AH2116" s="7" t="inlineStr">
        <is>
          <t>1B4B</t>
        </is>
      </c>
    </row>
    <row r="2117" ht="10" customHeight="1">
      <c r="A2117" s="7" t="inlineStr">
        <is>
          <t>OMN</t>
        </is>
      </c>
      <c r="B2117" s="7" t="inlineStr">
        <is>
          <t>O&amp;M</t>
        </is>
      </c>
      <c r="C2117" s="7" t="inlineStr">
        <is>
          <t>T-ATS 12</t>
        </is>
      </c>
      <c r="D2117" s="7" t="inlineStr">
        <is>
          <t>USNS SOLOMON ATKINSON</t>
        </is>
      </c>
      <c r="E2117" s="13" t="inlineStr">
        <is>
          <t>[SUB]</t>
        </is>
      </c>
      <c r="F2117" s="7" t="inlineStr">
        <is>
          <t>MSC Other Maintenance and Repair</t>
        </is>
      </c>
      <c r="I2117" s="14" t="n">
        <v>2</v>
      </c>
      <c r="K2117" s="13" t="inlineStr">
        <is>
          <t>MSC</t>
        </is>
      </c>
      <c r="L2117" s="7" t="inlineStr">
        <is>
          <t>Combatant Ships</t>
        </is>
      </c>
      <c r="M2117" s="7" t="inlineStr">
        <is>
          <t>Salvage Ships &amp; Fleet Ocean Tugs</t>
        </is>
      </c>
      <c r="N2117" s="7" t="inlineStr">
        <is>
          <t>T-ATS</t>
        </is>
      </c>
      <c r="O2117" s="15" t="n"/>
      <c r="S2117" s="16" t="n">
        <v>182</v>
      </c>
      <c r="U2117" s="16" t="n">
        <v>182</v>
      </c>
      <c r="AC2117" s="23">
        <f>IF(OR(E2117="",E2117="[PARENT]"),"ADD",IF(E2117="[ALT_VIEW]","ALT",""))</f>
        <v/>
      </c>
      <c r="AD2117" s="21">
        <f>IF(Y2117&lt;&gt;"",Y2117,IF(U2117&lt;&gt;"",U2117,S2117))</f>
        <v/>
      </c>
      <c r="AE2117" s="21">
        <f>IF(AB2117&lt;&gt;"",AB2117,Z2117)</f>
        <v/>
      </c>
      <c r="AF2117" s="13" t="inlineStr">
        <is>
          <t>BA1 &gt; 1B4B &gt; Table IV MSC M&amp;R</t>
        </is>
      </c>
      <c r="AG2117" s="7" t="inlineStr">
        <is>
          <t>170</t>
        </is>
      </c>
      <c r="AH2117" s="7" t="inlineStr">
        <is>
          <t>1B4B</t>
        </is>
      </c>
    </row>
    <row r="2118" ht="10" customHeight="1">
      <c r="A2118" s="7" t="inlineStr">
        <is>
          <t>OMN</t>
        </is>
      </c>
      <c r="B2118" s="7" t="inlineStr">
        <is>
          <t>O&amp;M</t>
        </is>
      </c>
      <c r="C2118" s="7" t="inlineStr">
        <is>
          <t>T-ATS 6</t>
        </is>
      </c>
      <c r="D2118" s="7" t="inlineStr">
        <is>
          <t>USNS NAVAJO</t>
        </is>
      </c>
      <c r="E2118" s="13" t="inlineStr">
        <is>
          <t>[SUB]</t>
        </is>
      </c>
      <c r="F2118" s="7" t="inlineStr">
        <is>
          <t>MSC Other Maintenance and Repair</t>
        </is>
      </c>
      <c r="I2118" s="14" t="n">
        <v>2</v>
      </c>
      <c r="K2118" s="13" t="inlineStr">
        <is>
          <t>MSC</t>
        </is>
      </c>
      <c r="L2118" s="7" t="inlineStr">
        <is>
          <t>Combatant Ships</t>
        </is>
      </c>
      <c r="M2118" s="7" t="inlineStr">
        <is>
          <t>Salvage Ships &amp; Fleet Ocean Tugs</t>
        </is>
      </c>
      <c r="N2118" s="7" t="inlineStr">
        <is>
          <t>T-ATS</t>
        </is>
      </c>
      <c r="O2118" s="15" t="n"/>
      <c r="S2118" s="16" t="n">
        <v>2855</v>
      </c>
      <c r="U2118" s="16" t="n">
        <v>2855</v>
      </c>
      <c r="AC2118" s="23">
        <f>IF(OR(E2118="",E2118="[PARENT]"),"ADD",IF(E2118="[ALT_VIEW]","ALT",""))</f>
        <v/>
      </c>
      <c r="AD2118" s="21">
        <f>IF(Y2118&lt;&gt;"",Y2118,IF(U2118&lt;&gt;"",U2118,S2118))</f>
        <v/>
      </c>
      <c r="AE2118" s="21">
        <f>IF(AB2118&lt;&gt;"",AB2118,Z2118)</f>
        <v/>
      </c>
      <c r="AF2118" s="13" t="inlineStr">
        <is>
          <t>BA1 &gt; 1B4B &gt; Table IV MSC M&amp;R</t>
        </is>
      </c>
      <c r="AG2118" s="7" t="inlineStr">
        <is>
          <t>170</t>
        </is>
      </c>
      <c r="AH2118" s="7" t="inlineStr">
        <is>
          <t>1B4B</t>
        </is>
      </c>
    </row>
    <row r="2119" ht="10" customHeight="1">
      <c r="A2119" s="7" t="inlineStr">
        <is>
          <t>OMN</t>
        </is>
      </c>
      <c r="B2119" s="7" t="inlineStr">
        <is>
          <t>O&amp;M</t>
        </is>
      </c>
      <c r="C2119" s="7" t="inlineStr">
        <is>
          <t>T-ATS 7</t>
        </is>
      </c>
      <c r="D2119" s="7" t="inlineStr">
        <is>
          <t>USNS CHEROKEE NATION</t>
        </is>
      </c>
      <c r="E2119" s="13" t="inlineStr">
        <is>
          <t>[SUB]</t>
        </is>
      </c>
      <c r="F2119" s="7" t="inlineStr">
        <is>
          <t>MSC Other Maintenance and Repair</t>
        </is>
      </c>
      <c r="I2119" s="14" t="n">
        <v>2</v>
      </c>
      <c r="K2119" s="13" t="inlineStr">
        <is>
          <t>MSC</t>
        </is>
      </c>
      <c r="L2119" s="7" t="inlineStr">
        <is>
          <t>Combatant Ships</t>
        </is>
      </c>
      <c r="M2119" s="7" t="inlineStr">
        <is>
          <t>Salvage Ships &amp; Fleet Ocean Tugs</t>
        </is>
      </c>
      <c r="N2119" s="7" t="inlineStr">
        <is>
          <t>T-ATS</t>
        </is>
      </c>
      <c r="O2119" s="15" t="n"/>
      <c r="S2119" s="16" t="n">
        <v>2389</v>
      </c>
      <c r="U2119" s="16" t="n">
        <v>2389</v>
      </c>
      <c r="AC2119" s="23">
        <f>IF(OR(E2119="",E2119="[PARENT]"),"ADD",IF(E2119="[ALT_VIEW]","ALT",""))</f>
        <v/>
      </c>
      <c r="AD2119" s="21">
        <f>IF(Y2119&lt;&gt;"",Y2119,IF(U2119&lt;&gt;"",U2119,S2119))</f>
        <v/>
      </c>
      <c r="AE2119" s="21">
        <f>IF(AB2119&lt;&gt;"",AB2119,Z2119)</f>
        <v/>
      </c>
      <c r="AF2119" s="13" t="inlineStr">
        <is>
          <t>BA1 &gt; 1B4B &gt; Table IV MSC M&amp;R</t>
        </is>
      </c>
      <c r="AG2119" s="7" t="inlineStr">
        <is>
          <t>171</t>
        </is>
      </c>
      <c r="AH2119" s="7" t="inlineStr">
        <is>
          <t>1B4B</t>
        </is>
      </c>
    </row>
    <row r="2120" ht="10" customHeight="1">
      <c r="A2120" s="7" t="inlineStr">
        <is>
          <t>OMN</t>
        </is>
      </c>
      <c r="B2120" s="7" t="inlineStr">
        <is>
          <t>O&amp;M</t>
        </is>
      </c>
      <c r="C2120" s="7" t="inlineStr">
        <is>
          <t>T-EPF 11</t>
        </is>
      </c>
      <c r="D2120" s="7" t="inlineStr">
        <is>
          <t>USNS PUERTO RICO</t>
        </is>
      </c>
      <c r="E2120" s="13" t="inlineStr">
        <is>
          <t>[SUB]</t>
        </is>
      </c>
      <c r="F2120" s="7" t="inlineStr">
        <is>
          <t>MSC Regular Overhaul (ROH)</t>
        </is>
      </c>
      <c r="I2120" s="14" t="n">
        <v>2</v>
      </c>
      <c r="K2120" s="13" t="inlineStr">
        <is>
          <t>MSC</t>
        </is>
      </c>
      <c r="L2120" s="7" t="inlineStr">
        <is>
          <t>Combatant Ships</t>
        </is>
      </c>
      <c r="M2120" s="7" t="inlineStr">
        <is>
          <t>Expeditionary &amp; Seabasing Ships</t>
        </is>
      </c>
      <c r="N2120" s="7" t="inlineStr">
        <is>
          <t>T-EPF</t>
        </is>
      </c>
      <c r="O2120" s="15" t="n"/>
      <c r="S2120" s="16" t="n">
        <v>5537</v>
      </c>
      <c r="U2120" s="16" t="n">
        <v>5537</v>
      </c>
      <c r="AC2120" s="23">
        <f>IF(OR(E2120="",E2120="[PARENT]"),"ADD",IF(E2120="[ALT_VIEW]","ALT",""))</f>
        <v/>
      </c>
      <c r="AD2120" s="21">
        <f>IF(Y2120&lt;&gt;"",Y2120,IF(U2120&lt;&gt;"",U2120,S2120))</f>
        <v/>
      </c>
      <c r="AE2120" s="21">
        <f>IF(AB2120&lt;&gt;"",AB2120,Z2120)</f>
        <v/>
      </c>
      <c r="AF2120" s="13" t="inlineStr">
        <is>
          <t>BA1 &gt; 1B4B &gt; Table IV MSC M&amp;R</t>
        </is>
      </c>
      <c r="AG2120" s="7" t="inlineStr">
        <is>
          <t>171</t>
        </is>
      </c>
      <c r="AH2120" s="7" t="inlineStr">
        <is>
          <t>1B4B</t>
        </is>
      </c>
    </row>
    <row r="2121" ht="10" customHeight="1">
      <c r="A2121" s="7" t="inlineStr">
        <is>
          <t>OMN</t>
        </is>
      </c>
      <c r="B2121" s="7" t="inlineStr">
        <is>
          <t>O&amp;M</t>
        </is>
      </c>
      <c r="C2121" s="7" t="inlineStr">
        <is>
          <t>T-EPF 9</t>
        </is>
      </c>
      <c r="D2121" s="7" t="inlineStr">
        <is>
          <t>USNS BISMARK</t>
        </is>
      </c>
      <c r="E2121" s="13" t="inlineStr">
        <is>
          <t>[SUB]</t>
        </is>
      </c>
      <c r="F2121" s="7" t="inlineStr">
        <is>
          <t>MSC Other Maintenance and Repair</t>
        </is>
      </c>
      <c r="I2121" s="14" t="n">
        <v>2</v>
      </c>
      <c r="K2121" s="13" t="inlineStr">
        <is>
          <t>MSC</t>
        </is>
      </c>
      <c r="L2121" s="7" t="inlineStr">
        <is>
          <t>Combatant Ships</t>
        </is>
      </c>
      <c r="M2121" s="7" t="inlineStr">
        <is>
          <t>Expeditionary &amp; Seabasing Ships</t>
        </is>
      </c>
      <c r="N2121" s="7" t="inlineStr">
        <is>
          <t>T-EPF</t>
        </is>
      </c>
      <c r="O2121" s="15" t="n"/>
      <c r="S2121" s="16" t="n">
        <v>35848</v>
      </c>
      <c r="U2121" s="16" t="n">
        <v>35848</v>
      </c>
      <c r="AC2121" s="23">
        <f>IF(OR(E2121="",E2121="[PARENT]"),"ADD",IF(E2121="[ALT_VIEW]","ALT",""))</f>
        <v/>
      </c>
      <c r="AD2121" s="21">
        <f>IF(Y2121&lt;&gt;"",Y2121,IF(U2121&lt;&gt;"",U2121,S2121))</f>
        <v/>
      </c>
      <c r="AE2121" s="21">
        <f>IF(AB2121&lt;&gt;"",AB2121,Z2121)</f>
        <v/>
      </c>
      <c r="AF2121" s="13" t="inlineStr">
        <is>
          <t>BA1 &gt; 1B4B &gt; Table IV MSC M&amp;R</t>
        </is>
      </c>
      <c r="AG2121" s="7" t="inlineStr">
        <is>
          <t>171</t>
        </is>
      </c>
      <c r="AH2121" s="7" t="inlineStr">
        <is>
          <t>1B4B</t>
        </is>
      </c>
    </row>
    <row r="2122" ht="10" customHeight="1">
      <c r="A2122" s="7" t="inlineStr">
        <is>
          <t>OMN</t>
        </is>
      </c>
      <c r="B2122" s="7" t="inlineStr">
        <is>
          <t>O&amp;M</t>
        </is>
      </c>
      <c r="C2122" s="7" t="inlineStr">
        <is>
          <t>T-EPF 14</t>
        </is>
      </c>
      <c r="D2122" s="7" t="inlineStr">
        <is>
          <t>USNS CODY</t>
        </is>
      </c>
      <c r="E2122" s="13" t="inlineStr">
        <is>
          <t>[SUB]</t>
        </is>
      </c>
      <c r="F2122" s="7" t="inlineStr">
        <is>
          <t>MSC Other Maintenance and Repair</t>
        </is>
      </c>
      <c r="I2122" s="14" t="n">
        <v>2</v>
      </c>
      <c r="K2122" s="13" t="inlineStr">
        <is>
          <t>MSC</t>
        </is>
      </c>
      <c r="L2122" s="7" t="inlineStr">
        <is>
          <t>Combatant Ships</t>
        </is>
      </c>
      <c r="M2122" s="7" t="inlineStr">
        <is>
          <t>Expeditionary &amp; Seabasing Ships</t>
        </is>
      </c>
      <c r="N2122" s="7" t="inlineStr">
        <is>
          <t>T-EPF</t>
        </is>
      </c>
      <c r="O2122" s="15" t="n"/>
      <c r="S2122" s="16" t="n">
        <v>24297</v>
      </c>
      <c r="U2122" s="16" t="n">
        <v>24297</v>
      </c>
      <c r="AC2122" s="23">
        <f>IF(OR(E2122="",E2122="[PARENT]"),"ADD",IF(E2122="[ALT_VIEW]","ALT",""))</f>
        <v/>
      </c>
      <c r="AD2122" s="21">
        <f>IF(Y2122&lt;&gt;"",Y2122,IF(U2122&lt;&gt;"",U2122,S2122))</f>
        <v/>
      </c>
      <c r="AE2122" s="21">
        <f>IF(AB2122&lt;&gt;"",AB2122,Z2122)</f>
        <v/>
      </c>
      <c r="AF2122" s="13" t="inlineStr">
        <is>
          <t>BA1 &gt; 1B4B &gt; Table IV MSC M&amp;R</t>
        </is>
      </c>
      <c r="AG2122" s="7" t="inlineStr">
        <is>
          <t>171</t>
        </is>
      </c>
      <c r="AH2122" s="7" t="inlineStr">
        <is>
          <t>1B4B</t>
        </is>
      </c>
    </row>
    <row r="2123" ht="10" customHeight="1">
      <c r="A2123" s="7" t="inlineStr">
        <is>
          <t>OMN</t>
        </is>
      </c>
      <c r="B2123" s="7" t="inlineStr">
        <is>
          <t>O&amp;M</t>
        </is>
      </c>
      <c r="C2123" s="7" t="inlineStr">
        <is>
          <t>T-EPF 15</t>
        </is>
      </c>
      <c r="D2123" s="7" t="inlineStr">
        <is>
          <t>USNS POINT LOMA</t>
        </is>
      </c>
      <c r="E2123" s="13" t="inlineStr">
        <is>
          <t>[SUB]</t>
        </is>
      </c>
      <c r="F2123" s="7" t="inlineStr">
        <is>
          <t>MSC Other Maintenance and Repair</t>
        </is>
      </c>
      <c r="I2123" s="14" t="n">
        <v>2</v>
      </c>
      <c r="K2123" s="13" t="inlineStr">
        <is>
          <t>MSC</t>
        </is>
      </c>
      <c r="L2123" s="7" t="inlineStr">
        <is>
          <t>Combatant Ships</t>
        </is>
      </c>
      <c r="M2123" s="7" t="inlineStr">
        <is>
          <t>Expeditionary &amp; Seabasing Ships</t>
        </is>
      </c>
      <c r="N2123" s="7" t="inlineStr">
        <is>
          <t>T-EPF</t>
        </is>
      </c>
      <c r="O2123" s="15" t="n"/>
      <c r="S2123" s="16" t="n">
        <v>14949</v>
      </c>
      <c r="U2123" s="16" t="n">
        <v>14949</v>
      </c>
      <c r="AC2123" s="23">
        <f>IF(OR(E2123="",E2123="[PARENT]"),"ADD",IF(E2123="[ALT_VIEW]","ALT",""))</f>
        <v/>
      </c>
      <c r="AD2123" s="21">
        <f>IF(Y2123&lt;&gt;"",Y2123,IF(U2123&lt;&gt;"",U2123,S2123))</f>
        <v/>
      </c>
      <c r="AE2123" s="21">
        <f>IF(AB2123&lt;&gt;"",AB2123,Z2123)</f>
        <v/>
      </c>
      <c r="AF2123" s="13" t="inlineStr">
        <is>
          <t>BA1 &gt; 1B4B &gt; Table IV MSC M&amp;R</t>
        </is>
      </c>
      <c r="AG2123" s="7" t="inlineStr">
        <is>
          <t>171</t>
        </is>
      </c>
      <c r="AH2123" s="7" t="inlineStr">
        <is>
          <t>1B4B</t>
        </is>
      </c>
    </row>
    <row r="2124" ht="10" customHeight="1">
      <c r="A2124" s="7" t="inlineStr">
        <is>
          <t>OMN</t>
        </is>
      </c>
      <c r="B2124" s="7" t="inlineStr">
        <is>
          <t>O&amp;M</t>
        </is>
      </c>
      <c r="C2124" s="7" t="inlineStr">
        <is>
          <t>T-ESD 1</t>
        </is>
      </c>
      <c r="D2124" s="7" t="inlineStr">
        <is>
          <t>USNS MONTFORD POINT</t>
        </is>
      </c>
      <c r="E2124" s="13" t="inlineStr">
        <is>
          <t>[SUB]</t>
        </is>
      </c>
      <c r="F2124" s="7" t="inlineStr">
        <is>
          <t>MSC Other Maintenance and Repair</t>
        </is>
      </c>
      <c r="I2124" s="14" t="n">
        <v>2</v>
      </c>
      <c r="K2124" s="13" t="inlineStr">
        <is>
          <t>MSC</t>
        </is>
      </c>
      <c r="L2124" s="7" t="inlineStr">
        <is>
          <t>Combatant Ships</t>
        </is>
      </c>
      <c r="M2124" s="7" t="inlineStr">
        <is>
          <t>Expeditionary &amp; Seabasing Ships</t>
        </is>
      </c>
      <c r="N2124" s="7" t="inlineStr">
        <is>
          <t>T-ESB</t>
        </is>
      </c>
      <c r="O2124" s="15" t="n"/>
      <c r="S2124" s="16" t="n">
        <v>13875</v>
      </c>
      <c r="U2124" s="16" t="n">
        <v>13875</v>
      </c>
      <c r="AC2124" s="23">
        <f>IF(OR(E2124="",E2124="[PARENT]"),"ADD",IF(E2124="[ALT_VIEW]","ALT",""))</f>
        <v/>
      </c>
      <c r="AD2124" s="21">
        <f>IF(Y2124&lt;&gt;"",Y2124,IF(U2124&lt;&gt;"",U2124,S2124))</f>
        <v/>
      </c>
      <c r="AE2124" s="21">
        <f>IF(AB2124&lt;&gt;"",AB2124,Z2124)</f>
        <v/>
      </c>
      <c r="AF2124" s="13" t="inlineStr">
        <is>
          <t>BA1 &gt; 1B4B &gt; Table IV MSC M&amp;R</t>
        </is>
      </c>
      <c r="AG2124" s="7" t="inlineStr">
        <is>
          <t>171</t>
        </is>
      </c>
      <c r="AH2124" s="7" t="inlineStr">
        <is>
          <t>1B4B</t>
        </is>
      </c>
    </row>
    <row r="2125" ht="10" customHeight="1">
      <c r="A2125" s="7" t="inlineStr">
        <is>
          <t>OMN</t>
        </is>
      </c>
      <c r="B2125" s="7" t="inlineStr">
        <is>
          <t>O&amp;M</t>
        </is>
      </c>
      <c r="C2125" s="7" t="inlineStr">
        <is>
          <t>T-ESD 2</t>
        </is>
      </c>
      <c r="D2125" s="7" t="inlineStr">
        <is>
          <t>USNS JOHN GLENN</t>
        </is>
      </c>
      <c r="E2125" s="13" t="inlineStr">
        <is>
          <t>[SUB]</t>
        </is>
      </c>
      <c r="F2125" s="7" t="inlineStr">
        <is>
          <t>Ship Maintenance</t>
        </is>
      </c>
      <c r="I2125" s="14" t="n">
        <v>2</v>
      </c>
      <c r="K2125" s="13" t="inlineStr">
        <is>
          <t>MSC</t>
        </is>
      </c>
      <c r="L2125" s="7" t="inlineStr">
        <is>
          <t>Combatant Ships</t>
        </is>
      </c>
      <c r="M2125" s="7" t="inlineStr">
        <is>
          <t>Expeditionary &amp; Seabasing Ships</t>
        </is>
      </c>
      <c r="N2125" s="7" t="inlineStr">
        <is>
          <t>T-ESB</t>
        </is>
      </c>
      <c r="O2125" s="15" t="n"/>
      <c r="S2125" s="16" t="n">
        <v>10075</v>
      </c>
      <c r="U2125" s="16" t="n">
        <v>10075</v>
      </c>
      <c r="AC2125" s="23">
        <f>IF(OR(E2125="",E2125="[PARENT]"),"ADD",IF(E2125="[ALT_VIEW]","ALT",""))</f>
        <v/>
      </c>
      <c r="AD2125" s="21">
        <f>IF(Y2125&lt;&gt;"",Y2125,IF(U2125&lt;&gt;"",U2125,S2125))</f>
        <v/>
      </c>
      <c r="AE2125" s="21">
        <f>IF(AB2125&lt;&gt;"",AB2125,Z2125)</f>
        <v/>
      </c>
      <c r="AF2125" s="13" t="inlineStr">
        <is>
          <t>BA1 &gt; 1B4B &gt; Table IV MSC M&amp;R</t>
        </is>
      </c>
      <c r="AG2125" s="7" t="inlineStr">
        <is>
          <t>171</t>
        </is>
      </c>
      <c r="AH2125" s="7" t="inlineStr">
        <is>
          <t>1B4B</t>
        </is>
      </c>
    </row>
    <row r="2126" ht="10" customHeight="1">
      <c r="A2126" s="7" t="inlineStr">
        <is>
          <t>OMN</t>
        </is>
      </c>
      <c r="B2126" s="7" t="inlineStr">
        <is>
          <t>O&amp;M</t>
        </is>
      </c>
      <c r="C2126" s="7" t="inlineStr">
        <is>
          <t>LSD 052</t>
        </is>
      </c>
      <c r="D2126" s="7" t="inlineStr">
        <is>
          <t>USS PEARL HARBOR</t>
        </is>
      </c>
      <c r="E2126" s="13" t="inlineStr">
        <is>
          <t>[UNFUNDED]</t>
        </is>
      </c>
      <c r="I2126" s="14" t="n">
        <v>2</v>
      </c>
      <c r="K2126" s="13" t="inlineStr">
        <is>
          <t>USN</t>
        </is>
      </c>
      <c r="L2126" s="7" t="inlineStr">
        <is>
          <t>Combatant Ships</t>
        </is>
      </c>
      <c r="M2126" s="7" t="inlineStr">
        <is>
          <t>Amphibious Warfare Ships</t>
        </is>
      </c>
      <c r="N2126" s="7" t="inlineStr">
        <is>
          <t>LSD</t>
        </is>
      </c>
      <c r="O2126" s="15" t="n"/>
      <c r="S2126" s="16" t="n">
        <v>48643</v>
      </c>
      <c r="U2126" s="16" t="n">
        <v>48643</v>
      </c>
      <c r="AC2126" s="23">
        <f>IF(OR(E2126="",E2126="[PARENT]"),"ADD",IF(E2126="[ALT_VIEW]","ALT",""))</f>
        <v/>
      </c>
      <c r="AD2126" s="21">
        <f>IF(Y2126&lt;&gt;"",Y2126,IF(U2126&lt;&gt;"",U2126,S2126))</f>
        <v/>
      </c>
      <c r="AE2126" s="21">
        <f>IF(AB2126&lt;&gt;"",AB2126,Z2126)</f>
        <v/>
      </c>
      <c r="AF2126" s="13" t="inlineStr">
        <is>
          <t>BA1 &gt; 1B4B &gt; Table VI Deferred Maintenance &gt; SWE</t>
        </is>
      </c>
      <c r="AG2126" s="7" t="inlineStr">
        <is>
          <t>173</t>
        </is>
      </c>
      <c r="AH2126" s="7" t="inlineStr">
        <is>
          <t>1B4B</t>
        </is>
      </c>
    </row>
    <row r="2127" ht="10" customHeight="1">
      <c r="A2127" s="7" t="inlineStr">
        <is>
          <t>OMN</t>
        </is>
      </c>
      <c r="B2127" s="7" t="inlineStr">
        <is>
          <t>O&amp;M</t>
        </is>
      </c>
      <c r="C2127" s="7" t="inlineStr">
        <is>
          <t>LHD 007</t>
        </is>
      </c>
      <c r="D2127" s="7" t="inlineStr">
        <is>
          <t>USS IWO JIMA</t>
        </is>
      </c>
      <c r="E2127" s="13" t="inlineStr">
        <is>
          <t>[UNFUNDED]</t>
        </is>
      </c>
      <c r="I2127" s="14" t="n">
        <v>2</v>
      </c>
      <c r="K2127" s="13" t="inlineStr">
        <is>
          <t>USN</t>
        </is>
      </c>
      <c r="L2127" s="7" t="inlineStr">
        <is>
          <t>Combatant Ships</t>
        </is>
      </c>
      <c r="M2127" s="7" t="inlineStr">
        <is>
          <t>Amphibious Warfare Ships</t>
        </is>
      </c>
      <c r="N2127" s="7" t="inlineStr">
        <is>
          <t>LHD</t>
        </is>
      </c>
      <c r="O2127" s="15" t="n"/>
      <c r="S2127" s="16" t="n">
        <v>17130</v>
      </c>
      <c r="U2127" s="16" t="n">
        <v>17130</v>
      </c>
      <c r="AC2127" s="23">
        <f>IF(OR(E2127="",E2127="[PARENT]"),"ADD",IF(E2127="[ALT_VIEW]","ALT",""))</f>
        <v/>
      </c>
      <c r="AD2127" s="21">
        <f>IF(Y2127&lt;&gt;"",Y2127,IF(U2127&lt;&gt;"",U2127,S2127))</f>
        <v/>
      </c>
      <c r="AE2127" s="21">
        <f>IF(AB2127&lt;&gt;"",AB2127,Z2127)</f>
        <v/>
      </c>
      <c r="AF2127" s="13" t="inlineStr">
        <is>
          <t>BA1 &gt; 1B4B &gt; Table VI Deferred Maintenance &gt; SWE</t>
        </is>
      </c>
      <c r="AG2127" s="7" t="inlineStr">
        <is>
          <t>173</t>
        </is>
      </c>
      <c r="AH2127" s="7" t="inlineStr">
        <is>
          <t>1B4B</t>
        </is>
      </c>
    </row>
    <row r="2128" ht="10" customHeight="1">
      <c r="A2128" s="7" t="inlineStr">
        <is>
          <t>OMN</t>
        </is>
      </c>
      <c r="B2128" s="7" t="inlineStr">
        <is>
          <t>O&amp;M</t>
        </is>
      </c>
      <c r="C2128" s="7" t="inlineStr">
        <is>
          <t>LHA 006</t>
        </is>
      </c>
      <c r="D2128" s="7" t="inlineStr">
        <is>
          <t>USS AMERICA</t>
        </is>
      </c>
      <c r="E2128" s="13" t="inlineStr">
        <is>
          <t>[UNFUNDED]</t>
        </is>
      </c>
      <c r="I2128" s="14" t="n">
        <v>2</v>
      </c>
      <c r="K2128" s="13" t="inlineStr">
        <is>
          <t>USN</t>
        </is>
      </c>
      <c r="L2128" s="7" t="inlineStr">
        <is>
          <t>Combatant Ships</t>
        </is>
      </c>
      <c r="M2128" s="7" t="inlineStr">
        <is>
          <t>Amphibious Warfare Ships</t>
        </is>
      </c>
      <c r="N2128" s="7" t="inlineStr">
        <is>
          <t>LHA</t>
        </is>
      </c>
      <c r="O2128" s="15" t="n"/>
      <c r="S2128" s="16" t="n">
        <v>12514</v>
      </c>
      <c r="U2128" s="16" t="n">
        <v>12514</v>
      </c>
      <c r="AC2128" s="23">
        <f>IF(OR(E2128="",E2128="[PARENT]"),"ADD",IF(E2128="[ALT_VIEW]","ALT",""))</f>
        <v/>
      </c>
      <c r="AD2128" s="21">
        <f>IF(Y2128&lt;&gt;"",Y2128,IF(U2128&lt;&gt;"",U2128,S2128))</f>
        <v/>
      </c>
      <c r="AE2128" s="21">
        <f>IF(AB2128&lt;&gt;"",AB2128,Z2128)</f>
        <v/>
      </c>
      <c r="AF2128" s="13" t="inlineStr">
        <is>
          <t>BA1 &gt; 1B4B &gt; Table VI Deferred Maintenance &gt; SWE</t>
        </is>
      </c>
      <c r="AG2128" s="7" t="inlineStr">
        <is>
          <t>173</t>
        </is>
      </c>
      <c r="AH2128" s="7" t="inlineStr">
        <is>
          <t>1B4B</t>
        </is>
      </c>
    </row>
    <row r="2129" ht="10" customHeight="1">
      <c r="A2129" s="7" t="inlineStr">
        <is>
          <t>OMN</t>
        </is>
      </c>
      <c r="B2129" s="7" t="inlineStr">
        <is>
          <t>O&amp;M</t>
        </is>
      </c>
      <c r="C2129" s="7" t="inlineStr">
        <is>
          <t>LSD 045</t>
        </is>
      </c>
      <c r="D2129" s="7" t="inlineStr">
        <is>
          <t>USS COMSTOCK</t>
        </is>
      </c>
      <c r="E2129" s="13" t="inlineStr">
        <is>
          <t>[UNFUNDED]</t>
        </is>
      </c>
      <c r="I2129" s="14" t="n">
        <v>2</v>
      </c>
      <c r="K2129" s="13" t="inlineStr">
        <is>
          <t>USN</t>
        </is>
      </c>
      <c r="L2129" s="7" t="inlineStr">
        <is>
          <t>Combatant Ships</t>
        </is>
      </c>
      <c r="M2129" s="7" t="inlineStr">
        <is>
          <t>Amphibious Warfare Ships</t>
        </is>
      </c>
      <c r="N2129" s="7" t="inlineStr">
        <is>
          <t>LSD</t>
        </is>
      </c>
      <c r="O2129" s="15" t="n"/>
      <c r="S2129" s="16" t="n">
        <v>9374</v>
      </c>
      <c r="U2129" s="16" t="n">
        <v>9374</v>
      </c>
      <c r="AC2129" s="23">
        <f>IF(OR(E2129="",E2129="[PARENT]"),"ADD",IF(E2129="[ALT_VIEW]","ALT",""))</f>
        <v/>
      </c>
      <c r="AD2129" s="21">
        <f>IF(Y2129&lt;&gt;"",Y2129,IF(U2129&lt;&gt;"",U2129,S2129))</f>
        <v/>
      </c>
      <c r="AE2129" s="21">
        <f>IF(AB2129&lt;&gt;"",AB2129,Z2129)</f>
        <v/>
      </c>
      <c r="AF2129" s="13" t="inlineStr">
        <is>
          <t>BA1 &gt; 1B4B &gt; Table VI Deferred Maintenance &gt; SWE</t>
        </is>
      </c>
      <c r="AG2129" s="7" t="inlineStr">
        <is>
          <t>173</t>
        </is>
      </c>
      <c r="AH2129" s="7" t="inlineStr">
        <is>
          <t>1B4B</t>
        </is>
      </c>
    </row>
    <row r="2130" ht="10" customHeight="1">
      <c r="A2130" s="7" t="inlineStr">
        <is>
          <t>OMN</t>
        </is>
      </c>
      <c r="B2130" s="7" t="inlineStr">
        <is>
          <t>O&amp;M</t>
        </is>
      </c>
      <c r="C2130" s="7" t="inlineStr">
        <is>
          <t>DDG 1001</t>
        </is>
      </c>
      <c r="D2130" s="7" t="inlineStr">
        <is>
          <t>USS MICHAEL MONSOOR</t>
        </is>
      </c>
      <c r="E2130" s="13" t="inlineStr">
        <is>
          <t>[UNFUNDED]</t>
        </is>
      </c>
      <c r="I2130" s="14" t="n">
        <v>2</v>
      </c>
      <c r="K2130" s="13" t="inlineStr">
        <is>
          <t>USN</t>
        </is>
      </c>
      <c r="L2130" s="7" t="inlineStr">
        <is>
          <t>Combatant Ships</t>
        </is>
      </c>
      <c r="M2130" s="7" t="inlineStr">
        <is>
          <t>Surface Combatants</t>
        </is>
      </c>
      <c r="N2130" s="7" t="inlineStr">
        <is>
          <t>DDG</t>
        </is>
      </c>
      <c r="O2130" s="15" t="n"/>
      <c r="S2130" s="16" t="n">
        <v>8279</v>
      </c>
      <c r="U2130" s="16" t="n">
        <v>8279</v>
      </c>
      <c r="AC2130" s="23">
        <f>IF(OR(E2130="",E2130="[PARENT]"),"ADD",IF(E2130="[ALT_VIEW]","ALT",""))</f>
        <v/>
      </c>
      <c r="AD2130" s="21">
        <f>IF(Y2130&lt;&gt;"",Y2130,IF(U2130&lt;&gt;"",U2130,S2130))</f>
        <v/>
      </c>
      <c r="AE2130" s="21">
        <f>IF(AB2130&lt;&gt;"",AB2130,Z2130)</f>
        <v/>
      </c>
      <c r="AF2130" s="13" t="inlineStr">
        <is>
          <t>BA1 &gt; 1B4B &gt; Table VI Deferred Maintenance &gt; SWE</t>
        </is>
      </c>
      <c r="AG2130" s="7" t="inlineStr">
        <is>
          <t>173</t>
        </is>
      </c>
      <c r="AH2130" s="7" t="inlineStr">
        <is>
          <t>1B4B</t>
        </is>
      </c>
    </row>
    <row r="2131" ht="10" customHeight="1">
      <c r="A2131" s="7" t="inlineStr">
        <is>
          <t>OMN</t>
        </is>
      </c>
      <c r="B2131" s="7" t="inlineStr">
        <is>
          <t>O&amp;M</t>
        </is>
      </c>
      <c r="C2131" s="7" t="inlineStr">
        <is>
          <t>DDG 065</t>
        </is>
      </c>
      <c r="D2131" s="7" t="inlineStr">
        <is>
          <t>USS BENFOLD</t>
        </is>
      </c>
      <c r="E2131" s="13" t="inlineStr">
        <is>
          <t>[UNFUNDED]</t>
        </is>
      </c>
      <c r="I2131" s="14" t="n">
        <v>2</v>
      </c>
      <c r="K2131" s="13" t="inlineStr">
        <is>
          <t>USN</t>
        </is>
      </c>
      <c r="L2131" s="7" t="inlineStr">
        <is>
          <t>Combatant Ships</t>
        </is>
      </c>
      <c r="M2131" s="7" t="inlineStr">
        <is>
          <t>Surface Combatants</t>
        </is>
      </c>
      <c r="N2131" s="7" t="inlineStr">
        <is>
          <t>DDG</t>
        </is>
      </c>
      <c r="O2131" s="15" t="n"/>
      <c r="S2131" s="16" t="n">
        <v>8474</v>
      </c>
      <c r="U2131" s="16" t="n">
        <v>8474</v>
      </c>
      <c r="AC2131" s="23">
        <f>IF(OR(E2131="",E2131="[PARENT]"),"ADD",IF(E2131="[ALT_VIEW]","ALT",""))</f>
        <v/>
      </c>
      <c r="AD2131" s="21">
        <f>IF(Y2131&lt;&gt;"",Y2131,IF(U2131&lt;&gt;"",U2131,S2131))</f>
        <v/>
      </c>
      <c r="AE2131" s="21">
        <f>IF(AB2131&lt;&gt;"",AB2131,Z2131)</f>
        <v/>
      </c>
      <c r="AF2131" s="13" t="inlineStr">
        <is>
          <t>BA1 &gt; 1B4B &gt; Table VI Deferred Maintenance &gt; SWE</t>
        </is>
      </c>
      <c r="AG2131" s="7" t="inlineStr">
        <is>
          <t>173</t>
        </is>
      </c>
      <c r="AH2131" s="7" t="inlineStr">
        <is>
          <t>1B4B</t>
        </is>
      </c>
    </row>
    <row r="2132" ht="10" customHeight="1">
      <c r="A2132" s="7" t="inlineStr">
        <is>
          <t>OMN</t>
        </is>
      </c>
      <c r="B2132" s="7" t="inlineStr">
        <is>
          <t>O&amp;M</t>
        </is>
      </c>
      <c r="C2132" s="7" t="inlineStr">
        <is>
          <t>LPD 017</t>
        </is>
      </c>
      <c r="D2132" s="7" t="inlineStr">
        <is>
          <t>USS SAN ANTONIO</t>
        </is>
      </c>
      <c r="E2132" s="13" t="inlineStr">
        <is>
          <t>[UNFUNDED]</t>
        </is>
      </c>
      <c r="I2132" s="14" t="n">
        <v>2</v>
      </c>
      <c r="K2132" s="13" t="inlineStr">
        <is>
          <t>USN</t>
        </is>
      </c>
      <c r="L2132" s="7" t="inlineStr">
        <is>
          <t>Combatant Ships</t>
        </is>
      </c>
      <c r="M2132" s="7" t="inlineStr">
        <is>
          <t>Amphibious Warfare Ships</t>
        </is>
      </c>
      <c r="N2132" s="7" t="inlineStr">
        <is>
          <t>LPD</t>
        </is>
      </c>
      <c r="O2132" s="15" t="n"/>
      <c r="S2132" s="16" t="n">
        <v>3965</v>
      </c>
      <c r="U2132" s="16" t="n">
        <v>3965</v>
      </c>
      <c r="AC2132" s="23">
        <f>IF(OR(E2132="",E2132="[PARENT]"),"ADD",IF(E2132="[ALT_VIEW]","ALT",""))</f>
        <v/>
      </c>
      <c r="AD2132" s="21">
        <f>IF(Y2132&lt;&gt;"",Y2132,IF(U2132&lt;&gt;"",U2132,S2132))</f>
        <v/>
      </c>
      <c r="AE2132" s="21">
        <f>IF(AB2132&lt;&gt;"",AB2132,Z2132)</f>
        <v/>
      </c>
      <c r="AF2132" s="13" t="inlineStr">
        <is>
          <t>BA1 &gt; 1B4B &gt; Table VI Deferred Maintenance &gt; SWE</t>
        </is>
      </c>
      <c r="AG2132" s="7" t="inlineStr">
        <is>
          <t>173</t>
        </is>
      </c>
      <c r="AH2132" s="7" t="inlineStr">
        <is>
          <t>1B4B</t>
        </is>
      </c>
    </row>
    <row r="2133" ht="10" customHeight="1">
      <c r="A2133" s="7" t="inlineStr">
        <is>
          <t>OMN</t>
        </is>
      </c>
      <c r="B2133" s="7" t="inlineStr">
        <is>
          <t>O&amp;M</t>
        </is>
      </c>
      <c r="C2133" s="7" t="inlineStr">
        <is>
          <t>DDG 123</t>
        </is>
      </c>
      <c r="D2133" s="7" t="inlineStr">
        <is>
          <t>USS LENAH H SUTCLIFFE HIGBEE</t>
        </is>
      </c>
      <c r="E2133" s="13" t="inlineStr">
        <is>
          <t>[UNFUNDED]</t>
        </is>
      </c>
      <c r="I2133" s="14" t="n">
        <v>2</v>
      </c>
      <c r="K2133" s="13" t="inlineStr">
        <is>
          <t>USN</t>
        </is>
      </c>
      <c r="L2133" s="7" t="inlineStr">
        <is>
          <t>Combatant Ships</t>
        </is>
      </c>
      <c r="M2133" s="7" t="inlineStr">
        <is>
          <t>Surface Combatants</t>
        </is>
      </c>
      <c r="N2133" s="7" t="inlineStr">
        <is>
          <t>DDG</t>
        </is>
      </c>
      <c r="O2133" s="15" t="n"/>
      <c r="S2133" s="16" t="n">
        <v>3254</v>
      </c>
      <c r="U2133" s="16" t="n">
        <v>3254</v>
      </c>
      <c r="AC2133" s="23">
        <f>IF(OR(E2133="",E2133="[PARENT]"),"ADD",IF(E2133="[ALT_VIEW]","ALT",""))</f>
        <v/>
      </c>
      <c r="AD2133" s="21">
        <f>IF(Y2133&lt;&gt;"",Y2133,IF(U2133&lt;&gt;"",U2133,S2133))</f>
        <v/>
      </c>
      <c r="AE2133" s="21">
        <f>IF(AB2133&lt;&gt;"",AB2133,Z2133)</f>
        <v/>
      </c>
      <c r="AF2133" s="13" t="inlineStr">
        <is>
          <t>BA1 &gt; 1B4B &gt; Table VI Deferred Maintenance &gt; SWE</t>
        </is>
      </c>
      <c r="AG2133" s="7" t="inlineStr">
        <is>
          <t>173</t>
        </is>
      </c>
      <c r="AH2133" s="7" t="inlineStr">
        <is>
          <t>1B4B</t>
        </is>
      </c>
    </row>
    <row r="2134" ht="10" customHeight="1">
      <c r="A2134" s="7" t="inlineStr">
        <is>
          <t>OMN</t>
        </is>
      </c>
      <c r="B2134" s="7" t="inlineStr">
        <is>
          <t>O&amp;M</t>
        </is>
      </c>
      <c r="C2134" s="7" t="inlineStr">
        <is>
          <t>DDG 076</t>
        </is>
      </c>
      <c r="D2134" s="7" t="inlineStr">
        <is>
          <t>USS HIGGINS</t>
        </is>
      </c>
      <c r="E2134" s="13" t="inlineStr">
        <is>
          <t>[UNFUNDED]</t>
        </is>
      </c>
      <c r="I2134" s="14" t="n">
        <v>2</v>
      </c>
      <c r="K2134" s="13" t="inlineStr">
        <is>
          <t>USN</t>
        </is>
      </c>
      <c r="L2134" s="7" t="inlineStr">
        <is>
          <t>Combatant Ships</t>
        </is>
      </c>
      <c r="M2134" s="7" t="inlineStr">
        <is>
          <t>Surface Combatants</t>
        </is>
      </c>
      <c r="N2134" s="7" t="inlineStr">
        <is>
          <t>DDG</t>
        </is>
      </c>
      <c r="O2134" s="15" t="n"/>
      <c r="S2134" s="16" t="n">
        <v>2022</v>
      </c>
      <c r="U2134" s="16" t="n">
        <v>2022</v>
      </c>
      <c r="AC2134" s="23">
        <f>IF(OR(E2134="",E2134="[PARENT]"),"ADD",IF(E2134="[ALT_VIEW]","ALT",""))</f>
        <v/>
      </c>
      <c r="AD2134" s="21">
        <f>IF(Y2134&lt;&gt;"",Y2134,IF(U2134&lt;&gt;"",U2134,S2134))</f>
        <v/>
      </c>
      <c r="AE2134" s="21">
        <f>IF(AB2134&lt;&gt;"",AB2134,Z2134)</f>
        <v/>
      </c>
      <c r="AF2134" s="13" t="inlineStr">
        <is>
          <t>BA1 &gt; 1B4B &gt; Table VI Deferred Maintenance &gt; SWE</t>
        </is>
      </c>
      <c r="AG2134" s="7" t="inlineStr">
        <is>
          <t>173</t>
        </is>
      </c>
      <c r="AH2134" s="7" t="inlineStr">
        <is>
          <t>1B4B</t>
        </is>
      </c>
    </row>
    <row r="2135" ht="10" customHeight="1">
      <c r="A2135" s="7" t="inlineStr">
        <is>
          <t>OMN</t>
        </is>
      </c>
      <c r="B2135" s="7" t="inlineStr">
        <is>
          <t>O&amp;M</t>
        </is>
      </c>
      <c r="C2135" s="7" t="inlineStr">
        <is>
          <t>DDG 079</t>
        </is>
      </c>
      <c r="D2135" s="7" t="inlineStr">
        <is>
          <t>USS OSCAR AUSTIN</t>
        </is>
      </c>
      <c r="E2135" s="13" t="inlineStr">
        <is>
          <t>[UNFUNDED]</t>
        </is>
      </c>
      <c r="I2135" s="14" t="n">
        <v>2</v>
      </c>
      <c r="K2135" s="13" t="inlineStr">
        <is>
          <t>USN</t>
        </is>
      </c>
      <c r="L2135" s="7" t="inlineStr">
        <is>
          <t>Combatant Ships</t>
        </is>
      </c>
      <c r="M2135" s="7" t="inlineStr">
        <is>
          <t>Surface Combatants</t>
        </is>
      </c>
      <c r="N2135" s="7" t="inlineStr">
        <is>
          <t>DDG</t>
        </is>
      </c>
      <c r="O2135" s="15" t="n"/>
      <c r="S2135" s="16" t="n">
        <v>2873</v>
      </c>
      <c r="U2135" s="16" t="n">
        <v>2873</v>
      </c>
      <c r="AC2135" s="23">
        <f>IF(OR(E2135="",E2135="[PARENT]"),"ADD",IF(E2135="[ALT_VIEW]","ALT",""))</f>
        <v/>
      </c>
      <c r="AD2135" s="21">
        <f>IF(Y2135&lt;&gt;"",Y2135,IF(U2135&lt;&gt;"",U2135,S2135))</f>
        <v/>
      </c>
      <c r="AE2135" s="21">
        <f>IF(AB2135&lt;&gt;"",AB2135,Z2135)</f>
        <v/>
      </c>
      <c r="AF2135" s="13" t="inlineStr">
        <is>
          <t>BA1 &gt; 1B4B &gt; Table VI Deferred Maintenance &gt; SWE</t>
        </is>
      </c>
      <c r="AG2135" s="7" t="inlineStr">
        <is>
          <t>173</t>
        </is>
      </c>
      <c r="AH2135" s="7" t="inlineStr">
        <is>
          <t>1B4B</t>
        </is>
      </c>
    </row>
    <row r="2136" ht="10" customHeight="1">
      <c r="A2136" s="7" t="inlineStr">
        <is>
          <t>OMN</t>
        </is>
      </c>
      <c r="B2136" s="7" t="inlineStr">
        <is>
          <t>O&amp;M</t>
        </is>
      </c>
      <c r="C2136" s="7" t="inlineStr">
        <is>
          <t>DDG 098</t>
        </is>
      </c>
      <c r="D2136" s="7" t="inlineStr">
        <is>
          <t>USS FORREST SHERMAN</t>
        </is>
      </c>
      <c r="E2136" s="13" t="inlineStr">
        <is>
          <t>[UNFUNDED]</t>
        </is>
      </c>
      <c r="I2136" s="14" t="n">
        <v>2</v>
      </c>
      <c r="K2136" s="13" t="inlineStr">
        <is>
          <t>USN</t>
        </is>
      </c>
      <c r="L2136" s="7" t="inlineStr">
        <is>
          <t>Combatant Ships</t>
        </is>
      </c>
      <c r="M2136" s="7" t="inlineStr">
        <is>
          <t>Surface Combatants</t>
        </is>
      </c>
      <c r="N2136" s="7" t="inlineStr">
        <is>
          <t>DDG</t>
        </is>
      </c>
      <c r="O2136" s="15" t="n"/>
      <c r="S2136" s="16" t="n">
        <v>2707</v>
      </c>
      <c r="U2136" s="16" t="n">
        <v>2707</v>
      </c>
      <c r="AC2136" s="23">
        <f>IF(OR(E2136="",E2136="[PARENT]"),"ADD",IF(E2136="[ALT_VIEW]","ALT",""))</f>
        <v/>
      </c>
      <c r="AD2136" s="21">
        <f>IF(Y2136&lt;&gt;"",Y2136,IF(U2136&lt;&gt;"",U2136,S2136))</f>
        <v/>
      </c>
      <c r="AE2136" s="21">
        <f>IF(AB2136&lt;&gt;"",AB2136,Z2136)</f>
        <v/>
      </c>
      <c r="AF2136" s="13" t="inlineStr">
        <is>
          <t>BA1 &gt; 1B4B &gt; Table VI Deferred Maintenance &gt; SWE</t>
        </is>
      </c>
      <c r="AG2136" s="7" t="inlineStr">
        <is>
          <t>173</t>
        </is>
      </c>
      <c r="AH2136" s="7" t="inlineStr">
        <is>
          <t>1B4B</t>
        </is>
      </c>
    </row>
    <row r="2137" ht="10" customHeight="1">
      <c r="A2137" s="7" t="inlineStr">
        <is>
          <t>OMN</t>
        </is>
      </c>
      <c r="B2137" s="7" t="inlineStr">
        <is>
          <t>O&amp;M</t>
        </is>
      </c>
      <c r="C2137" s="7" t="inlineStr">
        <is>
          <t>DDG 072</t>
        </is>
      </c>
      <c r="D2137" s="7" t="inlineStr">
        <is>
          <t>USS MAHAN</t>
        </is>
      </c>
      <c r="E2137" s="13" t="inlineStr">
        <is>
          <t>[UNFUNDED]</t>
        </is>
      </c>
      <c r="I2137" s="14" t="n">
        <v>2</v>
      </c>
      <c r="K2137" s="13" t="inlineStr">
        <is>
          <t>USN</t>
        </is>
      </c>
      <c r="L2137" s="7" t="inlineStr">
        <is>
          <t>Combatant Ships</t>
        </is>
      </c>
      <c r="M2137" s="7" t="inlineStr">
        <is>
          <t>Surface Combatants</t>
        </is>
      </c>
      <c r="N2137" s="7" t="inlineStr">
        <is>
          <t>DDG</t>
        </is>
      </c>
      <c r="O2137" s="15" t="n"/>
      <c r="S2137" s="16" t="n">
        <v>2226</v>
      </c>
      <c r="U2137" s="16" t="n">
        <v>2226</v>
      </c>
      <c r="AC2137" s="23">
        <f>IF(OR(E2137="",E2137="[PARENT]"),"ADD",IF(E2137="[ALT_VIEW]","ALT",""))</f>
        <v/>
      </c>
      <c r="AD2137" s="21">
        <f>IF(Y2137&lt;&gt;"",Y2137,IF(U2137&lt;&gt;"",U2137,S2137))</f>
        <v/>
      </c>
      <c r="AE2137" s="21">
        <f>IF(AB2137&lt;&gt;"",AB2137,Z2137)</f>
        <v/>
      </c>
      <c r="AF2137" s="13" t="inlineStr">
        <is>
          <t>BA1 &gt; 1B4B &gt; Table VI Deferred Maintenance &gt; SWE</t>
        </is>
      </c>
      <c r="AG2137" s="7" t="inlineStr">
        <is>
          <t>173</t>
        </is>
      </c>
      <c r="AH2137" s="7" t="inlineStr">
        <is>
          <t>1B4B</t>
        </is>
      </c>
    </row>
    <row r="2138" ht="10" customHeight="1">
      <c r="A2138" s="7" t="inlineStr">
        <is>
          <t>OMN</t>
        </is>
      </c>
      <c r="B2138" s="7" t="inlineStr">
        <is>
          <t>O&amp;M</t>
        </is>
      </c>
      <c r="C2138" s="7" t="inlineStr">
        <is>
          <t>LCS 012</t>
        </is>
      </c>
      <c r="D2138" s="7" t="inlineStr">
        <is>
          <t>USS OMAHA</t>
        </is>
      </c>
      <c r="E2138" s="13" t="inlineStr">
        <is>
          <t>[UNFUNDED]</t>
        </is>
      </c>
      <c r="I2138" s="14" t="n">
        <v>2</v>
      </c>
      <c r="K2138" s="13" t="inlineStr">
        <is>
          <t>USN</t>
        </is>
      </c>
      <c r="L2138" s="7" t="inlineStr">
        <is>
          <t>Combatant Ships</t>
        </is>
      </c>
      <c r="M2138" s="7" t="inlineStr">
        <is>
          <t>Surface Combatants</t>
        </is>
      </c>
      <c r="N2138" s="7" t="inlineStr">
        <is>
          <t>LCS</t>
        </is>
      </c>
      <c r="O2138" s="15" t="n"/>
      <c r="S2138" s="16" t="n">
        <v>1674</v>
      </c>
      <c r="U2138" s="16" t="n">
        <v>1674</v>
      </c>
      <c r="AC2138" s="23">
        <f>IF(OR(E2138="",E2138="[PARENT]"),"ADD",IF(E2138="[ALT_VIEW]","ALT",""))</f>
        <v/>
      </c>
      <c r="AD2138" s="21">
        <f>IF(Y2138&lt;&gt;"",Y2138,IF(U2138&lt;&gt;"",U2138,S2138))</f>
        <v/>
      </c>
      <c r="AE2138" s="21">
        <f>IF(AB2138&lt;&gt;"",AB2138,Z2138)</f>
        <v/>
      </c>
      <c r="AF2138" s="13" t="inlineStr">
        <is>
          <t>BA1 &gt; 1B4B &gt; Table VI Deferred Maintenance &gt; SWE</t>
        </is>
      </c>
      <c r="AG2138" s="7" t="inlineStr">
        <is>
          <t>173</t>
        </is>
      </c>
      <c r="AH2138" s="7" t="inlineStr">
        <is>
          <t>1B4B</t>
        </is>
      </c>
    </row>
    <row r="2139" ht="10" customHeight="1">
      <c r="A2139" s="7" t="inlineStr">
        <is>
          <t>OMN</t>
        </is>
      </c>
      <c r="B2139" s="7" t="inlineStr">
        <is>
          <t>O&amp;M</t>
        </is>
      </c>
      <c r="C2139" s="7" t="inlineStr">
        <is>
          <t>LCS 022</t>
        </is>
      </c>
      <c r="D2139" s="7" t="inlineStr">
        <is>
          <t>USS KANSAS CITY</t>
        </is>
      </c>
      <c r="E2139" s="13" t="inlineStr">
        <is>
          <t>[UNFUNDED]</t>
        </is>
      </c>
      <c r="I2139" s="14" t="n">
        <v>2</v>
      </c>
      <c r="K2139" s="13" t="inlineStr">
        <is>
          <t>USN</t>
        </is>
      </c>
      <c r="L2139" s="7" t="inlineStr">
        <is>
          <t>Combatant Ships</t>
        </is>
      </c>
      <c r="M2139" s="7" t="inlineStr">
        <is>
          <t>Surface Combatants</t>
        </is>
      </c>
      <c r="N2139" s="7" t="inlineStr">
        <is>
          <t>LCS</t>
        </is>
      </c>
      <c r="O2139" s="15" t="n"/>
      <c r="S2139" s="16" t="n">
        <v>1431</v>
      </c>
      <c r="U2139" s="16" t="n">
        <v>1431</v>
      </c>
      <c r="AC2139" s="23">
        <f>IF(OR(E2139="",E2139="[PARENT]"),"ADD",IF(E2139="[ALT_VIEW]","ALT",""))</f>
        <v/>
      </c>
      <c r="AD2139" s="21">
        <f>IF(Y2139&lt;&gt;"",Y2139,IF(U2139&lt;&gt;"",U2139,S2139))</f>
        <v/>
      </c>
      <c r="AE2139" s="21">
        <f>IF(AB2139&lt;&gt;"",AB2139,Z2139)</f>
        <v/>
      </c>
      <c r="AF2139" s="13" t="inlineStr">
        <is>
          <t>BA1 &gt; 1B4B &gt; Table VI Deferred Maintenance &gt; SWE</t>
        </is>
      </c>
      <c r="AG2139" s="7" t="inlineStr">
        <is>
          <t>173</t>
        </is>
      </c>
      <c r="AH2139" s="7" t="inlineStr">
        <is>
          <t>1B4B</t>
        </is>
      </c>
    </row>
    <row r="2140" ht="10" customHeight="1">
      <c r="A2140" s="7" t="inlineStr">
        <is>
          <t>OMN</t>
        </is>
      </c>
      <c r="B2140" s="7" t="inlineStr">
        <is>
          <t>O&amp;M</t>
        </is>
      </c>
      <c r="C2140" s="7" t="inlineStr">
        <is>
          <t>LCS 030</t>
        </is>
      </c>
      <c r="D2140" s="7" t="inlineStr">
        <is>
          <t>USS CANBERRA</t>
        </is>
      </c>
      <c r="E2140" s="13" t="inlineStr">
        <is>
          <t>[UNFUNDED]</t>
        </is>
      </c>
      <c r="I2140" s="14" t="n">
        <v>2</v>
      </c>
      <c r="K2140" s="13" t="inlineStr">
        <is>
          <t>USN</t>
        </is>
      </c>
      <c r="L2140" s="7" t="inlineStr">
        <is>
          <t>Combatant Ships</t>
        </is>
      </c>
      <c r="M2140" s="7" t="inlineStr">
        <is>
          <t>Surface Combatants</t>
        </is>
      </c>
      <c r="N2140" s="7" t="inlineStr">
        <is>
          <t>LCS</t>
        </is>
      </c>
      <c r="O2140" s="15" t="n"/>
      <c r="S2140" s="16" t="n">
        <v>926</v>
      </c>
      <c r="U2140" s="16" t="n">
        <v>926</v>
      </c>
      <c r="AC2140" s="23">
        <f>IF(OR(E2140="",E2140="[PARENT]"),"ADD",IF(E2140="[ALT_VIEW]","ALT",""))</f>
        <v/>
      </c>
      <c r="AD2140" s="21">
        <f>IF(Y2140&lt;&gt;"",Y2140,IF(U2140&lt;&gt;"",U2140,S2140))</f>
        <v/>
      </c>
      <c r="AE2140" s="21">
        <f>IF(AB2140&lt;&gt;"",AB2140,Z2140)</f>
        <v/>
      </c>
      <c r="AF2140" s="13" t="inlineStr">
        <is>
          <t>BA1 &gt; 1B4B &gt; Table VI Deferred Maintenance &gt; SWE</t>
        </is>
      </c>
      <c r="AG2140" s="7" t="inlineStr">
        <is>
          <t>173</t>
        </is>
      </c>
      <c r="AH2140" s="7" t="inlineStr">
        <is>
          <t>1B4B</t>
        </is>
      </c>
    </row>
    <row r="2141" ht="10" customHeight="1">
      <c r="A2141" s="7" t="inlineStr">
        <is>
          <t>OMN</t>
        </is>
      </c>
      <c r="B2141" s="7" t="inlineStr">
        <is>
          <t>O&amp;M</t>
        </is>
      </c>
      <c r="C2141" s="7" t="inlineStr">
        <is>
          <t>LCS 034</t>
        </is>
      </c>
      <c r="D2141" s="7" t="inlineStr">
        <is>
          <t>USS AUGUSTA</t>
        </is>
      </c>
      <c r="E2141" s="13" t="inlineStr">
        <is>
          <t>[UNFUNDED]</t>
        </is>
      </c>
      <c r="I2141" s="14" t="n">
        <v>2</v>
      </c>
      <c r="K2141" s="13" t="inlineStr">
        <is>
          <t>USN</t>
        </is>
      </c>
      <c r="L2141" s="7" t="inlineStr">
        <is>
          <t>Combatant Ships</t>
        </is>
      </c>
      <c r="M2141" s="7" t="inlineStr">
        <is>
          <t>Surface Combatants</t>
        </is>
      </c>
      <c r="N2141" s="7" t="inlineStr">
        <is>
          <t>LCS</t>
        </is>
      </c>
      <c r="O2141" s="15" t="n"/>
      <c r="S2141" s="16" t="n">
        <v>926</v>
      </c>
      <c r="U2141" s="16" t="n">
        <v>926</v>
      </c>
      <c r="AC2141" s="23">
        <f>IF(OR(E2141="",E2141="[PARENT]"),"ADD",IF(E2141="[ALT_VIEW]","ALT",""))</f>
        <v/>
      </c>
      <c r="AD2141" s="21">
        <f>IF(Y2141&lt;&gt;"",Y2141,IF(U2141&lt;&gt;"",U2141,S2141))</f>
        <v/>
      </c>
      <c r="AE2141" s="21">
        <f>IF(AB2141&lt;&gt;"",AB2141,Z2141)</f>
        <v/>
      </c>
      <c r="AF2141" s="13" t="inlineStr">
        <is>
          <t>BA1 &gt; 1B4B &gt; Table VI Deferred Maintenance &gt; SWE</t>
        </is>
      </c>
      <c r="AG2141" s="7" t="inlineStr">
        <is>
          <t>174</t>
        </is>
      </c>
      <c r="AH2141" s="7" t="inlineStr">
        <is>
          <t>1B4B</t>
        </is>
      </c>
    </row>
    <row r="2142" ht="10" customHeight="1">
      <c r="A2142" s="7" t="inlineStr">
        <is>
          <t>OMN</t>
        </is>
      </c>
      <c r="B2142" s="7" t="inlineStr">
        <is>
          <t>O&amp;M</t>
        </is>
      </c>
      <c r="C2142" s="7" t="inlineStr">
        <is>
          <t>DDG 117</t>
        </is>
      </c>
      <c r="D2142" s="7" t="inlineStr">
        <is>
          <t>USS PAUL IGNATIUS</t>
        </is>
      </c>
      <c r="E2142" s="13" t="inlineStr">
        <is>
          <t>[UNFUNDED]</t>
        </is>
      </c>
      <c r="I2142" s="14" t="n">
        <v>2</v>
      </c>
      <c r="K2142" s="13" t="inlineStr">
        <is>
          <t>USN</t>
        </is>
      </c>
      <c r="L2142" s="7" t="inlineStr">
        <is>
          <t>Combatant Ships</t>
        </is>
      </c>
      <c r="M2142" s="7" t="inlineStr">
        <is>
          <t>Surface Combatants</t>
        </is>
      </c>
      <c r="N2142" s="7" t="inlineStr">
        <is>
          <t>DDG</t>
        </is>
      </c>
      <c r="O2142" s="15" t="n"/>
      <c r="S2142" s="16" t="n">
        <v>367</v>
      </c>
      <c r="U2142" s="16" t="n">
        <v>367</v>
      </c>
      <c r="AC2142" s="23">
        <f>IF(OR(E2142="",E2142="[PARENT]"),"ADD",IF(E2142="[ALT_VIEW]","ALT",""))</f>
        <v/>
      </c>
      <c r="AD2142" s="21">
        <f>IF(Y2142&lt;&gt;"",Y2142,IF(U2142&lt;&gt;"",U2142,S2142))</f>
        <v/>
      </c>
      <c r="AE2142" s="21">
        <f>IF(AB2142&lt;&gt;"",AB2142,Z2142)</f>
        <v/>
      </c>
      <c r="AF2142" s="13" t="inlineStr">
        <is>
          <t>BA1 &gt; 1B4B &gt; Table VI Deferred Maintenance &gt; SWE</t>
        </is>
      </c>
      <c r="AG2142" s="7" t="inlineStr">
        <is>
          <t>174</t>
        </is>
      </c>
      <c r="AH2142" s="7" t="inlineStr">
        <is>
          <t>1B4B</t>
        </is>
      </c>
    </row>
    <row r="2143" ht="10" customHeight="1">
      <c r="A2143" s="7" t="inlineStr">
        <is>
          <t>OMN</t>
        </is>
      </c>
      <c r="B2143" s="7" t="inlineStr">
        <is>
          <t>O&amp;M</t>
        </is>
      </c>
      <c r="C2143" s="7" t="inlineStr">
        <is>
          <t>LPD 022</t>
        </is>
      </c>
      <c r="D2143" s="7" t="inlineStr">
        <is>
          <t>USS SAN DIEGO</t>
        </is>
      </c>
      <c r="E2143" s="13" t="inlineStr">
        <is>
          <t>[UNFUNDED]</t>
        </is>
      </c>
      <c r="I2143" s="14" t="n">
        <v>2</v>
      </c>
      <c r="K2143" s="13" t="inlineStr">
        <is>
          <t>USN</t>
        </is>
      </c>
      <c r="L2143" s="7" t="inlineStr">
        <is>
          <t>Combatant Ships</t>
        </is>
      </c>
      <c r="M2143" s="7" t="inlineStr">
        <is>
          <t>Amphibious Warfare Ships</t>
        </is>
      </c>
      <c r="N2143" s="7" t="inlineStr">
        <is>
          <t>LPD</t>
        </is>
      </c>
      <c r="O2143" s="15" t="n"/>
      <c r="S2143" s="16" t="n">
        <v>217</v>
      </c>
      <c r="U2143" s="16" t="n">
        <v>217</v>
      </c>
      <c r="AC2143" s="23">
        <f>IF(OR(E2143="",E2143="[PARENT]"),"ADD",IF(E2143="[ALT_VIEW]","ALT",""))</f>
        <v/>
      </c>
      <c r="AD2143" s="21">
        <f>IF(Y2143&lt;&gt;"",Y2143,IF(U2143&lt;&gt;"",U2143,S2143))</f>
        <v/>
      </c>
      <c r="AE2143" s="21">
        <f>IF(AB2143&lt;&gt;"",AB2143,Z2143)</f>
        <v/>
      </c>
      <c r="AF2143" s="13" t="inlineStr">
        <is>
          <t>BA1 &gt; 1B4B &gt; Table VI Deferred Maintenance &gt; SWE</t>
        </is>
      </c>
      <c r="AG2143" s="7" t="inlineStr">
        <is>
          <t>174</t>
        </is>
      </c>
      <c r="AH2143" s="7" t="inlineStr">
        <is>
          <t>1B4B</t>
        </is>
      </c>
    </row>
    <row r="2144" ht="10" customHeight="1">
      <c r="A2144" s="7" t="inlineStr">
        <is>
          <t>OMN</t>
        </is>
      </c>
      <c r="B2144" s="7" t="inlineStr">
        <is>
          <t>O&amp;M</t>
        </is>
      </c>
      <c r="C2144" s="7" t="inlineStr">
        <is>
          <t>DDG 110</t>
        </is>
      </c>
      <c r="D2144" s="7" t="inlineStr">
        <is>
          <t>USS WILLIAM P LAWRENCE</t>
        </is>
      </c>
      <c r="E2144" s="13" t="inlineStr">
        <is>
          <t>[UNFUNDED]</t>
        </is>
      </c>
      <c r="I2144" s="14" t="n">
        <v>2</v>
      </c>
      <c r="K2144" s="13" t="inlineStr">
        <is>
          <t>USN</t>
        </is>
      </c>
      <c r="L2144" s="7" t="inlineStr">
        <is>
          <t>Combatant Ships</t>
        </is>
      </c>
      <c r="M2144" s="7" t="inlineStr">
        <is>
          <t>Surface Combatants</t>
        </is>
      </c>
      <c r="N2144" s="7" t="inlineStr">
        <is>
          <t>DDG</t>
        </is>
      </c>
      <c r="O2144" s="15" t="n"/>
      <c r="S2144" s="16" t="n">
        <v>189</v>
      </c>
      <c r="U2144" s="16" t="n">
        <v>189</v>
      </c>
      <c r="AC2144" s="23">
        <f>IF(OR(E2144="",E2144="[PARENT]"),"ADD",IF(E2144="[ALT_VIEW]","ALT",""))</f>
        <v/>
      </c>
      <c r="AD2144" s="21">
        <f>IF(Y2144&lt;&gt;"",Y2144,IF(U2144&lt;&gt;"",U2144,S2144))</f>
        <v/>
      </c>
      <c r="AE2144" s="21">
        <f>IF(AB2144&lt;&gt;"",AB2144,Z2144)</f>
        <v/>
      </c>
      <c r="AF2144" s="13" t="inlineStr">
        <is>
          <t>BA1 &gt; 1B4B &gt; Table VI Deferred Maintenance &gt; SWE</t>
        </is>
      </c>
      <c r="AG2144" s="7" t="inlineStr">
        <is>
          <t>174</t>
        </is>
      </c>
      <c r="AH2144" s="7" t="inlineStr">
        <is>
          <t>1B4B</t>
        </is>
      </c>
    </row>
    <row r="2145" ht="10" customHeight="1">
      <c r="A2145" s="7" t="inlineStr">
        <is>
          <t>OMN</t>
        </is>
      </c>
      <c r="B2145" s="7" t="inlineStr">
        <is>
          <t>O&amp;M</t>
        </is>
      </c>
      <c r="C2145" s="7" t="inlineStr">
        <is>
          <t>DDG 105</t>
        </is>
      </c>
      <c r="D2145" s="7" t="inlineStr">
        <is>
          <t>USS DEWEY</t>
        </is>
      </c>
      <c r="E2145" s="13" t="inlineStr">
        <is>
          <t>[UNFUNDED]</t>
        </is>
      </c>
      <c r="I2145" s="14" t="n">
        <v>2</v>
      </c>
      <c r="K2145" s="13" t="inlineStr">
        <is>
          <t>USN</t>
        </is>
      </c>
      <c r="L2145" s="7" t="inlineStr">
        <is>
          <t>Combatant Ships</t>
        </is>
      </c>
      <c r="M2145" s="7" t="inlineStr">
        <is>
          <t>Surface Combatants</t>
        </is>
      </c>
      <c r="N2145" s="7" t="inlineStr">
        <is>
          <t>DDG</t>
        </is>
      </c>
      <c r="O2145" s="15" t="n"/>
      <c r="S2145" s="16" t="n">
        <v>96</v>
      </c>
      <c r="U2145" s="16" t="n">
        <v>96</v>
      </c>
      <c r="AC2145" s="23">
        <f>IF(OR(E2145="",E2145="[PARENT]"),"ADD",IF(E2145="[ALT_VIEW]","ALT",""))</f>
        <v/>
      </c>
      <c r="AD2145" s="21">
        <f>IF(Y2145&lt;&gt;"",Y2145,IF(U2145&lt;&gt;"",U2145,S2145))</f>
        <v/>
      </c>
      <c r="AE2145" s="21">
        <f>IF(AB2145&lt;&gt;"",AB2145,Z2145)</f>
        <v/>
      </c>
      <c r="AF2145" s="13" t="inlineStr">
        <is>
          <t>BA1 &gt; 1B4B &gt; Table VI Deferred Maintenance &gt; SWE</t>
        </is>
      </c>
      <c r="AG2145" s="7" t="inlineStr">
        <is>
          <t>162</t>
        </is>
      </c>
      <c r="AH2145" s="7" t="inlineStr">
        <is>
          <t>1B4B</t>
        </is>
      </c>
    </row>
    <row r="2146" ht="10" customHeight="1">
      <c r="A2146" s="7" t="inlineStr">
        <is>
          <t>OMN</t>
        </is>
      </c>
      <c r="B2146" s="7" t="inlineStr">
        <is>
          <t>O&amp;M</t>
        </is>
      </c>
      <c r="C2146" s="7" t="inlineStr">
        <is>
          <t>DDG 081</t>
        </is>
      </c>
      <c r="D2146" s="7" t="inlineStr">
        <is>
          <t>USS WINSTON S CHURCHILL</t>
        </is>
      </c>
      <c r="E2146" s="13" t="inlineStr">
        <is>
          <t>[UNFUNDED]</t>
        </is>
      </c>
      <c r="I2146" s="14" t="n">
        <v>2</v>
      </c>
      <c r="K2146" s="13" t="inlineStr">
        <is>
          <t>USN</t>
        </is>
      </c>
      <c r="L2146" s="7" t="inlineStr">
        <is>
          <t>Combatant Ships</t>
        </is>
      </c>
      <c r="M2146" s="7" t="inlineStr">
        <is>
          <t>Surface Combatants</t>
        </is>
      </c>
      <c r="N2146" s="7" t="inlineStr">
        <is>
          <t>DDG</t>
        </is>
      </c>
      <c r="O2146" s="15" t="n"/>
      <c r="S2146" s="16" t="n">
        <v>84</v>
      </c>
      <c r="U2146" s="16" t="n">
        <v>84</v>
      </c>
      <c r="AC2146" s="23">
        <f>IF(OR(E2146="",E2146="[PARENT]"),"ADD",IF(E2146="[ALT_VIEW]","ALT",""))</f>
        <v/>
      </c>
      <c r="AD2146" s="21">
        <f>IF(Y2146&lt;&gt;"",Y2146,IF(U2146&lt;&gt;"",U2146,S2146))</f>
        <v/>
      </c>
      <c r="AE2146" s="21">
        <f>IF(AB2146&lt;&gt;"",AB2146,Z2146)</f>
        <v/>
      </c>
      <c r="AF2146" s="13" t="inlineStr">
        <is>
          <t>BA1 &gt; 1B4B &gt; Table VI Deferred Maintenance &gt; SWE</t>
        </is>
      </c>
      <c r="AG2146" s="7" t="inlineStr">
        <is>
          <t>164</t>
        </is>
      </c>
      <c r="AH2146" s="7" t="inlineStr">
        <is>
          <t>1B4B</t>
        </is>
      </c>
    </row>
    <row r="2147" ht="10" customHeight="1">
      <c r="A2147" s="7" t="inlineStr">
        <is>
          <t>OMN</t>
        </is>
      </c>
      <c r="B2147" s="7" t="inlineStr">
        <is>
          <t>O&amp;M</t>
        </is>
      </c>
      <c r="C2147" s="7" t="inlineStr">
        <is>
          <t>DDG 077</t>
        </is>
      </c>
      <c r="D2147" s="7" t="inlineStr">
        <is>
          <t>USS O'KANE</t>
        </is>
      </c>
      <c r="E2147" s="13" t="inlineStr">
        <is>
          <t>[UNFUNDED]</t>
        </is>
      </c>
      <c r="I2147" s="14" t="n">
        <v>2</v>
      </c>
      <c r="K2147" s="13" t="inlineStr">
        <is>
          <t>USN</t>
        </is>
      </c>
      <c r="L2147" s="7" t="inlineStr">
        <is>
          <t>Combatant Ships</t>
        </is>
      </c>
      <c r="M2147" s="7" t="inlineStr">
        <is>
          <t>Surface Combatants</t>
        </is>
      </c>
      <c r="N2147" s="7" t="inlineStr">
        <is>
          <t>DDG</t>
        </is>
      </c>
      <c r="O2147" s="15" t="n"/>
      <c r="S2147" s="16" t="n">
        <v>65</v>
      </c>
      <c r="U2147" s="16" t="n">
        <v>65</v>
      </c>
      <c r="AC2147" s="23">
        <f>IF(OR(E2147="",E2147="[PARENT]"),"ADD",IF(E2147="[ALT_VIEW]","ALT",""))</f>
        <v/>
      </c>
      <c r="AD2147" s="21">
        <f>IF(Y2147&lt;&gt;"",Y2147,IF(U2147&lt;&gt;"",U2147,S2147))</f>
        <v/>
      </c>
      <c r="AE2147" s="21">
        <f>IF(AB2147&lt;&gt;"",AB2147,Z2147)</f>
        <v/>
      </c>
      <c r="AF2147" s="13" t="inlineStr">
        <is>
          <t>BA1 &gt; 1B4B &gt; Table VI Deferred Maintenance &gt; SWE</t>
        </is>
      </c>
      <c r="AG2147" s="7" t="inlineStr">
        <is>
          <t>162</t>
        </is>
      </c>
      <c r="AH2147" s="7" t="inlineStr">
        <is>
          <t>1B4B</t>
        </is>
      </c>
    </row>
    <row r="2148" ht="10" customHeight="1">
      <c r="A2148" s="7" t="inlineStr">
        <is>
          <t>OMN</t>
        </is>
      </c>
      <c r="B2148" s="7" t="inlineStr">
        <is>
          <t>O&amp;M</t>
        </is>
      </c>
      <c r="C2148" s="7" t="inlineStr">
        <is>
          <t>DDG 112</t>
        </is>
      </c>
      <c r="D2148" s="7" t="inlineStr">
        <is>
          <t>USS MICHAEL MURPHY</t>
        </is>
      </c>
      <c r="E2148" s="13" t="inlineStr">
        <is>
          <t>[UNFUNDED]</t>
        </is>
      </c>
      <c r="I2148" s="14" t="n">
        <v>2</v>
      </c>
      <c r="K2148" s="13" t="inlineStr">
        <is>
          <t>USN</t>
        </is>
      </c>
      <c r="L2148" s="7" t="inlineStr">
        <is>
          <t>Combatant Ships</t>
        </is>
      </c>
      <c r="M2148" s="7" t="inlineStr">
        <is>
          <t>Surface Combatants</t>
        </is>
      </c>
      <c r="N2148" s="7" t="inlineStr">
        <is>
          <t>DDG</t>
        </is>
      </c>
      <c r="O2148" s="15" t="n"/>
      <c r="S2148" s="16" t="n">
        <v>65</v>
      </c>
      <c r="U2148" s="16" t="n">
        <v>65</v>
      </c>
      <c r="AC2148" s="23">
        <f>IF(OR(E2148="",E2148="[PARENT]"),"ADD",IF(E2148="[ALT_VIEW]","ALT",""))</f>
        <v/>
      </c>
      <c r="AD2148" s="21">
        <f>IF(Y2148&lt;&gt;"",Y2148,IF(U2148&lt;&gt;"",U2148,S2148))</f>
        <v/>
      </c>
      <c r="AE2148" s="21">
        <f>IF(AB2148&lt;&gt;"",AB2148,Z2148)</f>
        <v/>
      </c>
      <c r="AF2148" s="13" t="inlineStr">
        <is>
          <t>BA1 &gt; 1B4B &gt; Table VI Deferred Maintenance &gt; SWE</t>
        </is>
      </c>
      <c r="AG2148" s="7" t="inlineStr">
        <is>
          <t>30</t>
        </is>
      </c>
      <c r="AH2148" s="7" t="inlineStr">
        <is>
          <t>1B4B</t>
        </is>
      </c>
    </row>
    <row r="2149" ht="10" customHeight="1">
      <c r="A2149" s="7" t="inlineStr">
        <is>
          <t>OMN</t>
        </is>
      </c>
      <c r="B2149" s="7" t="inlineStr">
        <is>
          <t>O&amp;M</t>
        </is>
      </c>
      <c r="C2149" s="7" t="inlineStr">
        <is>
          <t>DDG 091</t>
        </is>
      </c>
      <c r="D2149" s="7" t="inlineStr">
        <is>
          <t>USS PINCKNEY</t>
        </is>
      </c>
      <c r="E2149" s="13" t="inlineStr">
        <is>
          <t>[UNFUNDED]</t>
        </is>
      </c>
      <c r="I2149" s="14" t="n">
        <v>2</v>
      </c>
      <c r="K2149" s="13" t="inlineStr">
        <is>
          <t>USN</t>
        </is>
      </c>
      <c r="L2149" s="7" t="inlineStr">
        <is>
          <t>Combatant Ships</t>
        </is>
      </c>
      <c r="M2149" s="7" t="inlineStr">
        <is>
          <t>Surface Combatants</t>
        </is>
      </c>
      <c r="N2149" s="7" t="inlineStr">
        <is>
          <t>DDG</t>
        </is>
      </c>
      <c r="O2149" s="15" t="n"/>
      <c r="S2149" s="16" t="n">
        <v>61</v>
      </c>
      <c r="U2149" s="16" t="n">
        <v>61</v>
      </c>
      <c r="AC2149" s="23">
        <f>IF(OR(E2149="",E2149="[PARENT]"),"ADD",IF(E2149="[ALT_VIEW]","ALT",""))</f>
        <v/>
      </c>
      <c r="AD2149" s="21">
        <f>IF(Y2149&lt;&gt;"",Y2149,IF(U2149&lt;&gt;"",U2149,S2149))</f>
        <v/>
      </c>
      <c r="AE2149" s="21">
        <f>IF(AB2149&lt;&gt;"",AB2149,Z2149)</f>
        <v/>
      </c>
      <c r="AF2149" s="13" t="inlineStr">
        <is>
          <t>BA1 &gt; 1B4B &gt; Table VI Deferred Maintenance &gt; SWE</t>
        </is>
      </c>
      <c r="AG2149" s="7" t="inlineStr">
        <is>
          <t>155</t>
        </is>
      </c>
      <c r="AH2149" s="7" t="inlineStr">
        <is>
          <t>1B4B</t>
        </is>
      </c>
    </row>
    <row r="2150" ht="10" customHeight="1">
      <c r="A2150" s="7" t="inlineStr">
        <is>
          <t>OMN</t>
        </is>
      </c>
      <c r="B2150" s="7" t="inlineStr">
        <is>
          <t>O&amp;M</t>
        </is>
      </c>
      <c r="C2150" s="7" t="inlineStr">
        <is>
          <t>DDG 054</t>
        </is>
      </c>
      <c r="D2150" s="7" t="inlineStr">
        <is>
          <t>USS CURTIS WILBUR</t>
        </is>
      </c>
      <c r="E2150" s="13" t="inlineStr">
        <is>
          <t>[UNFUNDED]</t>
        </is>
      </c>
      <c r="I2150" s="14" t="n">
        <v>2</v>
      </c>
      <c r="K2150" s="13" t="inlineStr">
        <is>
          <t>USN</t>
        </is>
      </c>
      <c r="L2150" s="7" t="inlineStr">
        <is>
          <t>Combatant Ships</t>
        </is>
      </c>
      <c r="M2150" s="7" t="inlineStr">
        <is>
          <t>Surface Combatants</t>
        </is>
      </c>
      <c r="N2150" s="7" t="inlineStr">
        <is>
          <t>DDG</t>
        </is>
      </c>
      <c r="O2150" s="15" t="n"/>
      <c r="S2150" s="16" t="n">
        <v>34</v>
      </c>
      <c r="U2150" s="16" t="n">
        <v>34</v>
      </c>
      <c r="AC2150" s="23">
        <f>IF(OR(E2150="",E2150="[PARENT]"),"ADD",IF(E2150="[ALT_VIEW]","ALT",""))</f>
        <v/>
      </c>
      <c r="AD2150" s="21">
        <f>IF(Y2150&lt;&gt;"",Y2150,IF(U2150&lt;&gt;"",U2150,S2150))</f>
        <v/>
      </c>
      <c r="AE2150" s="21">
        <f>IF(AB2150&lt;&gt;"",AB2150,Z2150)</f>
        <v/>
      </c>
      <c r="AF2150" s="13" t="inlineStr">
        <is>
          <t>BA1 &gt; 1B4B &gt; Table VI Deferred Maintenance &gt; SWE</t>
        </is>
      </c>
      <c r="AG2150" s="7" t="inlineStr">
        <is>
          <t>30</t>
        </is>
      </c>
      <c r="AH2150" s="7" t="inlineStr">
        <is>
          <t>1B4B</t>
        </is>
      </c>
    </row>
    <row r="2151" ht="10" customHeight="1">
      <c r="A2151" s="7" t="inlineStr">
        <is>
          <t>OMN</t>
        </is>
      </c>
      <c r="B2151" s="7" t="inlineStr">
        <is>
          <t>O&amp;M</t>
        </is>
      </c>
      <c r="D2151" s="7" t="inlineStr">
        <is>
          <t>Total SWE Deferred Maintenance</t>
        </is>
      </c>
      <c r="E2151" s="13" t="inlineStr">
        <is>
          <t>[UNFUNDED]</t>
        </is>
      </c>
      <c r="I2151" s="14" t="n">
        <v>2</v>
      </c>
      <c r="K2151" s="15" t="n"/>
      <c r="O2151" s="15" t="n"/>
      <c r="S2151" s="16" t="n">
        <v>127596</v>
      </c>
      <c r="U2151" s="16" t="n">
        <v>127596</v>
      </c>
      <c r="AC2151" s="23">
        <f>IF(OR(E2151="",E2151="[PARENT]"),"ADD",IF(E2151="[ALT_VIEW]","ALT",""))</f>
        <v/>
      </c>
      <c r="AD2151" s="21">
        <f>IF(Y2151&lt;&gt;"",Y2151,IF(U2151&lt;&gt;"",U2151,S2151))</f>
        <v/>
      </c>
      <c r="AE2151" s="21">
        <f>IF(AB2151&lt;&gt;"",AB2151,Z2151)</f>
        <v/>
      </c>
      <c r="AF2151" s="13" t="inlineStr">
        <is>
          <t>BA1 &gt; 1B4B &gt; Table VI Deferred Maintenance &gt; SWE</t>
        </is>
      </c>
      <c r="AG2151" s="7" t="inlineStr">
        <is>
          <t>174</t>
        </is>
      </c>
      <c r="AH2151" s="7" t="inlineStr">
        <is>
          <t>1B4B</t>
        </is>
      </c>
    </row>
    <row r="2152" ht="10" customHeight="1">
      <c r="A2152" s="7" t="inlineStr">
        <is>
          <t>OMN</t>
        </is>
      </c>
      <c r="B2152" s="7" t="inlineStr">
        <is>
          <t>O&amp;M</t>
        </is>
      </c>
      <c r="C2152" s="7" t="inlineStr">
        <is>
          <t>CVN 069</t>
        </is>
      </c>
      <c r="D2152" s="7" t="inlineStr">
        <is>
          <t>USS DWIGHT D. EISENHOWER</t>
        </is>
      </c>
      <c r="E2152" s="13" t="inlineStr">
        <is>
          <t>[UNFUNDED]</t>
        </is>
      </c>
      <c r="I2152" s="14" t="n">
        <v>2</v>
      </c>
      <c r="K2152" s="13" t="inlineStr">
        <is>
          <t>USN</t>
        </is>
      </c>
      <c r="L2152" s="7" t="inlineStr">
        <is>
          <t>Combatant Ships</t>
        </is>
      </c>
      <c r="M2152" s="7" t="inlineStr">
        <is>
          <t>Aircraft Carriers</t>
        </is>
      </c>
      <c r="N2152" s="7" t="inlineStr">
        <is>
          <t>CVN</t>
        </is>
      </c>
      <c r="O2152" s="15" t="n"/>
      <c r="S2152" s="16" t="n">
        <v>1746</v>
      </c>
      <c r="U2152" s="16" t="n">
        <v>1746</v>
      </c>
      <c r="AC2152" s="23">
        <f>IF(OR(E2152="",E2152="[PARENT]"),"ADD",IF(E2152="[ALT_VIEW]","ALT",""))</f>
        <v/>
      </c>
      <c r="AD2152" s="21">
        <f>IF(Y2152&lt;&gt;"",Y2152,IF(U2152&lt;&gt;"",U2152,S2152))</f>
        <v/>
      </c>
      <c r="AE2152" s="21">
        <f>IF(AB2152&lt;&gt;"",AB2152,Z2152)</f>
        <v/>
      </c>
      <c r="AF2152" s="13" t="inlineStr">
        <is>
          <t>BA1 &gt; 1B4B &gt; Table VI Deferred Maintenance &gt; NAE</t>
        </is>
      </c>
      <c r="AG2152" s="7" t="inlineStr">
        <is>
          <t>174</t>
        </is>
      </c>
      <c r="AH2152" s="7" t="inlineStr">
        <is>
          <t>1B4B</t>
        </is>
      </c>
    </row>
    <row r="2153" ht="10" customHeight="1">
      <c r="A2153" s="7" t="inlineStr">
        <is>
          <t>OMN</t>
        </is>
      </c>
      <c r="B2153" s="7" t="inlineStr">
        <is>
          <t>O&amp;M</t>
        </is>
      </c>
      <c r="C2153" s="7" t="inlineStr">
        <is>
          <t>CVN 070</t>
        </is>
      </c>
      <c r="D2153" s="7" t="inlineStr">
        <is>
          <t>USS CARL VINSON</t>
        </is>
      </c>
      <c r="E2153" s="13" t="inlineStr">
        <is>
          <t>[UNFUNDED]</t>
        </is>
      </c>
      <c r="I2153" s="14" t="n">
        <v>2</v>
      </c>
      <c r="K2153" s="13" t="inlineStr">
        <is>
          <t>USN</t>
        </is>
      </c>
      <c r="L2153" s="7" t="inlineStr">
        <is>
          <t>Combatant Ships</t>
        </is>
      </c>
      <c r="M2153" s="7" t="inlineStr">
        <is>
          <t>Aircraft Carriers</t>
        </is>
      </c>
      <c r="N2153" s="7" t="inlineStr">
        <is>
          <t>CVN</t>
        </is>
      </c>
      <c r="O2153" s="15" t="n"/>
      <c r="S2153" s="16" t="n">
        <v>1956</v>
      </c>
      <c r="U2153" s="16" t="n">
        <v>1956</v>
      </c>
      <c r="AC2153" s="23">
        <f>IF(OR(E2153="",E2153="[PARENT]"),"ADD",IF(E2153="[ALT_VIEW]","ALT",""))</f>
        <v/>
      </c>
      <c r="AD2153" s="21">
        <f>IF(Y2153&lt;&gt;"",Y2153,IF(U2153&lt;&gt;"",U2153,S2153))</f>
        <v/>
      </c>
      <c r="AE2153" s="21">
        <f>IF(AB2153&lt;&gt;"",AB2153,Z2153)</f>
        <v/>
      </c>
      <c r="AF2153" s="13" t="inlineStr">
        <is>
          <t>BA1 &gt; 1B4B &gt; Table VI Deferred Maintenance &gt; NAE</t>
        </is>
      </c>
      <c r="AG2153" s="7" t="inlineStr">
        <is>
          <t>174</t>
        </is>
      </c>
      <c r="AH2153" s="7" t="inlineStr">
        <is>
          <t>1B4B</t>
        </is>
      </c>
    </row>
    <row r="2154" ht="10" customHeight="1">
      <c r="A2154" s="7" t="inlineStr">
        <is>
          <t>OMN</t>
        </is>
      </c>
      <c r="B2154" s="7" t="inlineStr">
        <is>
          <t>O&amp;M</t>
        </is>
      </c>
      <c r="C2154" s="7" t="inlineStr">
        <is>
          <t>CVN 076</t>
        </is>
      </c>
      <c r="D2154" s="7" t="inlineStr">
        <is>
          <t>USS RONALD REAGAN</t>
        </is>
      </c>
      <c r="E2154" s="13" t="inlineStr">
        <is>
          <t>[UNFUNDED]</t>
        </is>
      </c>
      <c r="I2154" s="14" t="n">
        <v>2</v>
      </c>
      <c r="K2154" s="13" t="inlineStr">
        <is>
          <t>USN</t>
        </is>
      </c>
      <c r="L2154" s="7" t="inlineStr">
        <is>
          <t>Combatant Ships</t>
        </is>
      </c>
      <c r="M2154" s="7" t="inlineStr">
        <is>
          <t>Aircraft Carriers</t>
        </is>
      </c>
      <c r="N2154" s="7" t="inlineStr">
        <is>
          <t>CVN</t>
        </is>
      </c>
      <c r="O2154" s="15" t="n"/>
      <c r="S2154" s="16" t="n">
        <v>2252</v>
      </c>
      <c r="U2154" s="16" t="n">
        <v>2252</v>
      </c>
      <c r="AC2154" s="23">
        <f>IF(OR(E2154="",E2154="[PARENT]"),"ADD",IF(E2154="[ALT_VIEW]","ALT",""))</f>
        <v/>
      </c>
      <c r="AD2154" s="21">
        <f>IF(Y2154&lt;&gt;"",Y2154,IF(U2154&lt;&gt;"",U2154,S2154))</f>
        <v/>
      </c>
      <c r="AE2154" s="21">
        <f>IF(AB2154&lt;&gt;"",AB2154,Z2154)</f>
        <v/>
      </c>
      <c r="AF2154" s="13" t="inlineStr">
        <is>
          <t>BA1 &gt; 1B4B &gt; Table VI Deferred Maintenance &gt; NAE</t>
        </is>
      </c>
      <c r="AG2154" s="7" t="inlineStr">
        <is>
          <t>174</t>
        </is>
      </c>
      <c r="AH2154" s="7" t="inlineStr">
        <is>
          <t>1B4B</t>
        </is>
      </c>
    </row>
    <row r="2155" ht="10" customHeight="1">
      <c r="A2155" s="7" t="inlineStr">
        <is>
          <t>OMN</t>
        </is>
      </c>
      <c r="B2155" s="7" t="inlineStr">
        <is>
          <t>O&amp;M</t>
        </is>
      </c>
      <c r="C2155" s="7" t="inlineStr">
        <is>
          <t>CVN 072</t>
        </is>
      </c>
      <c r="D2155" s="7" t="inlineStr">
        <is>
          <t>USS ABRAHAM LINCOLN</t>
        </is>
      </c>
      <c r="E2155" s="13" t="inlineStr">
        <is>
          <t>[UNFUNDED]</t>
        </is>
      </c>
      <c r="I2155" s="14" t="n">
        <v>2</v>
      </c>
      <c r="K2155" s="13" t="inlineStr">
        <is>
          <t>USN</t>
        </is>
      </c>
      <c r="L2155" s="7" t="inlineStr">
        <is>
          <t>Combatant Ships</t>
        </is>
      </c>
      <c r="M2155" s="7" t="inlineStr">
        <is>
          <t>Aircraft Carriers</t>
        </is>
      </c>
      <c r="N2155" s="7" t="inlineStr">
        <is>
          <t>CVN</t>
        </is>
      </c>
      <c r="O2155" s="15" t="n"/>
      <c r="S2155" s="16" t="n">
        <v>2414</v>
      </c>
      <c r="U2155" s="16" t="n">
        <v>2414</v>
      </c>
      <c r="AC2155" s="23">
        <f>IF(OR(E2155="",E2155="[PARENT]"),"ADD",IF(E2155="[ALT_VIEW]","ALT",""))</f>
        <v/>
      </c>
      <c r="AD2155" s="21">
        <f>IF(Y2155&lt;&gt;"",Y2155,IF(U2155&lt;&gt;"",U2155,S2155))</f>
        <v/>
      </c>
      <c r="AE2155" s="21">
        <f>IF(AB2155&lt;&gt;"",AB2155,Z2155)</f>
        <v/>
      </c>
      <c r="AF2155" s="13" t="inlineStr">
        <is>
          <t>BA1 &gt; 1B4B &gt; Table VI Deferred Maintenance &gt; NAE</t>
        </is>
      </c>
      <c r="AG2155" s="7" t="inlineStr">
        <is>
          <t>174</t>
        </is>
      </c>
      <c r="AH2155" s="7" t="inlineStr">
        <is>
          <t>1B4B</t>
        </is>
      </c>
    </row>
    <row r="2156" ht="10" customHeight="1">
      <c r="A2156" s="7" t="inlineStr">
        <is>
          <t>OMN</t>
        </is>
      </c>
      <c r="B2156" s="7" t="inlineStr">
        <is>
          <t>O&amp;M</t>
        </is>
      </c>
      <c r="C2156" s="7" t="inlineStr">
        <is>
          <t>CVN 078</t>
        </is>
      </c>
      <c r="D2156" s="7" t="inlineStr">
        <is>
          <t>USS GERALD R. FORD</t>
        </is>
      </c>
      <c r="E2156" s="13" t="inlineStr">
        <is>
          <t>[UNFUNDED]</t>
        </is>
      </c>
      <c r="I2156" s="14" t="n">
        <v>2</v>
      </c>
      <c r="K2156" s="13" t="inlineStr">
        <is>
          <t>USN</t>
        </is>
      </c>
      <c r="L2156" s="7" t="inlineStr">
        <is>
          <t>Combatant Ships</t>
        </is>
      </c>
      <c r="M2156" s="7" t="inlineStr">
        <is>
          <t>Aircraft Carriers</t>
        </is>
      </c>
      <c r="N2156" s="7" t="inlineStr">
        <is>
          <t>CVN</t>
        </is>
      </c>
      <c r="O2156" s="15" t="n"/>
      <c r="S2156" s="16" t="n">
        <v>6810</v>
      </c>
      <c r="U2156" s="16" t="n">
        <v>6810</v>
      </c>
      <c r="AC2156" s="23">
        <f>IF(OR(E2156="",E2156="[PARENT]"),"ADD",IF(E2156="[ALT_VIEW]","ALT",""))</f>
        <v/>
      </c>
      <c r="AD2156" s="21">
        <f>IF(Y2156&lt;&gt;"",Y2156,IF(U2156&lt;&gt;"",U2156,S2156))</f>
        <v/>
      </c>
      <c r="AE2156" s="21">
        <f>IF(AB2156&lt;&gt;"",AB2156,Z2156)</f>
        <v/>
      </c>
      <c r="AF2156" s="13" t="inlineStr">
        <is>
          <t>BA1 &gt; 1B4B &gt; Table VI Deferred Maintenance &gt; NAE</t>
        </is>
      </c>
      <c r="AG2156" s="7" t="inlineStr">
        <is>
          <t>174</t>
        </is>
      </c>
      <c r="AH2156" s="7" t="inlineStr">
        <is>
          <t>1B4B</t>
        </is>
      </c>
    </row>
    <row r="2157" ht="10" customHeight="1">
      <c r="A2157" s="7" t="inlineStr">
        <is>
          <t>OMN</t>
        </is>
      </c>
      <c r="B2157" s="7" t="inlineStr">
        <is>
          <t>O&amp;M</t>
        </is>
      </c>
      <c r="D2157" s="7" t="inlineStr">
        <is>
          <t>Total NAE Deferred Maintenance</t>
        </is>
      </c>
      <c r="E2157" s="13" t="inlineStr">
        <is>
          <t>[UNFUNDED]</t>
        </is>
      </c>
      <c r="I2157" s="14" t="n">
        <v>2</v>
      </c>
      <c r="K2157" s="15" t="n"/>
      <c r="O2157" s="15" t="n"/>
      <c r="S2157" s="16" t="n">
        <v>15178</v>
      </c>
      <c r="U2157" s="16" t="n">
        <v>15178</v>
      </c>
      <c r="AC2157" s="23">
        <f>IF(OR(E2157="",E2157="[PARENT]"),"ADD",IF(E2157="[ALT_VIEW]","ALT",""))</f>
        <v/>
      </c>
      <c r="AD2157" s="21">
        <f>IF(Y2157&lt;&gt;"",Y2157,IF(U2157&lt;&gt;"",U2157,S2157))</f>
        <v/>
      </c>
      <c r="AE2157" s="21">
        <f>IF(AB2157&lt;&gt;"",AB2157,Z2157)</f>
        <v/>
      </c>
      <c r="AF2157" s="13" t="inlineStr">
        <is>
          <t>BA1 &gt; 1B4B &gt; Table VI Deferred Maintenance &gt; NAE</t>
        </is>
      </c>
      <c r="AG2157" s="7" t="inlineStr">
        <is>
          <t>174</t>
        </is>
      </c>
      <c r="AH2157" s="7" t="inlineStr">
        <is>
          <t>1B4B</t>
        </is>
      </c>
    </row>
    <row r="2158" ht="10" customHeight="1">
      <c r="A2158" s="7" t="inlineStr">
        <is>
          <t>OMN</t>
        </is>
      </c>
      <c r="B2158" s="7" t="inlineStr">
        <is>
          <t>O&amp;M</t>
        </is>
      </c>
      <c r="D2158" s="7" t="inlineStr">
        <is>
          <t>Ship Depot Operations Support</t>
        </is>
      </c>
      <c r="E2158" s="13" t="inlineStr">
        <is>
          <t>[PARENT]</t>
        </is>
      </c>
      <c r="I2158" s="14" t="n">
        <v>6</v>
      </c>
      <c r="K2158" s="15" t="n"/>
      <c r="O2158" s="15" t="n"/>
      <c r="P2158" s="16" t="n">
        <v>2714238</v>
      </c>
      <c r="Q2158" s="16" t="n">
        <v>2671812</v>
      </c>
      <c r="S2158" s="16" t="n">
        <v>2760878</v>
      </c>
      <c r="U2158" s="16" t="n">
        <v>2760878</v>
      </c>
      <c r="AC2158" s="23">
        <f>IF(OR(E2158="",E2158="[PARENT]"),"ADD",IF(E2158="[ALT_VIEW]","ALT",""))</f>
        <v/>
      </c>
      <c r="AD2158" s="21">
        <f>IF(Y2158&lt;&gt;"",Y2158,IF(U2158&lt;&gt;"",U2158,S2158))</f>
        <v/>
      </c>
      <c r="AE2158" s="21">
        <f>IF(AB2158&lt;&gt;"",AB2158,Z2158)</f>
        <v/>
      </c>
      <c r="AF2158" s="13" t="inlineStr">
        <is>
          <t>BA1 &gt; Ship Operations &gt; 1B5B Ship Depot Operations Support</t>
        </is>
      </c>
      <c r="AG2158" s="7" t="inlineStr">
        <is>
          <t>180</t>
        </is>
      </c>
      <c r="AH2158" s="7" t="inlineStr">
        <is>
          <t>1B5B</t>
        </is>
      </c>
    </row>
    <row r="2159" ht="10" customHeight="1">
      <c r="A2159" s="7" t="inlineStr">
        <is>
          <t>OMN</t>
        </is>
      </c>
      <c r="B2159" s="7" t="inlineStr">
        <is>
          <t>O&amp;M</t>
        </is>
      </c>
      <c r="D2159" s="7" t="inlineStr">
        <is>
          <t>DDG-1000 Maintenance and Support</t>
        </is>
      </c>
      <c r="E2159" s="13" t="inlineStr">
        <is>
          <t>[SUB]</t>
        </is>
      </c>
      <c r="F2159" s="7" t="inlineStr">
        <is>
          <t>Ship Depot Operations Support</t>
        </is>
      </c>
      <c r="I2159" s="14" t="n">
        <v>6</v>
      </c>
      <c r="K2159" s="13" t="inlineStr">
        <is>
          <t>USN</t>
        </is>
      </c>
      <c r="L2159" s="7" t="inlineStr">
        <is>
          <t>Combatant Ships</t>
        </is>
      </c>
      <c r="M2159" s="7" t="inlineStr">
        <is>
          <t>Surface Combatants</t>
        </is>
      </c>
      <c r="N2159" s="7" t="inlineStr">
        <is>
          <t>DDG</t>
        </is>
      </c>
      <c r="O2159" s="15" t="n"/>
      <c r="P2159" s="16" t="n">
        <v>183642</v>
      </c>
      <c r="Q2159" s="16" t="n">
        <v>197600</v>
      </c>
      <c r="S2159" s="16" t="n">
        <v>209225</v>
      </c>
      <c r="U2159" s="16" t="n">
        <v>209225</v>
      </c>
      <c r="AC2159" s="23">
        <f>IF(OR(E2159="",E2159="[PARENT]"),"ADD",IF(E2159="[ALT_VIEW]","ALT",""))</f>
        <v/>
      </c>
      <c r="AD2159" s="21">
        <f>IF(Y2159&lt;&gt;"",Y2159,IF(U2159&lt;&gt;"",U2159,S2159))</f>
        <v/>
      </c>
      <c r="AE2159" s="21">
        <f>IF(AB2159&lt;&gt;"",AB2159,Z2159)</f>
        <v/>
      </c>
      <c r="AF2159" s="13" t="inlineStr">
        <is>
          <t>BA1 &gt; 1B5B &gt; Performance Criteria</t>
        </is>
      </c>
      <c r="AG2159" s="7" t="inlineStr">
        <is>
          <t>186</t>
        </is>
      </c>
      <c r="AH2159" s="7" t="inlineStr">
        <is>
          <t>1B5B</t>
        </is>
      </c>
    </row>
    <row r="2160" ht="10" customHeight="1">
      <c r="A2160" s="7" t="inlineStr">
        <is>
          <t>OMN</t>
        </is>
      </c>
      <c r="B2160" s="7" t="inlineStr">
        <is>
          <t>O&amp;M</t>
        </is>
      </c>
      <c r="D2160" s="7" t="inlineStr">
        <is>
          <t>Mine Countermeasures Ship Support</t>
        </is>
      </c>
      <c r="E2160" s="13" t="inlineStr">
        <is>
          <t>[SUB]</t>
        </is>
      </c>
      <c r="F2160" s="7" t="inlineStr">
        <is>
          <t>Ship Depot Operations Support</t>
        </is>
      </c>
      <c r="I2160" s="14" t="n">
        <v>6</v>
      </c>
      <c r="K2160" s="13" t="inlineStr">
        <is>
          <t>USN</t>
        </is>
      </c>
      <c r="L2160" s="7" t="inlineStr">
        <is>
          <t>Combatant Ships</t>
        </is>
      </c>
      <c r="M2160" s="7" t="inlineStr">
        <is>
          <t>Mine Warfare</t>
        </is>
      </c>
      <c r="N2160" s="7" t="inlineStr">
        <is>
          <t>MCM</t>
        </is>
      </c>
      <c r="O2160" s="15" t="n"/>
      <c r="P2160" s="16" t="n">
        <v>14157</v>
      </c>
      <c r="Q2160" s="16" t="n">
        <v>7186</v>
      </c>
      <c r="S2160" s="16" t="n">
        <v>5573</v>
      </c>
      <c r="U2160" s="16" t="n">
        <v>5573</v>
      </c>
      <c r="AC2160" s="23">
        <f>IF(OR(E2160="",E2160="[PARENT]"),"ADD",IF(E2160="[ALT_VIEW]","ALT",""))</f>
        <v/>
      </c>
      <c r="AD2160" s="21">
        <f>IF(Y2160&lt;&gt;"",Y2160,IF(U2160&lt;&gt;"",U2160,S2160))</f>
        <v/>
      </c>
      <c r="AE2160" s="21">
        <f>IF(AB2160&lt;&gt;"",AB2160,Z2160)</f>
        <v/>
      </c>
      <c r="AF2160" s="13" t="inlineStr">
        <is>
          <t>BA1 &gt; 1B5B &gt; Performance Criteria</t>
        </is>
      </c>
      <c r="AG2160" s="7" t="inlineStr">
        <is>
          <t>186</t>
        </is>
      </c>
      <c r="AH2160" s="7" t="inlineStr">
        <is>
          <t>1B5B</t>
        </is>
      </c>
    </row>
    <row r="2161" ht="10" customHeight="1">
      <c r="A2161" s="7" t="inlineStr">
        <is>
          <t>OMN</t>
        </is>
      </c>
      <c r="B2161" s="7" t="inlineStr">
        <is>
          <t>O&amp;M</t>
        </is>
      </c>
      <c r="D2161" s="7" t="inlineStr">
        <is>
          <t>PRE/PRL CV/CVN Technical Support</t>
        </is>
      </c>
      <c r="E2161" s="13" t="inlineStr">
        <is>
          <t>[SUB]</t>
        </is>
      </c>
      <c r="F2161" s="7" t="inlineStr">
        <is>
          <t>Ship Depot Operations Support</t>
        </is>
      </c>
      <c r="I2161" s="14" t="n">
        <v>6</v>
      </c>
      <c r="K2161" s="13" t="inlineStr">
        <is>
          <t>USN</t>
        </is>
      </c>
      <c r="L2161" s="7" t="inlineStr">
        <is>
          <t>Combatant Ships</t>
        </is>
      </c>
      <c r="M2161" s="7" t="inlineStr">
        <is>
          <t>Aircraft Carriers</t>
        </is>
      </c>
      <c r="N2161" s="7" t="inlineStr">
        <is>
          <t>CVN</t>
        </is>
      </c>
      <c r="O2161" s="15" t="n"/>
      <c r="P2161" s="16" t="n">
        <v>81444</v>
      </c>
      <c r="Q2161" s="16" t="n">
        <v>81505</v>
      </c>
      <c r="S2161" s="16" t="n">
        <v>86561</v>
      </c>
      <c r="U2161" s="16" t="n">
        <v>86561</v>
      </c>
      <c r="AC2161" s="23">
        <f>IF(OR(E2161="",E2161="[PARENT]"),"ADD",IF(E2161="[ALT_VIEW]","ALT",""))</f>
        <v/>
      </c>
      <c r="AD2161" s="21">
        <f>IF(Y2161&lt;&gt;"",Y2161,IF(U2161&lt;&gt;"",U2161,S2161))</f>
        <v/>
      </c>
      <c r="AE2161" s="21">
        <f>IF(AB2161&lt;&gt;"",AB2161,Z2161)</f>
        <v/>
      </c>
      <c r="AF2161" s="13" t="inlineStr">
        <is>
          <t>BA1 &gt; 1B5B &gt; Performance Criteria</t>
        </is>
      </c>
      <c r="AG2161" s="7" t="inlineStr">
        <is>
          <t>186</t>
        </is>
      </c>
      <c r="AH2161" s="7" t="inlineStr">
        <is>
          <t>1B5B</t>
        </is>
      </c>
    </row>
    <row r="2162" ht="10" customHeight="1">
      <c r="A2162" s="7" t="inlineStr">
        <is>
          <t>OMN</t>
        </is>
      </c>
      <c r="B2162" s="7" t="inlineStr">
        <is>
          <t>O&amp;M</t>
        </is>
      </c>
      <c r="D2162" s="7" t="inlineStr">
        <is>
          <t>Service Craft Support, Boats/Targets Rehab</t>
        </is>
      </c>
      <c r="E2162" s="13" t="inlineStr">
        <is>
          <t>[SUB]</t>
        </is>
      </c>
      <c r="F2162" s="7" t="inlineStr">
        <is>
          <t>Ship Depot Operations Support</t>
        </is>
      </c>
      <c r="I2162" s="14" t="n">
        <v>6</v>
      </c>
      <c r="K2162" s="15" t="n"/>
      <c r="O2162" s="15" t="n"/>
      <c r="P2162" s="16" t="n">
        <v>7548</v>
      </c>
      <c r="Q2162" s="16" t="n">
        <v>8364</v>
      </c>
      <c r="S2162" s="16" t="n">
        <v>6842</v>
      </c>
      <c r="U2162" s="16" t="n">
        <v>6842</v>
      </c>
      <c r="AC2162" s="23">
        <f>IF(OR(E2162="",E2162="[PARENT]"),"ADD",IF(E2162="[ALT_VIEW]","ALT",""))</f>
        <v/>
      </c>
      <c r="AD2162" s="21">
        <f>IF(Y2162&lt;&gt;"",Y2162,IF(U2162&lt;&gt;"",U2162,S2162))</f>
        <v/>
      </c>
      <c r="AE2162" s="21">
        <f>IF(AB2162&lt;&gt;"",AB2162,Z2162)</f>
        <v/>
      </c>
      <c r="AF2162" s="13" t="inlineStr">
        <is>
          <t>BA1 &gt; 1B5B &gt; Performance Criteria</t>
        </is>
      </c>
      <c r="AG2162" s="7" t="inlineStr">
        <is>
          <t>186</t>
        </is>
      </c>
      <c r="AH2162" s="7" t="inlineStr">
        <is>
          <t>1B5B</t>
        </is>
      </c>
    </row>
    <row r="2163" ht="10" customHeight="1">
      <c r="A2163" s="7" t="inlineStr">
        <is>
          <t>OMN</t>
        </is>
      </c>
      <c r="B2163" s="7" t="inlineStr">
        <is>
          <t>O&amp;M</t>
        </is>
      </c>
      <c r="D2163" s="7" t="inlineStr">
        <is>
          <t>Surface &amp; Amphibious Ship Support</t>
        </is>
      </c>
      <c r="E2163" s="13" t="inlineStr">
        <is>
          <t>[SUB]</t>
        </is>
      </c>
      <c r="F2163" s="7" t="inlineStr">
        <is>
          <t>Ship Depot Operations Support</t>
        </is>
      </c>
      <c r="I2163" s="14" t="n">
        <v>6</v>
      </c>
      <c r="K2163" s="15" t="n"/>
      <c r="O2163" s="15" t="n"/>
      <c r="P2163" s="16" t="n">
        <v>446317</v>
      </c>
      <c r="Q2163" s="16" t="n">
        <v>463167</v>
      </c>
      <c r="S2163" s="16" t="n">
        <v>451307</v>
      </c>
      <c r="U2163" s="16" t="n">
        <v>451307</v>
      </c>
      <c r="AC2163" s="23">
        <f>IF(OR(E2163="",E2163="[PARENT]"),"ADD",IF(E2163="[ALT_VIEW]","ALT",""))</f>
        <v/>
      </c>
      <c r="AD2163" s="21">
        <f>IF(Y2163&lt;&gt;"",Y2163,IF(U2163&lt;&gt;"",U2163,S2163))</f>
        <v/>
      </c>
      <c r="AE2163" s="21">
        <f>IF(AB2163&lt;&gt;"",AB2163,Z2163)</f>
        <v/>
      </c>
      <c r="AF2163" s="13" t="inlineStr">
        <is>
          <t>BA1 &gt; 1B5B &gt; Performance Criteria</t>
        </is>
      </c>
      <c r="AG2163" s="7" t="inlineStr">
        <is>
          <t>186</t>
        </is>
      </c>
      <c r="AH2163" s="7" t="inlineStr">
        <is>
          <t>1B5B</t>
        </is>
      </c>
    </row>
    <row r="2164" ht="10" customHeight="1">
      <c r="A2164" s="7" t="inlineStr">
        <is>
          <t>OMN</t>
        </is>
      </c>
      <c r="B2164" s="7" t="inlineStr">
        <is>
          <t>O&amp;M</t>
        </is>
      </c>
      <c r="D2164" s="7" t="inlineStr">
        <is>
          <t>Facilities and Supply Support Operations</t>
        </is>
      </c>
      <c r="E2164" s="13" t="inlineStr">
        <is>
          <t>[SUB]</t>
        </is>
      </c>
      <c r="F2164" s="7" t="inlineStr">
        <is>
          <t>Ship Depot Operations Support</t>
        </is>
      </c>
      <c r="I2164" s="14" t="n">
        <v>6</v>
      </c>
      <c r="K2164" s="15" t="n"/>
      <c r="O2164" s="15" t="n"/>
      <c r="P2164" s="16" t="n">
        <v>120535</v>
      </c>
      <c r="Q2164" s="16" t="n">
        <v>87573</v>
      </c>
      <c r="S2164" s="16" t="n">
        <v>81780</v>
      </c>
      <c r="U2164" s="16" t="n">
        <v>81780</v>
      </c>
      <c r="AC2164" s="23">
        <f>IF(OR(E2164="",E2164="[PARENT]"),"ADD",IF(E2164="[ALT_VIEW]","ALT",""))</f>
        <v/>
      </c>
      <c r="AD2164" s="21">
        <f>IF(Y2164&lt;&gt;"",Y2164,IF(U2164&lt;&gt;"",U2164,S2164))</f>
        <v/>
      </c>
      <c r="AE2164" s="21">
        <f>IF(AB2164&lt;&gt;"",AB2164,Z2164)</f>
        <v/>
      </c>
      <c r="AF2164" s="13" t="inlineStr">
        <is>
          <t>BA1 &gt; 1B5B &gt; Performance Criteria</t>
        </is>
      </c>
      <c r="AG2164" s="7" t="inlineStr">
        <is>
          <t>186</t>
        </is>
      </c>
      <c r="AH2164" s="7" t="inlineStr">
        <is>
          <t>1B5B</t>
        </is>
      </c>
    </row>
    <row r="2165" ht="10" customHeight="1">
      <c r="A2165" s="7" t="inlineStr">
        <is>
          <t>OMN</t>
        </is>
      </c>
      <c r="B2165" s="7" t="inlineStr">
        <is>
          <t>O&amp;M</t>
        </is>
      </c>
      <c r="D2165" s="7" t="inlineStr">
        <is>
          <t>Nuclear Propulsion Technical Logistics and Operating Reactor Plant Technology</t>
        </is>
      </c>
      <c r="E2165" s="13" t="inlineStr">
        <is>
          <t>[SUB]</t>
        </is>
      </c>
      <c r="F2165" s="7" t="inlineStr">
        <is>
          <t>Ship Depot Operations Support</t>
        </is>
      </c>
      <c r="I2165" s="14" t="n">
        <v>6</v>
      </c>
      <c r="K2165" s="15" t="n"/>
      <c r="O2165" s="15" t="n"/>
      <c r="P2165" s="16" t="n">
        <v>327227</v>
      </c>
      <c r="Q2165" s="16" t="n">
        <v>340900</v>
      </c>
      <c r="S2165" s="16" t="n">
        <v>355445</v>
      </c>
      <c r="U2165" s="16" t="n">
        <v>355445</v>
      </c>
      <c r="AC2165" s="23">
        <f>IF(OR(E2165="",E2165="[PARENT]"),"ADD",IF(E2165="[ALT_VIEW]","ALT",""))</f>
        <v/>
      </c>
      <c r="AD2165" s="21">
        <f>IF(Y2165&lt;&gt;"",Y2165,IF(U2165&lt;&gt;"",U2165,S2165))</f>
        <v/>
      </c>
      <c r="AE2165" s="21">
        <f>IF(AB2165&lt;&gt;"",AB2165,Z2165)</f>
        <v/>
      </c>
      <c r="AF2165" s="13" t="inlineStr">
        <is>
          <t>BA1 &gt; 1B5B &gt; Performance Criteria</t>
        </is>
      </c>
      <c r="AG2165" s="7" t="inlineStr">
        <is>
          <t>186</t>
        </is>
      </c>
      <c r="AH2165" s="7" t="inlineStr">
        <is>
          <t>1B5B</t>
        </is>
      </c>
    </row>
    <row r="2166" ht="10" customHeight="1">
      <c r="A2166" s="7" t="inlineStr">
        <is>
          <t>OMN</t>
        </is>
      </c>
      <c r="B2166" s="7" t="inlineStr">
        <is>
          <t>O&amp;M</t>
        </is>
      </c>
      <c r="D2166" s="7" t="inlineStr">
        <is>
          <t>Supervisor of Shipbuilding Costs</t>
        </is>
      </c>
      <c r="E2166" s="13" t="inlineStr">
        <is>
          <t>[SUB]</t>
        </is>
      </c>
      <c r="F2166" s="7" t="inlineStr">
        <is>
          <t>Ship Depot Operations Support</t>
        </is>
      </c>
      <c r="I2166" s="14" t="n">
        <v>6</v>
      </c>
      <c r="K2166" s="15" t="n"/>
      <c r="O2166" s="15" t="n"/>
      <c r="P2166" s="16" t="n">
        <v>255302</v>
      </c>
      <c r="Q2166" s="16" t="n">
        <v>269204</v>
      </c>
      <c r="S2166" s="16" t="n">
        <v>251345</v>
      </c>
      <c r="U2166" s="16" t="n">
        <v>251345</v>
      </c>
      <c r="AC2166" s="23">
        <f>IF(OR(E2166="",E2166="[PARENT]"),"ADD",IF(E2166="[ALT_VIEW]","ALT",""))</f>
        <v/>
      </c>
      <c r="AD2166" s="21">
        <f>IF(Y2166&lt;&gt;"",Y2166,IF(U2166&lt;&gt;"",U2166,S2166))</f>
        <v/>
      </c>
      <c r="AE2166" s="21">
        <f>IF(AB2166&lt;&gt;"",AB2166,Z2166)</f>
        <v/>
      </c>
      <c r="AF2166" s="13" t="inlineStr">
        <is>
          <t>BA1 &gt; 1B5B &gt; Performance Criteria</t>
        </is>
      </c>
      <c r="AG2166" s="7" t="inlineStr">
        <is>
          <t>186</t>
        </is>
      </c>
      <c r="AH2166" s="7" t="inlineStr">
        <is>
          <t>1B5B</t>
        </is>
      </c>
    </row>
    <row r="2167" ht="10" customHeight="1">
      <c r="A2167" s="7" t="inlineStr">
        <is>
          <t>OMN</t>
        </is>
      </c>
      <c r="B2167" s="7" t="inlineStr">
        <is>
          <t>O&amp;M</t>
        </is>
      </c>
      <c r="D2167" s="7" t="inlineStr">
        <is>
          <t>Navy Modernization Process (NMP)</t>
        </is>
      </c>
      <c r="E2167" s="13" t="inlineStr">
        <is>
          <t>[PARENT]</t>
        </is>
      </c>
      <c r="I2167" s="14" t="n">
        <v>4</v>
      </c>
      <c r="K2167" s="15" t="n"/>
      <c r="O2167" s="15" t="n"/>
      <c r="P2167" s="16" t="n">
        <v>415261</v>
      </c>
      <c r="Q2167" s="16" t="n">
        <v>277773</v>
      </c>
      <c r="S2167" s="16" t="n">
        <v>410893</v>
      </c>
      <c r="U2167" s="16" t="n">
        <v>410893</v>
      </c>
      <c r="AC2167" s="23">
        <f>IF(OR(E2167="",E2167="[PARENT]"),"ADD",IF(E2167="[ALT_VIEW]","ALT",""))</f>
        <v/>
      </c>
      <c r="AD2167" s="21">
        <f>IF(Y2167&lt;&gt;"",Y2167,IF(U2167&lt;&gt;"",U2167,S2167))</f>
        <v/>
      </c>
      <c r="AE2167" s="21">
        <f>IF(AB2167&lt;&gt;"",AB2167,Z2167)</f>
        <v/>
      </c>
      <c r="AF2167" s="13" t="inlineStr">
        <is>
          <t>BA1 &gt; 1B5B &gt; Performance Criteria &gt; NMP</t>
        </is>
      </c>
      <c r="AG2167" s="7" t="inlineStr">
        <is>
          <t>186</t>
        </is>
      </c>
      <c r="AH2167" s="7" t="inlineStr">
        <is>
          <t>1B5B</t>
        </is>
      </c>
    </row>
    <row r="2168" ht="10" customHeight="1">
      <c r="A2168" s="7" t="inlineStr">
        <is>
          <t>OMN</t>
        </is>
      </c>
      <c r="B2168" s="7" t="inlineStr">
        <is>
          <t>O&amp;M</t>
        </is>
      </c>
      <c r="D2168" s="7" t="inlineStr">
        <is>
          <t>NMP - Navy Data Environment</t>
        </is>
      </c>
      <c r="E2168" s="13" t="inlineStr">
        <is>
          <t>[SUB]</t>
        </is>
      </c>
      <c r="F2168" s="7" t="inlineStr">
        <is>
          <t>Navy Modernization Process (NMP)</t>
        </is>
      </c>
      <c r="I2168" s="14" t="n">
        <v>4</v>
      </c>
      <c r="K2168" s="15" t="n"/>
      <c r="O2168" s="15" t="n"/>
      <c r="P2168" s="16" t="n">
        <v>7958</v>
      </c>
      <c r="Q2168" s="16" t="n">
        <v>8083</v>
      </c>
      <c r="S2168" s="16" t="n">
        <v>6821</v>
      </c>
      <c r="U2168" s="16" t="n">
        <v>6821</v>
      </c>
      <c r="AC2168" s="23">
        <f>IF(OR(E2168="",E2168="[PARENT]"),"ADD",IF(E2168="[ALT_VIEW]","ALT",""))</f>
        <v/>
      </c>
      <c r="AD2168" s="21">
        <f>IF(Y2168&lt;&gt;"",Y2168,IF(U2168&lt;&gt;"",U2168,S2168))</f>
        <v/>
      </c>
      <c r="AE2168" s="21">
        <f>IF(AB2168&lt;&gt;"",AB2168,Z2168)</f>
        <v/>
      </c>
      <c r="AF2168" s="13" t="inlineStr">
        <is>
          <t>BA1 &gt; 1B5B &gt; NMP &gt; Navy Data Environment</t>
        </is>
      </c>
      <c r="AG2168" s="7" t="inlineStr">
        <is>
          <t>186</t>
        </is>
      </c>
      <c r="AH2168" s="7" t="inlineStr">
        <is>
          <t>1B5B</t>
        </is>
      </c>
      <c r="AI2168" s="7" t="inlineStr">
        <is>
          <t>Navy Data Environment</t>
        </is>
      </c>
    </row>
    <row r="2169" ht="10" customHeight="1">
      <c r="A2169" s="7" t="inlineStr">
        <is>
          <t>OMN</t>
        </is>
      </c>
      <c r="B2169" s="7" t="inlineStr">
        <is>
          <t>O&amp;M</t>
        </is>
      </c>
      <c r="D2169" s="7" t="inlineStr">
        <is>
          <t>NMP - Submarines</t>
        </is>
      </c>
      <c r="E2169" s="13" t="inlineStr">
        <is>
          <t>[SUB]</t>
        </is>
      </c>
      <c r="F2169" s="7" t="inlineStr">
        <is>
          <t>Navy Modernization Process (NMP)</t>
        </is>
      </c>
      <c r="I2169" s="14" t="n">
        <v>4</v>
      </c>
      <c r="K2169" s="13" t="inlineStr">
        <is>
          <t>USN</t>
        </is>
      </c>
      <c r="L2169" s="7" t="inlineStr">
        <is>
          <t>Combatant Ships</t>
        </is>
      </c>
      <c r="M2169" s="7" t="inlineStr">
        <is>
          <t>Submarines</t>
        </is>
      </c>
      <c r="N2169" s="7" t="inlineStr">
        <is>
          <t>SSN</t>
        </is>
      </c>
      <c r="O2169" s="15" t="n"/>
      <c r="P2169" s="16" t="n">
        <v>49174</v>
      </c>
      <c r="Q2169" s="16" t="n">
        <v>52893</v>
      </c>
      <c r="S2169" s="16" t="n">
        <v>58269</v>
      </c>
      <c r="U2169" s="16" t="n">
        <v>58269</v>
      </c>
      <c r="AC2169" s="23">
        <f>IF(OR(E2169="",E2169="[PARENT]"),"ADD",IF(E2169="[ALT_VIEW]","ALT",""))</f>
        <v/>
      </c>
      <c r="AD2169" s="21">
        <f>IF(Y2169&lt;&gt;"",Y2169,IF(U2169&lt;&gt;"",U2169,S2169))</f>
        <v/>
      </c>
      <c r="AE2169" s="21">
        <f>IF(AB2169&lt;&gt;"",AB2169,Z2169)</f>
        <v/>
      </c>
      <c r="AF2169" s="13" t="inlineStr">
        <is>
          <t>BA1 &gt; 1B5B &gt; NMP &gt; Submarines</t>
        </is>
      </c>
      <c r="AG2169" s="7" t="inlineStr">
        <is>
          <t>186</t>
        </is>
      </c>
      <c r="AH2169" s="7" t="inlineStr">
        <is>
          <t>1B5B</t>
        </is>
      </c>
      <c r="AI2169" s="7" t="inlineStr">
        <is>
          <t>Submarines</t>
        </is>
      </c>
    </row>
    <row r="2170" ht="10" customHeight="1">
      <c r="A2170" s="7" t="inlineStr">
        <is>
          <t>OMN</t>
        </is>
      </c>
      <c r="B2170" s="7" t="inlineStr">
        <is>
          <t>O&amp;M</t>
        </is>
      </c>
      <c r="D2170" s="7" t="inlineStr">
        <is>
          <t>NMP - DDG</t>
        </is>
      </c>
      <c r="E2170" s="13" t="inlineStr">
        <is>
          <t>[SUB]</t>
        </is>
      </c>
      <c r="F2170" s="7" t="inlineStr">
        <is>
          <t>Navy Modernization Process (NMP)</t>
        </is>
      </c>
      <c r="I2170" s="14" t="n">
        <v>4</v>
      </c>
      <c r="K2170" s="13" t="inlineStr">
        <is>
          <t>USN</t>
        </is>
      </c>
      <c r="L2170" s="7" t="inlineStr">
        <is>
          <t>Combatant Ships</t>
        </is>
      </c>
      <c r="M2170" s="7" t="inlineStr">
        <is>
          <t>Surface Combatants</t>
        </is>
      </c>
      <c r="N2170" s="7" t="inlineStr">
        <is>
          <t>DDG</t>
        </is>
      </c>
      <c r="O2170" s="15" t="n"/>
      <c r="P2170" s="16" t="n">
        <v>127935</v>
      </c>
      <c r="Q2170" s="16" t="n">
        <v>75364</v>
      </c>
      <c r="S2170" s="16" t="n">
        <v>95494</v>
      </c>
      <c r="U2170" s="16" t="n">
        <v>95494</v>
      </c>
      <c r="AC2170" s="23">
        <f>IF(OR(E2170="",E2170="[PARENT]"),"ADD",IF(E2170="[ALT_VIEW]","ALT",""))</f>
        <v/>
      </c>
      <c r="AD2170" s="21">
        <f>IF(Y2170&lt;&gt;"",Y2170,IF(U2170&lt;&gt;"",U2170,S2170))</f>
        <v/>
      </c>
      <c r="AE2170" s="21">
        <f>IF(AB2170&lt;&gt;"",AB2170,Z2170)</f>
        <v/>
      </c>
      <c r="AF2170" s="13" t="inlineStr">
        <is>
          <t>BA1 &gt; 1B5B &gt; NMP &gt; DDG</t>
        </is>
      </c>
      <c r="AG2170" s="7" t="inlineStr">
        <is>
          <t>186</t>
        </is>
      </c>
      <c r="AH2170" s="7" t="inlineStr">
        <is>
          <t>1B5B</t>
        </is>
      </c>
      <c r="AI2170" s="7" t="inlineStr">
        <is>
          <t>DDG</t>
        </is>
      </c>
    </row>
    <row r="2171" ht="10" customHeight="1">
      <c r="A2171" s="7" t="inlineStr">
        <is>
          <t>OMN</t>
        </is>
      </c>
      <c r="B2171" s="7" t="inlineStr">
        <is>
          <t>O&amp;M</t>
        </is>
      </c>
      <c r="D2171" s="7" t="inlineStr">
        <is>
          <t>NMP - Amphibious Ships</t>
        </is>
      </c>
      <c r="E2171" s="13" t="inlineStr">
        <is>
          <t>[SUB]</t>
        </is>
      </c>
      <c r="F2171" s="7" t="inlineStr">
        <is>
          <t>Navy Modernization Process (NMP)</t>
        </is>
      </c>
      <c r="I2171" s="14" t="n">
        <v>4</v>
      </c>
      <c r="K2171" s="13" t="inlineStr">
        <is>
          <t>USN</t>
        </is>
      </c>
      <c r="L2171" s="7" t="inlineStr">
        <is>
          <t>Combatant Ships</t>
        </is>
      </c>
      <c r="M2171" s="7" t="inlineStr">
        <is>
          <t>Amphibious Warfare Ships</t>
        </is>
      </c>
      <c r="N2171" s="7" t="inlineStr">
        <is>
          <t>LHD</t>
        </is>
      </c>
      <c r="O2171" s="15" t="n"/>
      <c r="P2171" s="16" t="n">
        <v>140115</v>
      </c>
      <c r="Q2171" s="16" t="n">
        <v>47075</v>
      </c>
      <c r="S2171" s="16" t="n">
        <v>178395</v>
      </c>
      <c r="U2171" s="16" t="n">
        <v>178395</v>
      </c>
      <c r="AC2171" s="23">
        <f>IF(OR(E2171="",E2171="[PARENT]"),"ADD",IF(E2171="[ALT_VIEW]","ALT",""))</f>
        <v/>
      </c>
      <c r="AD2171" s="21">
        <f>IF(Y2171&lt;&gt;"",Y2171,IF(U2171&lt;&gt;"",U2171,S2171))</f>
        <v/>
      </c>
      <c r="AE2171" s="21">
        <f>IF(AB2171&lt;&gt;"",AB2171,Z2171)</f>
        <v/>
      </c>
      <c r="AF2171" s="13" t="inlineStr">
        <is>
          <t>BA1 &gt; 1B5B &gt; NMP &gt; Amphibious Ships</t>
        </is>
      </c>
      <c r="AG2171" s="7" t="inlineStr">
        <is>
          <t>186</t>
        </is>
      </c>
      <c r="AH2171" s="7" t="inlineStr">
        <is>
          <t>1B5B</t>
        </is>
      </c>
      <c r="AI2171" s="7" t="inlineStr">
        <is>
          <t>Amphibious Ships</t>
        </is>
      </c>
    </row>
    <row r="2172" ht="10" customHeight="1">
      <c r="A2172" s="7" t="inlineStr">
        <is>
          <t>OMN</t>
        </is>
      </c>
      <c r="B2172" s="7" t="inlineStr">
        <is>
          <t>O&amp;M</t>
        </is>
      </c>
      <c r="D2172" s="7" t="inlineStr">
        <is>
          <t>NMP - Surface Combatants</t>
        </is>
      </c>
      <c r="E2172" s="13" t="inlineStr">
        <is>
          <t>[SUB]</t>
        </is>
      </c>
      <c r="F2172" s="7" t="inlineStr">
        <is>
          <t>Navy Modernization Process (NMP)</t>
        </is>
      </c>
      <c r="I2172" s="14" t="n">
        <v>4</v>
      </c>
      <c r="K2172" s="13" t="inlineStr">
        <is>
          <t>USN</t>
        </is>
      </c>
      <c r="L2172" s="7" t="inlineStr">
        <is>
          <t>Combatant Ships</t>
        </is>
      </c>
      <c r="M2172" s="7" t="inlineStr">
        <is>
          <t>Surface Combatants</t>
        </is>
      </c>
      <c r="O2172" s="15" t="n"/>
      <c r="P2172" s="16" t="n">
        <v>11708</v>
      </c>
      <c r="Q2172" s="16" t="n">
        <v>15000</v>
      </c>
      <c r="S2172" s="16" t="n">
        <v>14512</v>
      </c>
      <c r="U2172" s="16" t="n">
        <v>14512</v>
      </c>
      <c r="AC2172" s="23">
        <f>IF(OR(E2172="",E2172="[PARENT]"),"ADD",IF(E2172="[ALT_VIEW]","ALT",""))</f>
        <v/>
      </c>
      <c r="AD2172" s="21">
        <f>IF(Y2172&lt;&gt;"",Y2172,IF(U2172&lt;&gt;"",U2172,S2172))</f>
        <v/>
      </c>
      <c r="AE2172" s="21">
        <f>IF(AB2172&lt;&gt;"",AB2172,Z2172)</f>
        <v/>
      </c>
      <c r="AF2172" s="13" t="inlineStr">
        <is>
          <t>BA1 &gt; 1B5B &gt; NMP &gt; Surface Combatants</t>
        </is>
      </c>
      <c r="AG2172" s="7" t="inlineStr">
        <is>
          <t>186</t>
        </is>
      </c>
      <c r="AH2172" s="7" t="inlineStr">
        <is>
          <t>1B5B</t>
        </is>
      </c>
      <c r="AI2172" s="7" t="inlineStr">
        <is>
          <t>Surface Combatants</t>
        </is>
      </c>
    </row>
    <row r="2173" ht="10" customHeight="1">
      <c r="A2173" s="7" t="inlineStr">
        <is>
          <t>OMN</t>
        </is>
      </c>
      <c r="B2173" s="7" t="inlineStr">
        <is>
          <t>O&amp;M</t>
        </is>
      </c>
      <c r="D2173" s="7" t="inlineStr">
        <is>
          <t>NMP - Carriers</t>
        </is>
      </c>
      <c r="E2173" s="13" t="inlineStr">
        <is>
          <t>[SUB]</t>
        </is>
      </c>
      <c r="F2173" s="7" t="inlineStr">
        <is>
          <t>Navy Modernization Process (NMP)</t>
        </is>
      </c>
      <c r="I2173" s="14" t="n">
        <v>4</v>
      </c>
      <c r="K2173" s="13" t="inlineStr">
        <is>
          <t>USN</t>
        </is>
      </c>
      <c r="L2173" s="7" t="inlineStr">
        <is>
          <t>Combatant Ships</t>
        </is>
      </c>
      <c r="M2173" s="7" t="inlineStr">
        <is>
          <t>Aircraft Carriers</t>
        </is>
      </c>
      <c r="N2173" s="7" t="inlineStr">
        <is>
          <t>CVN</t>
        </is>
      </c>
      <c r="O2173" s="15" t="n"/>
      <c r="P2173" s="16" t="n">
        <v>53695</v>
      </c>
      <c r="Q2173" s="16" t="n">
        <v>69476</v>
      </c>
      <c r="S2173" s="16" t="n">
        <v>51173</v>
      </c>
      <c r="U2173" s="16" t="n">
        <v>51173</v>
      </c>
      <c r="AC2173" s="23">
        <f>IF(OR(E2173="",E2173="[PARENT]"),"ADD",IF(E2173="[ALT_VIEW]","ALT",""))</f>
        <v/>
      </c>
      <c r="AD2173" s="21">
        <f>IF(Y2173&lt;&gt;"",Y2173,IF(U2173&lt;&gt;"",U2173,S2173))</f>
        <v/>
      </c>
      <c r="AE2173" s="21">
        <f>IF(AB2173&lt;&gt;"",AB2173,Z2173)</f>
        <v/>
      </c>
      <c r="AF2173" s="13" t="inlineStr">
        <is>
          <t>BA1 &gt; 1B5B &gt; NMP &gt; Carriers</t>
        </is>
      </c>
      <c r="AG2173" s="7" t="inlineStr">
        <is>
          <t>186</t>
        </is>
      </c>
      <c r="AH2173" s="7" t="inlineStr">
        <is>
          <t>1B5B</t>
        </is>
      </c>
      <c r="AI2173" s="7" t="inlineStr">
        <is>
          <t>Carriers</t>
        </is>
      </c>
    </row>
    <row r="2174" ht="10" customHeight="1">
      <c r="A2174" s="7" t="inlineStr">
        <is>
          <t>OMN</t>
        </is>
      </c>
      <c r="B2174" s="7" t="inlineStr">
        <is>
          <t>O&amp;M</t>
        </is>
      </c>
      <c r="D2174" s="7" t="inlineStr">
        <is>
          <t>NMP - Cruiser Modernization</t>
        </is>
      </c>
      <c r="E2174" s="13" t="inlineStr">
        <is>
          <t>[SUB]</t>
        </is>
      </c>
      <c r="F2174" s="7" t="inlineStr">
        <is>
          <t>Navy Modernization Process (NMP)</t>
        </is>
      </c>
      <c r="I2174" s="14" t="n">
        <v>4</v>
      </c>
      <c r="K2174" s="13" t="inlineStr">
        <is>
          <t>USN</t>
        </is>
      </c>
      <c r="L2174" s="7" t="inlineStr">
        <is>
          <t>Combatant Ships</t>
        </is>
      </c>
      <c r="M2174" s="7" t="inlineStr">
        <is>
          <t>Surface Combatants</t>
        </is>
      </c>
      <c r="N2174" s="7" t="inlineStr">
        <is>
          <t>CG</t>
        </is>
      </c>
      <c r="O2174" s="15" t="n"/>
      <c r="P2174" s="16" t="n">
        <v>12087</v>
      </c>
      <c r="Q2174" s="16" t="n">
        <v>8</v>
      </c>
      <c r="S2174" s="16" t="n">
        <v>5</v>
      </c>
      <c r="U2174" s="16" t="n">
        <v>5</v>
      </c>
      <c r="AC2174" s="23">
        <f>IF(OR(E2174="",E2174="[PARENT]"),"ADD",IF(E2174="[ALT_VIEW]","ALT",""))</f>
        <v/>
      </c>
      <c r="AD2174" s="21">
        <f>IF(Y2174&lt;&gt;"",Y2174,IF(U2174&lt;&gt;"",U2174,S2174))</f>
        <v/>
      </c>
      <c r="AE2174" s="21">
        <f>IF(AB2174&lt;&gt;"",AB2174,Z2174)</f>
        <v/>
      </c>
      <c r="AF2174" s="13" t="inlineStr">
        <is>
          <t>BA1 &gt; 1B5B &gt; NMP &gt; Cruiser Modernization</t>
        </is>
      </c>
      <c r="AG2174" s="7" t="inlineStr">
        <is>
          <t>181</t>
        </is>
      </c>
      <c r="AH2174" s="7" t="inlineStr">
        <is>
          <t>1B5B</t>
        </is>
      </c>
      <c r="AI2174" s="7" t="inlineStr">
        <is>
          <t>Cruiser Modernization</t>
        </is>
      </c>
    </row>
    <row r="2175" ht="10" customHeight="1">
      <c r="A2175" s="7" t="inlineStr">
        <is>
          <t>OMN</t>
        </is>
      </c>
      <c r="B2175" s="7" t="inlineStr">
        <is>
          <t>O&amp;M</t>
        </is>
      </c>
      <c r="D2175" s="7" t="inlineStr">
        <is>
          <t>NMP - LCS</t>
        </is>
      </c>
      <c r="E2175" s="13" t="inlineStr">
        <is>
          <t>[SUB]</t>
        </is>
      </c>
      <c r="F2175" s="7" t="inlineStr">
        <is>
          <t>Navy Modernization Process (NMP)</t>
        </is>
      </c>
      <c r="I2175" s="14" t="n">
        <v>4</v>
      </c>
      <c r="K2175" s="13" t="inlineStr">
        <is>
          <t>USN</t>
        </is>
      </c>
      <c r="L2175" s="7" t="inlineStr">
        <is>
          <t>Combatant Ships</t>
        </is>
      </c>
      <c r="M2175" s="7" t="inlineStr">
        <is>
          <t>Surface Combatants</t>
        </is>
      </c>
      <c r="N2175" s="7" t="inlineStr">
        <is>
          <t>LCS</t>
        </is>
      </c>
      <c r="O2175" s="15" t="n"/>
      <c r="P2175" s="16" t="n">
        <v>8247</v>
      </c>
      <c r="Q2175" s="16" t="n">
        <v>5631</v>
      </c>
      <c r="S2175" s="16" t="n">
        <v>2051</v>
      </c>
      <c r="U2175" s="16" t="n">
        <v>2051</v>
      </c>
      <c r="AC2175" s="23">
        <f>IF(OR(E2175="",E2175="[PARENT]"),"ADD",IF(E2175="[ALT_VIEW]","ALT",""))</f>
        <v/>
      </c>
      <c r="AD2175" s="21">
        <f>IF(Y2175&lt;&gt;"",Y2175,IF(U2175&lt;&gt;"",U2175,S2175))</f>
        <v/>
      </c>
      <c r="AE2175" s="21">
        <f>IF(AB2175&lt;&gt;"",AB2175,Z2175)</f>
        <v/>
      </c>
      <c r="AF2175" s="13" t="inlineStr">
        <is>
          <t>BA1 &gt; 1B5B &gt; NMP &gt; LCS</t>
        </is>
      </c>
      <c r="AG2175" s="7" t="inlineStr">
        <is>
          <t>186</t>
        </is>
      </c>
      <c r="AH2175" s="7" t="inlineStr">
        <is>
          <t>1B5B</t>
        </is>
      </c>
      <c r="AI2175" s="7" t="inlineStr">
        <is>
          <t>LCS</t>
        </is>
      </c>
    </row>
    <row r="2176" ht="10" customHeight="1">
      <c r="A2176" s="7" t="inlineStr">
        <is>
          <t>OMN</t>
        </is>
      </c>
      <c r="B2176" s="7" t="inlineStr">
        <is>
          <t>O&amp;M</t>
        </is>
      </c>
      <c r="D2176" s="7" t="inlineStr">
        <is>
          <t>NMP - Service Craft</t>
        </is>
      </c>
      <c r="E2176" s="13" t="inlineStr">
        <is>
          <t>[SUB]</t>
        </is>
      </c>
      <c r="F2176" s="7" t="inlineStr">
        <is>
          <t>Navy Modernization Process (NMP)</t>
        </is>
      </c>
      <c r="I2176" s="14" t="n">
        <v>4</v>
      </c>
      <c r="K2176" s="15" t="n"/>
      <c r="O2176" s="15" t="n"/>
      <c r="P2176" s="16" t="n">
        <v>922</v>
      </c>
      <c r="Q2176" s="16" t="n">
        <v>894</v>
      </c>
      <c r="S2176" s="16" t="n">
        <v>709</v>
      </c>
      <c r="U2176" s="16" t="n">
        <v>709</v>
      </c>
      <c r="AC2176" s="23">
        <f>IF(OR(E2176="",E2176="[PARENT]"),"ADD",IF(E2176="[ALT_VIEW]","ALT",""))</f>
        <v/>
      </c>
      <c r="AD2176" s="21">
        <f>IF(Y2176&lt;&gt;"",Y2176,IF(U2176&lt;&gt;"",U2176,S2176))</f>
        <v/>
      </c>
      <c r="AE2176" s="21">
        <f>IF(AB2176&lt;&gt;"",AB2176,Z2176)</f>
        <v/>
      </c>
      <c r="AF2176" s="13" t="inlineStr">
        <is>
          <t>BA1 &gt; 1B5B &gt; NMP &gt; Service Craft</t>
        </is>
      </c>
      <c r="AG2176" s="7" t="inlineStr">
        <is>
          <t>186</t>
        </is>
      </c>
      <c r="AH2176" s="7" t="inlineStr">
        <is>
          <t>1B5B</t>
        </is>
      </c>
      <c r="AI2176" s="7" t="inlineStr">
        <is>
          <t>Service Craft</t>
        </is>
      </c>
    </row>
    <row r="2177" ht="10" customHeight="1">
      <c r="A2177" s="7" t="inlineStr">
        <is>
          <t>OMN</t>
        </is>
      </c>
      <c r="B2177" s="7" t="inlineStr">
        <is>
          <t>O&amp;M</t>
        </is>
      </c>
      <c r="D2177" s="7" t="inlineStr">
        <is>
          <t>NMP - Combat Systems</t>
        </is>
      </c>
      <c r="E2177" s="13" t="inlineStr">
        <is>
          <t>[SUB]</t>
        </is>
      </c>
      <c r="F2177" s="7" t="inlineStr">
        <is>
          <t>Navy Modernization Process (NMP)</t>
        </is>
      </c>
      <c r="I2177" s="14" t="n">
        <v>4</v>
      </c>
      <c r="K2177" s="15" t="n"/>
      <c r="O2177" s="15" t="n"/>
      <c r="P2177" s="16" t="n">
        <v>3420</v>
      </c>
      <c r="Q2177" s="16" t="n">
        <v>3349</v>
      </c>
      <c r="S2177" s="16" t="n">
        <v>3464</v>
      </c>
      <c r="U2177" s="16" t="n">
        <v>3464</v>
      </c>
      <c r="AC2177" s="23">
        <f>IF(OR(E2177="",E2177="[PARENT]"),"ADD",IF(E2177="[ALT_VIEW]","ALT",""))</f>
        <v/>
      </c>
      <c r="AD2177" s="21">
        <f>IF(Y2177&lt;&gt;"",Y2177,IF(U2177&lt;&gt;"",U2177,S2177))</f>
        <v/>
      </c>
      <c r="AE2177" s="21">
        <f>IF(AB2177&lt;&gt;"",AB2177,Z2177)</f>
        <v/>
      </c>
      <c r="AF2177" s="13" t="inlineStr">
        <is>
          <t>BA1 &gt; 1B5B &gt; NMP &gt; Combat Systems</t>
        </is>
      </c>
      <c r="AG2177" s="7" t="inlineStr">
        <is>
          <t>186</t>
        </is>
      </c>
      <c r="AH2177" s="7" t="inlineStr">
        <is>
          <t>1B5B</t>
        </is>
      </c>
      <c r="AI2177" s="7" t="inlineStr">
        <is>
          <t>Combat Systems</t>
        </is>
      </c>
    </row>
    <row r="2178" ht="10" customHeight="1">
      <c r="A2178" s="7" t="inlineStr">
        <is>
          <t>OMN</t>
        </is>
      </c>
      <c r="B2178" s="7" t="inlineStr">
        <is>
          <t>O&amp;M</t>
        </is>
      </c>
      <c r="D2178" s="7" t="inlineStr">
        <is>
          <t>Navy Maritime Maintenance Enterprise Solutions (NMMES)</t>
        </is>
      </c>
      <c r="E2178" s="13" t="inlineStr">
        <is>
          <t>[SUB]</t>
        </is>
      </c>
      <c r="F2178" s="7" t="inlineStr">
        <is>
          <t>Ship Depot Operations Support</t>
        </is>
      </c>
      <c r="I2178" s="14" t="n">
        <v>6</v>
      </c>
      <c r="K2178" s="15" t="n"/>
      <c r="O2178" s="15" t="n"/>
      <c r="P2178" s="16" t="n">
        <v>103028</v>
      </c>
      <c r="Q2178" s="16" t="n">
        <v>104083</v>
      </c>
      <c r="S2178" s="16" t="n">
        <v>115706</v>
      </c>
      <c r="U2178" s="16" t="n">
        <v>115706</v>
      </c>
      <c r="AC2178" s="23">
        <f>IF(OR(E2178="",E2178="[PARENT]"),"ADD",IF(E2178="[ALT_VIEW]","ALT",""))</f>
        <v/>
      </c>
      <c r="AD2178" s="21">
        <f>IF(Y2178&lt;&gt;"",Y2178,IF(U2178&lt;&gt;"",U2178,S2178))</f>
        <v/>
      </c>
      <c r="AE2178" s="21">
        <f>IF(AB2178&lt;&gt;"",AB2178,Z2178)</f>
        <v/>
      </c>
      <c r="AF2178" s="13" t="inlineStr">
        <is>
          <t>BA1 &gt; 1B5B &gt; Performance Criteria &gt; NMMES</t>
        </is>
      </c>
      <c r="AG2178" s="7" t="inlineStr">
        <is>
          <t>187</t>
        </is>
      </c>
      <c r="AH2178" s="7" t="inlineStr">
        <is>
          <t>1B5B</t>
        </is>
      </c>
      <c r="AI2178" s="7" t="inlineStr">
        <is>
          <t>NMMES</t>
        </is>
      </c>
    </row>
    <row r="2179" ht="10" customHeight="1">
      <c r="A2179" s="7" t="inlineStr">
        <is>
          <t>OMN</t>
        </is>
      </c>
      <c r="B2179" s="7" t="inlineStr">
        <is>
          <t>O&amp;M</t>
        </is>
      </c>
      <c r="D2179" s="7" t="inlineStr">
        <is>
          <t>Smart Work/TOC Initiatives</t>
        </is>
      </c>
      <c r="E2179" s="13" t="inlineStr">
        <is>
          <t>[SUB]</t>
        </is>
      </c>
      <c r="F2179" s="7" t="inlineStr">
        <is>
          <t>Ship Depot Operations Support</t>
        </is>
      </c>
      <c r="I2179" s="14" t="n">
        <v>6</v>
      </c>
      <c r="K2179" s="15" t="n"/>
      <c r="O2179" s="15" t="n"/>
      <c r="P2179" s="16" t="n">
        <v>22363</v>
      </c>
      <c r="Q2179" s="16" t="n">
        <v>34068</v>
      </c>
      <c r="S2179" s="16" t="n">
        <v>23672</v>
      </c>
      <c r="U2179" s="16" t="n">
        <v>23672</v>
      </c>
      <c r="AC2179" s="23">
        <f>IF(OR(E2179="",E2179="[PARENT]"),"ADD",IF(E2179="[ALT_VIEW]","ALT",""))</f>
        <v/>
      </c>
      <c r="AD2179" s="21">
        <f>IF(Y2179&lt;&gt;"",Y2179,IF(U2179&lt;&gt;"",U2179,S2179))</f>
        <v/>
      </c>
      <c r="AE2179" s="21">
        <f>IF(AB2179&lt;&gt;"",AB2179,Z2179)</f>
        <v/>
      </c>
      <c r="AF2179" s="13" t="inlineStr">
        <is>
          <t>BA1 &gt; 1B5B &gt; Performance Criteria &gt; Smart Work</t>
        </is>
      </c>
      <c r="AG2179" s="7" t="inlineStr">
        <is>
          <t>187</t>
        </is>
      </c>
      <c r="AH2179" s="7" t="inlineStr">
        <is>
          <t>1B5B</t>
        </is>
      </c>
      <c r="AI2179" s="7" t="inlineStr">
        <is>
          <t>Smart Work</t>
        </is>
      </c>
    </row>
    <row r="2180" ht="10" customHeight="1">
      <c r="A2180" s="7" t="inlineStr">
        <is>
          <t>OMN</t>
        </is>
      </c>
      <c r="B2180" s="7" t="inlineStr">
        <is>
          <t>O&amp;M</t>
        </is>
      </c>
      <c r="D2180" s="7" t="inlineStr">
        <is>
          <t>Combat System Operational Sequencing System (CSOSS)</t>
        </is>
      </c>
      <c r="E2180" s="13" t="inlineStr">
        <is>
          <t>[SUB]</t>
        </is>
      </c>
      <c r="F2180" s="7" t="inlineStr">
        <is>
          <t>Ship Depot Operations Support</t>
        </is>
      </c>
      <c r="I2180" s="14" t="n">
        <v>6</v>
      </c>
      <c r="K2180" s="15" t="n"/>
      <c r="O2180" s="15" t="n"/>
      <c r="P2180" s="16" t="n">
        <v>12756</v>
      </c>
      <c r="Q2180" s="16" t="n">
        <v>11062</v>
      </c>
      <c r="S2180" s="16" t="n">
        <v>14954</v>
      </c>
      <c r="U2180" s="16" t="n">
        <v>14954</v>
      </c>
      <c r="AC2180" s="23">
        <f>IF(OR(E2180="",E2180="[PARENT]"),"ADD",IF(E2180="[ALT_VIEW]","ALT",""))</f>
        <v/>
      </c>
      <c r="AD2180" s="21">
        <f>IF(Y2180&lt;&gt;"",Y2180,IF(U2180&lt;&gt;"",U2180,S2180))</f>
        <v/>
      </c>
      <c r="AE2180" s="21">
        <f>IF(AB2180&lt;&gt;"",AB2180,Z2180)</f>
        <v/>
      </c>
      <c r="AF2180" s="13" t="inlineStr">
        <is>
          <t>BA1 &gt; 1B5B &gt; Performance Criteria &gt; CSOSS</t>
        </is>
      </c>
      <c r="AG2180" s="7" t="inlineStr">
        <is>
          <t>187</t>
        </is>
      </c>
      <c r="AH2180" s="7" t="inlineStr">
        <is>
          <t>1B5B</t>
        </is>
      </c>
      <c r="AI2180" s="7" t="inlineStr">
        <is>
          <t>CSOSS</t>
        </is>
      </c>
    </row>
    <row r="2181" ht="10" customHeight="1">
      <c r="A2181" s="7" t="inlineStr">
        <is>
          <t>OMN</t>
        </is>
      </c>
      <c r="B2181" s="7" t="inlineStr">
        <is>
          <t>O&amp;M</t>
        </is>
      </c>
      <c r="D2181" s="7" t="inlineStr">
        <is>
          <t>Berthing and Messing Program</t>
        </is>
      </c>
      <c r="E2181" s="13" t="inlineStr">
        <is>
          <t>[PARENT]</t>
        </is>
      </c>
      <c r="I2181" s="14" t="n">
        <v>7</v>
      </c>
      <c r="K2181" s="15" t="n"/>
      <c r="O2181" s="15" t="n"/>
      <c r="P2181" s="16" t="n">
        <v>129771</v>
      </c>
      <c r="Q2181" s="16" t="n">
        <v>135039</v>
      </c>
      <c r="S2181" s="16" t="n">
        <v>141596</v>
      </c>
      <c r="U2181" s="16" t="n">
        <v>141596</v>
      </c>
      <c r="AC2181" s="23">
        <f>IF(OR(E2181="",E2181="[PARENT]"),"ADD",IF(E2181="[ALT_VIEW]","ALT",""))</f>
        <v/>
      </c>
      <c r="AD2181" s="21">
        <f>IF(Y2181&lt;&gt;"",Y2181,IF(U2181&lt;&gt;"",U2181,S2181))</f>
        <v/>
      </c>
      <c r="AE2181" s="21">
        <f>IF(AB2181&lt;&gt;"",AB2181,Z2181)</f>
        <v/>
      </c>
      <c r="AF2181" s="13" t="inlineStr">
        <is>
          <t>BA1 &gt; 1B5B &gt; Berthing and Messing</t>
        </is>
      </c>
      <c r="AG2181" s="7" t="inlineStr">
        <is>
          <t>187</t>
        </is>
      </c>
      <c r="AH2181" s="7" t="inlineStr">
        <is>
          <t>1B5B</t>
        </is>
      </c>
    </row>
    <row r="2182" ht="10" customHeight="1">
      <c r="A2182" s="7" t="inlineStr">
        <is>
          <t>OMN</t>
        </is>
      </c>
      <c r="B2182" s="7" t="inlineStr">
        <is>
          <t>O&amp;M</t>
        </is>
      </c>
      <c r="D2182" s="7" t="inlineStr">
        <is>
          <t>Barge Operations/Overhauls/Availabilities/Modernization</t>
        </is>
      </c>
      <c r="E2182" s="13" t="inlineStr">
        <is>
          <t>[SUB]</t>
        </is>
      </c>
      <c r="F2182" s="7" t="inlineStr">
        <is>
          <t>Berthing and Messing Program</t>
        </is>
      </c>
      <c r="I2182" s="14" t="n">
        <v>7</v>
      </c>
      <c r="K2182" s="15" t="n"/>
      <c r="O2182" s="15" t="n"/>
      <c r="P2182" s="16" t="n">
        <v>99158</v>
      </c>
      <c r="Q2182" s="16" t="n">
        <v>121924</v>
      </c>
      <c r="S2182" s="16" t="n">
        <v>138400</v>
      </c>
      <c r="U2182" s="16" t="n">
        <v>138400</v>
      </c>
      <c r="AC2182" s="23">
        <f>IF(OR(E2182="",E2182="[PARENT]"),"ADD",IF(E2182="[ALT_VIEW]","ALT",""))</f>
        <v/>
      </c>
      <c r="AD2182" s="21">
        <f>IF(Y2182&lt;&gt;"",Y2182,IF(U2182&lt;&gt;"",U2182,S2182))</f>
        <v/>
      </c>
      <c r="AE2182" s="21">
        <f>IF(AB2182&lt;&gt;"",AB2182,Z2182)</f>
        <v/>
      </c>
      <c r="AF2182" s="13" t="inlineStr">
        <is>
          <t>BA1 &gt; 1B5B &gt; Berthing and Messing &gt; Barge Operations</t>
        </is>
      </c>
      <c r="AG2182" s="7" t="inlineStr">
        <is>
          <t>187</t>
        </is>
      </c>
      <c r="AH2182" s="7" t="inlineStr">
        <is>
          <t>1B5B</t>
        </is>
      </c>
      <c r="AI2182" s="7" t="inlineStr">
        <is>
          <t>Barge Operations</t>
        </is>
      </c>
    </row>
    <row r="2183" ht="10" customHeight="1">
      <c r="A2183" s="7" t="inlineStr">
        <is>
          <t>OMN</t>
        </is>
      </c>
      <c r="B2183" s="7" t="inlineStr">
        <is>
          <t>O&amp;M</t>
        </is>
      </c>
      <c r="D2183" s="7" t="inlineStr">
        <is>
          <t>Off-Ship Berthing Costs</t>
        </is>
      </c>
      <c r="E2183" s="13" t="inlineStr">
        <is>
          <t>[SUB]</t>
        </is>
      </c>
      <c r="F2183" s="7" t="inlineStr">
        <is>
          <t>Berthing and Messing Program</t>
        </is>
      </c>
      <c r="I2183" s="14" t="n">
        <v>7</v>
      </c>
      <c r="K2183" s="13" t="inlineStr">
        <is>
          <t>USN</t>
        </is>
      </c>
      <c r="L2183" s="7" t="inlineStr">
        <is>
          <t>Combatant Ships</t>
        </is>
      </c>
      <c r="M2183" s="7" t="inlineStr">
        <is>
          <t>Aircraft Carriers</t>
        </is>
      </c>
      <c r="N2183" s="7" t="inlineStr">
        <is>
          <t>CVN</t>
        </is>
      </c>
      <c r="O2183" s="15" t="n"/>
      <c r="P2183" s="16" t="n">
        <v>30613</v>
      </c>
      <c r="Q2183" s="16" t="n">
        <v>13115</v>
      </c>
      <c r="S2183" s="16" t="n">
        <v>3196</v>
      </c>
      <c r="U2183" s="16" t="n">
        <v>3196</v>
      </c>
      <c r="AC2183" s="23">
        <f>IF(OR(E2183="",E2183="[PARENT]"),"ADD",IF(E2183="[ALT_VIEW]","ALT",""))</f>
        <v/>
      </c>
      <c r="AD2183" s="21">
        <f>IF(Y2183&lt;&gt;"",Y2183,IF(U2183&lt;&gt;"",U2183,S2183))</f>
        <v/>
      </c>
      <c r="AE2183" s="21">
        <f>IF(AB2183&lt;&gt;"",AB2183,Z2183)</f>
        <v/>
      </c>
      <c r="AF2183" s="13" t="inlineStr">
        <is>
          <t>BA1 &gt; 1B5B &gt; Berthing and Messing &gt; Off-Ship Berthing</t>
        </is>
      </c>
      <c r="AG2183" s="7" t="inlineStr">
        <is>
          <t>187</t>
        </is>
      </c>
      <c r="AH2183" s="7" t="inlineStr">
        <is>
          <t>1B5B</t>
        </is>
      </c>
      <c r="AI2183" s="7" t="inlineStr">
        <is>
          <t>Off-Ship Berthing</t>
        </is>
      </c>
    </row>
    <row r="2184" ht="10" customHeight="1">
      <c r="A2184" s="7" t="inlineStr">
        <is>
          <t>OMN</t>
        </is>
      </c>
      <c r="B2184" s="7" t="inlineStr">
        <is>
          <t>O&amp;M</t>
        </is>
      </c>
      <c r="D2184" s="7" t="inlineStr">
        <is>
          <t>Regional Maintenance Centers (RMC)</t>
        </is>
      </c>
      <c r="E2184" s="13" t="inlineStr">
        <is>
          <t>[SUB]</t>
        </is>
      </c>
      <c r="F2184" s="7" t="inlineStr">
        <is>
          <t>Ship Depot Operations Support</t>
        </is>
      </c>
      <c r="I2184" s="14" t="n">
        <v>6</v>
      </c>
      <c r="K2184" s="15" t="n"/>
      <c r="O2184" s="15" t="n"/>
      <c r="P2184" s="16" t="n">
        <v>22311</v>
      </c>
      <c r="Q2184" s="16" t="n">
        <v>25633</v>
      </c>
      <c r="S2184" s="16" t="n">
        <v>26529</v>
      </c>
      <c r="U2184" s="16" t="n">
        <v>26529</v>
      </c>
      <c r="AC2184" s="23">
        <f>IF(OR(E2184="",E2184="[PARENT]"),"ADD",IF(E2184="[ALT_VIEW]","ALT",""))</f>
        <v/>
      </c>
      <c r="AD2184" s="21">
        <f>IF(Y2184&lt;&gt;"",Y2184,IF(U2184&lt;&gt;"",U2184,S2184))</f>
        <v/>
      </c>
      <c r="AE2184" s="21">
        <f>IF(AB2184&lt;&gt;"",AB2184,Z2184)</f>
        <v/>
      </c>
      <c r="AF2184" s="13" t="inlineStr">
        <is>
          <t>BA1 &gt; 1B5B &gt; Performance Criteria &gt; RMC</t>
        </is>
      </c>
      <c r="AG2184" s="7" t="inlineStr">
        <is>
          <t>187</t>
        </is>
      </c>
      <c r="AH2184" s="7" t="inlineStr">
        <is>
          <t>1B5B</t>
        </is>
      </c>
      <c r="AI2184" s="7" t="inlineStr">
        <is>
          <t>RMC</t>
        </is>
      </c>
    </row>
    <row r="2185" ht="10" customHeight="1">
      <c r="A2185" s="7" t="inlineStr">
        <is>
          <t>OMN</t>
        </is>
      </c>
      <c r="B2185" s="7" t="inlineStr">
        <is>
          <t>O&amp;M</t>
        </is>
      </c>
      <c r="D2185" s="7" t="inlineStr">
        <is>
          <t>NAVSEA Headquarters Civilian Personnel and IT Operations</t>
        </is>
      </c>
      <c r="E2185" s="13" t="inlineStr">
        <is>
          <t>[SUB]</t>
        </is>
      </c>
      <c r="F2185" s="7" t="inlineStr">
        <is>
          <t>Ship Depot Operations Support</t>
        </is>
      </c>
      <c r="I2185" s="14" t="n">
        <v>6</v>
      </c>
      <c r="K2185" s="15" t="n"/>
      <c r="O2185" s="15" t="n"/>
      <c r="P2185" s="16" t="n">
        <v>571260</v>
      </c>
      <c r="Q2185" s="16" t="n">
        <v>628655</v>
      </c>
      <c r="S2185" s="16" t="n">
        <v>579450</v>
      </c>
      <c r="U2185" s="16" t="n">
        <v>579450</v>
      </c>
      <c r="AC2185" s="23">
        <f>IF(OR(E2185="",E2185="[PARENT]"),"ADD",IF(E2185="[ALT_VIEW]","ALT",""))</f>
        <v/>
      </c>
      <c r="AD2185" s="21">
        <f>IF(Y2185&lt;&gt;"",Y2185,IF(U2185&lt;&gt;"",U2185,S2185))</f>
        <v/>
      </c>
      <c r="AE2185" s="21">
        <f>IF(AB2185&lt;&gt;"",AB2185,Z2185)</f>
        <v/>
      </c>
      <c r="AF2185" s="13" t="inlineStr">
        <is>
          <t>BA1 &gt; 1B5B &gt; Performance Criteria &gt; NAVSEA HQ</t>
        </is>
      </c>
      <c r="AG2185" s="7" t="inlineStr">
        <is>
          <t>187</t>
        </is>
      </c>
      <c r="AH2185" s="7" t="inlineStr">
        <is>
          <t>1B5B</t>
        </is>
      </c>
      <c r="AI2185" s="7" t="inlineStr">
        <is>
          <t>NAVSEA HQ</t>
        </is>
      </c>
    </row>
    <row r="2186" ht="10" customHeight="1">
      <c r="A2186" s="7" t="inlineStr">
        <is>
          <t>OMN</t>
        </is>
      </c>
      <c r="B2186" s="7" t="inlineStr">
        <is>
          <t>O&amp;M</t>
        </is>
      </c>
      <c r="D2186" s="7" t="inlineStr">
        <is>
          <t>Ship Prepositioning and Surge</t>
        </is>
      </c>
      <c r="E2186" s="13" t="inlineStr">
        <is>
          <t>[PARENT]</t>
        </is>
      </c>
      <c r="I2186" s="14" t="n">
        <v>2</v>
      </c>
      <c r="K2186" s="15" t="n"/>
      <c r="O2186" s="15" t="n"/>
      <c r="P2186" s="16" t="n">
        <v>547620</v>
      </c>
      <c r="Q2186" s="16" t="n">
        <v>463722</v>
      </c>
      <c r="S2186" s="16" t="n">
        <v>388627</v>
      </c>
      <c r="U2186" s="16" t="n">
        <v>388627</v>
      </c>
      <c r="W2186" s="16" t="n">
        <v>3500</v>
      </c>
      <c r="X2186" s="16" t="n">
        <v>388627</v>
      </c>
      <c r="Y2186" s="16" t="n">
        <v>392127</v>
      </c>
      <c r="AC2186" s="23">
        <f>IF(OR(E2186="",E2186="[PARENT]"),"ADD",IF(E2186="[ALT_VIEW]","ALT",""))</f>
        <v/>
      </c>
      <c r="AD2186" s="21">
        <f>IF(Y2186&lt;&gt;"",Y2186,IF(U2186&lt;&gt;"",U2186,S2186))</f>
        <v/>
      </c>
      <c r="AE2186" s="21">
        <f>IF(AB2186&lt;&gt;"",AB2186,Z2186)</f>
        <v/>
      </c>
      <c r="AF2186" s="13" t="inlineStr">
        <is>
          <t>BA2 &gt; Mobilization &gt; 2A1F Ship Prepositioning and Surge</t>
        </is>
      </c>
      <c r="AG2186" s="7" t="inlineStr">
        <is>
          <t>21</t>
        </is>
      </c>
      <c r="AH2186" s="7" t="inlineStr">
        <is>
          <t>2A1F</t>
        </is>
      </c>
    </row>
    <row r="2187" ht="10" customHeight="1">
      <c r="A2187" s="7" t="inlineStr">
        <is>
          <t>OMN</t>
        </is>
      </c>
      <c r="B2187" s="7" t="inlineStr">
        <is>
          <t>O&amp;M</t>
        </is>
      </c>
      <c r="D2187" s="7" t="inlineStr">
        <is>
          <t>INLS Electrical/Mechanical/Propulsion Obsolescence</t>
        </is>
      </c>
      <c r="E2187" s="13" t="inlineStr">
        <is>
          <t>[SUB]</t>
        </is>
      </c>
      <c r="F2187" s="7" t="inlineStr">
        <is>
          <t>Ship Prepositioning and Surge</t>
        </is>
      </c>
      <c r="I2187" s="14" t="n">
        <v>6</v>
      </c>
      <c r="K2187" s="13" t="inlineStr">
        <is>
          <t>USN</t>
        </is>
      </c>
      <c r="L2187" s="7" t="inlineStr">
        <is>
          <t>Support Crafts</t>
        </is>
      </c>
      <c r="M2187" s="7" t="inlineStr">
        <is>
          <t>Sealift Support Craft</t>
        </is>
      </c>
      <c r="N2187" s="7" t="inlineStr">
        <is>
          <t>INLS</t>
        </is>
      </c>
      <c r="O2187" s="15" t="n"/>
      <c r="S2187" s="16" t="n">
        <v>8756</v>
      </c>
      <c r="U2187" s="16" t="n">
        <v>8756</v>
      </c>
      <c r="AC2187" s="23">
        <f>IF(OR(E2187="",E2187="[PARENT]"),"ADD",IF(E2187="[ALT_VIEW]","ALT",""))</f>
        <v/>
      </c>
      <c r="AD2187" s="21">
        <f>IF(Y2187&lt;&gt;"",Y2187,IF(U2187&lt;&gt;"",U2187,S2187))</f>
        <v/>
      </c>
      <c r="AE2187" s="21">
        <f>IF(AB2187&lt;&gt;"",AB2187,Z2187)</f>
        <v/>
      </c>
      <c r="AF2187" s="13" t="inlineStr">
        <is>
          <t>BA2 &gt; 2A1F &gt; Program Increases</t>
        </is>
      </c>
      <c r="AG2187" s="7" t="inlineStr">
        <is>
          <t>434</t>
        </is>
      </c>
      <c r="AH2187" s="7" t="inlineStr">
        <is>
          <t>2A1F</t>
        </is>
      </c>
    </row>
    <row r="2188" ht="10" customHeight="1">
      <c r="A2188" s="7" t="inlineStr">
        <is>
          <t>OMN</t>
        </is>
      </c>
      <c r="B2188" s="7" t="inlineStr">
        <is>
          <t>O&amp;M</t>
        </is>
      </c>
      <c r="D2188" s="7" t="inlineStr">
        <is>
          <t>INLS Mid-Life Overhaul (60 craft)</t>
        </is>
      </c>
      <c r="E2188" s="13" t="inlineStr">
        <is>
          <t>[SUB]</t>
        </is>
      </c>
      <c r="F2188" s="7" t="inlineStr">
        <is>
          <t>Ship Prepositioning and Surge</t>
        </is>
      </c>
      <c r="I2188" s="14" t="n">
        <v>5</v>
      </c>
      <c r="K2188" s="13" t="inlineStr">
        <is>
          <t>USN</t>
        </is>
      </c>
      <c r="L2188" s="7" t="inlineStr">
        <is>
          <t>Support Crafts</t>
        </is>
      </c>
      <c r="M2188" s="7" t="inlineStr">
        <is>
          <t>Sealift Support Craft</t>
        </is>
      </c>
      <c r="N2188" s="7" t="inlineStr">
        <is>
          <t>INLS</t>
        </is>
      </c>
      <c r="O2188" s="15" t="n"/>
      <c r="S2188" s="16" t="n">
        <v>5444</v>
      </c>
      <c r="U2188" s="16" t="n">
        <v>5444</v>
      </c>
      <c r="AC2188" s="23">
        <f>IF(OR(E2188="",E2188="[PARENT]"),"ADD",IF(E2188="[ALT_VIEW]","ALT",""))</f>
        <v/>
      </c>
      <c r="AD2188" s="21">
        <f>IF(Y2188&lt;&gt;"",Y2188,IF(U2188&lt;&gt;"",U2188,S2188))</f>
        <v/>
      </c>
      <c r="AE2188" s="21">
        <f>IF(AB2188&lt;&gt;"",AB2188,Z2188)</f>
        <v/>
      </c>
      <c r="AF2188" s="13" t="inlineStr">
        <is>
          <t>BA2 &gt; 2A1F &gt; Program Increases</t>
        </is>
      </c>
      <c r="AG2188" s="7" t="inlineStr">
        <is>
          <t>434</t>
        </is>
      </c>
      <c r="AH2188" s="7" t="inlineStr">
        <is>
          <t>2A1F</t>
        </is>
      </c>
    </row>
    <row r="2189" ht="10" customHeight="1">
      <c r="A2189" s="7" t="inlineStr">
        <is>
          <t>OMN</t>
        </is>
      </c>
      <c r="B2189" s="7" t="inlineStr">
        <is>
          <t>O&amp;M</t>
        </is>
      </c>
      <c r="C2189" s="7" t="inlineStr">
        <is>
          <t>928</t>
        </is>
      </c>
      <c r="D2189" s="7" t="inlineStr">
        <is>
          <t>Ship Maintenance By Contract</t>
        </is>
      </c>
      <c r="E2189" s="13" t="inlineStr">
        <is>
          <t>[SUB]</t>
        </is>
      </c>
      <c r="F2189" s="7" t="inlineStr">
        <is>
          <t>Ship Prepositioning and Surge</t>
        </is>
      </c>
      <c r="I2189" s="14" t="n">
        <v>2</v>
      </c>
      <c r="K2189" s="15" t="n"/>
      <c r="O2189" s="15" t="n"/>
      <c r="S2189" s="16" t="n">
        <v>12849</v>
      </c>
      <c r="U2189" s="16" t="n">
        <v>12849</v>
      </c>
      <c r="AC2189" s="23">
        <f>IF(OR(E2189="",E2189="[PARENT]"),"ADD",IF(E2189="[ALT_VIEW]","ALT",""))</f>
        <v/>
      </c>
      <c r="AD2189" s="21">
        <f>IF(Y2189&lt;&gt;"",Y2189,IF(U2189&lt;&gt;"",U2189,S2189))</f>
        <v/>
      </c>
      <c r="AE2189" s="21">
        <f>IF(AB2189&lt;&gt;"",AB2189,Z2189)</f>
        <v/>
      </c>
      <c r="AF2189" s="13" t="inlineStr">
        <is>
          <t>BA2 &gt; 2A1F &gt; OP-32 &gt; 928</t>
        </is>
      </c>
      <c r="AG2189" s="7" t="inlineStr">
        <is>
          <t>22</t>
        </is>
      </c>
      <c r="AH2189" s="7" t="inlineStr">
        <is>
          <t>2A1F</t>
        </is>
      </c>
      <c r="AI2189" s="7" t="inlineStr">
        <is>
          <t>928 - Ship Maintenance by Contract</t>
        </is>
      </c>
    </row>
    <row r="2190" ht="10" customHeight="1">
      <c r="A2190" s="7" t="inlineStr">
        <is>
          <t>OMN</t>
        </is>
      </c>
      <c r="B2190" s="7" t="inlineStr">
        <is>
          <t>O&amp;M</t>
        </is>
      </c>
      <c r="D2190" s="7" t="inlineStr">
        <is>
          <t>Ready Reserve Force</t>
        </is>
      </c>
      <c r="E2190" s="13" t="inlineStr">
        <is>
          <t>[PARENT]</t>
        </is>
      </c>
      <c r="I2190" s="14" t="n">
        <v>2</v>
      </c>
      <c r="K2190" s="15" t="n"/>
      <c r="O2190" s="15" t="n"/>
      <c r="P2190" s="16" t="n">
        <v>667592</v>
      </c>
      <c r="Q2190" s="16" t="n">
        <v>780558</v>
      </c>
      <c r="S2190" s="16" t="n">
        <v>785052</v>
      </c>
      <c r="U2190" s="16" t="n">
        <v>785052</v>
      </c>
      <c r="AC2190" s="23">
        <f>IF(OR(E2190="",E2190="[PARENT]"),"ADD",IF(E2190="[ALT_VIEW]","ALT",""))</f>
        <v/>
      </c>
      <c r="AD2190" s="21">
        <f>IF(Y2190&lt;&gt;"",Y2190,IF(U2190&lt;&gt;"",U2190,S2190))</f>
        <v/>
      </c>
      <c r="AE2190" s="21">
        <f>IF(AB2190&lt;&gt;"",AB2190,Z2190)</f>
        <v/>
      </c>
      <c r="AF2190" s="13" t="inlineStr">
        <is>
          <t>BA2 &gt; Mobilization &gt; 2A2F Ready Reserve Force</t>
        </is>
      </c>
      <c r="AG2190" s="7" t="inlineStr">
        <is>
          <t>21</t>
        </is>
      </c>
      <c r="AH2190" s="7" t="inlineStr">
        <is>
          <t>2A2F</t>
        </is>
      </c>
    </row>
    <row r="2191" ht="10" customHeight="1">
      <c r="A2191" s="7" t="inlineStr">
        <is>
          <t>OMN</t>
        </is>
      </c>
      <c r="B2191" s="7" t="inlineStr">
        <is>
          <t>O&amp;M</t>
        </is>
      </c>
      <c r="D2191" s="7" t="inlineStr">
        <is>
          <t>RRF Roll-on/Roll-off Vessels (32 ships)</t>
        </is>
      </c>
      <c r="E2191" s="13" t="inlineStr">
        <is>
          <t>[SUB]</t>
        </is>
      </c>
      <c r="F2191" s="7" t="inlineStr">
        <is>
          <t>Ready Reserve Force</t>
        </is>
      </c>
      <c r="I2191" s="14" t="n">
        <v>2</v>
      </c>
      <c r="K2191" s="13" t="inlineStr">
        <is>
          <t>USN</t>
        </is>
      </c>
      <c r="L2191" s="7" t="inlineStr">
        <is>
          <t>Auxiliary Ships</t>
        </is>
      </c>
      <c r="M2191" s="7" t="inlineStr">
        <is>
          <t>Cargo &amp; Vehicle Cargo Ships</t>
        </is>
      </c>
      <c r="N2191" s="7" t="inlineStr">
        <is>
          <t>AKR</t>
        </is>
      </c>
      <c r="O2191" s="15" t="n"/>
      <c r="S2191" s="16" t="n">
        <v>352199</v>
      </c>
      <c r="U2191" s="16" t="n">
        <v>352199</v>
      </c>
      <c r="AC2191" s="23">
        <f>IF(OR(E2191="",E2191="[PARENT]"),"ADD",IF(E2191="[ALT_VIEW]","ALT",""))</f>
        <v/>
      </c>
      <c r="AD2191" s="21">
        <f>IF(Y2191&lt;&gt;"",Y2191,IF(U2191&lt;&gt;"",U2191,S2191))</f>
        <v/>
      </c>
      <c r="AE2191" s="21">
        <f>IF(AB2191&lt;&gt;"",AB2191,Z2191)</f>
        <v/>
      </c>
      <c r="AF2191" s="13" t="inlineStr">
        <is>
          <t>BA2 &gt; 2A2F &gt; Force Structure</t>
        </is>
      </c>
      <c r="AG2191" s="7" t="inlineStr">
        <is>
          <t>444</t>
        </is>
      </c>
      <c r="AH2191" s="7" t="inlineStr">
        <is>
          <t>2A2F</t>
        </is>
      </c>
    </row>
    <row r="2192" ht="10" customHeight="1">
      <c r="A2192" s="7" t="inlineStr">
        <is>
          <t>OMN</t>
        </is>
      </c>
      <c r="B2192" s="7" t="inlineStr">
        <is>
          <t>O&amp;M</t>
        </is>
      </c>
      <c r="D2192" s="7" t="inlineStr">
        <is>
          <t>LMSR Transfer from MSC/Army (13 vessels)</t>
        </is>
      </c>
      <c r="E2192" s="13" t="inlineStr">
        <is>
          <t>[SUB]</t>
        </is>
      </c>
      <c r="F2192" s="7" t="inlineStr">
        <is>
          <t>Ready Reserve Force</t>
        </is>
      </c>
      <c r="I2192" s="14" t="n">
        <v>2</v>
      </c>
      <c r="K2192" s="13" t="inlineStr">
        <is>
          <t>USN</t>
        </is>
      </c>
      <c r="L2192" s="7" t="inlineStr">
        <is>
          <t>Auxiliary Ships</t>
        </is>
      </c>
      <c r="M2192" s="7" t="inlineStr">
        <is>
          <t>Cargo &amp; Vehicle Cargo Ships</t>
        </is>
      </c>
      <c r="N2192" s="7" t="inlineStr">
        <is>
          <t>AKR</t>
        </is>
      </c>
      <c r="O2192" s="15" t="n"/>
      <c r="S2192" s="16" t="n">
        <v>203644</v>
      </c>
      <c r="U2192" s="16" t="n">
        <v>203644</v>
      </c>
      <c r="AC2192" s="23">
        <f>IF(OR(E2192="",E2192="[PARENT]"),"ADD",IF(E2192="[ALT_VIEW]","ALT",""))</f>
        <v/>
      </c>
      <c r="AD2192" s="21">
        <f>IF(Y2192&lt;&gt;"",Y2192,IF(U2192&lt;&gt;"",U2192,S2192))</f>
        <v/>
      </c>
      <c r="AE2192" s="21">
        <f>IF(AB2192&lt;&gt;"",AB2192,Z2192)</f>
        <v/>
      </c>
      <c r="AF2192" s="13" t="inlineStr">
        <is>
          <t>BA2 &gt; 2A2F &gt; Force Structure &gt; LMSR</t>
        </is>
      </c>
      <c r="AG2192" s="7" t="inlineStr">
        <is>
          <t>446</t>
        </is>
      </c>
      <c r="AH2192" s="7" t="inlineStr">
        <is>
          <t>2A2F</t>
        </is>
      </c>
      <c r="AI2192" s="7" t="inlineStr">
        <is>
          <t>LMSR</t>
        </is>
      </c>
    </row>
    <row r="2193" ht="10" customHeight="1">
      <c r="A2193" s="7" t="inlineStr">
        <is>
          <t>OMN</t>
        </is>
      </c>
      <c r="B2193" s="7" t="inlineStr">
        <is>
          <t>O&amp;M</t>
        </is>
      </c>
      <c r="D2193" s="7" t="inlineStr">
        <is>
          <t>Aviation Support Ships (T-AVB) (2 vessels)</t>
        </is>
      </c>
      <c r="E2193" s="13" t="inlineStr">
        <is>
          <t>[SUB]</t>
        </is>
      </c>
      <c r="F2193" s="7" t="inlineStr">
        <is>
          <t>Ready Reserve Force</t>
        </is>
      </c>
      <c r="I2193" s="14" t="n">
        <v>2</v>
      </c>
      <c r="K2193" s="13" t="inlineStr">
        <is>
          <t>USN</t>
        </is>
      </c>
      <c r="L2193" s="7" t="inlineStr">
        <is>
          <t>Auxiliary Ships</t>
        </is>
      </c>
      <c r="M2193" s="7" t="inlineStr">
        <is>
          <t>Aviation Logistics Support Ship</t>
        </is>
      </c>
      <c r="N2193" s="7" t="inlineStr">
        <is>
          <t>AVB</t>
        </is>
      </c>
      <c r="O2193" s="15" t="n"/>
      <c r="S2193" s="16" t="n">
        <v>28801</v>
      </c>
      <c r="U2193" s="16" t="n">
        <v>28801</v>
      </c>
      <c r="AC2193" s="23">
        <f>IF(OR(E2193="",E2193="[PARENT]"),"ADD",IF(E2193="[ALT_VIEW]","ALT",""))</f>
        <v/>
      </c>
      <c r="AD2193" s="21">
        <f>IF(Y2193&lt;&gt;"",Y2193,IF(U2193&lt;&gt;"",U2193,S2193))</f>
        <v/>
      </c>
      <c r="AE2193" s="21">
        <f>IF(AB2193&lt;&gt;"",AB2193,Z2193)</f>
        <v/>
      </c>
      <c r="AF2193" s="13" t="inlineStr">
        <is>
          <t>BA2 &gt; 2A2F &gt; Force Structure &gt; T-AVB</t>
        </is>
      </c>
      <c r="AG2193" s="7" t="inlineStr">
        <is>
          <t>446</t>
        </is>
      </c>
      <c r="AH2193" s="7" t="inlineStr">
        <is>
          <t>2A2F</t>
        </is>
      </c>
      <c r="AI2193" s="7" t="inlineStr">
        <is>
          <t>T-AVB</t>
        </is>
      </c>
    </row>
    <row r="2194" ht="10" customHeight="1">
      <c r="A2194" s="7" t="inlineStr">
        <is>
          <t>OMN</t>
        </is>
      </c>
      <c r="B2194" s="7" t="inlineStr">
        <is>
          <t>O&amp;M</t>
        </is>
      </c>
      <c r="D2194" s="7" t="inlineStr">
        <is>
          <t>Crane Ships (T-ACS) (4 vessels)</t>
        </is>
      </c>
      <c r="E2194" s="13" t="inlineStr">
        <is>
          <t>[SUB]</t>
        </is>
      </c>
      <c r="F2194" s="7" t="inlineStr">
        <is>
          <t>Ready Reserve Force</t>
        </is>
      </c>
      <c r="I2194" s="14" t="n">
        <v>2</v>
      </c>
      <c r="K2194" s="13" t="inlineStr">
        <is>
          <t>USN</t>
        </is>
      </c>
      <c r="L2194" s="7" t="inlineStr">
        <is>
          <t>Auxiliary Ships</t>
        </is>
      </c>
      <c r="M2194" s="7" t="inlineStr">
        <is>
          <t>Crane Ship</t>
        </is>
      </c>
      <c r="N2194" s="7" t="inlineStr">
        <is>
          <t>ACS</t>
        </is>
      </c>
      <c r="O2194" s="15" t="n"/>
      <c r="S2194" s="16" t="n">
        <v>32251</v>
      </c>
      <c r="U2194" s="16" t="n">
        <v>32251</v>
      </c>
      <c r="AC2194" s="23">
        <f>IF(OR(E2194="",E2194="[PARENT]"),"ADD",IF(E2194="[ALT_VIEW]","ALT",""))</f>
        <v/>
      </c>
      <c r="AD2194" s="21">
        <f>IF(Y2194&lt;&gt;"",Y2194,IF(U2194&lt;&gt;"",U2194,S2194))</f>
        <v/>
      </c>
      <c r="AE2194" s="21">
        <f>IF(AB2194&lt;&gt;"",AB2194,Z2194)</f>
        <v/>
      </c>
      <c r="AF2194" s="13" t="inlineStr">
        <is>
          <t>BA2 &gt; 2A2F &gt; Force Structure &gt; T-ACS</t>
        </is>
      </c>
      <c r="AG2194" s="7" t="inlineStr">
        <is>
          <t>446</t>
        </is>
      </c>
      <c r="AH2194" s="7" t="inlineStr">
        <is>
          <t>2A2F</t>
        </is>
      </c>
      <c r="AI2194" s="7" t="inlineStr">
        <is>
          <t>T-ACS</t>
        </is>
      </c>
    </row>
    <row r="2195" ht="10" customHeight="1">
      <c r="A2195" s="7" t="inlineStr">
        <is>
          <t>OMN</t>
        </is>
      </c>
      <c r="B2195" s="7" t="inlineStr">
        <is>
          <t>O&amp;M</t>
        </is>
      </c>
      <c r="D2195" s="7" t="inlineStr">
        <is>
          <t>Used Sealift Vessel Modernization</t>
        </is>
      </c>
      <c r="E2195" s="13" t="inlineStr">
        <is>
          <t>[SUB]</t>
        </is>
      </c>
      <c r="F2195" s="7" t="inlineStr">
        <is>
          <t>Ready Reserve Force</t>
        </is>
      </c>
      <c r="I2195" s="14" t="n">
        <v>4</v>
      </c>
      <c r="K2195" s="15" t="n"/>
      <c r="O2195" s="15" t="n"/>
      <c r="S2195" s="16" t="n">
        <v>52900</v>
      </c>
      <c r="U2195" s="16" t="n">
        <v>52900</v>
      </c>
      <c r="AC2195" s="23">
        <f>IF(OR(E2195="",E2195="[PARENT]"),"ADD",IF(E2195="[ALT_VIEW]","ALT",""))</f>
        <v/>
      </c>
      <c r="AD2195" s="21">
        <f>IF(Y2195&lt;&gt;"",Y2195,IF(U2195&lt;&gt;"",U2195,S2195))</f>
        <v/>
      </c>
      <c r="AE2195" s="21">
        <f>IF(AB2195&lt;&gt;"",AB2195,Z2195)</f>
        <v/>
      </c>
      <c r="AF2195" s="13" t="inlineStr">
        <is>
          <t>BA2 &gt; 2A2F &gt; Used Sealift Vessel Modernization</t>
        </is>
      </c>
      <c r="AG2195" s="7" t="inlineStr">
        <is>
          <t>446</t>
        </is>
      </c>
      <c r="AH2195" s="7" t="inlineStr">
        <is>
          <t>2A2F</t>
        </is>
      </c>
    </row>
    <row r="2196" ht="10" customHeight="1">
      <c r="A2196" s="7" t="inlineStr">
        <is>
          <t>OMN</t>
        </is>
      </c>
      <c r="B2196" s="7" t="inlineStr">
        <is>
          <t>O&amp;M</t>
        </is>
      </c>
      <c r="D2196" s="7" t="inlineStr">
        <is>
          <t>Reserve Sealift Alterations</t>
        </is>
      </c>
      <c r="E2196" s="13" t="inlineStr">
        <is>
          <t>[SUB]</t>
        </is>
      </c>
      <c r="F2196" s="7" t="inlineStr">
        <is>
          <t>Ready Reserve Force</t>
        </is>
      </c>
      <c r="I2196" s="14" t="n">
        <v>4</v>
      </c>
      <c r="K2196" s="15" t="n"/>
      <c r="O2196" s="15" t="n"/>
      <c r="S2196" s="16" t="n">
        <v>5489</v>
      </c>
      <c r="U2196" s="16" t="n">
        <v>5489</v>
      </c>
      <c r="AC2196" s="23">
        <f>IF(OR(E2196="",E2196="[PARENT]"),"ADD",IF(E2196="[ALT_VIEW]","ALT",""))</f>
        <v/>
      </c>
      <c r="AD2196" s="21">
        <f>IF(Y2196&lt;&gt;"",Y2196,IF(U2196&lt;&gt;"",U2196,S2196))</f>
        <v/>
      </c>
      <c r="AE2196" s="21">
        <f>IF(AB2196&lt;&gt;"",AB2196,Z2196)</f>
        <v/>
      </c>
      <c r="AF2196" s="13" t="inlineStr">
        <is>
          <t>BA2 &gt; 2A2F &gt; Reserve Sealift Alterations</t>
        </is>
      </c>
      <c r="AG2196" s="7" t="inlineStr">
        <is>
          <t>447</t>
        </is>
      </c>
      <c r="AH2196" s="7" t="inlineStr">
        <is>
          <t>2A2F</t>
        </is>
      </c>
    </row>
    <row r="2197" ht="10" customHeight="1">
      <c r="A2197" s="7" t="inlineStr">
        <is>
          <t>OMN</t>
        </is>
      </c>
      <c r="B2197" s="7" t="inlineStr">
        <is>
          <t>O&amp;M</t>
        </is>
      </c>
      <c r="D2197" s="7" t="inlineStr">
        <is>
          <t>Activations/Inactivations</t>
        </is>
      </c>
      <c r="E2197" s="13" t="inlineStr">
        <is>
          <t>[PARENT]</t>
        </is>
      </c>
      <c r="I2197" s="14" t="n">
        <v>2</v>
      </c>
      <c r="K2197" s="15" t="n"/>
      <c r="O2197" s="15" t="n"/>
      <c r="P2197" s="16" t="n">
        <v>283272</v>
      </c>
      <c r="Q2197" s="16" t="n">
        <v>1010215</v>
      </c>
      <c r="S2197" s="16" t="n">
        <v>583296</v>
      </c>
      <c r="U2197" s="16" t="n">
        <v>583296</v>
      </c>
      <c r="AC2197" s="23">
        <f>IF(OR(E2197="",E2197="[PARENT]"),"ADD",IF(E2197="[ALT_VIEW]","ALT",""))</f>
        <v/>
      </c>
      <c r="AD2197" s="21">
        <f>IF(Y2197&lt;&gt;"",Y2197,IF(U2197&lt;&gt;"",U2197,S2197))</f>
        <v/>
      </c>
      <c r="AE2197" s="21">
        <f>IF(AB2197&lt;&gt;"",AB2197,Z2197)</f>
        <v/>
      </c>
      <c r="AF2197" s="13" t="inlineStr">
        <is>
          <t>BA2 &gt; Mobilization &gt; 2B2G Activations/Inactivations</t>
        </is>
      </c>
      <c r="AG2197" s="7" t="inlineStr">
        <is>
          <t>21</t>
        </is>
      </c>
      <c r="AH2197" s="7" t="inlineStr">
        <is>
          <t>2B2G</t>
        </is>
      </c>
    </row>
    <row r="2198" ht="10" customHeight="1">
      <c r="A2198" s="7" t="inlineStr">
        <is>
          <t>OMN</t>
        </is>
      </c>
      <c r="B2198" s="7" t="inlineStr">
        <is>
          <t>O&amp;M</t>
        </is>
      </c>
      <c r="D2198" s="7" t="inlineStr">
        <is>
          <t>Inactive Ship Maintenance Facility &amp; Operations</t>
        </is>
      </c>
      <c r="E2198" s="13" t="inlineStr">
        <is>
          <t>[SUB]</t>
        </is>
      </c>
      <c r="F2198" s="7" t="inlineStr">
        <is>
          <t>Activations/Inactivations</t>
        </is>
      </c>
      <c r="I2198" s="14" t="n">
        <v>2</v>
      </c>
      <c r="K2198" s="15" t="n"/>
      <c r="O2198" s="15" t="n"/>
      <c r="S2198" s="16" t="n">
        <v>30836</v>
      </c>
      <c r="U2198" s="16" t="n">
        <v>30836</v>
      </c>
      <c r="AC2198" s="23">
        <f>IF(OR(E2198="",E2198="[PARENT]"),"ADD",IF(E2198="[ALT_VIEW]","ALT",""))</f>
        <v/>
      </c>
      <c r="AD2198" s="21">
        <f>IF(Y2198&lt;&gt;"",Y2198,IF(U2198&lt;&gt;"",U2198,S2198))</f>
        <v/>
      </c>
      <c r="AE2198" s="21">
        <f>IF(AB2198&lt;&gt;"",AB2198,Z2198)</f>
        <v/>
      </c>
      <c r="AF2198" s="13" t="inlineStr">
        <is>
          <t>BA2 &gt; 2B2G &gt; Inactive Ship Maintenance</t>
        </is>
      </c>
      <c r="AG2198" s="7" t="inlineStr">
        <is>
          <t>459</t>
        </is>
      </c>
      <c r="AH2198" s="7" t="inlineStr">
        <is>
          <t>2B2G</t>
        </is>
      </c>
    </row>
    <row r="2199" ht="10" customHeight="1">
      <c r="A2199" s="7" t="inlineStr">
        <is>
          <t>OMN</t>
        </is>
      </c>
      <c r="B2199" s="7" t="inlineStr">
        <is>
          <t>O&amp;M</t>
        </is>
      </c>
      <c r="C2199" s="7" t="inlineStr">
        <is>
          <t>CVN 068</t>
        </is>
      </c>
      <c r="D2199" s="7" t="inlineStr">
        <is>
          <t>USS NIMITZ (CVN 68) - I&amp;D and STOP</t>
        </is>
      </c>
      <c r="E2199" s="13" t="inlineStr">
        <is>
          <t>[SUB]</t>
        </is>
      </c>
      <c r="F2199" s="7" t="inlineStr">
        <is>
          <t>Activations/Inactivations</t>
        </is>
      </c>
      <c r="I2199" s="14" t="n">
        <v>2</v>
      </c>
      <c r="K2199" s="13" t="inlineStr">
        <is>
          <t>USN</t>
        </is>
      </c>
      <c r="L2199" s="7" t="inlineStr">
        <is>
          <t>Combatant Ships</t>
        </is>
      </c>
      <c r="M2199" s="7" t="inlineStr">
        <is>
          <t>Aircraft Carriers</t>
        </is>
      </c>
      <c r="N2199" s="7" t="inlineStr">
        <is>
          <t>CVN</t>
        </is>
      </c>
      <c r="O2199" s="15" t="n"/>
      <c r="S2199" s="16" t="n">
        <v>359408</v>
      </c>
      <c r="U2199" s="16" t="n">
        <v>359408</v>
      </c>
      <c r="AC2199" s="23">
        <f>IF(OR(E2199="",E2199="[PARENT]"),"ADD",IF(E2199="[ALT_VIEW]","ALT",""))</f>
        <v/>
      </c>
      <c r="AD2199" s="21">
        <f>IF(Y2199&lt;&gt;"",Y2199,IF(U2199&lt;&gt;"",U2199,S2199))</f>
        <v/>
      </c>
      <c r="AE2199" s="21">
        <f>IF(AB2199&lt;&gt;"",AB2199,Z2199)</f>
        <v/>
      </c>
      <c r="AF2199" s="13" t="inlineStr">
        <is>
          <t>BA2 &gt; 2B2G &gt; Nuclear Surface Ship Inactivation</t>
        </is>
      </c>
      <c r="AG2199" s="7" t="inlineStr">
        <is>
          <t>465</t>
        </is>
      </c>
      <c r="AH2199" s="7" t="inlineStr">
        <is>
          <t>2B2G</t>
        </is>
      </c>
    </row>
    <row r="2200" ht="10" customHeight="1">
      <c r="A2200" s="7" t="inlineStr">
        <is>
          <t>OMN</t>
        </is>
      </c>
      <c r="B2200" s="7" t="inlineStr">
        <is>
          <t>O&amp;M</t>
        </is>
      </c>
      <c r="C2200" s="7" t="inlineStr">
        <is>
          <t>CVN 065</t>
        </is>
      </c>
      <c r="D2200" s="7" t="inlineStr">
        <is>
          <t>Ex-ENTERPRISE (CVN 65) - Dismantlement &amp; Disposal</t>
        </is>
      </c>
      <c r="E2200" s="13" t="inlineStr">
        <is>
          <t>[SUB]</t>
        </is>
      </c>
      <c r="F2200" s="7" t="inlineStr">
        <is>
          <t>Activations/Inactivations</t>
        </is>
      </c>
      <c r="I2200" s="14" t="n">
        <v>2</v>
      </c>
      <c r="K2200" s="13" t="inlineStr">
        <is>
          <t>USN</t>
        </is>
      </c>
      <c r="L2200" s="7" t="inlineStr">
        <is>
          <t>Combatant Ships</t>
        </is>
      </c>
      <c r="M2200" s="7" t="inlineStr">
        <is>
          <t>Aircraft Carriers</t>
        </is>
      </c>
      <c r="N2200" s="7" t="inlineStr">
        <is>
          <t>CVN</t>
        </is>
      </c>
      <c r="O2200" s="15" t="n"/>
      <c r="S2200" s="16" t="n">
        <v>7800</v>
      </c>
      <c r="U2200" s="16" t="n">
        <v>7800</v>
      </c>
      <c r="AC2200" s="23">
        <f>IF(OR(E2200="",E2200="[PARENT]"),"ADD",IF(E2200="[ALT_VIEW]","ALT",""))</f>
        <v/>
      </c>
      <c r="AD2200" s="21">
        <f>IF(Y2200&lt;&gt;"",Y2200,IF(U2200&lt;&gt;"",U2200,S2200))</f>
        <v/>
      </c>
      <c r="AE2200" s="21">
        <f>IF(AB2200&lt;&gt;"",AB2200,Z2200)</f>
        <v/>
      </c>
      <c r="AF2200" s="13" t="inlineStr">
        <is>
          <t>BA2 &gt; 2B2G &gt; Nuclear Surface Ship Inactivation</t>
        </is>
      </c>
      <c r="AG2200" s="7" t="inlineStr">
        <is>
          <t>456</t>
        </is>
      </c>
      <c r="AH2200" s="7" t="inlineStr">
        <is>
          <t>2B2G</t>
        </is>
      </c>
    </row>
    <row r="2201" ht="10" customHeight="1">
      <c r="A2201" s="7" t="inlineStr">
        <is>
          <t>OMN</t>
        </is>
      </c>
      <c r="B2201" s="7" t="inlineStr">
        <is>
          <t>O&amp;M</t>
        </is>
      </c>
      <c r="C2201" s="7" t="inlineStr">
        <is>
          <t>SSN 757</t>
        </is>
      </c>
      <c r="D2201" s="7" t="inlineStr">
        <is>
          <t>USS ALEXANDRIA (SSN 757) - Nuclear Sub I&amp;D</t>
        </is>
      </c>
      <c r="E2201" s="13" t="inlineStr">
        <is>
          <t>[SUB]</t>
        </is>
      </c>
      <c r="F2201" s="7" t="inlineStr">
        <is>
          <t>Activations/Inactivations</t>
        </is>
      </c>
      <c r="I2201" s="14" t="n">
        <v>2</v>
      </c>
      <c r="K2201" s="13" t="inlineStr">
        <is>
          <t>USN</t>
        </is>
      </c>
      <c r="L2201" s="7" t="inlineStr">
        <is>
          <t>Combatant Ships</t>
        </is>
      </c>
      <c r="M2201" s="7" t="inlineStr">
        <is>
          <t>Submarines</t>
        </is>
      </c>
      <c r="N2201" s="7" t="inlineStr">
        <is>
          <t>SSN</t>
        </is>
      </c>
      <c r="O2201" s="15" t="n"/>
      <c r="S2201" s="16" t="n">
        <v>70000</v>
      </c>
      <c r="U2201" s="16" t="n">
        <v>70000</v>
      </c>
      <c r="AC2201" s="23">
        <f>IF(OR(E2201="",E2201="[PARENT]"),"ADD",IF(E2201="[ALT_VIEW]","ALT",""))</f>
        <v/>
      </c>
      <c r="AD2201" s="21">
        <f>IF(Y2201&lt;&gt;"",Y2201,IF(U2201&lt;&gt;"",U2201,S2201))</f>
        <v/>
      </c>
      <c r="AE2201" s="21">
        <f>IF(AB2201&lt;&gt;"",AB2201,Z2201)</f>
        <v/>
      </c>
      <c r="AF2201" s="13" t="inlineStr">
        <is>
          <t>BA2 &gt; 2B2G &gt; Nuclear Submarine Inactivation</t>
        </is>
      </c>
      <c r="AG2201" s="7" t="inlineStr">
        <is>
          <t>461</t>
        </is>
      </c>
      <c r="AH2201" s="7" t="inlineStr">
        <is>
          <t>2B2G</t>
        </is>
      </c>
    </row>
    <row r="2202" ht="10" customHeight="1">
      <c r="A2202" s="7" t="inlineStr">
        <is>
          <t>OMN</t>
        </is>
      </c>
      <c r="B2202" s="7" t="inlineStr">
        <is>
          <t>O&amp;M</t>
        </is>
      </c>
      <c r="D2202" s="7" t="inlineStr">
        <is>
          <t>Nuclear Submarine Advanced Planning (7 boats)</t>
        </is>
      </c>
      <c r="E2202" s="13" t="inlineStr">
        <is>
          <t>[SUB]</t>
        </is>
      </c>
      <c r="F2202" s="7" t="inlineStr">
        <is>
          <t>Activations/Inactivations</t>
        </is>
      </c>
      <c r="I2202" s="14" t="n">
        <v>6</v>
      </c>
      <c r="K2202" s="13" t="inlineStr">
        <is>
          <t>USN</t>
        </is>
      </c>
      <c r="L2202" s="7" t="inlineStr">
        <is>
          <t>Combatant Ships</t>
        </is>
      </c>
      <c r="M2202" s="7" t="inlineStr">
        <is>
          <t>Submarines</t>
        </is>
      </c>
      <c r="O2202" s="15" t="n"/>
      <c r="S2202" s="16" t="n">
        <v>30232</v>
      </c>
      <c r="U2202" s="16" t="n">
        <v>30232</v>
      </c>
      <c r="AC2202" s="23">
        <f>IF(OR(E2202="",E2202="[PARENT]"),"ADD",IF(E2202="[ALT_VIEW]","ALT",""))</f>
        <v/>
      </c>
      <c r="AD2202" s="21">
        <f>IF(Y2202&lt;&gt;"",Y2202,IF(U2202&lt;&gt;"",U2202,S2202))</f>
        <v/>
      </c>
      <c r="AE2202" s="21">
        <f>IF(AB2202&lt;&gt;"",AB2202,Z2202)</f>
        <v/>
      </c>
      <c r="AF2202" s="13" t="inlineStr">
        <is>
          <t>BA2 &gt; 2B2G &gt; Nuclear Submarine Advanced Planning</t>
        </is>
      </c>
      <c r="AG2202" s="7" t="inlineStr">
        <is>
          <t>461</t>
        </is>
      </c>
      <c r="AH2202" s="7" t="inlineStr">
        <is>
          <t>2B2G</t>
        </is>
      </c>
    </row>
    <row r="2203" ht="10" customHeight="1">
      <c r="A2203" s="7" t="inlineStr">
        <is>
          <t>OMN</t>
        </is>
      </c>
      <c r="B2203" s="7" t="inlineStr">
        <is>
          <t>O&amp;M</t>
        </is>
      </c>
      <c r="D2203" s="7" t="inlineStr">
        <is>
          <t>Surface Ship Decommissioning (LSD 42, LSD 48, LCS 3, CG 67, CG 70)</t>
        </is>
      </c>
      <c r="E2203" s="13" t="inlineStr">
        <is>
          <t>[SUB]</t>
        </is>
      </c>
      <c r="F2203" s="7" t="inlineStr">
        <is>
          <t>Activations/Inactivations</t>
        </is>
      </c>
      <c r="I2203" s="14" t="n">
        <v>2</v>
      </c>
      <c r="K2203" s="15" t="n"/>
      <c r="O2203" s="15" t="n"/>
      <c r="S2203" s="16" t="n">
        <v>14571</v>
      </c>
      <c r="U2203" s="16" t="n">
        <v>14571</v>
      </c>
      <c r="AC2203" s="23">
        <f>IF(OR(E2203="",E2203="[PARENT]"),"ADD",IF(E2203="[ALT_VIEW]","ALT",""))</f>
        <v/>
      </c>
      <c r="AD2203" s="21">
        <f>IF(Y2203&lt;&gt;"",Y2203,IF(U2203&lt;&gt;"",U2203,S2203))</f>
        <v/>
      </c>
      <c r="AE2203" s="21">
        <f>IF(AB2203&lt;&gt;"",AB2203,Z2203)</f>
        <v/>
      </c>
      <c r="AF2203" s="13" t="inlineStr">
        <is>
          <t>BA2 &gt; 2B2G &gt; Surface Ship Inactivation</t>
        </is>
      </c>
      <c r="AG2203" s="7" t="inlineStr">
        <is>
          <t>460</t>
        </is>
      </c>
      <c r="AH2203" s="7" t="inlineStr">
        <is>
          <t>2B2G</t>
        </is>
      </c>
    </row>
    <row r="2204" ht="10" customHeight="1">
      <c r="A2204" s="7" t="inlineStr">
        <is>
          <t>OMN</t>
        </is>
      </c>
      <c r="B2204" s="7" t="inlineStr">
        <is>
          <t>O&amp;M</t>
        </is>
      </c>
      <c r="C2204" s="7" t="inlineStr">
        <is>
          <t>SSN 691</t>
        </is>
      </c>
      <c r="D2204" s="7" t="inlineStr">
        <is>
          <t>Ex-MEMPHIS (SSN 691) - Reactor Compartment Recycling</t>
        </is>
      </c>
      <c r="E2204" s="13" t="inlineStr">
        <is>
          <t>[SUB]</t>
        </is>
      </c>
      <c r="F2204" s="7" t="inlineStr">
        <is>
          <t>Activations/Inactivations</t>
        </is>
      </c>
      <c r="I2204" s="14" t="n">
        <v>2</v>
      </c>
      <c r="K2204" s="13" t="inlineStr">
        <is>
          <t>USN</t>
        </is>
      </c>
      <c r="L2204" s="7" t="inlineStr">
        <is>
          <t>Combatant Ships</t>
        </is>
      </c>
      <c r="M2204" s="7" t="inlineStr">
        <is>
          <t>Submarines</t>
        </is>
      </c>
      <c r="N2204" s="7" t="inlineStr">
        <is>
          <t>SSN</t>
        </is>
      </c>
      <c r="O2204" s="15" t="n"/>
      <c r="S2204" s="16" t="n">
        <v>15098</v>
      </c>
      <c r="U2204" s="16" t="n">
        <v>15098</v>
      </c>
      <c r="AC2204" s="23">
        <f>IF(OR(E2204="",E2204="[PARENT]"),"ADD",IF(E2204="[ALT_VIEW]","ALT",""))</f>
        <v/>
      </c>
      <c r="AD2204" s="21">
        <f>IF(Y2204&lt;&gt;"",Y2204,IF(U2204&lt;&gt;"",U2204,S2204))</f>
        <v/>
      </c>
      <c r="AE2204" s="21">
        <f>IF(AB2204&lt;&gt;"",AB2204,Z2204)</f>
        <v/>
      </c>
      <c r="AF2204" s="13" t="inlineStr">
        <is>
          <t>BA2 &gt; 2B2G &gt; Nuclear Submarine Recycling</t>
        </is>
      </c>
      <c r="AG2204" s="7" t="inlineStr">
        <is>
          <t>456</t>
        </is>
      </c>
      <c r="AH2204" s="7" t="inlineStr">
        <is>
          <t>2B2G</t>
        </is>
      </c>
    </row>
    <row r="2205" ht="10" customHeight="1">
      <c r="A2205" s="7" t="inlineStr">
        <is>
          <t>OMN</t>
        </is>
      </c>
      <c r="B2205" s="7" t="inlineStr">
        <is>
          <t>O&amp;M</t>
        </is>
      </c>
      <c r="D2205" s="7" t="inlineStr">
        <is>
          <t>Inactivation Program Management Support</t>
        </is>
      </c>
      <c r="E2205" s="13" t="inlineStr">
        <is>
          <t>[SUB]</t>
        </is>
      </c>
      <c r="F2205" s="7" t="inlineStr">
        <is>
          <t>Activations/Inactivations</t>
        </is>
      </c>
      <c r="I2205" s="14" t="n">
        <v>6</v>
      </c>
      <c r="K2205" s="15" t="n"/>
      <c r="O2205" s="15" t="n"/>
      <c r="S2205" s="16" t="n">
        <v>47171</v>
      </c>
      <c r="U2205" s="16" t="n">
        <v>47171</v>
      </c>
      <c r="AC2205" s="23">
        <f>IF(OR(E2205="",E2205="[PARENT]"),"ADD",IF(E2205="[ALT_VIEW]","ALT",""))</f>
        <v/>
      </c>
      <c r="AD2205" s="21">
        <f>IF(Y2205&lt;&gt;"",Y2205,IF(U2205&lt;&gt;"",U2205,S2205))</f>
        <v/>
      </c>
      <c r="AE2205" s="21">
        <f>IF(AB2205&lt;&gt;"",AB2205,Z2205)</f>
        <v/>
      </c>
      <c r="AF2205" s="13" t="inlineStr">
        <is>
          <t>BA2 &gt; 2B2G &gt; Program Management</t>
        </is>
      </c>
      <c r="AG2205" s="7" t="inlineStr">
        <is>
          <t>462</t>
        </is>
      </c>
      <c r="AH2205" s="7" t="inlineStr">
        <is>
          <t>2B2G</t>
        </is>
      </c>
    </row>
    <row r="2206" ht="10" customHeight="1">
      <c r="A2206" s="7" t="inlineStr">
        <is>
          <t>OMN</t>
        </is>
      </c>
      <c r="B2206" s="7" t="inlineStr">
        <is>
          <t>O&amp;M</t>
        </is>
      </c>
      <c r="D2206" s="7" t="inlineStr">
        <is>
          <t>Ship Operational Support and Training</t>
        </is>
      </c>
      <c r="E2206" s="13" t="inlineStr">
        <is>
          <t>[PARENT]</t>
        </is>
      </c>
      <c r="I2206" s="14" t="n">
        <v>6</v>
      </c>
      <c r="K2206" s="15" t="n"/>
      <c r="O2206" s="15" t="n"/>
      <c r="P2206" s="16" t="n">
        <v>1372331</v>
      </c>
      <c r="Q2206" s="16" t="n">
        <v>1536668</v>
      </c>
      <c r="S2206" s="16" t="n">
        <v>1719580</v>
      </c>
      <c r="U2206" s="16" t="n">
        <v>1719580</v>
      </c>
      <c r="AC2206" s="23">
        <f>IF(OR(E2206="",E2206="[PARENT]"),"ADD",IF(E2206="[ALT_VIEW]","ALT",""))</f>
        <v/>
      </c>
      <c r="AD2206" s="21">
        <f>IF(Y2206&lt;&gt;"",Y2206,IF(U2206&lt;&gt;"",U2206,S2206))</f>
        <v/>
      </c>
      <c r="AE2206" s="21">
        <f>IF(AB2206&lt;&gt;"",AB2206,Z2206)</f>
        <v/>
      </c>
      <c r="AF2206" s="13" t="inlineStr">
        <is>
          <t>BA1 &gt; Ship Operations &gt; 1B2B Ship Operational Support and Training</t>
        </is>
      </c>
      <c r="AG2206" s="7" t="inlineStr">
        <is>
          <t>20</t>
        </is>
      </c>
      <c r="AH2206" s="7" t="inlineStr">
        <is>
          <t>1B2B</t>
        </is>
      </c>
    </row>
    <row r="2207" ht="10" customHeight="1">
      <c r="A2207" s="7" t="inlineStr">
        <is>
          <t>OMN</t>
        </is>
      </c>
      <c r="B2207" s="7" t="inlineStr">
        <is>
          <t>O&amp;M</t>
        </is>
      </c>
      <c r="D2207" s="7" t="inlineStr">
        <is>
          <t>AEGIS Harvesting &amp; Depot Establishment</t>
        </is>
      </c>
      <c r="E2207" s="13" t="inlineStr">
        <is>
          <t>[SUB]</t>
        </is>
      </c>
      <c r="F2207" s="7" t="inlineStr">
        <is>
          <t>Ship Operational Support and Training</t>
        </is>
      </c>
      <c r="I2207" s="14" t="n">
        <v>6</v>
      </c>
      <c r="K2207" s="13" t="inlineStr">
        <is>
          <t>USN</t>
        </is>
      </c>
      <c r="L2207" s="7" t="inlineStr">
        <is>
          <t>Combatant Ships</t>
        </is>
      </c>
      <c r="M2207" s="7" t="inlineStr">
        <is>
          <t>Surface Combatants</t>
        </is>
      </c>
      <c r="N2207" s="7" t="inlineStr">
        <is>
          <t>DDG</t>
        </is>
      </c>
      <c r="O2207" s="15" t="n"/>
      <c r="S2207" s="16" t="n">
        <v>110969</v>
      </c>
      <c r="U2207" s="16" t="n">
        <v>110969</v>
      </c>
      <c r="AC2207" s="23">
        <f>IF(OR(E2207="",E2207="[PARENT]"),"ADD",IF(E2207="[ALT_VIEW]","ALT",""))</f>
        <v/>
      </c>
      <c r="AD2207" s="21">
        <f>IF(Y2207&lt;&gt;"",Y2207,IF(U2207&lt;&gt;"",U2207,S2207))</f>
        <v/>
      </c>
      <c r="AE2207" s="21">
        <f>IF(AB2207&lt;&gt;"",AB2207,Z2207)</f>
        <v/>
      </c>
      <c r="AF2207" s="13" t="inlineStr">
        <is>
          <t>BA1 &gt; 1B2B &gt; Program Increases &gt; Surface Support</t>
        </is>
      </c>
      <c r="AG2207" s="7" t="inlineStr">
        <is>
          <t>140</t>
        </is>
      </c>
      <c r="AH2207" s="7" t="inlineStr">
        <is>
          <t>1B2B</t>
        </is>
      </c>
      <c r="AI2207" s="7" t="inlineStr">
        <is>
          <t>Surface Support</t>
        </is>
      </c>
    </row>
    <row r="2208" ht="10" customHeight="1">
      <c r="A2208" s="7" t="inlineStr">
        <is>
          <t>OMN</t>
        </is>
      </c>
      <c r="B2208" s="7" t="inlineStr">
        <is>
          <t>O&amp;M</t>
        </is>
      </c>
      <c r="D2208" s="7" t="inlineStr">
        <is>
          <t>Subsurface Support - OHIO Class &amp; Columbia Platform</t>
        </is>
      </c>
      <c r="E2208" s="13" t="inlineStr">
        <is>
          <t>[SUB]</t>
        </is>
      </c>
      <c r="F2208" s="7" t="inlineStr">
        <is>
          <t>Ship Operational Support and Training</t>
        </is>
      </c>
      <c r="I2208" s="14" t="n">
        <v>6</v>
      </c>
      <c r="K2208" s="13" t="inlineStr">
        <is>
          <t>USN</t>
        </is>
      </c>
      <c r="L2208" s="7" t="inlineStr">
        <is>
          <t>Combatant Ships</t>
        </is>
      </c>
      <c r="M2208" s="7" t="inlineStr">
        <is>
          <t>Submarines</t>
        </is>
      </c>
      <c r="N2208" s="7" t="inlineStr">
        <is>
          <t>SSBN</t>
        </is>
      </c>
      <c r="O2208" s="15" t="n"/>
      <c r="S2208" s="16" t="n">
        <v>23185</v>
      </c>
      <c r="U2208" s="16" t="n">
        <v>23185</v>
      </c>
      <c r="AC2208" s="23">
        <f>IF(OR(E2208="",E2208="[PARENT]"),"ADD",IF(E2208="[ALT_VIEW]","ALT",""))</f>
        <v/>
      </c>
      <c r="AD2208" s="21">
        <f>IF(Y2208&lt;&gt;"",Y2208,IF(U2208&lt;&gt;"",U2208,S2208))</f>
        <v/>
      </c>
      <c r="AE2208" s="21">
        <f>IF(AB2208&lt;&gt;"",AB2208,Z2208)</f>
        <v/>
      </c>
      <c r="AF2208" s="13" t="inlineStr">
        <is>
          <t>BA1 &gt; 1B2B &gt; Program Increases &gt; Subsurface</t>
        </is>
      </c>
      <c r="AG2208" s="7" t="inlineStr">
        <is>
          <t>140</t>
        </is>
      </c>
      <c r="AH2208" s="7" t="inlineStr">
        <is>
          <t>1B2B</t>
        </is>
      </c>
      <c r="AI2208" s="7" t="inlineStr">
        <is>
          <t>Subsurface</t>
        </is>
      </c>
    </row>
    <row r="2209" ht="10" customHeight="1">
      <c r="A2209" s="7" t="inlineStr">
        <is>
          <t>OMN</t>
        </is>
      </c>
      <c r="B2209" s="7" t="inlineStr">
        <is>
          <t>O&amp;M</t>
        </is>
      </c>
      <c r="D2209" s="7" t="inlineStr">
        <is>
          <t>Submarine In-Service Engineering Activity (ISEA) Support</t>
        </is>
      </c>
      <c r="E2209" s="13" t="inlineStr">
        <is>
          <t>[SUB]</t>
        </is>
      </c>
      <c r="F2209" s="7" t="inlineStr">
        <is>
          <t>Ship Operational Support and Training</t>
        </is>
      </c>
      <c r="I2209" s="14" t="n">
        <v>6</v>
      </c>
      <c r="K2209" s="13" t="inlineStr">
        <is>
          <t>USN</t>
        </is>
      </c>
      <c r="L2209" s="7" t="inlineStr">
        <is>
          <t>Combatant Ships</t>
        </is>
      </c>
      <c r="M2209" s="7" t="inlineStr">
        <is>
          <t>Submarines</t>
        </is>
      </c>
      <c r="N2209" s="7" t="inlineStr">
        <is>
          <t>SSN</t>
        </is>
      </c>
      <c r="O2209" s="15" t="n"/>
      <c r="S2209" s="16" t="n">
        <v>9633</v>
      </c>
      <c r="U2209" s="16" t="n">
        <v>9633</v>
      </c>
      <c r="AC2209" s="23">
        <f>IF(OR(E2209="",E2209="[PARENT]"),"ADD",IF(E2209="[ALT_VIEW]","ALT",""))</f>
        <v/>
      </c>
      <c r="AD2209" s="21">
        <f>IF(Y2209&lt;&gt;"",Y2209,IF(U2209&lt;&gt;"",U2209,S2209))</f>
        <v/>
      </c>
      <c r="AE2209" s="21">
        <f>IF(AB2209&lt;&gt;"",AB2209,Z2209)</f>
        <v/>
      </c>
      <c r="AF2209" s="13" t="inlineStr">
        <is>
          <t>BA1 &gt; 1B2B &gt; Program Increases &gt; Subsurface</t>
        </is>
      </c>
      <c r="AG2209" s="7" t="inlineStr">
        <is>
          <t>141</t>
        </is>
      </c>
      <c r="AH2209" s="7" t="inlineStr">
        <is>
          <t>1B2B</t>
        </is>
      </c>
      <c r="AI2209" s="7" t="inlineStr">
        <is>
          <t>Subsurface</t>
        </is>
      </c>
    </row>
    <row r="2210" ht="10" customHeight="1">
      <c r="A2210" s="7" t="inlineStr">
        <is>
          <t>OMN</t>
        </is>
      </c>
      <c r="B2210" s="7" t="inlineStr">
        <is>
          <t>O&amp;M</t>
        </is>
      </c>
      <c r="D2210" s="7" t="inlineStr">
        <is>
          <t>Submarine Industrial Base (SIB) Recapitalization</t>
        </is>
      </c>
      <c r="E2210" s="13" t="inlineStr">
        <is>
          <t>[SUB]</t>
        </is>
      </c>
      <c r="F2210" s="7" t="inlineStr">
        <is>
          <t>Ship Operational Support and Training</t>
        </is>
      </c>
      <c r="I2210" s="14" t="n">
        <v>6</v>
      </c>
      <c r="K2210" s="13" t="inlineStr">
        <is>
          <t>USN</t>
        </is>
      </c>
      <c r="L2210" s="7" t="inlineStr">
        <is>
          <t>Combatant Ships</t>
        </is>
      </c>
      <c r="M2210" s="7" t="inlineStr">
        <is>
          <t>Submarines</t>
        </is>
      </c>
      <c r="N2210" s="7" t="inlineStr">
        <is>
          <t>SSN</t>
        </is>
      </c>
      <c r="O2210" s="15" t="n"/>
      <c r="S2210" s="16" t="n">
        <v>4145</v>
      </c>
      <c r="U2210" s="16" t="n">
        <v>4145</v>
      </c>
      <c r="AC2210" s="23">
        <f>IF(OR(E2210="",E2210="[PARENT]"),"ADD",IF(E2210="[ALT_VIEW]","ALT",""))</f>
        <v/>
      </c>
      <c r="AD2210" s="21">
        <f>IF(Y2210&lt;&gt;"",Y2210,IF(U2210&lt;&gt;"",U2210,S2210))</f>
        <v/>
      </c>
      <c r="AE2210" s="21">
        <f>IF(AB2210&lt;&gt;"",AB2210,Z2210)</f>
        <v/>
      </c>
      <c r="AF2210" s="13" t="inlineStr">
        <is>
          <t>BA1 &gt; 1B2B &gt; Program Increases &gt; Subsurface</t>
        </is>
      </c>
      <c r="AG2210" s="7" t="inlineStr">
        <is>
          <t>141</t>
        </is>
      </c>
      <c r="AH2210" s="7" t="inlineStr">
        <is>
          <t>1B2B</t>
        </is>
      </c>
      <c r="AI2210" s="7" t="inlineStr">
        <is>
          <t>Subsurface</t>
        </is>
      </c>
    </row>
    <row r="2211" ht="10" customHeight="1">
      <c r="A2211" s="7" t="inlineStr">
        <is>
          <t>OMN</t>
        </is>
      </c>
      <c r="B2211" s="7" t="inlineStr">
        <is>
          <t>O&amp;M</t>
        </is>
      </c>
      <c r="D2211" s="7" t="inlineStr">
        <is>
          <t>CVN 78 Class Lifecycle Training for HM&amp;E Systems</t>
        </is>
      </c>
      <c r="E2211" s="13" t="inlineStr">
        <is>
          <t>[SUB]</t>
        </is>
      </c>
      <c r="F2211" s="7" t="inlineStr">
        <is>
          <t>Ship Operational Support and Training</t>
        </is>
      </c>
      <c r="I2211" s="14" t="n">
        <v>6</v>
      </c>
      <c r="K2211" s="13" t="inlineStr">
        <is>
          <t>USN</t>
        </is>
      </c>
      <c r="L2211" s="7" t="inlineStr">
        <is>
          <t>Combatant Ships</t>
        </is>
      </c>
      <c r="M2211" s="7" t="inlineStr">
        <is>
          <t>Aircraft Carriers</t>
        </is>
      </c>
      <c r="N2211" s="7" t="inlineStr">
        <is>
          <t>CVN</t>
        </is>
      </c>
      <c r="O2211" s="15" t="n"/>
      <c r="S2211" s="16" t="n">
        <v>1537</v>
      </c>
      <c r="U2211" s="16" t="n">
        <v>1537</v>
      </c>
      <c r="AC2211" s="23">
        <f>IF(OR(E2211="",E2211="[PARENT]"),"ADD",IF(E2211="[ALT_VIEW]","ALT",""))</f>
        <v/>
      </c>
      <c r="AD2211" s="21">
        <f>IF(Y2211&lt;&gt;"",Y2211,IF(U2211&lt;&gt;"",U2211,S2211))</f>
        <v/>
      </c>
      <c r="AE2211" s="21">
        <f>IF(AB2211&lt;&gt;"",AB2211,Z2211)</f>
        <v/>
      </c>
      <c r="AF2211" s="13" t="inlineStr">
        <is>
          <t>BA1 &gt; 1B2B &gt; Program Increases &gt; Surface</t>
        </is>
      </c>
      <c r="AG2211" s="7" t="inlineStr">
        <is>
          <t>142</t>
        </is>
      </c>
      <c r="AH2211" s="7" t="inlineStr">
        <is>
          <t>1B2B</t>
        </is>
      </c>
      <c r="AI2211" s="7" t="inlineStr">
        <is>
          <t>Surface</t>
        </is>
      </c>
    </row>
    <row r="2212" ht="10" customHeight="1">
      <c r="A2212" s="7" t="inlineStr">
        <is>
          <t>OMN</t>
        </is>
      </c>
      <c r="B2212" s="7" t="inlineStr">
        <is>
          <t>O&amp;M</t>
        </is>
      </c>
      <c r="D2212" s="7" t="inlineStr">
        <is>
          <t>3M Surface Ship PMS Technical Feedback Reports</t>
        </is>
      </c>
      <c r="E2212" s="13" t="inlineStr">
        <is>
          <t>[SUB]</t>
        </is>
      </c>
      <c r="F2212" s="7" t="inlineStr">
        <is>
          <t>Ship Operational Support and Training</t>
        </is>
      </c>
      <c r="I2212" s="14" t="n">
        <v>6</v>
      </c>
      <c r="K2212" s="15" t="n"/>
      <c r="O2212" s="15" t="n"/>
      <c r="S2212" s="16" t="n">
        <v>1167</v>
      </c>
      <c r="U2212" s="16" t="n">
        <v>1167</v>
      </c>
      <c r="AC2212" s="23">
        <f>IF(OR(E2212="",E2212="[PARENT]"),"ADD",IF(E2212="[ALT_VIEW]","ALT",""))</f>
        <v/>
      </c>
      <c r="AD2212" s="21">
        <f>IF(Y2212&lt;&gt;"",Y2212,IF(U2212&lt;&gt;"",U2212,S2212))</f>
        <v/>
      </c>
      <c r="AE2212" s="21">
        <f>IF(AB2212&lt;&gt;"",AB2212,Z2212)</f>
        <v/>
      </c>
      <c r="AF2212" s="13" t="inlineStr">
        <is>
          <t>BA1 &gt; 1B2B &gt; Program Increases &gt; Surface</t>
        </is>
      </c>
      <c r="AG2212" s="7" t="inlineStr">
        <is>
          <t>142</t>
        </is>
      </c>
      <c r="AH2212" s="7" t="inlineStr">
        <is>
          <t>1B2B</t>
        </is>
      </c>
      <c r="AI2212" s="7" t="inlineStr">
        <is>
          <t>Surface</t>
        </is>
      </c>
    </row>
    <row r="2213" ht="10" customHeight="1">
      <c r="A2213" s="7" t="inlineStr">
        <is>
          <t>OMN</t>
        </is>
      </c>
      <c r="B2213" s="7" t="inlineStr">
        <is>
          <t>O&amp;M</t>
        </is>
      </c>
      <c r="D2213" s="7" t="inlineStr">
        <is>
          <t>RVL Tempalt Tech Refresh (Submarines)</t>
        </is>
      </c>
      <c r="E2213" s="13" t="inlineStr">
        <is>
          <t>[SUB]</t>
        </is>
      </c>
      <c r="F2213" s="7" t="inlineStr">
        <is>
          <t>Ship Operational Support and Training</t>
        </is>
      </c>
      <c r="I2213" s="14" t="n">
        <v>4</v>
      </c>
      <c r="K2213" s="13" t="inlineStr">
        <is>
          <t>USN</t>
        </is>
      </c>
      <c r="L2213" s="7" t="inlineStr">
        <is>
          <t>Combatant Ships</t>
        </is>
      </c>
      <c r="M2213" s="7" t="inlineStr">
        <is>
          <t>Submarines</t>
        </is>
      </c>
      <c r="N2213" s="7" t="inlineStr">
        <is>
          <t>SSN</t>
        </is>
      </c>
      <c r="O2213" s="15" t="n"/>
      <c r="S2213" s="16" t="n">
        <v>2039</v>
      </c>
      <c r="U2213" s="16" t="n">
        <v>2039</v>
      </c>
      <c r="AC2213" s="23">
        <f>IF(OR(E2213="",E2213="[PARENT]"),"ADD",IF(E2213="[ALT_VIEW]","ALT",""))</f>
        <v/>
      </c>
      <c r="AD2213" s="21">
        <f>IF(Y2213&lt;&gt;"",Y2213,IF(U2213&lt;&gt;"",U2213,S2213))</f>
        <v/>
      </c>
      <c r="AE2213" s="21">
        <f>IF(AB2213&lt;&gt;"",AB2213,Z2213)</f>
        <v/>
      </c>
      <c r="AF2213" s="13" t="inlineStr">
        <is>
          <t>BA1 &gt; 1B2B &gt; Program Increases &gt; Subsurface</t>
        </is>
      </c>
      <c r="AG2213" s="7" t="inlineStr">
        <is>
          <t>141</t>
        </is>
      </c>
      <c r="AH2213" s="7" t="inlineStr">
        <is>
          <t>1B2B</t>
        </is>
      </c>
      <c r="AI2213" s="7" t="inlineStr">
        <is>
          <t>Subsurface</t>
        </is>
      </c>
    </row>
    <row r="2214" ht="10" customHeight="1">
      <c r="A2214" s="7" t="inlineStr">
        <is>
          <t>OMN</t>
        </is>
      </c>
      <c r="B2214" s="7" t="inlineStr">
        <is>
          <t>O&amp;M</t>
        </is>
      </c>
      <c r="C2214" s="7" t="inlineStr">
        <is>
          <t>922</t>
        </is>
      </c>
      <c r="D2214" s="7" t="inlineStr">
        <is>
          <t>Equipment Maintenance By Contract</t>
        </is>
      </c>
      <c r="E2214" s="13" t="inlineStr">
        <is>
          <t>[SUB]</t>
        </is>
      </c>
      <c r="F2214" s="7" t="inlineStr">
        <is>
          <t>Ship Operational Support and Training</t>
        </is>
      </c>
      <c r="I2214" s="14" t="n">
        <v>6</v>
      </c>
      <c r="K2214" s="15" t="n"/>
      <c r="O2214" s="15" t="n"/>
      <c r="P2214" s="16" t="n">
        <v>104186</v>
      </c>
      <c r="Q2214" s="16" t="n">
        <v>220854</v>
      </c>
      <c r="S2214" s="16" t="n">
        <v>283620</v>
      </c>
      <c r="U2214" s="16" t="n">
        <v>283620</v>
      </c>
      <c r="AC2214" s="23">
        <f>IF(OR(E2214="",E2214="[PARENT]"),"ADD",IF(E2214="[ALT_VIEW]","ALT",""))</f>
        <v/>
      </c>
      <c r="AD2214" s="21">
        <f>IF(Y2214&lt;&gt;"",Y2214,IF(U2214&lt;&gt;"",U2214,S2214))</f>
        <v/>
      </c>
      <c r="AE2214" s="21">
        <f>IF(AB2214&lt;&gt;"",AB2214,Z2214)</f>
        <v/>
      </c>
      <c r="AF2214" s="13" t="inlineStr">
        <is>
          <t>BA1 &gt; 1B2B &gt; OP-32 &gt; 922</t>
        </is>
      </c>
      <c r="AG2214" s="7" t="inlineStr">
        <is>
          <t>148</t>
        </is>
      </c>
      <c r="AH2214" s="7" t="inlineStr">
        <is>
          <t>1B2B</t>
        </is>
      </c>
      <c r="AI2214" s="7" t="inlineStr">
        <is>
          <t>922 - Equipment Maintenance by Contract</t>
        </is>
      </c>
    </row>
    <row r="2215" ht="10" customHeight="1">
      <c r="A2215" s="7" t="inlineStr">
        <is>
          <t>OMN</t>
        </is>
      </c>
      <c r="B2215" s="7" t="inlineStr">
        <is>
          <t>O&amp;M</t>
        </is>
      </c>
      <c r="D2215" s="7" t="inlineStr">
        <is>
          <t>OPTAR Support - Parts &amp; Organizational Maintenance</t>
        </is>
      </c>
      <c r="E2215" s="13" t="inlineStr">
        <is>
          <t>[SUB]</t>
        </is>
      </c>
      <c r="F2215" s="7" t="inlineStr">
        <is>
          <t>Mission and Other Ship Operations</t>
        </is>
      </c>
      <c r="I2215" s="14" t="n">
        <v>3</v>
      </c>
      <c r="K2215" s="15" t="n"/>
      <c r="O2215" s="15" t="n"/>
      <c r="S2215" s="16" t="n">
        <v>240500</v>
      </c>
      <c r="U2215" s="16" t="n">
        <v>240500</v>
      </c>
      <c r="AC2215" s="23">
        <f>IF(OR(E2215="",E2215="[PARENT]"),"ADD",IF(E2215="[ALT_VIEW]","ALT",""))</f>
        <v/>
      </c>
      <c r="AD2215" s="21">
        <f>IF(Y2215&lt;&gt;"",Y2215,IF(U2215&lt;&gt;"",U2215,S2215))</f>
        <v/>
      </c>
      <c r="AE2215" s="21">
        <f>IF(AB2215&lt;&gt;"",AB2215,Z2215)</f>
        <v/>
      </c>
      <c r="AF2215" s="13" t="inlineStr">
        <is>
          <t>BA1 &gt; 1B1B &gt; Program Increases &gt; OPTAR</t>
        </is>
      </c>
      <c r="AG2215" s="7" t="inlineStr">
        <is>
          <t>129</t>
        </is>
      </c>
      <c r="AH2215" s="7" t="inlineStr">
        <is>
          <t>1B1B</t>
        </is>
      </c>
      <c r="AI2215" s="7" t="inlineStr">
        <is>
          <t>OPTAR</t>
        </is>
      </c>
    </row>
    <row r="2216" ht="10" customHeight="1">
      <c r="A2216" s="7" t="inlineStr">
        <is>
          <t>OMN</t>
        </is>
      </c>
      <c r="B2216" s="7" t="inlineStr">
        <is>
          <t>O&amp;M</t>
        </is>
      </c>
      <c r="D2216" s="7" t="inlineStr">
        <is>
          <t>Transfer to 1B4B - MSC M&amp;R</t>
        </is>
      </c>
      <c r="E2216" s="13" t="inlineStr">
        <is>
          <t>[REFERENCE]</t>
        </is>
      </c>
      <c r="F2216" s="7" t="inlineStr">
        <is>
          <t>Ship Maintenance</t>
        </is>
      </c>
      <c r="I2216" s="14" t="n">
        <v>2</v>
      </c>
      <c r="K2216" s="15" t="n"/>
      <c r="O2216" s="15" t="n"/>
      <c r="S2216" s="16" t="n">
        <v>-1239846</v>
      </c>
      <c r="U2216" s="16" t="n">
        <v>-1239846</v>
      </c>
      <c r="AC2216" s="23">
        <f>IF(OR(E2216="",E2216="[PARENT]"),"ADD",IF(E2216="[ALT_VIEW]","ALT",""))</f>
        <v/>
      </c>
      <c r="AD2216" s="21">
        <f>IF(Y2216&lt;&gt;"",Y2216,IF(U2216&lt;&gt;"",U2216,S2216))</f>
        <v/>
      </c>
      <c r="AE2216" s="21">
        <f>IF(AB2216&lt;&gt;"",AB2216,Z2216)</f>
        <v/>
      </c>
      <c r="AF2216" s="13" t="inlineStr">
        <is>
          <t>BA1 &gt; 1B1B &gt; Transfers Out</t>
        </is>
      </c>
      <c r="AG2216" s="7" t="inlineStr">
        <is>
          <t>129</t>
        </is>
      </c>
      <c r="AH2216" s="7" t="inlineStr">
        <is>
          <t>1B1B</t>
        </is>
      </c>
    </row>
    <row r="2217" ht="10" customHeight="1">
      <c r="A2217" s="7" t="inlineStr">
        <is>
          <t>OMN</t>
        </is>
      </c>
      <c r="B2217" s="7" t="inlineStr">
        <is>
          <t>O&amp;M</t>
        </is>
      </c>
      <c r="D2217" s="7" t="inlineStr">
        <is>
          <t>Planning, Engineering, and Program Support</t>
        </is>
      </c>
      <c r="E2217" s="13" t="inlineStr">
        <is>
          <t>[PARENT]</t>
        </is>
      </c>
      <c r="I2217" s="14" t="n">
        <v>6</v>
      </c>
      <c r="K2217" s="15" t="n"/>
      <c r="O2217" s="15" t="n"/>
      <c r="P2217" s="16" t="n">
        <v>604374</v>
      </c>
      <c r="Q2217" s="16" t="n">
        <v>598531</v>
      </c>
      <c r="S2217" s="16" t="n">
        <v>763841</v>
      </c>
      <c r="U2217" s="16" t="n">
        <v>763841</v>
      </c>
      <c r="AC2217" s="23">
        <f>IF(OR(E2217="",E2217="[PARENT]"),"ADD",IF(E2217="[ALT_VIEW]","ALT",""))</f>
        <v/>
      </c>
      <c r="AD2217" s="21">
        <f>IF(Y2217&lt;&gt;"",Y2217,IF(U2217&lt;&gt;"",U2217,S2217))</f>
        <v/>
      </c>
      <c r="AE2217" s="21">
        <f>IF(AB2217&lt;&gt;"",AB2217,Z2217)</f>
        <v/>
      </c>
      <c r="AF2217" s="13" t="inlineStr">
        <is>
          <t>BA4 &gt; Administration &gt; 4B2N Planning, Engineering, and Program Support</t>
        </is>
      </c>
      <c r="AG2217" s="7" t="inlineStr">
        <is>
          <t>24</t>
        </is>
      </c>
      <c r="AH2217" s="7" t="inlineStr">
        <is>
          <t>4B2N</t>
        </is>
      </c>
    </row>
    <row r="2218" ht="10" customHeight="1">
      <c r="A2218" s="7" t="inlineStr">
        <is>
          <t>OMN</t>
        </is>
      </c>
      <c r="B2218" s="7" t="inlineStr">
        <is>
          <t>O&amp;M</t>
        </is>
      </c>
      <c r="D2218" s="7" t="inlineStr">
        <is>
          <t>Hull, Mechanical &amp; Electrical Support (NAVSEA)</t>
        </is>
      </c>
      <c r="E2218" s="13" t="inlineStr">
        <is>
          <t>[SUB]</t>
        </is>
      </c>
      <c r="F2218" s="7" t="inlineStr">
        <is>
          <t>Planning, Engineering, and Program Support</t>
        </is>
      </c>
      <c r="I2218" s="14" t="n">
        <v>6</v>
      </c>
      <c r="K2218" s="15" t="n"/>
      <c r="O2218" s="15" t="n"/>
      <c r="S2218" s="16" t="n">
        <v>36358</v>
      </c>
      <c r="U2218" s="16" t="n">
        <v>36358</v>
      </c>
      <c r="AC2218" s="23">
        <f>IF(OR(E2218="",E2218="[PARENT]"),"ADD",IF(E2218="[ALT_VIEW]","ALT",""))</f>
        <v/>
      </c>
      <c r="AD2218" s="21">
        <f>IF(Y2218&lt;&gt;"",Y2218,IF(U2218&lt;&gt;"",U2218,S2218))</f>
        <v/>
      </c>
      <c r="AE2218" s="21">
        <f>IF(AB2218&lt;&gt;"",AB2218,Z2218)</f>
        <v/>
      </c>
      <c r="AF2218" s="13" t="inlineStr">
        <is>
          <t>BA4 &gt; 4B2N &gt; NAVSEA &gt; HM&amp;E Support</t>
        </is>
      </c>
      <c r="AG2218" s="7" t="inlineStr">
        <is>
          <t>688</t>
        </is>
      </c>
      <c r="AH2218" s="7" t="inlineStr">
        <is>
          <t>4B2N</t>
        </is>
      </c>
      <c r="AI2218" s="7" t="inlineStr">
        <is>
          <t>HM&amp;E Support</t>
        </is>
      </c>
    </row>
    <row r="2219" ht="10" customHeight="1">
      <c r="A2219" s="7" t="inlineStr">
        <is>
          <t>OMN</t>
        </is>
      </c>
      <c r="B2219" s="7" t="inlineStr">
        <is>
          <t>O&amp;M</t>
        </is>
      </c>
      <c r="D2219" s="7" t="inlineStr">
        <is>
          <t>Shipboard Environmental Protection Programs</t>
        </is>
      </c>
      <c r="E2219" s="13" t="inlineStr">
        <is>
          <t>[SUB]</t>
        </is>
      </c>
      <c r="F2219" s="7" t="inlineStr">
        <is>
          <t>Planning, Engineering, and Program Support</t>
        </is>
      </c>
      <c r="I2219" s="14" t="n">
        <v>6</v>
      </c>
      <c r="K2219" s="15" t="n"/>
      <c r="O2219" s="15" t="n"/>
      <c r="S2219" s="16" t="n">
        <v>19252</v>
      </c>
      <c r="U2219" s="16" t="n">
        <v>19252</v>
      </c>
      <c r="AC2219" s="23">
        <f>IF(OR(E2219="",E2219="[PARENT]"),"ADD",IF(E2219="[ALT_VIEW]","ALT",""))</f>
        <v/>
      </c>
      <c r="AD2219" s="21">
        <f>IF(Y2219&lt;&gt;"",Y2219,IF(U2219&lt;&gt;"",U2219,S2219))</f>
        <v/>
      </c>
      <c r="AE2219" s="21">
        <f>IF(AB2219&lt;&gt;"",AB2219,Z2219)</f>
        <v/>
      </c>
      <c r="AF2219" s="13" t="inlineStr">
        <is>
          <t>BA4 &gt; 4B2N &gt; NAVSEA &gt; Shipboard Env Protection</t>
        </is>
      </c>
      <c r="AG2219" s="7" t="inlineStr">
        <is>
          <t>688</t>
        </is>
      </c>
      <c r="AH2219" s="7" t="inlineStr">
        <is>
          <t>4B2N</t>
        </is>
      </c>
      <c r="AI2219" s="7" t="inlineStr">
        <is>
          <t>Shipboard Env Protection</t>
        </is>
      </c>
    </row>
    <row r="2220" ht="10" customHeight="1">
      <c r="A2220" s="7" t="inlineStr">
        <is>
          <t>OMN</t>
        </is>
      </c>
      <c r="B2220" s="7" t="inlineStr">
        <is>
          <t>O&amp;M</t>
        </is>
      </c>
      <c r="D2220" s="7" t="inlineStr">
        <is>
          <t>Magnetic Silencing In-Service Support</t>
        </is>
      </c>
      <c r="E2220" s="13" t="inlineStr">
        <is>
          <t>[SUB]</t>
        </is>
      </c>
      <c r="F2220" s="7" t="inlineStr">
        <is>
          <t>Planning, Engineering, and Program Support</t>
        </is>
      </c>
      <c r="I2220" s="14" t="n">
        <v>6</v>
      </c>
      <c r="K2220" s="15" t="n"/>
      <c r="O2220" s="15" t="n"/>
      <c r="AC2220" s="23">
        <f>IF(OR(E2220="",E2220="[PARENT]"),"ADD",IF(E2220="[ALT_VIEW]","ALT",""))</f>
        <v/>
      </c>
      <c r="AD2220" s="21">
        <f>IF(Y2220&lt;&gt;"",Y2220,IF(U2220&lt;&gt;"",U2220,S2220))</f>
        <v/>
      </c>
      <c r="AE2220" s="21">
        <f>IF(AB2220&lt;&gt;"",AB2220,Z2220)</f>
        <v/>
      </c>
      <c r="AF2220" s="13" t="inlineStr">
        <is>
          <t>BA4 &gt; 4B2N &gt; NAVSEA &gt; Other Programs &gt; Magnetic Silencing</t>
        </is>
      </c>
      <c r="AG2220" s="7" t="inlineStr">
        <is>
          <t>685</t>
        </is>
      </c>
      <c r="AH2220" s="7" t="inlineStr">
        <is>
          <t>4B2N</t>
        </is>
      </c>
      <c r="AI2220" s="7" t="inlineStr">
        <is>
          <t>Other Programs</t>
        </is>
      </c>
      <c r="AJ2220" s="7" t="inlineStr">
        <is>
          <t>Magnetic Silencing</t>
        </is>
      </c>
    </row>
    <row r="2221" ht="10" customHeight="1">
      <c r="A2221" s="7" t="inlineStr">
        <is>
          <t>OMN</t>
        </is>
      </c>
      <c r="B2221" s="7" t="inlineStr">
        <is>
          <t>O&amp;M</t>
        </is>
      </c>
      <c r="D2221" s="7" t="inlineStr">
        <is>
          <t>Weight Handling Ashore (Navy Crane Center)</t>
        </is>
      </c>
      <c r="E2221" s="13" t="inlineStr">
        <is>
          <t>[SUB]</t>
        </is>
      </c>
      <c r="F2221" s="7" t="inlineStr">
        <is>
          <t>Planning, Engineering, and Program Support</t>
        </is>
      </c>
      <c r="I2221" s="14" t="n">
        <v>7</v>
      </c>
      <c r="K2221" s="15" t="n"/>
      <c r="O2221" s="15" t="n"/>
      <c r="S2221" s="16" t="n">
        <v>9195</v>
      </c>
      <c r="U2221" s="16" t="n">
        <v>9195</v>
      </c>
      <c r="AC2221" s="23">
        <f>IF(OR(E2221="",E2221="[PARENT]"),"ADD",IF(E2221="[ALT_VIEW]","ALT",""))</f>
        <v/>
      </c>
      <c r="AD2221" s="21">
        <f>IF(Y2221&lt;&gt;"",Y2221,IF(U2221&lt;&gt;"",U2221,S2221))</f>
        <v/>
      </c>
      <c r="AE2221" s="21">
        <f>IF(AB2221&lt;&gt;"",AB2221,Z2221)</f>
        <v/>
      </c>
      <c r="AF2221" s="13" t="inlineStr">
        <is>
          <t>BA4 &gt; 4B2N &gt; CNIC &gt; Weight Handling Ashore</t>
        </is>
      </c>
      <c r="AG2221" s="7" t="inlineStr">
        <is>
          <t>682</t>
        </is>
      </c>
      <c r="AH2221" s="7" t="inlineStr">
        <is>
          <t>4B2N</t>
        </is>
      </c>
      <c r="AI2221" s="7" t="inlineStr">
        <is>
          <t>Weight Handling Ashore</t>
        </is>
      </c>
    </row>
    <row r="2222" ht="10" customHeight="1">
      <c r="A2222" s="7" t="inlineStr">
        <is>
          <t>OMN</t>
        </is>
      </c>
      <c r="B2222" s="7" t="inlineStr">
        <is>
          <t>O&amp;M</t>
        </is>
      </c>
      <c r="D2222" s="7" t="inlineStr">
        <is>
          <t>Counter-Unmanned Aerial Systems (C-UAS)</t>
        </is>
      </c>
      <c r="E2222" s="13" t="inlineStr">
        <is>
          <t>[SUB]</t>
        </is>
      </c>
      <c r="F2222" s="7" t="inlineStr">
        <is>
          <t>Planning, Engineering, and Program Support</t>
        </is>
      </c>
      <c r="I2222" s="14" t="n">
        <v>6</v>
      </c>
      <c r="K2222" s="15" t="n"/>
      <c r="O2222" s="15" t="n"/>
      <c r="S2222" s="16" t="n">
        <v>42028</v>
      </c>
      <c r="U2222" s="16" t="n">
        <v>42028</v>
      </c>
      <c r="AC2222" s="23">
        <f>IF(OR(E2222="",E2222="[PARENT]"),"ADD",IF(E2222="[ALT_VIEW]","ALT",""))</f>
        <v/>
      </c>
      <c r="AD2222" s="21">
        <f>IF(Y2222&lt;&gt;"",Y2222,IF(U2222&lt;&gt;"",U2222,S2222))</f>
        <v/>
      </c>
      <c r="AE2222" s="21">
        <f>IF(AB2222&lt;&gt;"",AB2222,Z2222)</f>
        <v/>
      </c>
      <c r="AF2222" s="13" t="inlineStr">
        <is>
          <t>BA4 &gt; 4B2N &gt; NAVAIR &gt; C-UAS</t>
        </is>
      </c>
      <c r="AG2222" s="7" t="inlineStr">
        <is>
          <t>688</t>
        </is>
      </c>
      <c r="AH2222" s="7" t="inlineStr">
        <is>
          <t>4B2N</t>
        </is>
      </c>
      <c r="AI2222" s="7" t="inlineStr">
        <is>
          <t>C-UAS</t>
        </is>
      </c>
    </row>
    <row r="2223" ht="10" customHeight="1">
      <c r="A2223" s="7" t="inlineStr">
        <is>
          <t>OMN</t>
        </is>
      </c>
      <c r="B2223" s="7" t="inlineStr">
        <is>
          <t>O&amp;M</t>
        </is>
      </c>
      <c r="D2223" s="7" t="inlineStr">
        <is>
          <t>Coast Guard Support</t>
        </is>
      </c>
      <c r="E2223" s="13" t="inlineStr">
        <is>
          <t>[PARENT]</t>
        </is>
      </c>
      <c r="I2223" s="14" t="n">
        <v>6</v>
      </c>
      <c r="K2223" s="15" t="n"/>
      <c r="O2223" s="15" t="n"/>
      <c r="P2223" s="16" t="n">
        <v>21016</v>
      </c>
      <c r="Q2223" s="16" t="n">
        <v>21714</v>
      </c>
      <c r="S2223" s="16" t="n">
        <v>22192</v>
      </c>
      <c r="U2223" s="16" t="n">
        <v>22192</v>
      </c>
      <c r="AC2223" s="23">
        <f>IF(OR(E2223="",E2223="[PARENT]"),"ADD",IF(E2223="[ALT_VIEW]","ALT",""))</f>
        <v/>
      </c>
      <c r="AD2223" s="21">
        <f>IF(Y2223&lt;&gt;"",Y2223,IF(U2223&lt;&gt;"",U2223,S2223))</f>
        <v/>
      </c>
      <c r="AE2223" s="21">
        <f>IF(AB2223&lt;&gt;"",AB2223,Z2223)</f>
        <v/>
      </c>
      <c r="AF2223" s="13" t="inlineStr">
        <is>
          <t>BA2 &gt; Mobilization &gt; 2C3H Coast Guard Support</t>
        </is>
      </c>
      <c r="AG2223" s="7" t="inlineStr">
        <is>
          <t>22</t>
        </is>
      </c>
      <c r="AH2223" s="7" t="inlineStr">
        <is>
          <t>2C3H</t>
        </is>
      </c>
    </row>
    <row r="2224" ht="10" customHeight="1">
      <c r="A2224" s="7" t="inlineStr">
        <is>
          <t>OMN</t>
        </is>
      </c>
      <c r="B2224" s="7" t="inlineStr">
        <is>
          <t>O&amp;M</t>
        </is>
      </c>
      <c r="D2224" s="7" t="inlineStr">
        <is>
          <t>CG Weapons, Radar &amp; System Maintenance Support</t>
        </is>
      </c>
      <c r="E2224" s="13" t="inlineStr">
        <is>
          <t>[SUB]</t>
        </is>
      </c>
      <c r="F2224" s="7" t="inlineStr">
        <is>
          <t>Coast Guard Support</t>
        </is>
      </c>
      <c r="I2224" s="14" t="n">
        <v>6</v>
      </c>
      <c r="K2224" s="15" t="n"/>
      <c r="O2224" s="15" t="n"/>
      <c r="P2224" s="16" t="n">
        <v>17314</v>
      </c>
      <c r="Q2224" s="16" t="n">
        <v>17991</v>
      </c>
      <c r="S2224" s="16" t="n">
        <v>18436</v>
      </c>
      <c r="U2224" s="16" t="n">
        <v>18436</v>
      </c>
      <c r="AC2224" s="23">
        <f>IF(OR(E2224="",E2224="[PARENT]"),"ADD",IF(E2224="[ALT_VIEW]","ALT",""))</f>
        <v/>
      </c>
      <c r="AD2224" s="21">
        <f>IF(Y2224&lt;&gt;"",Y2224,IF(U2224&lt;&gt;"",U2224,S2224))</f>
        <v/>
      </c>
      <c r="AE2224" s="21">
        <f>IF(AB2224&lt;&gt;"",AB2224,Z2224)</f>
        <v/>
      </c>
      <c r="AF2224" s="13" t="inlineStr">
        <is>
          <t>BA2 &gt; 2C3H &gt; Weapons Radar &amp; System Maintenance</t>
        </is>
      </c>
      <c r="AG2224" s="7" t="inlineStr">
        <is>
          <t>481</t>
        </is>
      </c>
      <c r="AH2224" s="7" t="inlineStr">
        <is>
          <t>2C3H</t>
        </is>
      </c>
    </row>
    <row r="2225" ht="10" customHeight="1">
      <c r="A2225" s="7" t="inlineStr">
        <is>
          <t>OMN</t>
        </is>
      </c>
      <c r="B2225" s="7" t="inlineStr">
        <is>
          <t>O&amp;M</t>
        </is>
      </c>
      <c r="D2225" s="7" t="inlineStr">
        <is>
          <t>CG Avionics, Gun &amp; Communication Support</t>
        </is>
      </c>
      <c r="E2225" s="13" t="inlineStr">
        <is>
          <t>[SUB]</t>
        </is>
      </c>
      <c r="F2225" s="7" t="inlineStr">
        <is>
          <t>Coast Guard Support</t>
        </is>
      </c>
      <c r="I2225" s="14" t="n">
        <v>6</v>
      </c>
      <c r="K2225" s="15" t="n"/>
      <c r="O2225" s="15" t="n"/>
      <c r="P2225" s="16" t="n">
        <v>3702</v>
      </c>
      <c r="Q2225" s="16" t="n">
        <v>3723</v>
      </c>
      <c r="S2225" s="16" t="n">
        <v>3756</v>
      </c>
      <c r="U2225" s="16" t="n">
        <v>3756</v>
      </c>
      <c r="AC2225" s="23">
        <f>IF(OR(E2225="",E2225="[PARENT]"),"ADD",IF(E2225="[ALT_VIEW]","ALT",""))</f>
        <v/>
      </c>
      <c r="AD2225" s="21">
        <f>IF(Y2225&lt;&gt;"",Y2225,IF(U2225&lt;&gt;"",U2225,S2225))</f>
        <v/>
      </c>
      <c r="AE2225" s="21">
        <f>IF(AB2225&lt;&gt;"",AB2225,Z2225)</f>
        <v/>
      </c>
      <c r="AF2225" s="13" t="inlineStr">
        <is>
          <t>BA2 &gt; 2C3H &gt; Avionics Gun &amp; Comm Support</t>
        </is>
      </c>
      <c r="AG2225" s="7" t="inlineStr">
        <is>
          <t>481</t>
        </is>
      </c>
      <c r="AH2225" s="7" t="inlineStr">
        <is>
          <t>2C3H</t>
        </is>
      </c>
    </row>
    <row r="2226" ht="10" customHeight="1">
      <c r="A2226" s="7" t="inlineStr">
        <is>
          <t>OMN</t>
        </is>
      </c>
      <c r="B2226" s="7" t="inlineStr">
        <is>
          <t>O&amp;M</t>
        </is>
      </c>
      <c r="D2226" s="7" t="inlineStr">
        <is>
          <t>Amphibious Tactical Support Units (LCAC/LCU)</t>
        </is>
      </c>
      <c r="E2226" s="13" t="inlineStr">
        <is>
          <t>[SUB]</t>
        </is>
      </c>
      <c r="F2226" s="7" t="inlineStr">
        <is>
          <t>Combat Support Forces</t>
        </is>
      </c>
      <c r="I2226" s="14" t="n">
        <v>3</v>
      </c>
      <c r="K2226" s="13" t="inlineStr">
        <is>
          <t>USN</t>
        </is>
      </c>
      <c r="L2226" s="7" t="inlineStr">
        <is>
          <t>Combatant Crafts</t>
        </is>
      </c>
      <c r="M2226" s="7" t="inlineStr">
        <is>
          <t>Amphibious Warfare Craft</t>
        </is>
      </c>
      <c r="O2226" s="15" t="n"/>
      <c r="P2226" s="16" t="n">
        <v>185285</v>
      </c>
      <c r="Q2226" s="16" t="n">
        <v>153237</v>
      </c>
      <c r="S2226" s="16" t="n">
        <v>1846</v>
      </c>
      <c r="U2226" s="16" t="n">
        <v>1846</v>
      </c>
      <c r="AC2226" s="23">
        <f>IF(OR(E2226="",E2226="[PARENT]"),"ADD",IF(E2226="[ALT_VIEW]","ALT",""))</f>
        <v/>
      </c>
      <c r="AD2226" s="21">
        <f>IF(Y2226&lt;&gt;"",Y2226,IF(U2226&lt;&gt;"",U2226,S2226))</f>
        <v/>
      </c>
      <c r="AE2226" s="21">
        <f>IF(AB2226&lt;&gt;"",AB2226,Z2226)</f>
        <v/>
      </c>
      <c r="AF2226" s="13" t="inlineStr">
        <is>
          <t>BA1 &gt; 1C6C &gt; Amphibious Tactical Support Units</t>
        </is>
      </c>
      <c r="AG2226" s="7" t="inlineStr">
        <is>
          <t>280</t>
        </is>
      </c>
      <c r="AH2226" s="7" t="inlineStr">
        <is>
          <t>1C6C</t>
        </is>
      </c>
    </row>
    <row r="2227" ht="10" customHeight="1">
      <c r="A2227" s="7" t="inlineStr">
        <is>
          <t>OMN</t>
        </is>
      </c>
      <c r="B2227" s="7" t="inlineStr">
        <is>
          <t>O&amp;M</t>
        </is>
      </c>
      <c r="D2227" s="7" t="inlineStr">
        <is>
          <t>LCU 1610 Service Life Extension</t>
        </is>
      </c>
      <c r="E2227" s="13" t="inlineStr">
        <is>
          <t>[SUB]</t>
        </is>
      </c>
      <c r="F2227" s="7" t="inlineStr">
        <is>
          <t>Combat Support Forces</t>
        </is>
      </c>
      <c r="I2227" s="14" t="n">
        <v>5</v>
      </c>
      <c r="K2227" s="13" t="inlineStr">
        <is>
          <t>USN</t>
        </is>
      </c>
      <c r="L2227" s="7" t="inlineStr">
        <is>
          <t>Combatant Crafts</t>
        </is>
      </c>
      <c r="M2227" s="7" t="inlineStr">
        <is>
          <t>Amphibious Warfare Craft</t>
        </is>
      </c>
      <c r="N2227" s="7" t="inlineStr">
        <is>
          <t>LCU</t>
        </is>
      </c>
      <c r="O2227" s="15" t="n"/>
      <c r="S2227" s="16" t="n">
        <v>12237</v>
      </c>
      <c r="U2227" s="16" t="n">
        <v>12237</v>
      </c>
      <c r="AC2227" s="23">
        <f>IF(OR(E2227="",E2227="[PARENT]"),"ADD",IF(E2227="[ALT_VIEW]","ALT",""))</f>
        <v/>
      </c>
      <c r="AD2227" s="21">
        <f>IF(Y2227&lt;&gt;"",Y2227,IF(U2227&lt;&gt;"",U2227,S2227))</f>
        <v/>
      </c>
      <c r="AE2227" s="21">
        <f>IF(AB2227&lt;&gt;"",AB2227,Z2227)</f>
        <v/>
      </c>
      <c r="AF2227" s="13" t="inlineStr">
        <is>
          <t>BA1 &gt; 1C6C &gt; Program Increases &gt; LCU SLE</t>
        </is>
      </c>
      <c r="AG2227" s="7" t="inlineStr">
        <is>
          <t>274</t>
        </is>
      </c>
      <c r="AH2227" s="7" t="inlineStr">
        <is>
          <t>1C6C</t>
        </is>
      </c>
      <c r="AI2227" s="7" t="inlineStr">
        <is>
          <t>LCU SLE</t>
        </is>
      </c>
    </row>
    <row r="2228" ht="10" customHeight="1">
      <c r="A2228" s="7" t="inlineStr">
        <is>
          <t>OMN</t>
        </is>
      </c>
      <c r="B2228" s="7" t="inlineStr">
        <is>
          <t>O&amp;M</t>
        </is>
      </c>
      <c r="D2228" s="7" t="inlineStr">
        <is>
          <t>Diving and Salvage / Underwater Ship Husbandry</t>
        </is>
      </c>
      <c r="E2228" s="13" t="inlineStr">
        <is>
          <t>[SUB]</t>
        </is>
      </c>
      <c r="F2228" s="7" t="inlineStr">
        <is>
          <t>Combat Support Forces</t>
        </is>
      </c>
      <c r="I2228" s="14" t="n">
        <v>7</v>
      </c>
      <c r="K2228" s="15" t="n"/>
      <c r="O2228" s="15" t="n"/>
      <c r="P2228" s="16" t="n">
        <v>48086</v>
      </c>
      <c r="Q2228" s="16" t="n">
        <v>48634</v>
      </c>
      <c r="S2228" s="16" t="n">
        <v>38285</v>
      </c>
      <c r="U2228" s="16" t="n">
        <v>38285</v>
      </c>
      <c r="AC2228" s="23">
        <f>IF(OR(E2228="",E2228="[PARENT]"),"ADD",IF(E2228="[ALT_VIEW]","ALT",""))</f>
        <v/>
      </c>
      <c r="AD2228" s="21">
        <f>IF(Y2228&lt;&gt;"",Y2228,IF(U2228&lt;&gt;"",U2228,S2228))</f>
        <v/>
      </c>
      <c r="AE2228" s="21">
        <f>IF(AB2228&lt;&gt;"",AB2228,Z2228)</f>
        <v/>
      </c>
      <c r="AF2228" s="13" t="inlineStr">
        <is>
          <t>BA1 &gt; 1C6C &gt; Diving and Salvage</t>
        </is>
      </c>
      <c r="AG2228" s="7" t="inlineStr">
        <is>
          <t>280</t>
        </is>
      </c>
      <c r="AH2228" s="7" t="inlineStr">
        <is>
          <t>1C6C</t>
        </is>
      </c>
    </row>
    <row r="2229" ht="10" customHeight="1">
      <c r="A2229" s="7" t="inlineStr">
        <is>
          <t>OMN</t>
        </is>
      </c>
      <c r="B2229" s="7" t="inlineStr">
        <is>
          <t>O&amp;M</t>
        </is>
      </c>
      <c r="D2229" s="7" t="inlineStr">
        <is>
          <t>Weapons Maintenance</t>
        </is>
      </c>
      <c r="E2229" s="13" t="inlineStr">
        <is>
          <t>[PARENT]</t>
        </is>
      </c>
      <c r="I2229" s="14" t="n">
        <v>3</v>
      </c>
      <c r="K2229" s="15" t="n"/>
      <c r="O2229" s="15" t="n"/>
      <c r="P2229" s="16" t="n">
        <v>1761930</v>
      </c>
      <c r="Q2229" s="16" t="n">
        <v>1572124</v>
      </c>
      <c r="S2229" s="16" t="n">
        <v>1754627</v>
      </c>
      <c r="U2229" s="16" t="n">
        <v>1754627</v>
      </c>
      <c r="W2229" s="16" t="n">
        <v>269407</v>
      </c>
      <c r="X2229" s="16" t="n">
        <v>1626768</v>
      </c>
      <c r="Y2229" s="16" t="n">
        <v>1896175</v>
      </c>
      <c r="AC2229" s="23">
        <f>IF(OR(E2229="",E2229="[PARENT]"),"ADD",IF(E2229="[ALT_VIEW]","ALT",""))</f>
        <v/>
      </c>
      <c r="AD2229" s="21">
        <f>IF(Y2229&lt;&gt;"",Y2229,IF(U2229&lt;&gt;"",U2229,S2229))</f>
        <v/>
      </c>
      <c r="AE2229" s="21">
        <f>IF(AB2229&lt;&gt;"",AB2229,Z2229)</f>
        <v/>
      </c>
      <c r="AF2229" s="13" t="inlineStr">
        <is>
          <t>BA1 &gt; Weapons Support &gt; 1D4D Weapons Maintenance</t>
        </is>
      </c>
      <c r="AG2229" s="7" t="inlineStr">
        <is>
          <t>21</t>
        </is>
      </c>
      <c r="AH2229" s="7" t="inlineStr">
        <is>
          <t>1D4D</t>
        </is>
      </c>
    </row>
    <row r="2230" ht="10" customHeight="1">
      <c r="A2230" s="7" t="inlineStr">
        <is>
          <t>OMN</t>
        </is>
      </c>
      <c r="B2230" s="7" t="inlineStr">
        <is>
          <t>O&amp;M</t>
        </is>
      </c>
      <c r="D2230" s="7" t="inlineStr">
        <is>
          <t>Tomahawk Systems (All-Up Round and TTWCS)</t>
        </is>
      </c>
      <c r="E2230" s="13" t="inlineStr">
        <is>
          <t>[SUB]</t>
        </is>
      </c>
      <c r="F2230" s="7" t="inlineStr">
        <is>
          <t>Weapons Maintenance</t>
        </is>
      </c>
      <c r="I2230" s="14" t="n">
        <v>2</v>
      </c>
      <c r="K2230" s="15" t="n"/>
      <c r="O2230" s="15" t="n"/>
      <c r="P2230" s="16" t="n">
        <v>114818</v>
      </c>
      <c r="Q2230" s="16" t="n">
        <v>115812</v>
      </c>
      <c r="S2230" s="16" t="n">
        <v>129051</v>
      </c>
      <c r="U2230" s="16" t="n">
        <v>129051</v>
      </c>
      <c r="AC2230" s="23">
        <f>IF(OR(E2230="",E2230="[PARENT]"),"ADD",IF(E2230="[ALT_VIEW]","ALT",""))</f>
        <v/>
      </c>
      <c r="AD2230" s="21">
        <f>IF(Y2230&lt;&gt;"",Y2230,IF(U2230&lt;&gt;"",U2230,S2230))</f>
        <v/>
      </c>
      <c r="AE2230" s="21">
        <f>IF(AB2230&lt;&gt;"",AB2230,Z2230)</f>
        <v/>
      </c>
      <c r="AF2230" s="13" t="inlineStr">
        <is>
          <t>BA1 &gt; 1D4D &gt; Tomahawk Systems</t>
        </is>
      </c>
      <c r="AG2230" s="7" t="inlineStr">
        <is>
          <t>366</t>
        </is>
      </c>
      <c r="AH2230" s="7" t="inlineStr">
        <is>
          <t>1D4D</t>
        </is>
      </c>
    </row>
    <row r="2231" ht="10" customHeight="1">
      <c r="A2231" s="7" t="inlineStr">
        <is>
          <t>OMN</t>
        </is>
      </c>
      <c r="B2231" s="7" t="inlineStr">
        <is>
          <t>O&amp;M</t>
        </is>
      </c>
      <c r="D2231" s="7" t="inlineStr">
        <is>
          <t>Close-In Weapons System (CIWS)</t>
        </is>
      </c>
      <c r="E2231" s="13" t="inlineStr">
        <is>
          <t>[SUB]</t>
        </is>
      </c>
      <c r="F2231" s="7" t="inlineStr">
        <is>
          <t>Weapons Maintenance</t>
        </is>
      </c>
      <c r="I2231" s="14" t="n">
        <v>2</v>
      </c>
      <c r="K2231" s="15" t="n"/>
      <c r="O2231" s="15" t="n"/>
      <c r="P2231" s="16" t="n">
        <v>97790</v>
      </c>
      <c r="Q2231" s="16" t="n">
        <v>32771</v>
      </c>
      <c r="S2231" s="16" t="n">
        <v>82544</v>
      </c>
      <c r="U2231" s="16" t="n">
        <v>82544</v>
      </c>
      <c r="AC2231" s="23">
        <f>IF(OR(E2231="",E2231="[PARENT]"),"ADD",IF(E2231="[ALT_VIEW]","ALT",""))</f>
        <v/>
      </c>
      <c r="AD2231" s="21">
        <f>IF(Y2231&lt;&gt;"",Y2231,IF(U2231&lt;&gt;"",U2231,S2231))</f>
        <v/>
      </c>
      <c r="AE2231" s="21">
        <f>IF(AB2231&lt;&gt;"",AB2231,Z2231)</f>
        <v/>
      </c>
      <c r="AF2231" s="13" t="inlineStr">
        <is>
          <t>BA1 &gt; 1D4D &gt; CIWS</t>
        </is>
      </c>
      <c r="AG2231" s="7" t="inlineStr">
        <is>
          <t>367</t>
        </is>
      </c>
      <c r="AH2231" s="7" t="inlineStr">
        <is>
          <t>1D4D</t>
        </is>
      </c>
    </row>
    <row r="2232" ht="10" customHeight="1">
      <c r="A2232" s="7" t="inlineStr">
        <is>
          <t>OMN</t>
        </is>
      </c>
      <c r="B2232" s="7" t="inlineStr">
        <is>
          <t>O&amp;M</t>
        </is>
      </c>
      <c r="D2232" s="7" t="inlineStr">
        <is>
          <t>Standard Missile Depot Maintenance (SM-2/SM-6)</t>
        </is>
      </c>
      <c r="E2232" s="13" t="inlineStr">
        <is>
          <t>[SUB]</t>
        </is>
      </c>
      <c r="F2232" s="7" t="inlineStr">
        <is>
          <t>Weapons Maintenance</t>
        </is>
      </c>
      <c r="I2232" s="14" t="n">
        <v>2</v>
      </c>
      <c r="K2232" s="15" t="n"/>
      <c r="O2232" s="15" t="n"/>
      <c r="P2232" s="16" t="n">
        <v>271533</v>
      </c>
      <c r="Q2232" s="16" t="n">
        <v>97689</v>
      </c>
      <c r="S2232" s="16" t="n">
        <v>88674</v>
      </c>
      <c r="U2232" s="16" t="n">
        <v>88674</v>
      </c>
      <c r="AC2232" s="23">
        <f>IF(OR(E2232="",E2232="[PARENT]"),"ADD",IF(E2232="[ALT_VIEW]","ALT",""))</f>
        <v/>
      </c>
      <c r="AD2232" s="21">
        <f>IF(Y2232&lt;&gt;"",Y2232,IF(U2232&lt;&gt;"",U2232,S2232))</f>
        <v/>
      </c>
      <c r="AE2232" s="21">
        <f>IF(AB2232&lt;&gt;"",AB2232,Z2232)</f>
        <v/>
      </c>
      <c r="AF2232" s="13" t="inlineStr">
        <is>
          <t>BA1 &gt; 1D4D &gt; Standard Missile &gt; Depot</t>
        </is>
      </c>
      <c r="AG2232" s="7" t="inlineStr">
        <is>
          <t>367</t>
        </is>
      </c>
      <c r="AH2232" s="7" t="inlineStr">
        <is>
          <t>1D4D</t>
        </is>
      </c>
      <c r="AI2232" s="7" t="inlineStr">
        <is>
          <t>Depot</t>
        </is>
      </c>
    </row>
    <row r="2233" ht="10" customHeight="1">
      <c r="A2233" s="7" t="inlineStr">
        <is>
          <t>OMN</t>
        </is>
      </c>
      <c r="B2233" s="7" t="inlineStr">
        <is>
          <t>O&amp;M</t>
        </is>
      </c>
      <c r="D2233" s="7" t="inlineStr">
        <is>
          <t>Standard Missile Non-Depot Maintenance (SM-2/SM-6)</t>
        </is>
      </c>
      <c r="E2233" s="13" t="inlineStr">
        <is>
          <t>[SUB]</t>
        </is>
      </c>
      <c r="F2233" s="7" t="inlineStr">
        <is>
          <t>Weapons Maintenance</t>
        </is>
      </c>
      <c r="I2233" s="14" t="n">
        <v>3</v>
      </c>
      <c r="K2233" s="15" t="n"/>
      <c r="O2233" s="15" t="n"/>
      <c r="P2233" s="16" t="n">
        <v>28452</v>
      </c>
      <c r="Q2233" s="16" t="n">
        <v>24120</v>
      </c>
      <c r="S2233" s="16" t="n">
        <v>23487</v>
      </c>
      <c r="U2233" s="16" t="n">
        <v>23487</v>
      </c>
      <c r="AC2233" s="23">
        <f>IF(OR(E2233="",E2233="[PARENT]"),"ADD",IF(E2233="[ALT_VIEW]","ALT",""))</f>
        <v/>
      </c>
      <c r="AD2233" s="21">
        <f>IF(Y2233&lt;&gt;"",Y2233,IF(U2233&lt;&gt;"",U2233,S2233))</f>
        <v/>
      </c>
      <c r="AE2233" s="21">
        <f>IF(AB2233&lt;&gt;"",AB2233,Z2233)</f>
        <v/>
      </c>
      <c r="AF2233" s="13" t="inlineStr">
        <is>
          <t>BA1 &gt; 1D4D &gt; Standard Missile &gt; Non-Depot</t>
        </is>
      </c>
      <c r="AG2233" s="7" t="inlineStr">
        <is>
          <t>367</t>
        </is>
      </c>
      <c r="AH2233" s="7" t="inlineStr">
        <is>
          <t>1D4D</t>
        </is>
      </c>
      <c r="AI2233" s="7" t="inlineStr">
        <is>
          <t>Non-Depot</t>
        </is>
      </c>
    </row>
    <row r="2234" ht="10" customHeight="1">
      <c r="A2234" s="7" t="inlineStr">
        <is>
          <t>OMN</t>
        </is>
      </c>
      <c r="B2234" s="7" t="inlineStr">
        <is>
          <t>O&amp;M</t>
        </is>
      </c>
      <c r="D2234" s="7" t="inlineStr">
        <is>
          <t>Vertical Launching System (VLS)</t>
        </is>
      </c>
      <c r="E2234" s="13" t="inlineStr">
        <is>
          <t>[SUB]</t>
        </is>
      </c>
      <c r="F2234" s="7" t="inlineStr">
        <is>
          <t>Weapons Maintenance</t>
        </is>
      </c>
      <c r="I2234" s="14" t="n">
        <v>2</v>
      </c>
      <c r="K2234" s="13" t="inlineStr">
        <is>
          <t>USN</t>
        </is>
      </c>
      <c r="L2234" s="7" t="inlineStr">
        <is>
          <t>Combatant Ships</t>
        </is>
      </c>
      <c r="M2234" s="7" t="inlineStr">
        <is>
          <t>Surface Combatants</t>
        </is>
      </c>
      <c r="N2234" s="7" t="inlineStr">
        <is>
          <t>DDG</t>
        </is>
      </c>
      <c r="O2234" s="15" t="n"/>
      <c r="P2234" s="16" t="n">
        <v>10881</v>
      </c>
      <c r="Q2234" s="16" t="n">
        <v>11565</v>
      </c>
      <c r="S2234" s="16" t="n">
        <v>11353</v>
      </c>
      <c r="U2234" s="16" t="n">
        <v>11353</v>
      </c>
      <c r="AC2234" s="23">
        <f>IF(OR(E2234="",E2234="[PARENT]"),"ADD",IF(E2234="[ALT_VIEW]","ALT",""))</f>
        <v/>
      </c>
      <c r="AD2234" s="21">
        <f>IF(Y2234&lt;&gt;"",Y2234,IF(U2234&lt;&gt;"",U2234,S2234))</f>
        <v/>
      </c>
      <c r="AE2234" s="21">
        <f>IF(AB2234&lt;&gt;"",AB2234,Z2234)</f>
        <v/>
      </c>
      <c r="AF2234" s="13" t="inlineStr">
        <is>
          <t>BA1 &gt; 1D4D &gt; Standard Missile &gt; VLS</t>
        </is>
      </c>
      <c r="AG2234" s="7" t="inlineStr">
        <is>
          <t>367</t>
        </is>
      </c>
      <c r="AH2234" s="7" t="inlineStr">
        <is>
          <t>1D4D</t>
        </is>
      </c>
      <c r="AI2234" s="7" t="inlineStr">
        <is>
          <t>VLS</t>
        </is>
      </c>
    </row>
    <row r="2235" ht="10" customHeight="1">
      <c r="A2235" s="7" t="inlineStr">
        <is>
          <t>OMN</t>
        </is>
      </c>
      <c r="B2235" s="7" t="inlineStr">
        <is>
          <t>O&amp;M</t>
        </is>
      </c>
      <c r="D2235" s="7" t="inlineStr">
        <is>
          <t>Submarine Torpedo Systems</t>
        </is>
      </c>
      <c r="E2235" s="13" t="inlineStr">
        <is>
          <t>[SUB]</t>
        </is>
      </c>
      <c r="F2235" s="7" t="inlineStr">
        <is>
          <t>Weapons Maintenance</t>
        </is>
      </c>
      <c r="I2235" s="14" t="n">
        <v>2</v>
      </c>
      <c r="K2235" s="13" t="inlineStr">
        <is>
          <t>USN</t>
        </is>
      </c>
      <c r="L2235" s="7" t="inlineStr">
        <is>
          <t>Combatant Ships</t>
        </is>
      </c>
      <c r="M2235" s="7" t="inlineStr">
        <is>
          <t>Submarines</t>
        </is>
      </c>
      <c r="O2235" s="15" t="n"/>
      <c r="P2235" s="16" t="n">
        <v>127395</v>
      </c>
      <c r="Q2235" s="16" t="n">
        <v>130594</v>
      </c>
      <c r="S2235" s="16" t="n">
        <v>71804</v>
      </c>
      <c r="U2235" s="16" t="n">
        <v>71804</v>
      </c>
      <c r="AC2235" s="23">
        <f>IF(OR(E2235="",E2235="[PARENT]"),"ADD",IF(E2235="[ALT_VIEW]","ALT",""))</f>
        <v/>
      </c>
      <c r="AD2235" s="21">
        <f>IF(Y2235&lt;&gt;"",Y2235,IF(U2235&lt;&gt;"",U2235,S2235))</f>
        <v/>
      </c>
      <c r="AE2235" s="21">
        <f>IF(AB2235&lt;&gt;"",AB2235,Z2235)</f>
        <v/>
      </c>
      <c r="AF2235" s="13" t="inlineStr">
        <is>
          <t>BA1 &gt; 1D4D &gt; Submarine Acquisition &gt; Torpedo Systems</t>
        </is>
      </c>
      <c r="AG2235" s="7" t="inlineStr">
        <is>
          <t>366</t>
        </is>
      </c>
      <c r="AH2235" s="7" t="inlineStr">
        <is>
          <t>1D4D</t>
        </is>
      </c>
      <c r="AI2235" s="7" t="inlineStr">
        <is>
          <t>Torpedo Systems</t>
        </is>
      </c>
    </row>
    <row r="2236" ht="10" customHeight="1">
      <c r="A2236" s="7" t="inlineStr">
        <is>
          <t>OMN</t>
        </is>
      </c>
      <c r="B2236" s="7" t="inlineStr">
        <is>
          <t>O&amp;M</t>
        </is>
      </c>
      <c r="D2236" s="7" t="inlineStr">
        <is>
          <t>Surface Undersea Warfare (USW)</t>
        </is>
      </c>
      <c r="E2236" s="13" t="inlineStr">
        <is>
          <t>[SUB]</t>
        </is>
      </c>
      <c r="F2236" s="7" t="inlineStr">
        <is>
          <t>Weapons Maintenance</t>
        </is>
      </c>
      <c r="I2236" s="14" t="n">
        <v>2</v>
      </c>
      <c r="K2236" s="15" t="n"/>
      <c r="O2236" s="15" t="n"/>
      <c r="P2236" s="16" t="n">
        <v>41679</v>
      </c>
      <c r="Q2236" s="16" t="n">
        <v>41231</v>
      </c>
      <c r="S2236" s="16" t="n">
        <v>40897</v>
      </c>
      <c r="U2236" s="16" t="n">
        <v>40897</v>
      </c>
      <c r="AC2236" s="23">
        <f>IF(OR(E2236="",E2236="[PARENT]"),"ADD",IF(E2236="[ALT_VIEW]","ALT",""))</f>
        <v/>
      </c>
      <c r="AD2236" s="21">
        <f>IF(Y2236&lt;&gt;"",Y2236,IF(U2236&lt;&gt;"",U2236,S2236))</f>
        <v/>
      </c>
      <c r="AE2236" s="21">
        <f>IF(AB2236&lt;&gt;"",AB2236,Z2236)</f>
        <v/>
      </c>
      <c r="AF2236" s="13" t="inlineStr">
        <is>
          <t>BA1 &gt; 1D4D &gt; Integrated Warfare &gt; Surface USW</t>
        </is>
      </c>
      <c r="AG2236" s="7" t="inlineStr">
        <is>
          <t>367</t>
        </is>
      </c>
      <c r="AH2236" s="7" t="inlineStr">
        <is>
          <t>1D4D</t>
        </is>
      </c>
      <c r="AI2236" s="7" t="inlineStr">
        <is>
          <t>Surface USW</t>
        </is>
      </c>
    </row>
    <row r="2237" ht="10" customHeight="1">
      <c r="A2237" s="7" t="inlineStr">
        <is>
          <t>OMN</t>
        </is>
      </c>
      <c r="B2237" s="7" t="inlineStr">
        <is>
          <t>O&amp;M</t>
        </is>
      </c>
      <c r="D2237" s="7" t="inlineStr">
        <is>
          <t>Submarine Acoustics / In-Service Combat Systems</t>
        </is>
      </c>
      <c r="E2237" s="13" t="inlineStr">
        <is>
          <t>[SUB]</t>
        </is>
      </c>
      <c r="F2237" s="7" t="inlineStr">
        <is>
          <t>Weapons Maintenance</t>
        </is>
      </c>
      <c r="I2237" s="14" t="n">
        <v>2</v>
      </c>
      <c r="K2237" s="13" t="inlineStr">
        <is>
          <t>USN</t>
        </is>
      </c>
      <c r="L2237" s="7" t="inlineStr">
        <is>
          <t>Combatant Ships</t>
        </is>
      </c>
      <c r="M2237" s="7" t="inlineStr">
        <is>
          <t>Submarines</t>
        </is>
      </c>
      <c r="O2237" s="15" t="n"/>
      <c r="P2237" s="16" t="n">
        <v>18244</v>
      </c>
      <c r="Q2237" s="16" t="n">
        <v>18509</v>
      </c>
      <c r="S2237" s="16" t="n">
        <v>17384</v>
      </c>
      <c r="U2237" s="16" t="n">
        <v>17384</v>
      </c>
      <c r="AC2237" s="23">
        <f>IF(OR(E2237="",E2237="[PARENT]"),"ADD",IF(E2237="[ALT_VIEW]","ALT",""))</f>
        <v/>
      </c>
      <c r="AD2237" s="21">
        <f>IF(Y2237&lt;&gt;"",Y2237,IF(U2237&lt;&gt;"",U2237,S2237))</f>
        <v/>
      </c>
      <c r="AE2237" s="21">
        <f>IF(AB2237&lt;&gt;"",AB2237,Z2237)</f>
        <v/>
      </c>
      <c r="AF2237" s="13" t="inlineStr">
        <is>
          <t>BA1 &gt; 1D4D &gt; Submarine Acoustics</t>
        </is>
      </c>
      <c r="AG2237" s="7" t="inlineStr">
        <is>
          <t>366</t>
        </is>
      </c>
      <c r="AH2237" s="7" t="inlineStr">
        <is>
          <t>1D4D</t>
        </is>
      </c>
    </row>
    <row r="2238" ht="10" customHeight="1">
      <c r="A2238" s="7" t="inlineStr">
        <is>
          <t>OMN</t>
        </is>
      </c>
      <c r="B2238" s="7" t="inlineStr">
        <is>
          <t>O&amp;M</t>
        </is>
      </c>
      <c r="D2238" s="7" t="inlineStr">
        <is>
          <t>NATO Seasparrow (RIM-7)</t>
        </is>
      </c>
      <c r="E2238" s="13" t="inlineStr">
        <is>
          <t>[SUB]</t>
        </is>
      </c>
      <c r="F2238" s="7" t="inlineStr">
        <is>
          <t>Weapons Maintenance</t>
        </is>
      </c>
      <c r="I2238" s="14" t="n">
        <v>2</v>
      </c>
      <c r="K2238" s="15" t="n"/>
      <c r="O2238" s="15" t="n"/>
      <c r="P2238" s="16" t="n">
        <v>44260</v>
      </c>
      <c r="Q2238" s="16" t="n">
        <v>50080</v>
      </c>
      <c r="S2238" s="16" t="n">
        <v>41235</v>
      </c>
      <c r="U2238" s="16" t="n">
        <v>41235</v>
      </c>
      <c r="AC2238" s="23">
        <f>IF(OR(E2238="",E2238="[PARENT]"),"ADD",IF(E2238="[ALT_VIEW]","ALT",""))</f>
        <v/>
      </c>
      <c r="AD2238" s="21">
        <f>IF(Y2238&lt;&gt;"",Y2238,IF(U2238&lt;&gt;"",U2238,S2238))</f>
        <v/>
      </c>
      <c r="AE2238" s="21">
        <f>IF(AB2238&lt;&gt;"",AB2238,Z2238)</f>
        <v/>
      </c>
      <c r="AF2238" s="13" t="inlineStr">
        <is>
          <t>BA1 &gt; 1D4D &gt; NATO Seasparrow</t>
        </is>
      </c>
      <c r="AG2238" s="7" t="inlineStr">
        <is>
          <t>367</t>
        </is>
      </c>
      <c r="AH2238" s="7" t="inlineStr">
        <is>
          <t>1D4D</t>
        </is>
      </c>
    </row>
    <row r="2239" ht="10" customHeight="1">
      <c r="A2239" s="7" t="inlineStr">
        <is>
          <t>OMN</t>
        </is>
      </c>
      <c r="B2239" s="7" t="inlineStr">
        <is>
          <t>O&amp;M</t>
        </is>
      </c>
      <c r="D2239" s="7" t="inlineStr">
        <is>
          <t>Rolling Air Frame (RAM) Maintenance</t>
        </is>
      </c>
      <c r="E2239" s="13" t="inlineStr">
        <is>
          <t>[SUB]</t>
        </is>
      </c>
      <c r="F2239" s="7" t="inlineStr">
        <is>
          <t>Weapons Maintenance</t>
        </is>
      </c>
      <c r="I2239" s="14" t="n">
        <v>2</v>
      </c>
      <c r="K2239" s="15" t="n"/>
      <c r="O2239" s="15" t="n"/>
      <c r="P2239" s="16" t="n">
        <v>14776</v>
      </c>
      <c r="Q2239" s="16" t="n">
        <v>18969</v>
      </c>
      <c r="S2239" s="16" t="n">
        <v>18784</v>
      </c>
      <c r="U2239" s="16" t="n">
        <v>18784</v>
      </c>
      <c r="AC2239" s="23">
        <f>IF(OR(E2239="",E2239="[PARENT]"),"ADD",IF(E2239="[ALT_VIEW]","ALT",""))</f>
        <v/>
      </c>
      <c r="AD2239" s="21">
        <f>IF(Y2239&lt;&gt;"",Y2239,IF(U2239&lt;&gt;"",U2239,S2239))</f>
        <v/>
      </c>
      <c r="AE2239" s="21">
        <f>IF(AB2239&lt;&gt;"",AB2239,Z2239)</f>
        <v/>
      </c>
      <c r="AF2239" s="13" t="inlineStr">
        <is>
          <t>BA1 &gt; 1D4D &gt; RAM Maintenance</t>
        </is>
      </c>
      <c r="AG2239" s="7" t="inlineStr">
        <is>
          <t>367</t>
        </is>
      </c>
      <c r="AH2239" s="7" t="inlineStr">
        <is>
          <t>1D4D</t>
        </is>
      </c>
    </row>
    <row r="2240" ht="10" customHeight="1">
      <c r="A2240" s="7" t="inlineStr">
        <is>
          <t>OMN</t>
        </is>
      </c>
      <c r="B2240" s="7" t="inlineStr">
        <is>
          <t>O&amp;M</t>
        </is>
      </c>
      <c r="D2240" s="7" t="inlineStr">
        <is>
          <t>Surface Ship Torpedo Defense (SSTD) Depot Repair</t>
        </is>
      </c>
      <c r="E2240" s="13" t="inlineStr">
        <is>
          <t>[SUB]</t>
        </is>
      </c>
      <c r="F2240" s="7" t="inlineStr">
        <is>
          <t>Weapons Maintenance</t>
        </is>
      </c>
      <c r="I2240" s="14" t="n">
        <v>2</v>
      </c>
      <c r="K2240" s="15" t="n"/>
      <c r="O2240" s="15" t="n"/>
      <c r="P2240" s="16" t="n">
        <v>2205</v>
      </c>
      <c r="Q2240" s="16" t="n">
        <v>2169</v>
      </c>
      <c r="S2240" s="16" t="n">
        <v>2179</v>
      </c>
      <c r="U2240" s="16" t="n">
        <v>2179</v>
      </c>
      <c r="AC2240" s="23">
        <f>IF(OR(E2240="",E2240="[PARENT]"),"ADD",IF(E2240="[ALT_VIEW]","ALT",""))</f>
        <v/>
      </c>
      <c r="AD2240" s="21">
        <f>IF(Y2240&lt;&gt;"",Y2240,IF(U2240&lt;&gt;"",U2240,S2240))</f>
        <v/>
      </c>
      <c r="AE2240" s="21">
        <f>IF(AB2240&lt;&gt;"",AB2240,Z2240)</f>
        <v/>
      </c>
      <c r="AF2240" s="13" t="inlineStr">
        <is>
          <t>BA1 &gt; 1D4D &gt; Submarine Acquisition &gt; SSTD</t>
        </is>
      </c>
      <c r="AG2240" s="7" t="inlineStr">
        <is>
          <t>367</t>
        </is>
      </c>
      <c r="AH2240" s="7" t="inlineStr">
        <is>
          <t>1D4D</t>
        </is>
      </c>
      <c r="AI2240" s="7" t="inlineStr">
        <is>
          <t>SSTD</t>
        </is>
      </c>
    </row>
    <row r="2241" ht="10" customHeight="1">
      <c r="A2241" s="7" t="inlineStr">
        <is>
          <t>OMN</t>
        </is>
      </c>
      <c r="B2241" s="7" t="inlineStr">
        <is>
          <t>O&amp;M</t>
        </is>
      </c>
      <c r="D2241" s="7" t="inlineStr">
        <is>
          <t>Surface Mine Countermeasures (SMCM)</t>
        </is>
      </c>
      <c r="E2241" s="13" t="inlineStr">
        <is>
          <t>[SUB]</t>
        </is>
      </c>
      <c r="F2241" s="7" t="inlineStr">
        <is>
          <t>Weapons Maintenance</t>
        </is>
      </c>
      <c r="I2241" s="14" t="n">
        <v>2</v>
      </c>
      <c r="K2241" s="13" t="inlineStr">
        <is>
          <t>USN</t>
        </is>
      </c>
      <c r="L2241" s="7" t="inlineStr">
        <is>
          <t>Combatant Ships</t>
        </is>
      </c>
      <c r="M2241" s="7" t="inlineStr">
        <is>
          <t>Mine Warfare</t>
        </is>
      </c>
      <c r="N2241" s="7" t="inlineStr">
        <is>
          <t>MCM</t>
        </is>
      </c>
      <c r="O2241" s="15" t="n"/>
      <c r="P2241" s="16" t="n">
        <v>6756</v>
      </c>
      <c r="Q2241" s="16" t="n">
        <v>14976</v>
      </c>
      <c r="S2241" s="16" t="n">
        <v>18683</v>
      </c>
      <c r="U2241" s="16" t="n">
        <v>18683</v>
      </c>
      <c r="AC2241" s="23">
        <f>IF(OR(E2241="",E2241="[PARENT]"),"ADD",IF(E2241="[ALT_VIEW]","ALT",""))</f>
        <v/>
      </c>
      <c r="AD2241" s="21">
        <f>IF(Y2241&lt;&gt;"",Y2241,IF(U2241&lt;&gt;"",U2241,S2241))</f>
        <v/>
      </c>
      <c r="AE2241" s="21">
        <f>IF(AB2241&lt;&gt;"",AB2241,Z2241)</f>
        <v/>
      </c>
      <c r="AF2241" s="13" t="inlineStr">
        <is>
          <t>BA1 &gt; 1D4D &gt; Littoral &amp; Mine Warfare &gt; SMCM</t>
        </is>
      </c>
      <c r="AG2241" s="7" t="inlineStr">
        <is>
          <t>368</t>
        </is>
      </c>
      <c r="AH2241" s="7" t="inlineStr">
        <is>
          <t>1D4D</t>
        </is>
      </c>
      <c r="AI2241" s="7" t="inlineStr">
        <is>
          <t>SMCM</t>
        </is>
      </c>
    </row>
    <row r="2242" ht="10" customHeight="1">
      <c r="A2242" s="7" t="inlineStr">
        <is>
          <t>OMN</t>
        </is>
      </c>
      <c r="B2242" s="7" t="inlineStr">
        <is>
          <t>O&amp;M</t>
        </is>
      </c>
      <c r="D2242" s="7" t="inlineStr">
        <is>
          <t>MCM USV (Mine Countermeasures Unmanned Surface Vehicle)</t>
        </is>
      </c>
      <c r="E2242" s="13" t="inlineStr">
        <is>
          <t>[SUB]</t>
        </is>
      </c>
      <c r="F2242" s="7" t="inlineStr">
        <is>
          <t>Weapons Maintenance</t>
        </is>
      </c>
      <c r="I2242" s="14" t="n">
        <v>2</v>
      </c>
      <c r="K2242" s="13" t="inlineStr">
        <is>
          <t>USN</t>
        </is>
      </c>
      <c r="L2242" s="7" t="inlineStr">
        <is>
          <t>Unmanned Maritime Platforms</t>
        </is>
      </c>
      <c r="M2242" s="7" t="inlineStr">
        <is>
          <t>Unmanned Surface Vehicles</t>
        </is>
      </c>
      <c r="N2242" s="7" t="inlineStr">
        <is>
          <t>MUSV</t>
        </is>
      </c>
      <c r="O2242" s="15" t="n"/>
      <c r="P2242" s="16" t="n">
        <v>42782</v>
      </c>
      <c r="Q2242" s="16" t="n">
        <v>62411</v>
      </c>
      <c r="S2242" s="16" t="n">
        <v>40610</v>
      </c>
      <c r="U2242" s="16" t="n">
        <v>40610</v>
      </c>
      <c r="AC2242" s="23">
        <f>IF(OR(E2242="",E2242="[PARENT]"),"ADD",IF(E2242="[ALT_VIEW]","ALT",""))</f>
        <v/>
      </c>
      <c r="AD2242" s="21">
        <f>IF(Y2242&lt;&gt;"",Y2242,IF(U2242&lt;&gt;"",U2242,S2242))</f>
        <v/>
      </c>
      <c r="AE2242" s="21">
        <f>IF(AB2242&lt;&gt;"",AB2242,Z2242)</f>
        <v/>
      </c>
      <c r="AF2242" s="13" t="inlineStr">
        <is>
          <t>BA1 &gt; 1D4D &gt; Littoral &amp; Mine Warfare &gt; MCMUSV</t>
        </is>
      </c>
      <c r="AG2242" s="7" t="inlineStr">
        <is>
          <t>368</t>
        </is>
      </c>
      <c r="AH2242" s="7" t="inlineStr">
        <is>
          <t>1D4D</t>
        </is>
      </c>
      <c r="AI2242" s="7" t="inlineStr">
        <is>
          <t>MCMUSV</t>
        </is>
      </c>
    </row>
    <row r="2243" ht="10" customHeight="1">
      <c r="A2243" s="7" t="inlineStr">
        <is>
          <t>OMN</t>
        </is>
      </c>
      <c r="B2243" s="7" t="inlineStr">
        <is>
          <t>O&amp;M</t>
        </is>
      </c>
      <c r="D2243" s="7" t="inlineStr">
        <is>
          <t>LCS Mission Modules</t>
        </is>
      </c>
      <c r="E2243" s="13" t="inlineStr">
        <is>
          <t>[SUB]</t>
        </is>
      </c>
      <c r="F2243" s="7" t="inlineStr">
        <is>
          <t>Weapons Maintenance</t>
        </is>
      </c>
      <c r="I2243" s="14" t="n">
        <v>2</v>
      </c>
      <c r="K2243" s="13" t="inlineStr">
        <is>
          <t>USN</t>
        </is>
      </c>
      <c r="L2243" s="7" t="inlineStr">
        <is>
          <t>Combatant Ships</t>
        </is>
      </c>
      <c r="M2243" s="7" t="inlineStr">
        <is>
          <t>Surface Combatants</t>
        </is>
      </c>
      <c r="N2243" s="7" t="inlineStr">
        <is>
          <t>LCS</t>
        </is>
      </c>
      <c r="O2243" s="15" t="n"/>
      <c r="P2243" s="16" t="n">
        <v>0</v>
      </c>
      <c r="Q2243" s="16" t="n">
        <v>639</v>
      </c>
      <c r="S2243" s="16" t="n">
        <v>17877</v>
      </c>
      <c r="U2243" s="16" t="n">
        <v>17877</v>
      </c>
      <c r="AC2243" s="23">
        <f>IF(OR(E2243="",E2243="[PARENT]"),"ADD",IF(E2243="[ALT_VIEW]","ALT",""))</f>
        <v/>
      </c>
      <c r="AD2243" s="21">
        <f>IF(Y2243&lt;&gt;"",Y2243,IF(U2243&lt;&gt;"",U2243,S2243))</f>
        <v/>
      </c>
      <c r="AE2243" s="21">
        <f>IF(AB2243&lt;&gt;"",AB2243,Z2243)</f>
        <v/>
      </c>
      <c r="AF2243" s="13" t="inlineStr">
        <is>
          <t>BA1 &gt; 1D4D &gt; Littoral &amp; Mine Warfare &gt; LCS MM</t>
        </is>
      </c>
      <c r="AG2243" s="7" t="inlineStr">
        <is>
          <t>368</t>
        </is>
      </c>
      <c r="AH2243" s="7" t="inlineStr">
        <is>
          <t>1D4D</t>
        </is>
      </c>
      <c r="AI2243" s="7" t="inlineStr">
        <is>
          <t>LCS MM - LCS MISSION MODULES</t>
        </is>
      </c>
    </row>
    <row r="2244" ht="10" customHeight="1">
      <c r="A2244" s="7" t="inlineStr">
        <is>
          <t>OMN</t>
        </is>
      </c>
      <c r="B2244" s="7" t="inlineStr">
        <is>
          <t>O&amp;M</t>
        </is>
      </c>
      <c r="D2244" s="7" t="inlineStr">
        <is>
          <t>Orca Extra Large UUV (XLUUV)</t>
        </is>
      </c>
      <c r="E2244" s="13" t="inlineStr">
        <is>
          <t>[SUB]</t>
        </is>
      </c>
      <c r="F2244" s="7" t="inlineStr">
        <is>
          <t>Weapons Maintenance</t>
        </is>
      </c>
      <c r="I2244" s="14" t="n">
        <v>2</v>
      </c>
      <c r="K2244" s="13" t="inlineStr">
        <is>
          <t>USN</t>
        </is>
      </c>
      <c r="L2244" s="7" t="inlineStr">
        <is>
          <t>Unmanned Maritime Platforms</t>
        </is>
      </c>
      <c r="M2244" s="7" t="inlineStr">
        <is>
          <t>Unmanned Undersea Vehicles</t>
        </is>
      </c>
      <c r="N2244" s="7" t="inlineStr">
        <is>
          <t>XLUUV</t>
        </is>
      </c>
      <c r="O2244" s="15" t="n"/>
      <c r="P2244" s="16" t="n">
        <v>0</v>
      </c>
      <c r="Q2244" s="16" t="n">
        <v>0</v>
      </c>
      <c r="S2244" s="16" t="n">
        <v>7179</v>
      </c>
      <c r="U2244" s="16" t="n">
        <v>7179</v>
      </c>
      <c r="AC2244" s="23">
        <f>IF(OR(E2244="",E2244="[PARENT]"),"ADD",IF(E2244="[ALT_VIEW]","ALT",""))</f>
        <v/>
      </c>
      <c r="AD2244" s="21">
        <f>IF(Y2244&lt;&gt;"",Y2244,IF(U2244&lt;&gt;"",U2244,S2244))</f>
        <v/>
      </c>
      <c r="AE2244" s="21">
        <f>IF(AB2244&lt;&gt;"",AB2244,Z2244)</f>
        <v/>
      </c>
      <c r="AF2244" s="13" t="inlineStr">
        <is>
          <t>BA1 &gt; 1D4D &gt; Littoral &amp; Mine Warfare &gt; XLUUV</t>
        </is>
      </c>
      <c r="AG2244" s="7" t="inlineStr">
        <is>
          <t>359</t>
        </is>
      </c>
      <c r="AH2244" s="7" t="inlineStr">
        <is>
          <t>1D4D</t>
        </is>
      </c>
      <c r="AI2244" s="7" t="inlineStr">
        <is>
          <t>XLUUV</t>
        </is>
      </c>
    </row>
    <row r="2245" ht="10" customHeight="1">
      <c r="A2245" s="7" t="inlineStr">
        <is>
          <t>OMN</t>
        </is>
      </c>
      <c r="B2245" s="7" t="inlineStr">
        <is>
          <t>O&amp;M</t>
        </is>
      </c>
      <c r="D2245" s="7" t="inlineStr">
        <is>
          <t>Small Unmanned Surface Vehicle (sUSV)</t>
        </is>
      </c>
      <c r="E2245" s="13" t="inlineStr">
        <is>
          <t>[SUB]</t>
        </is>
      </c>
      <c r="F2245" s="7" t="inlineStr">
        <is>
          <t>Weapons Maintenance</t>
        </is>
      </c>
      <c r="I2245" s="14" t="n">
        <v>2</v>
      </c>
      <c r="K2245" s="13" t="inlineStr">
        <is>
          <t>USN</t>
        </is>
      </c>
      <c r="L2245" s="7" t="inlineStr">
        <is>
          <t>Unmanned Maritime Platforms</t>
        </is>
      </c>
      <c r="M2245" s="7" t="inlineStr">
        <is>
          <t>Unmanned Surface Vehicles</t>
        </is>
      </c>
      <c r="N2245" s="7" t="inlineStr">
        <is>
          <t>SUSV</t>
        </is>
      </c>
      <c r="O2245" s="15" t="n"/>
      <c r="P2245" s="16" t="n">
        <v>0</v>
      </c>
      <c r="Q2245" s="16" t="n">
        <v>0</v>
      </c>
      <c r="S2245" s="16" t="n">
        <v>17475</v>
      </c>
      <c r="U2245" s="16" t="n">
        <v>17475</v>
      </c>
      <c r="AC2245" s="23">
        <f>IF(OR(E2245="",E2245="[PARENT]"),"ADD",IF(E2245="[ALT_VIEW]","ALT",""))</f>
        <v/>
      </c>
      <c r="AD2245" s="21">
        <f>IF(Y2245&lt;&gt;"",Y2245,IF(U2245&lt;&gt;"",U2245,S2245))</f>
        <v/>
      </c>
      <c r="AE2245" s="21">
        <f>IF(AB2245&lt;&gt;"",AB2245,Z2245)</f>
        <v/>
      </c>
      <c r="AF2245" s="13" t="inlineStr">
        <is>
          <t>BA1 &gt; 1D4D &gt; Littoral &amp; Mine Warfare &gt; sUSV</t>
        </is>
      </c>
      <c r="AG2245" s="7" t="inlineStr">
        <is>
          <t>368</t>
        </is>
      </c>
      <c r="AH2245" s="7" t="inlineStr">
        <is>
          <t>1D4D</t>
        </is>
      </c>
      <c r="AI2245" s="7" t="inlineStr">
        <is>
          <t>sUSV</t>
        </is>
      </c>
    </row>
    <row r="2246" ht="10" customHeight="1">
      <c r="A2246" s="7" t="inlineStr">
        <is>
          <t>OMN</t>
        </is>
      </c>
      <c r="B2246" s="7" t="inlineStr">
        <is>
          <t>O&amp;M</t>
        </is>
      </c>
      <c r="D2246" s="7" t="inlineStr">
        <is>
          <t>Sonar Towed Array Replenishment Spares</t>
        </is>
      </c>
      <c r="E2246" s="13" t="inlineStr">
        <is>
          <t>[SUB]</t>
        </is>
      </c>
      <c r="F2246" s="7" t="inlineStr">
        <is>
          <t>Weapons Maintenance</t>
        </is>
      </c>
      <c r="I2246" s="14" t="n">
        <v>2</v>
      </c>
      <c r="K2246" s="13" t="inlineStr">
        <is>
          <t>USN</t>
        </is>
      </c>
      <c r="L2246" s="7" t="inlineStr">
        <is>
          <t>Combatant Ships</t>
        </is>
      </c>
      <c r="M2246" s="7" t="inlineStr">
        <is>
          <t>Submarines</t>
        </is>
      </c>
      <c r="N2246" s="7" t="inlineStr">
        <is>
          <t>SSN</t>
        </is>
      </c>
      <c r="O2246" s="15" t="n"/>
      <c r="P2246" s="16" t="n">
        <v>5351</v>
      </c>
      <c r="Q2246" s="16" t="n">
        <v>5490</v>
      </c>
      <c r="S2246" s="16" t="n">
        <v>5607</v>
      </c>
      <c r="U2246" s="16" t="n">
        <v>5607</v>
      </c>
      <c r="AC2246" s="23">
        <f>IF(OR(E2246="",E2246="[PARENT]"),"ADD",IF(E2246="[ALT_VIEW]","ALT",""))</f>
        <v/>
      </c>
      <c r="AD2246" s="21">
        <f>IF(Y2246&lt;&gt;"",Y2246,IF(U2246&lt;&gt;"",U2246,S2246))</f>
        <v/>
      </c>
      <c r="AE2246" s="21">
        <f>IF(AB2246&lt;&gt;"",AB2246,Z2246)</f>
        <v/>
      </c>
      <c r="AF2246" s="13" t="inlineStr">
        <is>
          <t>BA1 &gt; 1D4D &gt; Submarine Acquisition &gt; Sonar Towed Array</t>
        </is>
      </c>
      <c r="AG2246" s="7" t="inlineStr">
        <is>
          <t>367</t>
        </is>
      </c>
      <c r="AH2246" s="7" t="inlineStr">
        <is>
          <t>1D4D</t>
        </is>
      </c>
      <c r="AI2246" s="7" t="inlineStr">
        <is>
          <t>Sonar Towed Array</t>
        </is>
      </c>
    </row>
    <row r="2247" ht="10" customHeight="1">
      <c r="A2247" s="7" t="inlineStr">
        <is>
          <t>OMN</t>
        </is>
      </c>
      <c r="B2247" s="7" t="inlineStr">
        <is>
          <t>O&amp;M</t>
        </is>
      </c>
      <c r="D2247" s="7" t="inlineStr">
        <is>
          <t>Sustainment, Restoration and Modernization</t>
        </is>
      </c>
      <c r="E2247" s="13" t="inlineStr">
        <is>
          <t>[REFERENCE]</t>
        </is>
      </c>
      <c r="I2247" s="14" t="n">
        <v>7</v>
      </c>
      <c r="K2247" s="15" t="n"/>
      <c r="O2247" s="15" t="n"/>
      <c r="P2247" s="16" t="n">
        <v>4711542</v>
      </c>
      <c r="Q2247" s="16" t="n">
        <v>5922739</v>
      </c>
      <c r="S2247" s="16" t="n">
        <v>5678354</v>
      </c>
      <c r="U2247" s="16" t="n">
        <v>5678354</v>
      </c>
      <c r="AC2247" s="23">
        <f>IF(OR(E2247="",E2247="[PARENT]"),"ADD",IF(E2247="[ALT_VIEW]","ALT",""))</f>
        <v/>
      </c>
      <c r="AD2247" s="21">
        <f>IF(Y2247&lt;&gt;"",Y2247,IF(U2247&lt;&gt;"",U2247,S2247))</f>
        <v/>
      </c>
      <c r="AE2247" s="21">
        <f>IF(AB2247&lt;&gt;"",AB2247,Z2247)</f>
        <v/>
      </c>
      <c r="AF2247" s="13" t="inlineStr">
        <is>
          <t>BA1 &gt; Base Support &gt; BSM1 Sustainment, Restoration and Modernization</t>
        </is>
      </c>
      <c r="AG2247" s="7" t="inlineStr">
        <is>
          <t>21</t>
        </is>
      </c>
    </row>
    <row r="2248" ht="10" customHeight="1">
      <c r="A2248" s="7" t="inlineStr">
        <is>
          <t>OMN</t>
        </is>
      </c>
      <c r="B2248" s="7" t="inlineStr">
        <is>
          <t>O&amp;M</t>
        </is>
      </c>
      <c r="D2248" s="7" t="inlineStr">
        <is>
          <t>PSNS Drydock 4 Seismic Repairs</t>
        </is>
      </c>
      <c r="E2248" s="13" t="inlineStr">
        <is>
          <t>[SUB]</t>
        </is>
      </c>
      <c r="F2248" s="7" t="inlineStr">
        <is>
          <t>BSM1 Sustainment, Restoration and Modernization</t>
        </is>
      </c>
      <c r="I2248" s="14" t="n">
        <v>7</v>
      </c>
      <c r="K2248" s="15" t="n"/>
      <c r="O2248" s="15" t="n"/>
      <c r="S2248" s="16" t="n">
        <v>830000</v>
      </c>
      <c r="U2248" s="16" t="n">
        <v>830000</v>
      </c>
      <c r="AC2248" s="23">
        <f>IF(OR(E2248="",E2248="[PARENT]"),"ADD",IF(E2248="[ALT_VIEW]","ALT",""))</f>
        <v/>
      </c>
      <c r="AD2248" s="21">
        <f>IF(Y2248&lt;&gt;"",Y2248,IF(U2248&lt;&gt;"",U2248,S2248))</f>
        <v/>
      </c>
      <c r="AE2248" s="21">
        <f>IF(AB2248&lt;&gt;"",AB2248,Z2248)</f>
        <v/>
      </c>
      <c r="AF2248" s="13" t="inlineStr">
        <is>
          <t>BA1 &gt; BSM1 &gt; Program Increases &gt; One-Time Costs &gt; PSNS Drydock 4</t>
        </is>
      </c>
      <c r="AG2248" s="7" t="inlineStr">
        <is>
          <t>125</t>
        </is>
      </c>
    </row>
    <row r="2249" ht="10" customHeight="1">
      <c r="A2249" s="7" t="inlineStr">
        <is>
          <t>OMN</t>
        </is>
      </c>
      <c r="B2249" s="7" t="inlineStr">
        <is>
          <t>O&amp;M</t>
        </is>
      </c>
      <c r="D2249" s="7" t="inlineStr">
        <is>
          <t>Shipyard Infrastructure Optimization Program (SIOP)</t>
        </is>
      </c>
      <c r="E2249" s="13" t="inlineStr">
        <is>
          <t>[SUB]</t>
        </is>
      </c>
      <c r="F2249" s="7" t="inlineStr">
        <is>
          <t>BSM1 Sustainment, Restoration and Modernization</t>
        </is>
      </c>
      <c r="I2249" s="14" t="n">
        <v>7</v>
      </c>
      <c r="K2249" s="15" t="n"/>
      <c r="O2249" s="15" t="n"/>
      <c r="Q2249" s="16" t="n">
        <v>620500</v>
      </c>
      <c r="S2249" s="16" t="n">
        <v>159062</v>
      </c>
      <c r="U2249" s="16" t="n">
        <v>159062</v>
      </c>
      <c r="AC2249" s="23">
        <f>IF(OR(E2249="",E2249="[PARENT]"),"ADD",IF(E2249="[ALT_VIEW]","ALT",""))</f>
        <v/>
      </c>
      <c r="AD2249" s="21">
        <f>IF(Y2249&lt;&gt;"",Y2249,IF(U2249&lt;&gt;"",U2249,S2249))</f>
        <v/>
      </c>
      <c r="AE2249" s="21">
        <f>IF(AB2249&lt;&gt;"",AB2249,Z2249)</f>
        <v/>
      </c>
      <c r="AF2249" s="13" t="inlineStr">
        <is>
          <t>BA1 &gt; BSM1 &gt; Restoration and Modernization &gt; SIOP</t>
        </is>
      </c>
      <c r="AG2249" s="7" t="inlineStr">
        <is>
          <t>413</t>
        </is>
      </c>
    </row>
    <row r="2250" ht="10" customHeight="1">
      <c r="A2250" s="7" t="inlineStr">
        <is>
          <t>OMN</t>
        </is>
      </c>
      <c r="B2250" s="7" t="inlineStr">
        <is>
          <t>O&amp;M</t>
        </is>
      </c>
      <c r="D2250" s="7" t="inlineStr">
        <is>
          <t>Equipment Maintenance and Depot Operations Support</t>
        </is>
      </c>
      <c r="E2250" s="13" t="inlineStr">
        <is>
          <t>[PARENT]</t>
        </is>
      </c>
      <c r="I2250" s="14" t="n">
        <v>2</v>
      </c>
      <c r="K2250" s="15" t="n"/>
      <c r="O2250" s="15" t="n"/>
      <c r="P2250" s="16" t="n">
        <v>188964</v>
      </c>
      <c r="Q2250" s="16" t="n">
        <v>49284</v>
      </c>
      <c r="S2250" s="16" t="n">
        <v>62495</v>
      </c>
      <c r="U2250" s="16" t="n">
        <v>62495</v>
      </c>
      <c r="AC2250" s="23">
        <f>IF(OR(E2250="",E2250="[PARENT]"),"ADD",IF(E2250="[ALT_VIEW]","ALT",""))</f>
        <v/>
      </c>
      <c r="AD2250" s="21">
        <f>IF(Y2250&lt;&gt;"",Y2250,IF(U2250&lt;&gt;"",U2250,S2250))</f>
        <v/>
      </c>
      <c r="AE2250" s="21">
        <f>IF(AB2250&lt;&gt;"",AB2250,Z2250)</f>
        <v/>
      </c>
      <c r="AF2250" s="13" t="inlineStr">
        <is>
          <t>BA1 &gt; Combat Operations &gt; 1C7C Equipment Maint &amp; Depot Ops Support</t>
        </is>
      </c>
      <c r="AG2250" s="7" t="inlineStr">
        <is>
          <t>20</t>
        </is>
      </c>
      <c r="AH2250" s="7" t="inlineStr">
        <is>
          <t>1C7C</t>
        </is>
      </c>
    </row>
    <row r="2251" ht="10" customHeight="1">
      <c r="A2251" s="7" t="inlineStr">
        <is>
          <t>OMN</t>
        </is>
      </c>
      <c r="B2251" s="7" t="inlineStr">
        <is>
          <t>O&amp;M</t>
        </is>
      </c>
      <c r="D2251" s="7" t="inlineStr">
        <is>
          <t>Airborne Mine Countermeasures Equipment (AMCM)</t>
        </is>
      </c>
      <c r="E2251" s="13" t="inlineStr">
        <is>
          <t>[SUB]</t>
        </is>
      </c>
      <c r="F2251" s="7" t="inlineStr">
        <is>
          <t>Equipment Maintenance and Depot Operations Support</t>
        </is>
      </c>
      <c r="I2251" s="14" t="n">
        <v>2</v>
      </c>
      <c r="K2251" s="13" t="inlineStr">
        <is>
          <t>USN</t>
        </is>
      </c>
      <c r="L2251" s="7" t="inlineStr">
        <is>
          <t>Combatant Ships</t>
        </is>
      </c>
      <c r="M2251" s="7" t="inlineStr">
        <is>
          <t>Surface Combatants</t>
        </is>
      </c>
      <c r="N2251" s="7" t="inlineStr">
        <is>
          <t>LCS</t>
        </is>
      </c>
      <c r="O2251" s="15" t="n"/>
      <c r="P2251" s="16" t="n">
        <v>51202</v>
      </c>
      <c r="Q2251" s="16" t="n">
        <v>32395</v>
      </c>
      <c r="S2251" s="16" t="n">
        <v>42932</v>
      </c>
      <c r="AC2251" s="23">
        <f>IF(OR(E2251="",E2251="[PARENT]"),"ADD",IF(E2251="[ALT_VIEW]","ALT",""))</f>
        <v/>
      </c>
      <c r="AD2251" s="21">
        <f>IF(Y2251&lt;&gt;"",Y2251,IF(U2251&lt;&gt;"",U2251,S2251))</f>
        <v/>
      </c>
      <c r="AE2251" s="21">
        <f>IF(AB2251&lt;&gt;"",AB2251,Z2251)</f>
        <v/>
      </c>
      <c r="AF2251" s="13" t="inlineStr">
        <is>
          <t>BA1 &gt; 1C7C &gt; AMCM</t>
        </is>
      </c>
      <c r="AG2251" s="7" t="inlineStr">
        <is>
          <t>294</t>
        </is>
      </c>
      <c r="AH2251" s="7" t="inlineStr">
        <is>
          <t>1C7C</t>
        </is>
      </c>
    </row>
    <row r="2252" ht="10" customHeight="1">
      <c r="A2252" s="7" t="inlineStr">
        <is>
          <t>OMN</t>
        </is>
      </c>
      <c r="B2252" s="7" t="inlineStr">
        <is>
          <t>O&amp;M</t>
        </is>
      </c>
      <c r="D2252" s="7" t="inlineStr">
        <is>
          <t>Shipboard Instrumentation and Systems Calibration (SISCAL)</t>
        </is>
      </c>
      <c r="E2252" s="13" t="inlineStr">
        <is>
          <t>[SUB]</t>
        </is>
      </c>
      <c r="F2252" s="7" t="inlineStr">
        <is>
          <t>Equipment Maintenance and Depot Operations Support</t>
        </is>
      </c>
      <c r="I2252" s="14" t="n">
        <v>6</v>
      </c>
      <c r="K2252" s="15" t="n"/>
      <c r="O2252" s="15" t="n"/>
      <c r="P2252" s="16" t="n">
        <v>1316</v>
      </c>
      <c r="Q2252" s="16" t="n">
        <v>1959</v>
      </c>
      <c r="S2252" s="16" t="n">
        <v>3313</v>
      </c>
      <c r="AC2252" s="23">
        <f>IF(OR(E2252="",E2252="[PARENT]"),"ADD",IF(E2252="[ALT_VIEW]","ALT",""))</f>
        <v/>
      </c>
      <c r="AD2252" s="21">
        <f>IF(Y2252&lt;&gt;"",Y2252,IF(U2252&lt;&gt;"",U2252,S2252))</f>
        <v/>
      </c>
      <c r="AE2252" s="21">
        <f>IF(AB2252&lt;&gt;"",AB2252,Z2252)</f>
        <v/>
      </c>
      <c r="AF2252" s="13" t="inlineStr">
        <is>
          <t>BA1 &gt; 1C7C &gt; Calibration &gt; SISCAL</t>
        </is>
      </c>
      <c r="AG2252" s="7" t="inlineStr">
        <is>
          <t>292</t>
        </is>
      </c>
      <c r="AH2252" s="7" t="inlineStr">
        <is>
          <t>1C7C</t>
        </is>
      </c>
      <c r="AI2252" s="7" t="inlineStr">
        <is>
          <t>SISCAL</t>
        </is>
      </c>
    </row>
    <row r="2253" ht="10" customHeight="1">
      <c r="A2253" s="7" t="inlineStr">
        <is>
          <t>OMN_Vol2</t>
        </is>
      </c>
      <c r="B2253" s="7" t="inlineStr">
        <is>
          <t>O&amp;M</t>
        </is>
      </c>
      <c r="D2253" s="7" t="inlineStr">
        <is>
          <t>Ships - Depot Level Repairables (DLRs)</t>
        </is>
      </c>
      <c r="E2253" s="15" t="n"/>
      <c r="I2253" s="14" t="n">
        <v>6</v>
      </c>
      <c r="J2253" s="7" t="inlineStr">
        <is>
          <t>Sustainment Engineering/Planning/Obsolescence Support - spares</t>
        </is>
      </c>
      <c r="K2253" s="15" t="n"/>
      <c r="O2253" s="15" t="n"/>
      <c r="P2253" s="16" t="n">
        <v>751016</v>
      </c>
      <c r="Q2253" s="16" t="n">
        <v>750265</v>
      </c>
      <c r="S2253" s="16" t="n">
        <v>1307122</v>
      </c>
      <c r="AC2253" s="23">
        <f>IF(OR(E2253="",E2253="[PARENT]"),"ADD",IF(E2253="[ALT_VIEW]","ALT",""))</f>
        <v/>
      </c>
      <c r="AD2253" s="21">
        <f>IF(Y2253&lt;&gt;"",Y2253,IF(U2253&lt;&gt;"",U2253,S2253))</f>
        <v/>
      </c>
      <c r="AE2253" s="21">
        <f>IF(AB2253&lt;&gt;"",AB2253,Z2253)</f>
        <v/>
      </c>
      <c r="AF2253" s="13" t="inlineStr">
        <is>
          <t>OMN Vol2 &gt; OP-31 &gt; Spares and Repair Parts &gt; DLRs &gt; Ships</t>
        </is>
      </c>
      <c r="AG2253" s="7" t="inlineStr">
        <is>
          <t>59</t>
        </is>
      </c>
      <c r="AH2253" s="7" t="inlineStr">
        <is>
          <t>1B5B</t>
        </is>
      </c>
      <c r="AI2253" s="7" t="inlineStr">
        <is>
          <t>Spares and Repair Parts</t>
        </is>
      </c>
      <c r="AJ2253" s="7" t="inlineStr">
        <is>
          <t>DLRs</t>
        </is>
      </c>
    </row>
    <row r="2254" ht="10" customHeight="1">
      <c r="A2254" s="7" t="inlineStr">
        <is>
          <t>OMN_Vol2</t>
        </is>
      </c>
      <c r="B2254" s="7" t="inlineStr">
        <is>
          <t>O&amp;M</t>
        </is>
      </c>
      <c r="D2254" s="7" t="inlineStr">
        <is>
          <t>Ships - Consumables</t>
        </is>
      </c>
      <c r="E2254" s="15" t="n"/>
      <c r="I2254" s="14" t="n">
        <v>6</v>
      </c>
      <c r="J2254" s="7" t="inlineStr">
        <is>
          <t>Sustainment Engineering/Planning/Obsolescence Support - spares</t>
        </is>
      </c>
      <c r="K2254" s="15" t="n"/>
      <c r="O2254" s="15" t="n"/>
      <c r="P2254" s="16" t="n">
        <v>2345410</v>
      </c>
      <c r="Q2254" s="16" t="n">
        <v>2282625</v>
      </c>
      <c r="S2254" s="16" t="n">
        <v>3012564</v>
      </c>
      <c r="AC2254" s="23">
        <f>IF(OR(E2254="",E2254="[PARENT]"),"ADD",IF(E2254="[ALT_VIEW]","ALT",""))</f>
        <v/>
      </c>
      <c r="AD2254" s="21">
        <f>IF(Y2254&lt;&gt;"",Y2254,IF(U2254&lt;&gt;"",U2254,S2254))</f>
        <v/>
      </c>
      <c r="AE2254" s="21">
        <f>IF(AB2254&lt;&gt;"",AB2254,Z2254)</f>
        <v/>
      </c>
      <c r="AF2254" s="13" t="inlineStr">
        <is>
          <t>OMN Vol2 &gt; OP-31 &gt; Spares and Repair Parts &gt; Consumables &gt; Ships</t>
        </is>
      </c>
      <c r="AG2254" s="7" t="inlineStr">
        <is>
          <t>59</t>
        </is>
      </c>
      <c r="AH2254" s="7" t="inlineStr">
        <is>
          <t>1B5B</t>
        </is>
      </c>
      <c r="AI2254" s="7" t="inlineStr">
        <is>
          <t>Spares and Repair Parts</t>
        </is>
      </c>
      <c r="AJ2254" s="7" t="inlineStr">
        <is>
          <t>Consumables</t>
        </is>
      </c>
    </row>
    <row r="2255" ht="10" customHeight="1">
      <c r="A2255" s="7" t="inlineStr">
        <is>
          <t>OMN_Vol2</t>
        </is>
      </c>
      <c r="B2255" s="7" t="inlineStr">
        <is>
          <t>O&amp;M</t>
        </is>
      </c>
      <c r="D2255" s="7" t="inlineStr">
        <is>
          <t>Pearl Harbor Naval Shipyard &amp; IMF: Source of Funding - Department of Navy</t>
        </is>
      </c>
      <c r="E2255" s="13" t="inlineStr">
        <is>
          <t>[SUB]</t>
        </is>
      </c>
      <c r="F2255" s="7" t="inlineStr">
        <is>
          <t>PHNSY&amp;IMF Total</t>
        </is>
      </c>
      <c r="I2255" s="14" t="n">
        <v>2</v>
      </c>
      <c r="J2255" s="7" t="inlineStr">
        <is>
          <t>Scheduled Depot Maintenance</t>
        </is>
      </c>
      <c r="K2255" s="15" t="n"/>
      <c r="O2255" s="15" t="n"/>
      <c r="P2255" s="16" t="n">
        <v>1469442</v>
      </c>
      <c r="Q2255" s="16" t="n">
        <v>1574904</v>
      </c>
      <c r="S2255" s="16" t="n">
        <v>1775443</v>
      </c>
      <c r="AC2255" s="23">
        <f>IF(OR(E2255="",E2255="[PARENT]"),"ADD",IF(E2255="[ALT_VIEW]","ALT",""))</f>
        <v/>
      </c>
      <c r="AD2255" s="21">
        <f>IF(Y2255&lt;&gt;"",Y2255,IF(U2255&lt;&gt;"",U2255,S2255))</f>
        <v/>
      </c>
      <c r="AE2255" s="21">
        <f>IF(AB2255&lt;&gt;"",AB2255,Z2255)</f>
        <v/>
      </c>
      <c r="AF2255" s="13" t="inlineStr">
        <is>
          <t>OMN Vol2 &gt; OP-5A &gt; PHNSY&amp;IMF &gt; Source of Funding &gt; Department of Navy</t>
        </is>
      </c>
      <c r="AG2255" s="7" t="inlineStr">
        <is>
          <t>67</t>
        </is>
      </c>
      <c r="AH2255" s="7" t="inlineStr">
        <is>
          <t>1B4B</t>
        </is>
      </c>
      <c r="AI2255" s="7" t="inlineStr">
        <is>
          <t>PHNSY&amp;IMF</t>
        </is>
      </c>
      <c r="AJ2255" s="7" t="inlineStr">
        <is>
          <t>Source of Funding</t>
        </is>
      </c>
    </row>
    <row r="2256" ht="10" customHeight="1">
      <c r="A2256" s="7" t="inlineStr">
        <is>
          <t>OMN_Vol2</t>
        </is>
      </c>
      <c r="B2256" s="7" t="inlineStr">
        <is>
          <t>O&amp;M</t>
        </is>
      </c>
      <c r="D2256" s="7" t="inlineStr">
        <is>
          <t>Pearl Harbor Naval Shipyard &amp; IMF: Source of Funding - Direct</t>
        </is>
      </c>
      <c r="E2256" s="13" t="inlineStr">
        <is>
          <t>[SUB]</t>
        </is>
      </c>
      <c r="F2256" s="7" t="inlineStr">
        <is>
          <t>PHNSY&amp;IMF Total</t>
        </is>
      </c>
      <c r="I2256" s="14" t="n">
        <v>2</v>
      </c>
      <c r="J2256" s="7" t="inlineStr">
        <is>
          <t>Scheduled Depot Maintenance</t>
        </is>
      </c>
      <c r="K2256" s="15" t="n"/>
      <c r="O2256" s="15" t="n"/>
      <c r="P2256" s="16" t="n">
        <v>1445034</v>
      </c>
      <c r="Q2256" s="16" t="n">
        <v>1538949</v>
      </c>
      <c r="S2256" s="16" t="n">
        <v>1711438</v>
      </c>
      <c r="AC2256" s="23">
        <f>IF(OR(E2256="",E2256="[PARENT]"),"ADD",IF(E2256="[ALT_VIEW]","ALT",""))</f>
        <v/>
      </c>
      <c r="AD2256" s="21">
        <f>IF(Y2256&lt;&gt;"",Y2256,IF(U2256&lt;&gt;"",U2256,S2256))</f>
        <v/>
      </c>
      <c r="AE2256" s="21">
        <f>IF(AB2256&lt;&gt;"",AB2256,Z2256)</f>
        <v/>
      </c>
      <c r="AF2256" s="13" t="inlineStr">
        <is>
          <t>OMN Vol2 &gt; OP-5A &gt; PHNSY&amp;IMF &gt; Source of Funding &gt; Direct</t>
        </is>
      </c>
      <c r="AG2256" s="7" t="inlineStr">
        <is>
          <t>67</t>
        </is>
      </c>
      <c r="AH2256" s="7" t="inlineStr">
        <is>
          <t>1B4B</t>
        </is>
      </c>
      <c r="AI2256" s="7" t="inlineStr">
        <is>
          <t>PHNSY&amp;IMF</t>
        </is>
      </c>
      <c r="AJ2256" s="7" t="inlineStr">
        <is>
          <t>Source of Funding</t>
        </is>
      </c>
    </row>
    <row r="2257" ht="10" customHeight="1">
      <c r="A2257" s="7" t="inlineStr">
        <is>
          <t>OMN_Vol2</t>
        </is>
      </c>
      <c r="B2257" s="7" t="inlineStr">
        <is>
          <t>O&amp;M</t>
        </is>
      </c>
      <c r="D2257" s="7" t="inlineStr">
        <is>
          <t>Pearl Harbor Naval Shipyard &amp; IMF: Source of Funding - Operation &amp; Maintenance, Navy (Fleet, Base)</t>
        </is>
      </c>
      <c r="E2257" s="13" t="inlineStr">
        <is>
          <t>[SUB]</t>
        </is>
      </c>
      <c r="F2257" s="7" t="inlineStr">
        <is>
          <t>PHNSY&amp;IMF Total</t>
        </is>
      </c>
      <c r="I2257" s="14" t="n">
        <v>2</v>
      </c>
      <c r="J2257" s="7" t="inlineStr">
        <is>
          <t>Scheduled Depot Maintenance</t>
        </is>
      </c>
      <c r="K2257" s="15" t="n"/>
      <c r="O2257" s="15" t="n"/>
      <c r="P2257" s="16" t="n">
        <v>1396689</v>
      </c>
      <c r="Q2257" s="16" t="n">
        <v>1488706</v>
      </c>
      <c r="S2257" s="16" t="n">
        <v>1659169</v>
      </c>
      <c r="AC2257" s="23">
        <f>IF(OR(E2257="",E2257="[PARENT]"),"ADD",IF(E2257="[ALT_VIEW]","ALT",""))</f>
        <v/>
      </c>
      <c r="AD2257" s="21">
        <f>IF(Y2257&lt;&gt;"",Y2257,IF(U2257&lt;&gt;"",U2257,S2257))</f>
        <v/>
      </c>
      <c r="AE2257" s="21">
        <f>IF(AB2257&lt;&gt;"",AB2257,Z2257)</f>
        <v/>
      </c>
      <c r="AF2257" s="13" t="inlineStr">
        <is>
          <t>OMN Vol2 &gt; OP-5A &gt; PHNSY&amp;IMF &gt; Source of Funding &gt; Operation &amp; Maintenance, Navy (Fleet, Base)</t>
        </is>
      </c>
      <c r="AG2257" s="7" t="inlineStr">
        <is>
          <t>67</t>
        </is>
      </c>
      <c r="AH2257" s="7" t="inlineStr">
        <is>
          <t>1B4B</t>
        </is>
      </c>
      <c r="AI2257" s="7" t="inlineStr">
        <is>
          <t>PHNSY&amp;IMF</t>
        </is>
      </c>
      <c r="AJ2257" s="7" t="inlineStr">
        <is>
          <t>Source of Funding</t>
        </is>
      </c>
    </row>
    <row r="2258" ht="10" customHeight="1">
      <c r="A2258" s="7" t="inlineStr">
        <is>
          <t>OMN_Vol2</t>
        </is>
      </c>
      <c r="B2258" s="7" t="inlineStr">
        <is>
          <t>O&amp;M</t>
        </is>
      </c>
      <c r="D2258" s="7" t="inlineStr">
        <is>
          <t>Pearl Harbor Naval Shipyard &amp; IMF: Source of Funding - Operation &amp; Maintenance, Navy (Fleet, OCO)</t>
        </is>
      </c>
      <c r="E2258" s="13" t="inlineStr">
        <is>
          <t>[SUB]</t>
        </is>
      </c>
      <c r="F2258" s="7" t="inlineStr">
        <is>
          <t>PHNSY&amp;IMF Total</t>
        </is>
      </c>
      <c r="I2258" s="14" t="n">
        <v>2</v>
      </c>
      <c r="J2258" s="7" t="inlineStr">
        <is>
          <t>Scheduled Depot Maintenance</t>
        </is>
      </c>
      <c r="K2258" s="15" t="n"/>
      <c r="O2258" s="15" t="n"/>
      <c r="P2258" s="16" t="n">
        <v>0</v>
      </c>
      <c r="Q2258" s="16" t="n">
        <v>0</v>
      </c>
      <c r="S2258" s="16" t="n">
        <v>0</v>
      </c>
      <c r="AC2258" s="23">
        <f>IF(OR(E2258="",E2258="[PARENT]"),"ADD",IF(E2258="[ALT_VIEW]","ALT",""))</f>
        <v/>
      </c>
      <c r="AD2258" s="21">
        <f>IF(Y2258&lt;&gt;"",Y2258,IF(U2258&lt;&gt;"",U2258,S2258))</f>
        <v/>
      </c>
      <c r="AE2258" s="21">
        <f>IF(AB2258&lt;&gt;"",AB2258,Z2258)</f>
        <v/>
      </c>
      <c r="AF2258" s="13" t="inlineStr">
        <is>
          <t>OMN Vol2 &gt; OP-5A &gt; PHNSY&amp;IMF &gt; Source of Funding &gt; Operation &amp; Maintenance, Navy (Fleet, OCO)</t>
        </is>
      </c>
      <c r="AG2258" s="7" t="inlineStr">
        <is>
          <t>67</t>
        </is>
      </c>
      <c r="AH2258" s="7" t="inlineStr">
        <is>
          <t>1B4B</t>
        </is>
      </c>
      <c r="AI2258" s="7" t="inlineStr">
        <is>
          <t>PHNSY&amp;IMF</t>
        </is>
      </c>
      <c r="AJ2258" s="7" t="inlineStr">
        <is>
          <t>Source of Funding</t>
        </is>
      </c>
    </row>
    <row r="2259" ht="10" customHeight="1">
      <c r="A2259" s="7" t="inlineStr">
        <is>
          <t>OMN_Vol2</t>
        </is>
      </c>
      <c r="B2259" s="7" t="inlineStr">
        <is>
          <t>O&amp;M</t>
        </is>
      </c>
      <c r="D2259" s="7" t="inlineStr">
        <is>
          <t>Pearl Harbor Naval Shipyard &amp; IMF: Source of Funding - Military Personnel, Navy (Fleet, MPN)</t>
        </is>
      </c>
      <c r="E2259" s="13" t="inlineStr">
        <is>
          <t>[SUB]</t>
        </is>
      </c>
      <c r="F2259" s="7" t="inlineStr">
        <is>
          <t>PHNSY&amp;IMF Total</t>
        </is>
      </c>
      <c r="I2259" s="14" t="n">
        <v>2</v>
      </c>
      <c r="J2259" s="7" t="inlineStr">
        <is>
          <t>Scheduled Depot Maintenance</t>
        </is>
      </c>
      <c r="K2259" s="15" t="n"/>
      <c r="O2259" s="15" t="n"/>
      <c r="P2259" s="16" t="n">
        <v>48345</v>
      </c>
      <c r="Q2259" s="16" t="n">
        <v>50243</v>
      </c>
      <c r="S2259" s="16" t="n">
        <v>52269</v>
      </c>
      <c r="AC2259" s="23">
        <f>IF(OR(E2259="",E2259="[PARENT]"),"ADD",IF(E2259="[ALT_VIEW]","ALT",""))</f>
        <v/>
      </c>
      <c r="AD2259" s="21">
        <f>IF(Y2259&lt;&gt;"",Y2259,IF(U2259&lt;&gt;"",U2259,S2259))</f>
        <v/>
      </c>
      <c r="AE2259" s="21">
        <f>IF(AB2259&lt;&gt;"",AB2259,Z2259)</f>
        <v/>
      </c>
      <c r="AF2259" s="13" t="inlineStr">
        <is>
          <t>OMN Vol2 &gt; OP-5A &gt; PHNSY&amp;IMF &gt; Source of Funding &gt; Military Personnel, Navy (Fleet, MPN)</t>
        </is>
      </c>
      <c r="AG2259" s="7" t="inlineStr">
        <is>
          <t>67</t>
        </is>
      </c>
      <c r="AH2259" s="7" t="inlineStr">
        <is>
          <t>1B4B</t>
        </is>
      </c>
      <c r="AI2259" s="7" t="inlineStr">
        <is>
          <t>PHNSY&amp;IMF</t>
        </is>
      </c>
      <c r="AJ2259" s="7" t="inlineStr">
        <is>
          <t>Source of Funding</t>
        </is>
      </c>
    </row>
    <row r="2260" ht="10" customHeight="1">
      <c r="A2260" s="7" t="inlineStr">
        <is>
          <t>OMN_Vol2</t>
        </is>
      </c>
      <c r="B2260" s="7" t="inlineStr">
        <is>
          <t>O&amp;M</t>
        </is>
      </c>
      <c r="D2260" s="7" t="inlineStr">
        <is>
          <t>Pearl Harbor Naval Shipyard &amp; IMF: Source of Funding - Reimbursable</t>
        </is>
      </c>
      <c r="E2260" s="13" t="inlineStr">
        <is>
          <t>[SUB]</t>
        </is>
      </c>
      <c r="F2260" s="7" t="inlineStr">
        <is>
          <t>PHNSY&amp;IMF Total</t>
        </is>
      </c>
      <c r="I2260" s="14" t="n">
        <v>2</v>
      </c>
      <c r="J2260" s="7" t="inlineStr">
        <is>
          <t>Scheduled Depot Maintenance</t>
        </is>
      </c>
      <c r="K2260" s="15" t="n"/>
      <c r="O2260" s="15" t="n"/>
      <c r="P2260" s="16" t="n">
        <v>24408</v>
      </c>
      <c r="Q2260" s="16" t="n">
        <v>35955</v>
      </c>
      <c r="S2260" s="16" t="n">
        <v>64005</v>
      </c>
      <c r="AC2260" s="23">
        <f>IF(OR(E2260="",E2260="[PARENT]"),"ADD",IF(E2260="[ALT_VIEW]","ALT",""))</f>
        <v/>
      </c>
      <c r="AD2260" s="21">
        <f>IF(Y2260&lt;&gt;"",Y2260,IF(U2260&lt;&gt;"",U2260,S2260))</f>
        <v/>
      </c>
      <c r="AE2260" s="21">
        <f>IF(AB2260&lt;&gt;"",AB2260,Z2260)</f>
        <v/>
      </c>
      <c r="AF2260" s="13" t="inlineStr">
        <is>
          <t>OMN Vol2 &gt; OP-5A &gt; PHNSY&amp;IMF &gt; Source of Funding &gt; Reimbursable</t>
        </is>
      </c>
      <c r="AG2260" s="7" t="inlineStr">
        <is>
          <t>67</t>
        </is>
      </c>
      <c r="AH2260" s="7" t="inlineStr">
        <is>
          <t>1B4B</t>
        </is>
      </c>
      <c r="AI2260" s="7" t="inlineStr">
        <is>
          <t>PHNSY&amp;IMF</t>
        </is>
      </c>
      <c r="AJ2260" s="7" t="inlineStr">
        <is>
          <t>Source of Funding</t>
        </is>
      </c>
    </row>
    <row r="2261" ht="10" customHeight="1">
      <c r="A2261" s="7" t="inlineStr">
        <is>
          <t>OMN_Vol2</t>
        </is>
      </c>
      <c r="B2261" s="7" t="inlineStr">
        <is>
          <t>O&amp;M</t>
        </is>
      </c>
      <c r="D2261" s="7" t="inlineStr">
        <is>
          <t>Pearl Harbor Naval Shipyard &amp; IMF: Source of Funding - Operation &amp; Maintenance, Navy</t>
        </is>
      </c>
      <c r="E2261" s="13" t="inlineStr">
        <is>
          <t>[SUB]</t>
        </is>
      </c>
      <c r="F2261" s="7" t="inlineStr">
        <is>
          <t>PHNSY&amp;IMF Total</t>
        </is>
      </c>
      <c r="I2261" s="14" t="n">
        <v>2</v>
      </c>
      <c r="J2261" s="7" t="inlineStr">
        <is>
          <t>Scheduled Depot Maintenance</t>
        </is>
      </c>
      <c r="K2261" s="15" t="n"/>
      <c r="O2261" s="15" t="n"/>
      <c r="P2261" s="16" t="n">
        <v>5192</v>
      </c>
      <c r="Q2261" s="16" t="n">
        <v>7648</v>
      </c>
      <c r="S2261" s="16" t="n">
        <v>13621</v>
      </c>
      <c r="AC2261" s="23">
        <f>IF(OR(E2261="",E2261="[PARENT]"),"ADD",IF(E2261="[ALT_VIEW]","ALT",""))</f>
        <v/>
      </c>
      <c r="AD2261" s="21">
        <f>IF(Y2261&lt;&gt;"",Y2261,IF(U2261&lt;&gt;"",U2261,S2261))</f>
        <v/>
      </c>
      <c r="AE2261" s="21">
        <f>IF(AB2261&lt;&gt;"",AB2261,Z2261)</f>
        <v/>
      </c>
      <c r="AF2261" s="13" t="inlineStr">
        <is>
          <t>OMN Vol2 &gt; OP-5A &gt; PHNSY&amp;IMF &gt; Source of Funding &gt; Operation &amp; Maintenance, Navy</t>
        </is>
      </c>
      <c r="AG2261" s="7" t="inlineStr">
        <is>
          <t>67</t>
        </is>
      </c>
      <c r="AH2261" s="7" t="inlineStr">
        <is>
          <t>1B4B</t>
        </is>
      </c>
      <c r="AI2261" s="7" t="inlineStr">
        <is>
          <t>PHNSY&amp;IMF</t>
        </is>
      </c>
      <c r="AJ2261" s="7" t="inlineStr">
        <is>
          <t>Source of Funding</t>
        </is>
      </c>
    </row>
    <row r="2262" ht="10" customHeight="1">
      <c r="A2262" s="7" t="inlineStr">
        <is>
          <t>OMN_Vol2</t>
        </is>
      </c>
      <c r="B2262" s="7" t="inlineStr">
        <is>
          <t>O&amp;M</t>
        </is>
      </c>
      <c r="D2262" s="7" t="inlineStr">
        <is>
          <t>Pearl Harbor Naval Shipyard &amp; IMF: Source of Funding - Shipbuilding &amp; Conversion, Navy</t>
        </is>
      </c>
      <c r="E2262" s="13" t="inlineStr">
        <is>
          <t>[SUB]</t>
        </is>
      </c>
      <c r="F2262" s="7" t="inlineStr">
        <is>
          <t>PHNSY&amp;IMF Total</t>
        </is>
      </c>
      <c r="I2262" s="14" t="n">
        <v>2</v>
      </c>
      <c r="J2262" s="7" t="inlineStr">
        <is>
          <t>Scheduled Depot Maintenance</t>
        </is>
      </c>
      <c r="K2262" s="15" t="n"/>
      <c r="O2262" s="15" t="n"/>
      <c r="P2262" s="16" t="n">
        <v>232</v>
      </c>
      <c r="Q2262" s="16" t="n">
        <v>341</v>
      </c>
      <c r="S2262" s="16" t="n">
        <v>608</v>
      </c>
      <c r="AC2262" s="23">
        <f>IF(OR(E2262="",E2262="[PARENT]"),"ADD",IF(E2262="[ALT_VIEW]","ALT",""))</f>
        <v/>
      </c>
      <c r="AD2262" s="21">
        <f>IF(Y2262&lt;&gt;"",Y2262,IF(U2262&lt;&gt;"",U2262,S2262))</f>
        <v/>
      </c>
      <c r="AE2262" s="21">
        <f>IF(AB2262&lt;&gt;"",AB2262,Z2262)</f>
        <v/>
      </c>
      <c r="AF2262" s="13" t="inlineStr">
        <is>
          <t>OMN Vol2 &gt; OP-5A &gt; PHNSY&amp;IMF &gt; Source of Funding &gt; Shipbuilding &amp; Conversion, Navy</t>
        </is>
      </c>
      <c r="AG2262" s="7" t="inlineStr">
        <is>
          <t>67</t>
        </is>
      </c>
      <c r="AH2262" s="7" t="inlineStr">
        <is>
          <t>1B4B</t>
        </is>
      </c>
      <c r="AI2262" s="7" t="inlineStr">
        <is>
          <t>PHNSY&amp;IMF</t>
        </is>
      </c>
      <c r="AJ2262" s="7" t="inlineStr">
        <is>
          <t>Source of Funding</t>
        </is>
      </c>
    </row>
    <row r="2263" ht="10" customHeight="1">
      <c r="A2263" s="7" t="inlineStr">
        <is>
          <t>OMN_Vol2</t>
        </is>
      </c>
      <c r="B2263" s="7" t="inlineStr">
        <is>
          <t>O&amp;M</t>
        </is>
      </c>
      <c r="D2263" s="7" t="inlineStr">
        <is>
          <t>Pearl Harbor Naval Shipyard &amp; IMF: Source of Funding - Other Procurement, Navy</t>
        </is>
      </c>
      <c r="E2263" s="13" t="inlineStr">
        <is>
          <t>[SUB]</t>
        </is>
      </c>
      <c r="F2263" s="7" t="inlineStr">
        <is>
          <t>PHNSY&amp;IMF Total</t>
        </is>
      </c>
      <c r="I2263" s="14" t="n">
        <v>2</v>
      </c>
      <c r="J2263" s="7" t="inlineStr">
        <is>
          <t>Scheduled Depot Maintenance</t>
        </is>
      </c>
      <c r="K2263" s="15" t="n"/>
      <c r="O2263" s="15" t="n"/>
      <c r="P2263" s="16" t="n">
        <v>15789</v>
      </c>
      <c r="Q2263" s="16" t="n">
        <v>23258</v>
      </c>
      <c r="S2263" s="16" t="n">
        <v>41393</v>
      </c>
      <c r="AC2263" s="23">
        <f>IF(OR(E2263="",E2263="[PARENT]"),"ADD",IF(E2263="[ALT_VIEW]","ALT",""))</f>
        <v/>
      </c>
      <c r="AD2263" s="21">
        <f>IF(Y2263&lt;&gt;"",Y2263,IF(U2263&lt;&gt;"",U2263,S2263))</f>
        <v/>
      </c>
      <c r="AE2263" s="21">
        <f>IF(AB2263&lt;&gt;"",AB2263,Z2263)</f>
        <v/>
      </c>
      <c r="AF2263" s="13" t="inlineStr">
        <is>
          <t>OMN Vol2 &gt; OP-5A &gt; PHNSY&amp;IMF &gt; Source of Funding &gt; Other Procurement, Navy</t>
        </is>
      </c>
      <c r="AG2263" s="7" t="inlineStr">
        <is>
          <t>67</t>
        </is>
      </c>
      <c r="AH2263" s="7" t="inlineStr">
        <is>
          <t>1B4B</t>
        </is>
      </c>
      <c r="AI2263" s="7" t="inlineStr">
        <is>
          <t>PHNSY&amp;IMF</t>
        </is>
      </c>
      <c r="AJ2263" s="7" t="inlineStr">
        <is>
          <t>Source of Funding</t>
        </is>
      </c>
    </row>
    <row r="2264" ht="10" customHeight="1">
      <c r="A2264" s="7" t="inlineStr">
        <is>
          <t>OMN_Vol2</t>
        </is>
      </c>
      <c r="B2264" s="7" t="inlineStr">
        <is>
          <t>O&amp;M</t>
        </is>
      </c>
      <c r="D2264" s="7" t="inlineStr">
        <is>
          <t>Pearl Harbor Naval Shipyard &amp; IMF: Source of Funding - Procurement, Marine Corps</t>
        </is>
      </c>
      <c r="E2264" s="13" t="inlineStr">
        <is>
          <t>[SUB]</t>
        </is>
      </c>
      <c r="F2264" s="7" t="inlineStr">
        <is>
          <t>PHNSY&amp;IMF Total</t>
        </is>
      </c>
      <c r="I2264" s="14" t="n">
        <v>2</v>
      </c>
      <c r="J2264" s="7" t="inlineStr">
        <is>
          <t>Scheduled Depot Maintenance</t>
        </is>
      </c>
      <c r="K2264" s="15" t="n"/>
      <c r="O2264" s="15" t="n"/>
      <c r="P2264" s="16" t="n">
        <v>0</v>
      </c>
      <c r="Q2264" s="16" t="n">
        <v>0</v>
      </c>
      <c r="S2264" s="16" t="n">
        <v>0</v>
      </c>
      <c r="AC2264" s="23">
        <f>IF(OR(E2264="",E2264="[PARENT]"),"ADD",IF(E2264="[ALT_VIEW]","ALT",""))</f>
        <v/>
      </c>
      <c r="AD2264" s="21">
        <f>IF(Y2264&lt;&gt;"",Y2264,IF(U2264&lt;&gt;"",U2264,S2264))</f>
        <v/>
      </c>
      <c r="AE2264" s="21">
        <f>IF(AB2264&lt;&gt;"",AB2264,Z2264)</f>
        <v/>
      </c>
      <c r="AF2264" s="13" t="inlineStr">
        <is>
          <t>OMN Vol2 &gt; OP-5A &gt; PHNSY&amp;IMF &gt; Source of Funding &gt; Procurement, Marine Corps</t>
        </is>
      </c>
      <c r="AG2264" s="7" t="inlineStr">
        <is>
          <t>67</t>
        </is>
      </c>
      <c r="AH2264" s="7" t="inlineStr">
        <is>
          <t>1B4B</t>
        </is>
      </c>
      <c r="AI2264" s="7" t="inlineStr">
        <is>
          <t>PHNSY&amp;IMF</t>
        </is>
      </c>
      <c r="AJ2264" s="7" t="inlineStr">
        <is>
          <t>Source of Funding</t>
        </is>
      </c>
    </row>
    <row r="2265" ht="10" customHeight="1">
      <c r="A2265" s="7" t="inlineStr">
        <is>
          <t>OMN_Vol2</t>
        </is>
      </c>
      <c r="B2265" s="7" t="inlineStr">
        <is>
          <t>O&amp;M</t>
        </is>
      </c>
      <c r="D2265" s="7" t="inlineStr">
        <is>
          <t>Pearl Harbor Naval Shipyard &amp; IMF: Source of Funding - Other Department of Navy</t>
        </is>
      </c>
      <c r="E2265" s="13" t="inlineStr">
        <is>
          <t>[SUB]</t>
        </is>
      </c>
      <c r="F2265" s="7" t="inlineStr">
        <is>
          <t>PHNSY&amp;IMF Total</t>
        </is>
      </c>
      <c r="I2265" s="14" t="n">
        <v>2</v>
      </c>
      <c r="J2265" s="7" t="inlineStr">
        <is>
          <t>Scheduled Depot Maintenance</t>
        </is>
      </c>
      <c r="K2265" s="15" t="n"/>
      <c r="O2265" s="15" t="n"/>
      <c r="P2265" s="16" t="n">
        <v>3195</v>
      </c>
      <c r="Q2265" s="16" t="n">
        <v>4708</v>
      </c>
      <c r="S2265" s="16" t="n">
        <v>8383</v>
      </c>
      <c r="AC2265" s="23">
        <f>IF(OR(E2265="",E2265="[PARENT]"),"ADD",IF(E2265="[ALT_VIEW]","ALT",""))</f>
        <v/>
      </c>
      <c r="AD2265" s="21">
        <f>IF(Y2265&lt;&gt;"",Y2265,IF(U2265&lt;&gt;"",U2265,S2265))</f>
        <v/>
      </c>
      <c r="AE2265" s="21">
        <f>IF(AB2265&lt;&gt;"",AB2265,Z2265)</f>
        <v/>
      </c>
      <c r="AF2265" s="13" t="inlineStr">
        <is>
          <t>OMN Vol2 &gt; OP-5A &gt; PHNSY&amp;IMF &gt; Source of Funding &gt; Other Department of Navy</t>
        </is>
      </c>
      <c r="AG2265" s="7" t="inlineStr">
        <is>
          <t>67</t>
        </is>
      </c>
      <c r="AH2265" s="7" t="inlineStr">
        <is>
          <t>1B4B</t>
        </is>
      </c>
      <c r="AI2265" s="7" t="inlineStr">
        <is>
          <t>PHNSY&amp;IMF</t>
        </is>
      </c>
      <c r="AJ2265" s="7" t="inlineStr">
        <is>
          <t>Source of Funding</t>
        </is>
      </c>
    </row>
    <row r="2266" ht="10" customHeight="1">
      <c r="A2266" s="7" t="inlineStr">
        <is>
          <t>OMN_Vol2</t>
        </is>
      </c>
      <c r="B2266" s="7" t="inlineStr">
        <is>
          <t>O&amp;M</t>
        </is>
      </c>
      <c r="D2266" s="7" t="inlineStr">
        <is>
          <t>Pearl Harbor Naval Shipyard &amp; IMF: Source of Funding - Department of Defense</t>
        </is>
      </c>
      <c r="E2266" s="13" t="inlineStr">
        <is>
          <t>[SUB]</t>
        </is>
      </c>
      <c r="F2266" s="7" t="inlineStr">
        <is>
          <t>PHNSY&amp;IMF Total</t>
        </is>
      </c>
      <c r="I2266" s="14" t="n">
        <v>2</v>
      </c>
      <c r="J2266" s="7" t="inlineStr">
        <is>
          <t>Scheduled Depot Maintenance</t>
        </is>
      </c>
      <c r="K2266" s="15" t="n"/>
      <c r="O2266" s="15" t="n"/>
      <c r="P2266" s="16" t="n">
        <v>627</v>
      </c>
      <c r="Q2266" s="16" t="n">
        <v>923</v>
      </c>
      <c r="S2266" s="16" t="n">
        <v>1643</v>
      </c>
      <c r="AC2266" s="23">
        <f>IF(OR(E2266="",E2266="[PARENT]"),"ADD",IF(E2266="[ALT_VIEW]","ALT",""))</f>
        <v/>
      </c>
      <c r="AD2266" s="21">
        <f>IF(Y2266&lt;&gt;"",Y2266,IF(U2266&lt;&gt;"",U2266,S2266))</f>
        <v/>
      </c>
      <c r="AE2266" s="21">
        <f>IF(AB2266&lt;&gt;"",AB2266,Z2266)</f>
        <v/>
      </c>
      <c r="AF2266" s="13" t="inlineStr">
        <is>
          <t>OMN Vol2 &gt; OP-5A &gt; PHNSY&amp;IMF &gt; Source of Funding &gt; Department of Defense</t>
        </is>
      </c>
      <c r="AG2266" s="7" t="inlineStr">
        <is>
          <t>67</t>
        </is>
      </c>
      <c r="AH2266" s="7" t="inlineStr">
        <is>
          <t>1B4B</t>
        </is>
      </c>
      <c r="AI2266" s="7" t="inlineStr">
        <is>
          <t>PHNSY&amp;IMF</t>
        </is>
      </c>
      <c r="AJ2266" s="7" t="inlineStr">
        <is>
          <t>Source of Funding</t>
        </is>
      </c>
    </row>
    <row r="2267" ht="10" customHeight="1">
      <c r="A2267" s="7" t="inlineStr">
        <is>
          <t>OMN_Vol2</t>
        </is>
      </c>
      <c r="B2267" s="7" t="inlineStr">
        <is>
          <t>O&amp;M</t>
        </is>
      </c>
      <c r="D2267" s="7" t="inlineStr">
        <is>
          <t>Pearl Harbor Naval Shipyard &amp; IMF: Source of Funding - Other Orders</t>
        </is>
      </c>
      <c r="E2267" s="13" t="inlineStr">
        <is>
          <t>[SUB]</t>
        </is>
      </c>
      <c r="F2267" s="7" t="inlineStr">
        <is>
          <t>PHNSY&amp;IMF Total</t>
        </is>
      </c>
      <c r="I2267" s="14" t="n">
        <v>2</v>
      </c>
      <c r="J2267" s="7" t="inlineStr">
        <is>
          <t>Scheduled Depot Maintenance</t>
        </is>
      </c>
      <c r="K2267" s="15" t="n"/>
      <c r="O2267" s="15" t="n"/>
      <c r="P2267" s="16" t="n">
        <v>3845</v>
      </c>
      <c r="Q2267" s="16" t="n">
        <v>5665</v>
      </c>
      <c r="S2267" s="16" t="n">
        <v>10085</v>
      </c>
      <c r="AC2267" s="23">
        <f>IF(OR(E2267="",E2267="[PARENT]"),"ADD",IF(E2267="[ALT_VIEW]","ALT",""))</f>
        <v/>
      </c>
      <c r="AD2267" s="21">
        <f>IF(Y2267&lt;&gt;"",Y2267,IF(U2267&lt;&gt;"",U2267,S2267))</f>
        <v/>
      </c>
      <c r="AE2267" s="21">
        <f>IF(AB2267&lt;&gt;"",AB2267,Z2267)</f>
        <v/>
      </c>
      <c r="AF2267" s="13" t="inlineStr">
        <is>
          <t>OMN Vol2 &gt; OP-5A &gt; PHNSY&amp;IMF &gt; Source of Funding &gt; Other Orders</t>
        </is>
      </c>
      <c r="AG2267" s="7" t="inlineStr">
        <is>
          <t>67</t>
        </is>
      </c>
      <c r="AH2267" s="7" t="inlineStr">
        <is>
          <t>1B4B</t>
        </is>
      </c>
      <c r="AI2267" s="7" t="inlineStr">
        <is>
          <t>PHNSY&amp;IMF</t>
        </is>
      </c>
      <c r="AJ2267" s="7" t="inlineStr">
        <is>
          <t>Source of Funding</t>
        </is>
      </c>
    </row>
    <row r="2268" ht="10" customHeight="1">
      <c r="A2268" s="7" t="inlineStr">
        <is>
          <t>OMN_Vol2</t>
        </is>
      </c>
      <c r="B2268" s="7" t="inlineStr">
        <is>
          <t>O&amp;M</t>
        </is>
      </c>
      <c r="D2268" s="7" t="inlineStr">
        <is>
          <t>Pearl Harbor Naval Shipyard &amp; IMF: Source of Funding - Other Federal Agencies</t>
        </is>
      </c>
      <c r="E2268" s="13" t="inlineStr">
        <is>
          <t>[SUB]</t>
        </is>
      </c>
      <c r="F2268" s="7" t="inlineStr">
        <is>
          <t>PHNSY&amp;IMF Total</t>
        </is>
      </c>
      <c r="I2268" s="14" t="n">
        <v>2</v>
      </c>
      <c r="J2268" s="7" t="inlineStr">
        <is>
          <t>Scheduled Depot Maintenance</t>
        </is>
      </c>
      <c r="K2268" s="15" t="n"/>
      <c r="O2268" s="15" t="n"/>
      <c r="P2268" s="16" t="n">
        <v>724</v>
      </c>
      <c r="Q2268" s="16" t="n">
        <v>1067</v>
      </c>
      <c r="S2268" s="16" t="n">
        <v>1900</v>
      </c>
      <c r="AC2268" s="23">
        <f>IF(OR(E2268="",E2268="[PARENT]"),"ADD",IF(E2268="[ALT_VIEW]","ALT",""))</f>
        <v/>
      </c>
      <c r="AD2268" s="21">
        <f>IF(Y2268&lt;&gt;"",Y2268,IF(U2268&lt;&gt;"",U2268,S2268))</f>
        <v/>
      </c>
      <c r="AE2268" s="21">
        <f>IF(AB2268&lt;&gt;"",AB2268,Z2268)</f>
        <v/>
      </c>
      <c r="AF2268" s="13" t="inlineStr">
        <is>
          <t>OMN Vol2 &gt; OP-5A &gt; PHNSY&amp;IMF &gt; Source of Funding &gt; Other Federal Agencies</t>
        </is>
      </c>
      <c r="AG2268" s="7" t="inlineStr">
        <is>
          <t>67</t>
        </is>
      </c>
      <c r="AH2268" s="7" t="inlineStr">
        <is>
          <t>1B4B</t>
        </is>
      </c>
      <c r="AI2268" s="7" t="inlineStr">
        <is>
          <t>PHNSY&amp;IMF</t>
        </is>
      </c>
      <c r="AJ2268" s="7" t="inlineStr">
        <is>
          <t>Source of Funding</t>
        </is>
      </c>
    </row>
    <row r="2269" ht="10" customHeight="1">
      <c r="A2269" s="7" t="inlineStr">
        <is>
          <t>OMN_Vol2</t>
        </is>
      </c>
      <c r="B2269" s="7" t="inlineStr">
        <is>
          <t>O&amp;M</t>
        </is>
      </c>
      <c r="D2269" s="7" t="inlineStr">
        <is>
          <t>Pearl Harbor Naval Shipyard &amp; IMF: Source of Funding - Foreign Military Sales</t>
        </is>
      </c>
      <c r="E2269" s="13" t="inlineStr">
        <is>
          <t>[SUB]</t>
        </is>
      </c>
      <c r="F2269" s="7" t="inlineStr">
        <is>
          <t>PHNSY&amp;IMF Total</t>
        </is>
      </c>
      <c r="I2269" s="14" t="n">
        <v>2</v>
      </c>
      <c r="J2269" s="7" t="inlineStr">
        <is>
          <t>Scheduled Depot Maintenance</t>
        </is>
      </c>
      <c r="K2269" s="15" t="n"/>
      <c r="O2269" s="15" t="n"/>
      <c r="P2269" s="16" t="n">
        <v>2542</v>
      </c>
      <c r="Q2269" s="16" t="n">
        <v>3745</v>
      </c>
      <c r="S2269" s="16" t="n">
        <v>6666</v>
      </c>
      <c r="AC2269" s="23">
        <f>IF(OR(E2269="",E2269="[PARENT]"),"ADD",IF(E2269="[ALT_VIEW]","ALT",""))</f>
        <v/>
      </c>
      <c r="AD2269" s="21">
        <f>IF(Y2269&lt;&gt;"",Y2269,IF(U2269&lt;&gt;"",U2269,S2269))</f>
        <v/>
      </c>
      <c r="AE2269" s="21">
        <f>IF(AB2269&lt;&gt;"",AB2269,Z2269)</f>
        <v/>
      </c>
      <c r="AF2269" s="13" t="inlineStr">
        <is>
          <t>OMN Vol2 &gt; OP-5A &gt; PHNSY&amp;IMF &gt; Source of Funding &gt; Foreign Military Sales</t>
        </is>
      </c>
      <c r="AG2269" s="7" t="inlineStr">
        <is>
          <t>67</t>
        </is>
      </c>
      <c r="AH2269" s="7" t="inlineStr">
        <is>
          <t>1B4B</t>
        </is>
      </c>
      <c r="AI2269" s="7" t="inlineStr">
        <is>
          <t>PHNSY&amp;IMF</t>
        </is>
      </c>
      <c r="AJ2269" s="7" t="inlineStr">
        <is>
          <t>Source of Funding</t>
        </is>
      </c>
    </row>
    <row r="2270" ht="10" customHeight="1">
      <c r="A2270" s="7" t="inlineStr">
        <is>
          <t>OMN_Vol2</t>
        </is>
      </c>
      <c r="B2270" s="7" t="inlineStr">
        <is>
          <t>O&amp;M</t>
        </is>
      </c>
      <c r="D2270" s="7" t="inlineStr">
        <is>
          <t>Pearl Harbor Naval Shipyard &amp; IMF: Source of Funding - Other</t>
        </is>
      </c>
      <c r="E2270" s="13" t="inlineStr">
        <is>
          <t>[SUB]</t>
        </is>
      </c>
      <c r="F2270" s="7" t="inlineStr">
        <is>
          <t>PHNSY&amp;IMF Total</t>
        </is>
      </c>
      <c r="I2270" s="14" t="n">
        <v>2</v>
      </c>
      <c r="J2270" s="7" t="inlineStr">
        <is>
          <t>Scheduled Depot Maintenance</t>
        </is>
      </c>
      <c r="K2270" s="15" t="n"/>
      <c r="O2270" s="15" t="n"/>
      <c r="P2270" s="16" t="n">
        <v>579</v>
      </c>
      <c r="Q2270" s="16" t="n">
        <v>853</v>
      </c>
      <c r="S2270" s="16" t="n">
        <v>1519</v>
      </c>
      <c r="AC2270" s="23">
        <f>IF(OR(E2270="",E2270="[PARENT]"),"ADD",IF(E2270="[ALT_VIEW]","ALT",""))</f>
        <v/>
      </c>
      <c r="AD2270" s="21">
        <f>IF(Y2270&lt;&gt;"",Y2270,IF(U2270&lt;&gt;"",U2270,S2270))</f>
        <v/>
      </c>
      <c r="AE2270" s="21">
        <f>IF(AB2270&lt;&gt;"",AB2270,Z2270)</f>
        <v/>
      </c>
      <c r="AF2270" s="13" t="inlineStr">
        <is>
          <t>OMN Vol2 &gt; OP-5A &gt; PHNSY&amp;IMF &gt; Source of Funding &gt; Other</t>
        </is>
      </c>
      <c r="AG2270" s="7" t="inlineStr">
        <is>
          <t>67</t>
        </is>
      </c>
      <c r="AH2270" s="7" t="inlineStr">
        <is>
          <t>1B4B</t>
        </is>
      </c>
      <c r="AI2270" s="7" t="inlineStr">
        <is>
          <t>PHNSY&amp;IMF</t>
        </is>
      </c>
      <c r="AJ2270" s="7" t="inlineStr">
        <is>
          <t>Source of Funding</t>
        </is>
      </c>
    </row>
    <row r="2271" ht="10" customHeight="1">
      <c r="A2271" s="7" t="inlineStr">
        <is>
          <t>OMN_Vol2</t>
        </is>
      </c>
      <c r="B2271" s="7" t="inlineStr">
        <is>
          <t>O&amp;M</t>
        </is>
      </c>
      <c r="D2271" s="7" t="inlineStr">
        <is>
          <t>Pearl Harbor Naval Shipyard &amp; IMF: Source of Funding - Total</t>
        </is>
      </c>
      <c r="E2271" s="13" t="inlineStr">
        <is>
          <t>[PARENT]</t>
        </is>
      </c>
      <c r="I2271" s="14" t="n">
        <v>2</v>
      </c>
      <c r="J2271" s="7" t="inlineStr">
        <is>
          <t>Scheduled Depot Maintenance</t>
        </is>
      </c>
      <c r="K2271" s="15" t="n"/>
      <c r="O2271" s="15" t="n"/>
      <c r="P2271" s="16" t="n">
        <v>1473914</v>
      </c>
      <c r="Q2271" s="16" t="n">
        <v>1581492</v>
      </c>
      <c r="S2271" s="16" t="n">
        <v>1787171</v>
      </c>
      <c r="AC2271" s="23">
        <f>IF(OR(E2271="",E2271="[PARENT]"),"ADD",IF(E2271="[ALT_VIEW]","ALT",""))</f>
        <v/>
      </c>
      <c r="AD2271" s="21">
        <f>IF(Y2271&lt;&gt;"",Y2271,IF(U2271&lt;&gt;"",U2271,S2271))</f>
        <v/>
      </c>
      <c r="AE2271" s="21">
        <f>IF(AB2271&lt;&gt;"",AB2271,Z2271)</f>
        <v/>
      </c>
      <c r="AF2271" s="13" t="inlineStr">
        <is>
          <t>OMN Vol2 &gt; OP-5A &gt; PHNSY&amp;IMF &gt; Source of Funding &gt; Total</t>
        </is>
      </c>
      <c r="AG2271" s="7" t="inlineStr">
        <is>
          <t>67</t>
        </is>
      </c>
      <c r="AH2271" s="7" t="inlineStr">
        <is>
          <t>1B4B</t>
        </is>
      </c>
      <c r="AI2271" s="7" t="inlineStr">
        <is>
          <t>PHNSY&amp;IMF</t>
        </is>
      </c>
      <c r="AJ2271" s="7" t="inlineStr">
        <is>
          <t>Source of Funding</t>
        </is>
      </c>
    </row>
    <row r="2272" ht="10" customHeight="1">
      <c r="A2272" s="7" t="inlineStr">
        <is>
          <t>OMN_Vol2</t>
        </is>
      </c>
      <c r="B2272" s="7" t="inlineStr">
        <is>
          <t>O&amp;M</t>
        </is>
      </c>
      <c r="D2272" s="7" t="inlineStr">
        <is>
          <t>Pearl Harbor Naval Shipyard &amp; IMF: Performance Data - Direct Civilian Labor</t>
        </is>
      </c>
      <c r="E2272" s="13" t="inlineStr">
        <is>
          <t>[ALT_VIEW]</t>
        </is>
      </c>
      <c r="F2272" s="7" t="inlineStr">
        <is>
          <t>PHNSY&amp;IMF Total</t>
        </is>
      </c>
      <c r="I2272" s="14" t="n">
        <v>2</v>
      </c>
      <c r="J2272" s="7" t="inlineStr">
        <is>
          <t>Scheduled Depot Maintenance</t>
        </is>
      </c>
      <c r="K2272" s="15" t="n"/>
      <c r="O2272" s="15" t="n"/>
      <c r="P2272" s="16" t="n">
        <v>433383</v>
      </c>
      <c r="Q2272" s="16" t="n">
        <v>550873</v>
      </c>
      <c r="S2272" s="16" t="n">
        <v>574799</v>
      </c>
      <c r="AC2272" s="23">
        <f>IF(OR(E2272="",E2272="[PARENT]"),"ADD",IF(E2272="[ALT_VIEW]","ALT",""))</f>
        <v/>
      </c>
      <c r="AD2272" s="21">
        <f>IF(Y2272&lt;&gt;"",Y2272,IF(U2272&lt;&gt;"",U2272,S2272))</f>
        <v/>
      </c>
      <c r="AE2272" s="21">
        <f>IF(AB2272&lt;&gt;"",AB2272,Z2272)</f>
        <v/>
      </c>
      <c r="AF2272" s="13" t="inlineStr">
        <is>
          <t>OMN Vol2 &gt; OP-5A &gt; PHNSY&amp;IMF &gt; Performance Data &gt; Direct Civilian Labor</t>
        </is>
      </c>
      <c r="AG2272" s="7" t="inlineStr">
        <is>
          <t>68</t>
        </is>
      </c>
      <c r="AH2272" s="7" t="inlineStr">
        <is>
          <t>1B4B</t>
        </is>
      </c>
      <c r="AI2272" s="7" t="inlineStr">
        <is>
          <t>PHNSY&amp;IMF</t>
        </is>
      </c>
      <c r="AJ2272" s="7" t="inlineStr">
        <is>
          <t>Performance Data</t>
        </is>
      </c>
    </row>
    <row r="2273" ht="10" customHeight="1">
      <c r="A2273" s="7" t="inlineStr">
        <is>
          <t>OMN_Vol2</t>
        </is>
      </c>
      <c r="B2273" s="7" t="inlineStr">
        <is>
          <t>O&amp;M</t>
        </is>
      </c>
      <c r="D2273" s="7" t="inlineStr">
        <is>
          <t>Pearl Harbor Naval Shipyard &amp; IMF: Performance Data - Direct Military Labor</t>
        </is>
      </c>
      <c r="E2273" s="13" t="inlineStr">
        <is>
          <t>[ALT_VIEW]</t>
        </is>
      </c>
      <c r="F2273" s="7" t="inlineStr">
        <is>
          <t>PHNSY&amp;IMF Total</t>
        </is>
      </c>
      <c r="I2273" s="14" t="n">
        <v>2</v>
      </c>
      <c r="J2273" s="7" t="inlineStr">
        <is>
          <t>Scheduled Depot Maintenance</t>
        </is>
      </c>
      <c r="K2273" s="15" t="n"/>
      <c r="O2273" s="15" t="n"/>
      <c r="P2273" s="16" t="n">
        <v>21266</v>
      </c>
      <c r="Q2273" s="16" t="n">
        <v>41041</v>
      </c>
      <c r="S2273" s="16" t="n">
        <v>24059</v>
      </c>
      <c r="AC2273" s="23">
        <f>IF(OR(E2273="",E2273="[PARENT]"),"ADD",IF(E2273="[ALT_VIEW]","ALT",""))</f>
        <v/>
      </c>
      <c r="AD2273" s="21">
        <f>IF(Y2273&lt;&gt;"",Y2273,IF(U2273&lt;&gt;"",U2273,S2273))</f>
        <v/>
      </c>
      <c r="AE2273" s="21">
        <f>IF(AB2273&lt;&gt;"",AB2273,Z2273)</f>
        <v/>
      </c>
      <c r="AF2273" s="13" t="inlineStr">
        <is>
          <t>OMN Vol2 &gt; OP-5A &gt; PHNSY&amp;IMF &gt; Performance Data &gt; Direct Military Labor</t>
        </is>
      </c>
      <c r="AG2273" s="7" t="inlineStr">
        <is>
          <t>68</t>
        </is>
      </c>
      <c r="AH2273" s="7" t="inlineStr">
        <is>
          <t>1B4B</t>
        </is>
      </c>
      <c r="AI2273" s="7" t="inlineStr">
        <is>
          <t>PHNSY&amp;IMF</t>
        </is>
      </c>
      <c r="AJ2273" s="7" t="inlineStr">
        <is>
          <t>Performance Data</t>
        </is>
      </c>
    </row>
    <row r="2274" ht="10" customHeight="1">
      <c r="A2274" s="7" t="inlineStr">
        <is>
          <t>OMN_Vol2</t>
        </is>
      </c>
      <c r="B2274" s="7" t="inlineStr">
        <is>
          <t>O&amp;M</t>
        </is>
      </c>
      <c r="D2274" s="7" t="inlineStr">
        <is>
          <t>Pearl Harbor Naval Shipyard &amp; IMF: Performance Data - Direct Material</t>
        </is>
      </c>
      <c r="E2274" s="13" t="inlineStr">
        <is>
          <t>[ALT_VIEW]</t>
        </is>
      </c>
      <c r="F2274" s="7" t="inlineStr">
        <is>
          <t>PHNSY&amp;IMF Total</t>
        </is>
      </c>
      <c r="I2274" s="14" t="n">
        <v>2</v>
      </c>
      <c r="J2274" s="7" t="inlineStr">
        <is>
          <t>Scheduled Depot Maintenance</t>
        </is>
      </c>
      <c r="K2274" s="15" t="n"/>
      <c r="O2274" s="15" t="n"/>
      <c r="P2274" s="16" t="n">
        <v>295608</v>
      </c>
      <c r="Q2274" s="16" t="n">
        <v>343964</v>
      </c>
      <c r="S2274" s="16" t="n">
        <v>455523</v>
      </c>
      <c r="AC2274" s="23">
        <f>IF(OR(E2274="",E2274="[PARENT]"),"ADD",IF(E2274="[ALT_VIEW]","ALT",""))</f>
        <v/>
      </c>
      <c r="AD2274" s="21">
        <f>IF(Y2274&lt;&gt;"",Y2274,IF(U2274&lt;&gt;"",U2274,S2274))</f>
        <v/>
      </c>
      <c r="AE2274" s="21">
        <f>IF(AB2274&lt;&gt;"",AB2274,Z2274)</f>
        <v/>
      </c>
      <c r="AF2274" s="13" t="inlineStr">
        <is>
          <t>OMN Vol2 &gt; OP-5A &gt; PHNSY&amp;IMF &gt; Performance Data &gt; Direct Material</t>
        </is>
      </c>
      <c r="AG2274" s="7" t="inlineStr">
        <is>
          <t>68</t>
        </is>
      </c>
      <c r="AH2274" s="7" t="inlineStr">
        <is>
          <t>1B4B</t>
        </is>
      </c>
      <c r="AI2274" s="7" t="inlineStr">
        <is>
          <t>PHNSY&amp;IMF</t>
        </is>
      </c>
      <c r="AJ2274" s="7" t="inlineStr">
        <is>
          <t>Performance Data</t>
        </is>
      </c>
    </row>
    <row r="2275" ht="10" customHeight="1">
      <c r="A2275" s="7" t="inlineStr">
        <is>
          <t>OMN_Vol2</t>
        </is>
      </c>
      <c r="B2275" s="7" t="inlineStr">
        <is>
          <t>O&amp;M</t>
        </is>
      </c>
      <c r="D2275" s="7" t="inlineStr">
        <is>
          <t>Pearl Harbor Naval Shipyard &amp; IMF: Performance Data - Direct Contracts</t>
        </is>
      </c>
      <c r="E2275" s="13" t="inlineStr">
        <is>
          <t>[ALT_VIEW]</t>
        </is>
      </c>
      <c r="F2275" s="7" t="inlineStr">
        <is>
          <t>PHNSY&amp;IMF Total</t>
        </is>
      </c>
      <c r="I2275" s="14" t="n">
        <v>2</v>
      </c>
      <c r="J2275" s="7" t="inlineStr">
        <is>
          <t>Scheduled Depot Maintenance</t>
        </is>
      </c>
      <c r="K2275" s="15" t="n"/>
      <c r="O2275" s="15" t="n"/>
      <c r="P2275" s="16" t="n">
        <v>33695</v>
      </c>
      <c r="Q2275" s="16" t="n">
        <v>41120</v>
      </c>
      <c r="S2275" s="16" t="n">
        <v>55977</v>
      </c>
      <c r="AC2275" s="23">
        <f>IF(OR(E2275="",E2275="[PARENT]"),"ADD",IF(E2275="[ALT_VIEW]","ALT",""))</f>
        <v/>
      </c>
      <c r="AD2275" s="21">
        <f>IF(Y2275&lt;&gt;"",Y2275,IF(U2275&lt;&gt;"",U2275,S2275))</f>
        <v/>
      </c>
      <c r="AE2275" s="21">
        <f>IF(AB2275&lt;&gt;"",AB2275,Z2275)</f>
        <v/>
      </c>
      <c r="AF2275" s="13" t="inlineStr">
        <is>
          <t>OMN Vol2 &gt; OP-5A &gt; PHNSY&amp;IMF &gt; Performance Data &gt; Direct Contracts</t>
        </is>
      </c>
      <c r="AG2275" s="7" t="inlineStr">
        <is>
          <t>68</t>
        </is>
      </c>
      <c r="AH2275" s="7" t="inlineStr">
        <is>
          <t>1B4B</t>
        </is>
      </c>
      <c r="AI2275" s="7" t="inlineStr">
        <is>
          <t>PHNSY&amp;IMF</t>
        </is>
      </c>
      <c r="AJ2275" s="7" t="inlineStr">
        <is>
          <t>Performance Data</t>
        </is>
      </c>
    </row>
    <row r="2276" ht="10" customHeight="1">
      <c r="A2276" s="7" t="inlineStr">
        <is>
          <t>OMN_Vol2</t>
        </is>
      </c>
      <c r="B2276" s="7" t="inlineStr">
        <is>
          <t>O&amp;M</t>
        </is>
      </c>
      <c r="D2276" s="7" t="inlineStr">
        <is>
          <t>Pearl Harbor Naval Shipyard &amp; IMF: Performance Data - Other Direct Costs</t>
        </is>
      </c>
      <c r="E2276" s="13" t="inlineStr">
        <is>
          <t>[ALT_VIEW]</t>
        </is>
      </c>
      <c r="F2276" s="7" t="inlineStr">
        <is>
          <t>PHNSY&amp;IMF Total</t>
        </is>
      </c>
      <c r="I2276" s="14" t="n">
        <v>2</v>
      </c>
      <c r="J2276" s="7" t="inlineStr">
        <is>
          <t>Scheduled Depot Maintenance</t>
        </is>
      </c>
      <c r="K2276" s="15" t="n"/>
      <c r="O2276" s="15" t="n"/>
      <c r="P2276" s="16" t="n">
        <v>20444</v>
      </c>
      <c r="Q2276" s="16" t="n">
        <v>27323</v>
      </c>
      <c r="S2276" s="16" t="n">
        <v>38987</v>
      </c>
      <c r="AC2276" s="23">
        <f>IF(OR(E2276="",E2276="[PARENT]"),"ADD",IF(E2276="[ALT_VIEW]","ALT",""))</f>
        <v/>
      </c>
      <c r="AD2276" s="21">
        <f>IF(Y2276&lt;&gt;"",Y2276,IF(U2276&lt;&gt;"",U2276,S2276))</f>
        <v/>
      </c>
      <c r="AE2276" s="21">
        <f>IF(AB2276&lt;&gt;"",AB2276,Z2276)</f>
        <v/>
      </c>
      <c r="AF2276" s="13" t="inlineStr">
        <is>
          <t>OMN Vol2 &gt; OP-5A &gt; PHNSY&amp;IMF &gt; Performance Data &gt; Other Direct Costs</t>
        </is>
      </c>
      <c r="AG2276" s="7" t="inlineStr">
        <is>
          <t>68</t>
        </is>
      </c>
      <c r="AH2276" s="7" t="inlineStr">
        <is>
          <t>1B4B</t>
        </is>
      </c>
      <c r="AI2276" s="7" t="inlineStr">
        <is>
          <t>PHNSY&amp;IMF</t>
        </is>
      </c>
      <c r="AJ2276" s="7" t="inlineStr">
        <is>
          <t>Performance Data</t>
        </is>
      </c>
    </row>
    <row r="2277" ht="10" customHeight="1">
      <c r="A2277" s="7" t="inlineStr">
        <is>
          <t>OMN_Vol2</t>
        </is>
      </c>
      <c r="B2277" s="7" t="inlineStr">
        <is>
          <t>O&amp;M</t>
        </is>
      </c>
      <c r="D2277" s="7" t="inlineStr">
        <is>
          <t>Pearl Harbor Naval Shipyard &amp; IMF: Performance Data - Overhead Civilian Labor</t>
        </is>
      </c>
      <c r="E2277" s="13" t="inlineStr">
        <is>
          <t>[ALT_VIEW]</t>
        </is>
      </c>
      <c r="F2277" s="7" t="inlineStr">
        <is>
          <t>PHNSY&amp;IMF Total</t>
        </is>
      </c>
      <c r="I2277" s="14" t="n">
        <v>2</v>
      </c>
      <c r="J2277" s="7" t="inlineStr">
        <is>
          <t>Scheduled Depot Maintenance</t>
        </is>
      </c>
      <c r="K2277" s="15" t="n"/>
      <c r="O2277" s="15" t="n"/>
      <c r="P2277" s="16" t="n">
        <v>480213</v>
      </c>
      <c r="Q2277" s="16" t="n">
        <v>404936</v>
      </c>
      <c r="S2277" s="16" t="n">
        <v>430729</v>
      </c>
      <c r="AC2277" s="23">
        <f>IF(OR(E2277="",E2277="[PARENT]"),"ADD",IF(E2277="[ALT_VIEW]","ALT",""))</f>
        <v/>
      </c>
      <c r="AD2277" s="21">
        <f>IF(Y2277&lt;&gt;"",Y2277,IF(U2277&lt;&gt;"",U2277,S2277))</f>
        <v/>
      </c>
      <c r="AE2277" s="21">
        <f>IF(AB2277&lt;&gt;"",AB2277,Z2277)</f>
        <v/>
      </c>
      <c r="AF2277" s="13" t="inlineStr">
        <is>
          <t>OMN Vol2 &gt; OP-5A &gt; PHNSY&amp;IMF &gt; Performance Data &gt; Overhead Civilian Labor</t>
        </is>
      </c>
      <c r="AG2277" s="7" t="inlineStr">
        <is>
          <t>68</t>
        </is>
      </c>
      <c r="AH2277" s="7" t="inlineStr">
        <is>
          <t>1B4B</t>
        </is>
      </c>
      <c r="AI2277" s="7" t="inlineStr">
        <is>
          <t>PHNSY&amp;IMF</t>
        </is>
      </c>
      <c r="AJ2277" s="7" t="inlineStr">
        <is>
          <t>Performance Data</t>
        </is>
      </c>
    </row>
    <row r="2278" ht="10" customHeight="1">
      <c r="A2278" s="7" t="inlineStr">
        <is>
          <t>OMN_Vol2</t>
        </is>
      </c>
      <c r="B2278" s="7" t="inlineStr">
        <is>
          <t>O&amp;M</t>
        </is>
      </c>
      <c r="D2278" s="7" t="inlineStr">
        <is>
          <t>Pearl Harbor Naval Shipyard &amp; IMF: Performance Data - Overhead Military Labor</t>
        </is>
      </c>
      <c r="E2278" s="13" t="inlineStr">
        <is>
          <t>[ALT_VIEW]</t>
        </is>
      </c>
      <c r="F2278" s="7" t="inlineStr">
        <is>
          <t>PHNSY&amp;IMF Total</t>
        </is>
      </c>
      <c r="I2278" s="14" t="n">
        <v>2</v>
      </c>
      <c r="J2278" s="7" t="inlineStr">
        <is>
          <t>Scheduled Depot Maintenance</t>
        </is>
      </c>
      <c r="K2278" s="15" t="n"/>
      <c r="O2278" s="15" t="n"/>
      <c r="P2278" s="16" t="n">
        <v>27079</v>
      </c>
      <c r="Q2278" s="16" t="n">
        <v>9202</v>
      </c>
      <c r="S2278" s="16" t="n">
        <v>28210</v>
      </c>
      <c r="AC2278" s="23">
        <f>IF(OR(E2278="",E2278="[PARENT]"),"ADD",IF(E2278="[ALT_VIEW]","ALT",""))</f>
        <v/>
      </c>
      <c r="AD2278" s="21">
        <f>IF(Y2278&lt;&gt;"",Y2278,IF(U2278&lt;&gt;"",U2278,S2278))</f>
        <v/>
      </c>
      <c r="AE2278" s="21">
        <f>IF(AB2278&lt;&gt;"",AB2278,Z2278)</f>
        <v/>
      </c>
      <c r="AF2278" s="13" t="inlineStr">
        <is>
          <t>OMN Vol2 &gt; OP-5A &gt; PHNSY&amp;IMF &gt; Performance Data &gt; Overhead Military Labor</t>
        </is>
      </c>
      <c r="AG2278" s="7" t="inlineStr">
        <is>
          <t>68</t>
        </is>
      </c>
      <c r="AH2278" s="7" t="inlineStr">
        <is>
          <t>1B4B</t>
        </is>
      </c>
      <c r="AI2278" s="7" t="inlineStr">
        <is>
          <t>PHNSY&amp;IMF</t>
        </is>
      </c>
      <c r="AJ2278" s="7" t="inlineStr">
        <is>
          <t>Performance Data</t>
        </is>
      </c>
    </row>
    <row r="2279" ht="10" customHeight="1">
      <c r="A2279" s="7" t="inlineStr">
        <is>
          <t>OMN_Vol2</t>
        </is>
      </c>
      <c r="B2279" s="7" t="inlineStr">
        <is>
          <t>O&amp;M</t>
        </is>
      </c>
      <c r="D2279" s="7" t="inlineStr">
        <is>
          <t>Pearl Harbor Naval Shipyard &amp; IMF: Performance Data - Overhead Non-Labor</t>
        </is>
      </c>
      <c r="E2279" s="13" t="inlineStr">
        <is>
          <t>[ALT_VIEW]</t>
        </is>
      </c>
      <c r="F2279" s="7" t="inlineStr">
        <is>
          <t>PHNSY&amp;IMF Total</t>
        </is>
      </c>
      <c r="I2279" s="14" t="n">
        <v>2</v>
      </c>
      <c r="J2279" s="7" t="inlineStr">
        <is>
          <t>Scheduled Depot Maintenance</t>
        </is>
      </c>
      <c r="K2279" s="15" t="n"/>
      <c r="O2279" s="15" t="n"/>
      <c r="P2279" s="16" t="n">
        <v>157312</v>
      </c>
      <c r="Q2279" s="16" t="n">
        <v>158016</v>
      </c>
      <c r="S2279" s="16" t="n">
        <v>173764</v>
      </c>
      <c r="AC2279" s="23">
        <f>IF(OR(E2279="",E2279="[PARENT]"),"ADD",IF(E2279="[ALT_VIEW]","ALT",""))</f>
        <v/>
      </c>
      <c r="AD2279" s="21">
        <f>IF(Y2279&lt;&gt;"",Y2279,IF(U2279&lt;&gt;"",U2279,S2279))</f>
        <v/>
      </c>
      <c r="AE2279" s="21">
        <f>IF(AB2279&lt;&gt;"",AB2279,Z2279)</f>
        <v/>
      </c>
      <c r="AF2279" s="13" t="inlineStr">
        <is>
          <t>OMN Vol2 &gt; OP-5A &gt; PHNSY&amp;IMF &gt; Performance Data &gt; Overhead Non-Labor</t>
        </is>
      </c>
      <c r="AG2279" s="7" t="inlineStr">
        <is>
          <t>68</t>
        </is>
      </c>
      <c r="AH2279" s="7" t="inlineStr">
        <is>
          <t>1B4B</t>
        </is>
      </c>
      <c r="AI2279" s="7" t="inlineStr">
        <is>
          <t>PHNSY&amp;IMF</t>
        </is>
      </c>
      <c r="AJ2279" s="7" t="inlineStr">
        <is>
          <t>Performance Data</t>
        </is>
      </c>
    </row>
    <row r="2280" ht="10" customHeight="1">
      <c r="A2280" s="7" t="inlineStr">
        <is>
          <t>OMN_Vol2</t>
        </is>
      </c>
      <c r="B2280" s="7" t="inlineStr">
        <is>
          <t>O&amp;M</t>
        </is>
      </c>
      <c r="D2280" s="7" t="inlineStr">
        <is>
          <t>Pearl Harbor Naval Shipyard &amp; IMF: Performance Data - Navy/Marine Corps Intranet (NMCI)</t>
        </is>
      </c>
      <c r="E2280" s="13" t="inlineStr">
        <is>
          <t>[ALT_VIEW]</t>
        </is>
      </c>
      <c r="F2280" s="7" t="inlineStr">
        <is>
          <t>PHNSY&amp;IMF Total</t>
        </is>
      </c>
      <c r="I2280" s="14" t="n">
        <v>2</v>
      </c>
      <c r="J2280" s="7" t="inlineStr">
        <is>
          <t>Scheduled Depot Maintenance</t>
        </is>
      </c>
      <c r="K2280" s="15" t="n"/>
      <c r="O2280" s="15" t="n"/>
      <c r="P2280" s="16" t="n">
        <v>4914</v>
      </c>
      <c r="Q2280" s="16" t="n">
        <v>5017</v>
      </c>
      <c r="S2280" s="16" t="n">
        <v>5123</v>
      </c>
      <c r="AC2280" s="23">
        <f>IF(OR(E2280="",E2280="[PARENT]"),"ADD",IF(E2280="[ALT_VIEW]","ALT",""))</f>
        <v/>
      </c>
      <c r="AD2280" s="21">
        <f>IF(Y2280&lt;&gt;"",Y2280,IF(U2280&lt;&gt;"",U2280,S2280))</f>
        <v/>
      </c>
      <c r="AE2280" s="21">
        <f>IF(AB2280&lt;&gt;"",AB2280,Z2280)</f>
        <v/>
      </c>
      <c r="AF2280" s="13" t="inlineStr">
        <is>
          <t>OMN Vol2 &gt; OP-5A &gt; PHNSY&amp;IMF &gt; Performance Data &gt; NMCI</t>
        </is>
      </c>
      <c r="AG2280" s="7" t="inlineStr">
        <is>
          <t>68</t>
        </is>
      </c>
      <c r="AH2280" s="7" t="inlineStr">
        <is>
          <t>1B4B</t>
        </is>
      </c>
      <c r="AI2280" s="7" t="inlineStr">
        <is>
          <t>PHNSY&amp;IMF</t>
        </is>
      </c>
      <c r="AJ2280" s="7" t="inlineStr">
        <is>
          <t>Performance Data</t>
        </is>
      </c>
    </row>
    <row r="2281" ht="10" customHeight="1">
      <c r="A2281" s="7" t="inlineStr">
        <is>
          <t>OMN_Vol2</t>
        </is>
      </c>
      <c r="B2281" s="7" t="inlineStr">
        <is>
          <t>O&amp;M</t>
        </is>
      </c>
      <c r="D2281" s="7" t="inlineStr">
        <is>
          <t>Pearl Harbor Naval Shipyard &amp; IMF: Performance Data - Total</t>
        </is>
      </c>
      <c r="E2281" s="13" t="inlineStr">
        <is>
          <t>[ALT_VIEW]</t>
        </is>
      </c>
      <c r="F2281" s="7" t="inlineStr">
        <is>
          <t>PHNSY&amp;IMF Total</t>
        </is>
      </c>
      <c r="I2281" s="14" t="n">
        <v>2</v>
      </c>
      <c r="J2281" s="7" t="inlineStr">
        <is>
          <t>Scheduled Depot Maintenance</t>
        </is>
      </c>
      <c r="K2281" s="15" t="n"/>
      <c r="O2281" s="15" t="n"/>
      <c r="P2281" s="16" t="n">
        <v>1473914</v>
      </c>
      <c r="Q2281" s="16" t="n">
        <v>1581492</v>
      </c>
      <c r="S2281" s="16" t="n">
        <v>1787171</v>
      </c>
      <c r="AC2281" s="23">
        <f>IF(OR(E2281="",E2281="[PARENT]"),"ADD",IF(E2281="[ALT_VIEW]","ALT",""))</f>
        <v/>
      </c>
      <c r="AD2281" s="21">
        <f>IF(Y2281&lt;&gt;"",Y2281,IF(U2281&lt;&gt;"",U2281,S2281))</f>
        <v/>
      </c>
      <c r="AE2281" s="21">
        <f>IF(AB2281&lt;&gt;"",AB2281,Z2281)</f>
        <v/>
      </c>
      <c r="AF2281" s="13" t="inlineStr">
        <is>
          <t>OMN Vol2 &gt; OP-5A &gt; PHNSY&amp;IMF &gt; Performance Data &gt; Total</t>
        </is>
      </c>
      <c r="AG2281" s="7" t="inlineStr">
        <is>
          <t>68</t>
        </is>
      </c>
      <c r="AH2281" s="7" t="inlineStr">
        <is>
          <t>1B4B</t>
        </is>
      </c>
      <c r="AI2281" s="7" t="inlineStr">
        <is>
          <t>PHNSY&amp;IMF</t>
        </is>
      </c>
      <c r="AJ2281" s="7" t="inlineStr">
        <is>
          <t>Performance Data</t>
        </is>
      </c>
    </row>
    <row r="2282" ht="10" customHeight="1">
      <c r="A2282" s="7" t="inlineStr">
        <is>
          <t>OMN_Vol2</t>
        </is>
      </c>
      <c r="B2282" s="7" t="inlineStr">
        <is>
          <t>O&amp;M</t>
        </is>
      </c>
      <c r="D2282" s="7" t="inlineStr">
        <is>
          <t>Pearl Harbor Naval Shipyard &amp; IMF: Infrastructure - Base Operating Support (Operation &amp; Maintenance, Navy)</t>
        </is>
      </c>
      <c r="E2282" s="13" t="inlineStr">
        <is>
          <t>[SUB]</t>
        </is>
      </c>
      <c r="F2282" s="7" t="inlineStr">
        <is>
          <t>PHNSY&amp;IMF Infrastructure Total</t>
        </is>
      </c>
      <c r="I2282" s="14" t="n">
        <v>7</v>
      </c>
      <c r="J2282" s="7" t="inlineStr">
        <is>
          <t>Availability Support</t>
        </is>
      </c>
      <c r="K2282" s="15" t="n"/>
      <c r="O2282" s="15" t="n"/>
      <c r="P2282" s="16" t="n">
        <v>16917</v>
      </c>
      <c r="Q2282" s="16" t="n">
        <v>17272</v>
      </c>
      <c r="S2282" s="16" t="n">
        <v>17635</v>
      </c>
      <c r="AC2282" s="23">
        <f>IF(OR(E2282="",E2282="[PARENT]"),"ADD",IF(E2282="[ALT_VIEW]","ALT",""))</f>
        <v/>
      </c>
      <c r="AD2282" s="21">
        <f>IF(Y2282&lt;&gt;"",Y2282,IF(U2282&lt;&gt;"",U2282,S2282))</f>
        <v/>
      </c>
      <c r="AE2282" s="21">
        <f>IF(AB2282&lt;&gt;"",AB2282,Z2282)</f>
        <v/>
      </c>
      <c r="AF2282" s="13" t="inlineStr">
        <is>
          <t>OMN Vol2 &gt; OP-5A &gt; PHNSY&amp;IMF &gt; Infrastructure &gt; Base Operating Support (OM,N)</t>
        </is>
      </c>
      <c r="AG2282" s="7" t="inlineStr">
        <is>
          <t>71</t>
        </is>
      </c>
      <c r="AH2282" s="7" t="inlineStr">
        <is>
          <t>1B4B</t>
        </is>
      </c>
      <c r="AI2282" s="7" t="inlineStr">
        <is>
          <t>PHNSY&amp;IMF</t>
        </is>
      </c>
      <c r="AJ2282" s="7" t="inlineStr">
        <is>
          <t>Infrastructure</t>
        </is>
      </c>
    </row>
    <row r="2283" ht="10" customHeight="1">
      <c r="A2283" s="7" t="inlineStr">
        <is>
          <t>OMN_Vol2</t>
        </is>
      </c>
      <c r="B2283" s="7" t="inlineStr">
        <is>
          <t>O&amp;M</t>
        </is>
      </c>
      <c r="D2283" s="7" t="inlineStr">
        <is>
          <t>Pearl Harbor Naval Shipyard &amp; IMF: Infrastructure - Capital Equipment (Other Procurement, Navy)</t>
        </is>
      </c>
      <c r="E2283" s="13" t="inlineStr">
        <is>
          <t>[SUB]</t>
        </is>
      </c>
      <c r="F2283" s="7" t="inlineStr">
        <is>
          <t>PHNSY&amp;IMF Infrastructure Total</t>
        </is>
      </c>
      <c r="I2283" s="14" t="n">
        <v>7</v>
      </c>
      <c r="J2283" s="7" t="inlineStr">
        <is>
          <t>Availability Support</t>
        </is>
      </c>
      <c r="K2283" s="15" t="n"/>
      <c r="O2283" s="15" t="n"/>
      <c r="P2283" s="16" t="n">
        <v>31912</v>
      </c>
      <c r="Q2283" s="16" t="n">
        <v>1903</v>
      </c>
      <c r="S2283" s="16" t="n">
        <v>0</v>
      </c>
      <c r="AC2283" s="23">
        <f>IF(OR(E2283="",E2283="[PARENT]"),"ADD",IF(E2283="[ALT_VIEW]","ALT",""))</f>
        <v/>
      </c>
      <c r="AD2283" s="21">
        <f>IF(Y2283&lt;&gt;"",Y2283,IF(U2283&lt;&gt;"",U2283,S2283))</f>
        <v/>
      </c>
      <c r="AE2283" s="21">
        <f>IF(AB2283&lt;&gt;"",AB2283,Z2283)</f>
        <v/>
      </c>
      <c r="AF2283" s="13" t="inlineStr">
        <is>
          <t>OMN Vol2 &gt; OP-5A &gt; PHNSY&amp;IMF &gt; Infrastructure &gt; Capital Equipment (OP,N)</t>
        </is>
      </c>
      <c r="AG2283" s="7" t="inlineStr">
        <is>
          <t>71</t>
        </is>
      </c>
      <c r="AH2283" s="7" t="inlineStr">
        <is>
          <t>1B4B</t>
        </is>
      </c>
      <c r="AI2283" s="7" t="inlineStr">
        <is>
          <t>PHNSY&amp;IMF</t>
        </is>
      </c>
      <c r="AJ2283" s="7" t="inlineStr">
        <is>
          <t>Infrastructure</t>
        </is>
      </c>
    </row>
    <row r="2284" ht="10" customHeight="1">
      <c r="A2284" s="7" t="inlineStr">
        <is>
          <t>OMN_Vol2</t>
        </is>
      </c>
      <c r="B2284" s="7" t="inlineStr">
        <is>
          <t>O&amp;M</t>
        </is>
      </c>
      <c r="D2284" s="7" t="inlineStr">
        <is>
          <t>Pearl Harbor Naval Shipyard &amp; IMF: Infrastructure - Facilities Restoration &amp; Modernization (Operation &amp; Maintenance, Navy)</t>
        </is>
      </c>
      <c r="E2284" s="13" t="inlineStr">
        <is>
          <t>[SUB]</t>
        </is>
      </c>
      <c r="F2284" s="7" t="inlineStr">
        <is>
          <t>PHNSY&amp;IMF Infrastructure Total</t>
        </is>
      </c>
      <c r="I2284" s="14" t="n">
        <v>7</v>
      </c>
      <c r="J2284" s="7" t="inlineStr">
        <is>
          <t>Availability Support</t>
        </is>
      </c>
      <c r="K2284" s="15" t="n"/>
      <c r="O2284" s="15" t="n"/>
      <c r="P2284" s="16" t="n">
        <v>72515</v>
      </c>
      <c r="Q2284" s="16" t="n">
        <v>202025</v>
      </c>
      <c r="S2284" s="16" t="n">
        <v>127769</v>
      </c>
      <c r="AC2284" s="23">
        <f>IF(OR(E2284="",E2284="[PARENT]"),"ADD",IF(E2284="[ALT_VIEW]","ALT",""))</f>
        <v/>
      </c>
      <c r="AD2284" s="21">
        <f>IF(Y2284&lt;&gt;"",Y2284,IF(U2284&lt;&gt;"",U2284,S2284))</f>
        <v/>
      </c>
      <c r="AE2284" s="21">
        <f>IF(AB2284&lt;&gt;"",AB2284,Z2284)</f>
        <v/>
      </c>
      <c r="AF2284" s="13" t="inlineStr">
        <is>
          <t>OMN Vol2 &gt; OP-5A &gt; PHNSY&amp;IMF &gt; Infrastructure &gt; Facilities Restoration &amp; Modernization (OM,N)</t>
        </is>
      </c>
      <c r="AG2284" s="7" t="inlineStr">
        <is>
          <t>71</t>
        </is>
      </c>
      <c r="AH2284" s="7" t="inlineStr">
        <is>
          <t>1B4B</t>
        </is>
      </c>
      <c r="AI2284" s="7" t="inlineStr">
        <is>
          <t>PHNSY&amp;IMF</t>
        </is>
      </c>
      <c r="AJ2284" s="7" t="inlineStr">
        <is>
          <t>Infrastructure</t>
        </is>
      </c>
    </row>
    <row r="2285" ht="10" customHeight="1">
      <c r="A2285" s="7" t="inlineStr">
        <is>
          <t>OMN_Vol2</t>
        </is>
      </c>
      <c r="B2285" s="7" t="inlineStr">
        <is>
          <t>O&amp;M</t>
        </is>
      </c>
      <c r="D2285" s="7" t="inlineStr">
        <is>
          <t>Pearl Harbor Naval Shipyard &amp; IMF: Infrastructure - Facilities Restoration &amp; Modernization (Navy Working Capital Fund)</t>
        </is>
      </c>
      <c r="E2285" s="13" t="inlineStr">
        <is>
          <t>[SUB]</t>
        </is>
      </c>
      <c r="F2285" s="7" t="inlineStr">
        <is>
          <t>PHNSY&amp;IMF Infrastructure Total</t>
        </is>
      </c>
      <c r="I2285" s="14" t="n">
        <v>7</v>
      </c>
      <c r="J2285" s="7" t="inlineStr">
        <is>
          <t>Availability Support</t>
        </is>
      </c>
      <c r="K2285" s="15" t="n"/>
      <c r="O2285" s="15" t="n"/>
      <c r="P2285" s="16" t="n">
        <v>0</v>
      </c>
      <c r="Q2285" s="16" t="n">
        <v>0</v>
      </c>
      <c r="S2285" s="16" t="n">
        <v>0</v>
      </c>
      <c r="AC2285" s="23">
        <f>IF(OR(E2285="",E2285="[PARENT]"),"ADD",IF(E2285="[ALT_VIEW]","ALT",""))</f>
        <v/>
      </c>
      <c r="AD2285" s="21">
        <f>IF(Y2285&lt;&gt;"",Y2285,IF(U2285&lt;&gt;"",U2285,S2285))</f>
        <v/>
      </c>
      <c r="AE2285" s="21">
        <f>IF(AB2285&lt;&gt;"",AB2285,Z2285)</f>
        <v/>
      </c>
      <c r="AF2285" s="13" t="inlineStr">
        <is>
          <t>OMN Vol2 &gt; OP-5A &gt; PHNSY&amp;IMF &gt; Infrastructure &gt; Facilities Restoration &amp; Modernization (NWCF)</t>
        </is>
      </c>
      <c r="AG2285" s="7" t="inlineStr">
        <is>
          <t>71</t>
        </is>
      </c>
      <c r="AH2285" s="7" t="inlineStr">
        <is>
          <t>1B4B</t>
        </is>
      </c>
      <c r="AI2285" s="7" t="inlineStr">
        <is>
          <t>PHNSY&amp;IMF</t>
        </is>
      </c>
      <c r="AJ2285" s="7" t="inlineStr">
        <is>
          <t>Infrastructure</t>
        </is>
      </c>
    </row>
    <row r="2286" ht="10" customHeight="1">
      <c r="A2286" s="7" t="inlineStr">
        <is>
          <t>OMN_Vol2</t>
        </is>
      </c>
      <c r="B2286" s="7" t="inlineStr">
        <is>
          <t>O&amp;M</t>
        </is>
      </c>
      <c r="D2286" s="7" t="inlineStr">
        <is>
          <t>Pearl Harbor Naval Shipyard &amp; IMF: Infrastructure - Military Construction (MILCON)</t>
        </is>
      </c>
      <c r="E2286" s="13" t="inlineStr">
        <is>
          <t>[SUB]</t>
        </is>
      </c>
      <c r="F2286" s="7" t="inlineStr">
        <is>
          <t>PHNSY&amp;IMF Infrastructure Total</t>
        </is>
      </c>
      <c r="I2286" s="14" t="n">
        <v>7</v>
      </c>
      <c r="J2286" s="7" t="inlineStr">
        <is>
          <t>Availability Support</t>
        </is>
      </c>
      <c r="K2286" s="15" t="n"/>
      <c r="O2286" s="15" t="n"/>
      <c r="P2286" s="16" t="n">
        <v>1590625</v>
      </c>
      <c r="Q2286" s="16" t="n">
        <v>1199000</v>
      </c>
      <c r="S2286" s="16" t="n">
        <v>553720</v>
      </c>
      <c r="AC2286" s="23">
        <f>IF(OR(E2286="",E2286="[PARENT]"),"ADD",IF(E2286="[ALT_VIEW]","ALT",""))</f>
        <v/>
      </c>
      <c r="AD2286" s="21">
        <f>IF(Y2286&lt;&gt;"",Y2286,IF(U2286&lt;&gt;"",U2286,S2286))</f>
        <v/>
      </c>
      <c r="AE2286" s="21">
        <f>IF(AB2286&lt;&gt;"",AB2286,Z2286)</f>
        <v/>
      </c>
      <c r="AF2286" s="13" t="inlineStr">
        <is>
          <t>OMN Vol2 &gt; OP-5A &gt; PHNSY&amp;IMF &gt; Infrastructure &gt; Military Construction (MILCON)</t>
        </is>
      </c>
      <c r="AG2286" s="7" t="inlineStr">
        <is>
          <t>71</t>
        </is>
      </c>
      <c r="AH2286" s="7" t="inlineStr">
        <is>
          <t>1B4B</t>
        </is>
      </c>
      <c r="AI2286" s="7" t="inlineStr">
        <is>
          <t>PHNSY&amp;IMF</t>
        </is>
      </c>
      <c r="AJ2286" s="7" t="inlineStr">
        <is>
          <t>Infrastructure</t>
        </is>
      </c>
    </row>
    <row r="2287" ht="10" customHeight="1">
      <c r="A2287" s="7" t="inlineStr">
        <is>
          <t>OMN_Vol2</t>
        </is>
      </c>
      <c r="B2287" s="7" t="inlineStr">
        <is>
          <t>O&amp;M</t>
        </is>
      </c>
      <c r="D2287" s="7" t="inlineStr">
        <is>
          <t>Pearl Harbor Naval Shipyard &amp; IMF: Infrastructure - Total</t>
        </is>
      </c>
      <c r="E2287" s="13" t="inlineStr">
        <is>
          <t>[PARENT]</t>
        </is>
      </c>
      <c r="I2287" s="14" t="n">
        <v>7</v>
      </c>
      <c r="J2287" s="7" t="inlineStr">
        <is>
          <t>Availability Support</t>
        </is>
      </c>
      <c r="K2287" s="15" t="n"/>
      <c r="O2287" s="15" t="n"/>
      <c r="P2287" s="16" t="n">
        <v>1711969</v>
      </c>
      <c r="Q2287" s="16" t="n">
        <v>1420200</v>
      </c>
      <c r="S2287" s="16" t="n">
        <v>699124</v>
      </c>
      <c r="AC2287" s="23">
        <f>IF(OR(E2287="",E2287="[PARENT]"),"ADD",IF(E2287="[ALT_VIEW]","ALT",""))</f>
        <v/>
      </c>
      <c r="AD2287" s="21">
        <f>IF(Y2287&lt;&gt;"",Y2287,IF(U2287&lt;&gt;"",U2287,S2287))</f>
        <v/>
      </c>
      <c r="AE2287" s="21">
        <f>IF(AB2287&lt;&gt;"",AB2287,Z2287)</f>
        <v/>
      </c>
      <c r="AF2287" s="13" t="inlineStr">
        <is>
          <t>OMN Vol2 &gt; OP-5A &gt; PHNSY&amp;IMF &gt; Infrastructure &gt; Total</t>
        </is>
      </c>
      <c r="AG2287" s="7" t="inlineStr">
        <is>
          <t>71</t>
        </is>
      </c>
      <c r="AH2287" s="7" t="inlineStr">
        <is>
          <t>1B4B</t>
        </is>
      </c>
      <c r="AI2287" s="7" t="inlineStr">
        <is>
          <t>PHNSY&amp;IMF</t>
        </is>
      </c>
      <c r="AJ2287" s="7" t="inlineStr">
        <is>
          <t>Infrastructure</t>
        </is>
      </c>
    </row>
    <row r="2288" ht="10" customHeight="1">
      <c r="A2288" s="7" t="inlineStr">
        <is>
          <t>OMN_Vol2</t>
        </is>
      </c>
      <c r="B2288" s="7" t="inlineStr">
        <is>
          <t>O&amp;M</t>
        </is>
      </c>
      <c r="D2288" s="7" t="inlineStr">
        <is>
          <t>Pearl Harbor Naval Shipyard &amp; IMF: Capital Equipment - Shaft Lathe</t>
        </is>
      </c>
      <c r="E2288" s="13" t="inlineStr">
        <is>
          <t>[SUB]</t>
        </is>
      </c>
      <c r="F2288" s="7" t="inlineStr">
        <is>
          <t>PHNSY&amp;IMF Infrastructure Total</t>
        </is>
      </c>
      <c r="I2288" s="14" t="n">
        <v>7</v>
      </c>
      <c r="J2288" s="7" t="inlineStr">
        <is>
          <t>Availability Support</t>
        </is>
      </c>
      <c r="K2288" s="15" t="n"/>
      <c r="O2288" s="15" t="n"/>
      <c r="P2288" s="16" t="n">
        <v>21988</v>
      </c>
      <c r="AC2288" s="23">
        <f>IF(OR(E2288="",E2288="[PARENT]"),"ADD",IF(E2288="[ALT_VIEW]","ALT",""))</f>
        <v/>
      </c>
      <c r="AD2288" s="21">
        <f>IF(Y2288&lt;&gt;"",Y2288,IF(U2288&lt;&gt;"",U2288,S2288))</f>
        <v/>
      </c>
      <c r="AE2288" s="21">
        <f>IF(AB2288&lt;&gt;"",AB2288,Z2288)</f>
        <v/>
      </c>
      <c r="AF2288" s="13" t="inlineStr">
        <is>
          <t>OMN Vol2 &gt; OP-5A &gt; PHNSY&amp;IMF &gt; Capital Equipment &gt; Shaft Lathe</t>
        </is>
      </c>
      <c r="AG2288" s="7" t="inlineStr">
        <is>
          <t>71</t>
        </is>
      </c>
      <c r="AH2288" s="7" t="inlineStr">
        <is>
          <t>1B4B</t>
        </is>
      </c>
      <c r="AI2288" s="7" t="inlineStr">
        <is>
          <t>PHNSY&amp;IMF</t>
        </is>
      </c>
      <c r="AJ2288" s="7" t="inlineStr">
        <is>
          <t>Capital Equipment</t>
        </is>
      </c>
    </row>
    <row r="2289" ht="10" customHeight="1">
      <c r="A2289" s="7" t="inlineStr">
        <is>
          <t>OMN_Vol2</t>
        </is>
      </c>
      <c r="B2289" s="7" t="inlineStr">
        <is>
          <t>O&amp;M</t>
        </is>
      </c>
      <c r="D2289" s="7" t="inlineStr">
        <is>
          <t>Pearl Harbor Naval Shipyard &amp; IMF: Capital Equipment - 1MW Turbine Generator (7th of 8)</t>
        </is>
      </c>
      <c r="E2289" s="13" t="inlineStr">
        <is>
          <t>[SUB]</t>
        </is>
      </c>
      <c r="F2289" s="7" t="inlineStr">
        <is>
          <t>PHNSY&amp;IMF Infrastructure Total</t>
        </is>
      </c>
      <c r="I2289" s="14" t="n">
        <v>7</v>
      </c>
      <c r="J2289" s="7" t="inlineStr">
        <is>
          <t>Availability Support</t>
        </is>
      </c>
      <c r="K2289" s="15" t="n"/>
      <c r="O2289" s="15" t="n"/>
      <c r="P2289" s="16" t="n">
        <v>3236</v>
      </c>
      <c r="AC2289" s="23">
        <f>IF(OR(E2289="",E2289="[PARENT]"),"ADD",IF(E2289="[ALT_VIEW]","ALT",""))</f>
        <v/>
      </c>
      <c r="AD2289" s="21">
        <f>IF(Y2289&lt;&gt;"",Y2289,IF(U2289&lt;&gt;"",U2289,S2289))</f>
        <v/>
      </c>
      <c r="AE2289" s="21">
        <f>IF(AB2289&lt;&gt;"",AB2289,Z2289)</f>
        <v/>
      </c>
      <c r="AF2289" s="13" t="inlineStr">
        <is>
          <t>OMN Vol2 &gt; OP-5A &gt; PHNSY&amp;IMF &gt; Capital Equipment &gt; 1MW Turbine Generator (7th of 8)</t>
        </is>
      </c>
      <c r="AG2289" s="7" t="inlineStr">
        <is>
          <t>71</t>
        </is>
      </c>
      <c r="AH2289" s="7" t="inlineStr">
        <is>
          <t>1B4B</t>
        </is>
      </c>
      <c r="AI2289" s="7" t="inlineStr">
        <is>
          <t>PHNSY&amp;IMF</t>
        </is>
      </c>
      <c r="AJ2289" s="7" t="inlineStr">
        <is>
          <t>Capital Equipment</t>
        </is>
      </c>
    </row>
    <row r="2290" ht="10" customHeight="1">
      <c r="A2290" s="7" t="inlineStr">
        <is>
          <t>OMN_Vol2</t>
        </is>
      </c>
      <c r="B2290" s="7" t="inlineStr">
        <is>
          <t>O&amp;M</t>
        </is>
      </c>
      <c r="D2290" s="7" t="inlineStr">
        <is>
          <t>Pearl Harbor Naval Shipyard &amp; IMF: Capital Equipment - Water Jet</t>
        </is>
      </c>
      <c r="E2290" s="13" t="inlineStr">
        <is>
          <t>[SUB]</t>
        </is>
      </c>
      <c r="F2290" s="7" t="inlineStr">
        <is>
          <t>PHNSY&amp;IMF Infrastructure Total</t>
        </is>
      </c>
      <c r="I2290" s="14" t="n">
        <v>7</v>
      </c>
      <c r="J2290" s="7" t="inlineStr">
        <is>
          <t>Availability Support</t>
        </is>
      </c>
      <c r="K2290" s="15" t="n"/>
      <c r="O2290" s="15" t="n"/>
      <c r="P2290" s="16" t="n">
        <v>683</v>
      </c>
      <c r="AC2290" s="23">
        <f>IF(OR(E2290="",E2290="[PARENT]"),"ADD",IF(E2290="[ALT_VIEW]","ALT",""))</f>
        <v/>
      </c>
      <c r="AD2290" s="21">
        <f>IF(Y2290&lt;&gt;"",Y2290,IF(U2290&lt;&gt;"",U2290,S2290))</f>
        <v/>
      </c>
      <c r="AE2290" s="21">
        <f>IF(AB2290&lt;&gt;"",AB2290,Z2290)</f>
        <v/>
      </c>
      <c r="AF2290" s="13" t="inlineStr">
        <is>
          <t>OMN Vol2 &gt; OP-5A &gt; PHNSY&amp;IMF &gt; Capital Equipment &gt; Water Jet</t>
        </is>
      </c>
      <c r="AG2290" s="7" t="inlineStr">
        <is>
          <t>71</t>
        </is>
      </c>
      <c r="AH2290" s="7" t="inlineStr">
        <is>
          <t>1B4B</t>
        </is>
      </c>
      <c r="AI2290" s="7" t="inlineStr">
        <is>
          <t>PHNSY&amp;IMF</t>
        </is>
      </c>
      <c r="AJ2290" s="7" t="inlineStr">
        <is>
          <t>Capital Equipment</t>
        </is>
      </c>
    </row>
    <row r="2291" ht="10" customHeight="1">
      <c r="A2291" s="7" t="inlineStr">
        <is>
          <t>OMN_Vol2</t>
        </is>
      </c>
      <c r="B2291" s="7" t="inlineStr">
        <is>
          <t>O&amp;M</t>
        </is>
      </c>
      <c r="D2291" s="7" t="inlineStr">
        <is>
          <t>Pearl Harbor Naval Shipyard &amp; IMF: Capital Equipment - Badge Reader System</t>
        </is>
      </c>
      <c r="E2291" s="13" t="inlineStr">
        <is>
          <t>[SUB]</t>
        </is>
      </c>
      <c r="F2291" s="7" t="inlineStr">
        <is>
          <t>PHNSY&amp;IMF Infrastructure Total</t>
        </is>
      </c>
      <c r="I2291" s="14" t="n">
        <v>7</v>
      </c>
      <c r="J2291" s="7" t="inlineStr">
        <is>
          <t>Availability Support</t>
        </is>
      </c>
      <c r="K2291" s="15" t="n"/>
      <c r="O2291" s="15" t="n"/>
      <c r="P2291" s="16" t="n">
        <v>2130</v>
      </c>
      <c r="AC2291" s="23">
        <f>IF(OR(E2291="",E2291="[PARENT]"),"ADD",IF(E2291="[ALT_VIEW]","ALT",""))</f>
        <v/>
      </c>
      <c r="AD2291" s="21">
        <f>IF(Y2291&lt;&gt;"",Y2291,IF(U2291&lt;&gt;"",U2291,S2291))</f>
        <v/>
      </c>
      <c r="AE2291" s="21">
        <f>IF(AB2291&lt;&gt;"",AB2291,Z2291)</f>
        <v/>
      </c>
      <c r="AF2291" s="13" t="inlineStr">
        <is>
          <t>OMN Vol2 &gt; OP-5A &gt; PHNSY&amp;IMF &gt; Capital Equipment &gt; Badge Reader System</t>
        </is>
      </c>
      <c r="AG2291" s="7" t="inlineStr">
        <is>
          <t>71</t>
        </is>
      </c>
      <c r="AH2291" s="7" t="inlineStr">
        <is>
          <t>1B4B</t>
        </is>
      </c>
      <c r="AI2291" s="7" t="inlineStr">
        <is>
          <t>PHNSY&amp;IMF</t>
        </is>
      </c>
      <c r="AJ2291" s="7" t="inlineStr">
        <is>
          <t>Capital Equipment</t>
        </is>
      </c>
    </row>
    <row r="2292" ht="10" customHeight="1">
      <c r="A2292" s="7" t="inlineStr">
        <is>
          <t>OMN_Vol2</t>
        </is>
      </c>
      <c r="B2292" s="7" t="inlineStr">
        <is>
          <t>O&amp;M</t>
        </is>
      </c>
      <c r="D2292" s="7" t="inlineStr">
        <is>
          <t>Pearl Harbor Naval Shipyard &amp; IMF: Capital Equipment - C-Frame Press</t>
        </is>
      </c>
      <c r="E2292" s="13" t="inlineStr">
        <is>
          <t>[SUB]</t>
        </is>
      </c>
      <c r="F2292" s="7" t="inlineStr">
        <is>
          <t>PHNSY&amp;IMF Infrastructure Total</t>
        </is>
      </c>
      <c r="I2292" s="14" t="n">
        <v>7</v>
      </c>
      <c r="J2292" s="7" t="inlineStr">
        <is>
          <t>Availability Support</t>
        </is>
      </c>
      <c r="K2292" s="15" t="n"/>
      <c r="O2292" s="15" t="n"/>
      <c r="P2292" s="16" t="n">
        <v>2010</v>
      </c>
      <c r="AC2292" s="23">
        <f>IF(OR(E2292="",E2292="[PARENT]"),"ADD",IF(E2292="[ALT_VIEW]","ALT",""))</f>
        <v/>
      </c>
      <c r="AD2292" s="21">
        <f>IF(Y2292&lt;&gt;"",Y2292,IF(U2292&lt;&gt;"",U2292,S2292))</f>
        <v/>
      </c>
      <c r="AE2292" s="21">
        <f>IF(AB2292&lt;&gt;"",AB2292,Z2292)</f>
        <v/>
      </c>
      <c r="AF2292" s="13" t="inlineStr">
        <is>
          <t>OMN Vol2 &gt; OP-5A &gt; PHNSY&amp;IMF &gt; Capital Equipment &gt; C-Frame Press</t>
        </is>
      </c>
      <c r="AG2292" s="7" t="inlineStr">
        <is>
          <t>71</t>
        </is>
      </c>
      <c r="AH2292" s="7" t="inlineStr">
        <is>
          <t>1B4B</t>
        </is>
      </c>
      <c r="AI2292" s="7" t="inlineStr">
        <is>
          <t>PHNSY&amp;IMF</t>
        </is>
      </c>
      <c r="AJ2292" s="7" t="inlineStr">
        <is>
          <t>Capital Equipment</t>
        </is>
      </c>
    </row>
    <row r="2293" ht="10" customHeight="1">
      <c r="A2293" s="7" t="inlineStr">
        <is>
          <t>OMN_Vol2</t>
        </is>
      </c>
      <c r="B2293" s="7" t="inlineStr">
        <is>
          <t>O&amp;M</t>
        </is>
      </c>
      <c r="D2293" s="7" t="inlineStr">
        <is>
          <t>Pearl Harbor Naval Shipyard &amp; IMF: Capital Equipment - Hydrostatic Test Tank</t>
        </is>
      </c>
      <c r="E2293" s="13" t="inlineStr">
        <is>
          <t>[SUB]</t>
        </is>
      </c>
      <c r="F2293" s="7" t="inlineStr">
        <is>
          <t>PHNSY&amp;IMF Infrastructure Total</t>
        </is>
      </c>
      <c r="I2293" s="14" t="n">
        <v>7</v>
      </c>
      <c r="J2293" s="7" t="inlineStr">
        <is>
          <t>Availability Support</t>
        </is>
      </c>
      <c r="K2293" s="15" t="n"/>
      <c r="O2293" s="15" t="n"/>
      <c r="P2293" s="16" t="n">
        <v>1865</v>
      </c>
      <c r="AC2293" s="23">
        <f>IF(OR(E2293="",E2293="[PARENT]"),"ADD",IF(E2293="[ALT_VIEW]","ALT",""))</f>
        <v/>
      </c>
      <c r="AD2293" s="21">
        <f>IF(Y2293&lt;&gt;"",Y2293,IF(U2293&lt;&gt;"",U2293,S2293))</f>
        <v/>
      </c>
      <c r="AE2293" s="21">
        <f>IF(AB2293&lt;&gt;"",AB2293,Z2293)</f>
        <v/>
      </c>
      <c r="AF2293" s="13" t="inlineStr">
        <is>
          <t>OMN Vol2 &gt; OP-5A &gt; PHNSY&amp;IMF &gt; Capital Equipment &gt; Hydrostatic Test Tank</t>
        </is>
      </c>
      <c r="AG2293" s="7" t="inlineStr">
        <is>
          <t>71</t>
        </is>
      </c>
      <c r="AH2293" s="7" t="inlineStr">
        <is>
          <t>1B4B</t>
        </is>
      </c>
      <c r="AI2293" s="7" t="inlineStr">
        <is>
          <t>PHNSY&amp;IMF</t>
        </is>
      </c>
      <c r="AJ2293" s="7" t="inlineStr">
        <is>
          <t>Capital Equipment</t>
        </is>
      </c>
    </row>
    <row r="2294" ht="10" customHeight="1">
      <c r="A2294" s="7" t="inlineStr">
        <is>
          <t>OMN_Vol2</t>
        </is>
      </c>
      <c r="B2294" s="7" t="inlineStr">
        <is>
          <t>O&amp;M</t>
        </is>
      </c>
      <c r="D2294" s="7" t="inlineStr">
        <is>
          <t>Pearl Harbor Naval Shipyard &amp; IMF: Capital Equipment - Temporary Electrical Power Distribution Enclosure</t>
        </is>
      </c>
      <c r="E2294" s="13" t="inlineStr">
        <is>
          <t>[SUB]</t>
        </is>
      </c>
      <c r="F2294" s="7" t="inlineStr">
        <is>
          <t>PHNSY&amp;IMF Infrastructure Total</t>
        </is>
      </c>
      <c r="I2294" s="14" t="n">
        <v>7</v>
      </c>
      <c r="J2294" s="7" t="inlineStr">
        <is>
          <t>Availability Support</t>
        </is>
      </c>
      <c r="K2294" s="15" t="n"/>
      <c r="O2294" s="15" t="n"/>
      <c r="Q2294" s="16" t="n">
        <v>1903</v>
      </c>
      <c r="AC2294" s="23">
        <f>IF(OR(E2294="",E2294="[PARENT]"),"ADD",IF(E2294="[ALT_VIEW]","ALT",""))</f>
        <v/>
      </c>
      <c r="AD2294" s="21">
        <f>IF(Y2294&lt;&gt;"",Y2294,IF(U2294&lt;&gt;"",U2294,S2294))</f>
        <v/>
      </c>
      <c r="AE2294" s="21">
        <f>IF(AB2294&lt;&gt;"",AB2294,Z2294)</f>
        <v/>
      </c>
      <c r="AF2294" s="13" t="inlineStr">
        <is>
          <t>OMN Vol2 &gt; OP-5A &gt; PHNSY&amp;IMF &gt; Capital Equipment &gt; Temporary Electrical Power Distribution Enclosure</t>
        </is>
      </c>
      <c r="AG2294" s="7" t="inlineStr">
        <is>
          <t>71</t>
        </is>
      </c>
      <c r="AH2294" s="7" t="inlineStr">
        <is>
          <t>1B4B</t>
        </is>
      </c>
      <c r="AI2294" s="7" t="inlineStr">
        <is>
          <t>PHNSY&amp;IMF</t>
        </is>
      </c>
      <c r="AJ2294" s="7" t="inlineStr">
        <is>
          <t>Capital Equipment</t>
        </is>
      </c>
    </row>
    <row r="2295" ht="10" customHeight="1">
      <c r="A2295" s="7" t="inlineStr">
        <is>
          <t>OMN_Vol2</t>
        </is>
      </c>
      <c r="B2295" s="7" t="inlineStr">
        <is>
          <t>O&amp;M</t>
        </is>
      </c>
      <c r="D2295" s="7" t="inlineStr">
        <is>
          <t>Pearl Harbor Naval Shipyard &amp; IMF: Military Construction (MILCON) - DRY DOCK 3 REPLACEMENT, INCREMENT 2 of 5</t>
        </is>
      </c>
      <c r="E2295" s="13" t="inlineStr">
        <is>
          <t>[SUB]</t>
        </is>
      </c>
      <c r="F2295" s="7" t="inlineStr">
        <is>
          <t>PHNSY&amp;IMF Infrastructure Total</t>
        </is>
      </c>
      <c r="I2295" s="14" t="n">
        <v>7</v>
      </c>
      <c r="J2295" s="7" t="inlineStr">
        <is>
          <t>Availability Support</t>
        </is>
      </c>
      <c r="K2295" s="15" t="n"/>
      <c r="O2295" s="15" t="n"/>
      <c r="P2295" s="16" t="n">
        <v>1590625</v>
      </c>
      <c r="AC2295" s="23">
        <f>IF(OR(E2295="",E2295="[PARENT]"),"ADD",IF(E2295="[ALT_VIEW]","ALT",""))</f>
        <v/>
      </c>
      <c r="AD2295" s="21">
        <f>IF(Y2295&lt;&gt;"",Y2295,IF(U2295&lt;&gt;"",U2295,S2295))</f>
        <v/>
      </c>
      <c r="AE2295" s="21">
        <f>IF(AB2295&lt;&gt;"",AB2295,Z2295)</f>
        <v/>
      </c>
      <c r="AF2295" s="13" t="inlineStr">
        <is>
          <t>OMN Vol2 &gt; OP-5A &gt; PHNSY&amp;IMF &gt; MILCON &gt; DRY DOCK 3 REPLACEMENT, INCREMENT 2 of 5</t>
        </is>
      </c>
      <c r="AG2295" s="7" t="inlineStr">
        <is>
          <t>72</t>
        </is>
      </c>
      <c r="AH2295" s="7" t="inlineStr">
        <is>
          <t>1B4B</t>
        </is>
      </c>
      <c r="AI2295" s="7" t="inlineStr">
        <is>
          <t>PHNSY&amp;IMF</t>
        </is>
      </c>
      <c r="AJ2295" s="7" t="inlineStr">
        <is>
          <t>MILCON</t>
        </is>
      </c>
    </row>
    <row r="2296" ht="10" customHeight="1">
      <c r="A2296" s="7" t="inlineStr">
        <is>
          <t>OMN_Vol2</t>
        </is>
      </c>
      <c r="B2296" s="7" t="inlineStr">
        <is>
          <t>O&amp;M</t>
        </is>
      </c>
      <c r="D2296" s="7" t="inlineStr">
        <is>
          <t>Pearl Harbor Naval Shipyard &amp; IMF: Military Construction (MILCON) - DRY DOCK 3 REPLACEMENT, INCREMENT 3 of 5</t>
        </is>
      </c>
      <c r="E2296" s="13" t="inlineStr">
        <is>
          <t>[SUB]</t>
        </is>
      </c>
      <c r="F2296" s="7" t="inlineStr">
        <is>
          <t>PHNSY&amp;IMF Infrastructure Total</t>
        </is>
      </c>
      <c r="I2296" s="14" t="n">
        <v>7</v>
      </c>
      <c r="J2296" s="7" t="inlineStr">
        <is>
          <t>Availability Support</t>
        </is>
      </c>
      <c r="K2296" s="15" t="n"/>
      <c r="O2296" s="15" t="n"/>
      <c r="Q2296" s="16" t="n">
        <v>1199000</v>
      </c>
      <c r="AC2296" s="23">
        <f>IF(OR(E2296="",E2296="[PARENT]"),"ADD",IF(E2296="[ALT_VIEW]","ALT",""))</f>
        <v/>
      </c>
      <c r="AD2296" s="21">
        <f>IF(Y2296&lt;&gt;"",Y2296,IF(U2296&lt;&gt;"",U2296,S2296))</f>
        <v/>
      </c>
      <c r="AE2296" s="21">
        <f>IF(AB2296&lt;&gt;"",AB2296,Z2296)</f>
        <v/>
      </c>
      <c r="AF2296" s="13" t="inlineStr">
        <is>
          <t>OMN Vol2 &gt; OP-5A &gt; PHNSY&amp;IMF &gt; MILCON &gt; DRY DOCK 3 REPLACEMENT, INCREMENT 3 of 5</t>
        </is>
      </c>
      <c r="AG2296" s="7" t="inlineStr">
        <is>
          <t>72</t>
        </is>
      </c>
      <c r="AH2296" s="7" t="inlineStr">
        <is>
          <t>1B4B</t>
        </is>
      </c>
      <c r="AI2296" s="7" t="inlineStr">
        <is>
          <t>PHNSY&amp;IMF</t>
        </is>
      </c>
      <c r="AJ2296" s="7" t="inlineStr">
        <is>
          <t>MILCON</t>
        </is>
      </c>
    </row>
    <row r="2297" ht="10" customHeight="1">
      <c r="A2297" s="7" t="inlineStr">
        <is>
          <t>OMN_Vol2</t>
        </is>
      </c>
      <c r="B2297" s="7" t="inlineStr">
        <is>
          <t>O&amp;M</t>
        </is>
      </c>
      <c r="D2297" s="7" t="inlineStr">
        <is>
          <t>Pearl Harbor Naval Shipyard &amp; IMF: Military Construction (MILCON) - DRY DOCK 3 REPLACEMENT, INCREMENT 4 of 5</t>
        </is>
      </c>
      <c r="E2297" s="13" t="inlineStr">
        <is>
          <t>[SUB]</t>
        </is>
      </c>
      <c r="F2297" s="7" t="inlineStr">
        <is>
          <t>PHNSY&amp;IMF Infrastructure Total</t>
        </is>
      </c>
      <c r="I2297" s="14" t="n">
        <v>7</v>
      </c>
      <c r="J2297" s="7" t="inlineStr">
        <is>
          <t>Availability Support</t>
        </is>
      </c>
      <c r="K2297" s="15" t="n"/>
      <c r="O2297" s="15" t="n"/>
      <c r="S2297" s="16" t="n">
        <v>553720</v>
      </c>
      <c r="AC2297" s="23">
        <f>IF(OR(E2297="",E2297="[PARENT]"),"ADD",IF(E2297="[ALT_VIEW]","ALT",""))</f>
        <v/>
      </c>
      <c r="AD2297" s="21">
        <f>IF(Y2297&lt;&gt;"",Y2297,IF(U2297&lt;&gt;"",U2297,S2297))</f>
        <v/>
      </c>
      <c r="AE2297" s="21">
        <f>IF(AB2297&lt;&gt;"",AB2297,Z2297)</f>
        <v/>
      </c>
      <c r="AF2297" s="13" t="inlineStr">
        <is>
          <t>OMN Vol2 &gt; OP-5A &gt; PHNSY&amp;IMF &gt; MILCON &gt; DRY DOCK 3 REPLACEMENT, INCREMENT 4 of 5</t>
        </is>
      </c>
      <c r="AG2297" s="7" t="inlineStr">
        <is>
          <t>72</t>
        </is>
      </c>
      <c r="AH2297" s="7" t="inlineStr">
        <is>
          <t>1B4B</t>
        </is>
      </c>
      <c r="AI2297" s="7" t="inlineStr">
        <is>
          <t>PHNSY&amp;IMF</t>
        </is>
      </c>
      <c r="AJ2297" s="7" t="inlineStr">
        <is>
          <t>MILCON</t>
        </is>
      </c>
    </row>
    <row r="2298" ht="10" customHeight="1">
      <c r="A2298" s="7" t="inlineStr">
        <is>
          <t>OMN_Vol2</t>
        </is>
      </c>
      <c r="B2298" s="7" t="inlineStr">
        <is>
          <t>O&amp;M</t>
        </is>
      </c>
      <c r="D2298" s="7" t="inlineStr">
        <is>
          <t>SSN 701 USS LA JOLLA* - Phased Incremental Repair Availability (PIRA)</t>
        </is>
      </c>
      <c r="E2298" s="13" t="inlineStr">
        <is>
          <t>[REFERENCE]</t>
        </is>
      </c>
      <c r="I2298" s="14" t="n">
        <v>2</v>
      </c>
      <c r="J2298" s="7" t="inlineStr">
        <is>
          <t>Ship Availability</t>
        </is>
      </c>
      <c r="K2298" s="13" t="inlineStr">
        <is>
          <t>USN</t>
        </is>
      </c>
      <c r="L2298" s="7" t="inlineStr">
        <is>
          <t>Combatant Ships</t>
        </is>
      </c>
      <c r="M2298" s="7" t="inlineStr">
        <is>
          <t>Submarines</t>
        </is>
      </c>
      <c r="N2298" s="7" t="inlineStr">
        <is>
          <t>SSN</t>
        </is>
      </c>
      <c r="O2298" s="15" t="n"/>
      <c r="AC2298" s="23">
        <f>IF(OR(E2298="",E2298="[PARENT]"),"ADD",IF(E2298="[ALT_VIEW]","ALT",""))</f>
        <v/>
      </c>
      <c r="AD2298" s="21">
        <f>IF(Y2298&lt;&gt;"",Y2298,IF(U2298&lt;&gt;"",U2298,S2298))</f>
        <v/>
      </c>
      <c r="AE2298" s="21">
        <f>IF(AB2298&lt;&gt;"",AB2298,Z2298)</f>
        <v/>
      </c>
      <c r="AF2298" s="13" t="inlineStr">
        <is>
          <t>OMN Vol2 &gt; OP-5A &gt; PHNSY&amp;IMF &gt; Ship Availability &gt; SSN 701 USS LA JOLLA* - PIRA</t>
        </is>
      </c>
      <c r="AG2298" s="7" t="inlineStr">
        <is>
          <t>73</t>
        </is>
      </c>
      <c r="AH2298" s="7" t="inlineStr">
        <is>
          <t>1B4B</t>
        </is>
      </c>
      <c r="AI2298" s="7" t="inlineStr">
        <is>
          <t>PHNSY&amp;IMF</t>
        </is>
      </c>
      <c r="AJ2298" s="7" t="inlineStr">
        <is>
          <t>Ship Availability</t>
        </is>
      </c>
    </row>
    <row r="2299" ht="10" customHeight="1">
      <c r="A2299" s="7" t="inlineStr">
        <is>
          <t>OMN_Vol2</t>
        </is>
      </c>
      <c r="B2299" s="7" t="inlineStr">
        <is>
          <t>O&amp;M</t>
        </is>
      </c>
      <c r="D2299" s="7" t="inlineStr">
        <is>
          <t>SSN 698 USS BREMERTON* - Docking Selected Restricted Availability (DSRA)</t>
        </is>
      </c>
      <c r="E2299" s="13" t="inlineStr">
        <is>
          <t>[REFERENCE]</t>
        </is>
      </c>
      <c r="I2299" s="14" t="n">
        <v>2</v>
      </c>
      <c r="J2299" s="7" t="inlineStr">
        <is>
          <t>Ship Availability</t>
        </is>
      </c>
      <c r="K2299" s="13" t="inlineStr">
        <is>
          <t>USN</t>
        </is>
      </c>
      <c r="L2299" s="7" t="inlineStr">
        <is>
          <t>Combatant Ships</t>
        </is>
      </c>
      <c r="M2299" s="7" t="inlineStr">
        <is>
          <t>Submarines</t>
        </is>
      </c>
      <c r="N2299" s="7" t="inlineStr">
        <is>
          <t>SSN</t>
        </is>
      </c>
      <c r="O2299" s="15" t="n"/>
      <c r="AC2299" s="23">
        <f>IF(OR(E2299="",E2299="[PARENT]"),"ADD",IF(E2299="[ALT_VIEW]","ALT",""))</f>
        <v/>
      </c>
      <c r="AD2299" s="21">
        <f>IF(Y2299&lt;&gt;"",Y2299,IF(U2299&lt;&gt;"",U2299,S2299))</f>
        <v/>
      </c>
      <c r="AE2299" s="21">
        <f>IF(AB2299&lt;&gt;"",AB2299,Z2299)</f>
        <v/>
      </c>
      <c r="AF2299" s="13" t="inlineStr">
        <is>
          <t>OMN Vol2 &gt; OP-5A &gt; PHNSY&amp;IMF &gt; Ship Availability &gt; SSN 698 USS BREMERTON* - DSRA</t>
        </is>
      </c>
      <c r="AG2299" s="7" t="inlineStr">
        <is>
          <t>73</t>
        </is>
      </c>
      <c r="AH2299" s="7" t="inlineStr">
        <is>
          <t>1B4B</t>
        </is>
      </c>
      <c r="AI2299" s="7" t="inlineStr">
        <is>
          <t>PHNSY&amp;IMF</t>
        </is>
      </c>
      <c r="AJ2299" s="7" t="inlineStr">
        <is>
          <t>Ship Availability</t>
        </is>
      </c>
    </row>
    <row r="2300" ht="10" customHeight="1">
      <c r="A2300" s="7" t="inlineStr">
        <is>
          <t>OMN_Vol2</t>
        </is>
      </c>
      <c r="B2300" s="7" t="inlineStr">
        <is>
          <t>O&amp;M</t>
        </is>
      </c>
      <c r="D2300" s="7" t="inlineStr">
        <is>
          <t>SSN 722 USS KEY WEST* - Engineered Overhaul (EOH)</t>
        </is>
      </c>
      <c r="E2300" s="13" t="inlineStr">
        <is>
          <t>[REFERENCE]</t>
        </is>
      </c>
      <c r="I2300" s="14" t="n">
        <v>5</v>
      </c>
      <c r="J2300" s="7" t="inlineStr">
        <is>
          <t>Ship Availability</t>
        </is>
      </c>
      <c r="K2300" s="13" t="inlineStr">
        <is>
          <t>USN</t>
        </is>
      </c>
      <c r="L2300" s="7" t="inlineStr">
        <is>
          <t>Combatant Ships</t>
        </is>
      </c>
      <c r="M2300" s="7" t="inlineStr">
        <is>
          <t>Submarines</t>
        </is>
      </c>
      <c r="N2300" s="7" t="inlineStr">
        <is>
          <t>SSN</t>
        </is>
      </c>
      <c r="O2300" s="15" t="n"/>
      <c r="AC2300" s="23">
        <f>IF(OR(E2300="",E2300="[PARENT]"),"ADD",IF(E2300="[ALT_VIEW]","ALT",""))</f>
        <v/>
      </c>
      <c r="AD2300" s="21">
        <f>IF(Y2300&lt;&gt;"",Y2300,IF(U2300&lt;&gt;"",U2300,S2300))</f>
        <v/>
      </c>
      <c r="AE2300" s="21">
        <f>IF(AB2300&lt;&gt;"",AB2300,Z2300)</f>
        <v/>
      </c>
      <c r="AF2300" s="13" t="inlineStr">
        <is>
          <t>OMN Vol2 &gt; OP-5A &gt; PHNSY&amp;IMF &gt; Ship Availability &gt; SSN 722 USS KEY WEST* - EOH</t>
        </is>
      </c>
      <c r="AG2300" s="7" t="inlineStr">
        <is>
          <t>73</t>
        </is>
      </c>
      <c r="AH2300" s="7" t="inlineStr">
        <is>
          <t>1B4B</t>
        </is>
      </c>
      <c r="AI2300" s="7" t="inlineStr">
        <is>
          <t>PHNSY&amp;IMF</t>
        </is>
      </c>
      <c r="AJ2300" s="7" t="inlineStr">
        <is>
          <t>Ship Availability</t>
        </is>
      </c>
    </row>
    <row r="2301" ht="10" customHeight="1">
      <c r="A2301" s="7" t="inlineStr">
        <is>
          <t>OMN_Vol2</t>
        </is>
      </c>
      <c r="B2301" s="7" t="inlineStr">
        <is>
          <t>O&amp;M</t>
        </is>
      </c>
      <c r="D2301" s="7" t="inlineStr">
        <is>
          <t>SSN 713 USS HOUSTON* - Phased Incremental Repair Availability (PIRA)</t>
        </is>
      </c>
      <c r="E2301" s="13" t="inlineStr">
        <is>
          <t>[REFERENCE]</t>
        </is>
      </c>
      <c r="I2301" s="14" t="n">
        <v>2</v>
      </c>
      <c r="J2301" s="7" t="inlineStr">
        <is>
          <t>Ship Availability</t>
        </is>
      </c>
      <c r="K2301" s="13" t="inlineStr">
        <is>
          <t>USN</t>
        </is>
      </c>
      <c r="L2301" s="7" t="inlineStr">
        <is>
          <t>Combatant Ships</t>
        </is>
      </c>
      <c r="M2301" s="7" t="inlineStr">
        <is>
          <t>Submarines</t>
        </is>
      </c>
      <c r="N2301" s="7" t="inlineStr">
        <is>
          <t>SSN</t>
        </is>
      </c>
      <c r="O2301" s="15" t="n"/>
      <c r="AC2301" s="23">
        <f>IF(OR(E2301="",E2301="[PARENT]"),"ADD",IF(E2301="[ALT_VIEW]","ALT",""))</f>
        <v/>
      </c>
      <c r="AD2301" s="21">
        <f>IF(Y2301&lt;&gt;"",Y2301,IF(U2301&lt;&gt;"",U2301,S2301))</f>
        <v/>
      </c>
      <c r="AE2301" s="21">
        <f>IF(AB2301&lt;&gt;"",AB2301,Z2301)</f>
        <v/>
      </c>
      <c r="AF2301" s="13" t="inlineStr">
        <is>
          <t>OMN Vol2 &gt; OP-5A &gt; PHNSY&amp;IMF &gt; Ship Availability &gt; SSN 713 USS HOUSTON* - PIRA</t>
        </is>
      </c>
      <c r="AG2301" s="7" t="inlineStr">
        <is>
          <t>73</t>
        </is>
      </c>
      <c r="AH2301" s="7" t="inlineStr">
        <is>
          <t>1B4B</t>
        </is>
      </c>
      <c r="AI2301" s="7" t="inlineStr">
        <is>
          <t>PHNSY&amp;IMF</t>
        </is>
      </c>
      <c r="AJ2301" s="7" t="inlineStr">
        <is>
          <t>Ship Availability</t>
        </is>
      </c>
    </row>
    <row r="2302" ht="10" customHeight="1">
      <c r="A2302" s="7" t="inlineStr">
        <is>
          <t>OMN_Vol2</t>
        </is>
      </c>
      <c r="B2302" s="7" t="inlineStr">
        <is>
          <t>O&amp;M</t>
        </is>
      </c>
      <c r="D2302" s="7" t="inlineStr">
        <is>
          <t>SSN 775 USS TEXAS* - Extended Docking Selected Restricted Availability (EDSRA)</t>
        </is>
      </c>
      <c r="E2302" s="13" t="inlineStr">
        <is>
          <t>[REFERENCE]</t>
        </is>
      </c>
      <c r="I2302" s="14" t="n">
        <v>2</v>
      </c>
      <c r="J2302" s="7" t="inlineStr">
        <is>
          <t>Ship Availability</t>
        </is>
      </c>
      <c r="K2302" s="13" t="inlineStr">
        <is>
          <t>USN</t>
        </is>
      </c>
      <c r="L2302" s="7" t="inlineStr">
        <is>
          <t>Combatant Ships</t>
        </is>
      </c>
      <c r="M2302" s="7" t="inlineStr">
        <is>
          <t>Submarines</t>
        </is>
      </c>
      <c r="N2302" s="7" t="inlineStr">
        <is>
          <t>SSN</t>
        </is>
      </c>
      <c r="O2302" s="15" t="n"/>
      <c r="AC2302" s="23">
        <f>IF(OR(E2302="",E2302="[PARENT]"),"ADD",IF(E2302="[ALT_VIEW]","ALT",""))</f>
        <v/>
      </c>
      <c r="AD2302" s="21">
        <f>IF(Y2302&lt;&gt;"",Y2302,IF(U2302&lt;&gt;"",U2302,S2302))</f>
        <v/>
      </c>
      <c r="AE2302" s="21">
        <f>IF(AB2302&lt;&gt;"",AB2302,Z2302)</f>
        <v/>
      </c>
      <c r="AF2302" s="13" t="inlineStr">
        <is>
          <t>OMN Vol2 &gt; OP-5A &gt; PHNSY&amp;IMF &gt; Ship Availability &gt; SSN 775 USS TEXAS* - EDSRA</t>
        </is>
      </c>
      <c r="AG2302" s="7" t="inlineStr">
        <is>
          <t>73</t>
        </is>
      </c>
      <c r="AH2302" s="7" t="inlineStr">
        <is>
          <t>1B4B</t>
        </is>
      </c>
      <c r="AI2302" s="7" t="inlineStr">
        <is>
          <t>PHNSY&amp;IMF</t>
        </is>
      </c>
      <c r="AJ2302" s="7" t="inlineStr">
        <is>
          <t>Ship Availability</t>
        </is>
      </c>
    </row>
    <row r="2303" ht="10" customHeight="1">
      <c r="A2303" s="7" t="inlineStr">
        <is>
          <t>OMN_Vol2</t>
        </is>
      </c>
      <c r="B2303" s="7" t="inlineStr">
        <is>
          <t>O&amp;M</t>
        </is>
      </c>
      <c r="D2303" s="7" t="inlineStr">
        <is>
          <t>SSN 771 USS COLUMBIA* - Docking Selected Restricted Availability (DSRA)</t>
        </is>
      </c>
      <c r="E2303" s="13" t="inlineStr">
        <is>
          <t>[REFERENCE]</t>
        </is>
      </c>
      <c r="I2303" s="14" t="n">
        <v>2</v>
      </c>
      <c r="J2303" s="7" t="inlineStr">
        <is>
          <t>Ship Availability</t>
        </is>
      </c>
      <c r="K2303" s="13" t="inlineStr">
        <is>
          <t>USN</t>
        </is>
      </c>
      <c r="L2303" s="7" t="inlineStr">
        <is>
          <t>Combatant Ships</t>
        </is>
      </c>
      <c r="M2303" s="7" t="inlineStr">
        <is>
          <t>Submarines</t>
        </is>
      </c>
      <c r="N2303" s="7" t="inlineStr">
        <is>
          <t>SSN</t>
        </is>
      </c>
      <c r="O2303" s="15" t="n"/>
      <c r="AC2303" s="23">
        <f>IF(OR(E2303="",E2303="[PARENT]"),"ADD",IF(E2303="[ALT_VIEW]","ALT",""))</f>
        <v/>
      </c>
      <c r="AD2303" s="21">
        <f>IF(Y2303&lt;&gt;"",Y2303,IF(U2303&lt;&gt;"",U2303,S2303))</f>
        <v/>
      </c>
      <c r="AE2303" s="21">
        <f>IF(AB2303&lt;&gt;"",AB2303,Z2303)</f>
        <v/>
      </c>
      <c r="AF2303" s="13" t="inlineStr">
        <is>
          <t>OMN Vol2 &gt; OP-5A &gt; PHNSY&amp;IMF &gt; Ship Availability &gt; SSN 771 USS COLUMBIA* - DSRA</t>
        </is>
      </c>
      <c r="AG2303" s="7" t="inlineStr">
        <is>
          <t>73</t>
        </is>
      </c>
      <c r="AH2303" s="7" t="inlineStr">
        <is>
          <t>1B4B</t>
        </is>
      </c>
      <c r="AI2303" s="7" t="inlineStr">
        <is>
          <t>PHNSY&amp;IMF</t>
        </is>
      </c>
      <c r="AJ2303" s="7" t="inlineStr">
        <is>
          <t>Ship Availability</t>
        </is>
      </c>
    </row>
    <row r="2304" ht="10" customHeight="1">
      <c r="A2304" s="7" t="inlineStr">
        <is>
          <t>OMN_Vol2</t>
        </is>
      </c>
      <c r="B2304" s="7" t="inlineStr">
        <is>
          <t>O&amp;M</t>
        </is>
      </c>
      <c r="D2304" s="7" t="inlineStr">
        <is>
          <t>SSN 715 USS BUFFALO* - Phased Incremental Repair Availability (PIRA)</t>
        </is>
      </c>
      <c r="E2304" s="13" t="inlineStr">
        <is>
          <t>[REFERENCE]</t>
        </is>
      </c>
      <c r="I2304" s="14" t="n">
        <v>2</v>
      </c>
      <c r="J2304" s="7" t="inlineStr">
        <is>
          <t>Ship Availability</t>
        </is>
      </c>
      <c r="K2304" s="13" t="inlineStr">
        <is>
          <t>USN</t>
        </is>
      </c>
      <c r="L2304" s="7" t="inlineStr">
        <is>
          <t>Combatant Ships</t>
        </is>
      </c>
      <c r="M2304" s="7" t="inlineStr">
        <is>
          <t>Submarines</t>
        </is>
      </c>
      <c r="N2304" s="7" t="inlineStr">
        <is>
          <t>SSN</t>
        </is>
      </c>
      <c r="O2304" s="15" t="n"/>
      <c r="AC2304" s="23">
        <f>IF(OR(E2304="",E2304="[PARENT]"),"ADD",IF(E2304="[ALT_VIEW]","ALT",""))</f>
        <v/>
      </c>
      <c r="AD2304" s="21">
        <f>IF(Y2304&lt;&gt;"",Y2304,IF(U2304&lt;&gt;"",U2304,S2304))</f>
        <v/>
      </c>
      <c r="AE2304" s="21">
        <f>IF(AB2304&lt;&gt;"",AB2304,Z2304)</f>
        <v/>
      </c>
      <c r="AF2304" s="13" t="inlineStr">
        <is>
          <t>OMN Vol2 &gt; OP-5A &gt; PHNSY&amp;IMF &gt; Ship Availability &gt; SSN 715 USS BUFFALO* - PIRA</t>
        </is>
      </c>
      <c r="AG2304" s="7" t="inlineStr">
        <is>
          <t>73</t>
        </is>
      </c>
      <c r="AH2304" s="7" t="inlineStr">
        <is>
          <t>1B4B</t>
        </is>
      </c>
      <c r="AI2304" s="7" t="inlineStr">
        <is>
          <t>PHNSY&amp;IMF</t>
        </is>
      </c>
      <c r="AJ2304" s="7" t="inlineStr">
        <is>
          <t>Ship Availability</t>
        </is>
      </c>
    </row>
    <row r="2305" ht="10" customHeight="1">
      <c r="A2305" s="7" t="inlineStr">
        <is>
          <t>OMN_Vol2</t>
        </is>
      </c>
      <c r="B2305" s="7" t="inlineStr">
        <is>
          <t>O&amp;M</t>
        </is>
      </c>
      <c r="D2305" s="7" t="inlineStr">
        <is>
          <t>SSN 773 USS CHEYENNE* - Docking Selected Restricted Availability (DSRA)</t>
        </is>
      </c>
      <c r="E2305" s="13" t="inlineStr">
        <is>
          <t>[REFERENCE]</t>
        </is>
      </c>
      <c r="I2305" s="14" t="n">
        <v>2</v>
      </c>
      <c r="J2305" s="7" t="inlineStr">
        <is>
          <t>Ship Availability</t>
        </is>
      </c>
      <c r="K2305" s="13" t="inlineStr">
        <is>
          <t>USN</t>
        </is>
      </c>
      <c r="L2305" s="7" t="inlineStr">
        <is>
          <t>Combatant Ships</t>
        </is>
      </c>
      <c r="M2305" s="7" t="inlineStr">
        <is>
          <t>Submarines</t>
        </is>
      </c>
      <c r="N2305" s="7" t="inlineStr">
        <is>
          <t>SSN</t>
        </is>
      </c>
      <c r="O2305" s="15" t="n"/>
      <c r="AC2305" s="23">
        <f>IF(OR(E2305="",E2305="[PARENT]"),"ADD",IF(E2305="[ALT_VIEW]","ALT",""))</f>
        <v/>
      </c>
      <c r="AD2305" s="21">
        <f>IF(Y2305&lt;&gt;"",Y2305,IF(U2305&lt;&gt;"",U2305,S2305))</f>
        <v/>
      </c>
      <c r="AE2305" s="21">
        <f>IF(AB2305&lt;&gt;"",AB2305,Z2305)</f>
        <v/>
      </c>
      <c r="AF2305" s="13" t="inlineStr">
        <is>
          <t>OMN Vol2 &gt; OP-5A &gt; PHNSY&amp;IMF &gt; Ship Availability &gt; SSN 773 USS CHEYENNE* - DSRA</t>
        </is>
      </c>
      <c r="AG2305" s="7" t="inlineStr">
        <is>
          <t>73</t>
        </is>
      </c>
      <c r="AH2305" s="7" t="inlineStr">
        <is>
          <t>1B4B</t>
        </is>
      </c>
      <c r="AI2305" s="7" t="inlineStr">
        <is>
          <t>PHNSY&amp;IMF</t>
        </is>
      </c>
      <c r="AJ2305" s="7" t="inlineStr">
        <is>
          <t>Ship Availability</t>
        </is>
      </c>
    </row>
    <row r="2306" ht="10" customHeight="1">
      <c r="A2306" s="7" t="inlineStr">
        <is>
          <t>OMN_Vol2</t>
        </is>
      </c>
      <c r="B2306" s="7" t="inlineStr">
        <is>
          <t>O&amp;M</t>
        </is>
      </c>
      <c r="D2306" s="7" t="inlineStr">
        <is>
          <t>SSN 698 USS BREMERTON* - Docking Selected Restricted Availability (DSRA)</t>
        </is>
      </c>
      <c r="E2306" s="13" t="inlineStr">
        <is>
          <t>[REFERENCE]</t>
        </is>
      </c>
      <c r="I2306" s="14" t="n">
        <v>2</v>
      </c>
      <c r="J2306" s="7" t="inlineStr">
        <is>
          <t>Ship Availability</t>
        </is>
      </c>
      <c r="K2306" s="13" t="inlineStr">
        <is>
          <t>USN</t>
        </is>
      </c>
      <c r="L2306" s="7" t="inlineStr">
        <is>
          <t>Combatant Ships</t>
        </is>
      </c>
      <c r="M2306" s="7" t="inlineStr">
        <is>
          <t>Submarines</t>
        </is>
      </c>
      <c r="N2306" s="7" t="inlineStr">
        <is>
          <t>SSN</t>
        </is>
      </c>
      <c r="O2306" s="15" t="n"/>
      <c r="AC2306" s="23">
        <f>IF(OR(E2306="",E2306="[PARENT]"),"ADD",IF(E2306="[ALT_VIEW]","ALT",""))</f>
        <v/>
      </c>
      <c r="AD2306" s="21">
        <f>IF(Y2306&lt;&gt;"",Y2306,IF(U2306&lt;&gt;"",U2306,S2306))</f>
        <v/>
      </c>
      <c r="AE2306" s="21">
        <f>IF(AB2306&lt;&gt;"",AB2306,Z2306)</f>
        <v/>
      </c>
      <c r="AF2306" s="13" t="inlineStr">
        <is>
          <t>OMN Vol2 &gt; OP-5A &gt; PHNSY&amp;IMF &gt; Ship Availability &gt; SSN 698 USS BREMERTON* - DSRA</t>
        </is>
      </c>
      <c r="AG2306" s="7" t="inlineStr">
        <is>
          <t>73</t>
        </is>
      </c>
      <c r="AH2306" s="7" t="inlineStr">
        <is>
          <t>1B4B</t>
        </is>
      </c>
      <c r="AI2306" s="7" t="inlineStr">
        <is>
          <t>PHNSY&amp;IMF</t>
        </is>
      </c>
      <c r="AJ2306" s="7" t="inlineStr">
        <is>
          <t>Ship Availability</t>
        </is>
      </c>
    </row>
    <row r="2307" ht="10" customHeight="1">
      <c r="A2307" s="7" t="inlineStr">
        <is>
          <t>OMN_Vol2</t>
        </is>
      </c>
      <c r="B2307" s="7" t="inlineStr">
        <is>
          <t>O&amp;M</t>
        </is>
      </c>
      <c r="D2307" s="7" t="inlineStr">
        <is>
          <t>SSN 770 USS TUCSON* - Docking Selected Restricted Availability (DSRA)</t>
        </is>
      </c>
      <c r="E2307" s="13" t="inlineStr">
        <is>
          <t>[REFERENCE]</t>
        </is>
      </c>
      <c r="I2307" s="14" t="n">
        <v>2</v>
      </c>
      <c r="J2307" s="7" t="inlineStr">
        <is>
          <t>Ship Availability</t>
        </is>
      </c>
      <c r="K2307" s="13" t="inlineStr">
        <is>
          <t>USN</t>
        </is>
      </c>
      <c r="L2307" s="7" t="inlineStr">
        <is>
          <t>Combatant Ships</t>
        </is>
      </c>
      <c r="M2307" s="7" t="inlineStr">
        <is>
          <t>Submarines</t>
        </is>
      </c>
      <c r="N2307" s="7" t="inlineStr">
        <is>
          <t>SSN</t>
        </is>
      </c>
      <c r="O2307" s="15" t="n"/>
      <c r="AC2307" s="23">
        <f>IF(OR(E2307="",E2307="[PARENT]"),"ADD",IF(E2307="[ALT_VIEW]","ALT",""))</f>
        <v/>
      </c>
      <c r="AD2307" s="21">
        <f>IF(Y2307&lt;&gt;"",Y2307,IF(U2307&lt;&gt;"",U2307,S2307))</f>
        <v/>
      </c>
      <c r="AE2307" s="21">
        <f>IF(AB2307&lt;&gt;"",AB2307,Z2307)</f>
        <v/>
      </c>
      <c r="AF2307" s="13" t="inlineStr">
        <is>
          <t>OMN Vol2 &gt; OP-5A &gt; PHNSY&amp;IMF &gt; Ship Availability &gt; SSN 770 USS TUCSON* - DSRA</t>
        </is>
      </c>
      <c r="AG2307" s="7" t="inlineStr">
        <is>
          <t>73</t>
        </is>
      </c>
      <c r="AH2307" s="7" t="inlineStr">
        <is>
          <t>1B4B</t>
        </is>
      </c>
      <c r="AI2307" s="7" t="inlineStr">
        <is>
          <t>PHNSY&amp;IMF</t>
        </is>
      </c>
      <c r="AJ2307" s="7" t="inlineStr">
        <is>
          <t>Ship Availability</t>
        </is>
      </c>
    </row>
    <row r="2308" ht="10" customHeight="1">
      <c r="A2308" s="7" t="inlineStr">
        <is>
          <t>OMN_Vol2</t>
        </is>
      </c>
      <c r="B2308" s="7" t="inlineStr">
        <is>
          <t>O&amp;M</t>
        </is>
      </c>
      <c r="D2308" s="7" t="inlineStr">
        <is>
          <t>SSN 717 USS OLYMPIA* - Docking Selected Restricted Availability (DSRA)</t>
        </is>
      </c>
      <c r="E2308" s="13" t="inlineStr">
        <is>
          <t>[REFERENCE]</t>
        </is>
      </c>
      <c r="I2308" s="14" t="n">
        <v>2</v>
      </c>
      <c r="J2308" s="7" t="inlineStr">
        <is>
          <t>Ship Availability</t>
        </is>
      </c>
      <c r="K2308" s="13" t="inlineStr">
        <is>
          <t>USN</t>
        </is>
      </c>
      <c r="L2308" s="7" t="inlineStr">
        <is>
          <t>Combatant Ships</t>
        </is>
      </c>
      <c r="M2308" s="7" t="inlineStr">
        <is>
          <t>Submarines</t>
        </is>
      </c>
      <c r="N2308" s="7" t="inlineStr">
        <is>
          <t>SSN</t>
        </is>
      </c>
      <c r="O2308" s="15" t="n"/>
      <c r="AC2308" s="23">
        <f>IF(OR(E2308="",E2308="[PARENT]"),"ADD",IF(E2308="[ALT_VIEW]","ALT",""))</f>
        <v/>
      </c>
      <c r="AD2308" s="21">
        <f>IF(Y2308&lt;&gt;"",Y2308,IF(U2308&lt;&gt;"",U2308,S2308))</f>
        <v/>
      </c>
      <c r="AE2308" s="21">
        <f>IF(AB2308&lt;&gt;"",AB2308,Z2308)</f>
        <v/>
      </c>
      <c r="AF2308" s="13" t="inlineStr">
        <is>
          <t>OMN Vol2 &gt; OP-5A &gt; PHNSY&amp;IMF &gt; Ship Availability &gt; SSN 717 USS OLYMPIA* - DSRA</t>
        </is>
      </c>
      <c r="AG2308" s="7" t="inlineStr">
        <is>
          <t>73</t>
        </is>
      </c>
      <c r="AH2308" s="7" t="inlineStr">
        <is>
          <t>1B4B</t>
        </is>
      </c>
      <c r="AI2308" s="7" t="inlineStr">
        <is>
          <t>PHNSY&amp;IMF</t>
        </is>
      </c>
      <c r="AJ2308" s="7" t="inlineStr">
        <is>
          <t>Ship Availability</t>
        </is>
      </c>
    </row>
    <row r="2309" ht="10" customHeight="1">
      <c r="A2309" s="7" t="inlineStr">
        <is>
          <t>OMN_Vol2</t>
        </is>
      </c>
      <c r="B2309" s="7" t="inlineStr">
        <is>
          <t>O&amp;M</t>
        </is>
      </c>
      <c r="D2309" s="7" t="inlineStr">
        <is>
          <t>SSN 721 USS CHICAGO* - Docking Selected Restricted Availability (DSRA)</t>
        </is>
      </c>
      <c r="E2309" s="13" t="inlineStr">
        <is>
          <t>[REFERENCE]</t>
        </is>
      </c>
      <c r="I2309" s="14" t="n">
        <v>2</v>
      </c>
      <c r="J2309" s="7" t="inlineStr">
        <is>
          <t>Ship Availability</t>
        </is>
      </c>
      <c r="K2309" s="13" t="inlineStr">
        <is>
          <t>USN</t>
        </is>
      </c>
      <c r="L2309" s="7" t="inlineStr">
        <is>
          <t>Combatant Ships</t>
        </is>
      </c>
      <c r="M2309" s="7" t="inlineStr">
        <is>
          <t>Submarines</t>
        </is>
      </c>
      <c r="N2309" s="7" t="inlineStr">
        <is>
          <t>SSN</t>
        </is>
      </c>
      <c r="O2309" s="15" t="n"/>
      <c r="AC2309" s="23">
        <f>IF(OR(E2309="",E2309="[PARENT]"),"ADD",IF(E2309="[ALT_VIEW]","ALT",""))</f>
        <v/>
      </c>
      <c r="AD2309" s="21">
        <f>IF(Y2309&lt;&gt;"",Y2309,IF(U2309&lt;&gt;"",U2309,S2309))</f>
        <v/>
      </c>
      <c r="AE2309" s="21">
        <f>IF(AB2309&lt;&gt;"",AB2309,Z2309)</f>
        <v/>
      </c>
      <c r="AF2309" s="13" t="inlineStr">
        <is>
          <t>OMN Vol2 &gt; OP-5A &gt; PHNSY&amp;IMF &gt; Ship Availability &gt; SSN 721 USS CHICAGO* - DSRA</t>
        </is>
      </c>
      <c r="AG2309" s="7" t="inlineStr">
        <is>
          <t>73</t>
        </is>
      </c>
      <c r="AH2309" s="7" t="inlineStr">
        <is>
          <t>1B4B</t>
        </is>
      </c>
      <c r="AI2309" s="7" t="inlineStr">
        <is>
          <t>PHNSY&amp;IMF</t>
        </is>
      </c>
      <c r="AJ2309" s="7" t="inlineStr">
        <is>
          <t>Ship Availability</t>
        </is>
      </c>
    </row>
    <row r="2310" ht="10" customHeight="1">
      <c r="A2310" s="7" t="inlineStr">
        <is>
          <t>OMN_Vol2</t>
        </is>
      </c>
      <c r="B2310" s="7" t="inlineStr">
        <is>
          <t>O&amp;M</t>
        </is>
      </c>
      <c r="D2310" s="7" t="inlineStr">
        <is>
          <t>SSN 766 USS CHARLOTTE* - Engineered Overhaul (EOH)</t>
        </is>
      </c>
      <c r="E2310" s="13" t="inlineStr">
        <is>
          <t>[REFERENCE]</t>
        </is>
      </c>
      <c r="I2310" s="14" t="n">
        <v>5</v>
      </c>
      <c r="J2310" s="7" t="inlineStr">
        <is>
          <t>Ship Availability</t>
        </is>
      </c>
      <c r="K2310" s="13" t="inlineStr">
        <is>
          <t>USN</t>
        </is>
      </c>
      <c r="L2310" s="7" t="inlineStr">
        <is>
          <t>Combatant Ships</t>
        </is>
      </c>
      <c r="M2310" s="7" t="inlineStr">
        <is>
          <t>Submarines</t>
        </is>
      </c>
      <c r="N2310" s="7" t="inlineStr">
        <is>
          <t>SSN</t>
        </is>
      </c>
      <c r="O2310" s="15" t="n"/>
      <c r="AC2310" s="23">
        <f>IF(OR(E2310="",E2310="[PARENT]"),"ADD",IF(E2310="[ALT_VIEW]","ALT",""))</f>
        <v/>
      </c>
      <c r="AD2310" s="21">
        <f>IF(Y2310&lt;&gt;"",Y2310,IF(U2310&lt;&gt;"",U2310,S2310))</f>
        <v/>
      </c>
      <c r="AE2310" s="21">
        <f>IF(AB2310&lt;&gt;"",AB2310,Z2310)</f>
        <v/>
      </c>
      <c r="AF2310" s="13" t="inlineStr">
        <is>
          <t>OMN Vol2 &gt; OP-5A &gt; PHNSY&amp;IMF &gt; Ship Availability &gt; SSN 766 USS CHARLOTTE* - EOH</t>
        </is>
      </c>
      <c r="AG2310" s="7" t="inlineStr">
        <is>
          <t>73</t>
        </is>
      </c>
      <c r="AH2310" s="7" t="inlineStr">
        <is>
          <t>1B4B</t>
        </is>
      </c>
      <c r="AI2310" s="7" t="inlineStr">
        <is>
          <t>PHNSY&amp;IMF</t>
        </is>
      </c>
      <c r="AJ2310" s="7" t="inlineStr">
        <is>
          <t>Ship Availability</t>
        </is>
      </c>
    </row>
    <row r="2311" ht="10" customHeight="1">
      <c r="A2311" s="7" t="inlineStr">
        <is>
          <t>OMN_Vol2</t>
        </is>
      </c>
      <c r="B2311" s="7" t="inlineStr">
        <is>
          <t>O&amp;M</t>
        </is>
      </c>
      <c r="D2311" s="7" t="inlineStr">
        <is>
          <t>SSN 776 USS HAWAII - Docking Maintenance Period (DMP)</t>
        </is>
      </c>
      <c r="E2311" s="13" t="inlineStr">
        <is>
          <t>[REFERENCE]</t>
        </is>
      </c>
      <c r="I2311" s="14" t="n">
        <v>2</v>
      </c>
      <c r="J2311" s="7" t="inlineStr">
        <is>
          <t>Ship Availability</t>
        </is>
      </c>
      <c r="K2311" s="13" t="inlineStr">
        <is>
          <t>USN</t>
        </is>
      </c>
      <c r="L2311" s="7" t="inlineStr">
        <is>
          <t>Combatant Ships</t>
        </is>
      </c>
      <c r="M2311" s="7" t="inlineStr">
        <is>
          <t>Submarines</t>
        </is>
      </c>
      <c r="N2311" s="7" t="inlineStr">
        <is>
          <t>SSN</t>
        </is>
      </c>
      <c r="O2311" s="15" t="n"/>
      <c r="AC2311" s="23">
        <f>IF(OR(E2311="",E2311="[PARENT]"),"ADD",IF(E2311="[ALT_VIEW]","ALT",""))</f>
        <v/>
      </c>
      <c r="AD2311" s="21">
        <f>IF(Y2311&lt;&gt;"",Y2311,IF(U2311&lt;&gt;"",U2311,S2311))</f>
        <v/>
      </c>
      <c r="AE2311" s="21">
        <f>IF(AB2311&lt;&gt;"",AB2311,Z2311)</f>
        <v/>
      </c>
      <c r="AF2311" s="13" t="inlineStr">
        <is>
          <t>OMN Vol2 &gt; OP-5A &gt; PHNSY&amp;IMF &gt; Ship Availability &gt; SSN 776 USS HAWAII - DMP</t>
        </is>
      </c>
      <c r="AG2311" s="7" t="inlineStr">
        <is>
          <t>73</t>
        </is>
      </c>
      <c r="AH2311" s="7" t="inlineStr">
        <is>
          <t>1B4B</t>
        </is>
      </c>
      <c r="AI2311" s="7" t="inlineStr">
        <is>
          <t>PHNSY&amp;IMF</t>
        </is>
      </c>
      <c r="AJ2311" s="7" t="inlineStr">
        <is>
          <t>Ship Availability</t>
        </is>
      </c>
    </row>
    <row r="2312" ht="10" customHeight="1">
      <c r="A2312" s="7" t="inlineStr">
        <is>
          <t>OMN_Vol2</t>
        </is>
      </c>
      <c r="B2312" s="7" t="inlineStr">
        <is>
          <t>O&amp;M</t>
        </is>
      </c>
      <c r="D2312" s="7" t="inlineStr">
        <is>
          <t>SSN 783 USS MINNESOTA - Extended Docking Selected Restricted Availability (EDSRA)</t>
        </is>
      </c>
      <c r="E2312" s="13" t="inlineStr">
        <is>
          <t>[REFERENCE]</t>
        </is>
      </c>
      <c r="I2312" s="14" t="n">
        <v>2</v>
      </c>
      <c r="J2312" s="7" t="inlineStr">
        <is>
          <t>Ship Availability</t>
        </is>
      </c>
      <c r="K2312" s="13" t="inlineStr">
        <is>
          <t>USN</t>
        </is>
      </c>
      <c r="L2312" s="7" t="inlineStr">
        <is>
          <t>Combatant Ships</t>
        </is>
      </c>
      <c r="M2312" s="7" t="inlineStr">
        <is>
          <t>Submarines</t>
        </is>
      </c>
      <c r="N2312" s="7" t="inlineStr">
        <is>
          <t>SSN</t>
        </is>
      </c>
      <c r="O2312" s="15" t="n"/>
      <c r="AC2312" s="23">
        <f>IF(OR(E2312="",E2312="[PARENT]"),"ADD",IF(E2312="[ALT_VIEW]","ALT",""))</f>
        <v/>
      </c>
      <c r="AD2312" s="21">
        <f>IF(Y2312&lt;&gt;"",Y2312,IF(U2312&lt;&gt;"",U2312,S2312))</f>
        <v/>
      </c>
      <c r="AE2312" s="21">
        <f>IF(AB2312&lt;&gt;"",AB2312,Z2312)</f>
        <v/>
      </c>
      <c r="AF2312" s="13" t="inlineStr">
        <is>
          <t>OMN Vol2 &gt; OP-5A &gt; PHNSY&amp;IMF &gt; Ship Availability &gt; SSN 783 USS MINNESOTA - EDSRA</t>
        </is>
      </c>
      <c r="AG2312" s="7" t="inlineStr">
        <is>
          <t>73</t>
        </is>
      </c>
      <c r="AH2312" s="7" t="inlineStr">
        <is>
          <t>1B4B</t>
        </is>
      </c>
      <c r="AI2312" s="7" t="inlineStr">
        <is>
          <t>PHNSY&amp;IMF</t>
        </is>
      </c>
      <c r="AJ2312" s="7" t="inlineStr">
        <is>
          <t>Ship Availability</t>
        </is>
      </c>
    </row>
    <row r="2313" ht="10" customHeight="1">
      <c r="A2313" s="7" t="inlineStr">
        <is>
          <t>OMN_Vol2</t>
        </is>
      </c>
      <c r="B2313" s="7" t="inlineStr">
        <is>
          <t>O&amp;M</t>
        </is>
      </c>
      <c r="D2313" s="7" t="inlineStr">
        <is>
          <t>SSN 786 USS ILLINOIS - Extended Docking Selected Restricted Availability (EDSRA)</t>
        </is>
      </c>
      <c r="E2313" s="13" t="inlineStr">
        <is>
          <t>[REFERENCE]</t>
        </is>
      </c>
      <c r="I2313" s="14" t="n">
        <v>2</v>
      </c>
      <c r="J2313" s="7" t="inlineStr">
        <is>
          <t>Ship Availability</t>
        </is>
      </c>
      <c r="K2313" s="13" t="inlineStr">
        <is>
          <t>USN</t>
        </is>
      </c>
      <c r="L2313" s="7" t="inlineStr">
        <is>
          <t>Combatant Ships</t>
        </is>
      </c>
      <c r="M2313" s="7" t="inlineStr">
        <is>
          <t>Submarines</t>
        </is>
      </c>
      <c r="N2313" s="7" t="inlineStr">
        <is>
          <t>SSN</t>
        </is>
      </c>
      <c r="O2313" s="15" t="n"/>
      <c r="AC2313" s="23">
        <f>IF(OR(E2313="",E2313="[PARENT]"),"ADD",IF(E2313="[ALT_VIEW]","ALT",""))</f>
        <v/>
      </c>
      <c r="AD2313" s="21">
        <f>IF(Y2313&lt;&gt;"",Y2313,IF(U2313&lt;&gt;"",U2313,S2313))</f>
        <v/>
      </c>
      <c r="AE2313" s="21">
        <f>IF(AB2313&lt;&gt;"",AB2313,Z2313)</f>
        <v/>
      </c>
      <c r="AF2313" s="13" t="inlineStr">
        <is>
          <t>OMN Vol2 &gt; OP-5A &gt; PHNSY&amp;IMF &gt; Ship Availability &gt; SSN 786 USS ILLINOIS - EDSRA</t>
        </is>
      </c>
      <c r="AG2313" s="7" t="inlineStr">
        <is>
          <t>73</t>
        </is>
      </c>
      <c r="AH2313" s="7" t="inlineStr">
        <is>
          <t>1B4B</t>
        </is>
      </c>
      <c r="AI2313" s="7" t="inlineStr">
        <is>
          <t>PHNSY&amp;IMF</t>
        </is>
      </c>
      <c r="AJ2313" s="7" t="inlineStr">
        <is>
          <t>Ship Availability</t>
        </is>
      </c>
    </row>
    <row r="2314" ht="10" customHeight="1">
      <c r="A2314" s="7" t="inlineStr">
        <is>
          <t>OMN_Vol2</t>
        </is>
      </c>
      <c r="B2314" s="7" t="inlineStr">
        <is>
          <t>O&amp;M</t>
        </is>
      </c>
      <c r="D2314" s="7" t="inlineStr">
        <is>
          <t>SSN 771 USS COLUMBIA - Docking Continuous Maintenance Availability (DCMAV)</t>
        </is>
      </c>
      <c r="E2314" s="13" t="inlineStr">
        <is>
          <t>[REFERENCE]</t>
        </is>
      </c>
      <c r="I2314" s="14" t="n">
        <v>3</v>
      </c>
      <c r="J2314" s="7" t="inlineStr">
        <is>
          <t>Ship Availability</t>
        </is>
      </c>
      <c r="K2314" s="13" t="inlineStr">
        <is>
          <t>USN</t>
        </is>
      </c>
      <c r="L2314" s="7" t="inlineStr">
        <is>
          <t>Combatant Ships</t>
        </is>
      </c>
      <c r="M2314" s="7" t="inlineStr">
        <is>
          <t>Submarines</t>
        </is>
      </c>
      <c r="N2314" s="7" t="inlineStr">
        <is>
          <t>SSN</t>
        </is>
      </c>
      <c r="O2314" s="15" t="n"/>
      <c r="AC2314" s="23">
        <f>IF(OR(E2314="",E2314="[PARENT]"),"ADD",IF(E2314="[ALT_VIEW]","ALT",""))</f>
        <v/>
      </c>
      <c r="AD2314" s="21">
        <f>IF(Y2314&lt;&gt;"",Y2314,IF(U2314&lt;&gt;"",U2314,S2314))</f>
        <v/>
      </c>
      <c r="AE2314" s="21">
        <f>IF(AB2314&lt;&gt;"",AB2314,Z2314)</f>
        <v/>
      </c>
      <c r="AF2314" s="13" t="inlineStr">
        <is>
          <t>OMN Vol2 &gt; OP-5A &gt; PHNSY&amp;IMF &gt; Ship Availability &gt; SSN 771 USS COLUMBIA - DCMAV</t>
        </is>
      </c>
      <c r="AG2314" s="7" t="inlineStr">
        <is>
          <t>73</t>
        </is>
      </c>
      <c r="AH2314" s="7" t="inlineStr">
        <is>
          <t>1B4B</t>
        </is>
      </c>
      <c r="AI2314" s="7" t="inlineStr">
        <is>
          <t>PHNSY&amp;IMF</t>
        </is>
      </c>
      <c r="AJ2314" s="7" t="inlineStr">
        <is>
          <t>Ship Availability</t>
        </is>
      </c>
    </row>
    <row r="2315" ht="10" customHeight="1">
      <c r="A2315" s="7" t="inlineStr">
        <is>
          <t>OMN_Vol2</t>
        </is>
      </c>
      <c r="B2315" s="7" t="inlineStr">
        <is>
          <t>O&amp;M</t>
        </is>
      </c>
      <c r="D2315" s="7" t="inlineStr">
        <is>
          <t>SSN 777 USS NORTH CAROLINA - Docking Maintenance Period (DMP)</t>
        </is>
      </c>
      <c r="E2315" s="13" t="inlineStr">
        <is>
          <t>[REFERENCE]</t>
        </is>
      </c>
      <c r="I2315" s="14" t="n">
        <v>2</v>
      </c>
      <c r="J2315" s="7" t="inlineStr">
        <is>
          <t>Ship Availability</t>
        </is>
      </c>
      <c r="K2315" s="13" t="inlineStr">
        <is>
          <t>USN</t>
        </is>
      </c>
      <c r="L2315" s="7" t="inlineStr">
        <is>
          <t>Combatant Ships</t>
        </is>
      </c>
      <c r="M2315" s="7" t="inlineStr">
        <is>
          <t>Submarines</t>
        </is>
      </c>
      <c r="N2315" s="7" t="inlineStr">
        <is>
          <t>SSN</t>
        </is>
      </c>
      <c r="O2315" s="15" t="n"/>
      <c r="AC2315" s="23">
        <f>IF(OR(E2315="",E2315="[PARENT]"),"ADD",IF(E2315="[ALT_VIEW]","ALT",""))</f>
        <v/>
      </c>
      <c r="AD2315" s="21">
        <f>IF(Y2315&lt;&gt;"",Y2315,IF(U2315&lt;&gt;"",U2315,S2315))</f>
        <v/>
      </c>
      <c r="AE2315" s="21">
        <f>IF(AB2315&lt;&gt;"",AB2315,Z2315)</f>
        <v/>
      </c>
      <c r="AF2315" s="13" t="inlineStr">
        <is>
          <t>OMN Vol2 &gt; OP-5A &gt; PHNSY&amp;IMF &gt; Ship Availability &gt; SSN 777 USS NORTH CAROLINA - DMP</t>
        </is>
      </c>
      <c r="AG2315" s="7" t="inlineStr">
        <is>
          <t>73</t>
        </is>
      </c>
      <c r="AH2315" s="7" t="inlineStr">
        <is>
          <t>1B4B</t>
        </is>
      </c>
      <c r="AI2315" s="7" t="inlineStr">
        <is>
          <t>PHNSY&amp;IMF</t>
        </is>
      </c>
      <c r="AJ2315" s="7" t="inlineStr">
        <is>
          <t>Ship Availability</t>
        </is>
      </c>
    </row>
    <row r="2316" ht="10" customHeight="1">
      <c r="A2316" s="7" t="inlineStr">
        <is>
          <t>OMN_Vol2</t>
        </is>
      </c>
      <c r="B2316" s="7" t="inlineStr">
        <is>
          <t>O&amp;M</t>
        </is>
      </c>
      <c r="D2316" s="7" t="inlineStr">
        <is>
          <t>SSN 788 USS COLORADO - Extended Docking Selected Restricted Availability (EDSRA)</t>
        </is>
      </c>
      <c r="E2316" s="13" t="inlineStr">
        <is>
          <t>[REFERENCE]</t>
        </is>
      </c>
      <c r="I2316" s="14" t="n">
        <v>2</v>
      </c>
      <c r="J2316" s="7" t="inlineStr">
        <is>
          <t>Ship Availability</t>
        </is>
      </c>
      <c r="K2316" s="13" t="inlineStr">
        <is>
          <t>USN</t>
        </is>
      </c>
      <c r="L2316" s="7" t="inlineStr">
        <is>
          <t>Combatant Ships</t>
        </is>
      </c>
      <c r="M2316" s="7" t="inlineStr">
        <is>
          <t>Submarines</t>
        </is>
      </c>
      <c r="N2316" s="7" t="inlineStr">
        <is>
          <t>SSN</t>
        </is>
      </c>
      <c r="O2316" s="15" t="n"/>
      <c r="AC2316" s="23">
        <f>IF(OR(E2316="",E2316="[PARENT]"),"ADD",IF(E2316="[ALT_VIEW]","ALT",""))</f>
        <v/>
      </c>
      <c r="AD2316" s="21">
        <f>IF(Y2316&lt;&gt;"",Y2316,IF(U2316&lt;&gt;"",U2316,S2316))</f>
        <v/>
      </c>
      <c r="AE2316" s="21">
        <f>IF(AB2316&lt;&gt;"",AB2316,Z2316)</f>
        <v/>
      </c>
      <c r="AF2316" s="13" t="inlineStr">
        <is>
          <t>OMN Vol2 &gt; OP-5A &gt; PHNSY&amp;IMF &gt; Ship Availability &gt; SSN 788 USS COLORADO - EDSRA</t>
        </is>
      </c>
      <c r="AG2316" s="7" t="inlineStr">
        <is>
          <t>73</t>
        </is>
      </c>
      <c r="AH2316" s="7" t="inlineStr">
        <is>
          <t>1B4B</t>
        </is>
      </c>
      <c r="AI2316" s="7" t="inlineStr">
        <is>
          <t>PHNSY&amp;IMF</t>
        </is>
      </c>
      <c r="AJ2316" s="7" t="inlineStr">
        <is>
          <t>Ship Availability</t>
        </is>
      </c>
    </row>
    <row r="2317" ht="10" customHeight="1">
      <c r="A2317" s="7" t="inlineStr">
        <is>
          <t>OMN_Vol2</t>
        </is>
      </c>
      <c r="B2317" s="7" t="inlineStr">
        <is>
          <t>O&amp;M</t>
        </is>
      </c>
      <c r="D2317" s="7" t="inlineStr">
        <is>
          <t>DDG 70 USS HOPPER - Selected Restricted Availability (SRA)</t>
        </is>
      </c>
      <c r="E2317" s="13" t="inlineStr">
        <is>
          <t>[REFERENCE]</t>
        </is>
      </c>
      <c r="I2317" s="14" t="n">
        <v>2</v>
      </c>
      <c r="J2317" s="7" t="inlineStr">
        <is>
          <t>Ship Availability</t>
        </is>
      </c>
      <c r="K2317" s="13" t="inlineStr">
        <is>
          <t>USN</t>
        </is>
      </c>
      <c r="L2317" s="7" t="inlineStr">
        <is>
          <t>Combatant Ships</t>
        </is>
      </c>
      <c r="M2317" s="7" t="inlineStr">
        <is>
          <t>Surface Combatants</t>
        </is>
      </c>
      <c r="N2317" s="7" t="inlineStr">
        <is>
          <t>DDG</t>
        </is>
      </c>
      <c r="O2317" s="15" t="n"/>
      <c r="AC2317" s="23">
        <f>IF(OR(E2317="",E2317="[PARENT]"),"ADD",IF(E2317="[ALT_VIEW]","ALT",""))</f>
        <v/>
      </c>
      <c r="AD2317" s="21">
        <f>IF(Y2317&lt;&gt;"",Y2317,IF(U2317&lt;&gt;"",U2317,S2317))</f>
        <v/>
      </c>
      <c r="AE2317" s="21">
        <f>IF(AB2317&lt;&gt;"",AB2317,Z2317)</f>
        <v/>
      </c>
      <c r="AF2317" s="13" t="inlineStr">
        <is>
          <t>OMN Vol2 &gt; OP-5A &gt; PHNSY&amp;IMF &gt; Ship Availability &gt; DDG 70 USS HOPPER - SRA</t>
        </is>
      </c>
      <c r="AG2317" s="7" t="inlineStr">
        <is>
          <t>73</t>
        </is>
      </c>
      <c r="AH2317" s="7" t="inlineStr">
        <is>
          <t>1B4B</t>
        </is>
      </c>
      <c r="AI2317" s="7" t="inlineStr">
        <is>
          <t>PHNSY&amp;IMF</t>
        </is>
      </c>
      <c r="AJ2317" s="7" t="inlineStr">
        <is>
          <t>Ship Availability</t>
        </is>
      </c>
    </row>
    <row r="2318" ht="10" customHeight="1">
      <c r="A2318" s="7" t="inlineStr">
        <is>
          <t>OMN_Vol2</t>
        </is>
      </c>
      <c r="B2318" s="7" t="inlineStr">
        <is>
          <t>O&amp;M</t>
        </is>
      </c>
      <c r="D2318" s="7" t="inlineStr">
        <is>
          <t>SSN 789 USS INDIANA - Extended Docking Selected Restricted Availability (EDSRA)</t>
        </is>
      </c>
      <c r="E2318" s="13" t="inlineStr">
        <is>
          <t>[REFERENCE]</t>
        </is>
      </c>
      <c r="I2318" s="14" t="n">
        <v>2</v>
      </c>
      <c r="J2318" s="7" t="inlineStr">
        <is>
          <t>Ship Availability</t>
        </is>
      </c>
      <c r="K2318" s="13" t="inlineStr">
        <is>
          <t>USN</t>
        </is>
      </c>
      <c r="L2318" s="7" t="inlineStr">
        <is>
          <t>Combatant Ships</t>
        </is>
      </c>
      <c r="M2318" s="7" t="inlineStr">
        <is>
          <t>Submarines</t>
        </is>
      </c>
      <c r="N2318" s="7" t="inlineStr">
        <is>
          <t>SSN</t>
        </is>
      </c>
      <c r="O2318" s="15" t="n"/>
      <c r="AC2318" s="23">
        <f>IF(OR(E2318="",E2318="[PARENT]"),"ADD",IF(E2318="[ALT_VIEW]","ALT",""))</f>
        <v/>
      </c>
      <c r="AD2318" s="21">
        <f>IF(Y2318&lt;&gt;"",Y2318,IF(U2318&lt;&gt;"",U2318,S2318))</f>
        <v/>
      </c>
      <c r="AE2318" s="21">
        <f>IF(AB2318&lt;&gt;"",AB2318,Z2318)</f>
        <v/>
      </c>
      <c r="AF2318" s="13" t="inlineStr">
        <is>
          <t>OMN Vol2 &gt; OP-5A &gt; PHNSY&amp;IMF &gt; Ship Availability &gt; SSN 789 USS INDIANA - EDSRA</t>
        </is>
      </c>
      <c r="AG2318" s="7" t="inlineStr">
        <is>
          <t>73</t>
        </is>
      </c>
      <c r="AH2318" s="7" t="inlineStr">
        <is>
          <t>1B4B</t>
        </is>
      </c>
      <c r="AI2318" s="7" t="inlineStr">
        <is>
          <t>PHNSY&amp;IMF</t>
        </is>
      </c>
      <c r="AJ2318" s="7" t="inlineStr">
        <is>
          <t>Ship Availability</t>
        </is>
      </c>
    </row>
    <row r="2319" ht="10" customHeight="1">
      <c r="A2319" s="7" t="inlineStr">
        <is>
          <t>OMN_Vol2</t>
        </is>
      </c>
      <c r="B2319" s="7" t="inlineStr">
        <is>
          <t>O&amp;M</t>
        </is>
      </c>
      <c r="D2319" s="7" t="inlineStr">
        <is>
          <t>SSN 776 USS HAWAII - Continuous Maintenance Availability (CMAV)</t>
        </is>
      </c>
      <c r="E2319" s="13" t="inlineStr">
        <is>
          <t>[REFERENCE]</t>
        </is>
      </c>
      <c r="I2319" s="14" t="n">
        <v>3</v>
      </c>
      <c r="J2319" s="7" t="inlineStr">
        <is>
          <t>Ship Availability</t>
        </is>
      </c>
      <c r="K2319" s="13" t="inlineStr">
        <is>
          <t>USN</t>
        </is>
      </c>
      <c r="L2319" s="7" t="inlineStr">
        <is>
          <t>Combatant Ships</t>
        </is>
      </c>
      <c r="M2319" s="7" t="inlineStr">
        <is>
          <t>Submarines</t>
        </is>
      </c>
      <c r="N2319" s="7" t="inlineStr">
        <is>
          <t>SSN</t>
        </is>
      </c>
      <c r="O2319" s="15" t="n"/>
      <c r="AC2319" s="23">
        <f>IF(OR(E2319="",E2319="[PARENT]"),"ADD",IF(E2319="[ALT_VIEW]","ALT",""))</f>
        <v/>
      </c>
      <c r="AD2319" s="21">
        <f>IF(Y2319&lt;&gt;"",Y2319,IF(U2319&lt;&gt;"",U2319,S2319))</f>
        <v/>
      </c>
      <c r="AE2319" s="21">
        <f>IF(AB2319&lt;&gt;"",AB2319,Z2319)</f>
        <v/>
      </c>
      <c r="AF2319" s="13" t="inlineStr">
        <is>
          <t>OMN Vol2 &gt; OP-5A &gt; PHNSY&amp;IMF &gt; Ship Availability &gt; SSN 776 USS HAWAII - CMAV</t>
        </is>
      </c>
      <c r="AG2319" s="7" t="inlineStr">
        <is>
          <t>73</t>
        </is>
      </c>
      <c r="AH2319" s="7" t="inlineStr">
        <is>
          <t>1B4B</t>
        </is>
      </c>
      <c r="AI2319" s="7" t="inlineStr">
        <is>
          <t>PHNSY&amp;IMF</t>
        </is>
      </c>
      <c r="AJ2319" s="7" t="inlineStr">
        <is>
          <t>Ship Availability</t>
        </is>
      </c>
    </row>
    <row r="2320" ht="10" customHeight="1">
      <c r="A2320" s="7" t="inlineStr">
        <is>
          <t>OMN_Vol2</t>
        </is>
      </c>
      <c r="B2320" s="7" t="inlineStr">
        <is>
          <t>O&amp;M</t>
        </is>
      </c>
      <c r="D2320" s="7" t="inlineStr">
        <is>
          <t>SSN 780 USS MISSOURI - Docking Maintenance Period (DMP)</t>
        </is>
      </c>
      <c r="E2320" s="13" t="inlineStr">
        <is>
          <t>[REFERENCE]</t>
        </is>
      </c>
      <c r="I2320" s="14" t="n">
        <v>2</v>
      </c>
      <c r="J2320" s="7" t="inlineStr">
        <is>
          <t>Ship Availability</t>
        </is>
      </c>
      <c r="K2320" s="13" t="inlineStr">
        <is>
          <t>USN</t>
        </is>
      </c>
      <c r="L2320" s="7" t="inlineStr">
        <is>
          <t>Combatant Ships</t>
        </is>
      </c>
      <c r="M2320" s="7" t="inlineStr">
        <is>
          <t>Submarines</t>
        </is>
      </c>
      <c r="N2320" s="7" t="inlineStr">
        <is>
          <t>SSN</t>
        </is>
      </c>
      <c r="O2320" s="15" t="n"/>
      <c r="AC2320" s="23">
        <f>IF(OR(E2320="",E2320="[PARENT]"),"ADD",IF(E2320="[ALT_VIEW]","ALT",""))</f>
        <v/>
      </c>
      <c r="AD2320" s="21">
        <f>IF(Y2320&lt;&gt;"",Y2320,IF(U2320&lt;&gt;"",U2320,S2320))</f>
        <v/>
      </c>
      <c r="AE2320" s="21">
        <f>IF(AB2320&lt;&gt;"",AB2320,Z2320)</f>
        <v/>
      </c>
      <c r="AF2320" s="13" t="inlineStr">
        <is>
          <t>OMN Vol2 &gt; OP-5A &gt; PHNSY&amp;IMF &gt; Ship Availability &gt; SSN 780 USS MISSOURI - DMP</t>
        </is>
      </c>
      <c r="AG2320" s="7" t="inlineStr">
        <is>
          <t>73</t>
        </is>
      </c>
      <c r="AH2320" s="7" t="inlineStr">
        <is>
          <t>1B4B</t>
        </is>
      </c>
      <c r="AI2320" s="7" t="inlineStr">
        <is>
          <t>PHNSY&amp;IMF</t>
        </is>
      </c>
      <c r="AJ2320" s="7" t="inlineStr">
        <is>
          <t>Ship Availability</t>
        </is>
      </c>
    </row>
    <row r="2321" ht="10" customHeight="1">
      <c r="A2321" s="7" t="inlineStr">
        <is>
          <t>OMN_Vol2</t>
        </is>
      </c>
      <c r="B2321" s="7" t="inlineStr">
        <is>
          <t>O&amp;M</t>
        </is>
      </c>
      <c r="D2321" s="7" t="inlineStr">
        <is>
          <t>SSN 761 USS SPRINGFIELD - Docking Selected Restricted Availability (DSRA)</t>
        </is>
      </c>
      <c r="E2321" s="13" t="inlineStr">
        <is>
          <t>[REFERENCE]</t>
        </is>
      </c>
      <c r="I2321" s="14" t="n">
        <v>2</v>
      </c>
      <c r="J2321" s="7" t="inlineStr">
        <is>
          <t>Ship Availability</t>
        </is>
      </c>
      <c r="K2321" s="13" t="inlineStr">
        <is>
          <t>USN</t>
        </is>
      </c>
      <c r="L2321" s="7" t="inlineStr">
        <is>
          <t>Combatant Ships</t>
        </is>
      </c>
      <c r="M2321" s="7" t="inlineStr">
        <is>
          <t>Submarines</t>
        </is>
      </c>
      <c r="N2321" s="7" t="inlineStr">
        <is>
          <t>SSN</t>
        </is>
      </c>
      <c r="O2321" s="15" t="n"/>
      <c r="AC2321" s="23">
        <f>IF(OR(E2321="",E2321="[PARENT]"),"ADD",IF(E2321="[ALT_VIEW]","ALT",""))</f>
        <v/>
      </c>
      <c r="AD2321" s="21">
        <f>IF(Y2321&lt;&gt;"",Y2321,IF(U2321&lt;&gt;"",U2321,S2321))</f>
        <v/>
      </c>
      <c r="AE2321" s="21">
        <f>IF(AB2321&lt;&gt;"",AB2321,Z2321)</f>
        <v/>
      </c>
      <c r="AF2321" s="13" t="inlineStr">
        <is>
          <t>OMN Vol2 &gt; OP-5A &gt; PHNSY&amp;IMF &gt; Ship Availability &gt; SSN 761 USS SPRINGFIELD - DSRA</t>
        </is>
      </c>
      <c r="AG2321" s="7" t="inlineStr">
        <is>
          <t>73</t>
        </is>
      </c>
      <c r="AH2321" s="7" t="inlineStr">
        <is>
          <t>1B4B</t>
        </is>
      </c>
      <c r="AI2321" s="7" t="inlineStr">
        <is>
          <t>PHNSY&amp;IMF</t>
        </is>
      </c>
      <c r="AJ2321" s="7" t="inlineStr">
        <is>
          <t>Ship Availability</t>
        </is>
      </c>
    </row>
    <row r="2322" ht="10" customHeight="1">
      <c r="A2322" s="7" t="inlineStr">
        <is>
          <t>OMN_Vol2</t>
        </is>
      </c>
      <c r="B2322" s="7" t="inlineStr">
        <is>
          <t>O&amp;M</t>
        </is>
      </c>
      <c r="D2322" s="7" t="inlineStr">
        <is>
          <t>Puget Sound Naval Shipyard &amp; IMF: Source of Funding - Department of Navy</t>
        </is>
      </c>
      <c r="E2322" s="13" t="inlineStr">
        <is>
          <t>[SUB]</t>
        </is>
      </c>
      <c r="F2322" s="7" t="inlineStr">
        <is>
          <t>PSNS&amp;IMF Total</t>
        </is>
      </c>
      <c r="I2322" s="14" t="n">
        <v>2</v>
      </c>
      <c r="J2322" s="7" t="inlineStr">
        <is>
          <t>Scheduled Depot Maintenance</t>
        </is>
      </c>
      <c r="K2322" s="15" t="n"/>
      <c r="O2322" s="15" t="n"/>
      <c r="P2322" s="16" t="n">
        <v>2900694</v>
      </c>
      <c r="Q2322" s="16" t="n">
        <v>3195971</v>
      </c>
      <c r="S2322" s="16" t="n">
        <v>3471183</v>
      </c>
      <c r="AC2322" s="23">
        <f>IF(OR(E2322="",E2322="[PARENT]"),"ADD",IF(E2322="[ALT_VIEW]","ALT",""))</f>
        <v/>
      </c>
      <c r="AD2322" s="21">
        <f>IF(Y2322&lt;&gt;"",Y2322,IF(U2322&lt;&gt;"",U2322,S2322))</f>
        <v/>
      </c>
      <c r="AE2322" s="21">
        <f>IF(AB2322&lt;&gt;"",AB2322,Z2322)</f>
        <v/>
      </c>
      <c r="AF2322" s="13" t="inlineStr">
        <is>
          <t>OMN Vol2 &gt; OP-5A &gt; PSNS&amp;IMF &gt; Source of Funding &gt; Department of Navy</t>
        </is>
      </c>
      <c r="AG2322" s="7" t="inlineStr">
        <is>
          <t>74</t>
        </is>
      </c>
      <c r="AH2322" s="7" t="inlineStr">
        <is>
          <t>1B4B</t>
        </is>
      </c>
      <c r="AI2322" s="7" t="inlineStr">
        <is>
          <t>PSNS&amp;IMF</t>
        </is>
      </c>
      <c r="AJ2322" s="7" t="inlineStr">
        <is>
          <t>Source of Funding</t>
        </is>
      </c>
    </row>
    <row r="2323" ht="10" customHeight="1">
      <c r="A2323" s="7" t="inlineStr">
        <is>
          <t>OMN_Vol2</t>
        </is>
      </c>
      <c r="B2323" s="7" t="inlineStr">
        <is>
          <t>O&amp;M</t>
        </is>
      </c>
      <c r="D2323" s="7" t="inlineStr">
        <is>
          <t>Puget Sound Naval Shipyard &amp; IMF: Source of Funding - Direct</t>
        </is>
      </c>
      <c r="E2323" s="13" t="inlineStr">
        <is>
          <t>[SUB]</t>
        </is>
      </c>
      <c r="F2323" s="7" t="inlineStr">
        <is>
          <t>PSNS&amp;IMF Total</t>
        </is>
      </c>
      <c r="I2323" s="14" t="n">
        <v>2</v>
      </c>
      <c r="J2323" s="7" t="inlineStr">
        <is>
          <t>Scheduled Depot Maintenance</t>
        </is>
      </c>
      <c r="K2323" s="15" t="n"/>
      <c r="O2323" s="15" t="n"/>
      <c r="P2323" s="16" t="n">
        <v>2617377</v>
      </c>
      <c r="Q2323" s="16" t="n">
        <v>2816900</v>
      </c>
      <c r="S2323" s="16" t="n">
        <v>3023072</v>
      </c>
      <c r="AC2323" s="23">
        <f>IF(OR(E2323="",E2323="[PARENT]"),"ADD",IF(E2323="[ALT_VIEW]","ALT",""))</f>
        <v/>
      </c>
      <c r="AD2323" s="21">
        <f>IF(Y2323&lt;&gt;"",Y2323,IF(U2323&lt;&gt;"",U2323,S2323))</f>
        <v/>
      </c>
      <c r="AE2323" s="21">
        <f>IF(AB2323&lt;&gt;"",AB2323,Z2323)</f>
        <v/>
      </c>
      <c r="AF2323" s="13" t="inlineStr">
        <is>
          <t>OMN Vol2 &gt; OP-5A &gt; PSNS&amp;IMF &gt; Source of Funding &gt; Direct</t>
        </is>
      </c>
      <c r="AG2323" s="7" t="inlineStr">
        <is>
          <t>74</t>
        </is>
      </c>
      <c r="AH2323" s="7" t="inlineStr">
        <is>
          <t>1B4B</t>
        </is>
      </c>
      <c r="AI2323" s="7" t="inlineStr">
        <is>
          <t>PSNS&amp;IMF</t>
        </is>
      </c>
      <c r="AJ2323" s="7" t="inlineStr">
        <is>
          <t>Source of Funding</t>
        </is>
      </c>
    </row>
    <row r="2324" ht="10" customHeight="1">
      <c r="A2324" s="7" t="inlineStr">
        <is>
          <t>OMN_Vol2</t>
        </is>
      </c>
      <c r="B2324" s="7" t="inlineStr">
        <is>
          <t>O&amp;M</t>
        </is>
      </c>
      <c r="D2324" s="7" t="inlineStr">
        <is>
          <t>Puget Sound Naval Shipyard &amp; IMF: Source of Funding - Operation &amp; Maintenance, Navy (Fleet, Base)</t>
        </is>
      </c>
      <c r="E2324" s="13" t="inlineStr">
        <is>
          <t>[SUB]</t>
        </is>
      </c>
      <c r="F2324" s="7" t="inlineStr">
        <is>
          <t>PSNS&amp;IMF Total</t>
        </is>
      </c>
      <c r="I2324" s="14" t="n">
        <v>2</v>
      </c>
      <c r="J2324" s="7" t="inlineStr">
        <is>
          <t>Scheduled Depot Maintenance</t>
        </is>
      </c>
      <c r="K2324" s="15" t="n"/>
      <c r="O2324" s="15" t="n"/>
      <c r="P2324" s="16" t="n">
        <v>2549190</v>
      </c>
      <c r="Q2324" s="16" t="n">
        <v>2746474</v>
      </c>
      <c r="S2324" s="16" t="n">
        <v>2950183</v>
      </c>
      <c r="AC2324" s="23">
        <f>IF(OR(E2324="",E2324="[PARENT]"),"ADD",IF(E2324="[ALT_VIEW]","ALT",""))</f>
        <v/>
      </c>
      <c r="AD2324" s="21">
        <f>IF(Y2324&lt;&gt;"",Y2324,IF(U2324&lt;&gt;"",U2324,S2324))</f>
        <v/>
      </c>
      <c r="AE2324" s="21">
        <f>IF(AB2324&lt;&gt;"",AB2324,Z2324)</f>
        <v/>
      </c>
      <c r="AF2324" s="13" t="inlineStr">
        <is>
          <t>OMN Vol2 &gt; OP-5A &gt; PSNS&amp;IMF &gt; Source of Funding &gt; Operation &amp; Maintenance, Navy (Fleet, Base)</t>
        </is>
      </c>
      <c r="AG2324" s="7" t="inlineStr">
        <is>
          <t>74</t>
        </is>
      </c>
      <c r="AH2324" s="7" t="inlineStr">
        <is>
          <t>1B4B</t>
        </is>
      </c>
      <c r="AI2324" s="7" t="inlineStr">
        <is>
          <t>PSNS&amp;IMF</t>
        </is>
      </c>
      <c r="AJ2324" s="7" t="inlineStr">
        <is>
          <t>Source of Funding</t>
        </is>
      </c>
    </row>
    <row r="2325" ht="10" customHeight="1">
      <c r="A2325" s="7" t="inlineStr">
        <is>
          <t>OMN_Vol2</t>
        </is>
      </c>
      <c r="B2325" s="7" t="inlineStr">
        <is>
          <t>O&amp;M</t>
        </is>
      </c>
      <c r="D2325" s="7" t="inlineStr">
        <is>
          <t>Puget Sound Naval Shipyard &amp; IMF: Source of Funding - Operation &amp; Maintenance, Navy (Fleet, OCO)</t>
        </is>
      </c>
      <c r="E2325" s="13" t="inlineStr">
        <is>
          <t>[SUB]</t>
        </is>
      </c>
      <c r="F2325" s="7" t="inlineStr">
        <is>
          <t>PSNS&amp;IMF Total</t>
        </is>
      </c>
      <c r="I2325" s="14" t="n">
        <v>2</v>
      </c>
      <c r="J2325" s="7" t="inlineStr">
        <is>
          <t>Scheduled Depot Maintenance</t>
        </is>
      </c>
      <c r="K2325" s="15" t="n"/>
      <c r="O2325" s="15" t="n"/>
      <c r="P2325" s="16" t="n">
        <v>0</v>
      </c>
      <c r="Q2325" s="16" t="n">
        <v>0</v>
      </c>
      <c r="S2325" s="16" t="n">
        <v>0</v>
      </c>
      <c r="AC2325" s="23">
        <f>IF(OR(E2325="",E2325="[PARENT]"),"ADD",IF(E2325="[ALT_VIEW]","ALT",""))</f>
        <v/>
      </c>
      <c r="AD2325" s="21">
        <f>IF(Y2325&lt;&gt;"",Y2325,IF(U2325&lt;&gt;"",U2325,S2325))</f>
        <v/>
      </c>
      <c r="AE2325" s="21">
        <f>IF(AB2325&lt;&gt;"",AB2325,Z2325)</f>
        <v/>
      </c>
      <c r="AF2325" s="13" t="inlineStr">
        <is>
          <t>OMN Vol2 &gt; OP-5A &gt; PSNS&amp;IMF &gt; Source of Funding &gt; Operation &amp; Maintenance, Navy (Fleet, OCO)</t>
        </is>
      </c>
      <c r="AG2325" s="7" t="inlineStr">
        <is>
          <t>74</t>
        </is>
      </c>
      <c r="AH2325" s="7" t="inlineStr">
        <is>
          <t>1B4B</t>
        </is>
      </c>
      <c r="AI2325" s="7" t="inlineStr">
        <is>
          <t>PSNS&amp;IMF</t>
        </is>
      </c>
      <c r="AJ2325" s="7" t="inlineStr">
        <is>
          <t>Source of Funding</t>
        </is>
      </c>
    </row>
    <row r="2326" ht="10" customHeight="1">
      <c r="A2326" s="7" t="inlineStr">
        <is>
          <t>OMN_Vol2</t>
        </is>
      </c>
      <c r="B2326" s="7" t="inlineStr">
        <is>
          <t>O&amp;M</t>
        </is>
      </c>
      <c r="D2326" s="7" t="inlineStr">
        <is>
          <t>Puget Sound Naval Shipyard &amp; IMF: Source of Funding - Military Personnel, Navy (Fleet, MPN)</t>
        </is>
      </c>
      <c r="E2326" s="13" t="inlineStr">
        <is>
          <t>[SUB]</t>
        </is>
      </c>
      <c r="F2326" s="7" t="inlineStr">
        <is>
          <t>PSNS&amp;IMF Total</t>
        </is>
      </c>
      <c r="I2326" s="14" t="n">
        <v>2</v>
      </c>
      <c r="J2326" s="7" t="inlineStr">
        <is>
          <t>Scheduled Depot Maintenance</t>
        </is>
      </c>
      <c r="K2326" s="15" t="n"/>
      <c r="O2326" s="15" t="n"/>
      <c r="P2326" s="16" t="n">
        <v>68187</v>
      </c>
      <c r="Q2326" s="16" t="n">
        <v>70426</v>
      </c>
      <c r="S2326" s="16" t="n">
        <v>72889</v>
      </c>
      <c r="AC2326" s="23">
        <f>IF(OR(E2326="",E2326="[PARENT]"),"ADD",IF(E2326="[ALT_VIEW]","ALT",""))</f>
        <v/>
      </c>
      <c r="AD2326" s="21">
        <f>IF(Y2326&lt;&gt;"",Y2326,IF(U2326&lt;&gt;"",U2326,S2326))</f>
        <v/>
      </c>
      <c r="AE2326" s="21">
        <f>IF(AB2326&lt;&gt;"",AB2326,Z2326)</f>
        <v/>
      </c>
      <c r="AF2326" s="13" t="inlineStr">
        <is>
          <t>OMN Vol2 &gt; OP-5A &gt; PSNS&amp;IMF &gt; Source of Funding &gt; Military Personnel, Navy (Fleet, MPN)</t>
        </is>
      </c>
      <c r="AG2326" s="7" t="inlineStr">
        <is>
          <t>74</t>
        </is>
      </c>
      <c r="AH2326" s="7" t="inlineStr">
        <is>
          <t>1B4B</t>
        </is>
      </c>
      <c r="AI2326" s="7" t="inlineStr">
        <is>
          <t>PSNS&amp;IMF</t>
        </is>
      </c>
      <c r="AJ2326" s="7" t="inlineStr">
        <is>
          <t>Source of Funding</t>
        </is>
      </c>
    </row>
    <row r="2327" ht="10" customHeight="1">
      <c r="A2327" s="7" t="inlineStr">
        <is>
          <t>OMN_Vol2</t>
        </is>
      </c>
      <c r="B2327" s="7" t="inlineStr">
        <is>
          <t>O&amp;M</t>
        </is>
      </c>
      <c r="D2327" s="7" t="inlineStr">
        <is>
          <t>Puget Sound Naval Shipyard &amp; IMF: Source of Funding - Reimbursable</t>
        </is>
      </c>
      <c r="E2327" s="13" t="inlineStr">
        <is>
          <t>[SUB]</t>
        </is>
      </c>
      <c r="F2327" s="7" t="inlineStr">
        <is>
          <t>PSNS&amp;IMF Total</t>
        </is>
      </c>
      <c r="I2327" s="14" t="n">
        <v>2</v>
      </c>
      <c r="J2327" s="7" t="inlineStr">
        <is>
          <t>Scheduled Depot Maintenance</t>
        </is>
      </c>
      <c r="K2327" s="15" t="n"/>
      <c r="O2327" s="15" t="n"/>
      <c r="P2327" s="16" t="n">
        <v>283317</v>
      </c>
      <c r="Q2327" s="16" t="n">
        <v>379071</v>
      </c>
      <c r="S2327" s="16" t="n">
        <v>448111</v>
      </c>
      <c r="AC2327" s="23">
        <f>IF(OR(E2327="",E2327="[PARENT]"),"ADD",IF(E2327="[ALT_VIEW]","ALT",""))</f>
        <v/>
      </c>
      <c r="AD2327" s="21">
        <f>IF(Y2327&lt;&gt;"",Y2327,IF(U2327&lt;&gt;"",U2327,S2327))</f>
        <v/>
      </c>
      <c r="AE2327" s="21">
        <f>IF(AB2327&lt;&gt;"",AB2327,Z2327)</f>
        <v/>
      </c>
      <c r="AF2327" s="13" t="inlineStr">
        <is>
          <t>OMN Vol2 &gt; OP-5A &gt; PSNS&amp;IMF &gt; Source of Funding &gt; Reimbursable</t>
        </is>
      </c>
      <c r="AG2327" s="7" t="inlineStr">
        <is>
          <t>74</t>
        </is>
      </c>
      <c r="AH2327" s="7" t="inlineStr">
        <is>
          <t>1B4B</t>
        </is>
      </c>
      <c r="AI2327" s="7" t="inlineStr">
        <is>
          <t>PSNS&amp;IMF</t>
        </is>
      </c>
      <c r="AJ2327" s="7" t="inlineStr">
        <is>
          <t>Source of Funding</t>
        </is>
      </c>
    </row>
    <row r="2328" ht="10" customHeight="1">
      <c r="A2328" s="7" t="inlineStr">
        <is>
          <t>OMN_Vol2</t>
        </is>
      </c>
      <c r="B2328" s="7" t="inlineStr">
        <is>
          <t>O&amp;M</t>
        </is>
      </c>
      <c r="D2328" s="7" t="inlineStr">
        <is>
          <t>Puget Sound Naval Shipyard &amp; IMF: Source of Funding - Operation &amp; Maintenance, Navy</t>
        </is>
      </c>
      <c r="E2328" s="13" t="inlineStr">
        <is>
          <t>[SUB]</t>
        </is>
      </c>
      <c r="F2328" s="7" t="inlineStr">
        <is>
          <t>PSNS&amp;IMF Total</t>
        </is>
      </c>
      <c r="I2328" s="14" t="n">
        <v>2</v>
      </c>
      <c r="J2328" s="7" t="inlineStr">
        <is>
          <t>Scheduled Depot Maintenance</t>
        </is>
      </c>
      <c r="K2328" s="15" t="n"/>
      <c r="O2328" s="15" t="n"/>
      <c r="P2328" s="16" t="n">
        <v>159789</v>
      </c>
      <c r="Q2328" s="16" t="n">
        <v>213794</v>
      </c>
      <c r="S2328" s="16" t="n">
        <v>252732</v>
      </c>
      <c r="AC2328" s="23">
        <f>IF(OR(E2328="",E2328="[PARENT]"),"ADD",IF(E2328="[ALT_VIEW]","ALT",""))</f>
        <v/>
      </c>
      <c r="AD2328" s="21">
        <f>IF(Y2328&lt;&gt;"",Y2328,IF(U2328&lt;&gt;"",U2328,S2328))</f>
        <v/>
      </c>
      <c r="AE2328" s="21">
        <f>IF(AB2328&lt;&gt;"",AB2328,Z2328)</f>
        <v/>
      </c>
      <c r="AF2328" s="13" t="inlineStr">
        <is>
          <t>OMN Vol2 &gt; OP-5A &gt; PSNS&amp;IMF &gt; Source of Funding &gt; Operation &amp; Maintenance, Navy</t>
        </is>
      </c>
      <c r="AG2328" s="7" t="inlineStr">
        <is>
          <t>74</t>
        </is>
      </c>
      <c r="AH2328" s="7" t="inlineStr">
        <is>
          <t>1B4B</t>
        </is>
      </c>
      <c r="AI2328" s="7" t="inlineStr">
        <is>
          <t>PSNS&amp;IMF</t>
        </is>
      </c>
      <c r="AJ2328" s="7" t="inlineStr">
        <is>
          <t>Source of Funding</t>
        </is>
      </c>
    </row>
    <row r="2329" ht="10" customHeight="1">
      <c r="A2329" s="7" t="inlineStr">
        <is>
          <t>OMN_Vol2</t>
        </is>
      </c>
      <c r="B2329" s="7" t="inlineStr">
        <is>
          <t>O&amp;M</t>
        </is>
      </c>
      <c r="D2329" s="7" t="inlineStr">
        <is>
          <t>Puget Sound Naval Shipyard &amp; IMF: Source of Funding - Shipbuilding &amp; Conversion, Navy</t>
        </is>
      </c>
      <c r="E2329" s="13" t="inlineStr">
        <is>
          <t>[SUB]</t>
        </is>
      </c>
      <c r="F2329" s="7" t="inlineStr">
        <is>
          <t>PSNS&amp;IMF Total</t>
        </is>
      </c>
      <c r="I2329" s="14" t="n">
        <v>2</v>
      </c>
      <c r="J2329" s="7" t="inlineStr">
        <is>
          <t>Scheduled Depot Maintenance</t>
        </is>
      </c>
      <c r="K2329" s="15" t="n"/>
      <c r="O2329" s="15" t="n"/>
      <c r="P2329" s="16" t="n">
        <v>140</v>
      </c>
      <c r="Q2329" s="16" t="n">
        <v>187</v>
      </c>
      <c r="S2329" s="16" t="n">
        <v>222</v>
      </c>
      <c r="AC2329" s="23">
        <f>IF(OR(E2329="",E2329="[PARENT]"),"ADD",IF(E2329="[ALT_VIEW]","ALT",""))</f>
        <v/>
      </c>
      <c r="AD2329" s="21">
        <f>IF(Y2329&lt;&gt;"",Y2329,IF(U2329&lt;&gt;"",U2329,S2329))</f>
        <v/>
      </c>
      <c r="AE2329" s="21">
        <f>IF(AB2329&lt;&gt;"",AB2329,Z2329)</f>
        <v/>
      </c>
      <c r="AF2329" s="13" t="inlineStr">
        <is>
          <t>OMN Vol2 &gt; OP-5A &gt; PSNS&amp;IMF &gt; Source of Funding &gt; Shipbuilding &amp; Conversion, Navy</t>
        </is>
      </c>
      <c r="AG2329" s="7" t="inlineStr">
        <is>
          <t>74</t>
        </is>
      </c>
      <c r="AH2329" s="7" t="inlineStr">
        <is>
          <t>1B4B</t>
        </is>
      </c>
      <c r="AI2329" s="7" t="inlineStr">
        <is>
          <t>PSNS&amp;IMF</t>
        </is>
      </c>
      <c r="AJ2329" s="7" t="inlineStr">
        <is>
          <t>Source of Funding</t>
        </is>
      </c>
    </row>
    <row r="2330" ht="10" customHeight="1">
      <c r="A2330" s="7" t="inlineStr">
        <is>
          <t>OMN_Vol2</t>
        </is>
      </c>
      <c r="B2330" s="7" t="inlineStr">
        <is>
          <t>O&amp;M</t>
        </is>
      </c>
      <c r="D2330" s="7" t="inlineStr">
        <is>
          <t>Puget Sound Naval Shipyard &amp; IMF: Source of Funding - Other Procurement, Navy</t>
        </is>
      </c>
      <c r="E2330" s="13" t="inlineStr">
        <is>
          <t>[SUB]</t>
        </is>
      </c>
      <c r="F2330" s="7" t="inlineStr">
        <is>
          <t>PSNS&amp;IMF Total</t>
        </is>
      </c>
      <c r="I2330" s="14" t="n">
        <v>2</v>
      </c>
      <c r="J2330" s="7" t="inlineStr">
        <is>
          <t>Scheduled Depot Maintenance</t>
        </is>
      </c>
      <c r="K2330" s="15" t="n"/>
      <c r="O2330" s="15" t="n"/>
      <c r="P2330" s="16" t="n">
        <v>27173</v>
      </c>
      <c r="Q2330" s="16" t="n">
        <v>36357</v>
      </c>
      <c r="S2330" s="16" t="n">
        <v>42979</v>
      </c>
      <c r="AC2330" s="23">
        <f>IF(OR(E2330="",E2330="[PARENT]"),"ADD",IF(E2330="[ALT_VIEW]","ALT",""))</f>
        <v/>
      </c>
      <c r="AD2330" s="21">
        <f>IF(Y2330&lt;&gt;"",Y2330,IF(U2330&lt;&gt;"",U2330,S2330))</f>
        <v/>
      </c>
      <c r="AE2330" s="21">
        <f>IF(AB2330&lt;&gt;"",AB2330,Z2330)</f>
        <v/>
      </c>
      <c r="AF2330" s="13" t="inlineStr">
        <is>
          <t>OMN Vol2 &gt; OP-5A &gt; PSNS&amp;IMF &gt; Source of Funding &gt; Other Procurement, Navy</t>
        </is>
      </c>
      <c r="AG2330" s="7" t="inlineStr">
        <is>
          <t>74</t>
        </is>
      </c>
      <c r="AH2330" s="7" t="inlineStr">
        <is>
          <t>1B4B</t>
        </is>
      </c>
      <c r="AI2330" s="7" t="inlineStr">
        <is>
          <t>PSNS&amp;IMF</t>
        </is>
      </c>
      <c r="AJ2330" s="7" t="inlineStr">
        <is>
          <t>Source of Funding</t>
        </is>
      </c>
    </row>
    <row r="2331" ht="10" customHeight="1">
      <c r="A2331" s="7" t="inlineStr">
        <is>
          <t>OMN_Vol2</t>
        </is>
      </c>
      <c r="B2331" s="7" t="inlineStr">
        <is>
          <t>O&amp;M</t>
        </is>
      </c>
      <c r="D2331" s="7" t="inlineStr">
        <is>
          <t>Puget Sound Naval Shipyard &amp; IMF: Source of Funding - Procurement, Marine Corps</t>
        </is>
      </c>
      <c r="E2331" s="13" t="inlineStr">
        <is>
          <t>[SUB]</t>
        </is>
      </c>
      <c r="F2331" s="7" t="inlineStr">
        <is>
          <t>PSNS&amp;IMF Total</t>
        </is>
      </c>
      <c r="I2331" s="14" t="n">
        <v>2</v>
      </c>
      <c r="J2331" s="7" t="inlineStr">
        <is>
          <t>Scheduled Depot Maintenance</t>
        </is>
      </c>
      <c r="K2331" s="15" t="n"/>
      <c r="O2331" s="15" t="n"/>
      <c r="P2331" s="16" t="n">
        <v>0</v>
      </c>
      <c r="Q2331" s="16" t="n">
        <v>0</v>
      </c>
      <c r="S2331" s="16" t="n">
        <v>0</v>
      </c>
      <c r="AC2331" s="23">
        <f>IF(OR(E2331="",E2331="[PARENT]"),"ADD",IF(E2331="[ALT_VIEW]","ALT",""))</f>
        <v/>
      </c>
      <c r="AD2331" s="21">
        <f>IF(Y2331&lt;&gt;"",Y2331,IF(U2331&lt;&gt;"",U2331,S2331))</f>
        <v/>
      </c>
      <c r="AE2331" s="21">
        <f>IF(AB2331&lt;&gt;"",AB2331,Z2331)</f>
        <v/>
      </c>
      <c r="AF2331" s="13" t="inlineStr">
        <is>
          <t>OMN Vol2 &gt; OP-5A &gt; PSNS&amp;IMF &gt; Source of Funding &gt; Procurement, Marine Corps</t>
        </is>
      </c>
      <c r="AG2331" s="7" t="inlineStr">
        <is>
          <t>74</t>
        </is>
      </c>
      <c r="AH2331" s="7" t="inlineStr">
        <is>
          <t>1B4B</t>
        </is>
      </c>
      <c r="AI2331" s="7" t="inlineStr">
        <is>
          <t>PSNS&amp;IMF</t>
        </is>
      </c>
      <c r="AJ2331" s="7" t="inlineStr">
        <is>
          <t>Source of Funding</t>
        </is>
      </c>
    </row>
    <row r="2332" ht="10" customHeight="1">
      <c r="A2332" s="7" t="inlineStr">
        <is>
          <t>OMN_Vol2</t>
        </is>
      </c>
      <c r="B2332" s="7" t="inlineStr">
        <is>
          <t>O&amp;M</t>
        </is>
      </c>
      <c r="D2332" s="7" t="inlineStr">
        <is>
          <t>Puget Sound Naval Shipyard &amp; IMF: Source of Funding - Other Department of Navy</t>
        </is>
      </c>
      <c r="E2332" s="13" t="inlineStr">
        <is>
          <t>[SUB]</t>
        </is>
      </c>
      <c r="F2332" s="7" t="inlineStr">
        <is>
          <t>PSNS&amp;IMF Total</t>
        </is>
      </c>
      <c r="I2332" s="14" t="n">
        <v>2</v>
      </c>
      <c r="J2332" s="7" t="inlineStr">
        <is>
          <t>Scheduled Depot Maintenance</t>
        </is>
      </c>
      <c r="K2332" s="15" t="n"/>
      <c r="O2332" s="15" t="n"/>
      <c r="P2332" s="16" t="n">
        <v>96215</v>
      </c>
      <c r="Q2332" s="16" t="n">
        <v>128733</v>
      </c>
      <c r="S2332" s="16" t="n">
        <v>152179</v>
      </c>
      <c r="AC2332" s="23">
        <f>IF(OR(E2332="",E2332="[PARENT]"),"ADD",IF(E2332="[ALT_VIEW]","ALT",""))</f>
        <v/>
      </c>
      <c r="AD2332" s="21">
        <f>IF(Y2332&lt;&gt;"",Y2332,IF(U2332&lt;&gt;"",U2332,S2332))</f>
        <v/>
      </c>
      <c r="AE2332" s="21">
        <f>IF(AB2332&lt;&gt;"",AB2332,Z2332)</f>
        <v/>
      </c>
      <c r="AF2332" s="13" t="inlineStr">
        <is>
          <t>OMN Vol2 &gt; OP-5A &gt; PSNS&amp;IMF &gt; Source of Funding &gt; Other Department of Navy</t>
        </is>
      </c>
      <c r="AG2332" s="7" t="inlineStr">
        <is>
          <t>74</t>
        </is>
      </c>
      <c r="AH2332" s="7" t="inlineStr">
        <is>
          <t>1B4B</t>
        </is>
      </c>
      <c r="AI2332" s="7" t="inlineStr">
        <is>
          <t>PSNS&amp;IMF</t>
        </is>
      </c>
      <c r="AJ2332" s="7" t="inlineStr">
        <is>
          <t>Source of Funding</t>
        </is>
      </c>
    </row>
    <row r="2333" ht="10" customHeight="1">
      <c r="A2333" s="7" t="inlineStr">
        <is>
          <t>OMN_Vol2</t>
        </is>
      </c>
      <c r="B2333" s="7" t="inlineStr">
        <is>
          <t>O&amp;M</t>
        </is>
      </c>
      <c r="D2333" s="7" t="inlineStr">
        <is>
          <t>Puget Sound Naval Shipyard &amp; IMF: Source of Funding - Department of Defense</t>
        </is>
      </c>
      <c r="E2333" s="13" t="inlineStr">
        <is>
          <t>[SUB]</t>
        </is>
      </c>
      <c r="F2333" s="7" t="inlineStr">
        <is>
          <t>PSNS&amp;IMF Total</t>
        </is>
      </c>
      <c r="I2333" s="14" t="n">
        <v>2</v>
      </c>
      <c r="J2333" s="7" t="inlineStr">
        <is>
          <t>Scheduled Depot Maintenance</t>
        </is>
      </c>
      <c r="K2333" s="15" t="n"/>
      <c r="O2333" s="15" t="n"/>
      <c r="P2333" s="16" t="n">
        <v>902</v>
      </c>
      <c r="Q2333" s="16" t="n">
        <v>1207</v>
      </c>
      <c r="S2333" s="16" t="n">
        <v>1427</v>
      </c>
      <c r="AC2333" s="23">
        <f>IF(OR(E2333="",E2333="[PARENT]"),"ADD",IF(E2333="[ALT_VIEW]","ALT",""))</f>
        <v/>
      </c>
      <c r="AD2333" s="21">
        <f>IF(Y2333&lt;&gt;"",Y2333,IF(U2333&lt;&gt;"",U2333,S2333))</f>
        <v/>
      </c>
      <c r="AE2333" s="21">
        <f>IF(AB2333&lt;&gt;"",AB2333,Z2333)</f>
        <v/>
      </c>
      <c r="AF2333" s="13" t="inlineStr">
        <is>
          <t>OMN Vol2 &gt; OP-5A &gt; PSNS&amp;IMF &gt; Source of Funding &gt; Department of Defense</t>
        </is>
      </c>
      <c r="AG2333" s="7" t="inlineStr">
        <is>
          <t>74</t>
        </is>
      </c>
      <c r="AH2333" s="7" t="inlineStr">
        <is>
          <t>1B4B</t>
        </is>
      </c>
      <c r="AI2333" s="7" t="inlineStr">
        <is>
          <t>PSNS&amp;IMF</t>
        </is>
      </c>
      <c r="AJ2333" s="7" t="inlineStr">
        <is>
          <t>Source of Funding</t>
        </is>
      </c>
    </row>
    <row r="2334" ht="10" customHeight="1">
      <c r="A2334" s="7" t="inlineStr">
        <is>
          <t>OMN_Vol2</t>
        </is>
      </c>
      <c r="B2334" s="7" t="inlineStr">
        <is>
          <t>O&amp;M</t>
        </is>
      </c>
      <c r="D2334" s="7" t="inlineStr">
        <is>
          <t>Puget Sound Naval Shipyard &amp; IMF: Source of Funding - Other Orders</t>
        </is>
      </c>
      <c r="E2334" s="13" t="inlineStr">
        <is>
          <t>[SUB]</t>
        </is>
      </c>
      <c r="F2334" s="7" t="inlineStr">
        <is>
          <t>PSNS&amp;IMF Total</t>
        </is>
      </c>
      <c r="I2334" s="14" t="n">
        <v>2</v>
      </c>
      <c r="J2334" s="7" t="inlineStr">
        <is>
          <t>Scheduled Depot Maintenance</t>
        </is>
      </c>
      <c r="K2334" s="15" t="n"/>
      <c r="O2334" s="15" t="n"/>
      <c r="P2334" s="16" t="n">
        <v>735</v>
      </c>
      <c r="Q2334" s="16" t="n">
        <v>983</v>
      </c>
      <c r="S2334" s="16" t="n">
        <v>1162</v>
      </c>
      <c r="AC2334" s="23">
        <f>IF(OR(E2334="",E2334="[PARENT]"),"ADD",IF(E2334="[ALT_VIEW]","ALT",""))</f>
        <v/>
      </c>
      <c r="AD2334" s="21">
        <f>IF(Y2334&lt;&gt;"",Y2334,IF(U2334&lt;&gt;"",U2334,S2334))</f>
        <v/>
      </c>
      <c r="AE2334" s="21">
        <f>IF(AB2334&lt;&gt;"",AB2334,Z2334)</f>
        <v/>
      </c>
      <c r="AF2334" s="13" t="inlineStr">
        <is>
          <t>OMN Vol2 &gt; OP-5A &gt; PSNS&amp;IMF &gt; Source of Funding &gt; Other Orders</t>
        </is>
      </c>
      <c r="AG2334" s="7" t="inlineStr">
        <is>
          <t>74</t>
        </is>
      </c>
      <c r="AH2334" s="7" t="inlineStr">
        <is>
          <t>1B4B</t>
        </is>
      </c>
      <c r="AI2334" s="7" t="inlineStr">
        <is>
          <t>PSNS&amp;IMF</t>
        </is>
      </c>
      <c r="AJ2334" s="7" t="inlineStr">
        <is>
          <t>Source of Funding</t>
        </is>
      </c>
    </row>
    <row r="2335" ht="10" customHeight="1">
      <c r="A2335" s="7" t="inlineStr">
        <is>
          <t>OMN_Vol2</t>
        </is>
      </c>
      <c r="B2335" s="7" t="inlineStr">
        <is>
          <t>O&amp;M</t>
        </is>
      </c>
      <c r="D2335" s="7" t="inlineStr">
        <is>
          <t>Puget Sound Naval Shipyard &amp; IMF: Source of Funding - Other Federal Agencies</t>
        </is>
      </c>
      <c r="E2335" s="13" t="inlineStr">
        <is>
          <t>[SUB]</t>
        </is>
      </c>
      <c r="F2335" s="7" t="inlineStr">
        <is>
          <t>PSNS&amp;IMF Total</t>
        </is>
      </c>
      <c r="I2335" s="14" t="n">
        <v>2</v>
      </c>
      <c r="J2335" s="7" t="inlineStr">
        <is>
          <t>Scheduled Depot Maintenance</t>
        </is>
      </c>
      <c r="K2335" s="15" t="n"/>
      <c r="O2335" s="15" t="n"/>
      <c r="P2335" s="16" t="n">
        <v>735</v>
      </c>
      <c r="Q2335" s="16" t="n">
        <v>983</v>
      </c>
      <c r="S2335" s="16" t="n">
        <v>1162</v>
      </c>
      <c r="AC2335" s="23">
        <f>IF(OR(E2335="",E2335="[PARENT]"),"ADD",IF(E2335="[ALT_VIEW]","ALT",""))</f>
        <v/>
      </c>
      <c r="AD2335" s="21">
        <f>IF(Y2335&lt;&gt;"",Y2335,IF(U2335&lt;&gt;"",U2335,S2335))</f>
        <v/>
      </c>
      <c r="AE2335" s="21">
        <f>IF(AB2335&lt;&gt;"",AB2335,Z2335)</f>
        <v/>
      </c>
      <c r="AF2335" s="13" t="inlineStr">
        <is>
          <t>OMN Vol2 &gt; OP-5A &gt; PSNS&amp;IMF &gt; Source of Funding &gt; Other Federal Agencies</t>
        </is>
      </c>
      <c r="AG2335" s="7" t="inlineStr">
        <is>
          <t>74</t>
        </is>
      </c>
      <c r="AH2335" s="7" t="inlineStr">
        <is>
          <t>1B4B</t>
        </is>
      </c>
      <c r="AI2335" s="7" t="inlineStr">
        <is>
          <t>PSNS&amp;IMF</t>
        </is>
      </c>
      <c r="AJ2335" s="7" t="inlineStr">
        <is>
          <t>Source of Funding</t>
        </is>
      </c>
    </row>
    <row r="2336" ht="10" customHeight="1">
      <c r="A2336" s="7" t="inlineStr">
        <is>
          <t>OMN_Vol2</t>
        </is>
      </c>
      <c r="B2336" s="7" t="inlineStr">
        <is>
          <t>O&amp;M</t>
        </is>
      </c>
      <c r="D2336" s="7" t="inlineStr">
        <is>
          <t>Puget Sound Naval Shipyard &amp; IMF: Source of Funding - Foreign Military Sales</t>
        </is>
      </c>
      <c r="E2336" s="13" t="inlineStr">
        <is>
          <t>[SUB]</t>
        </is>
      </c>
      <c r="F2336" s="7" t="inlineStr">
        <is>
          <t>PSNS&amp;IMF Total</t>
        </is>
      </c>
      <c r="I2336" s="14" t="n">
        <v>2</v>
      </c>
      <c r="J2336" s="7" t="inlineStr">
        <is>
          <t>Scheduled Depot Maintenance</t>
        </is>
      </c>
      <c r="K2336" s="15" t="n"/>
      <c r="O2336" s="15" t="n"/>
      <c r="P2336" s="16" t="n">
        <v>0</v>
      </c>
      <c r="Q2336" s="16" t="n">
        <v>0</v>
      </c>
      <c r="S2336" s="16" t="n">
        <v>0</v>
      </c>
      <c r="AC2336" s="23">
        <f>IF(OR(E2336="",E2336="[PARENT]"),"ADD",IF(E2336="[ALT_VIEW]","ALT",""))</f>
        <v/>
      </c>
      <c r="AD2336" s="21">
        <f>IF(Y2336&lt;&gt;"",Y2336,IF(U2336&lt;&gt;"",U2336,S2336))</f>
        <v/>
      </c>
      <c r="AE2336" s="21">
        <f>IF(AB2336&lt;&gt;"",AB2336,Z2336)</f>
        <v/>
      </c>
      <c r="AF2336" s="13" t="inlineStr">
        <is>
          <t>OMN Vol2 &gt; OP-5A &gt; PSNS&amp;IMF &gt; Source of Funding &gt; Foreign Military Sales</t>
        </is>
      </c>
      <c r="AG2336" s="7" t="inlineStr">
        <is>
          <t>74</t>
        </is>
      </c>
      <c r="AH2336" s="7" t="inlineStr">
        <is>
          <t>1B4B</t>
        </is>
      </c>
      <c r="AI2336" s="7" t="inlineStr">
        <is>
          <t>PSNS&amp;IMF</t>
        </is>
      </c>
      <c r="AJ2336" s="7" t="inlineStr">
        <is>
          <t>Source of Funding</t>
        </is>
      </c>
    </row>
    <row r="2337" ht="10" customHeight="1">
      <c r="A2337" s="7" t="inlineStr">
        <is>
          <t>OMN_Vol2</t>
        </is>
      </c>
      <c r="B2337" s="7" t="inlineStr">
        <is>
          <t>O&amp;M</t>
        </is>
      </c>
      <c r="D2337" s="7" t="inlineStr">
        <is>
          <t>Puget Sound Naval Shipyard &amp; IMF: Source of Funding - Other</t>
        </is>
      </c>
      <c r="E2337" s="13" t="inlineStr">
        <is>
          <t>[SUB]</t>
        </is>
      </c>
      <c r="F2337" s="7" t="inlineStr">
        <is>
          <t>PSNS&amp;IMF Total</t>
        </is>
      </c>
      <c r="I2337" s="14" t="n">
        <v>2</v>
      </c>
      <c r="J2337" s="7" t="inlineStr">
        <is>
          <t>Scheduled Depot Maintenance</t>
        </is>
      </c>
      <c r="K2337" s="15" t="n"/>
      <c r="O2337" s="15" t="n"/>
      <c r="P2337" s="16" t="n">
        <v>0</v>
      </c>
      <c r="Q2337" s="16" t="n">
        <v>0</v>
      </c>
      <c r="S2337" s="16" t="n">
        <v>0</v>
      </c>
      <c r="AC2337" s="23">
        <f>IF(OR(E2337="",E2337="[PARENT]"),"ADD",IF(E2337="[ALT_VIEW]","ALT",""))</f>
        <v/>
      </c>
      <c r="AD2337" s="21">
        <f>IF(Y2337&lt;&gt;"",Y2337,IF(U2337&lt;&gt;"",U2337,S2337))</f>
        <v/>
      </c>
      <c r="AE2337" s="21">
        <f>IF(AB2337&lt;&gt;"",AB2337,Z2337)</f>
        <v/>
      </c>
      <c r="AF2337" s="13" t="inlineStr">
        <is>
          <t>OMN Vol2 &gt; OP-5A &gt; PSNS&amp;IMF &gt; Source of Funding &gt; Other</t>
        </is>
      </c>
      <c r="AG2337" s="7" t="inlineStr">
        <is>
          <t>74</t>
        </is>
      </c>
      <c r="AH2337" s="7" t="inlineStr">
        <is>
          <t>1B4B</t>
        </is>
      </c>
      <c r="AI2337" s="7" t="inlineStr">
        <is>
          <t>PSNS&amp;IMF</t>
        </is>
      </c>
      <c r="AJ2337" s="7" t="inlineStr">
        <is>
          <t>Source of Funding</t>
        </is>
      </c>
    </row>
    <row r="2338" ht="10" customHeight="1">
      <c r="A2338" s="7" t="inlineStr">
        <is>
          <t>OMN_Vol2</t>
        </is>
      </c>
      <c r="B2338" s="7" t="inlineStr">
        <is>
          <t>O&amp;M</t>
        </is>
      </c>
      <c r="D2338" s="7" t="inlineStr">
        <is>
          <t>Puget Sound Naval Shipyard &amp; IMF: Source of Funding - Total</t>
        </is>
      </c>
      <c r="E2338" s="13" t="inlineStr">
        <is>
          <t>[PARENT]</t>
        </is>
      </c>
      <c r="I2338" s="14" t="n">
        <v>2</v>
      </c>
      <c r="J2338" s="7" t="inlineStr">
        <is>
          <t>Scheduled Depot Maintenance</t>
        </is>
      </c>
      <c r="K2338" s="15" t="n"/>
      <c r="O2338" s="15" t="n"/>
      <c r="P2338" s="16" t="n">
        <v>2902331</v>
      </c>
      <c r="Q2338" s="16" t="n">
        <v>3198161</v>
      </c>
      <c r="S2338" s="16" t="n">
        <v>3473772</v>
      </c>
      <c r="AC2338" s="23">
        <f>IF(OR(E2338="",E2338="[PARENT]"),"ADD",IF(E2338="[ALT_VIEW]","ALT",""))</f>
        <v/>
      </c>
      <c r="AD2338" s="21">
        <f>IF(Y2338&lt;&gt;"",Y2338,IF(U2338&lt;&gt;"",U2338,S2338))</f>
        <v/>
      </c>
      <c r="AE2338" s="21">
        <f>IF(AB2338&lt;&gt;"",AB2338,Z2338)</f>
        <v/>
      </c>
      <c r="AF2338" s="13" t="inlineStr">
        <is>
          <t>OMN Vol2 &gt; OP-5A &gt; PSNS&amp;IMF &gt; Source of Funding &gt; Total</t>
        </is>
      </c>
      <c r="AG2338" s="7" t="inlineStr">
        <is>
          <t>74</t>
        </is>
      </c>
      <c r="AH2338" s="7" t="inlineStr">
        <is>
          <t>1B4B</t>
        </is>
      </c>
      <c r="AI2338" s="7" t="inlineStr">
        <is>
          <t>PSNS&amp;IMF</t>
        </is>
      </c>
      <c r="AJ2338" s="7" t="inlineStr">
        <is>
          <t>Source of Funding</t>
        </is>
      </c>
    </row>
    <row r="2339" ht="10" customHeight="1">
      <c r="A2339" s="7" t="inlineStr">
        <is>
          <t>OMN_Vol2</t>
        </is>
      </c>
      <c r="B2339" s="7" t="inlineStr">
        <is>
          <t>O&amp;M</t>
        </is>
      </c>
      <c r="D2339" s="7" t="inlineStr">
        <is>
          <t>Puget Sound Naval Shipyard &amp; IMF: Performance Data - Direct Civilian Labor</t>
        </is>
      </c>
      <c r="E2339" s="13" t="inlineStr">
        <is>
          <t>[ALT_VIEW]</t>
        </is>
      </c>
      <c r="F2339" s="7" t="inlineStr">
        <is>
          <t>PSNS&amp;IMF Total</t>
        </is>
      </c>
      <c r="I2339" s="14" t="n">
        <v>2</v>
      </c>
      <c r="J2339" s="7" t="inlineStr">
        <is>
          <t>Scheduled Depot Maintenance</t>
        </is>
      </c>
      <c r="K2339" s="15" t="n"/>
      <c r="O2339" s="15" t="n"/>
      <c r="P2339" s="16" t="n">
        <v>1180094</v>
      </c>
      <c r="Q2339" s="16" t="n">
        <v>1520625</v>
      </c>
      <c r="S2339" s="16" t="n">
        <v>1434873</v>
      </c>
      <c r="AC2339" s="23">
        <f>IF(OR(E2339="",E2339="[PARENT]"),"ADD",IF(E2339="[ALT_VIEW]","ALT",""))</f>
        <v/>
      </c>
      <c r="AD2339" s="21">
        <f>IF(Y2339&lt;&gt;"",Y2339,IF(U2339&lt;&gt;"",U2339,S2339))</f>
        <v/>
      </c>
      <c r="AE2339" s="21">
        <f>IF(AB2339&lt;&gt;"",AB2339,Z2339)</f>
        <v/>
      </c>
      <c r="AF2339" s="13" t="inlineStr">
        <is>
          <t>OMN Vol2 &gt; OP-5A &gt; PSNS&amp;IMF &gt; Performance Data &gt; Direct Civilian Labor</t>
        </is>
      </c>
      <c r="AG2339" s="7" t="inlineStr">
        <is>
          <t>75</t>
        </is>
      </c>
      <c r="AH2339" s="7" t="inlineStr">
        <is>
          <t>1B4B</t>
        </is>
      </c>
      <c r="AI2339" s="7" t="inlineStr">
        <is>
          <t>PSNS&amp;IMF</t>
        </is>
      </c>
      <c r="AJ2339" s="7" t="inlineStr">
        <is>
          <t>Performance Data</t>
        </is>
      </c>
    </row>
    <row r="2340" ht="10" customHeight="1">
      <c r="A2340" s="7" t="inlineStr">
        <is>
          <t>OMN_Vol2</t>
        </is>
      </c>
      <c r="B2340" s="7" t="inlineStr">
        <is>
          <t>O&amp;M</t>
        </is>
      </c>
      <c r="D2340" s="7" t="inlineStr">
        <is>
          <t>Puget Sound Naval Shipyard &amp; IMF: Performance Data - Direct Military Labor</t>
        </is>
      </c>
      <c r="E2340" s="13" t="inlineStr">
        <is>
          <t>[ALT_VIEW]</t>
        </is>
      </c>
      <c r="F2340" s="7" t="inlineStr">
        <is>
          <t>PSNS&amp;IMF Total</t>
        </is>
      </c>
      <c r="I2340" s="14" t="n">
        <v>2</v>
      </c>
      <c r="J2340" s="7" t="inlineStr">
        <is>
          <t>Scheduled Depot Maintenance</t>
        </is>
      </c>
      <c r="K2340" s="15" t="n"/>
      <c r="O2340" s="15" t="n"/>
      <c r="P2340" s="16" t="n">
        <v>43981</v>
      </c>
      <c r="Q2340" s="16" t="n">
        <v>45425</v>
      </c>
      <c r="S2340" s="16" t="n">
        <v>47013</v>
      </c>
      <c r="AC2340" s="23">
        <f>IF(OR(E2340="",E2340="[PARENT]"),"ADD",IF(E2340="[ALT_VIEW]","ALT",""))</f>
        <v/>
      </c>
      <c r="AD2340" s="21">
        <f>IF(Y2340&lt;&gt;"",Y2340,IF(U2340&lt;&gt;"",U2340,S2340))</f>
        <v/>
      </c>
      <c r="AE2340" s="21">
        <f>IF(AB2340&lt;&gt;"",AB2340,Z2340)</f>
        <v/>
      </c>
      <c r="AF2340" s="13" t="inlineStr">
        <is>
          <t>OMN Vol2 &gt; OP-5A &gt; PSNS&amp;IMF &gt; Performance Data &gt; Direct Military Labor</t>
        </is>
      </c>
      <c r="AG2340" s="7" t="inlineStr">
        <is>
          <t>75</t>
        </is>
      </c>
      <c r="AH2340" s="7" t="inlineStr">
        <is>
          <t>1B4B</t>
        </is>
      </c>
      <c r="AI2340" s="7" t="inlineStr">
        <is>
          <t>PSNS&amp;IMF</t>
        </is>
      </c>
      <c r="AJ2340" s="7" t="inlineStr">
        <is>
          <t>Performance Data</t>
        </is>
      </c>
    </row>
    <row r="2341" ht="10" customHeight="1">
      <c r="A2341" s="7" t="inlineStr">
        <is>
          <t>OMN_Vol2</t>
        </is>
      </c>
      <c r="B2341" s="7" t="inlineStr">
        <is>
          <t>O&amp;M</t>
        </is>
      </c>
      <c r="D2341" s="7" t="inlineStr">
        <is>
          <t>Puget Sound Naval Shipyard &amp; IMF: Performance Data - Direct Material</t>
        </is>
      </c>
      <c r="E2341" s="13" t="inlineStr">
        <is>
          <t>[ALT_VIEW]</t>
        </is>
      </c>
      <c r="F2341" s="7" t="inlineStr">
        <is>
          <t>PSNS&amp;IMF Total</t>
        </is>
      </c>
      <c r="I2341" s="14" t="n">
        <v>2</v>
      </c>
      <c r="J2341" s="7" t="inlineStr">
        <is>
          <t>Scheduled Depot Maintenance</t>
        </is>
      </c>
      <c r="K2341" s="15" t="n"/>
      <c r="O2341" s="15" t="n"/>
      <c r="P2341" s="16" t="n">
        <v>292621</v>
      </c>
      <c r="Q2341" s="16" t="n">
        <v>356343</v>
      </c>
      <c r="S2341" s="16" t="n">
        <v>566849</v>
      </c>
      <c r="AC2341" s="23">
        <f>IF(OR(E2341="",E2341="[PARENT]"),"ADD",IF(E2341="[ALT_VIEW]","ALT",""))</f>
        <v/>
      </c>
      <c r="AD2341" s="21">
        <f>IF(Y2341&lt;&gt;"",Y2341,IF(U2341&lt;&gt;"",U2341,S2341))</f>
        <v/>
      </c>
      <c r="AE2341" s="21">
        <f>IF(AB2341&lt;&gt;"",AB2341,Z2341)</f>
        <v/>
      </c>
      <c r="AF2341" s="13" t="inlineStr">
        <is>
          <t>OMN Vol2 &gt; OP-5A &gt; PSNS&amp;IMF &gt; Performance Data &gt; Direct Material</t>
        </is>
      </c>
      <c r="AG2341" s="7" t="inlineStr">
        <is>
          <t>75</t>
        </is>
      </c>
      <c r="AH2341" s="7" t="inlineStr">
        <is>
          <t>1B4B</t>
        </is>
      </c>
      <c r="AI2341" s="7" t="inlineStr">
        <is>
          <t>PSNS&amp;IMF</t>
        </is>
      </c>
      <c r="AJ2341" s="7" t="inlineStr">
        <is>
          <t>Performance Data</t>
        </is>
      </c>
    </row>
    <row r="2342" ht="10" customHeight="1">
      <c r="A2342" s="7" t="inlineStr">
        <is>
          <t>OMN_Vol2</t>
        </is>
      </c>
      <c r="B2342" s="7" t="inlineStr">
        <is>
          <t>O&amp;M</t>
        </is>
      </c>
      <c r="D2342" s="7" t="inlineStr">
        <is>
          <t>Puget Sound Naval Shipyard &amp; IMF: Performance Data - Direct Contracts</t>
        </is>
      </c>
      <c r="E2342" s="13" t="inlineStr">
        <is>
          <t>[ALT_VIEW]</t>
        </is>
      </c>
      <c r="F2342" s="7" t="inlineStr">
        <is>
          <t>PSNS&amp;IMF Total</t>
        </is>
      </c>
      <c r="I2342" s="14" t="n">
        <v>2</v>
      </c>
      <c r="J2342" s="7" t="inlineStr">
        <is>
          <t>Scheduled Depot Maintenance</t>
        </is>
      </c>
      <c r="K2342" s="15" t="n"/>
      <c r="O2342" s="15" t="n"/>
      <c r="P2342" s="16" t="n">
        <v>106880</v>
      </c>
      <c r="Q2342" s="16" t="n">
        <v>128313</v>
      </c>
      <c r="S2342" s="16" t="n">
        <v>199884</v>
      </c>
      <c r="AC2342" s="23">
        <f>IF(OR(E2342="",E2342="[PARENT]"),"ADD",IF(E2342="[ALT_VIEW]","ALT",""))</f>
        <v/>
      </c>
      <c r="AD2342" s="21">
        <f>IF(Y2342&lt;&gt;"",Y2342,IF(U2342&lt;&gt;"",U2342,S2342))</f>
        <v/>
      </c>
      <c r="AE2342" s="21">
        <f>IF(AB2342&lt;&gt;"",AB2342,Z2342)</f>
        <v/>
      </c>
      <c r="AF2342" s="13" t="inlineStr">
        <is>
          <t>OMN Vol2 &gt; OP-5A &gt; PSNS&amp;IMF &gt; Performance Data &gt; Direct Contracts</t>
        </is>
      </c>
      <c r="AG2342" s="7" t="inlineStr">
        <is>
          <t>75</t>
        </is>
      </c>
      <c r="AH2342" s="7" t="inlineStr">
        <is>
          <t>1B4B</t>
        </is>
      </c>
      <c r="AI2342" s="7" t="inlineStr">
        <is>
          <t>PSNS&amp;IMF</t>
        </is>
      </c>
      <c r="AJ2342" s="7" t="inlineStr">
        <is>
          <t>Performance Data</t>
        </is>
      </c>
    </row>
    <row r="2343" ht="10" customHeight="1">
      <c r="A2343" s="7" t="inlineStr">
        <is>
          <t>OMN_Vol2</t>
        </is>
      </c>
      <c r="B2343" s="7" t="inlineStr">
        <is>
          <t>O&amp;M</t>
        </is>
      </c>
      <c r="D2343" s="7" t="inlineStr">
        <is>
          <t>Puget Sound Naval Shipyard &amp; IMF: Performance Data - Other Direct Costs</t>
        </is>
      </c>
      <c r="E2343" s="13" t="inlineStr">
        <is>
          <t>[ALT_VIEW]</t>
        </is>
      </c>
      <c r="F2343" s="7" t="inlineStr">
        <is>
          <t>PSNS&amp;IMF Total</t>
        </is>
      </c>
      <c r="I2343" s="14" t="n">
        <v>2</v>
      </c>
      <c r="J2343" s="7" t="inlineStr">
        <is>
          <t>Scheduled Depot Maintenance</t>
        </is>
      </c>
      <c r="K2343" s="15" t="n"/>
      <c r="O2343" s="15" t="n"/>
      <c r="P2343" s="16" t="n">
        <v>98526</v>
      </c>
      <c r="Q2343" s="16" t="n">
        <v>113492</v>
      </c>
      <c r="S2343" s="16" t="n">
        <v>165608</v>
      </c>
      <c r="AC2343" s="23">
        <f>IF(OR(E2343="",E2343="[PARENT]"),"ADD",IF(E2343="[ALT_VIEW]","ALT",""))</f>
        <v/>
      </c>
      <c r="AD2343" s="21">
        <f>IF(Y2343&lt;&gt;"",Y2343,IF(U2343&lt;&gt;"",U2343,S2343))</f>
        <v/>
      </c>
      <c r="AE2343" s="21">
        <f>IF(AB2343&lt;&gt;"",AB2343,Z2343)</f>
        <v/>
      </c>
      <c r="AF2343" s="13" t="inlineStr">
        <is>
          <t>OMN Vol2 &gt; OP-5A &gt; PSNS&amp;IMF &gt; Performance Data &gt; Other Direct Costs</t>
        </is>
      </c>
      <c r="AG2343" s="7" t="inlineStr">
        <is>
          <t>75</t>
        </is>
      </c>
      <c r="AH2343" s="7" t="inlineStr">
        <is>
          <t>1B4B</t>
        </is>
      </c>
      <c r="AI2343" s="7" t="inlineStr">
        <is>
          <t>PSNS&amp;IMF</t>
        </is>
      </c>
      <c r="AJ2343" s="7" t="inlineStr">
        <is>
          <t>Performance Data</t>
        </is>
      </c>
    </row>
    <row r="2344" ht="10" customHeight="1">
      <c r="A2344" s="7" t="inlineStr">
        <is>
          <t>OMN_Vol2</t>
        </is>
      </c>
      <c r="B2344" s="7" t="inlineStr">
        <is>
          <t>O&amp;M</t>
        </is>
      </c>
      <c r="D2344" s="7" t="inlineStr">
        <is>
          <t>Puget Sound Naval Shipyard &amp; IMF: Performance Data - Overhead Civilian Labor</t>
        </is>
      </c>
      <c r="E2344" s="13" t="inlineStr">
        <is>
          <t>[ALT_VIEW]</t>
        </is>
      </c>
      <c r="F2344" s="7" t="inlineStr">
        <is>
          <t>PSNS&amp;IMF Total</t>
        </is>
      </c>
      <c r="I2344" s="14" t="n">
        <v>2</v>
      </c>
      <c r="J2344" s="7" t="inlineStr">
        <is>
          <t>Scheduled Depot Maintenance</t>
        </is>
      </c>
      <c r="K2344" s="15" t="n"/>
      <c r="O2344" s="15" t="n"/>
      <c r="P2344" s="16" t="n">
        <v>894251</v>
      </c>
      <c r="Q2344" s="16" t="n">
        <v>776191</v>
      </c>
      <c r="S2344" s="16" t="n">
        <v>747414</v>
      </c>
      <c r="AC2344" s="23">
        <f>IF(OR(E2344="",E2344="[PARENT]"),"ADD",IF(E2344="[ALT_VIEW]","ALT",""))</f>
        <v/>
      </c>
      <c r="AD2344" s="21">
        <f>IF(Y2344&lt;&gt;"",Y2344,IF(U2344&lt;&gt;"",U2344,S2344))</f>
        <v/>
      </c>
      <c r="AE2344" s="21">
        <f>IF(AB2344&lt;&gt;"",AB2344,Z2344)</f>
        <v/>
      </c>
      <c r="AF2344" s="13" t="inlineStr">
        <is>
          <t>OMN Vol2 &gt; OP-5A &gt; PSNS&amp;IMF &gt; Performance Data &gt; Overhead Civilian Labor</t>
        </is>
      </c>
      <c r="AG2344" s="7" t="inlineStr">
        <is>
          <t>75</t>
        </is>
      </c>
      <c r="AH2344" s="7" t="inlineStr">
        <is>
          <t>1B4B</t>
        </is>
      </c>
      <c r="AI2344" s="7" t="inlineStr">
        <is>
          <t>PSNS&amp;IMF</t>
        </is>
      </c>
      <c r="AJ2344" s="7" t="inlineStr">
        <is>
          <t>Performance Data</t>
        </is>
      </c>
    </row>
    <row r="2345" ht="10" customHeight="1">
      <c r="A2345" s="7" t="inlineStr">
        <is>
          <t>OMN_Vol2</t>
        </is>
      </c>
      <c r="B2345" s="7" t="inlineStr">
        <is>
          <t>O&amp;M</t>
        </is>
      </c>
      <c r="D2345" s="7" t="inlineStr">
        <is>
          <t>Puget Sound Naval Shipyard &amp; IMF: Performance Data - Overhead Military Labor</t>
        </is>
      </c>
      <c r="E2345" s="13" t="inlineStr">
        <is>
          <t>[ALT_VIEW]</t>
        </is>
      </c>
      <c r="F2345" s="7" t="inlineStr">
        <is>
          <t>PSNS&amp;IMF Total</t>
        </is>
      </c>
      <c r="I2345" s="14" t="n">
        <v>2</v>
      </c>
      <c r="J2345" s="7" t="inlineStr">
        <is>
          <t>Scheduled Depot Maintenance</t>
        </is>
      </c>
      <c r="K2345" s="15" t="n"/>
      <c r="O2345" s="15" t="n"/>
      <c r="P2345" s="16" t="n">
        <v>24206</v>
      </c>
      <c r="Q2345" s="16" t="n">
        <v>25001</v>
      </c>
      <c r="S2345" s="16" t="n">
        <v>25876</v>
      </c>
      <c r="AC2345" s="23">
        <f>IF(OR(E2345="",E2345="[PARENT]"),"ADD",IF(E2345="[ALT_VIEW]","ALT",""))</f>
        <v/>
      </c>
      <c r="AD2345" s="21">
        <f>IF(Y2345&lt;&gt;"",Y2345,IF(U2345&lt;&gt;"",U2345,S2345))</f>
        <v/>
      </c>
      <c r="AE2345" s="21">
        <f>IF(AB2345&lt;&gt;"",AB2345,Z2345)</f>
        <v/>
      </c>
      <c r="AF2345" s="13" t="inlineStr">
        <is>
          <t>OMN Vol2 &gt; OP-5A &gt; PSNS&amp;IMF &gt; Performance Data &gt; Overhead Military Labor</t>
        </is>
      </c>
      <c r="AG2345" s="7" t="inlineStr">
        <is>
          <t>75</t>
        </is>
      </c>
      <c r="AH2345" s="7" t="inlineStr">
        <is>
          <t>1B4B</t>
        </is>
      </c>
      <c r="AI2345" s="7" t="inlineStr">
        <is>
          <t>PSNS&amp;IMF</t>
        </is>
      </c>
      <c r="AJ2345" s="7" t="inlineStr">
        <is>
          <t>Performance Data</t>
        </is>
      </c>
    </row>
    <row r="2346" ht="10" customHeight="1">
      <c r="A2346" s="7" t="inlineStr">
        <is>
          <t>OMN_Vol2</t>
        </is>
      </c>
      <c r="B2346" s="7" t="inlineStr">
        <is>
          <t>O&amp;M</t>
        </is>
      </c>
      <c r="D2346" s="7" t="inlineStr">
        <is>
          <t>Puget Sound Naval Shipyard &amp; IMF: Performance Data - Overhead Non-Labor</t>
        </is>
      </c>
      <c r="E2346" s="13" t="inlineStr">
        <is>
          <t>[ALT_VIEW]</t>
        </is>
      </c>
      <c r="F2346" s="7" t="inlineStr">
        <is>
          <t>PSNS&amp;IMF Total</t>
        </is>
      </c>
      <c r="I2346" s="14" t="n">
        <v>2</v>
      </c>
      <c r="J2346" s="7" t="inlineStr">
        <is>
          <t>Scheduled Depot Maintenance</t>
        </is>
      </c>
      <c r="K2346" s="15" t="n"/>
      <c r="O2346" s="15" t="n"/>
      <c r="P2346" s="16" t="n">
        <v>252118</v>
      </c>
      <c r="Q2346" s="16" t="n">
        <v>222914</v>
      </c>
      <c r="S2346" s="16" t="n">
        <v>276190</v>
      </c>
      <c r="AC2346" s="23">
        <f>IF(OR(E2346="",E2346="[PARENT]"),"ADD",IF(E2346="[ALT_VIEW]","ALT",""))</f>
        <v/>
      </c>
      <c r="AD2346" s="21">
        <f>IF(Y2346&lt;&gt;"",Y2346,IF(U2346&lt;&gt;"",U2346,S2346))</f>
        <v/>
      </c>
      <c r="AE2346" s="21">
        <f>IF(AB2346&lt;&gt;"",AB2346,Z2346)</f>
        <v/>
      </c>
      <c r="AF2346" s="13" t="inlineStr">
        <is>
          <t>OMN Vol2 &gt; OP-5A &gt; PSNS&amp;IMF &gt; Performance Data &gt; Overhead Non-Labor</t>
        </is>
      </c>
      <c r="AG2346" s="7" t="inlineStr">
        <is>
          <t>75</t>
        </is>
      </c>
      <c r="AH2346" s="7" t="inlineStr">
        <is>
          <t>1B4B</t>
        </is>
      </c>
      <c r="AI2346" s="7" t="inlineStr">
        <is>
          <t>PSNS&amp;IMF</t>
        </is>
      </c>
      <c r="AJ2346" s="7" t="inlineStr">
        <is>
          <t>Performance Data</t>
        </is>
      </c>
    </row>
    <row r="2347" ht="10" customHeight="1">
      <c r="A2347" s="7" t="inlineStr">
        <is>
          <t>OMN_Vol2</t>
        </is>
      </c>
      <c r="B2347" s="7" t="inlineStr">
        <is>
          <t>O&amp;M</t>
        </is>
      </c>
      <c r="D2347" s="7" t="inlineStr">
        <is>
          <t>Puget Sound Naval Shipyard &amp; IMF: Performance Data - Navy/Marine Corps Intranet (NMCI)</t>
        </is>
      </c>
      <c r="E2347" s="13" t="inlineStr">
        <is>
          <t>[ALT_VIEW]</t>
        </is>
      </c>
      <c r="F2347" s="7" t="inlineStr">
        <is>
          <t>PSNS&amp;IMF Total</t>
        </is>
      </c>
      <c r="I2347" s="14" t="n">
        <v>2</v>
      </c>
      <c r="J2347" s="7" t="inlineStr">
        <is>
          <t>Scheduled Depot Maintenance</t>
        </is>
      </c>
      <c r="K2347" s="15" t="n"/>
      <c r="O2347" s="15" t="n"/>
      <c r="P2347" s="16" t="n">
        <v>9655</v>
      </c>
      <c r="Q2347" s="16" t="n">
        <v>9858</v>
      </c>
      <c r="S2347" s="16" t="n">
        <v>10065</v>
      </c>
      <c r="AC2347" s="23">
        <f>IF(OR(E2347="",E2347="[PARENT]"),"ADD",IF(E2347="[ALT_VIEW]","ALT",""))</f>
        <v/>
      </c>
      <c r="AD2347" s="21">
        <f>IF(Y2347&lt;&gt;"",Y2347,IF(U2347&lt;&gt;"",U2347,S2347))</f>
        <v/>
      </c>
      <c r="AE2347" s="21">
        <f>IF(AB2347&lt;&gt;"",AB2347,Z2347)</f>
        <v/>
      </c>
      <c r="AF2347" s="13" t="inlineStr">
        <is>
          <t>OMN Vol2 &gt; OP-5A &gt; PSNS&amp;IMF &gt; Performance Data &gt; NMCI</t>
        </is>
      </c>
      <c r="AG2347" s="7" t="inlineStr">
        <is>
          <t>75</t>
        </is>
      </c>
      <c r="AH2347" s="7" t="inlineStr">
        <is>
          <t>1B4B</t>
        </is>
      </c>
      <c r="AI2347" s="7" t="inlineStr">
        <is>
          <t>PSNS&amp;IMF</t>
        </is>
      </c>
      <c r="AJ2347" s="7" t="inlineStr">
        <is>
          <t>Performance Data</t>
        </is>
      </c>
    </row>
    <row r="2348" ht="10" customHeight="1">
      <c r="A2348" s="7" t="inlineStr">
        <is>
          <t>OMN_Vol2</t>
        </is>
      </c>
      <c r="B2348" s="7" t="inlineStr">
        <is>
          <t>O&amp;M</t>
        </is>
      </c>
      <c r="D2348" s="7" t="inlineStr">
        <is>
          <t>Puget Sound Naval Shipyard &amp; IMF: Performance Data - Total</t>
        </is>
      </c>
      <c r="E2348" s="13" t="inlineStr">
        <is>
          <t>[ALT_VIEW]</t>
        </is>
      </c>
      <c r="F2348" s="7" t="inlineStr">
        <is>
          <t>PSNS&amp;IMF Total</t>
        </is>
      </c>
      <c r="I2348" s="14" t="n">
        <v>2</v>
      </c>
      <c r="J2348" s="7" t="inlineStr">
        <is>
          <t>Scheduled Depot Maintenance</t>
        </is>
      </c>
      <c r="K2348" s="15" t="n"/>
      <c r="O2348" s="15" t="n"/>
      <c r="P2348" s="16" t="n">
        <v>2902331</v>
      </c>
      <c r="Q2348" s="16" t="n">
        <v>3198161</v>
      </c>
      <c r="S2348" s="16" t="n">
        <v>3473772</v>
      </c>
      <c r="AC2348" s="23">
        <f>IF(OR(E2348="",E2348="[PARENT]"),"ADD",IF(E2348="[ALT_VIEW]","ALT",""))</f>
        <v/>
      </c>
      <c r="AD2348" s="21">
        <f>IF(Y2348&lt;&gt;"",Y2348,IF(U2348&lt;&gt;"",U2348,S2348))</f>
        <v/>
      </c>
      <c r="AE2348" s="21">
        <f>IF(AB2348&lt;&gt;"",AB2348,Z2348)</f>
        <v/>
      </c>
      <c r="AF2348" s="13" t="inlineStr">
        <is>
          <t>OMN Vol2 &gt; OP-5A &gt; PSNS&amp;IMF &gt; Performance Data &gt; Total</t>
        </is>
      </c>
      <c r="AG2348" s="7" t="inlineStr">
        <is>
          <t>75</t>
        </is>
      </c>
      <c r="AH2348" s="7" t="inlineStr">
        <is>
          <t>1B4B</t>
        </is>
      </c>
      <c r="AI2348" s="7" t="inlineStr">
        <is>
          <t>PSNS&amp;IMF</t>
        </is>
      </c>
      <c r="AJ2348" s="7" t="inlineStr">
        <is>
          <t>Performance Data</t>
        </is>
      </c>
    </row>
    <row r="2349" ht="10" customHeight="1">
      <c r="A2349" s="7" t="inlineStr">
        <is>
          <t>OMN_Vol2</t>
        </is>
      </c>
      <c r="B2349" s="7" t="inlineStr">
        <is>
          <t>O&amp;M</t>
        </is>
      </c>
      <c r="D2349" s="7" t="inlineStr">
        <is>
          <t>Puget Sound Naval Shipyard &amp; IMF: Infrastructure - Base Operating Support (Operation &amp; Maintenance, Navy)</t>
        </is>
      </c>
      <c r="E2349" s="13" t="inlineStr">
        <is>
          <t>[SUB]</t>
        </is>
      </c>
      <c r="F2349" s="7" t="inlineStr">
        <is>
          <t>PSNS&amp;IMF Infrastructure Total</t>
        </is>
      </c>
      <c r="I2349" s="14" t="n">
        <v>7</v>
      </c>
      <c r="J2349" s="7" t="inlineStr">
        <is>
          <t>Availability Support</t>
        </is>
      </c>
      <c r="K2349" s="15" t="n"/>
      <c r="O2349" s="15" t="n"/>
      <c r="P2349" s="16" t="n">
        <v>5444</v>
      </c>
      <c r="Q2349" s="16" t="n">
        <v>5558</v>
      </c>
      <c r="S2349" s="16" t="n">
        <v>5675</v>
      </c>
      <c r="AC2349" s="23">
        <f>IF(OR(E2349="",E2349="[PARENT]"),"ADD",IF(E2349="[ALT_VIEW]","ALT",""))</f>
        <v/>
      </c>
      <c r="AD2349" s="21">
        <f>IF(Y2349&lt;&gt;"",Y2349,IF(U2349&lt;&gt;"",U2349,S2349))</f>
        <v/>
      </c>
      <c r="AE2349" s="21">
        <f>IF(AB2349&lt;&gt;"",AB2349,Z2349)</f>
        <v/>
      </c>
      <c r="AF2349" s="13" t="inlineStr">
        <is>
          <t>OMN Vol2 &gt; OP-5A &gt; PSNS&amp;IMF &gt; Infrastructure &gt; Base Operating Support (OM,N)</t>
        </is>
      </c>
      <c r="AG2349" s="7" t="inlineStr">
        <is>
          <t>78</t>
        </is>
      </c>
      <c r="AH2349" s="7" t="inlineStr">
        <is>
          <t>1B4B</t>
        </is>
      </c>
      <c r="AI2349" s="7" t="inlineStr">
        <is>
          <t>PSNS&amp;IMF</t>
        </is>
      </c>
      <c r="AJ2349" s="7" t="inlineStr">
        <is>
          <t>Infrastructure</t>
        </is>
      </c>
    </row>
    <row r="2350" ht="10" customHeight="1">
      <c r="A2350" s="7" t="inlineStr">
        <is>
          <t>OMN_Vol2</t>
        </is>
      </c>
      <c r="B2350" s="7" t="inlineStr">
        <is>
          <t>O&amp;M</t>
        </is>
      </c>
      <c r="D2350" s="7" t="inlineStr">
        <is>
          <t>Puget Sound Naval Shipyard &amp; IMF: Infrastructure - Capital Equipment (Other Procurement, Navy)</t>
        </is>
      </c>
      <c r="E2350" s="13" t="inlineStr">
        <is>
          <t>[SUB]</t>
        </is>
      </c>
      <c r="F2350" s="7" t="inlineStr">
        <is>
          <t>PSNS&amp;IMF Infrastructure Total</t>
        </is>
      </c>
      <c r="I2350" s="14" t="n">
        <v>7</v>
      </c>
      <c r="J2350" s="7" t="inlineStr">
        <is>
          <t>Availability Support</t>
        </is>
      </c>
      <c r="K2350" s="15" t="n"/>
      <c r="O2350" s="15" t="n"/>
      <c r="P2350" s="16" t="n">
        <v>67630</v>
      </c>
      <c r="Q2350" s="16" t="n">
        <v>9252</v>
      </c>
      <c r="S2350" s="16" t="n">
        <v>0</v>
      </c>
      <c r="AC2350" s="23">
        <f>IF(OR(E2350="",E2350="[PARENT]"),"ADD",IF(E2350="[ALT_VIEW]","ALT",""))</f>
        <v/>
      </c>
      <c r="AD2350" s="21">
        <f>IF(Y2350&lt;&gt;"",Y2350,IF(U2350&lt;&gt;"",U2350,S2350))</f>
        <v/>
      </c>
      <c r="AE2350" s="21">
        <f>IF(AB2350&lt;&gt;"",AB2350,Z2350)</f>
        <v/>
      </c>
      <c r="AF2350" s="13" t="inlineStr">
        <is>
          <t>OMN Vol2 &gt; OP-5A &gt; PSNS&amp;IMF &gt; Infrastructure &gt; Capital Equipment (OP,N)</t>
        </is>
      </c>
      <c r="AG2350" s="7" t="inlineStr">
        <is>
          <t>78</t>
        </is>
      </c>
      <c r="AH2350" s="7" t="inlineStr">
        <is>
          <t>1B4B</t>
        </is>
      </c>
      <c r="AI2350" s="7" t="inlineStr">
        <is>
          <t>PSNS&amp;IMF</t>
        </is>
      </c>
      <c r="AJ2350" s="7" t="inlineStr">
        <is>
          <t>Infrastructure</t>
        </is>
      </c>
    </row>
    <row r="2351" ht="10" customHeight="1">
      <c r="A2351" s="7" t="inlineStr">
        <is>
          <t>OMN_Vol2</t>
        </is>
      </c>
      <c r="B2351" s="7" t="inlineStr">
        <is>
          <t>O&amp;M</t>
        </is>
      </c>
      <c r="D2351" s="7" t="inlineStr">
        <is>
          <t>Puget Sound Naval Shipyard &amp; IMF: Infrastructure - Facilities Restoration &amp; Modernization (Operation &amp; Maintenance, Navy)</t>
        </is>
      </c>
      <c r="E2351" s="13" t="inlineStr">
        <is>
          <t>[SUB]</t>
        </is>
      </c>
      <c r="F2351" s="7" t="inlineStr">
        <is>
          <t>PSNS&amp;IMF Infrastructure Total</t>
        </is>
      </c>
      <c r="I2351" s="14" t="n">
        <v>7</v>
      </c>
      <c r="J2351" s="7" t="inlineStr">
        <is>
          <t>Availability Support</t>
        </is>
      </c>
      <c r="K2351" s="15" t="n"/>
      <c r="O2351" s="15" t="n"/>
      <c r="P2351" s="16" t="n">
        <v>100356</v>
      </c>
      <c r="Q2351" s="16" t="n">
        <v>149268</v>
      </c>
      <c r="S2351" s="16" t="n">
        <v>981248</v>
      </c>
      <c r="AC2351" s="23">
        <f>IF(OR(E2351="",E2351="[PARENT]"),"ADD",IF(E2351="[ALT_VIEW]","ALT",""))</f>
        <v/>
      </c>
      <c r="AD2351" s="21">
        <f>IF(Y2351&lt;&gt;"",Y2351,IF(U2351&lt;&gt;"",U2351,S2351))</f>
        <v/>
      </c>
      <c r="AE2351" s="21">
        <f>IF(AB2351&lt;&gt;"",AB2351,Z2351)</f>
        <v/>
      </c>
      <c r="AF2351" s="13" t="inlineStr">
        <is>
          <t>OMN Vol2 &gt; OP-5A &gt; PSNS&amp;IMF &gt; Infrastructure &gt; Facilities Restoration &amp; Modernization (OM,N)</t>
        </is>
      </c>
      <c r="AG2351" s="7" t="inlineStr">
        <is>
          <t>78</t>
        </is>
      </c>
      <c r="AH2351" s="7" t="inlineStr">
        <is>
          <t>1B4B</t>
        </is>
      </c>
      <c r="AI2351" s="7" t="inlineStr">
        <is>
          <t>PSNS&amp;IMF</t>
        </is>
      </c>
      <c r="AJ2351" s="7" t="inlineStr">
        <is>
          <t>Infrastructure</t>
        </is>
      </c>
    </row>
    <row r="2352" ht="10" customHeight="1">
      <c r="A2352" s="7" t="inlineStr">
        <is>
          <t>OMN_Vol2</t>
        </is>
      </c>
      <c r="B2352" s="7" t="inlineStr">
        <is>
          <t>O&amp;M</t>
        </is>
      </c>
      <c r="D2352" s="7" t="inlineStr">
        <is>
          <t>Puget Sound Naval Shipyard &amp; IMF: Infrastructure - Facilities Restoration &amp; Modernization (Navy Working Capital Fund)</t>
        </is>
      </c>
      <c r="E2352" s="13" t="inlineStr">
        <is>
          <t>[SUB]</t>
        </is>
      </c>
      <c r="F2352" s="7" t="inlineStr">
        <is>
          <t>PSNS&amp;IMF Infrastructure Total</t>
        </is>
      </c>
      <c r="I2352" s="14" t="n">
        <v>7</v>
      </c>
      <c r="J2352" s="7" t="inlineStr">
        <is>
          <t>Availability Support</t>
        </is>
      </c>
      <c r="K2352" s="15" t="n"/>
      <c r="O2352" s="15" t="n"/>
      <c r="P2352" s="16" t="n">
        <v>0</v>
      </c>
      <c r="Q2352" s="16" t="n">
        <v>0</v>
      </c>
      <c r="S2352" s="16" t="n">
        <v>0</v>
      </c>
      <c r="AC2352" s="23">
        <f>IF(OR(E2352="",E2352="[PARENT]"),"ADD",IF(E2352="[ALT_VIEW]","ALT",""))</f>
        <v/>
      </c>
      <c r="AD2352" s="21">
        <f>IF(Y2352&lt;&gt;"",Y2352,IF(U2352&lt;&gt;"",U2352,S2352))</f>
        <v/>
      </c>
      <c r="AE2352" s="21">
        <f>IF(AB2352&lt;&gt;"",AB2352,Z2352)</f>
        <v/>
      </c>
      <c r="AF2352" s="13" t="inlineStr">
        <is>
          <t>OMN Vol2 &gt; OP-5A &gt; PSNS&amp;IMF &gt; Infrastructure &gt; Facilities Restoration &amp; Modernization (NWCF)</t>
        </is>
      </c>
      <c r="AG2352" s="7" t="inlineStr">
        <is>
          <t>78</t>
        </is>
      </c>
      <c r="AH2352" s="7" t="inlineStr">
        <is>
          <t>1B4B</t>
        </is>
      </c>
      <c r="AI2352" s="7" t="inlineStr">
        <is>
          <t>PSNS&amp;IMF</t>
        </is>
      </c>
      <c r="AJ2352" s="7" t="inlineStr">
        <is>
          <t>Infrastructure</t>
        </is>
      </c>
    </row>
    <row r="2353" ht="10" customHeight="1">
      <c r="A2353" s="7" t="inlineStr">
        <is>
          <t>OMN_Vol2</t>
        </is>
      </c>
      <c r="B2353" s="7" t="inlineStr">
        <is>
          <t>O&amp;M</t>
        </is>
      </c>
      <c r="D2353" s="7" t="inlineStr">
        <is>
          <t>Puget Sound Naval Shipyard &amp; IMF: Infrastructure - Military Construction (MILCON)</t>
        </is>
      </c>
      <c r="E2353" s="13" t="inlineStr">
        <is>
          <t>[SUB]</t>
        </is>
      </c>
      <c r="F2353" s="7" t="inlineStr">
        <is>
          <t>PSNS&amp;IMF Infrastructure Total</t>
        </is>
      </c>
      <c r="I2353" s="14" t="n">
        <v>7</v>
      </c>
      <c r="J2353" s="7" t="inlineStr">
        <is>
          <t>Availability Support</t>
        </is>
      </c>
      <c r="K2353" s="15" t="n"/>
      <c r="O2353" s="15" t="n"/>
      <c r="P2353" s="16" t="n">
        <v>195000</v>
      </c>
      <c r="Q2353" s="16" t="n">
        <v>182200</v>
      </c>
      <c r="S2353" s="16" t="n">
        <v>48800</v>
      </c>
      <c r="AC2353" s="23">
        <f>IF(OR(E2353="",E2353="[PARENT]"),"ADD",IF(E2353="[ALT_VIEW]","ALT",""))</f>
        <v/>
      </c>
      <c r="AD2353" s="21">
        <f>IF(Y2353&lt;&gt;"",Y2353,IF(U2353&lt;&gt;"",U2353,S2353))</f>
        <v/>
      </c>
      <c r="AE2353" s="21">
        <f>IF(AB2353&lt;&gt;"",AB2353,Z2353)</f>
        <v/>
      </c>
      <c r="AF2353" s="13" t="inlineStr">
        <is>
          <t>OMN Vol2 &gt; OP-5A &gt; PSNS&amp;IMF &gt; Infrastructure &gt; Military Construction (MILCON)</t>
        </is>
      </c>
      <c r="AG2353" s="7" t="inlineStr">
        <is>
          <t>78</t>
        </is>
      </c>
      <c r="AH2353" s="7" t="inlineStr">
        <is>
          <t>1B4B</t>
        </is>
      </c>
      <c r="AI2353" s="7" t="inlineStr">
        <is>
          <t>PSNS&amp;IMF</t>
        </is>
      </c>
      <c r="AJ2353" s="7" t="inlineStr">
        <is>
          <t>Infrastructure</t>
        </is>
      </c>
    </row>
    <row r="2354" ht="10" customHeight="1">
      <c r="A2354" s="7" t="inlineStr">
        <is>
          <t>OMN_Vol2</t>
        </is>
      </c>
      <c r="B2354" s="7" t="inlineStr">
        <is>
          <t>O&amp;M</t>
        </is>
      </c>
      <c r="D2354" s="7" t="inlineStr">
        <is>
          <t>Puget Sound Naval Shipyard &amp; IMF: Infrastructure - Total</t>
        </is>
      </c>
      <c r="E2354" s="13" t="inlineStr">
        <is>
          <t>[PARENT]</t>
        </is>
      </c>
      <c r="I2354" s="14" t="n">
        <v>7</v>
      </c>
      <c r="J2354" s="7" t="inlineStr">
        <is>
          <t>Availability Support</t>
        </is>
      </c>
      <c r="K2354" s="15" t="n"/>
      <c r="O2354" s="15" t="n"/>
      <c r="P2354" s="16" t="n">
        <v>368430</v>
      </c>
      <c r="Q2354" s="16" t="n">
        <v>346278</v>
      </c>
      <c r="S2354" s="16" t="n">
        <v>1035723</v>
      </c>
      <c r="AC2354" s="23">
        <f>IF(OR(E2354="",E2354="[PARENT]"),"ADD",IF(E2354="[ALT_VIEW]","ALT",""))</f>
        <v/>
      </c>
      <c r="AD2354" s="21">
        <f>IF(Y2354&lt;&gt;"",Y2354,IF(U2354&lt;&gt;"",U2354,S2354))</f>
        <v/>
      </c>
      <c r="AE2354" s="21">
        <f>IF(AB2354&lt;&gt;"",AB2354,Z2354)</f>
        <v/>
      </c>
      <c r="AF2354" s="13" t="inlineStr">
        <is>
          <t>OMN Vol2 &gt; OP-5A &gt; PSNS&amp;IMF &gt; Infrastructure &gt; Total</t>
        </is>
      </c>
      <c r="AG2354" s="7" t="inlineStr">
        <is>
          <t>78</t>
        </is>
      </c>
      <c r="AH2354" s="7" t="inlineStr">
        <is>
          <t>1B4B</t>
        </is>
      </c>
      <c r="AI2354" s="7" t="inlineStr">
        <is>
          <t>PSNS&amp;IMF</t>
        </is>
      </c>
      <c r="AJ2354" s="7" t="inlineStr">
        <is>
          <t>Infrastructure</t>
        </is>
      </c>
    </row>
    <row r="2355" ht="10" customHeight="1">
      <c r="A2355" s="7" t="inlineStr">
        <is>
          <t>OMN_Vol2</t>
        </is>
      </c>
      <c r="B2355" s="7" t="inlineStr">
        <is>
          <t>O&amp;M</t>
        </is>
      </c>
      <c r="D2355" s="7" t="inlineStr">
        <is>
          <t>Puget Sound Naval Shipyard &amp; IMF: Capital Equipment - Seismic Cradles Fabrication</t>
        </is>
      </c>
      <c r="E2355" s="13" t="inlineStr">
        <is>
          <t>[SUB]</t>
        </is>
      </c>
      <c r="F2355" s="7" t="inlineStr">
        <is>
          <t>PSNS&amp;IMF Infrastructure Total</t>
        </is>
      </c>
      <c r="I2355" s="14" t="n">
        <v>7</v>
      </c>
      <c r="J2355" s="7" t="inlineStr">
        <is>
          <t>Availability Support</t>
        </is>
      </c>
      <c r="K2355" s="15" t="n"/>
      <c r="O2355" s="15" t="n"/>
      <c r="P2355" s="16" t="n">
        <v>32359</v>
      </c>
      <c r="AC2355" s="23">
        <f>IF(OR(E2355="",E2355="[PARENT]"),"ADD",IF(E2355="[ALT_VIEW]","ALT",""))</f>
        <v/>
      </c>
      <c r="AD2355" s="21">
        <f>IF(Y2355&lt;&gt;"",Y2355,IF(U2355&lt;&gt;"",U2355,S2355))</f>
        <v/>
      </c>
      <c r="AE2355" s="21">
        <f>IF(AB2355&lt;&gt;"",AB2355,Z2355)</f>
        <v/>
      </c>
      <c r="AF2355" s="13" t="inlineStr">
        <is>
          <t>OMN Vol2 &gt; OP-5A &gt; PSNS&amp;IMF &gt; Capital Equipment &gt; Seismic Cradles Fabrication</t>
        </is>
      </c>
      <c r="AG2355" s="7" t="inlineStr">
        <is>
          <t>78</t>
        </is>
      </c>
      <c r="AH2355" s="7" t="inlineStr">
        <is>
          <t>1B4B</t>
        </is>
      </c>
      <c r="AI2355" s="7" t="inlineStr">
        <is>
          <t>PSNS&amp;IMF</t>
        </is>
      </c>
      <c r="AJ2355" s="7" t="inlineStr">
        <is>
          <t>Capital Equipment</t>
        </is>
      </c>
    </row>
    <row r="2356" ht="10" customHeight="1">
      <c r="A2356" s="7" t="inlineStr">
        <is>
          <t>OMN_Vol2</t>
        </is>
      </c>
      <c r="B2356" s="7" t="inlineStr">
        <is>
          <t>O&amp;M</t>
        </is>
      </c>
      <c r="D2356" s="7" t="inlineStr">
        <is>
          <t>Puget Sound Naval Shipyard &amp; IMF: Capital Equipment - Oily Waste Water Treatment System</t>
        </is>
      </c>
      <c r="E2356" s="13" t="inlineStr">
        <is>
          <t>[SUB]</t>
        </is>
      </c>
      <c r="F2356" s="7" t="inlineStr">
        <is>
          <t>PSNS&amp;IMF Infrastructure Total</t>
        </is>
      </c>
      <c r="I2356" s="14" t="n">
        <v>7</v>
      </c>
      <c r="J2356" s="7" t="inlineStr">
        <is>
          <t>Availability Support</t>
        </is>
      </c>
      <c r="K2356" s="15" t="n"/>
      <c r="O2356" s="15" t="n"/>
      <c r="P2356" s="16" t="n">
        <v>11722</v>
      </c>
      <c r="AC2356" s="23">
        <f>IF(OR(E2356="",E2356="[PARENT]"),"ADD",IF(E2356="[ALT_VIEW]","ALT",""))</f>
        <v/>
      </c>
      <c r="AD2356" s="21">
        <f>IF(Y2356&lt;&gt;"",Y2356,IF(U2356&lt;&gt;"",U2356,S2356))</f>
        <v/>
      </c>
      <c r="AE2356" s="21">
        <f>IF(AB2356&lt;&gt;"",AB2356,Z2356)</f>
        <v/>
      </c>
      <c r="AF2356" s="13" t="inlineStr">
        <is>
          <t>OMN Vol2 &gt; OP-5A &gt; PSNS&amp;IMF &gt; Capital Equipment &gt; Oily Waste Water Treatment System</t>
        </is>
      </c>
      <c r="AG2356" s="7" t="inlineStr">
        <is>
          <t>78</t>
        </is>
      </c>
      <c r="AH2356" s="7" t="inlineStr">
        <is>
          <t>1B4B</t>
        </is>
      </c>
      <c r="AI2356" s="7" t="inlineStr">
        <is>
          <t>PSNS&amp;IMF</t>
        </is>
      </c>
      <c r="AJ2356" s="7" t="inlineStr">
        <is>
          <t>Capital Equipment</t>
        </is>
      </c>
    </row>
    <row r="2357" ht="10" customHeight="1">
      <c r="A2357" s="7" t="inlineStr">
        <is>
          <t>OMN_Vol2</t>
        </is>
      </c>
      <c r="B2357" s="7" t="inlineStr">
        <is>
          <t>O&amp;M</t>
        </is>
      </c>
      <c r="D2357" s="7" t="inlineStr">
        <is>
          <t>Puget Sound Naval Shipyard &amp; IMF: Capital Equipment - 25 Ton Portal Crane Litigation Expense - Paid</t>
        </is>
      </c>
      <c r="E2357" s="13" t="inlineStr">
        <is>
          <t>[SUB]</t>
        </is>
      </c>
      <c r="F2357" s="7" t="inlineStr">
        <is>
          <t>PSNS&amp;IMF Infrastructure Total</t>
        </is>
      </c>
      <c r="I2357" s="14" t="n">
        <v>7</v>
      </c>
      <c r="J2357" s="7" t="inlineStr">
        <is>
          <t>Availability Support</t>
        </is>
      </c>
      <c r="K2357" s="15" t="n"/>
      <c r="O2357" s="15" t="n"/>
      <c r="P2357" s="16" t="n">
        <v>5376</v>
      </c>
      <c r="AC2357" s="23">
        <f>IF(OR(E2357="",E2357="[PARENT]"),"ADD",IF(E2357="[ALT_VIEW]","ALT",""))</f>
        <v/>
      </c>
      <c r="AD2357" s="21">
        <f>IF(Y2357&lt;&gt;"",Y2357,IF(U2357&lt;&gt;"",U2357,S2357))</f>
        <v/>
      </c>
      <c r="AE2357" s="21">
        <f>IF(AB2357&lt;&gt;"",AB2357,Z2357)</f>
        <v/>
      </c>
      <c r="AF2357" s="13" t="inlineStr">
        <is>
          <t>OMN Vol2 &gt; OP-5A &gt; PSNS&amp;IMF &gt; Capital Equipment &gt; 25 Ton Portal Crane Litigation Expense - Paid</t>
        </is>
      </c>
      <c r="AG2357" s="7" t="inlineStr">
        <is>
          <t>78</t>
        </is>
      </c>
      <c r="AH2357" s="7" t="inlineStr">
        <is>
          <t>1B4B</t>
        </is>
      </c>
      <c r="AI2357" s="7" t="inlineStr">
        <is>
          <t>PSNS&amp;IMF</t>
        </is>
      </c>
      <c r="AJ2357" s="7" t="inlineStr">
        <is>
          <t>Capital Equipment</t>
        </is>
      </c>
    </row>
    <row r="2358" ht="10" customHeight="1">
      <c r="A2358" s="7" t="inlineStr">
        <is>
          <t>OMN_Vol2</t>
        </is>
      </c>
      <c r="B2358" s="7" t="inlineStr">
        <is>
          <t>O&amp;M</t>
        </is>
      </c>
      <c r="D2358" s="7" t="inlineStr">
        <is>
          <t>Puget Sound Naval Shipyard &amp; IMF: Capital Equipment - 25 Ton Portal Crane Remaining Interest Claim</t>
        </is>
      </c>
      <c r="E2358" s="13" t="inlineStr">
        <is>
          <t>[SUB]</t>
        </is>
      </c>
      <c r="F2358" s="7" t="inlineStr">
        <is>
          <t>PSNS&amp;IMF Infrastructure Total</t>
        </is>
      </c>
      <c r="I2358" s="14" t="n">
        <v>7</v>
      </c>
      <c r="J2358" s="7" t="inlineStr">
        <is>
          <t>Availability Support</t>
        </is>
      </c>
      <c r="K2358" s="15" t="n"/>
      <c r="O2358" s="15" t="n"/>
      <c r="P2358" s="16" t="n">
        <v>298</v>
      </c>
      <c r="AC2358" s="23">
        <f>IF(OR(E2358="",E2358="[PARENT]"),"ADD",IF(E2358="[ALT_VIEW]","ALT",""))</f>
        <v/>
      </c>
      <c r="AD2358" s="21">
        <f>IF(Y2358&lt;&gt;"",Y2358,IF(U2358&lt;&gt;"",U2358,S2358))</f>
        <v/>
      </c>
      <c r="AE2358" s="21">
        <f>IF(AB2358&lt;&gt;"",AB2358,Z2358)</f>
        <v/>
      </c>
      <c r="AF2358" s="13" t="inlineStr">
        <is>
          <t>OMN Vol2 &gt; OP-5A &gt; PSNS&amp;IMF &gt; Capital Equipment &gt; 25 Ton Portal Crane Remaining Interest Claim</t>
        </is>
      </c>
      <c r="AG2358" s="7" t="inlineStr">
        <is>
          <t>78</t>
        </is>
      </c>
      <c r="AH2358" s="7" t="inlineStr">
        <is>
          <t>1B4B</t>
        </is>
      </c>
      <c r="AI2358" s="7" t="inlineStr">
        <is>
          <t>PSNS&amp;IMF</t>
        </is>
      </c>
      <c r="AJ2358" s="7" t="inlineStr">
        <is>
          <t>Capital Equipment</t>
        </is>
      </c>
    </row>
    <row r="2359" ht="10" customHeight="1">
      <c r="A2359" s="7" t="inlineStr">
        <is>
          <t>OMN_Vol2</t>
        </is>
      </c>
      <c r="B2359" s="7" t="inlineStr">
        <is>
          <t>O&amp;M</t>
        </is>
      </c>
      <c r="D2359" s="7" t="inlineStr">
        <is>
          <t>Puget Sound Naval Shipyard &amp; IMF: Capital Equipment - Badge Reader System</t>
        </is>
      </c>
      <c r="E2359" s="13" t="inlineStr">
        <is>
          <t>[SUB]</t>
        </is>
      </c>
      <c r="F2359" s="7" t="inlineStr">
        <is>
          <t>PSNS&amp;IMF Infrastructure Total</t>
        </is>
      </c>
      <c r="I2359" s="14" t="n">
        <v>7</v>
      </c>
      <c r="J2359" s="7" t="inlineStr">
        <is>
          <t>Availability Support</t>
        </is>
      </c>
      <c r="K2359" s="15" t="n"/>
      <c r="O2359" s="15" t="n"/>
      <c r="P2359" s="16" t="n">
        <v>1716</v>
      </c>
      <c r="AC2359" s="23">
        <f>IF(OR(E2359="",E2359="[PARENT]"),"ADD",IF(E2359="[ALT_VIEW]","ALT",""))</f>
        <v/>
      </c>
      <c r="AD2359" s="21">
        <f>IF(Y2359&lt;&gt;"",Y2359,IF(U2359&lt;&gt;"",U2359,S2359))</f>
        <v/>
      </c>
      <c r="AE2359" s="21">
        <f>IF(AB2359&lt;&gt;"",AB2359,Z2359)</f>
        <v/>
      </c>
      <c r="AF2359" s="13" t="inlineStr">
        <is>
          <t>OMN Vol2 &gt; OP-5A &gt; PSNS&amp;IMF &gt; Capital Equipment &gt; Badge Reader System</t>
        </is>
      </c>
      <c r="AG2359" s="7" t="inlineStr">
        <is>
          <t>78</t>
        </is>
      </c>
      <c r="AH2359" s="7" t="inlineStr">
        <is>
          <t>1B4B</t>
        </is>
      </c>
      <c r="AI2359" s="7" t="inlineStr">
        <is>
          <t>PSNS&amp;IMF</t>
        </is>
      </c>
      <c r="AJ2359" s="7" t="inlineStr">
        <is>
          <t>Capital Equipment</t>
        </is>
      </c>
    </row>
    <row r="2360" ht="10" customHeight="1">
      <c r="A2360" s="7" t="inlineStr">
        <is>
          <t>OMN_Vol2</t>
        </is>
      </c>
      <c r="B2360" s="7" t="inlineStr">
        <is>
          <t>O&amp;M</t>
        </is>
      </c>
      <c r="D2360" s="7" t="inlineStr">
        <is>
          <t>Puget Sound Naval Shipyard &amp; IMF: Capital Equipment - 175 Ton Portal Crane Gudgeon Bearing Fix</t>
        </is>
      </c>
      <c r="E2360" s="13" t="inlineStr">
        <is>
          <t>[SUB]</t>
        </is>
      </c>
      <c r="F2360" s="7" t="inlineStr">
        <is>
          <t>PSNS&amp;IMF Infrastructure Total</t>
        </is>
      </c>
      <c r="I2360" s="14" t="n">
        <v>7</v>
      </c>
      <c r="J2360" s="7" t="inlineStr">
        <is>
          <t>Availability Support</t>
        </is>
      </c>
      <c r="K2360" s="15" t="n"/>
      <c r="O2360" s="15" t="n"/>
      <c r="P2360" s="16" t="n">
        <v>16159</v>
      </c>
      <c r="AC2360" s="23">
        <f>IF(OR(E2360="",E2360="[PARENT]"),"ADD",IF(E2360="[ALT_VIEW]","ALT",""))</f>
        <v/>
      </c>
      <c r="AD2360" s="21">
        <f>IF(Y2360&lt;&gt;"",Y2360,IF(U2360&lt;&gt;"",U2360,S2360))</f>
        <v/>
      </c>
      <c r="AE2360" s="21">
        <f>IF(AB2360&lt;&gt;"",AB2360,Z2360)</f>
        <v/>
      </c>
      <c r="AF2360" s="13" t="inlineStr">
        <is>
          <t>OMN Vol2 &gt; OP-5A &gt; PSNS&amp;IMF &gt; Capital Equipment &gt; 175 Ton Portal Crane Gudgeon Bearing Fix</t>
        </is>
      </c>
      <c r="AG2360" s="7" t="inlineStr">
        <is>
          <t>78</t>
        </is>
      </c>
      <c r="AH2360" s="7" t="inlineStr">
        <is>
          <t>1B4B</t>
        </is>
      </c>
      <c r="AI2360" s="7" t="inlineStr">
        <is>
          <t>PSNS&amp;IMF</t>
        </is>
      </c>
      <c r="AJ2360" s="7" t="inlineStr">
        <is>
          <t>Capital Equipment</t>
        </is>
      </c>
    </row>
    <row r="2361" ht="10" customHeight="1">
      <c r="A2361" s="7" t="inlineStr">
        <is>
          <t>OMN_Vol2</t>
        </is>
      </c>
      <c r="B2361" s="7" t="inlineStr">
        <is>
          <t>O&amp;M</t>
        </is>
      </c>
      <c r="D2361" s="7" t="inlineStr">
        <is>
          <t>Puget Sound Naval Shipyard &amp; IMF: Capital Equipment - P-454 Phase 0 IT Equipment</t>
        </is>
      </c>
      <c r="E2361" s="13" t="inlineStr">
        <is>
          <t>[SUB]</t>
        </is>
      </c>
      <c r="F2361" s="7" t="inlineStr">
        <is>
          <t>PSNS&amp;IMF Infrastructure Total</t>
        </is>
      </c>
      <c r="I2361" s="14" t="n">
        <v>7</v>
      </c>
      <c r="J2361" s="7" t="inlineStr">
        <is>
          <t>Availability Support</t>
        </is>
      </c>
      <c r="K2361" s="15" t="n"/>
      <c r="O2361" s="15" t="n"/>
      <c r="Q2361" s="16" t="n">
        <v>3620</v>
      </c>
      <c r="AC2361" s="23">
        <f>IF(OR(E2361="",E2361="[PARENT]"),"ADD",IF(E2361="[ALT_VIEW]","ALT",""))</f>
        <v/>
      </c>
      <c r="AD2361" s="21">
        <f>IF(Y2361&lt;&gt;"",Y2361,IF(U2361&lt;&gt;"",U2361,S2361))</f>
        <v/>
      </c>
      <c r="AE2361" s="21">
        <f>IF(AB2361&lt;&gt;"",AB2361,Z2361)</f>
        <v/>
      </c>
      <c r="AF2361" s="13" t="inlineStr">
        <is>
          <t>OMN Vol2 &gt; OP-5A &gt; PSNS&amp;IMF &gt; Capital Equipment &gt; P-454 Phase 0 IT Equipment</t>
        </is>
      </c>
      <c r="AG2361" s="7" t="inlineStr">
        <is>
          <t>78</t>
        </is>
      </c>
      <c r="AH2361" s="7" t="inlineStr">
        <is>
          <t>1B4B</t>
        </is>
      </c>
      <c r="AI2361" s="7" t="inlineStr">
        <is>
          <t>PSNS&amp;IMF</t>
        </is>
      </c>
      <c r="AJ2361" s="7" t="inlineStr">
        <is>
          <t>Capital Equipment</t>
        </is>
      </c>
    </row>
    <row r="2362" ht="10" customHeight="1">
      <c r="A2362" s="7" t="inlineStr">
        <is>
          <t>OMN_Vol2</t>
        </is>
      </c>
      <c r="B2362" s="7" t="inlineStr">
        <is>
          <t>O&amp;M</t>
        </is>
      </c>
      <c r="D2362" s="7" t="inlineStr">
        <is>
          <t>Puget Sound Naval Shipyard &amp; IMF: Capital Equipment - Seismic Stability System Design (SSN 23 Class)</t>
        </is>
      </c>
      <c r="E2362" s="13" t="inlineStr">
        <is>
          <t>[SUB]</t>
        </is>
      </c>
      <c r="F2362" s="7" t="inlineStr">
        <is>
          <t>PSNS&amp;IMF Infrastructure Total</t>
        </is>
      </c>
      <c r="I2362" s="14" t="n">
        <v>7</v>
      </c>
      <c r="J2362" s="7" t="inlineStr">
        <is>
          <t>Availability Support</t>
        </is>
      </c>
      <c r="K2362" s="15" t="n"/>
      <c r="O2362" s="15" t="n"/>
      <c r="Q2362" s="16" t="n">
        <v>1500</v>
      </c>
      <c r="AC2362" s="23">
        <f>IF(OR(E2362="",E2362="[PARENT]"),"ADD",IF(E2362="[ALT_VIEW]","ALT",""))</f>
        <v/>
      </c>
      <c r="AD2362" s="21">
        <f>IF(Y2362&lt;&gt;"",Y2362,IF(U2362&lt;&gt;"",U2362,S2362))</f>
        <v/>
      </c>
      <c r="AE2362" s="21">
        <f>IF(AB2362&lt;&gt;"",AB2362,Z2362)</f>
        <v/>
      </c>
      <c r="AF2362" s="13" t="inlineStr">
        <is>
          <t>OMN Vol2 &gt; OP-5A &gt; PSNS&amp;IMF &gt; Capital Equipment &gt; Seismic Stability System Design (SSN 23 Class)</t>
        </is>
      </c>
      <c r="AG2362" s="7" t="inlineStr">
        <is>
          <t>78</t>
        </is>
      </c>
      <c r="AH2362" s="7" t="inlineStr">
        <is>
          <t>1B4B</t>
        </is>
      </c>
      <c r="AI2362" s="7" t="inlineStr">
        <is>
          <t>PSNS&amp;IMF</t>
        </is>
      </c>
      <c r="AJ2362" s="7" t="inlineStr">
        <is>
          <t>Capital Equipment</t>
        </is>
      </c>
    </row>
    <row r="2363" ht="10" customHeight="1">
      <c r="A2363" s="7" t="inlineStr">
        <is>
          <t>OMN_Vol2</t>
        </is>
      </c>
      <c r="B2363" s="7" t="inlineStr">
        <is>
          <t>O&amp;M</t>
        </is>
      </c>
      <c r="D2363" s="7" t="inlineStr">
        <is>
          <t>Puget Sound Naval Shipyard &amp; IMF: Capital Equipment - 25 Ton Portal Crane (FY17 back-fill)</t>
        </is>
      </c>
      <c r="E2363" s="13" t="inlineStr">
        <is>
          <t>[SUB]</t>
        </is>
      </c>
      <c r="F2363" s="7" t="inlineStr">
        <is>
          <t>PSNS&amp;IMF Infrastructure Total</t>
        </is>
      </c>
      <c r="I2363" s="14" t="n">
        <v>7</v>
      </c>
      <c r="J2363" s="7" t="inlineStr">
        <is>
          <t>Availability Support</t>
        </is>
      </c>
      <c r="K2363" s="15" t="n"/>
      <c r="O2363" s="15" t="n"/>
      <c r="Q2363" s="16" t="n">
        <v>4132</v>
      </c>
      <c r="AC2363" s="23">
        <f>IF(OR(E2363="",E2363="[PARENT]"),"ADD",IF(E2363="[ALT_VIEW]","ALT",""))</f>
        <v/>
      </c>
      <c r="AD2363" s="21">
        <f>IF(Y2363&lt;&gt;"",Y2363,IF(U2363&lt;&gt;"",U2363,S2363))</f>
        <v/>
      </c>
      <c r="AE2363" s="21">
        <f>IF(AB2363&lt;&gt;"",AB2363,Z2363)</f>
        <v/>
      </c>
      <c r="AF2363" s="13" t="inlineStr">
        <is>
          <t>OMN Vol2 &gt; OP-5A &gt; PSNS&amp;IMF &gt; Capital Equipment &gt; 25 Ton Portal Crane (FY17 back-fill)</t>
        </is>
      </c>
      <c r="AG2363" s="7" t="inlineStr">
        <is>
          <t>78</t>
        </is>
      </c>
      <c r="AH2363" s="7" t="inlineStr">
        <is>
          <t>1B4B</t>
        </is>
      </c>
      <c r="AI2363" s="7" t="inlineStr">
        <is>
          <t>PSNS&amp;IMF</t>
        </is>
      </c>
      <c r="AJ2363" s="7" t="inlineStr">
        <is>
          <t>Capital Equipment</t>
        </is>
      </c>
    </row>
    <row r="2364" ht="10" customHeight="1">
      <c r="A2364" s="7" t="inlineStr">
        <is>
          <t>OMN_Vol2</t>
        </is>
      </c>
      <c r="B2364" s="7" t="inlineStr">
        <is>
          <t>O&amp;M</t>
        </is>
      </c>
      <c r="D2364" s="7" t="inlineStr">
        <is>
          <t>Puget Sound Naval Shipyard &amp; IMF: Military Construction (MILCON) - SHIPYARD ELECTRICAL BACKBONE</t>
        </is>
      </c>
      <c r="E2364" s="13" t="inlineStr">
        <is>
          <t>[SUB]</t>
        </is>
      </c>
      <c r="F2364" s="7" t="inlineStr">
        <is>
          <t>PSNS&amp;IMF Infrastructure Total</t>
        </is>
      </c>
      <c r="I2364" s="14" t="n">
        <v>7</v>
      </c>
      <c r="J2364" s="7" t="inlineStr">
        <is>
          <t>Availability Support</t>
        </is>
      </c>
      <c r="K2364" s="15" t="n"/>
      <c r="O2364" s="15" t="n"/>
      <c r="P2364" s="16" t="n">
        <v>195000</v>
      </c>
      <c r="AC2364" s="23">
        <f>IF(OR(E2364="",E2364="[PARENT]"),"ADD",IF(E2364="[ALT_VIEW]","ALT",""))</f>
        <v/>
      </c>
      <c r="AD2364" s="21">
        <f>IF(Y2364&lt;&gt;"",Y2364,IF(U2364&lt;&gt;"",U2364,S2364))</f>
        <v/>
      </c>
      <c r="AE2364" s="21">
        <f>IF(AB2364&lt;&gt;"",AB2364,Z2364)</f>
        <v/>
      </c>
      <c r="AF2364" s="13" t="inlineStr">
        <is>
          <t>OMN Vol2 &gt; OP-5A &gt; PSNS&amp;IMF &gt; MILCON &gt; SHIPYARD ELECTRICAL BACKBONE</t>
        </is>
      </c>
      <c r="AG2364" s="7" t="inlineStr">
        <is>
          <t>79</t>
        </is>
      </c>
      <c r="AH2364" s="7" t="inlineStr">
        <is>
          <t>1B4B</t>
        </is>
      </c>
      <c r="AI2364" s="7" t="inlineStr">
        <is>
          <t>PSNS&amp;IMF</t>
        </is>
      </c>
      <c r="AJ2364" s="7" t="inlineStr">
        <is>
          <t>MILCON</t>
        </is>
      </c>
    </row>
    <row r="2365" ht="10" customHeight="1">
      <c r="A2365" s="7" t="inlineStr">
        <is>
          <t>OMN_Vol2</t>
        </is>
      </c>
      <c r="B2365" s="7" t="inlineStr">
        <is>
          <t>O&amp;M</t>
        </is>
      </c>
      <c r="D2365" s="7" t="inlineStr">
        <is>
          <t>Puget Sound Naval Shipyard &amp; IMF: Military Construction (MILCON) - CVN 78 ELECTRICAL UPGRADES, INCREMENT 1 of 2</t>
        </is>
      </c>
      <c r="E2365" s="13" t="inlineStr">
        <is>
          <t>[SUB]</t>
        </is>
      </c>
      <c r="F2365" s="7" t="inlineStr">
        <is>
          <t>PSNS&amp;IMF Infrastructure Total</t>
        </is>
      </c>
      <c r="I2365" s="14" t="n">
        <v>7</v>
      </c>
      <c r="J2365" s="7" t="inlineStr">
        <is>
          <t>Availability Support</t>
        </is>
      </c>
      <c r="K2365" s="15" t="n"/>
      <c r="O2365" s="15" t="n"/>
      <c r="Q2365" s="16" t="n">
        <v>182200</v>
      </c>
      <c r="AC2365" s="23">
        <f>IF(OR(E2365="",E2365="[PARENT]"),"ADD",IF(E2365="[ALT_VIEW]","ALT",""))</f>
        <v/>
      </c>
      <c r="AD2365" s="21">
        <f>IF(Y2365&lt;&gt;"",Y2365,IF(U2365&lt;&gt;"",U2365,S2365))</f>
        <v/>
      </c>
      <c r="AE2365" s="21">
        <f>IF(AB2365&lt;&gt;"",AB2365,Z2365)</f>
        <v/>
      </c>
      <c r="AF2365" s="13" t="inlineStr">
        <is>
          <t>OMN Vol2 &gt; OP-5A &gt; PSNS&amp;IMF &gt; MILCON &gt; CVN 78 ELECTRICAL UPGRADES, INCREMENT 1 of 2</t>
        </is>
      </c>
      <c r="AG2365" s="7" t="inlineStr">
        <is>
          <t>79</t>
        </is>
      </c>
      <c r="AH2365" s="7" t="inlineStr">
        <is>
          <t>1B4B</t>
        </is>
      </c>
      <c r="AI2365" s="7" t="inlineStr">
        <is>
          <t>PSNS&amp;IMF</t>
        </is>
      </c>
      <c r="AJ2365" s="7" t="inlineStr">
        <is>
          <t>MILCON</t>
        </is>
      </c>
    </row>
    <row r="2366" ht="10" customHeight="1">
      <c r="A2366" s="7" t="inlineStr">
        <is>
          <t>OMN_Vol2</t>
        </is>
      </c>
      <c r="B2366" s="7" t="inlineStr">
        <is>
          <t>O&amp;M</t>
        </is>
      </c>
      <c r="D2366" s="7" t="inlineStr">
        <is>
          <t>Puget Sound Naval Shipyard &amp; IMF: Military Construction (MILCON) - CVN 78 ELECTRICAL UPGRADES, INCREMENT 2 of 2</t>
        </is>
      </c>
      <c r="E2366" s="13" t="inlineStr">
        <is>
          <t>[SUB]</t>
        </is>
      </c>
      <c r="F2366" s="7" t="inlineStr">
        <is>
          <t>PSNS&amp;IMF Infrastructure Total</t>
        </is>
      </c>
      <c r="I2366" s="14" t="n">
        <v>7</v>
      </c>
      <c r="J2366" s="7" t="inlineStr">
        <is>
          <t>Availability Support</t>
        </is>
      </c>
      <c r="K2366" s="15" t="n"/>
      <c r="O2366" s="15" t="n"/>
      <c r="S2366" s="16" t="n">
        <v>48800</v>
      </c>
      <c r="AC2366" s="23">
        <f>IF(OR(E2366="",E2366="[PARENT]"),"ADD",IF(E2366="[ALT_VIEW]","ALT",""))</f>
        <v/>
      </c>
      <c r="AD2366" s="21">
        <f>IF(Y2366&lt;&gt;"",Y2366,IF(U2366&lt;&gt;"",U2366,S2366))</f>
        <v/>
      </c>
      <c r="AE2366" s="21">
        <f>IF(AB2366&lt;&gt;"",AB2366,Z2366)</f>
        <v/>
      </c>
      <c r="AF2366" s="13" t="inlineStr">
        <is>
          <t>OMN Vol2 &gt; OP-5A &gt; PSNS&amp;IMF &gt; MILCON &gt; CVN 78 ELECTRICAL UPGRADES, INCREMENT 2 of 2</t>
        </is>
      </c>
      <c r="AG2366" s="7" t="inlineStr">
        <is>
          <t>79</t>
        </is>
      </c>
      <c r="AH2366" s="7" t="inlineStr">
        <is>
          <t>1B4B</t>
        </is>
      </c>
      <c r="AI2366" s="7" t="inlineStr">
        <is>
          <t>PSNS&amp;IMF</t>
        </is>
      </c>
      <c r="AJ2366" s="7" t="inlineStr">
        <is>
          <t>MILCON</t>
        </is>
      </c>
    </row>
    <row r="2367" ht="10" customHeight="1">
      <c r="A2367" s="7" t="inlineStr">
        <is>
          <t>OMN_Vol2</t>
        </is>
      </c>
      <c r="B2367" s="7" t="inlineStr">
        <is>
          <t>O&amp;M</t>
        </is>
      </c>
      <c r="D2367" s="7" t="inlineStr">
        <is>
          <t>SSBN 735 USS PENNSYLVANIA* - Engineered Refueling Overhaul (ERO)</t>
        </is>
      </c>
      <c r="E2367" s="13" t="inlineStr">
        <is>
          <t>[REFERENCE]</t>
        </is>
      </c>
      <c r="I2367" s="14" t="n">
        <v>5</v>
      </c>
      <c r="J2367" s="7" t="inlineStr">
        <is>
          <t>Ship Availability</t>
        </is>
      </c>
      <c r="K2367" s="13" t="inlineStr">
        <is>
          <t>USN</t>
        </is>
      </c>
      <c r="L2367" s="7" t="inlineStr">
        <is>
          <t>Combatant Ships</t>
        </is>
      </c>
      <c r="M2367" s="7" t="inlineStr">
        <is>
          <t>Submarines</t>
        </is>
      </c>
      <c r="N2367" s="7" t="inlineStr">
        <is>
          <t>SSBN</t>
        </is>
      </c>
      <c r="O2367" s="15" t="n"/>
      <c r="AC2367" s="23">
        <f>IF(OR(E2367="",E2367="[PARENT]"),"ADD",IF(E2367="[ALT_VIEW]","ALT",""))</f>
        <v/>
      </c>
      <c r="AD2367" s="21">
        <f>IF(Y2367&lt;&gt;"",Y2367,IF(U2367&lt;&gt;"",U2367,S2367))</f>
        <v/>
      </c>
      <c r="AE2367" s="21">
        <f>IF(AB2367&lt;&gt;"",AB2367,Z2367)</f>
        <v/>
      </c>
      <c r="AF2367" s="13" t="inlineStr">
        <is>
          <t>OMN Vol2 &gt; OP-5A &gt; PSNS&amp;IMF &gt; Ship Availability &gt; SSBN 735 USS PENNSYLVANIA* - ERO</t>
        </is>
      </c>
      <c r="AG2367" s="7" t="inlineStr">
        <is>
          <t>80</t>
        </is>
      </c>
      <c r="AH2367" s="7" t="inlineStr">
        <is>
          <t>1B4B</t>
        </is>
      </c>
      <c r="AI2367" s="7" t="inlineStr">
        <is>
          <t>PSNS&amp;IMF</t>
        </is>
      </c>
      <c r="AJ2367" s="7" t="inlineStr">
        <is>
          <t>Ship Availability</t>
        </is>
      </c>
    </row>
    <row r="2368" ht="10" customHeight="1">
      <c r="A2368" s="7" t="inlineStr">
        <is>
          <t>OMN_Vol2</t>
        </is>
      </c>
      <c r="B2368" s="7" t="inlineStr">
        <is>
          <t>O&amp;M</t>
        </is>
      </c>
      <c r="D2368" s="7" t="inlineStr">
        <is>
          <t>CVN 68 USS NIMITZ* - Docking Planned Incremental Availability (DPIA)</t>
        </is>
      </c>
      <c r="E2368" s="13" t="inlineStr">
        <is>
          <t>[REFERENCE]</t>
        </is>
      </c>
      <c r="I2368" s="14" t="n">
        <v>2</v>
      </c>
      <c r="J2368" s="7" t="inlineStr">
        <is>
          <t>Ship Availability</t>
        </is>
      </c>
      <c r="K2368" s="13" t="inlineStr">
        <is>
          <t>USN</t>
        </is>
      </c>
      <c r="L2368" s="7" t="inlineStr">
        <is>
          <t>Combatant Ships</t>
        </is>
      </c>
      <c r="M2368" s="7" t="inlineStr">
        <is>
          <t>Aircraft Carriers</t>
        </is>
      </c>
      <c r="N2368" s="7" t="inlineStr">
        <is>
          <t>CVN</t>
        </is>
      </c>
      <c r="O2368" s="15" t="n"/>
      <c r="AC2368" s="23">
        <f>IF(OR(E2368="",E2368="[PARENT]"),"ADD",IF(E2368="[ALT_VIEW]","ALT",""))</f>
        <v/>
      </c>
      <c r="AD2368" s="21">
        <f>IF(Y2368&lt;&gt;"",Y2368,IF(U2368&lt;&gt;"",U2368,S2368))</f>
        <v/>
      </c>
      <c r="AE2368" s="21">
        <f>IF(AB2368&lt;&gt;"",AB2368,Z2368)</f>
        <v/>
      </c>
      <c r="AF2368" s="13" t="inlineStr">
        <is>
          <t>OMN Vol2 &gt; OP-5A &gt; PSNS&amp;IMF &gt; Ship Availability &gt; CVN 68 USS NIMITZ* - DPIA</t>
        </is>
      </c>
      <c r="AG2368" s="7" t="inlineStr">
        <is>
          <t>80</t>
        </is>
      </c>
      <c r="AH2368" s="7" t="inlineStr">
        <is>
          <t>1B4B</t>
        </is>
      </c>
      <c r="AI2368" s="7" t="inlineStr">
        <is>
          <t>PSNS&amp;IMF</t>
        </is>
      </c>
      <c r="AJ2368" s="7" t="inlineStr">
        <is>
          <t>Ship Availability</t>
        </is>
      </c>
    </row>
    <row r="2369" ht="10" customHeight="1">
      <c r="A2369" s="7" t="inlineStr">
        <is>
          <t>OMN_Vol2</t>
        </is>
      </c>
      <c r="B2369" s="7" t="inlineStr">
        <is>
          <t>O&amp;M</t>
        </is>
      </c>
      <c r="D2369" s="7" t="inlineStr">
        <is>
          <t>CVN 73 USS GEORGE WASHINGTON* - Selected Restricted Availability (SRA)</t>
        </is>
      </c>
      <c r="E2369" s="13" t="inlineStr">
        <is>
          <t>[REFERENCE]</t>
        </is>
      </c>
      <c r="I2369" s="14" t="n">
        <v>2</v>
      </c>
      <c r="J2369" s="7" t="inlineStr">
        <is>
          <t>Ship Availability</t>
        </is>
      </c>
      <c r="K2369" s="13" t="inlineStr">
        <is>
          <t>USN</t>
        </is>
      </c>
      <c r="L2369" s="7" t="inlineStr">
        <is>
          <t>Combatant Ships</t>
        </is>
      </c>
      <c r="M2369" s="7" t="inlineStr">
        <is>
          <t>Aircraft Carriers</t>
        </is>
      </c>
      <c r="N2369" s="7" t="inlineStr">
        <is>
          <t>CVN</t>
        </is>
      </c>
      <c r="O2369" s="15" t="n"/>
      <c r="AC2369" s="23">
        <f>IF(OR(E2369="",E2369="[PARENT]"),"ADD",IF(E2369="[ALT_VIEW]","ALT",""))</f>
        <v/>
      </c>
      <c r="AD2369" s="21">
        <f>IF(Y2369&lt;&gt;"",Y2369,IF(U2369&lt;&gt;"",U2369,S2369))</f>
        <v/>
      </c>
      <c r="AE2369" s="21">
        <f>IF(AB2369&lt;&gt;"",AB2369,Z2369)</f>
        <v/>
      </c>
      <c r="AF2369" s="13" t="inlineStr">
        <is>
          <t>OMN Vol2 &gt; OP-5A &gt; PSNS&amp;IMF &gt; Ship Availability &gt; CVN 73 USS GEORGE WASHINGTON* - SRA</t>
        </is>
      </c>
      <c r="AG2369" s="7" t="inlineStr">
        <is>
          <t>80</t>
        </is>
      </c>
      <c r="AH2369" s="7" t="inlineStr">
        <is>
          <t>1B4B</t>
        </is>
      </c>
      <c r="AI2369" s="7" t="inlineStr">
        <is>
          <t>PSNS&amp;IMF</t>
        </is>
      </c>
      <c r="AJ2369" s="7" t="inlineStr">
        <is>
          <t>Ship Availability</t>
        </is>
      </c>
    </row>
    <row r="2370" ht="10" customHeight="1">
      <c r="A2370" s="7" t="inlineStr">
        <is>
          <t>OMN_Vol2</t>
        </is>
      </c>
      <c r="B2370" s="7" t="inlineStr">
        <is>
          <t>O&amp;M</t>
        </is>
      </c>
      <c r="D2370" s="7" t="inlineStr">
        <is>
          <t>SSN 23 USS JIMMY CARTER* - Docking Phased Maintenance Availability (DPMA)</t>
        </is>
      </c>
      <c r="E2370" s="13" t="inlineStr">
        <is>
          <t>[REFERENCE]</t>
        </is>
      </c>
      <c r="I2370" s="14" t="n">
        <v>2</v>
      </c>
      <c r="J2370" s="7" t="inlineStr">
        <is>
          <t>Ship Availability</t>
        </is>
      </c>
      <c r="K2370" s="13" t="inlineStr">
        <is>
          <t>USN</t>
        </is>
      </c>
      <c r="L2370" s="7" t="inlineStr">
        <is>
          <t>Combatant Ships</t>
        </is>
      </c>
      <c r="M2370" s="7" t="inlineStr">
        <is>
          <t>Submarines</t>
        </is>
      </c>
      <c r="N2370" s="7" t="inlineStr">
        <is>
          <t>SSN</t>
        </is>
      </c>
      <c r="O2370" s="15" t="n"/>
      <c r="AC2370" s="23">
        <f>IF(OR(E2370="",E2370="[PARENT]"),"ADD",IF(E2370="[ALT_VIEW]","ALT",""))</f>
        <v/>
      </c>
      <c r="AD2370" s="21">
        <f>IF(Y2370&lt;&gt;"",Y2370,IF(U2370&lt;&gt;"",U2370,S2370))</f>
        <v/>
      </c>
      <c r="AE2370" s="21">
        <f>IF(AB2370&lt;&gt;"",AB2370,Z2370)</f>
        <v/>
      </c>
      <c r="AF2370" s="13" t="inlineStr">
        <is>
          <t>OMN Vol2 &gt; OP-5A &gt; PSNS&amp;IMF &gt; Ship Availability &gt; SSN 23 USS JIMMY CARTER* - DPMA</t>
        </is>
      </c>
      <c r="AG2370" s="7" t="inlineStr">
        <is>
          <t>80</t>
        </is>
      </c>
      <c r="AH2370" s="7" t="inlineStr">
        <is>
          <t>1B4B</t>
        </is>
      </c>
      <c r="AI2370" s="7" t="inlineStr">
        <is>
          <t>PSNS&amp;IMF</t>
        </is>
      </c>
      <c r="AJ2370" s="7" t="inlineStr">
        <is>
          <t>Ship Availability</t>
        </is>
      </c>
    </row>
    <row r="2371" ht="10" customHeight="1">
      <c r="A2371" s="7" t="inlineStr">
        <is>
          <t>OMN_Vol2</t>
        </is>
      </c>
      <c r="B2371" s="7" t="inlineStr">
        <is>
          <t>O&amp;M</t>
        </is>
      </c>
      <c r="D2371" s="7" t="inlineStr">
        <is>
          <t>CVN 73 USS GEORGE WASHINGTON* - Selected Restricted Availability (SRA)</t>
        </is>
      </c>
      <c r="E2371" s="13" t="inlineStr">
        <is>
          <t>[REFERENCE]</t>
        </is>
      </c>
      <c r="I2371" s="14" t="n">
        <v>2</v>
      </c>
      <c r="J2371" s="7" t="inlineStr">
        <is>
          <t>Ship Availability</t>
        </is>
      </c>
      <c r="K2371" s="13" t="inlineStr">
        <is>
          <t>USN</t>
        </is>
      </c>
      <c r="L2371" s="7" t="inlineStr">
        <is>
          <t>Combatant Ships</t>
        </is>
      </c>
      <c r="M2371" s="7" t="inlineStr">
        <is>
          <t>Aircraft Carriers</t>
        </is>
      </c>
      <c r="N2371" s="7" t="inlineStr">
        <is>
          <t>CVN</t>
        </is>
      </c>
      <c r="O2371" s="15" t="n"/>
      <c r="AC2371" s="23">
        <f>IF(OR(E2371="",E2371="[PARENT]"),"ADD",IF(E2371="[ALT_VIEW]","ALT",""))</f>
        <v/>
      </c>
      <c r="AD2371" s="21">
        <f>IF(Y2371&lt;&gt;"",Y2371,IF(U2371&lt;&gt;"",U2371,S2371))</f>
        <v/>
      </c>
      <c r="AE2371" s="21">
        <f>IF(AB2371&lt;&gt;"",AB2371,Z2371)</f>
        <v/>
      </c>
      <c r="AF2371" s="13" t="inlineStr">
        <is>
          <t>OMN Vol2 &gt; OP-5A &gt; PSNS&amp;IMF &gt; Ship Availability &gt; CVN 73 USS GEORGE WASHINGTON* - SRA</t>
        </is>
      </c>
      <c r="AG2371" s="7" t="inlineStr">
        <is>
          <t>80</t>
        </is>
      </c>
      <c r="AH2371" s="7" t="inlineStr">
        <is>
          <t>1B4B</t>
        </is>
      </c>
      <c r="AI2371" s="7" t="inlineStr">
        <is>
          <t>PSNS&amp;IMF</t>
        </is>
      </c>
      <c r="AJ2371" s="7" t="inlineStr">
        <is>
          <t>Ship Availability</t>
        </is>
      </c>
    </row>
    <row r="2372" ht="10" customHeight="1">
      <c r="A2372" s="7" t="inlineStr">
        <is>
          <t>OMN_Vol2</t>
        </is>
      </c>
      <c r="B2372" s="7" t="inlineStr">
        <is>
          <t>O&amp;M</t>
        </is>
      </c>
      <c r="D2372" s="7" t="inlineStr">
        <is>
          <t>SSBN 730 USS HENRY M JACKSON* - Extended Refit Period (ERP)</t>
        </is>
      </c>
      <c r="E2372" s="13" t="inlineStr">
        <is>
          <t>[REFERENCE]</t>
        </is>
      </c>
      <c r="I2372" s="14" t="n">
        <v>5</v>
      </c>
      <c r="J2372" s="7" t="inlineStr">
        <is>
          <t>Ship Availability</t>
        </is>
      </c>
      <c r="K2372" s="13" t="inlineStr">
        <is>
          <t>USN</t>
        </is>
      </c>
      <c r="L2372" s="7" t="inlineStr">
        <is>
          <t>Combatant Ships</t>
        </is>
      </c>
      <c r="M2372" s="7" t="inlineStr">
        <is>
          <t>Submarines</t>
        </is>
      </c>
      <c r="N2372" s="7" t="inlineStr">
        <is>
          <t>SSBN</t>
        </is>
      </c>
      <c r="O2372" s="15" t="n"/>
      <c r="AC2372" s="23">
        <f>IF(OR(E2372="",E2372="[PARENT]"),"ADD",IF(E2372="[ALT_VIEW]","ALT",""))</f>
        <v/>
      </c>
      <c r="AD2372" s="21">
        <f>IF(Y2372&lt;&gt;"",Y2372,IF(U2372&lt;&gt;"",U2372,S2372))</f>
        <v/>
      </c>
      <c r="AE2372" s="21">
        <f>IF(AB2372&lt;&gt;"",AB2372,Z2372)</f>
        <v/>
      </c>
      <c r="AF2372" s="13" t="inlineStr">
        <is>
          <t>OMN Vol2 &gt; OP-5A &gt; PSNS&amp;IMF &gt; Ship Availability &gt; SSBN 730 USS HENRY M JACKSON* - ERP</t>
        </is>
      </c>
      <c r="AG2372" s="7" t="inlineStr">
        <is>
          <t>80</t>
        </is>
      </c>
      <c r="AH2372" s="7" t="inlineStr">
        <is>
          <t>1B4B</t>
        </is>
      </c>
      <c r="AI2372" s="7" t="inlineStr">
        <is>
          <t>PSNS&amp;IMF</t>
        </is>
      </c>
      <c r="AJ2372" s="7" t="inlineStr">
        <is>
          <t>Ship Availability</t>
        </is>
      </c>
    </row>
    <row r="2373" ht="10" customHeight="1">
      <c r="A2373" s="7" t="inlineStr">
        <is>
          <t>OMN_Vol2</t>
        </is>
      </c>
      <c r="B2373" s="7" t="inlineStr">
        <is>
          <t>O&amp;M</t>
        </is>
      </c>
      <c r="D2373" s="7" t="inlineStr">
        <is>
          <t>SSN 23 USS JIMMY CARTER* - Extended Docking Selected Restricted Availability (EDSRA)</t>
        </is>
      </c>
      <c r="E2373" s="13" t="inlineStr">
        <is>
          <t>[REFERENCE]</t>
        </is>
      </c>
      <c r="I2373" s="14" t="n">
        <v>2</v>
      </c>
      <c r="J2373" s="7" t="inlineStr">
        <is>
          <t>Ship Availability</t>
        </is>
      </c>
      <c r="K2373" s="13" t="inlineStr">
        <is>
          <t>USN</t>
        </is>
      </c>
      <c r="L2373" s="7" t="inlineStr">
        <is>
          <t>Combatant Ships</t>
        </is>
      </c>
      <c r="M2373" s="7" t="inlineStr">
        <is>
          <t>Submarines</t>
        </is>
      </c>
      <c r="N2373" s="7" t="inlineStr">
        <is>
          <t>SSN</t>
        </is>
      </c>
      <c r="O2373" s="15" t="n"/>
      <c r="AC2373" s="23">
        <f>IF(OR(E2373="",E2373="[PARENT]"),"ADD",IF(E2373="[ALT_VIEW]","ALT",""))</f>
        <v/>
      </c>
      <c r="AD2373" s="21">
        <f>IF(Y2373&lt;&gt;"",Y2373,IF(U2373&lt;&gt;"",U2373,S2373))</f>
        <v/>
      </c>
      <c r="AE2373" s="21">
        <f>IF(AB2373&lt;&gt;"",AB2373,Z2373)</f>
        <v/>
      </c>
      <c r="AF2373" s="13" t="inlineStr">
        <is>
          <t>OMN Vol2 &gt; OP-5A &gt; PSNS&amp;IMF &gt; Ship Availability &gt; SSN 23 USS JIMMY CARTER* - EDSRA</t>
        </is>
      </c>
      <c r="AG2373" s="7" t="inlineStr">
        <is>
          <t>80</t>
        </is>
      </c>
      <c r="AH2373" s="7" t="inlineStr">
        <is>
          <t>1B4B</t>
        </is>
      </c>
      <c r="AI2373" s="7" t="inlineStr">
        <is>
          <t>PSNS&amp;IMF</t>
        </is>
      </c>
      <c r="AJ2373" s="7" t="inlineStr">
        <is>
          <t>Ship Availability</t>
        </is>
      </c>
    </row>
    <row r="2374" ht="10" customHeight="1">
      <c r="A2374" s="7" t="inlineStr">
        <is>
          <t>OMN_Vol2</t>
        </is>
      </c>
      <c r="B2374" s="7" t="inlineStr">
        <is>
          <t>O&amp;M</t>
        </is>
      </c>
      <c r="D2374" s="7" t="inlineStr">
        <is>
          <t>SSGN 726 USS OHIO - Major Maintenance Period (MMP)</t>
        </is>
      </c>
      <c r="E2374" s="13" t="inlineStr">
        <is>
          <t>[REFERENCE]</t>
        </is>
      </c>
      <c r="I2374" s="14" t="n">
        <v>2</v>
      </c>
      <c r="J2374" s="7" t="inlineStr">
        <is>
          <t>Ship Availability</t>
        </is>
      </c>
      <c r="K2374" s="13" t="inlineStr">
        <is>
          <t>USN</t>
        </is>
      </c>
      <c r="L2374" s="7" t="inlineStr">
        <is>
          <t>Combatant Ships</t>
        </is>
      </c>
      <c r="M2374" s="7" t="inlineStr">
        <is>
          <t>Submarines</t>
        </is>
      </c>
      <c r="N2374" s="7" t="inlineStr">
        <is>
          <t>SSBN</t>
        </is>
      </c>
      <c r="O2374" s="15" t="n"/>
      <c r="AC2374" s="23">
        <f>IF(OR(E2374="",E2374="[PARENT]"),"ADD",IF(E2374="[ALT_VIEW]","ALT",""))</f>
        <v/>
      </c>
      <c r="AD2374" s="21">
        <f>IF(Y2374&lt;&gt;"",Y2374,IF(U2374&lt;&gt;"",U2374,S2374))</f>
        <v/>
      </c>
      <c r="AE2374" s="21">
        <f>IF(AB2374&lt;&gt;"",AB2374,Z2374)</f>
        <v/>
      </c>
      <c r="AF2374" s="13" t="inlineStr">
        <is>
          <t>OMN Vol2 &gt; OP-5A &gt; PSNS&amp;IMF &gt; Ship Availability &gt; SSGN 726 USS OHIO - MMP</t>
        </is>
      </c>
      <c r="AG2374" s="7" t="inlineStr">
        <is>
          <t>80</t>
        </is>
      </c>
      <c r="AH2374" s="7" t="inlineStr">
        <is>
          <t>1B4B</t>
        </is>
      </c>
      <c r="AI2374" s="7" t="inlineStr">
        <is>
          <t>PSNS&amp;IMF</t>
        </is>
      </c>
      <c r="AJ2374" s="7" t="inlineStr">
        <is>
          <t>Ship Availability</t>
        </is>
      </c>
    </row>
    <row r="2375" ht="10" customHeight="1">
      <c r="A2375" s="7" t="inlineStr">
        <is>
          <t>OMN_Vol2</t>
        </is>
      </c>
      <c r="B2375" s="7" t="inlineStr">
        <is>
          <t>O&amp;M</t>
        </is>
      </c>
      <c r="D2375" s="7" t="inlineStr">
        <is>
          <t>SSN 707 EX PORTSMOUTH - Recycling/Disposal (RCD)</t>
        </is>
      </c>
      <c r="E2375" s="13" t="inlineStr">
        <is>
          <t>[REFERENCE]</t>
        </is>
      </c>
      <c r="I2375" s="14" t="n">
        <v>2</v>
      </c>
      <c r="J2375" s="7" t="inlineStr">
        <is>
          <t>Ship Availability</t>
        </is>
      </c>
      <c r="K2375" s="13" t="inlineStr">
        <is>
          <t>USN</t>
        </is>
      </c>
      <c r="L2375" s="7" t="inlineStr">
        <is>
          <t>Combatant Ships</t>
        </is>
      </c>
      <c r="M2375" s="7" t="inlineStr">
        <is>
          <t>Submarines</t>
        </is>
      </c>
      <c r="N2375" s="7" t="inlineStr">
        <is>
          <t>SSN</t>
        </is>
      </c>
      <c r="O2375" s="15" t="n"/>
      <c r="AC2375" s="23">
        <f>IF(OR(E2375="",E2375="[PARENT]"),"ADD",IF(E2375="[ALT_VIEW]","ALT",""))</f>
        <v/>
      </c>
      <c r="AD2375" s="21">
        <f>IF(Y2375&lt;&gt;"",Y2375,IF(U2375&lt;&gt;"",U2375,S2375))</f>
        <v/>
      </c>
      <c r="AE2375" s="21">
        <f>IF(AB2375&lt;&gt;"",AB2375,Z2375)</f>
        <v/>
      </c>
      <c r="AF2375" s="13" t="inlineStr">
        <is>
          <t>OMN Vol2 &gt; OP-5A &gt; PSNS&amp;IMF &gt; Ship Availability &gt; SSN 707 EX PORTSMOUTH - RCD</t>
        </is>
      </c>
      <c r="AG2375" s="7" t="inlineStr">
        <is>
          <t>80</t>
        </is>
      </c>
      <c r="AH2375" s="7" t="inlineStr">
        <is>
          <t>1B4B</t>
        </is>
      </c>
      <c r="AI2375" s="7" t="inlineStr">
        <is>
          <t>PSNS&amp;IMF</t>
        </is>
      </c>
      <c r="AJ2375" s="7" t="inlineStr">
        <is>
          <t>Ship Availability</t>
        </is>
      </c>
    </row>
    <row r="2376" ht="10" customHeight="1">
      <c r="A2376" s="7" t="inlineStr">
        <is>
          <t>OMN_Vol2</t>
        </is>
      </c>
      <c r="B2376" s="7" t="inlineStr">
        <is>
          <t>O&amp;M</t>
        </is>
      </c>
      <c r="D2376" s="7" t="inlineStr">
        <is>
          <t>SSN 705 EX CITY OF CORPUS CHRISTI - Recycling/Disposal (RCD)</t>
        </is>
      </c>
      <c r="E2376" s="13" t="inlineStr">
        <is>
          <t>[REFERENCE]</t>
        </is>
      </c>
      <c r="I2376" s="14" t="n">
        <v>2</v>
      </c>
      <c r="J2376" s="7" t="inlineStr">
        <is>
          <t>Ship Availability</t>
        </is>
      </c>
      <c r="K2376" s="13" t="inlineStr">
        <is>
          <t>USN</t>
        </is>
      </c>
      <c r="L2376" s="7" t="inlineStr">
        <is>
          <t>Combatant Ships</t>
        </is>
      </c>
      <c r="M2376" s="7" t="inlineStr">
        <is>
          <t>Submarines</t>
        </is>
      </c>
      <c r="N2376" s="7" t="inlineStr">
        <is>
          <t>SSN</t>
        </is>
      </c>
      <c r="O2376" s="15" t="n"/>
      <c r="AC2376" s="23">
        <f>IF(OR(E2376="",E2376="[PARENT]"),"ADD",IF(E2376="[ALT_VIEW]","ALT",""))</f>
        <v/>
      </c>
      <c r="AD2376" s="21">
        <f>IF(Y2376&lt;&gt;"",Y2376,IF(U2376&lt;&gt;"",U2376,S2376))</f>
        <v/>
      </c>
      <c r="AE2376" s="21">
        <f>IF(AB2376&lt;&gt;"",AB2376,Z2376)</f>
        <v/>
      </c>
      <c r="AF2376" s="13" t="inlineStr">
        <is>
          <t>OMN Vol2 &gt; OP-5A &gt; PSNS&amp;IMF &gt; Ship Availability &gt; SSN 705 EX CITY OF CORPUS CHRISTI - RCD</t>
        </is>
      </c>
      <c r="AG2376" s="7" t="inlineStr">
        <is>
          <t>80</t>
        </is>
      </c>
      <c r="AH2376" s="7" t="inlineStr">
        <is>
          <t>1B4B</t>
        </is>
      </c>
      <c r="AI2376" s="7" t="inlineStr">
        <is>
          <t>PSNS&amp;IMF</t>
        </is>
      </c>
      <c r="AJ2376" s="7" t="inlineStr">
        <is>
          <t>Ship Availability</t>
        </is>
      </c>
    </row>
    <row r="2377" ht="10" customHeight="1">
      <c r="A2377" s="7" t="inlineStr">
        <is>
          <t>OMN_Vol2</t>
        </is>
      </c>
      <c r="B2377" s="7" t="inlineStr">
        <is>
          <t>O&amp;M</t>
        </is>
      </c>
      <c r="D2377" s="7" t="inlineStr">
        <is>
          <t>SSN 721 USS CHICAGO - Inactivation Availability (IA)</t>
        </is>
      </c>
      <c r="E2377" s="13" t="inlineStr">
        <is>
          <t>[REFERENCE]</t>
        </is>
      </c>
      <c r="I2377" s="14" t="n">
        <v>2</v>
      </c>
      <c r="J2377" s="7" t="inlineStr">
        <is>
          <t>Ship Availability</t>
        </is>
      </c>
      <c r="K2377" s="13" t="inlineStr">
        <is>
          <t>USN</t>
        </is>
      </c>
      <c r="L2377" s="7" t="inlineStr">
        <is>
          <t>Combatant Ships</t>
        </is>
      </c>
      <c r="M2377" s="7" t="inlineStr">
        <is>
          <t>Submarines</t>
        </is>
      </c>
      <c r="N2377" s="7" t="inlineStr">
        <is>
          <t>SSN</t>
        </is>
      </c>
      <c r="O2377" s="15" t="n"/>
      <c r="AC2377" s="23">
        <f>IF(OR(E2377="",E2377="[PARENT]"),"ADD",IF(E2377="[ALT_VIEW]","ALT",""))</f>
        <v/>
      </c>
      <c r="AD2377" s="21">
        <f>IF(Y2377&lt;&gt;"",Y2377,IF(U2377&lt;&gt;"",U2377,S2377))</f>
        <v/>
      </c>
      <c r="AE2377" s="21">
        <f>IF(AB2377&lt;&gt;"",AB2377,Z2377)</f>
        <v/>
      </c>
      <c r="AF2377" s="13" t="inlineStr">
        <is>
          <t>OMN Vol2 &gt; OP-5A &gt; PSNS&amp;IMF &gt; Ship Availability &gt; SSN 721 USS CHICAGO - IA</t>
        </is>
      </c>
      <c r="AG2377" s="7" t="inlineStr">
        <is>
          <t>80</t>
        </is>
      </c>
      <c r="AH2377" s="7" t="inlineStr">
        <is>
          <t>1B4B</t>
        </is>
      </c>
      <c r="AI2377" s="7" t="inlineStr">
        <is>
          <t>PSNS&amp;IMF</t>
        </is>
      </c>
      <c r="AJ2377" s="7" t="inlineStr">
        <is>
          <t>Ship Availability</t>
        </is>
      </c>
    </row>
    <row r="2378" ht="10" customHeight="1">
      <c r="A2378" s="7" t="inlineStr">
        <is>
          <t>OMN_Vol2</t>
        </is>
      </c>
      <c r="B2378" s="7" t="inlineStr">
        <is>
          <t>O&amp;M</t>
        </is>
      </c>
      <c r="D2378" s="7" t="inlineStr">
        <is>
          <t>SSBN 735 USS PENNSYLVANIA - Extended Refit Period (ERP)</t>
        </is>
      </c>
      <c r="E2378" s="13" t="inlineStr">
        <is>
          <t>[REFERENCE]</t>
        </is>
      </c>
      <c r="I2378" s="14" t="n">
        <v>5</v>
      </c>
      <c r="J2378" s="7" t="inlineStr">
        <is>
          <t>Ship Availability</t>
        </is>
      </c>
      <c r="K2378" s="13" t="inlineStr">
        <is>
          <t>USN</t>
        </is>
      </c>
      <c r="L2378" s="7" t="inlineStr">
        <is>
          <t>Combatant Ships</t>
        </is>
      </c>
      <c r="M2378" s="7" t="inlineStr">
        <is>
          <t>Submarines</t>
        </is>
      </c>
      <c r="N2378" s="7" t="inlineStr">
        <is>
          <t>SSBN</t>
        </is>
      </c>
      <c r="O2378" s="15" t="n"/>
      <c r="AC2378" s="23">
        <f>IF(OR(E2378="",E2378="[PARENT]"),"ADD",IF(E2378="[ALT_VIEW]","ALT",""))</f>
        <v/>
      </c>
      <c r="AD2378" s="21">
        <f>IF(Y2378&lt;&gt;"",Y2378,IF(U2378&lt;&gt;"",U2378,S2378))</f>
        <v/>
      </c>
      <c r="AE2378" s="21">
        <f>IF(AB2378&lt;&gt;"",AB2378,Z2378)</f>
        <v/>
      </c>
      <c r="AF2378" s="13" t="inlineStr">
        <is>
          <t>OMN Vol2 &gt; OP-5A &gt; PSNS&amp;IMF &gt; Ship Availability &gt; SSBN 735 USS PENNSYLVANIA - ERP</t>
        </is>
      </c>
      <c r="AG2378" s="7" t="inlineStr">
        <is>
          <t>80</t>
        </is>
      </c>
      <c r="AH2378" s="7" t="inlineStr">
        <is>
          <t>1B4B</t>
        </is>
      </c>
      <c r="AI2378" s="7" t="inlineStr">
        <is>
          <t>PSNS&amp;IMF</t>
        </is>
      </c>
      <c r="AJ2378" s="7" t="inlineStr">
        <is>
          <t>Ship Availability</t>
        </is>
      </c>
    </row>
    <row r="2379" ht="10" customHeight="1">
      <c r="A2379" s="7" t="inlineStr">
        <is>
          <t>OMN_Vol2</t>
        </is>
      </c>
      <c r="B2379" s="7" t="inlineStr">
        <is>
          <t>O&amp;M</t>
        </is>
      </c>
      <c r="D2379" s="7" t="inlineStr">
        <is>
          <t>SSN 756 USS SCRANTON - Docking Selected Restricted Availability (DSRA)</t>
        </is>
      </c>
      <c r="E2379" s="13" t="inlineStr">
        <is>
          <t>[REFERENCE]</t>
        </is>
      </c>
      <c r="I2379" s="14" t="n">
        <v>2</v>
      </c>
      <c r="J2379" s="7" t="inlineStr">
        <is>
          <t>Ship Availability</t>
        </is>
      </c>
      <c r="K2379" s="13" t="inlineStr">
        <is>
          <t>USN</t>
        </is>
      </c>
      <c r="L2379" s="7" t="inlineStr">
        <is>
          <t>Combatant Ships</t>
        </is>
      </c>
      <c r="M2379" s="7" t="inlineStr">
        <is>
          <t>Submarines</t>
        </is>
      </c>
      <c r="N2379" s="7" t="inlineStr">
        <is>
          <t>SSN</t>
        </is>
      </c>
      <c r="O2379" s="15" t="n"/>
      <c r="AC2379" s="23">
        <f>IF(OR(E2379="",E2379="[PARENT]"),"ADD",IF(E2379="[ALT_VIEW]","ALT",""))</f>
        <v/>
      </c>
      <c r="AD2379" s="21">
        <f>IF(Y2379&lt;&gt;"",Y2379,IF(U2379&lt;&gt;"",U2379,S2379))</f>
        <v/>
      </c>
      <c r="AE2379" s="21">
        <f>IF(AB2379&lt;&gt;"",AB2379,Z2379)</f>
        <v/>
      </c>
      <c r="AF2379" s="13" t="inlineStr">
        <is>
          <t>OMN Vol2 &gt; OP-5A &gt; PSNS&amp;IMF &gt; Ship Availability &gt; SSN 756 USS SCRANTON - DSRA</t>
        </is>
      </c>
      <c r="AG2379" s="7" t="inlineStr">
        <is>
          <t>80</t>
        </is>
      </c>
      <c r="AH2379" s="7" t="inlineStr">
        <is>
          <t>1B4B</t>
        </is>
      </c>
      <c r="AI2379" s="7" t="inlineStr">
        <is>
          <t>PSNS&amp;IMF</t>
        </is>
      </c>
      <c r="AJ2379" s="7" t="inlineStr">
        <is>
          <t>Ship Availability</t>
        </is>
      </c>
    </row>
    <row r="2380" ht="10" customHeight="1">
      <c r="A2380" s="7" t="inlineStr">
        <is>
          <t>OMN_Vol2</t>
        </is>
      </c>
      <c r="B2380" s="7" t="inlineStr">
        <is>
          <t>O&amp;M</t>
        </is>
      </c>
      <c r="D2380" s="7" t="inlineStr">
        <is>
          <t>CVN 72 USS ABRAHAM LINCOLN - Planned Incremental Availability (PIA)</t>
        </is>
      </c>
      <c r="E2380" s="13" t="inlineStr">
        <is>
          <t>[REFERENCE]</t>
        </is>
      </c>
      <c r="I2380" s="14" t="n">
        <v>2</v>
      </c>
      <c r="J2380" s="7" t="inlineStr">
        <is>
          <t>Ship Availability</t>
        </is>
      </c>
      <c r="K2380" s="13" t="inlineStr">
        <is>
          <t>USN</t>
        </is>
      </c>
      <c r="L2380" s="7" t="inlineStr">
        <is>
          <t>Combatant Ships</t>
        </is>
      </c>
      <c r="M2380" s="7" t="inlineStr">
        <is>
          <t>Aircraft Carriers</t>
        </is>
      </c>
      <c r="N2380" s="7" t="inlineStr">
        <is>
          <t>CVN</t>
        </is>
      </c>
      <c r="O2380" s="15" t="n"/>
      <c r="AC2380" s="23">
        <f>IF(OR(E2380="",E2380="[PARENT]"),"ADD",IF(E2380="[ALT_VIEW]","ALT",""))</f>
        <v/>
      </c>
      <c r="AD2380" s="21">
        <f>IF(Y2380&lt;&gt;"",Y2380,IF(U2380&lt;&gt;"",U2380,S2380))</f>
        <v/>
      </c>
      <c r="AE2380" s="21">
        <f>IF(AB2380&lt;&gt;"",AB2380,Z2380)</f>
        <v/>
      </c>
      <c r="AF2380" s="13" t="inlineStr">
        <is>
          <t>OMN Vol2 &gt; OP-5A &gt; PSNS&amp;IMF &gt; Ship Availability &gt; CVN 72 USS ABRAHAM LINCOLN - PIA</t>
        </is>
      </c>
      <c r="AG2380" s="7" t="inlineStr">
        <is>
          <t>80</t>
        </is>
      </c>
      <c r="AH2380" s="7" t="inlineStr">
        <is>
          <t>1B4B</t>
        </is>
      </c>
      <c r="AI2380" s="7" t="inlineStr">
        <is>
          <t>PSNS&amp;IMF</t>
        </is>
      </c>
      <c r="AJ2380" s="7" t="inlineStr">
        <is>
          <t>Ship Availability</t>
        </is>
      </c>
    </row>
    <row r="2381" ht="10" customHeight="1">
      <c r="A2381" s="7" t="inlineStr">
        <is>
          <t>OMN_Vol2</t>
        </is>
      </c>
      <c r="B2381" s="7" t="inlineStr">
        <is>
          <t>O&amp;M</t>
        </is>
      </c>
      <c r="D2381" s="7" t="inlineStr">
        <is>
          <t>SSN 22 USS CONNECTICUT - Extended Docking Selected Restricted Availability (EDSRA)</t>
        </is>
      </c>
      <c r="E2381" s="13" t="inlineStr">
        <is>
          <t>[REFERENCE]</t>
        </is>
      </c>
      <c r="I2381" s="14" t="n">
        <v>2</v>
      </c>
      <c r="J2381" s="7" t="inlineStr">
        <is>
          <t>Ship Availability</t>
        </is>
      </c>
      <c r="K2381" s="13" t="inlineStr">
        <is>
          <t>USN</t>
        </is>
      </c>
      <c r="L2381" s="7" t="inlineStr">
        <is>
          <t>Combatant Ships</t>
        </is>
      </c>
      <c r="M2381" s="7" t="inlineStr">
        <is>
          <t>Submarines</t>
        </is>
      </c>
      <c r="N2381" s="7" t="inlineStr">
        <is>
          <t>SSN</t>
        </is>
      </c>
      <c r="O2381" s="15" t="n"/>
      <c r="AC2381" s="23">
        <f>IF(OR(E2381="",E2381="[PARENT]"),"ADD",IF(E2381="[ALT_VIEW]","ALT",""))</f>
        <v/>
      </c>
      <c r="AD2381" s="21">
        <f>IF(Y2381&lt;&gt;"",Y2381,IF(U2381&lt;&gt;"",U2381,S2381))</f>
        <v/>
      </c>
      <c r="AE2381" s="21">
        <f>IF(AB2381&lt;&gt;"",AB2381,Z2381)</f>
        <v/>
      </c>
      <c r="AF2381" s="13" t="inlineStr">
        <is>
          <t>OMN Vol2 &gt; OP-5A &gt; PSNS&amp;IMF &gt; Ship Availability &gt; SSN 22 USS CONNECTICUT - EDSRA</t>
        </is>
      </c>
      <c r="AG2381" s="7" t="inlineStr">
        <is>
          <t>80</t>
        </is>
      </c>
      <c r="AH2381" s="7" t="inlineStr">
        <is>
          <t>1B4B</t>
        </is>
      </c>
      <c r="AI2381" s="7" t="inlineStr">
        <is>
          <t>PSNS&amp;IMF</t>
        </is>
      </c>
      <c r="AJ2381" s="7" t="inlineStr">
        <is>
          <t>Ship Availability</t>
        </is>
      </c>
    </row>
    <row r="2382" ht="10" customHeight="1">
      <c r="A2382" s="7" t="inlineStr">
        <is>
          <t>OMN_Vol2</t>
        </is>
      </c>
      <c r="B2382" s="7" t="inlineStr">
        <is>
          <t>O&amp;M</t>
        </is>
      </c>
      <c r="D2382" s="7" t="inlineStr">
        <is>
          <t>SSGN 727 USS MICHIGAN - Major Maintenance Period (MMP)</t>
        </is>
      </c>
      <c r="E2382" s="13" t="inlineStr">
        <is>
          <t>[REFERENCE]</t>
        </is>
      </c>
      <c r="I2382" s="14" t="n">
        <v>2</v>
      </c>
      <c r="J2382" s="7" t="inlineStr">
        <is>
          <t>Ship Availability</t>
        </is>
      </c>
      <c r="K2382" s="13" t="inlineStr">
        <is>
          <t>USN</t>
        </is>
      </c>
      <c r="L2382" s="7" t="inlineStr">
        <is>
          <t>Combatant Ships</t>
        </is>
      </c>
      <c r="M2382" s="7" t="inlineStr">
        <is>
          <t>Submarines</t>
        </is>
      </c>
      <c r="N2382" s="7" t="inlineStr">
        <is>
          <t>SSBN</t>
        </is>
      </c>
      <c r="O2382" s="15" t="n"/>
      <c r="AC2382" s="23">
        <f>IF(OR(E2382="",E2382="[PARENT]"),"ADD",IF(E2382="[ALT_VIEW]","ALT",""))</f>
        <v/>
      </c>
      <c r="AD2382" s="21">
        <f>IF(Y2382&lt;&gt;"",Y2382,IF(U2382&lt;&gt;"",U2382,S2382))</f>
        <v/>
      </c>
      <c r="AE2382" s="21">
        <f>IF(AB2382&lt;&gt;"",AB2382,Z2382)</f>
        <v/>
      </c>
      <c r="AF2382" s="13" t="inlineStr">
        <is>
          <t>OMN Vol2 &gt; OP-5A &gt; PSNS&amp;IMF &gt; Ship Availability &gt; SSGN 727 USS MICHIGAN - MMP</t>
        </is>
      </c>
      <c r="AG2382" s="7" t="inlineStr">
        <is>
          <t>80</t>
        </is>
      </c>
      <c r="AH2382" s="7" t="inlineStr">
        <is>
          <t>1B4B</t>
        </is>
      </c>
      <c r="AI2382" s="7" t="inlineStr">
        <is>
          <t>PSNS&amp;IMF</t>
        </is>
      </c>
      <c r="AJ2382" s="7" t="inlineStr">
        <is>
          <t>Ship Availability</t>
        </is>
      </c>
    </row>
    <row r="2383" ht="10" customHeight="1">
      <c r="A2383" s="7" t="inlineStr">
        <is>
          <t>OMN_Vol2</t>
        </is>
      </c>
      <c r="B2383" s="7" t="inlineStr">
        <is>
          <t>O&amp;M</t>
        </is>
      </c>
      <c r="D2383" s="7" t="inlineStr">
        <is>
          <t>SSN 709 EX HYMAN G. RICKOVER - Recycling/Disposal (RCD)</t>
        </is>
      </c>
      <c r="E2383" s="13" t="inlineStr">
        <is>
          <t>[REFERENCE]</t>
        </is>
      </c>
      <c r="I2383" s="14" t="n">
        <v>2</v>
      </c>
      <c r="J2383" s="7" t="inlineStr">
        <is>
          <t>Ship Availability</t>
        </is>
      </c>
      <c r="K2383" s="13" t="inlineStr">
        <is>
          <t>USN</t>
        </is>
      </c>
      <c r="L2383" s="7" t="inlineStr">
        <is>
          <t>Combatant Ships</t>
        </is>
      </c>
      <c r="M2383" s="7" t="inlineStr">
        <is>
          <t>Submarines</t>
        </is>
      </c>
      <c r="N2383" s="7" t="inlineStr">
        <is>
          <t>SSN</t>
        </is>
      </c>
      <c r="O2383" s="15" t="n"/>
      <c r="AC2383" s="23">
        <f>IF(OR(E2383="",E2383="[PARENT]"),"ADD",IF(E2383="[ALT_VIEW]","ALT",""))</f>
        <v/>
      </c>
      <c r="AD2383" s="21">
        <f>IF(Y2383&lt;&gt;"",Y2383,IF(U2383&lt;&gt;"",U2383,S2383))</f>
        <v/>
      </c>
      <c r="AE2383" s="21">
        <f>IF(AB2383&lt;&gt;"",AB2383,Z2383)</f>
        <v/>
      </c>
      <c r="AF2383" s="13" t="inlineStr">
        <is>
          <t>OMN Vol2 &gt; OP-5A &gt; PSNS&amp;IMF &gt; Ship Availability &gt; SSN 709 EX HYMAN G. RICKOVER - RCD</t>
        </is>
      </c>
      <c r="AG2383" s="7" t="inlineStr">
        <is>
          <t>80</t>
        </is>
      </c>
      <c r="AH2383" s="7" t="inlineStr">
        <is>
          <t>1B4B</t>
        </is>
      </c>
      <c r="AI2383" s="7" t="inlineStr">
        <is>
          <t>PSNS&amp;IMF</t>
        </is>
      </c>
      <c r="AJ2383" s="7" t="inlineStr">
        <is>
          <t>Ship Availability</t>
        </is>
      </c>
    </row>
    <row r="2384" ht="10" customHeight="1">
      <c r="A2384" s="7" t="inlineStr">
        <is>
          <t>OMN_Vol2</t>
        </is>
      </c>
      <c r="B2384" s="7" t="inlineStr">
        <is>
          <t>O&amp;M</t>
        </is>
      </c>
      <c r="D2384" s="7" t="inlineStr">
        <is>
          <t>SSN 714 EX NORFOLK - Recycling/Disposal (RCD)</t>
        </is>
      </c>
      <c r="E2384" s="13" t="inlineStr">
        <is>
          <t>[REFERENCE]</t>
        </is>
      </c>
      <c r="I2384" s="14" t="n">
        <v>2</v>
      </c>
      <c r="J2384" s="7" t="inlineStr">
        <is>
          <t>Ship Availability</t>
        </is>
      </c>
      <c r="K2384" s="13" t="inlineStr">
        <is>
          <t>USN</t>
        </is>
      </c>
      <c r="L2384" s="7" t="inlineStr">
        <is>
          <t>Combatant Ships</t>
        </is>
      </c>
      <c r="M2384" s="7" t="inlineStr">
        <is>
          <t>Submarines</t>
        </is>
      </c>
      <c r="N2384" s="7" t="inlineStr">
        <is>
          <t>SSN</t>
        </is>
      </c>
      <c r="O2384" s="15" t="n"/>
      <c r="AC2384" s="23">
        <f>IF(OR(E2384="",E2384="[PARENT]"),"ADD",IF(E2384="[ALT_VIEW]","ALT",""))</f>
        <v/>
      </c>
      <c r="AD2384" s="21">
        <f>IF(Y2384&lt;&gt;"",Y2384,IF(U2384&lt;&gt;"",U2384,S2384))</f>
        <v/>
      </c>
      <c r="AE2384" s="21">
        <f>IF(AB2384&lt;&gt;"",AB2384,Z2384)</f>
        <v/>
      </c>
      <c r="AF2384" s="13" t="inlineStr">
        <is>
          <t>OMN Vol2 &gt; OP-5A &gt; PSNS&amp;IMF &gt; Ship Availability &gt; SSN 714 EX NORFOLK - RCD</t>
        </is>
      </c>
      <c r="AG2384" s="7" t="inlineStr">
        <is>
          <t>80</t>
        </is>
      </c>
      <c r="AH2384" s="7" t="inlineStr">
        <is>
          <t>1B4B</t>
        </is>
      </c>
      <c r="AI2384" s="7" t="inlineStr">
        <is>
          <t>PSNS&amp;IMF</t>
        </is>
      </c>
      <c r="AJ2384" s="7" t="inlineStr">
        <is>
          <t>Ship Availability</t>
        </is>
      </c>
    </row>
    <row r="2385" ht="10" customHeight="1">
      <c r="A2385" s="7" t="inlineStr">
        <is>
          <t>OMN_Vol2</t>
        </is>
      </c>
      <c r="B2385" s="7" t="inlineStr">
        <is>
          <t>O&amp;M</t>
        </is>
      </c>
      <c r="D2385" s="7" t="inlineStr">
        <is>
          <t>CVN 68 USS NIMITZ - Planned Incremental Availability (PIA)</t>
        </is>
      </c>
      <c r="E2385" s="13" t="inlineStr">
        <is>
          <t>[REFERENCE]</t>
        </is>
      </c>
      <c r="I2385" s="14" t="n">
        <v>2</v>
      </c>
      <c r="J2385" s="7" t="inlineStr">
        <is>
          <t>Ship Availability</t>
        </is>
      </c>
      <c r="K2385" s="13" t="inlineStr">
        <is>
          <t>USN</t>
        </is>
      </c>
      <c r="L2385" s="7" t="inlineStr">
        <is>
          <t>Combatant Ships</t>
        </is>
      </c>
      <c r="M2385" s="7" t="inlineStr">
        <is>
          <t>Aircraft Carriers</t>
        </is>
      </c>
      <c r="N2385" s="7" t="inlineStr">
        <is>
          <t>CVN</t>
        </is>
      </c>
      <c r="O2385" s="15" t="n"/>
      <c r="AC2385" s="23">
        <f>IF(OR(E2385="",E2385="[PARENT]"),"ADD",IF(E2385="[ALT_VIEW]","ALT",""))</f>
        <v/>
      </c>
      <c r="AD2385" s="21">
        <f>IF(Y2385&lt;&gt;"",Y2385,IF(U2385&lt;&gt;"",U2385,S2385))</f>
        <v/>
      </c>
      <c r="AE2385" s="21">
        <f>IF(AB2385&lt;&gt;"",AB2385,Z2385)</f>
        <v/>
      </c>
      <c r="AF2385" s="13" t="inlineStr">
        <is>
          <t>OMN Vol2 &gt; OP-5A &gt; PSNS&amp;IMF &gt; Ship Availability &gt; CVN 68 USS NIMITZ - PIA</t>
        </is>
      </c>
      <c r="AG2385" s="7" t="inlineStr">
        <is>
          <t>80</t>
        </is>
      </c>
      <c r="AH2385" s="7" t="inlineStr">
        <is>
          <t>1B4B</t>
        </is>
      </c>
      <c r="AI2385" s="7" t="inlineStr">
        <is>
          <t>PSNS&amp;IMF</t>
        </is>
      </c>
      <c r="AJ2385" s="7" t="inlineStr">
        <is>
          <t>Ship Availability</t>
        </is>
      </c>
    </row>
    <row r="2386" ht="10" customHeight="1">
      <c r="A2386" s="7" t="inlineStr">
        <is>
          <t>OMN_Vol2</t>
        </is>
      </c>
      <c r="B2386" s="7" t="inlineStr">
        <is>
          <t>O&amp;M</t>
        </is>
      </c>
      <c r="D2386" s="7" t="inlineStr">
        <is>
          <t>CVN 76 USS RONALD REAGAN - Selected Restricted Availability (SRA)</t>
        </is>
      </c>
      <c r="E2386" s="13" t="inlineStr">
        <is>
          <t>[REFERENCE]</t>
        </is>
      </c>
      <c r="I2386" s="14" t="n">
        <v>2</v>
      </c>
      <c r="J2386" s="7" t="inlineStr">
        <is>
          <t>Ship Availability</t>
        </is>
      </c>
      <c r="K2386" s="13" t="inlineStr">
        <is>
          <t>USN</t>
        </is>
      </c>
      <c r="L2386" s="7" t="inlineStr">
        <is>
          <t>Combatant Ships</t>
        </is>
      </c>
      <c r="M2386" s="7" t="inlineStr">
        <is>
          <t>Aircraft Carriers</t>
        </is>
      </c>
      <c r="N2386" s="7" t="inlineStr">
        <is>
          <t>CVN</t>
        </is>
      </c>
      <c r="O2386" s="15" t="n"/>
      <c r="AC2386" s="23">
        <f>IF(OR(E2386="",E2386="[PARENT]"),"ADD",IF(E2386="[ALT_VIEW]","ALT",""))</f>
        <v/>
      </c>
      <c r="AD2386" s="21">
        <f>IF(Y2386&lt;&gt;"",Y2386,IF(U2386&lt;&gt;"",U2386,S2386))</f>
        <v/>
      </c>
      <c r="AE2386" s="21">
        <f>IF(AB2386&lt;&gt;"",AB2386,Z2386)</f>
        <v/>
      </c>
      <c r="AF2386" s="13" t="inlineStr">
        <is>
          <t>OMN Vol2 &gt; OP-5A &gt; PSNS&amp;IMF &gt; Ship Availability &gt; CVN 76 USS RONALD REAGAN - SRA</t>
        </is>
      </c>
      <c r="AG2386" s="7" t="inlineStr">
        <is>
          <t>80</t>
        </is>
      </c>
      <c r="AH2386" s="7" t="inlineStr">
        <is>
          <t>1B4B</t>
        </is>
      </c>
      <c r="AI2386" s="7" t="inlineStr">
        <is>
          <t>PSNS&amp;IMF</t>
        </is>
      </c>
      <c r="AJ2386" s="7" t="inlineStr">
        <is>
          <t>Ship Availability</t>
        </is>
      </c>
    </row>
    <row r="2387" ht="10" customHeight="1">
      <c r="A2387" s="7" t="inlineStr">
        <is>
          <t>OMN_Vol2</t>
        </is>
      </c>
      <c r="B2387" s="7" t="inlineStr">
        <is>
          <t>O&amp;M</t>
        </is>
      </c>
      <c r="D2387" s="7" t="inlineStr">
        <is>
          <t>CVN 70 USS CARL VINSON - Continuous Incremental Availability (CIA)</t>
        </is>
      </c>
      <c r="E2387" s="13" t="inlineStr">
        <is>
          <t>[REFERENCE]</t>
        </is>
      </c>
      <c r="I2387" s="14" t="n">
        <v>2</v>
      </c>
      <c r="J2387" s="7" t="inlineStr">
        <is>
          <t>Ship Availability</t>
        </is>
      </c>
      <c r="K2387" s="13" t="inlineStr">
        <is>
          <t>USN</t>
        </is>
      </c>
      <c r="L2387" s="7" t="inlineStr">
        <is>
          <t>Combatant Ships</t>
        </is>
      </c>
      <c r="M2387" s="7" t="inlineStr">
        <is>
          <t>Aircraft Carriers</t>
        </is>
      </c>
      <c r="N2387" s="7" t="inlineStr">
        <is>
          <t>CVN</t>
        </is>
      </c>
      <c r="O2387" s="15" t="n"/>
      <c r="AC2387" s="23">
        <f>IF(OR(E2387="",E2387="[PARENT]"),"ADD",IF(E2387="[ALT_VIEW]","ALT",""))</f>
        <v/>
      </c>
      <c r="AD2387" s="21">
        <f>IF(Y2387&lt;&gt;"",Y2387,IF(U2387&lt;&gt;"",U2387,S2387))</f>
        <v/>
      </c>
      <c r="AE2387" s="21">
        <f>IF(AB2387&lt;&gt;"",AB2387,Z2387)</f>
        <v/>
      </c>
      <c r="AF2387" s="13" t="inlineStr">
        <is>
          <t>OMN Vol2 &gt; OP-5A &gt; PSNS&amp;IMF &gt; Ship Availability &gt; CVN 70 USS CARL VINSON - CIA</t>
        </is>
      </c>
      <c r="AG2387" s="7" t="inlineStr">
        <is>
          <t>80</t>
        </is>
      </c>
      <c r="AH2387" s="7" t="inlineStr">
        <is>
          <t>1B4B</t>
        </is>
      </c>
      <c r="AI2387" s="7" t="inlineStr">
        <is>
          <t>PSNS&amp;IMF</t>
        </is>
      </c>
      <c r="AJ2387" s="7" t="inlineStr">
        <is>
          <t>Ship Availability</t>
        </is>
      </c>
    </row>
    <row r="2388" ht="10" customHeight="1">
      <c r="A2388" s="7" t="inlineStr">
        <is>
          <t>OMN_Vol2</t>
        </is>
      </c>
      <c r="B2388" s="7" t="inlineStr">
        <is>
          <t>O&amp;M</t>
        </is>
      </c>
      <c r="D2388" s="7" t="inlineStr">
        <is>
          <t>CVN 71 USS THEODORE ROOSEVELT - Planned Incremental Availability (PIA)</t>
        </is>
      </c>
      <c r="E2388" s="13" t="inlineStr">
        <is>
          <t>[REFERENCE]</t>
        </is>
      </c>
      <c r="I2388" s="14" t="n">
        <v>2</v>
      </c>
      <c r="J2388" s="7" t="inlineStr">
        <is>
          <t>Ship Availability</t>
        </is>
      </c>
      <c r="K2388" s="13" t="inlineStr">
        <is>
          <t>USN</t>
        </is>
      </c>
      <c r="L2388" s="7" t="inlineStr">
        <is>
          <t>Combatant Ships</t>
        </is>
      </c>
      <c r="M2388" s="7" t="inlineStr">
        <is>
          <t>Aircraft Carriers</t>
        </is>
      </c>
      <c r="N2388" s="7" t="inlineStr">
        <is>
          <t>CVN</t>
        </is>
      </c>
      <c r="O2388" s="15" t="n"/>
      <c r="AC2388" s="23">
        <f>IF(OR(E2388="",E2388="[PARENT]"),"ADD",IF(E2388="[ALT_VIEW]","ALT",""))</f>
        <v/>
      </c>
      <c r="AD2388" s="21">
        <f>IF(Y2388&lt;&gt;"",Y2388,IF(U2388&lt;&gt;"",U2388,S2388))</f>
        <v/>
      </c>
      <c r="AE2388" s="21">
        <f>IF(AB2388&lt;&gt;"",AB2388,Z2388)</f>
        <v/>
      </c>
      <c r="AF2388" s="13" t="inlineStr">
        <is>
          <t>OMN Vol2 &gt; OP-5A &gt; PSNS&amp;IMF &gt; Ship Availability &gt; CVN 71 USS THEODORE ROOSEVELT - PIA</t>
        </is>
      </c>
      <c r="AG2388" s="7" t="inlineStr">
        <is>
          <t>80</t>
        </is>
      </c>
      <c r="AH2388" s="7" t="inlineStr">
        <is>
          <t>1B4B</t>
        </is>
      </c>
      <c r="AI2388" s="7" t="inlineStr">
        <is>
          <t>PSNS&amp;IMF</t>
        </is>
      </c>
      <c r="AJ2388" s="7" t="inlineStr">
        <is>
          <t>Ship Availability</t>
        </is>
      </c>
    </row>
    <row r="2389" ht="10" customHeight="1">
      <c r="A2389" s="7" t="inlineStr">
        <is>
          <t>OMN_Vol2</t>
        </is>
      </c>
      <c r="B2389" s="7" t="inlineStr">
        <is>
          <t>O&amp;M</t>
        </is>
      </c>
      <c r="D2389" s="7" t="inlineStr">
        <is>
          <t>SSN 722 USS KEY WEST - Inactivation Availability (IA)</t>
        </is>
      </c>
      <c r="E2389" s="13" t="inlineStr">
        <is>
          <t>[REFERENCE]</t>
        </is>
      </c>
      <c r="I2389" s="14" t="n">
        <v>2</v>
      </c>
      <c r="J2389" s="7" t="inlineStr">
        <is>
          <t>Ship Availability</t>
        </is>
      </c>
      <c r="K2389" s="13" t="inlineStr">
        <is>
          <t>USN</t>
        </is>
      </c>
      <c r="L2389" s="7" t="inlineStr">
        <is>
          <t>Combatant Ships</t>
        </is>
      </c>
      <c r="M2389" s="7" t="inlineStr">
        <is>
          <t>Submarines</t>
        </is>
      </c>
      <c r="N2389" s="7" t="inlineStr">
        <is>
          <t>SSN</t>
        </is>
      </c>
      <c r="O2389" s="15" t="n"/>
      <c r="AC2389" s="23">
        <f>IF(OR(E2389="",E2389="[PARENT]"),"ADD",IF(E2389="[ALT_VIEW]","ALT",""))</f>
        <v/>
      </c>
      <c r="AD2389" s="21">
        <f>IF(Y2389&lt;&gt;"",Y2389,IF(U2389&lt;&gt;"",U2389,S2389))</f>
        <v/>
      </c>
      <c r="AE2389" s="21">
        <f>IF(AB2389&lt;&gt;"",AB2389,Z2389)</f>
        <v/>
      </c>
      <c r="AF2389" s="13" t="inlineStr">
        <is>
          <t>OMN Vol2 &gt; OP-5A &gt; PSNS&amp;IMF &gt; Ship Availability &gt; SSN 722 USS KEY WEST - IA</t>
        </is>
      </c>
      <c r="AG2389" s="7" t="inlineStr">
        <is>
          <t>81</t>
        </is>
      </c>
      <c r="AH2389" s="7" t="inlineStr">
        <is>
          <t>1B4B</t>
        </is>
      </c>
      <c r="AI2389" s="7" t="inlineStr">
        <is>
          <t>PSNS&amp;IMF</t>
        </is>
      </c>
      <c r="AJ2389" s="7" t="inlineStr">
        <is>
          <t>Ship Availability</t>
        </is>
      </c>
    </row>
    <row r="2390" ht="10" customHeight="1">
      <c r="A2390" s="7" t="inlineStr">
        <is>
          <t>OMN_Vol2</t>
        </is>
      </c>
      <c r="B2390" s="7" t="inlineStr">
        <is>
          <t>O&amp;M</t>
        </is>
      </c>
      <c r="D2390" s="7" t="inlineStr">
        <is>
          <t>SSN 698 EX BREMERTON - Recycling/Disposal (RCD)</t>
        </is>
      </c>
      <c r="E2390" s="13" t="inlineStr">
        <is>
          <t>[REFERENCE]</t>
        </is>
      </c>
      <c r="I2390" s="14" t="n">
        <v>2</v>
      </c>
      <c r="J2390" s="7" t="inlineStr">
        <is>
          <t>Ship Availability</t>
        </is>
      </c>
      <c r="K2390" s="13" t="inlineStr">
        <is>
          <t>USN</t>
        </is>
      </c>
      <c r="L2390" s="7" t="inlineStr">
        <is>
          <t>Combatant Ships</t>
        </is>
      </c>
      <c r="M2390" s="7" t="inlineStr">
        <is>
          <t>Submarines</t>
        </is>
      </c>
      <c r="N2390" s="7" t="inlineStr">
        <is>
          <t>SSN</t>
        </is>
      </c>
      <c r="O2390" s="15" t="n"/>
      <c r="AC2390" s="23">
        <f>IF(OR(E2390="",E2390="[PARENT]"),"ADD",IF(E2390="[ALT_VIEW]","ALT",""))</f>
        <v/>
      </c>
      <c r="AD2390" s="21">
        <f>IF(Y2390&lt;&gt;"",Y2390,IF(U2390&lt;&gt;"",U2390,S2390))</f>
        <v/>
      </c>
      <c r="AE2390" s="21">
        <f>IF(AB2390&lt;&gt;"",AB2390,Z2390)</f>
        <v/>
      </c>
      <c r="AF2390" s="13" t="inlineStr">
        <is>
          <t>OMN Vol2 &gt; OP-5A &gt; PSNS&amp;IMF &gt; Ship Availability &gt; SSN 698 EX BREMERTON - RCD</t>
        </is>
      </c>
      <c r="AG2390" s="7" t="inlineStr">
        <is>
          <t>81</t>
        </is>
      </c>
      <c r="AH2390" s="7" t="inlineStr">
        <is>
          <t>1B4B</t>
        </is>
      </c>
      <c r="AI2390" s="7" t="inlineStr">
        <is>
          <t>PSNS&amp;IMF</t>
        </is>
      </c>
      <c r="AJ2390" s="7" t="inlineStr">
        <is>
          <t>Ship Availability</t>
        </is>
      </c>
    </row>
    <row r="2391" ht="10" customHeight="1">
      <c r="A2391" s="7" t="inlineStr">
        <is>
          <t>OMN_Vol2</t>
        </is>
      </c>
      <c r="B2391" s="7" t="inlineStr">
        <is>
          <t>O&amp;M</t>
        </is>
      </c>
      <c r="D2391" s="7" t="inlineStr">
        <is>
          <t>SSN 699 EX JACKSONVILLE - Recycling/Disposal (RCD)</t>
        </is>
      </c>
      <c r="E2391" s="13" t="inlineStr">
        <is>
          <t>[REFERENCE]</t>
        </is>
      </c>
      <c r="I2391" s="14" t="n">
        <v>2</v>
      </c>
      <c r="J2391" s="7" t="inlineStr">
        <is>
          <t>Ship Availability</t>
        </is>
      </c>
      <c r="K2391" s="13" t="inlineStr">
        <is>
          <t>USN</t>
        </is>
      </c>
      <c r="L2391" s="7" t="inlineStr">
        <is>
          <t>Combatant Ships</t>
        </is>
      </c>
      <c r="M2391" s="7" t="inlineStr">
        <is>
          <t>Submarines</t>
        </is>
      </c>
      <c r="N2391" s="7" t="inlineStr">
        <is>
          <t>SSN</t>
        </is>
      </c>
      <c r="O2391" s="15" t="n"/>
      <c r="AC2391" s="23">
        <f>IF(OR(E2391="",E2391="[PARENT]"),"ADD",IF(E2391="[ALT_VIEW]","ALT",""))</f>
        <v/>
      </c>
      <c r="AD2391" s="21">
        <f>IF(Y2391&lt;&gt;"",Y2391,IF(U2391&lt;&gt;"",U2391,S2391))</f>
        <v/>
      </c>
      <c r="AE2391" s="21">
        <f>IF(AB2391&lt;&gt;"",AB2391,Z2391)</f>
        <v/>
      </c>
      <c r="AF2391" s="13" t="inlineStr">
        <is>
          <t>OMN Vol2 &gt; OP-5A &gt; PSNS&amp;IMF &gt; Ship Availability &gt; SSN 699 EX JACKSONVILLE - RCD</t>
        </is>
      </c>
      <c r="AG2391" s="7" t="inlineStr">
        <is>
          <t>81</t>
        </is>
      </c>
      <c r="AH2391" s="7" t="inlineStr">
        <is>
          <t>1B4B</t>
        </is>
      </c>
      <c r="AI2391" s="7" t="inlineStr">
        <is>
          <t>PSNS&amp;IMF</t>
        </is>
      </c>
      <c r="AJ2391" s="7" t="inlineStr">
        <is>
          <t>Ship Availability</t>
        </is>
      </c>
    </row>
    <row r="2392" ht="10" customHeight="1">
      <c r="A2392" s="7" t="inlineStr">
        <is>
          <t>OMN_Vol2</t>
        </is>
      </c>
      <c r="B2392" s="7" t="inlineStr">
        <is>
          <t>O&amp;M</t>
        </is>
      </c>
      <c r="D2392" s="7" t="inlineStr">
        <is>
          <t>CVN 73 USS GEORGE WASHINGTON - Selected Restricted Availability (SRA)</t>
        </is>
      </c>
      <c r="E2392" s="13" t="inlineStr">
        <is>
          <t>[REFERENCE]</t>
        </is>
      </c>
      <c r="I2392" s="14" t="n">
        <v>2</v>
      </c>
      <c r="J2392" s="7" t="inlineStr">
        <is>
          <t>Ship Availability</t>
        </is>
      </c>
      <c r="K2392" s="13" t="inlineStr">
        <is>
          <t>USN</t>
        </is>
      </c>
      <c r="L2392" s="7" t="inlineStr">
        <is>
          <t>Combatant Ships</t>
        </is>
      </c>
      <c r="M2392" s="7" t="inlineStr">
        <is>
          <t>Aircraft Carriers</t>
        </is>
      </c>
      <c r="N2392" s="7" t="inlineStr">
        <is>
          <t>CVN</t>
        </is>
      </c>
      <c r="O2392" s="15" t="n"/>
      <c r="AC2392" s="23">
        <f>IF(OR(E2392="",E2392="[PARENT]"),"ADD",IF(E2392="[ALT_VIEW]","ALT",""))</f>
        <v/>
      </c>
      <c r="AD2392" s="21">
        <f>IF(Y2392&lt;&gt;"",Y2392,IF(U2392&lt;&gt;"",U2392,S2392))</f>
        <v/>
      </c>
      <c r="AE2392" s="21">
        <f>IF(AB2392&lt;&gt;"",AB2392,Z2392)</f>
        <v/>
      </c>
      <c r="AF2392" s="13" t="inlineStr">
        <is>
          <t>OMN Vol2 &gt; OP-5A &gt; PSNS&amp;IMF &gt; Ship Availability &gt; CVN 73 USS GEORGE WASHINGTON - SRA</t>
        </is>
      </c>
      <c r="AG2392" s="7" t="inlineStr">
        <is>
          <t>81</t>
        </is>
      </c>
      <c r="AH2392" s="7" t="inlineStr">
        <is>
          <t>1B4B</t>
        </is>
      </c>
      <c r="AI2392" s="7" t="inlineStr">
        <is>
          <t>PSNS&amp;IMF</t>
        </is>
      </c>
      <c r="AJ2392" s="7" t="inlineStr">
        <is>
          <t>Ship Availability</t>
        </is>
      </c>
    </row>
    <row r="2393" ht="10" customHeight="1">
      <c r="A2393" s="7" t="inlineStr">
        <is>
          <t>OMN_Vol2</t>
        </is>
      </c>
      <c r="B2393" s="7" t="inlineStr">
        <is>
          <t>O&amp;M</t>
        </is>
      </c>
      <c r="D2393" s="7" t="inlineStr">
        <is>
          <t>SSBN 737 USS KENTUCKY - Extended Refit Period (ERP)</t>
        </is>
      </c>
      <c r="E2393" s="13" t="inlineStr">
        <is>
          <t>[REFERENCE]</t>
        </is>
      </c>
      <c r="I2393" s="14" t="n">
        <v>5</v>
      </c>
      <c r="J2393" s="7" t="inlineStr">
        <is>
          <t>Ship Availability</t>
        </is>
      </c>
      <c r="K2393" s="13" t="inlineStr">
        <is>
          <t>USN</t>
        </is>
      </c>
      <c r="L2393" s="7" t="inlineStr">
        <is>
          <t>Combatant Ships</t>
        </is>
      </c>
      <c r="M2393" s="7" t="inlineStr">
        <is>
          <t>Submarines</t>
        </is>
      </c>
      <c r="N2393" s="7" t="inlineStr">
        <is>
          <t>SSBN</t>
        </is>
      </c>
      <c r="O2393" s="15" t="n"/>
      <c r="AC2393" s="23">
        <f>IF(OR(E2393="",E2393="[PARENT]"),"ADD",IF(E2393="[ALT_VIEW]","ALT",""))</f>
        <v/>
      </c>
      <c r="AD2393" s="21">
        <f>IF(Y2393&lt;&gt;"",Y2393,IF(U2393&lt;&gt;"",U2393,S2393))</f>
        <v/>
      </c>
      <c r="AE2393" s="21">
        <f>IF(AB2393&lt;&gt;"",AB2393,Z2393)</f>
        <v/>
      </c>
      <c r="AF2393" s="13" t="inlineStr">
        <is>
          <t>OMN Vol2 &gt; OP-5A &gt; PSNS&amp;IMF &gt; Ship Availability &gt; SSBN 737 USS KENTUCKY - ERP</t>
        </is>
      </c>
      <c r="AG2393" s="7" t="inlineStr">
        <is>
          <t>81</t>
        </is>
      </c>
      <c r="AH2393" s="7" t="inlineStr">
        <is>
          <t>1B4B</t>
        </is>
      </c>
      <c r="AI2393" s="7" t="inlineStr">
        <is>
          <t>PSNS&amp;IMF</t>
        </is>
      </c>
      <c r="AJ2393" s="7" t="inlineStr">
        <is>
          <t>Ship Availability</t>
        </is>
      </c>
    </row>
    <row r="2394" ht="10" customHeight="1">
      <c r="A2394" s="7" t="inlineStr">
        <is>
          <t>OMN_Vol2</t>
        </is>
      </c>
      <c r="B2394" s="7" t="inlineStr">
        <is>
          <t>O&amp;M</t>
        </is>
      </c>
      <c r="D2394" s="7" t="inlineStr">
        <is>
          <t>CVN 72 USS ABRAHAM LINCOLN - Continuous Incremental Availability (CIA)</t>
        </is>
      </c>
      <c r="E2394" s="13" t="inlineStr">
        <is>
          <t>[REFERENCE]</t>
        </is>
      </c>
      <c r="I2394" s="14" t="n">
        <v>2</v>
      </c>
      <c r="J2394" s="7" t="inlineStr">
        <is>
          <t>Ship Availability</t>
        </is>
      </c>
      <c r="K2394" s="13" t="inlineStr">
        <is>
          <t>USN</t>
        </is>
      </c>
      <c r="L2394" s="7" t="inlineStr">
        <is>
          <t>Combatant Ships</t>
        </is>
      </c>
      <c r="M2394" s="7" t="inlineStr">
        <is>
          <t>Aircraft Carriers</t>
        </is>
      </c>
      <c r="N2394" s="7" t="inlineStr">
        <is>
          <t>CVN</t>
        </is>
      </c>
      <c r="O2394" s="15" t="n"/>
      <c r="AC2394" s="23">
        <f>IF(OR(E2394="",E2394="[PARENT]"),"ADD",IF(E2394="[ALT_VIEW]","ALT",""))</f>
        <v/>
      </c>
      <c r="AD2394" s="21">
        <f>IF(Y2394&lt;&gt;"",Y2394,IF(U2394&lt;&gt;"",U2394,S2394))</f>
        <v/>
      </c>
      <c r="AE2394" s="21">
        <f>IF(AB2394&lt;&gt;"",AB2394,Z2394)</f>
        <v/>
      </c>
      <c r="AF2394" s="13" t="inlineStr">
        <is>
          <t>OMN Vol2 &gt; OP-5A &gt; PSNS&amp;IMF &gt; Ship Availability &gt; CVN 72 USS ABRAHAM LINCOLN - CIA</t>
        </is>
      </c>
      <c r="AG2394" s="7" t="inlineStr">
        <is>
          <t>81</t>
        </is>
      </c>
      <c r="AH2394" s="7" t="inlineStr">
        <is>
          <t>1B4B</t>
        </is>
      </c>
      <c r="AI2394" s="7" t="inlineStr">
        <is>
          <t>PSNS&amp;IMF</t>
        </is>
      </c>
      <c r="AJ2394" s="7" t="inlineStr">
        <is>
          <t>Ship Availability</t>
        </is>
      </c>
    </row>
    <row r="2395" ht="10" customHeight="1">
      <c r="A2395" s="7" t="inlineStr">
        <is>
          <t>OMN_Vol2</t>
        </is>
      </c>
      <c r="B2395" s="7" t="inlineStr">
        <is>
          <t>O&amp;M</t>
        </is>
      </c>
      <c r="D2395" s="7" t="inlineStr">
        <is>
          <t>CVN 76 USS RONALD REAGAN - Docking Planned Incremental Availability (DPIA)</t>
        </is>
      </c>
      <c r="E2395" s="13" t="inlineStr">
        <is>
          <t>[REFERENCE]</t>
        </is>
      </c>
      <c r="I2395" s="14" t="n">
        <v>2</v>
      </c>
      <c r="J2395" s="7" t="inlineStr">
        <is>
          <t>Ship Availability</t>
        </is>
      </c>
      <c r="K2395" s="13" t="inlineStr">
        <is>
          <t>USN</t>
        </is>
      </c>
      <c r="L2395" s="7" t="inlineStr">
        <is>
          <t>Combatant Ships</t>
        </is>
      </c>
      <c r="M2395" s="7" t="inlineStr">
        <is>
          <t>Aircraft Carriers</t>
        </is>
      </c>
      <c r="N2395" s="7" t="inlineStr">
        <is>
          <t>CVN</t>
        </is>
      </c>
      <c r="O2395" s="15" t="n"/>
      <c r="AC2395" s="23">
        <f>IF(OR(E2395="",E2395="[PARENT]"),"ADD",IF(E2395="[ALT_VIEW]","ALT",""))</f>
        <v/>
      </c>
      <c r="AD2395" s="21">
        <f>IF(Y2395&lt;&gt;"",Y2395,IF(U2395&lt;&gt;"",U2395,S2395))</f>
        <v/>
      </c>
      <c r="AE2395" s="21">
        <f>IF(AB2395&lt;&gt;"",AB2395,Z2395)</f>
        <v/>
      </c>
      <c r="AF2395" s="13" t="inlineStr">
        <is>
          <t>OMN Vol2 &gt; OP-5A &gt; PSNS&amp;IMF &gt; Ship Availability &gt; CVN 76 USS RONALD REAGAN - DPIA</t>
        </is>
      </c>
      <c r="AG2395" s="7" t="inlineStr">
        <is>
          <t>81</t>
        </is>
      </c>
      <c r="AH2395" s="7" t="inlineStr">
        <is>
          <t>1B4B</t>
        </is>
      </c>
      <c r="AI2395" s="7" t="inlineStr">
        <is>
          <t>PSNS&amp;IMF</t>
        </is>
      </c>
      <c r="AJ2395" s="7" t="inlineStr">
        <is>
          <t>Ship Availability</t>
        </is>
      </c>
    </row>
    <row r="2396" ht="10" customHeight="1">
      <c r="A2396" s="7" t="inlineStr">
        <is>
          <t>OMN_Vol2</t>
        </is>
      </c>
      <c r="B2396" s="7" t="inlineStr">
        <is>
          <t>O&amp;M</t>
        </is>
      </c>
      <c r="D2396" s="7" t="inlineStr">
        <is>
          <t>SSN 751 USS SAN JUAN - Inactivation Availability (IA)</t>
        </is>
      </c>
      <c r="E2396" s="13" t="inlineStr">
        <is>
          <t>[REFERENCE]</t>
        </is>
      </c>
      <c r="I2396" s="14" t="n">
        <v>2</v>
      </c>
      <c r="J2396" s="7" t="inlineStr">
        <is>
          <t>Ship Availability</t>
        </is>
      </c>
      <c r="K2396" s="13" t="inlineStr">
        <is>
          <t>USN</t>
        </is>
      </c>
      <c r="L2396" s="7" t="inlineStr">
        <is>
          <t>Combatant Ships</t>
        </is>
      </c>
      <c r="M2396" s="7" t="inlineStr">
        <is>
          <t>Submarines</t>
        </is>
      </c>
      <c r="N2396" s="7" t="inlineStr">
        <is>
          <t>SSN</t>
        </is>
      </c>
      <c r="O2396" s="15" t="n"/>
      <c r="AC2396" s="23">
        <f>IF(OR(E2396="",E2396="[PARENT]"),"ADD",IF(E2396="[ALT_VIEW]","ALT",""))</f>
        <v/>
      </c>
      <c r="AD2396" s="21">
        <f>IF(Y2396&lt;&gt;"",Y2396,IF(U2396&lt;&gt;"",U2396,S2396))</f>
        <v/>
      </c>
      <c r="AE2396" s="21">
        <f>IF(AB2396&lt;&gt;"",AB2396,Z2396)</f>
        <v/>
      </c>
      <c r="AF2396" s="13" t="inlineStr">
        <is>
          <t>OMN Vol2 &gt; OP-5A &gt; PSNS&amp;IMF &gt; Ship Availability &gt; SSN 751 USS SAN JUAN - IA</t>
        </is>
      </c>
      <c r="AG2396" s="7" t="inlineStr">
        <is>
          <t>81</t>
        </is>
      </c>
      <c r="AH2396" s="7" t="inlineStr">
        <is>
          <t>1B4B</t>
        </is>
      </c>
      <c r="AI2396" s="7" t="inlineStr">
        <is>
          <t>PSNS&amp;IMF</t>
        </is>
      </c>
      <c r="AJ2396" s="7" t="inlineStr">
        <is>
          <t>Ship Availability</t>
        </is>
      </c>
    </row>
    <row r="2397" ht="10" customHeight="1">
      <c r="A2397" s="7" t="inlineStr">
        <is>
          <t>OMN_Vol2</t>
        </is>
      </c>
      <c r="B2397" s="7" t="inlineStr">
        <is>
          <t>O&amp;M</t>
        </is>
      </c>
      <c r="D2397" s="7" t="inlineStr">
        <is>
          <t>CVN 70 USS CARL VINSON - Planned Incremental Availability (PIA)</t>
        </is>
      </c>
      <c r="E2397" s="13" t="inlineStr">
        <is>
          <t>[REFERENCE]</t>
        </is>
      </c>
      <c r="I2397" s="14" t="n">
        <v>2</v>
      </c>
      <c r="J2397" s="7" t="inlineStr">
        <is>
          <t>Ship Availability</t>
        </is>
      </c>
      <c r="K2397" s="13" t="inlineStr">
        <is>
          <t>USN</t>
        </is>
      </c>
      <c r="L2397" s="7" t="inlineStr">
        <is>
          <t>Combatant Ships</t>
        </is>
      </c>
      <c r="M2397" s="7" t="inlineStr">
        <is>
          <t>Aircraft Carriers</t>
        </is>
      </c>
      <c r="N2397" s="7" t="inlineStr">
        <is>
          <t>CVN</t>
        </is>
      </c>
      <c r="O2397" s="15" t="n"/>
      <c r="AC2397" s="23">
        <f>IF(OR(E2397="",E2397="[PARENT]"),"ADD",IF(E2397="[ALT_VIEW]","ALT",""))</f>
        <v/>
      </c>
      <c r="AD2397" s="21">
        <f>IF(Y2397&lt;&gt;"",Y2397,IF(U2397&lt;&gt;"",U2397,S2397))</f>
        <v/>
      </c>
      <c r="AE2397" s="21">
        <f>IF(AB2397&lt;&gt;"",AB2397,Z2397)</f>
        <v/>
      </c>
      <c r="AF2397" s="13" t="inlineStr">
        <is>
          <t>OMN Vol2 &gt; OP-5A &gt; PSNS&amp;IMF &gt; Ship Availability &gt; CVN 70 USS CARL VINSON - PIA</t>
        </is>
      </c>
      <c r="AG2397" s="7" t="inlineStr">
        <is>
          <t>81</t>
        </is>
      </c>
      <c r="AH2397" s="7" t="inlineStr">
        <is>
          <t>1B4B</t>
        </is>
      </c>
      <c r="AI2397" s="7" t="inlineStr">
        <is>
          <t>PSNS&amp;IMF</t>
        </is>
      </c>
      <c r="AJ2397" s="7" t="inlineStr">
        <is>
          <t>Ship Availability</t>
        </is>
      </c>
    </row>
    <row r="2398" ht="10" customHeight="1">
      <c r="A2398" s="7" t="inlineStr">
        <is>
          <t>OMN_Vol2</t>
        </is>
      </c>
      <c r="B2398" s="7" t="inlineStr">
        <is>
          <t>O&amp;M</t>
        </is>
      </c>
      <c r="D2398" s="7" t="inlineStr">
        <is>
          <t>SSN 21 USS SEAWOLF - Extended Docking Selected Restricted Availability (EDSRA)</t>
        </is>
      </c>
      <c r="E2398" s="13" t="inlineStr">
        <is>
          <t>[REFERENCE]</t>
        </is>
      </c>
      <c r="I2398" s="14" t="n">
        <v>2</v>
      </c>
      <c r="J2398" s="7" t="inlineStr">
        <is>
          <t>Ship Availability</t>
        </is>
      </c>
      <c r="K2398" s="13" t="inlineStr">
        <is>
          <t>USN</t>
        </is>
      </c>
      <c r="L2398" s="7" t="inlineStr">
        <is>
          <t>Combatant Ships</t>
        </is>
      </c>
      <c r="M2398" s="7" t="inlineStr">
        <is>
          <t>Submarines</t>
        </is>
      </c>
      <c r="N2398" s="7" t="inlineStr">
        <is>
          <t>SSN</t>
        </is>
      </c>
      <c r="O2398" s="15" t="n"/>
      <c r="AC2398" s="23">
        <f>IF(OR(E2398="",E2398="[PARENT]"),"ADD",IF(E2398="[ALT_VIEW]","ALT",""))</f>
        <v/>
      </c>
      <c r="AD2398" s="21">
        <f>IF(Y2398&lt;&gt;"",Y2398,IF(U2398&lt;&gt;"",U2398,S2398))</f>
        <v/>
      </c>
      <c r="AE2398" s="21">
        <f>IF(AB2398&lt;&gt;"",AB2398,Z2398)</f>
        <v/>
      </c>
      <c r="AF2398" s="13" t="inlineStr">
        <is>
          <t>OMN Vol2 &gt; OP-5A &gt; PSNS&amp;IMF &gt; Ship Availability &gt; SSN 21 USS SEAWOLF - EDSRA</t>
        </is>
      </c>
      <c r="AG2398" s="7" t="inlineStr">
        <is>
          <t>81</t>
        </is>
      </c>
      <c r="AH2398" s="7" t="inlineStr">
        <is>
          <t>1B4B</t>
        </is>
      </c>
      <c r="AI2398" s="7" t="inlineStr">
        <is>
          <t>PSNS&amp;IMF</t>
        </is>
      </c>
      <c r="AJ2398" s="7" t="inlineStr">
        <is>
          <t>Ship Availability</t>
        </is>
      </c>
    </row>
    <row r="2399" ht="10" customHeight="1">
      <c r="A2399" s="7" t="inlineStr">
        <is>
          <t>OMN_Vol2</t>
        </is>
      </c>
      <c r="B2399" s="7" t="inlineStr">
        <is>
          <t>O&amp;M</t>
        </is>
      </c>
      <c r="D2399" s="7" t="inlineStr">
        <is>
          <t>SSN 752 USS HELENA - Inactivation Availability (IA)</t>
        </is>
      </c>
      <c r="E2399" s="13" t="inlineStr">
        <is>
          <t>[REFERENCE]</t>
        </is>
      </c>
      <c r="I2399" s="14" t="n">
        <v>2</v>
      </c>
      <c r="J2399" s="7" t="inlineStr">
        <is>
          <t>Ship Availability</t>
        </is>
      </c>
      <c r="K2399" s="13" t="inlineStr">
        <is>
          <t>USN</t>
        </is>
      </c>
      <c r="L2399" s="7" t="inlineStr">
        <is>
          <t>Combatant Ships</t>
        </is>
      </c>
      <c r="M2399" s="7" t="inlineStr">
        <is>
          <t>Submarines</t>
        </is>
      </c>
      <c r="N2399" s="7" t="inlineStr">
        <is>
          <t>SSN</t>
        </is>
      </c>
      <c r="O2399" s="15" t="n"/>
      <c r="AC2399" s="23">
        <f>IF(OR(E2399="",E2399="[PARENT]"),"ADD",IF(E2399="[ALT_VIEW]","ALT",""))</f>
        <v/>
      </c>
      <c r="AD2399" s="21">
        <f>IF(Y2399&lt;&gt;"",Y2399,IF(U2399&lt;&gt;"",U2399,S2399))</f>
        <v/>
      </c>
      <c r="AE2399" s="21">
        <f>IF(AB2399&lt;&gt;"",AB2399,Z2399)</f>
        <v/>
      </c>
      <c r="AF2399" s="13" t="inlineStr">
        <is>
          <t>OMN Vol2 &gt; OP-5A &gt; PSNS&amp;IMF &gt; Ship Availability &gt; SSN 752 USS HELENA - IA</t>
        </is>
      </c>
      <c r="AG2399" s="7" t="inlineStr">
        <is>
          <t>81</t>
        </is>
      </c>
      <c r="AH2399" s="7" t="inlineStr">
        <is>
          <t>1B4B</t>
        </is>
      </c>
      <c r="AI2399" s="7" t="inlineStr">
        <is>
          <t>PSNS&amp;IMF</t>
        </is>
      </c>
      <c r="AJ2399" s="7" t="inlineStr">
        <is>
          <t>Ship Availability</t>
        </is>
      </c>
    </row>
    <row r="2400" ht="10" customHeight="1">
      <c r="A2400" s="7" t="inlineStr">
        <is>
          <t>OMN_Vol2</t>
        </is>
      </c>
      <c r="B2400" s="7" t="inlineStr">
        <is>
          <t>O&amp;M</t>
        </is>
      </c>
      <c r="D2400" s="7" t="inlineStr">
        <is>
          <t>SSN 751 USS SAN JUAN - Inactivation Availability (IA)</t>
        </is>
      </c>
      <c r="E2400" s="13" t="inlineStr">
        <is>
          <t>[REFERENCE]</t>
        </is>
      </c>
      <c r="I2400" s="14" t="n">
        <v>2</v>
      </c>
      <c r="J2400" s="7" t="inlineStr">
        <is>
          <t>Ship Availability</t>
        </is>
      </c>
      <c r="K2400" s="13" t="inlineStr">
        <is>
          <t>USN</t>
        </is>
      </c>
      <c r="L2400" s="7" t="inlineStr">
        <is>
          <t>Combatant Ships</t>
        </is>
      </c>
      <c r="M2400" s="7" t="inlineStr">
        <is>
          <t>Submarines</t>
        </is>
      </c>
      <c r="N2400" s="7" t="inlineStr">
        <is>
          <t>SSN</t>
        </is>
      </c>
      <c r="O2400" s="15" t="n"/>
      <c r="AC2400" s="23">
        <f>IF(OR(E2400="",E2400="[PARENT]"),"ADD",IF(E2400="[ALT_VIEW]","ALT",""))</f>
        <v/>
      </c>
      <c r="AD2400" s="21">
        <f>IF(Y2400&lt;&gt;"",Y2400,IF(U2400&lt;&gt;"",U2400,S2400))</f>
        <v/>
      </c>
      <c r="AE2400" s="21">
        <f>IF(AB2400&lt;&gt;"",AB2400,Z2400)</f>
        <v/>
      </c>
      <c r="AF2400" s="13" t="inlineStr">
        <is>
          <t>OMN Vol2 &gt; OP-5A &gt; PSNS&amp;IMF &gt; Ship Availability &gt; SSN 751 USS SAN JUAN - IA</t>
        </is>
      </c>
      <c r="AG2400" s="7" t="inlineStr">
        <is>
          <t>81</t>
        </is>
      </c>
      <c r="AH2400" s="7" t="inlineStr">
        <is>
          <t>1B4B</t>
        </is>
      </c>
      <c r="AI2400" s="7" t="inlineStr">
        <is>
          <t>PSNS&amp;IMF</t>
        </is>
      </c>
      <c r="AJ2400" s="7" t="inlineStr">
        <is>
          <t>Ship Availability</t>
        </is>
      </c>
    </row>
    <row r="2401" ht="10" customHeight="1">
      <c r="A2401" s="7" t="inlineStr">
        <is>
          <t>OMN_Vol2</t>
        </is>
      </c>
      <c r="B2401" s="7" t="inlineStr">
        <is>
          <t>O&amp;M</t>
        </is>
      </c>
      <c r="D2401" s="7" t="inlineStr">
        <is>
          <t>SSBN 737 KENTUCKY - Extended Refit Period (ERP)</t>
        </is>
      </c>
      <c r="E2401" s="13" t="inlineStr">
        <is>
          <t>[REFERENCE]</t>
        </is>
      </c>
      <c r="I2401" s="14" t="n">
        <v>5</v>
      </c>
      <c r="J2401" s="7" t="inlineStr">
        <is>
          <t>Ship Availability</t>
        </is>
      </c>
      <c r="K2401" s="13" t="inlineStr">
        <is>
          <t>USN</t>
        </is>
      </c>
      <c r="L2401" s="7" t="inlineStr">
        <is>
          <t>Combatant Ships</t>
        </is>
      </c>
      <c r="M2401" s="7" t="inlineStr">
        <is>
          <t>Submarines</t>
        </is>
      </c>
      <c r="N2401" s="7" t="inlineStr">
        <is>
          <t>SSBN</t>
        </is>
      </c>
      <c r="O2401" s="15" t="n"/>
      <c r="AC2401" s="23">
        <f>IF(OR(E2401="",E2401="[PARENT]"),"ADD",IF(E2401="[ALT_VIEW]","ALT",""))</f>
        <v/>
      </c>
      <c r="AD2401" s="21">
        <f>IF(Y2401&lt;&gt;"",Y2401,IF(U2401&lt;&gt;"",U2401,S2401))</f>
        <v/>
      </c>
      <c r="AE2401" s="21">
        <f>IF(AB2401&lt;&gt;"",AB2401,Z2401)</f>
        <v/>
      </c>
      <c r="AF2401" s="13" t="inlineStr">
        <is>
          <t>OMN Vol2 &gt; OP-5A &gt; PSNS&amp;IMF &gt; Ship Availability &gt; SSBN 737 KENTUCKY - ERP</t>
        </is>
      </c>
      <c r="AG2401" s="7" t="inlineStr">
        <is>
          <t>81</t>
        </is>
      </c>
      <c r="AH2401" s="7" t="inlineStr">
        <is>
          <t>1B4B</t>
        </is>
      </c>
      <c r="AI2401" s="7" t="inlineStr">
        <is>
          <t>PSNS&amp;IMF</t>
        </is>
      </c>
      <c r="AJ2401" s="7" t="inlineStr">
        <is>
          <t>Ship Availability</t>
        </is>
      </c>
    </row>
    <row r="2402" ht="10" customHeight="1">
      <c r="A2402" s="7" t="inlineStr">
        <is>
          <t>OMN_Vol2</t>
        </is>
      </c>
      <c r="B2402" s="7" t="inlineStr">
        <is>
          <t>O&amp;M</t>
        </is>
      </c>
      <c r="D2402" s="7" t="inlineStr">
        <is>
          <t>CVN 70 USS CARL VINSON - Planned Incremental Availability (PIA)</t>
        </is>
      </c>
      <c r="E2402" s="13" t="inlineStr">
        <is>
          <t>[REFERENCE]</t>
        </is>
      </c>
      <c r="I2402" s="14" t="n">
        <v>2</v>
      </c>
      <c r="J2402" s="7" t="inlineStr">
        <is>
          <t>Ship Availability</t>
        </is>
      </c>
      <c r="K2402" s="13" t="inlineStr">
        <is>
          <t>USN</t>
        </is>
      </c>
      <c r="L2402" s="7" t="inlineStr">
        <is>
          <t>Combatant Ships</t>
        </is>
      </c>
      <c r="M2402" s="7" t="inlineStr">
        <is>
          <t>Aircraft Carriers</t>
        </is>
      </c>
      <c r="N2402" s="7" t="inlineStr">
        <is>
          <t>CVN</t>
        </is>
      </c>
      <c r="O2402" s="15" t="n"/>
      <c r="AC2402" s="23">
        <f>IF(OR(E2402="",E2402="[PARENT]"),"ADD",IF(E2402="[ALT_VIEW]","ALT",""))</f>
        <v/>
      </c>
      <c r="AD2402" s="21">
        <f>IF(Y2402&lt;&gt;"",Y2402,IF(U2402&lt;&gt;"",U2402,S2402))</f>
        <v/>
      </c>
      <c r="AE2402" s="21">
        <f>IF(AB2402&lt;&gt;"",AB2402,Z2402)</f>
        <v/>
      </c>
      <c r="AF2402" s="13" t="inlineStr">
        <is>
          <t>OMN Vol2 &gt; OP-5A &gt; PSNS&amp;IMF &gt; Ship Availability &gt; CVN 70 USS CARL VINSON - PIA</t>
        </is>
      </c>
      <c r="AG2402" s="7" t="inlineStr">
        <is>
          <t>81</t>
        </is>
      </c>
      <c r="AH2402" s="7" t="inlineStr">
        <is>
          <t>1B4B</t>
        </is>
      </c>
      <c r="AI2402" s="7" t="inlineStr">
        <is>
          <t>PSNS&amp;IMF</t>
        </is>
      </c>
      <c r="AJ2402" s="7" t="inlineStr">
        <is>
          <t>Ship Availability</t>
        </is>
      </c>
    </row>
    <row r="2403" ht="10" customHeight="1">
      <c r="A2403" s="7" t="inlineStr">
        <is>
          <t>OMN_Vol2</t>
        </is>
      </c>
      <c r="B2403" s="7" t="inlineStr">
        <is>
          <t>O&amp;M</t>
        </is>
      </c>
      <c r="D2403" s="7" t="inlineStr">
        <is>
          <t>SSN 725 USS HELENA - Service Life Allowance (SLA)</t>
        </is>
      </c>
      <c r="E2403" s="13" t="inlineStr">
        <is>
          <t>[REFERENCE]</t>
        </is>
      </c>
      <c r="I2403" s="14" t="n">
        <v>2</v>
      </c>
      <c r="J2403" s="7" t="inlineStr">
        <is>
          <t>Ship Availability</t>
        </is>
      </c>
      <c r="K2403" s="13" t="inlineStr">
        <is>
          <t>USN</t>
        </is>
      </c>
      <c r="L2403" s="7" t="inlineStr">
        <is>
          <t>Combatant Ships</t>
        </is>
      </c>
      <c r="M2403" s="7" t="inlineStr">
        <is>
          <t>Submarines</t>
        </is>
      </c>
      <c r="N2403" s="7" t="inlineStr">
        <is>
          <t>SSN</t>
        </is>
      </c>
      <c r="O2403" s="15" t="n"/>
      <c r="AC2403" s="23">
        <f>IF(OR(E2403="",E2403="[PARENT]"),"ADD",IF(E2403="[ALT_VIEW]","ALT",""))</f>
        <v/>
      </c>
      <c r="AD2403" s="21">
        <f>IF(Y2403&lt;&gt;"",Y2403,IF(U2403&lt;&gt;"",U2403,S2403))</f>
        <v/>
      </c>
      <c r="AE2403" s="21">
        <f>IF(AB2403&lt;&gt;"",AB2403,Z2403)</f>
        <v/>
      </c>
      <c r="AF2403" s="13" t="inlineStr">
        <is>
          <t>OMN Vol2 &gt; OP-5A &gt; PSNS&amp;IMF &gt; Ship Availability &gt; SSN 725 USS HELENA - SLA</t>
        </is>
      </c>
      <c r="AG2403" s="7" t="inlineStr">
        <is>
          <t>81</t>
        </is>
      </c>
      <c r="AH2403" s="7" t="inlineStr">
        <is>
          <t>1B4B</t>
        </is>
      </c>
      <c r="AI2403" s="7" t="inlineStr">
        <is>
          <t>PSNS&amp;IMF</t>
        </is>
      </c>
      <c r="AJ2403" s="7" t="inlineStr">
        <is>
          <t>Ship Availability</t>
        </is>
      </c>
    </row>
    <row r="2404" ht="10" customHeight="1">
      <c r="A2404" s="7" t="inlineStr">
        <is>
          <t>OMN_Vol2</t>
        </is>
      </c>
      <c r="B2404" s="7" t="inlineStr">
        <is>
          <t>O&amp;M</t>
        </is>
      </c>
      <c r="D2404" s="7" t="inlineStr">
        <is>
          <t>CVN 73 USS GEORGE WASHINGTON - Selected Restricted Availability (SRA)</t>
        </is>
      </c>
      <c r="E2404" s="13" t="inlineStr">
        <is>
          <t>[REFERENCE]</t>
        </is>
      </c>
      <c r="I2404" s="14" t="n">
        <v>2</v>
      </c>
      <c r="J2404" s="7" t="inlineStr">
        <is>
          <t>Ship Availability</t>
        </is>
      </c>
      <c r="K2404" s="13" t="inlineStr">
        <is>
          <t>USN</t>
        </is>
      </c>
      <c r="L2404" s="7" t="inlineStr">
        <is>
          <t>Combatant Ships</t>
        </is>
      </c>
      <c r="M2404" s="7" t="inlineStr">
        <is>
          <t>Aircraft Carriers</t>
        </is>
      </c>
      <c r="N2404" s="7" t="inlineStr">
        <is>
          <t>CVN</t>
        </is>
      </c>
      <c r="O2404" s="15" t="n"/>
      <c r="AC2404" s="23">
        <f>IF(OR(E2404="",E2404="[PARENT]"),"ADD",IF(E2404="[ALT_VIEW]","ALT",""))</f>
        <v/>
      </c>
      <c r="AD2404" s="21">
        <f>IF(Y2404&lt;&gt;"",Y2404,IF(U2404&lt;&gt;"",U2404,S2404))</f>
        <v/>
      </c>
      <c r="AE2404" s="21">
        <f>IF(AB2404&lt;&gt;"",AB2404,Z2404)</f>
        <v/>
      </c>
      <c r="AF2404" s="13" t="inlineStr">
        <is>
          <t>OMN Vol2 &gt; OP-5A &gt; PSNS&amp;IMF &gt; Ship Availability &gt; CVN 73 USS GEORGE WASHINGTON - SRA</t>
        </is>
      </c>
      <c r="AG2404" s="7" t="inlineStr">
        <is>
          <t>81</t>
        </is>
      </c>
      <c r="AH2404" s="7" t="inlineStr">
        <is>
          <t>1B4B</t>
        </is>
      </c>
      <c r="AI2404" s="7" t="inlineStr">
        <is>
          <t>PSNS&amp;IMF</t>
        </is>
      </c>
      <c r="AJ2404" s="7" t="inlineStr">
        <is>
          <t>Ship Availability</t>
        </is>
      </c>
    </row>
    <row r="2405" ht="10" customHeight="1">
      <c r="A2405" s="7" t="inlineStr">
        <is>
          <t>OMN_Vol2</t>
        </is>
      </c>
      <c r="B2405" s="7" t="inlineStr">
        <is>
          <t>O&amp;M</t>
        </is>
      </c>
      <c r="D2405" s="7" t="inlineStr">
        <is>
          <t>SSN 21 USS SEAWOLF - Extended Docking Selected Restricted Availability (EDSRA)</t>
        </is>
      </c>
      <c r="E2405" s="13" t="inlineStr">
        <is>
          <t>[REFERENCE]</t>
        </is>
      </c>
      <c r="I2405" s="14" t="n">
        <v>2</v>
      </c>
      <c r="J2405" s="7" t="inlineStr">
        <is>
          <t>Ship Availability</t>
        </is>
      </c>
      <c r="K2405" s="13" t="inlineStr">
        <is>
          <t>USN</t>
        </is>
      </c>
      <c r="L2405" s="7" t="inlineStr">
        <is>
          <t>Combatant Ships</t>
        </is>
      </c>
      <c r="M2405" s="7" t="inlineStr">
        <is>
          <t>Submarines</t>
        </is>
      </c>
      <c r="N2405" s="7" t="inlineStr">
        <is>
          <t>SSN</t>
        </is>
      </c>
      <c r="O2405" s="15" t="n"/>
      <c r="AC2405" s="23">
        <f>IF(OR(E2405="",E2405="[PARENT]"),"ADD",IF(E2405="[ALT_VIEW]","ALT",""))</f>
        <v/>
      </c>
      <c r="AD2405" s="21">
        <f>IF(Y2405&lt;&gt;"",Y2405,IF(U2405&lt;&gt;"",U2405,S2405))</f>
        <v/>
      </c>
      <c r="AE2405" s="21">
        <f>IF(AB2405&lt;&gt;"",AB2405,Z2405)</f>
        <v/>
      </c>
      <c r="AF2405" s="13" t="inlineStr">
        <is>
          <t>OMN Vol2 &gt; OP-5A &gt; PSNS&amp;IMF &gt; Ship Availability &gt; SSN 21 USS SEAWOLF - EDSRA</t>
        </is>
      </c>
      <c r="AG2405" s="7" t="inlineStr">
        <is>
          <t>81</t>
        </is>
      </c>
      <c r="AH2405" s="7" t="inlineStr">
        <is>
          <t>1B4B</t>
        </is>
      </c>
      <c r="AI2405" s="7" t="inlineStr">
        <is>
          <t>PSNS&amp;IMF</t>
        </is>
      </c>
      <c r="AJ2405" s="7" t="inlineStr">
        <is>
          <t>Ship Availability</t>
        </is>
      </c>
    </row>
    <row r="2406" ht="10" customHeight="1">
      <c r="A2406" s="7" t="inlineStr">
        <is>
          <t>OMN_Vol2</t>
        </is>
      </c>
      <c r="B2406" s="7" t="inlineStr">
        <is>
          <t>O&amp;M</t>
        </is>
      </c>
      <c r="D2406" s="7" t="inlineStr">
        <is>
          <t>SSN 754 USS TOPEKA - Service Life Allowance (SLA)</t>
        </is>
      </c>
      <c r="E2406" s="13" t="inlineStr">
        <is>
          <t>[REFERENCE]</t>
        </is>
      </c>
      <c r="I2406" s="14" t="n">
        <v>2</v>
      </c>
      <c r="J2406" s="7" t="inlineStr">
        <is>
          <t>Ship Availability</t>
        </is>
      </c>
      <c r="K2406" s="13" t="inlineStr">
        <is>
          <t>USN</t>
        </is>
      </c>
      <c r="L2406" s="7" t="inlineStr">
        <is>
          <t>Combatant Ships</t>
        </is>
      </c>
      <c r="M2406" s="7" t="inlineStr">
        <is>
          <t>Submarines</t>
        </is>
      </c>
      <c r="N2406" s="7" t="inlineStr">
        <is>
          <t>SSN</t>
        </is>
      </c>
      <c r="O2406" s="15" t="n"/>
      <c r="AC2406" s="23">
        <f>IF(OR(E2406="",E2406="[PARENT]"),"ADD",IF(E2406="[ALT_VIEW]","ALT",""))</f>
        <v/>
      </c>
      <c r="AD2406" s="21">
        <f>IF(Y2406&lt;&gt;"",Y2406,IF(U2406&lt;&gt;"",U2406,S2406))</f>
        <v/>
      </c>
      <c r="AE2406" s="21">
        <f>IF(AB2406&lt;&gt;"",AB2406,Z2406)</f>
        <v/>
      </c>
      <c r="AF2406" s="13" t="inlineStr">
        <is>
          <t>OMN Vol2 &gt; OP-5A &gt; PSNS&amp;IMF &gt; Ship Availability &gt; SSN 754 USS TOPEKA - SLA</t>
        </is>
      </c>
      <c r="AG2406" s="7" t="inlineStr">
        <is>
          <t>81</t>
        </is>
      </c>
      <c r="AH2406" s="7" t="inlineStr">
        <is>
          <t>1B4B</t>
        </is>
      </c>
      <c r="AI2406" s="7" t="inlineStr">
        <is>
          <t>PSNS&amp;IMF</t>
        </is>
      </c>
      <c r="AJ2406" s="7" t="inlineStr">
        <is>
          <t>Ship Availability</t>
        </is>
      </c>
    </row>
    <row r="2407" ht="10" customHeight="1">
      <c r="A2407" s="7" t="inlineStr">
        <is>
          <t>OMN_Vol2</t>
        </is>
      </c>
      <c r="B2407" s="7" t="inlineStr">
        <is>
          <t>O&amp;M</t>
        </is>
      </c>
      <c r="D2407" s="7" t="inlineStr">
        <is>
          <t>CVN 72 USS ABRAHAM LINCOLN - Docking Planned Incremental Availability (DPIA)</t>
        </is>
      </c>
      <c r="E2407" s="13" t="inlineStr">
        <is>
          <t>[REFERENCE]</t>
        </is>
      </c>
      <c r="I2407" s="14" t="n">
        <v>2</v>
      </c>
      <c r="J2407" s="7" t="inlineStr">
        <is>
          <t>Ship Availability</t>
        </is>
      </c>
      <c r="K2407" s="13" t="inlineStr">
        <is>
          <t>USN</t>
        </is>
      </c>
      <c r="L2407" s="7" t="inlineStr">
        <is>
          <t>Combatant Ships</t>
        </is>
      </c>
      <c r="M2407" s="7" t="inlineStr">
        <is>
          <t>Aircraft Carriers</t>
        </is>
      </c>
      <c r="N2407" s="7" t="inlineStr">
        <is>
          <t>CVN</t>
        </is>
      </c>
      <c r="O2407" s="15" t="n"/>
      <c r="AC2407" s="23">
        <f>IF(OR(E2407="",E2407="[PARENT]"),"ADD",IF(E2407="[ALT_VIEW]","ALT",""))</f>
        <v/>
      </c>
      <c r="AD2407" s="21">
        <f>IF(Y2407&lt;&gt;"",Y2407,IF(U2407&lt;&gt;"",U2407,S2407))</f>
        <v/>
      </c>
      <c r="AE2407" s="21">
        <f>IF(AB2407&lt;&gt;"",AB2407,Z2407)</f>
        <v/>
      </c>
      <c r="AF2407" s="13" t="inlineStr">
        <is>
          <t>OMN Vol2 &gt; OP-5A &gt; PSNS&amp;IMF &gt; Ship Availability &gt; CVN 72 USS ABRAHAM LINCOLN - DPIA</t>
        </is>
      </c>
      <c r="AG2407" s="7" t="inlineStr">
        <is>
          <t>81</t>
        </is>
      </c>
      <c r="AH2407" s="7" t="inlineStr">
        <is>
          <t>1B4B</t>
        </is>
      </c>
      <c r="AI2407" s="7" t="inlineStr">
        <is>
          <t>PSNS&amp;IMF</t>
        </is>
      </c>
      <c r="AJ2407" s="7" t="inlineStr">
        <is>
          <t>Ship Availability</t>
        </is>
      </c>
    </row>
    <row r="2408" ht="10" customHeight="1">
      <c r="A2408" s="7" t="inlineStr">
        <is>
          <t>OMN_Vol2</t>
        </is>
      </c>
      <c r="B2408" s="7" t="inlineStr">
        <is>
          <t>O&amp;M</t>
        </is>
      </c>
      <c r="D2408" s="7" t="inlineStr">
        <is>
          <t>SSN 757 USS ALEXANDRIA - Inactivation Availability (IA)</t>
        </is>
      </c>
      <c r="E2408" s="13" t="inlineStr">
        <is>
          <t>[REFERENCE]</t>
        </is>
      </c>
      <c r="I2408" s="14" t="n">
        <v>2</v>
      </c>
      <c r="J2408" s="7" t="inlineStr">
        <is>
          <t>Ship Availability</t>
        </is>
      </c>
      <c r="K2408" s="13" t="inlineStr">
        <is>
          <t>USN</t>
        </is>
      </c>
      <c r="L2408" s="7" t="inlineStr">
        <is>
          <t>Combatant Ships</t>
        </is>
      </c>
      <c r="M2408" s="7" t="inlineStr">
        <is>
          <t>Submarines</t>
        </is>
      </c>
      <c r="N2408" s="7" t="inlineStr">
        <is>
          <t>SSN</t>
        </is>
      </c>
      <c r="O2408" s="15" t="n"/>
      <c r="AC2408" s="23">
        <f>IF(OR(E2408="",E2408="[PARENT]"),"ADD",IF(E2408="[ALT_VIEW]","ALT",""))</f>
        <v/>
      </c>
      <c r="AD2408" s="21">
        <f>IF(Y2408&lt;&gt;"",Y2408,IF(U2408&lt;&gt;"",U2408,S2408))</f>
        <v/>
      </c>
      <c r="AE2408" s="21">
        <f>IF(AB2408&lt;&gt;"",AB2408,Z2408)</f>
        <v/>
      </c>
      <c r="AF2408" s="13" t="inlineStr">
        <is>
          <t>OMN Vol2 &gt; OP-5A &gt; PSNS&amp;IMF &gt; Ship Availability &gt; SSN 757 USS ALEXANDRIA - IA</t>
        </is>
      </c>
      <c r="AG2408" s="7" t="inlineStr">
        <is>
          <t>81</t>
        </is>
      </c>
      <c r="AH2408" s="7" t="inlineStr">
        <is>
          <t>1B4B</t>
        </is>
      </c>
      <c r="AI2408" s="7" t="inlineStr">
        <is>
          <t>PSNS&amp;IMF</t>
        </is>
      </c>
      <c r="AJ2408" s="7" t="inlineStr">
        <is>
          <t>Ship Availability</t>
        </is>
      </c>
    </row>
    <row r="2409" ht="10" customHeight="1">
      <c r="A2409" s="7" t="inlineStr">
        <is>
          <t>OMN_Vol2</t>
        </is>
      </c>
      <c r="B2409" s="7" t="inlineStr">
        <is>
          <t>O&amp;M</t>
        </is>
      </c>
      <c r="D2409" s="7" t="inlineStr">
        <is>
          <t>CVN 71 USS THEODORE ROOSEVELT - Continuous Incremental Availability (CIA)</t>
        </is>
      </c>
      <c r="E2409" s="13" t="inlineStr">
        <is>
          <t>[REFERENCE]</t>
        </is>
      </c>
      <c r="I2409" s="14" t="n">
        <v>2</v>
      </c>
      <c r="J2409" s="7" t="inlineStr">
        <is>
          <t>Ship Availability</t>
        </is>
      </c>
      <c r="K2409" s="13" t="inlineStr">
        <is>
          <t>USN</t>
        </is>
      </c>
      <c r="L2409" s="7" t="inlineStr">
        <is>
          <t>Combatant Ships</t>
        </is>
      </c>
      <c r="M2409" s="7" t="inlineStr">
        <is>
          <t>Aircraft Carriers</t>
        </is>
      </c>
      <c r="N2409" s="7" t="inlineStr">
        <is>
          <t>CVN</t>
        </is>
      </c>
      <c r="O2409" s="15" t="n"/>
      <c r="AC2409" s="23">
        <f>IF(OR(E2409="",E2409="[PARENT]"),"ADD",IF(E2409="[ALT_VIEW]","ALT",""))</f>
        <v/>
      </c>
      <c r="AD2409" s="21">
        <f>IF(Y2409&lt;&gt;"",Y2409,IF(U2409&lt;&gt;"",U2409,S2409))</f>
        <v/>
      </c>
      <c r="AE2409" s="21">
        <f>IF(AB2409&lt;&gt;"",AB2409,Z2409)</f>
        <v/>
      </c>
      <c r="AF2409" s="13" t="inlineStr">
        <is>
          <t>OMN Vol2 &gt; OP-5A &gt; PSNS&amp;IMF &gt; Ship Availability &gt; CVN 71 USS THEODORE ROOSEVELT - CIA</t>
        </is>
      </c>
      <c r="AG2409" s="7" t="inlineStr">
        <is>
          <t>81</t>
        </is>
      </c>
      <c r="AH2409" s="7" t="inlineStr">
        <is>
          <t>1B4B</t>
        </is>
      </c>
      <c r="AI2409" s="7" t="inlineStr">
        <is>
          <t>PSNS&amp;IMF</t>
        </is>
      </c>
      <c r="AJ2409" s="7" t="inlineStr">
        <is>
          <t>Ship Availability</t>
        </is>
      </c>
    </row>
    <row r="2410" ht="10" customHeight="1">
      <c r="A2410" s="7" t="inlineStr">
        <is>
          <t>OMN_Vol2</t>
        </is>
      </c>
      <c r="B2410" s="7" t="inlineStr">
        <is>
          <t>O&amp;M</t>
        </is>
      </c>
      <c r="D2410" s="7" t="inlineStr">
        <is>
          <t>Portsmouth Naval Shipyard: Source of Funding - Department of Navy</t>
        </is>
      </c>
      <c r="E2410" s="13" t="inlineStr">
        <is>
          <t>[SUB]</t>
        </is>
      </c>
      <c r="F2410" s="7" t="inlineStr">
        <is>
          <t>PNSY Total</t>
        </is>
      </c>
      <c r="I2410" s="14" t="n">
        <v>2</v>
      </c>
      <c r="J2410" s="7" t="inlineStr">
        <is>
          <t>Scheduled Depot Maintenance</t>
        </is>
      </c>
      <c r="K2410" s="15" t="n"/>
      <c r="O2410" s="15" t="n"/>
      <c r="P2410" s="16" t="n">
        <v>1536562</v>
      </c>
      <c r="Q2410" s="16" t="n">
        <v>1689320</v>
      </c>
      <c r="S2410" s="16" t="n">
        <v>1634100</v>
      </c>
      <c r="AC2410" s="23">
        <f>IF(OR(E2410="",E2410="[PARENT]"),"ADD",IF(E2410="[ALT_VIEW]","ALT",""))</f>
        <v/>
      </c>
      <c r="AD2410" s="21">
        <f>IF(Y2410&lt;&gt;"",Y2410,IF(U2410&lt;&gt;"",U2410,S2410))</f>
        <v/>
      </c>
      <c r="AE2410" s="21">
        <f>IF(AB2410&lt;&gt;"",AB2410,Z2410)</f>
        <v/>
      </c>
      <c r="AF2410" s="13" t="inlineStr">
        <is>
          <t>OMN Vol2 &gt; OP-5A &gt; PNSY &gt; Source of Funding &gt; Department of Navy</t>
        </is>
      </c>
      <c r="AG2410" s="7" t="inlineStr">
        <is>
          <t>82</t>
        </is>
      </c>
      <c r="AH2410" s="7" t="inlineStr">
        <is>
          <t>1B4B</t>
        </is>
      </c>
      <c r="AI2410" s="7" t="inlineStr">
        <is>
          <t>PNSY</t>
        </is>
      </c>
      <c r="AJ2410" s="7" t="inlineStr">
        <is>
          <t>Source of Funding</t>
        </is>
      </c>
    </row>
    <row r="2411" ht="10" customHeight="1">
      <c r="A2411" s="7" t="inlineStr">
        <is>
          <t>OMN_Vol2</t>
        </is>
      </c>
      <c r="B2411" s="7" t="inlineStr">
        <is>
          <t>O&amp;M</t>
        </is>
      </c>
      <c r="D2411" s="7" t="inlineStr">
        <is>
          <t>Portsmouth Naval Shipyard: Source of Funding - Direct</t>
        </is>
      </c>
      <c r="E2411" s="13" t="inlineStr">
        <is>
          <t>[SUB]</t>
        </is>
      </c>
      <c r="F2411" s="7" t="inlineStr">
        <is>
          <t>PNSY Total</t>
        </is>
      </c>
      <c r="I2411" s="14" t="n">
        <v>2</v>
      </c>
      <c r="J2411" s="7" t="inlineStr">
        <is>
          <t>Scheduled Depot Maintenance</t>
        </is>
      </c>
      <c r="K2411" s="15" t="n"/>
      <c r="O2411" s="15" t="n"/>
      <c r="P2411" s="16" t="n">
        <v>1345207</v>
      </c>
      <c r="Q2411" s="16" t="n">
        <v>1490550</v>
      </c>
      <c r="S2411" s="16" t="n">
        <v>1424720</v>
      </c>
      <c r="AC2411" s="23">
        <f>IF(OR(E2411="",E2411="[PARENT]"),"ADD",IF(E2411="[ALT_VIEW]","ALT",""))</f>
        <v/>
      </c>
      <c r="AD2411" s="21">
        <f>IF(Y2411&lt;&gt;"",Y2411,IF(U2411&lt;&gt;"",U2411,S2411))</f>
        <v/>
      </c>
      <c r="AE2411" s="21">
        <f>IF(AB2411&lt;&gt;"",AB2411,Z2411)</f>
        <v/>
      </c>
      <c r="AF2411" s="13" t="inlineStr">
        <is>
          <t>OMN Vol2 &gt; OP-5A &gt; PNSY &gt; Source of Funding &gt; Direct</t>
        </is>
      </c>
      <c r="AG2411" s="7" t="inlineStr">
        <is>
          <t>82</t>
        </is>
      </c>
      <c r="AH2411" s="7" t="inlineStr">
        <is>
          <t>1B4B</t>
        </is>
      </c>
      <c r="AI2411" s="7" t="inlineStr">
        <is>
          <t>PNSY</t>
        </is>
      </c>
      <c r="AJ2411" s="7" t="inlineStr">
        <is>
          <t>Source of Funding</t>
        </is>
      </c>
    </row>
    <row r="2412" ht="10" customHeight="1">
      <c r="A2412" s="7" t="inlineStr">
        <is>
          <t>OMN_Vol2</t>
        </is>
      </c>
      <c r="B2412" s="7" t="inlineStr">
        <is>
          <t>O&amp;M</t>
        </is>
      </c>
      <c r="D2412" s="7" t="inlineStr">
        <is>
          <t>Portsmouth Naval Shipyard: Source of Funding - Operation &amp; Maintenance, Navy (Fleet, Base)</t>
        </is>
      </c>
      <c r="E2412" s="13" t="inlineStr">
        <is>
          <t>[SUB]</t>
        </is>
      </c>
      <c r="F2412" s="7" t="inlineStr">
        <is>
          <t>PNSY Total</t>
        </is>
      </c>
      <c r="I2412" s="14" t="n">
        <v>2</v>
      </c>
      <c r="J2412" s="7" t="inlineStr">
        <is>
          <t>Scheduled Depot Maintenance</t>
        </is>
      </c>
      <c r="K2412" s="15" t="n"/>
      <c r="O2412" s="15" t="n"/>
      <c r="P2412" s="16" t="n">
        <v>1200641</v>
      </c>
      <c r="Q2412" s="16" t="n">
        <v>1309897</v>
      </c>
      <c r="S2412" s="16" t="n">
        <v>1165641</v>
      </c>
      <c r="AC2412" s="23">
        <f>IF(OR(E2412="",E2412="[PARENT]"),"ADD",IF(E2412="[ALT_VIEW]","ALT",""))</f>
        <v/>
      </c>
      <c r="AD2412" s="21">
        <f>IF(Y2412&lt;&gt;"",Y2412,IF(U2412&lt;&gt;"",U2412,S2412))</f>
        <v/>
      </c>
      <c r="AE2412" s="21">
        <f>IF(AB2412&lt;&gt;"",AB2412,Z2412)</f>
        <v/>
      </c>
      <c r="AF2412" s="13" t="inlineStr">
        <is>
          <t>OMN Vol2 &gt; OP-5A &gt; PNSY &gt; Source of Funding &gt; Operation &amp; Maintenance, Navy (Fleet, Base)</t>
        </is>
      </c>
      <c r="AG2412" s="7" t="inlineStr">
        <is>
          <t>82</t>
        </is>
      </c>
      <c r="AH2412" s="7" t="inlineStr">
        <is>
          <t>1B4B</t>
        </is>
      </c>
      <c r="AI2412" s="7" t="inlineStr">
        <is>
          <t>PNSY</t>
        </is>
      </c>
      <c r="AJ2412" s="7" t="inlineStr">
        <is>
          <t>Source of Funding</t>
        </is>
      </c>
    </row>
    <row r="2413" ht="10" customHeight="1">
      <c r="A2413" s="7" t="inlineStr">
        <is>
          <t>OMN_Vol2</t>
        </is>
      </c>
      <c r="B2413" s="7" t="inlineStr">
        <is>
          <t>O&amp;M</t>
        </is>
      </c>
      <c r="D2413" s="7" t="inlineStr">
        <is>
          <t>Portsmouth Naval Shipyard: Source of Funding - Operation &amp; Maintenance, Navy (Fleet, OCO)</t>
        </is>
      </c>
      <c r="E2413" s="13" t="inlineStr">
        <is>
          <t>[SUB]</t>
        </is>
      </c>
      <c r="F2413" s="7" t="inlineStr">
        <is>
          <t>PNSY Total</t>
        </is>
      </c>
      <c r="I2413" s="14" t="n">
        <v>2</v>
      </c>
      <c r="J2413" s="7" t="inlineStr">
        <is>
          <t>Scheduled Depot Maintenance</t>
        </is>
      </c>
      <c r="K2413" s="15" t="n"/>
      <c r="O2413" s="15" t="n"/>
      <c r="P2413" s="16" t="n">
        <v>125254</v>
      </c>
      <c r="Q2413" s="16" t="n">
        <v>160523</v>
      </c>
      <c r="S2413" s="16" t="n">
        <v>238286</v>
      </c>
      <c r="AC2413" s="23">
        <f>IF(OR(E2413="",E2413="[PARENT]"),"ADD",IF(E2413="[ALT_VIEW]","ALT",""))</f>
        <v/>
      </c>
      <c r="AD2413" s="21">
        <f>IF(Y2413&lt;&gt;"",Y2413,IF(U2413&lt;&gt;"",U2413,S2413))</f>
        <v/>
      </c>
      <c r="AE2413" s="21">
        <f>IF(AB2413&lt;&gt;"",AB2413,Z2413)</f>
        <v/>
      </c>
      <c r="AF2413" s="13" t="inlineStr">
        <is>
          <t>OMN Vol2 &gt; OP-5A &gt; PNSY &gt; Source of Funding &gt; Operation &amp; Maintenance, Navy (Fleet, OCO)</t>
        </is>
      </c>
      <c r="AG2413" s="7" t="inlineStr">
        <is>
          <t>82</t>
        </is>
      </c>
      <c r="AH2413" s="7" t="inlineStr">
        <is>
          <t>1B4B</t>
        </is>
      </c>
      <c r="AI2413" s="7" t="inlineStr">
        <is>
          <t>PNSY</t>
        </is>
      </c>
      <c r="AJ2413" s="7" t="inlineStr">
        <is>
          <t>Source of Funding</t>
        </is>
      </c>
    </row>
    <row r="2414" ht="10" customHeight="1">
      <c r="A2414" s="7" t="inlineStr">
        <is>
          <t>OMN_Vol2</t>
        </is>
      </c>
      <c r="B2414" s="7" t="inlineStr">
        <is>
          <t>O&amp;M</t>
        </is>
      </c>
      <c r="D2414" s="7" t="inlineStr">
        <is>
          <t>Portsmouth Naval Shipyard: Source of Funding - Military Personnel, Navy (Fleet, MPN)</t>
        </is>
      </c>
      <c r="E2414" s="13" t="inlineStr">
        <is>
          <t>[SUB]</t>
        </is>
      </c>
      <c r="F2414" s="7" t="inlineStr">
        <is>
          <t>PNSY Total</t>
        </is>
      </c>
      <c r="I2414" s="14" t="n">
        <v>2</v>
      </c>
      <c r="J2414" s="7" t="inlineStr">
        <is>
          <t>Scheduled Depot Maintenance</t>
        </is>
      </c>
      <c r="K2414" s="15" t="n"/>
      <c r="O2414" s="15" t="n"/>
      <c r="P2414" s="16" t="n">
        <v>19312</v>
      </c>
      <c r="Q2414" s="16" t="n">
        <v>20130</v>
      </c>
      <c r="S2414" s="16" t="n">
        <v>20793</v>
      </c>
      <c r="AC2414" s="23">
        <f>IF(OR(E2414="",E2414="[PARENT]"),"ADD",IF(E2414="[ALT_VIEW]","ALT",""))</f>
        <v/>
      </c>
      <c r="AD2414" s="21">
        <f>IF(Y2414&lt;&gt;"",Y2414,IF(U2414&lt;&gt;"",U2414,S2414))</f>
        <v/>
      </c>
      <c r="AE2414" s="21">
        <f>IF(AB2414&lt;&gt;"",AB2414,Z2414)</f>
        <v/>
      </c>
      <c r="AF2414" s="13" t="inlineStr">
        <is>
          <t>OMN Vol2 &gt; OP-5A &gt; PNSY &gt; Source of Funding &gt; Military Personnel, Navy (Fleet, MPN)</t>
        </is>
      </c>
      <c r="AG2414" s="7" t="inlineStr">
        <is>
          <t>82</t>
        </is>
      </c>
      <c r="AH2414" s="7" t="inlineStr">
        <is>
          <t>1B4B</t>
        </is>
      </c>
      <c r="AI2414" s="7" t="inlineStr">
        <is>
          <t>PNSY</t>
        </is>
      </c>
      <c r="AJ2414" s="7" t="inlineStr">
        <is>
          <t>Source of Funding</t>
        </is>
      </c>
    </row>
    <row r="2415" ht="10" customHeight="1">
      <c r="A2415" s="7" t="inlineStr">
        <is>
          <t>OMN_Vol2</t>
        </is>
      </c>
      <c r="B2415" s="7" t="inlineStr">
        <is>
          <t>O&amp;M</t>
        </is>
      </c>
      <c r="D2415" s="7" t="inlineStr">
        <is>
          <t>Portsmouth Naval Shipyard: Source of Funding - Reimbursable</t>
        </is>
      </c>
      <c r="E2415" s="13" t="inlineStr">
        <is>
          <t>[SUB]</t>
        </is>
      </c>
      <c r="F2415" s="7" t="inlineStr">
        <is>
          <t>PNSY Total</t>
        </is>
      </c>
      <c r="I2415" s="14" t="n">
        <v>2</v>
      </c>
      <c r="J2415" s="7" t="inlineStr">
        <is>
          <t>Scheduled Depot Maintenance</t>
        </is>
      </c>
      <c r="K2415" s="15" t="n"/>
      <c r="O2415" s="15" t="n"/>
      <c r="P2415" s="16" t="n">
        <v>191355</v>
      </c>
      <c r="Q2415" s="16" t="n">
        <v>198770</v>
      </c>
      <c r="S2415" s="16" t="n">
        <v>209380</v>
      </c>
      <c r="AC2415" s="23">
        <f>IF(OR(E2415="",E2415="[PARENT]"),"ADD",IF(E2415="[ALT_VIEW]","ALT",""))</f>
        <v/>
      </c>
      <c r="AD2415" s="21">
        <f>IF(Y2415&lt;&gt;"",Y2415,IF(U2415&lt;&gt;"",U2415,S2415))</f>
        <v/>
      </c>
      <c r="AE2415" s="21">
        <f>IF(AB2415&lt;&gt;"",AB2415,Z2415)</f>
        <v/>
      </c>
      <c r="AF2415" s="13" t="inlineStr">
        <is>
          <t>OMN Vol2 &gt; OP-5A &gt; PNSY &gt; Source of Funding &gt; Reimbursable</t>
        </is>
      </c>
      <c r="AG2415" s="7" t="inlineStr">
        <is>
          <t>82</t>
        </is>
      </c>
      <c r="AH2415" s="7" t="inlineStr">
        <is>
          <t>1B4B</t>
        </is>
      </c>
      <c r="AI2415" s="7" t="inlineStr">
        <is>
          <t>PNSY</t>
        </is>
      </c>
      <c r="AJ2415" s="7" t="inlineStr">
        <is>
          <t>Source of Funding</t>
        </is>
      </c>
    </row>
    <row r="2416" ht="10" customHeight="1">
      <c r="A2416" s="7" t="inlineStr">
        <is>
          <t>OMN_Vol2</t>
        </is>
      </c>
      <c r="B2416" s="7" t="inlineStr">
        <is>
          <t>O&amp;M</t>
        </is>
      </c>
      <c r="D2416" s="7" t="inlineStr">
        <is>
          <t>Portsmouth Naval Shipyard: Source of Funding - Operation &amp; Maintenance, Navy</t>
        </is>
      </c>
      <c r="E2416" s="13" t="inlineStr">
        <is>
          <t>[SUB]</t>
        </is>
      </c>
      <c r="F2416" s="7" t="inlineStr">
        <is>
          <t>PNSY Total</t>
        </is>
      </c>
      <c r="I2416" s="14" t="n">
        <v>2</v>
      </c>
      <c r="J2416" s="7" t="inlineStr">
        <is>
          <t>Scheduled Depot Maintenance</t>
        </is>
      </c>
      <c r="K2416" s="15" t="n"/>
      <c r="O2416" s="15" t="n"/>
      <c r="P2416" s="16" t="n">
        <v>151831</v>
      </c>
      <c r="Q2416" s="16" t="n">
        <v>118776</v>
      </c>
      <c r="S2416" s="16" t="n">
        <v>173107</v>
      </c>
      <c r="AC2416" s="23">
        <f>IF(OR(E2416="",E2416="[PARENT]"),"ADD",IF(E2416="[ALT_VIEW]","ALT",""))</f>
        <v/>
      </c>
      <c r="AD2416" s="21">
        <f>IF(Y2416&lt;&gt;"",Y2416,IF(U2416&lt;&gt;"",U2416,S2416))</f>
        <v/>
      </c>
      <c r="AE2416" s="21">
        <f>IF(AB2416&lt;&gt;"",AB2416,Z2416)</f>
        <v/>
      </c>
      <c r="AF2416" s="13" t="inlineStr">
        <is>
          <t>OMN Vol2 &gt; OP-5A &gt; PNSY &gt; Source of Funding &gt; Operation &amp; Maintenance, Navy</t>
        </is>
      </c>
      <c r="AG2416" s="7" t="inlineStr">
        <is>
          <t>82</t>
        </is>
      </c>
      <c r="AH2416" s="7" t="inlineStr">
        <is>
          <t>1B4B</t>
        </is>
      </c>
      <c r="AI2416" s="7" t="inlineStr">
        <is>
          <t>PNSY</t>
        </is>
      </c>
      <c r="AJ2416" s="7" t="inlineStr">
        <is>
          <t>Source of Funding</t>
        </is>
      </c>
    </row>
    <row r="2417" ht="10" customHeight="1">
      <c r="A2417" s="7" t="inlineStr">
        <is>
          <t>OMN_Vol2</t>
        </is>
      </c>
      <c r="B2417" s="7" t="inlineStr">
        <is>
          <t>O&amp;M</t>
        </is>
      </c>
      <c r="D2417" s="7" t="inlineStr">
        <is>
          <t>Portsmouth Naval Shipyard: Source of Funding - Shipbuilding &amp; Conversion, Navy</t>
        </is>
      </c>
      <c r="E2417" s="13" t="inlineStr">
        <is>
          <t>[SUB]</t>
        </is>
      </c>
      <c r="F2417" s="7" t="inlineStr">
        <is>
          <t>PNSY Total</t>
        </is>
      </c>
      <c r="I2417" s="14" t="n">
        <v>2</v>
      </c>
      <c r="J2417" s="7" t="inlineStr">
        <is>
          <t>Scheduled Depot Maintenance</t>
        </is>
      </c>
      <c r="K2417" s="15" t="n"/>
      <c r="O2417" s="15" t="n"/>
      <c r="P2417" s="16" t="n">
        <v>124</v>
      </c>
      <c r="Q2417" s="16" t="n">
        <v>251</v>
      </c>
      <c r="S2417" s="16" t="n">
        <v>114</v>
      </c>
      <c r="AC2417" s="23">
        <f>IF(OR(E2417="",E2417="[PARENT]"),"ADD",IF(E2417="[ALT_VIEW]","ALT",""))</f>
        <v/>
      </c>
      <c r="AD2417" s="21">
        <f>IF(Y2417&lt;&gt;"",Y2417,IF(U2417&lt;&gt;"",U2417,S2417))</f>
        <v/>
      </c>
      <c r="AE2417" s="21">
        <f>IF(AB2417&lt;&gt;"",AB2417,Z2417)</f>
        <v/>
      </c>
      <c r="AF2417" s="13" t="inlineStr">
        <is>
          <t>OMN Vol2 &gt; OP-5A &gt; PNSY &gt; Source of Funding &gt; Shipbuilding &amp; Conversion, Navy</t>
        </is>
      </c>
      <c r="AG2417" s="7" t="inlineStr">
        <is>
          <t>82</t>
        </is>
      </c>
      <c r="AH2417" s="7" t="inlineStr">
        <is>
          <t>1B4B</t>
        </is>
      </c>
      <c r="AI2417" s="7" t="inlineStr">
        <is>
          <t>PNSY</t>
        </is>
      </c>
      <c r="AJ2417" s="7" t="inlineStr">
        <is>
          <t>Source of Funding</t>
        </is>
      </c>
    </row>
    <row r="2418" ht="10" customHeight="1">
      <c r="A2418" s="7" t="inlineStr">
        <is>
          <t>OMN_Vol2</t>
        </is>
      </c>
      <c r="B2418" s="7" t="inlineStr">
        <is>
          <t>O&amp;M</t>
        </is>
      </c>
      <c r="D2418" s="7" t="inlineStr">
        <is>
          <t>Portsmouth Naval Shipyard: Source of Funding - Other Procurement, Navy</t>
        </is>
      </c>
      <c r="E2418" s="13" t="inlineStr">
        <is>
          <t>[SUB]</t>
        </is>
      </c>
      <c r="F2418" s="7" t="inlineStr">
        <is>
          <t>PNSY Total</t>
        </is>
      </c>
      <c r="I2418" s="14" t="n">
        <v>2</v>
      </c>
      <c r="J2418" s="7" t="inlineStr">
        <is>
          <t>Scheduled Depot Maintenance</t>
        </is>
      </c>
      <c r="K2418" s="15" t="n"/>
      <c r="O2418" s="15" t="n"/>
      <c r="P2418" s="16" t="n">
        <v>20352</v>
      </c>
      <c r="Q2418" s="16" t="n">
        <v>41191</v>
      </c>
      <c r="S2418" s="16" t="n">
        <v>18678</v>
      </c>
      <c r="AC2418" s="23">
        <f>IF(OR(E2418="",E2418="[PARENT]"),"ADD",IF(E2418="[ALT_VIEW]","ALT",""))</f>
        <v/>
      </c>
      <c r="AD2418" s="21">
        <f>IF(Y2418&lt;&gt;"",Y2418,IF(U2418&lt;&gt;"",U2418,S2418))</f>
        <v/>
      </c>
      <c r="AE2418" s="21">
        <f>IF(AB2418&lt;&gt;"",AB2418,Z2418)</f>
        <v/>
      </c>
      <c r="AF2418" s="13" t="inlineStr">
        <is>
          <t>OMN Vol2 &gt; OP-5A &gt; PNSY &gt; Source of Funding &gt; Other Procurement, Navy</t>
        </is>
      </c>
      <c r="AG2418" s="7" t="inlineStr">
        <is>
          <t>82</t>
        </is>
      </c>
      <c r="AH2418" s="7" t="inlineStr">
        <is>
          <t>1B4B</t>
        </is>
      </c>
      <c r="AI2418" s="7" t="inlineStr">
        <is>
          <t>PNSY</t>
        </is>
      </c>
      <c r="AJ2418" s="7" t="inlineStr">
        <is>
          <t>Source of Funding</t>
        </is>
      </c>
    </row>
    <row r="2419" ht="10" customHeight="1">
      <c r="A2419" s="7" t="inlineStr">
        <is>
          <t>OMN_Vol2</t>
        </is>
      </c>
      <c r="B2419" s="7" t="inlineStr">
        <is>
          <t>O&amp;M</t>
        </is>
      </c>
      <c r="D2419" s="7" t="inlineStr">
        <is>
          <t>Portsmouth Naval Shipyard: Source of Funding - Procurement, Marine Corps</t>
        </is>
      </c>
      <c r="E2419" s="13" t="inlineStr">
        <is>
          <t>[SUB]</t>
        </is>
      </c>
      <c r="F2419" s="7" t="inlineStr">
        <is>
          <t>PNSY Total</t>
        </is>
      </c>
      <c r="I2419" s="14" t="n">
        <v>2</v>
      </c>
      <c r="J2419" s="7" t="inlineStr">
        <is>
          <t>Scheduled Depot Maintenance</t>
        </is>
      </c>
      <c r="K2419" s="15" t="n"/>
      <c r="O2419" s="15" t="n"/>
      <c r="P2419" s="16" t="n">
        <v>0</v>
      </c>
      <c r="Q2419" s="16" t="n">
        <v>0</v>
      </c>
      <c r="S2419" s="16" t="n">
        <v>0</v>
      </c>
      <c r="AC2419" s="23">
        <f>IF(OR(E2419="",E2419="[PARENT]"),"ADD",IF(E2419="[ALT_VIEW]","ALT",""))</f>
        <v/>
      </c>
      <c r="AD2419" s="21">
        <f>IF(Y2419&lt;&gt;"",Y2419,IF(U2419&lt;&gt;"",U2419,S2419))</f>
        <v/>
      </c>
      <c r="AE2419" s="21">
        <f>IF(AB2419&lt;&gt;"",AB2419,Z2419)</f>
        <v/>
      </c>
      <c r="AF2419" s="13" t="inlineStr">
        <is>
          <t>OMN Vol2 &gt; OP-5A &gt; PNSY &gt; Source of Funding &gt; Procurement, Marine Corps</t>
        </is>
      </c>
      <c r="AG2419" s="7" t="inlineStr">
        <is>
          <t>82</t>
        </is>
      </c>
      <c r="AH2419" s="7" t="inlineStr">
        <is>
          <t>1B4B</t>
        </is>
      </c>
      <c r="AI2419" s="7" t="inlineStr">
        <is>
          <t>PNSY</t>
        </is>
      </c>
      <c r="AJ2419" s="7" t="inlineStr">
        <is>
          <t>Source of Funding</t>
        </is>
      </c>
    </row>
    <row r="2420" ht="10" customHeight="1">
      <c r="A2420" s="7" t="inlineStr">
        <is>
          <t>OMN_Vol2</t>
        </is>
      </c>
      <c r="B2420" s="7" t="inlineStr">
        <is>
          <t>O&amp;M</t>
        </is>
      </c>
      <c r="D2420" s="7" t="inlineStr">
        <is>
          <t>Portsmouth Naval Shipyard: Source of Funding - Other Department of Navy</t>
        </is>
      </c>
      <c r="E2420" s="13" t="inlineStr">
        <is>
          <t>[SUB]</t>
        </is>
      </c>
      <c r="F2420" s="7" t="inlineStr">
        <is>
          <t>PNSY Total</t>
        </is>
      </c>
      <c r="I2420" s="14" t="n">
        <v>2</v>
      </c>
      <c r="J2420" s="7" t="inlineStr">
        <is>
          <t>Scheduled Depot Maintenance</t>
        </is>
      </c>
      <c r="K2420" s="15" t="n"/>
      <c r="O2420" s="15" t="n"/>
      <c r="P2420" s="16" t="n">
        <v>19048</v>
      </c>
      <c r="Q2420" s="16" t="n">
        <v>38552</v>
      </c>
      <c r="S2420" s="16" t="n">
        <v>17481</v>
      </c>
      <c r="AC2420" s="23">
        <f>IF(OR(E2420="",E2420="[PARENT]"),"ADD",IF(E2420="[ALT_VIEW]","ALT",""))</f>
        <v/>
      </c>
      <c r="AD2420" s="21">
        <f>IF(Y2420&lt;&gt;"",Y2420,IF(U2420&lt;&gt;"",U2420,S2420))</f>
        <v/>
      </c>
      <c r="AE2420" s="21">
        <f>IF(AB2420&lt;&gt;"",AB2420,Z2420)</f>
        <v/>
      </c>
      <c r="AF2420" s="13" t="inlineStr">
        <is>
          <t>OMN Vol2 &gt; OP-5A &gt; PNSY &gt; Source of Funding &gt; Other Department of Navy</t>
        </is>
      </c>
      <c r="AG2420" s="7" t="inlineStr">
        <is>
          <t>82</t>
        </is>
      </c>
      <c r="AH2420" s="7" t="inlineStr">
        <is>
          <t>1B4B</t>
        </is>
      </c>
      <c r="AI2420" s="7" t="inlineStr">
        <is>
          <t>PNSY</t>
        </is>
      </c>
      <c r="AJ2420" s="7" t="inlineStr">
        <is>
          <t>Source of Funding</t>
        </is>
      </c>
    </row>
    <row r="2421" ht="10" customHeight="1">
      <c r="A2421" s="7" t="inlineStr">
        <is>
          <t>OMN_Vol2</t>
        </is>
      </c>
      <c r="B2421" s="7" t="inlineStr">
        <is>
          <t>O&amp;M</t>
        </is>
      </c>
      <c r="D2421" s="7" t="inlineStr">
        <is>
          <t>Portsmouth Naval Shipyard: Source of Funding - Department of Defense</t>
        </is>
      </c>
      <c r="E2421" s="13" t="inlineStr">
        <is>
          <t>[SUB]</t>
        </is>
      </c>
      <c r="F2421" s="7" t="inlineStr">
        <is>
          <t>PNSY Total</t>
        </is>
      </c>
      <c r="I2421" s="14" t="n">
        <v>2</v>
      </c>
      <c r="J2421" s="7" t="inlineStr">
        <is>
          <t>Scheduled Depot Maintenance</t>
        </is>
      </c>
      <c r="K2421" s="15" t="n"/>
      <c r="O2421" s="15" t="n"/>
      <c r="P2421" s="16" t="n">
        <v>10901</v>
      </c>
      <c r="Q2421" s="16" t="n">
        <v>14690</v>
      </c>
      <c r="S2421" s="16" t="n">
        <v>6661</v>
      </c>
      <c r="AC2421" s="23">
        <f>IF(OR(E2421="",E2421="[PARENT]"),"ADD",IF(E2421="[ALT_VIEW]","ALT",""))</f>
        <v/>
      </c>
      <c r="AD2421" s="21">
        <f>IF(Y2421&lt;&gt;"",Y2421,IF(U2421&lt;&gt;"",U2421,S2421))</f>
        <v/>
      </c>
      <c r="AE2421" s="21">
        <f>IF(AB2421&lt;&gt;"",AB2421,Z2421)</f>
        <v/>
      </c>
      <c r="AF2421" s="13" t="inlineStr">
        <is>
          <t>OMN Vol2 &gt; OP-5A &gt; PNSY &gt; Source of Funding &gt; Department of Defense</t>
        </is>
      </c>
      <c r="AG2421" s="7" t="inlineStr">
        <is>
          <t>82</t>
        </is>
      </c>
      <c r="AH2421" s="7" t="inlineStr">
        <is>
          <t>1B4B</t>
        </is>
      </c>
      <c r="AI2421" s="7" t="inlineStr">
        <is>
          <t>PNSY</t>
        </is>
      </c>
      <c r="AJ2421" s="7" t="inlineStr">
        <is>
          <t>Source of Funding</t>
        </is>
      </c>
    </row>
    <row r="2422" ht="10" customHeight="1">
      <c r="A2422" s="7" t="inlineStr">
        <is>
          <t>OMN_Vol2</t>
        </is>
      </c>
      <c r="B2422" s="7" t="inlineStr">
        <is>
          <t>O&amp;M</t>
        </is>
      </c>
      <c r="D2422" s="7" t="inlineStr">
        <is>
          <t>Portsmouth Naval Shipyard: Source of Funding - Other Orders</t>
        </is>
      </c>
      <c r="E2422" s="13" t="inlineStr">
        <is>
          <t>[SUB]</t>
        </is>
      </c>
      <c r="F2422" s="7" t="inlineStr">
        <is>
          <t>PNSY Total</t>
        </is>
      </c>
      <c r="I2422" s="14" t="n">
        <v>2</v>
      </c>
      <c r="J2422" s="7" t="inlineStr">
        <is>
          <t>Scheduled Depot Maintenance</t>
        </is>
      </c>
      <c r="K2422" s="15" t="n"/>
      <c r="O2422" s="15" t="n"/>
      <c r="P2422" s="16" t="n">
        <v>1</v>
      </c>
      <c r="Q2422" s="16" t="n">
        <v>2</v>
      </c>
      <c r="S2422" s="16" t="n">
        <v>1</v>
      </c>
      <c r="AC2422" s="23">
        <f>IF(OR(E2422="",E2422="[PARENT]"),"ADD",IF(E2422="[ALT_VIEW]","ALT",""))</f>
        <v/>
      </c>
      <c r="AD2422" s="21">
        <f>IF(Y2422&lt;&gt;"",Y2422,IF(U2422&lt;&gt;"",U2422,S2422))</f>
        <v/>
      </c>
      <c r="AE2422" s="21">
        <f>IF(AB2422&lt;&gt;"",AB2422,Z2422)</f>
        <v/>
      </c>
      <c r="AF2422" s="13" t="inlineStr">
        <is>
          <t>OMN Vol2 &gt; OP-5A &gt; PNSY &gt; Source of Funding &gt; Other Orders</t>
        </is>
      </c>
      <c r="AG2422" s="7" t="inlineStr">
        <is>
          <t>82</t>
        </is>
      </c>
      <c r="AH2422" s="7" t="inlineStr">
        <is>
          <t>1B4B</t>
        </is>
      </c>
      <c r="AI2422" s="7" t="inlineStr">
        <is>
          <t>PNSY</t>
        </is>
      </c>
      <c r="AJ2422" s="7" t="inlineStr">
        <is>
          <t>Source of Funding</t>
        </is>
      </c>
    </row>
    <row r="2423" ht="10" customHeight="1">
      <c r="A2423" s="7" t="inlineStr">
        <is>
          <t>OMN_Vol2</t>
        </is>
      </c>
      <c r="B2423" s="7" t="inlineStr">
        <is>
          <t>O&amp;M</t>
        </is>
      </c>
      <c r="D2423" s="7" t="inlineStr">
        <is>
          <t>Portsmouth Naval Shipyard: Source of Funding - Other Federal Agencies</t>
        </is>
      </c>
      <c r="E2423" s="13" t="inlineStr">
        <is>
          <t>[SUB]</t>
        </is>
      </c>
      <c r="F2423" s="7" t="inlineStr">
        <is>
          <t>PNSY Total</t>
        </is>
      </c>
      <c r="I2423" s="14" t="n">
        <v>2</v>
      </c>
      <c r="J2423" s="7" t="inlineStr">
        <is>
          <t>Scheduled Depot Maintenance</t>
        </is>
      </c>
      <c r="K2423" s="15" t="n"/>
      <c r="O2423" s="15" t="n"/>
      <c r="P2423" s="16" t="n">
        <v>1</v>
      </c>
      <c r="Q2423" s="16" t="n">
        <v>2</v>
      </c>
      <c r="S2423" s="16" t="n">
        <v>1</v>
      </c>
      <c r="AC2423" s="23">
        <f>IF(OR(E2423="",E2423="[PARENT]"),"ADD",IF(E2423="[ALT_VIEW]","ALT",""))</f>
        <v/>
      </c>
      <c r="AD2423" s="21">
        <f>IF(Y2423&lt;&gt;"",Y2423,IF(U2423&lt;&gt;"",U2423,S2423))</f>
        <v/>
      </c>
      <c r="AE2423" s="21">
        <f>IF(AB2423&lt;&gt;"",AB2423,Z2423)</f>
        <v/>
      </c>
      <c r="AF2423" s="13" t="inlineStr">
        <is>
          <t>OMN Vol2 &gt; OP-5A &gt; PNSY &gt; Source of Funding &gt; Other Federal Agencies</t>
        </is>
      </c>
      <c r="AG2423" s="7" t="inlineStr">
        <is>
          <t>82</t>
        </is>
      </c>
      <c r="AH2423" s="7" t="inlineStr">
        <is>
          <t>1B4B</t>
        </is>
      </c>
      <c r="AI2423" s="7" t="inlineStr">
        <is>
          <t>PNSY</t>
        </is>
      </c>
      <c r="AJ2423" s="7" t="inlineStr">
        <is>
          <t>Source of Funding</t>
        </is>
      </c>
    </row>
    <row r="2424" ht="10" customHeight="1">
      <c r="A2424" s="7" t="inlineStr">
        <is>
          <t>OMN_Vol2</t>
        </is>
      </c>
      <c r="B2424" s="7" t="inlineStr">
        <is>
          <t>O&amp;M</t>
        </is>
      </c>
      <c r="D2424" s="7" t="inlineStr">
        <is>
          <t>Portsmouth Naval Shipyard: Source of Funding - Foreign Military Sales</t>
        </is>
      </c>
      <c r="E2424" s="13" t="inlineStr">
        <is>
          <t>[SUB]</t>
        </is>
      </c>
      <c r="F2424" s="7" t="inlineStr">
        <is>
          <t>PNSY Total</t>
        </is>
      </c>
      <c r="I2424" s="14" t="n">
        <v>2</v>
      </c>
      <c r="J2424" s="7" t="inlineStr">
        <is>
          <t>Scheduled Depot Maintenance</t>
        </is>
      </c>
      <c r="K2424" s="15" t="n"/>
      <c r="O2424" s="15" t="n"/>
      <c r="P2424" s="16" t="n">
        <v>0</v>
      </c>
      <c r="Q2424" s="16" t="n">
        <v>0</v>
      </c>
      <c r="S2424" s="16" t="n">
        <v>0</v>
      </c>
      <c r="AC2424" s="23">
        <f>IF(OR(E2424="",E2424="[PARENT]"),"ADD",IF(E2424="[ALT_VIEW]","ALT",""))</f>
        <v/>
      </c>
      <c r="AD2424" s="21">
        <f>IF(Y2424&lt;&gt;"",Y2424,IF(U2424&lt;&gt;"",U2424,S2424))</f>
        <v/>
      </c>
      <c r="AE2424" s="21">
        <f>IF(AB2424&lt;&gt;"",AB2424,Z2424)</f>
        <v/>
      </c>
      <c r="AF2424" s="13" t="inlineStr">
        <is>
          <t>OMN Vol2 &gt; OP-5A &gt; PNSY &gt; Source of Funding &gt; Foreign Military Sales</t>
        </is>
      </c>
      <c r="AG2424" s="7" t="inlineStr">
        <is>
          <t>82</t>
        </is>
      </c>
      <c r="AH2424" s="7" t="inlineStr">
        <is>
          <t>1B4B</t>
        </is>
      </c>
      <c r="AI2424" s="7" t="inlineStr">
        <is>
          <t>PNSY</t>
        </is>
      </c>
      <c r="AJ2424" s="7" t="inlineStr">
        <is>
          <t>Source of Funding</t>
        </is>
      </c>
    </row>
    <row r="2425" ht="10" customHeight="1">
      <c r="A2425" s="7" t="inlineStr">
        <is>
          <t>OMN_Vol2</t>
        </is>
      </c>
      <c r="B2425" s="7" t="inlineStr">
        <is>
          <t>O&amp;M</t>
        </is>
      </c>
      <c r="D2425" s="7" t="inlineStr">
        <is>
          <t>Portsmouth Naval Shipyard: Source of Funding - Other</t>
        </is>
      </c>
      <c r="E2425" s="13" t="inlineStr">
        <is>
          <t>[SUB]</t>
        </is>
      </c>
      <c r="F2425" s="7" t="inlineStr">
        <is>
          <t>PNSY Total</t>
        </is>
      </c>
      <c r="I2425" s="14" t="n">
        <v>2</v>
      </c>
      <c r="J2425" s="7" t="inlineStr">
        <is>
          <t>Scheduled Depot Maintenance</t>
        </is>
      </c>
      <c r="K2425" s="15" t="n"/>
      <c r="O2425" s="15" t="n"/>
      <c r="P2425" s="16" t="n">
        <v>0</v>
      </c>
      <c r="Q2425" s="16" t="n">
        <v>0</v>
      </c>
      <c r="S2425" s="16" t="n">
        <v>0</v>
      </c>
      <c r="AC2425" s="23">
        <f>IF(OR(E2425="",E2425="[PARENT]"),"ADD",IF(E2425="[ALT_VIEW]","ALT",""))</f>
        <v/>
      </c>
      <c r="AD2425" s="21">
        <f>IF(Y2425&lt;&gt;"",Y2425,IF(U2425&lt;&gt;"",U2425,S2425))</f>
        <v/>
      </c>
      <c r="AE2425" s="21">
        <f>IF(AB2425&lt;&gt;"",AB2425,Z2425)</f>
        <v/>
      </c>
      <c r="AF2425" s="13" t="inlineStr">
        <is>
          <t>OMN Vol2 &gt; OP-5A &gt; PNSY &gt; Source of Funding &gt; Other</t>
        </is>
      </c>
      <c r="AG2425" s="7" t="inlineStr">
        <is>
          <t>82</t>
        </is>
      </c>
      <c r="AH2425" s="7" t="inlineStr">
        <is>
          <t>1B4B</t>
        </is>
      </c>
      <c r="AI2425" s="7" t="inlineStr">
        <is>
          <t>PNSY</t>
        </is>
      </c>
      <c r="AJ2425" s="7" t="inlineStr">
        <is>
          <t>Source of Funding</t>
        </is>
      </c>
    </row>
    <row r="2426" ht="10" customHeight="1">
      <c r="A2426" s="7" t="inlineStr">
        <is>
          <t>OMN_Vol2</t>
        </is>
      </c>
      <c r="B2426" s="7" t="inlineStr">
        <is>
          <t>O&amp;M</t>
        </is>
      </c>
      <c r="D2426" s="7" t="inlineStr">
        <is>
          <t>Portsmouth Naval Shipyard: Source of Funding - Total</t>
        </is>
      </c>
      <c r="E2426" s="13" t="inlineStr">
        <is>
          <t>[PARENT]</t>
        </is>
      </c>
      <c r="I2426" s="14" t="n">
        <v>2</v>
      </c>
      <c r="J2426" s="7" t="inlineStr">
        <is>
          <t>Scheduled Depot Maintenance</t>
        </is>
      </c>
      <c r="K2426" s="15" t="n"/>
      <c r="O2426" s="15" t="n"/>
      <c r="P2426" s="16" t="n">
        <v>1547464</v>
      </c>
      <c r="Q2426" s="16" t="n">
        <v>1704012</v>
      </c>
      <c r="S2426" s="16" t="n">
        <v>1640762</v>
      </c>
      <c r="AC2426" s="23">
        <f>IF(OR(E2426="",E2426="[PARENT]"),"ADD",IF(E2426="[ALT_VIEW]","ALT",""))</f>
        <v/>
      </c>
      <c r="AD2426" s="21">
        <f>IF(Y2426&lt;&gt;"",Y2426,IF(U2426&lt;&gt;"",U2426,S2426))</f>
        <v/>
      </c>
      <c r="AE2426" s="21">
        <f>IF(AB2426&lt;&gt;"",AB2426,Z2426)</f>
        <v/>
      </c>
      <c r="AF2426" s="13" t="inlineStr">
        <is>
          <t>OMN Vol2 &gt; OP-5A &gt; PNSY &gt; Source of Funding &gt; Total</t>
        </is>
      </c>
      <c r="AG2426" s="7" t="inlineStr">
        <is>
          <t>82</t>
        </is>
      </c>
      <c r="AH2426" s="7" t="inlineStr">
        <is>
          <t>1B4B</t>
        </is>
      </c>
      <c r="AI2426" s="7" t="inlineStr">
        <is>
          <t>PNSY</t>
        </is>
      </c>
      <c r="AJ2426" s="7" t="inlineStr">
        <is>
          <t>Source of Funding</t>
        </is>
      </c>
    </row>
    <row r="2427" ht="10" customHeight="1">
      <c r="A2427" s="7" t="inlineStr">
        <is>
          <t>OMN_Vol2</t>
        </is>
      </c>
      <c r="B2427" s="7" t="inlineStr">
        <is>
          <t>O&amp;M</t>
        </is>
      </c>
      <c r="D2427" s="7" t="inlineStr">
        <is>
          <t>Portsmouth Naval Shipyard: Performance Data - Direct Civilian Labor</t>
        </is>
      </c>
      <c r="E2427" s="13" t="inlineStr">
        <is>
          <t>[ALT_VIEW]</t>
        </is>
      </c>
      <c r="F2427" s="7" t="inlineStr">
        <is>
          <t>PNSY Total</t>
        </is>
      </c>
      <c r="I2427" s="14" t="n">
        <v>2</v>
      </c>
      <c r="J2427" s="7" t="inlineStr">
        <is>
          <t>Scheduled Depot Maintenance</t>
        </is>
      </c>
      <c r="K2427" s="15" t="n"/>
      <c r="O2427" s="15" t="n"/>
      <c r="P2427" s="16" t="n">
        <v>461962</v>
      </c>
      <c r="Q2427" s="16" t="n">
        <v>569420</v>
      </c>
      <c r="S2427" s="16" t="n">
        <v>603052</v>
      </c>
      <c r="AC2427" s="23">
        <f>IF(OR(E2427="",E2427="[PARENT]"),"ADD",IF(E2427="[ALT_VIEW]","ALT",""))</f>
        <v/>
      </c>
      <c r="AD2427" s="21">
        <f>IF(Y2427&lt;&gt;"",Y2427,IF(U2427&lt;&gt;"",U2427,S2427))</f>
        <v/>
      </c>
      <c r="AE2427" s="21">
        <f>IF(AB2427&lt;&gt;"",AB2427,Z2427)</f>
        <v/>
      </c>
      <c r="AF2427" s="13" t="inlineStr">
        <is>
          <t>OMN Vol2 &gt; OP-5A &gt; PNSY &gt; Performance Data &gt; Direct Civilian Labor</t>
        </is>
      </c>
      <c r="AG2427" s="7" t="inlineStr">
        <is>
          <t>83</t>
        </is>
      </c>
      <c r="AH2427" s="7" t="inlineStr">
        <is>
          <t>1B4B</t>
        </is>
      </c>
      <c r="AI2427" s="7" t="inlineStr">
        <is>
          <t>PNSY</t>
        </is>
      </c>
      <c r="AJ2427" s="7" t="inlineStr">
        <is>
          <t>Performance Data</t>
        </is>
      </c>
    </row>
    <row r="2428" ht="10" customHeight="1">
      <c r="A2428" s="7" t="inlineStr">
        <is>
          <t>OMN_Vol2</t>
        </is>
      </c>
      <c r="B2428" s="7" t="inlineStr">
        <is>
          <t>O&amp;M</t>
        </is>
      </c>
      <c r="D2428" s="7" t="inlineStr">
        <is>
          <t>Portsmouth Naval Shipyard: Performance Data - Direct Military Labor</t>
        </is>
      </c>
      <c r="E2428" s="13" t="inlineStr">
        <is>
          <t>[ALT_VIEW]</t>
        </is>
      </c>
      <c r="F2428" s="7" t="inlineStr">
        <is>
          <t>PNSY Total</t>
        </is>
      </c>
      <c r="I2428" s="14" t="n">
        <v>2</v>
      </c>
      <c r="J2428" s="7" t="inlineStr">
        <is>
          <t>Scheduled Depot Maintenance</t>
        </is>
      </c>
      <c r="K2428" s="15" t="n"/>
      <c r="O2428" s="15" t="n"/>
      <c r="P2428" s="16" t="n">
        <v>9142</v>
      </c>
      <c r="Q2428" s="16" t="n">
        <v>9530</v>
      </c>
      <c r="S2428" s="16" t="n">
        <v>9843</v>
      </c>
      <c r="AC2428" s="23">
        <f>IF(OR(E2428="",E2428="[PARENT]"),"ADD",IF(E2428="[ALT_VIEW]","ALT",""))</f>
        <v/>
      </c>
      <c r="AD2428" s="21">
        <f>IF(Y2428&lt;&gt;"",Y2428,IF(U2428&lt;&gt;"",U2428,S2428))</f>
        <v/>
      </c>
      <c r="AE2428" s="21">
        <f>IF(AB2428&lt;&gt;"",AB2428,Z2428)</f>
        <v/>
      </c>
      <c r="AF2428" s="13" t="inlineStr">
        <is>
          <t>OMN Vol2 &gt; OP-5A &gt; PNSY &gt; Performance Data &gt; Direct Military Labor</t>
        </is>
      </c>
      <c r="AG2428" s="7" t="inlineStr">
        <is>
          <t>83</t>
        </is>
      </c>
      <c r="AH2428" s="7" t="inlineStr">
        <is>
          <t>1B4B</t>
        </is>
      </c>
      <c r="AI2428" s="7" t="inlineStr">
        <is>
          <t>PNSY</t>
        </is>
      </c>
      <c r="AJ2428" s="7" t="inlineStr">
        <is>
          <t>Performance Data</t>
        </is>
      </c>
    </row>
    <row r="2429" ht="10" customHeight="1">
      <c r="A2429" s="7" t="inlineStr">
        <is>
          <t>OMN_Vol2</t>
        </is>
      </c>
      <c r="B2429" s="7" t="inlineStr">
        <is>
          <t>O&amp;M</t>
        </is>
      </c>
      <c r="D2429" s="7" t="inlineStr">
        <is>
          <t>Portsmouth Naval Shipyard: Performance Data - Direct Material</t>
        </is>
      </c>
      <c r="E2429" s="13" t="inlineStr">
        <is>
          <t>[ALT_VIEW]</t>
        </is>
      </c>
      <c r="F2429" s="7" t="inlineStr">
        <is>
          <t>PNSY Total</t>
        </is>
      </c>
      <c r="I2429" s="14" t="n">
        <v>2</v>
      </c>
      <c r="J2429" s="7" t="inlineStr">
        <is>
          <t>Scheduled Depot Maintenance</t>
        </is>
      </c>
      <c r="K2429" s="15" t="n"/>
      <c r="O2429" s="15" t="n"/>
      <c r="P2429" s="16" t="n">
        <v>394970</v>
      </c>
      <c r="Q2429" s="16" t="n">
        <v>422738</v>
      </c>
      <c r="S2429" s="16" t="n">
        <v>247284</v>
      </c>
      <c r="AC2429" s="23">
        <f>IF(OR(E2429="",E2429="[PARENT]"),"ADD",IF(E2429="[ALT_VIEW]","ALT",""))</f>
        <v/>
      </c>
      <c r="AD2429" s="21">
        <f>IF(Y2429&lt;&gt;"",Y2429,IF(U2429&lt;&gt;"",U2429,S2429))</f>
        <v/>
      </c>
      <c r="AE2429" s="21">
        <f>IF(AB2429&lt;&gt;"",AB2429,Z2429)</f>
        <v/>
      </c>
      <c r="AF2429" s="13" t="inlineStr">
        <is>
          <t>OMN Vol2 &gt; OP-5A &gt; PNSY &gt; Performance Data &gt; Direct Material</t>
        </is>
      </c>
      <c r="AG2429" s="7" t="inlineStr">
        <is>
          <t>83</t>
        </is>
      </c>
      <c r="AH2429" s="7" t="inlineStr">
        <is>
          <t>1B4B</t>
        </is>
      </c>
      <c r="AI2429" s="7" t="inlineStr">
        <is>
          <t>PNSY</t>
        </is>
      </c>
      <c r="AJ2429" s="7" t="inlineStr">
        <is>
          <t>Performance Data</t>
        </is>
      </c>
    </row>
    <row r="2430" ht="10" customHeight="1">
      <c r="A2430" s="7" t="inlineStr">
        <is>
          <t>OMN_Vol2</t>
        </is>
      </c>
      <c r="B2430" s="7" t="inlineStr">
        <is>
          <t>O&amp;M</t>
        </is>
      </c>
      <c r="D2430" s="7" t="inlineStr">
        <is>
          <t>Portsmouth Naval Shipyard: Performance Data - Direct Contracts</t>
        </is>
      </c>
      <c r="E2430" s="13" t="inlineStr">
        <is>
          <t>[ALT_VIEW]</t>
        </is>
      </c>
      <c r="F2430" s="7" t="inlineStr">
        <is>
          <t>PNSY Total</t>
        </is>
      </c>
      <c r="I2430" s="14" t="n">
        <v>2</v>
      </c>
      <c r="J2430" s="7" t="inlineStr">
        <is>
          <t>Scheduled Depot Maintenance</t>
        </is>
      </c>
      <c r="K2430" s="15" t="n"/>
      <c r="O2430" s="15" t="n"/>
      <c r="P2430" s="16" t="n">
        <v>18215</v>
      </c>
      <c r="Q2430" s="16" t="n">
        <v>84538</v>
      </c>
      <c r="S2430" s="16" t="n">
        <v>103652</v>
      </c>
      <c r="AC2430" s="23">
        <f>IF(OR(E2430="",E2430="[PARENT]"),"ADD",IF(E2430="[ALT_VIEW]","ALT",""))</f>
        <v/>
      </c>
      <c r="AD2430" s="21">
        <f>IF(Y2430&lt;&gt;"",Y2430,IF(U2430&lt;&gt;"",U2430,S2430))</f>
        <v/>
      </c>
      <c r="AE2430" s="21">
        <f>IF(AB2430&lt;&gt;"",AB2430,Z2430)</f>
        <v/>
      </c>
      <c r="AF2430" s="13" t="inlineStr">
        <is>
          <t>OMN Vol2 &gt; OP-5A &gt; PNSY &gt; Performance Data &gt; Direct Contracts</t>
        </is>
      </c>
      <c r="AG2430" s="7" t="inlineStr">
        <is>
          <t>83</t>
        </is>
      </c>
      <c r="AH2430" s="7" t="inlineStr">
        <is>
          <t>1B4B</t>
        </is>
      </c>
      <c r="AI2430" s="7" t="inlineStr">
        <is>
          <t>PNSY</t>
        </is>
      </c>
      <c r="AJ2430" s="7" t="inlineStr">
        <is>
          <t>Performance Data</t>
        </is>
      </c>
    </row>
    <row r="2431" ht="10" customHeight="1">
      <c r="A2431" s="7" t="inlineStr">
        <is>
          <t>OMN_Vol2</t>
        </is>
      </c>
      <c r="B2431" s="7" t="inlineStr">
        <is>
          <t>O&amp;M</t>
        </is>
      </c>
      <c r="D2431" s="7" t="inlineStr">
        <is>
          <t>Portsmouth Naval Shipyard: Performance Data - Other Direct Costs</t>
        </is>
      </c>
      <c r="E2431" s="13" t="inlineStr">
        <is>
          <t>[ALT_VIEW]</t>
        </is>
      </c>
      <c r="F2431" s="7" t="inlineStr">
        <is>
          <t>PNSY Total</t>
        </is>
      </c>
      <c r="I2431" s="14" t="n">
        <v>2</v>
      </c>
      <c r="J2431" s="7" t="inlineStr">
        <is>
          <t>Scheduled Depot Maintenance</t>
        </is>
      </c>
      <c r="K2431" s="15" t="n"/>
      <c r="O2431" s="15" t="n"/>
      <c r="P2431" s="16" t="n">
        <v>41731</v>
      </c>
      <c r="Q2431" s="16" t="n">
        <v>44690</v>
      </c>
      <c r="S2431" s="16" t="n">
        <v>104399</v>
      </c>
      <c r="AC2431" s="23">
        <f>IF(OR(E2431="",E2431="[PARENT]"),"ADD",IF(E2431="[ALT_VIEW]","ALT",""))</f>
        <v/>
      </c>
      <c r="AD2431" s="21">
        <f>IF(Y2431&lt;&gt;"",Y2431,IF(U2431&lt;&gt;"",U2431,S2431))</f>
        <v/>
      </c>
      <c r="AE2431" s="21">
        <f>IF(AB2431&lt;&gt;"",AB2431,Z2431)</f>
        <v/>
      </c>
      <c r="AF2431" s="13" t="inlineStr">
        <is>
          <t>OMN Vol2 &gt; OP-5A &gt; PNSY &gt; Performance Data &gt; Other Direct Costs</t>
        </is>
      </c>
      <c r="AG2431" s="7" t="inlineStr">
        <is>
          <t>83</t>
        </is>
      </c>
      <c r="AH2431" s="7" t="inlineStr">
        <is>
          <t>1B4B</t>
        </is>
      </c>
      <c r="AI2431" s="7" t="inlineStr">
        <is>
          <t>PNSY</t>
        </is>
      </c>
      <c r="AJ2431" s="7" t="inlineStr">
        <is>
          <t>Performance Data</t>
        </is>
      </c>
    </row>
    <row r="2432" ht="10" customHeight="1">
      <c r="A2432" s="7" t="inlineStr">
        <is>
          <t>OMN_Vol2</t>
        </is>
      </c>
      <c r="B2432" s="7" t="inlineStr">
        <is>
          <t>O&amp;M</t>
        </is>
      </c>
      <c r="D2432" s="7" t="inlineStr">
        <is>
          <t>Portsmouth Naval Shipyard: Performance Data - Overhead Civilian Labor</t>
        </is>
      </c>
      <c r="E2432" s="13" t="inlineStr">
        <is>
          <t>[ALT_VIEW]</t>
        </is>
      </c>
      <c r="F2432" s="7" t="inlineStr">
        <is>
          <t>PNSY Total</t>
        </is>
      </c>
      <c r="I2432" s="14" t="n">
        <v>2</v>
      </c>
      <c r="J2432" s="7" t="inlineStr">
        <is>
          <t>Scheduled Depot Maintenance</t>
        </is>
      </c>
      <c r="K2432" s="15" t="n"/>
      <c r="O2432" s="15" t="n"/>
      <c r="P2432" s="16" t="n">
        <v>472168</v>
      </c>
      <c r="Q2432" s="16" t="n">
        <v>431109</v>
      </c>
      <c r="S2432" s="16" t="n">
        <v>409527</v>
      </c>
      <c r="AC2432" s="23">
        <f>IF(OR(E2432="",E2432="[PARENT]"),"ADD",IF(E2432="[ALT_VIEW]","ALT",""))</f>
        <v/>
      </c>
      <c r="AD2432" s="21">
        <f>IF(Y2432&lt;&gt;"",Y2432,IF(U2432&lt;&gt;"",U2432,S2432))</f>
        <v/>
      </c>
      <c r="AE2432" s="21">
        <f>IF(AB2432&lt;&gt;"",AB2432,Z2432)</f>
        <v/>
      </c>
      <c r="AF2432" s="13" t="inlineStr">
        <is>
          <t>OMN Vol2 &gt; OP-5A &gt; PNSY &gt; Performance Data &gt; Overhead Civilian Labor</t>
        </is>
      </c>
      <c r="AG2432" s="7" t="inlineStr">
        <is>
          <t>83</t>
        </is>
      </c>
      <c r="AH2432" s="7" t="inlineStr">
        <is>
          <t>1B4B</t>
        </is>
      </c>
      <c r="AI2432" s="7" t="inlineStr">
        <is>
          <t>PNSY</t>
        </is>
      </c>
      <c r="AJ2432" s="7" t="inlineStr">
        <is>
          <t>Performance Data</t>
        </is>
      </c>
    </row>
    <row r="2433" ht="10" customHeight="1">
      <c r="A2433" s="7" t="inlineStr">
        <is>
          <t>OMN_Vol2</t>
        </is>
      </c>
      <c r="B2433" s="7" t="inlineStr">
        <is>
          <t>O&amp;M</t>
        </is>
      </c>
      <c r="D2433" s="7" t="inlineStr">
        <is>
          <t>Portsmouth Naval Shipyard: Performance Data - Overhead Military Labor</t>
        </is>
      </c>
      <c r="E2433" s="13" t="inlineStr">
        <is>
          <t>[ALT_VIEW]</t>
        </is>
      </c>
      <c r="F2433" s="7" t="inlineStr">
        <is>
          <t>PNSY Total</t>
        </is>
      </c>
      <c r="I2433" s="14" t="n">
        <v>2</v>
      </c>
      <c r="J2433" s="7" t="inlineStr">
        <is>
          <t>Scheduled Depot Maintenance</t>
        </is>
      </c>
      <c r="K2433" s="15" t="n"/>
      <c r="O2433" s="15" t="n"/>
      <c r="P2433" s="16" t="n">
        <v>10170</v>
      </c>
      <c r="Q2433" s="16" t="n">
        <v>10600</v>
      </c>
      <c r="S2433" s="16" t="n">
        <v>10950</v>
      </c>
      <c r="AC2433" s="23">
        <f>IF(OR(E2433="",E2433="[PARENT]"),"ADD",IF(E2433="[ALT_VIEW]","ALT",""))</f>
        <v/>
      </c>
      <c r="AD2433" s="21">
        <f>IF(Y2433&lt;&gt;"",Y2433,IF(U2433&lt;&gt;"",U2433,S2433))</f>
        <v/>
      </c>
      <c r="AE2433" s="21">
        <f>IF(AB2433&lt;&gt;"",AB2433,Z2433)</f>
        <v/>
      </c>
      <c r="AF2433" s="13" t="inlineStr">
        <is>
          <t>OMN Vol2 &gt; OP-5A &gt; PNSY &gt; Performance Data &gt; Overhead Military Labor</t>
        </is>
      </c>
      <c r="AG2433" s="7" t="inlineStr">
        <is>
          <t>83</t>
        </is>
      </c>
      <c r="AH2433" s="7" t="inlineStr">
        <is>
          <t>1B4B</t>
        </is>
      </c>
      <c r="AI2433" s="7" t="inlineStr">
        <is>
          <t>PNSY</t>
        </is>
      </c>
      <c r="AJ2433" s="7" t="inlineStr">
        <is>
          <t>Performance Data</t>
        </is>
      </c>
    </row>
    <row r="2434" ht="10" customHeight="1">
      <c r="A2434" s="7" t="inlineStr">
        <is>
          <t>OMN_Vol2</t>
        </is>
      </c>
      <c r="B2434" s="7" t="inlineStr">
        <is>
          <t>O&amp;M</t>
        </is>
      </c>
      <c r="D2434" s="7" t="inlineStr">
        <is>
          <t>Portsmouth Naval Shipyard: Performance Data - Overhead Non-Labor</t>
        </is>
      </c>
      <c r="E2434" s="13" t="inlineStr">
        <is>
          <t>[ALT_VIEW]</t>
        </is>
      </c>
      <c r="F2434" s="7" t="inlineStr">
        <is>
          <t>PNSY Total</t>
        </is>
      </c>
      <c r="I2434" s="14" t="n">
        <v>2</v>
      </c>
      <c r="J2434" s="7" t="inlineStr">
        <is>
          <t>Scheduled Depot Maintenance</t>
        </is>
      </c>
      <c r="K2434" s="15" t="n"/>
      <c r="O2434" s="15" t="n"/>
      <c r="P2434" s="16" t="n">
        <v>135059</v>
      </c>
      <c r="Q2434" s="16" t="n">
        <v>127819</v>
      </c>
      <c r="S2434" s="16" t="n">
        <v>148398</v>
      </c>
      <c r="AC2434" s="23">
        <f>IF(OR(E2434="",E2434="[PARENT]"),"ADD",IF(E2434="[ALT_VIEW]","ALT",""))</f>
        <v/>
      </c>
      <c r="AD2434" s="21">
        <f>IF(Y2434&lt;&gt;"",Y2434,IF(U2434&lt;&gt;"",U2434,S2434))</f>
        <v/>
      </c>
      <c r="AE2434" s="21">
        <f>IF(AB2434&lt;&gt;"",AB2434,Z2434)</f>
        <v/>
      </c>
      <c r="AF2434" s="13" t="inlineStr">
        <is>
          <t>OMN Vol2 &gt; OP-5A &gt; PNSY &gt; Performance Data &gt; Overhead Non-Labor</t>
        </is>
      </c>
      <c r="AG2434" s="7" t="inlineStr">
        <is>
          <t>83</t>
        </is>
      </c>
      <c r="AH2434" s="7" t="inlineStr">
        <is>
          <t>1B4B</t>
        </is>
      </c>
      <c r="AI2434" s="7" t="inlineStr">
        <is>
          <t>PNSY</t>
        </is>
      </c>
      <c r="AJ2434" s="7" t="inlineStr">
        <is>
          <t>Performance Data</t>
        </is>
      </c>
    </row>
    <row r="2435" ht="10" customHeight="1">
      <c r="A2435" s="7" t="inlineStr">
        <is>
          <t>OMN_Vol2</t>
        </is>
      </c>
      <c r="B2435" s="7" t="inlineStr">
        <is>
          <t>O&amp;M</t>
        </is>
      </c>
      <c r="D2435" s="7" t="inlineStr">
        <is>
          <t>Portsmouth Naval Shipyard: Performance Data - Navy/Marine Corps Intranet (NMCI)</t>
        </is>
      </c>
      <c r="E2435" s="13" t="inlineStr">
        <is>
          <t>[ALT_VIEW]</t>
        </is>
      </c>
      <c r="F2435" s="7" t="inlineStr">
        <is>
          <t>PNSY Total</t>
        </is>
      </c>
      <c r="I2435" s="14" t="n">
        <v>2</v>
      </c>
      <c r="J2435" s="7" t="inlineStr">
        <is>
          <t>Scheduled Depot Maintenance</t>
        </is>
      </c>
      <c r="K2435" s="15" t="n"/>
      <c r="O2435" s="15" t="n"/>
      <c r="P2435" s="16" t="n">
        <v>4047</v>
      </c>
      <c r="Q2435" s="16" t="n">
        <v>3568</v>
      </c>
      <c r="S2435" s="16" t="n">
        <v>3657</v>
      </c>
      <c r="AC2435" s="23">
        <f>IF(OR(E2435="",E2435="[PARENT]"),"ADD",IF(E2435="[ALT_VIEW]","ALT",""))</f>
        <v/>
      </c>
      <c r="AD2435" s="21">
        <f>IF(Y2435&lt;&gt;"",Y2435,IF(U2435&lt;&gt;"",U2435,S2435))</f>
        <v/>
      </c>
      <c r="AE2435" s="21">
        <f>IF(AB2435&lt;&gt;"",AB2435,Z2435)</f>
        <v/>
      </c>
      <c r="AF2435" s="13" t="inlineStr">
        <is>
          <t>OMN Vol2 &gt; OP-5A &gt; PNSY &gt; Performance Data &gt; NMCI</t>
        </is>
      </c>
      <c r="AG2435" s="7" t="inlineStr">
        <is>
          <t>83</t>
        </is>
      </c>
      <c r="AH2435" s="7" t="inlineStr">
        <is>
          <t>1B4B</t>
        </is>
      </c>
      <c r="AI2435" s="7" t="inlineStr">
        <is>
          <t>PNSY</t>
        </is>
      </c>
      <c r="AJ2435" s="7" t="inlineStr">
        <is>
          <t>Performance Data</t>
        </is>
      </c>
    </row>
    <row r="2436" ht="10" customHeight="1">
      <c r="A2436" s="7" t="inlineStr">
        <is>
          <t>OMN_Vol2</t>
        </is>
      </c>
      <c r="B2436" s="7" t="inlineStr">
        <is>
          <t>O&amp;M</t>
        </is>
      </c>
      <c r="D2436" s="7" t="inlineStr">
        <is>
          <t>Portsmouth Naval Shipyard: Performance Data - Total</t>
        </is>
      </c>
      <c r="E2436" s="13" t="inlineStr">
        <is>
          <t>[ALT_VIEW]</t>
        </is>
      </c>
      <c r="F2436" s="7" t="inlineStr">
        <is>
          <t>PNSY Total</t>
        </is>
      </c>
      <c r="I2436" s="14" t="n">
        <v>2</v>
      </c>
      <c r="J2436" s="7" t="inlineStr">
        <is>
          <t>Scheduled Depot Maintenance</t>
        </is>
      </c>
      <c r="K2436" s="15" t="n"/>
      <c r="O2436" s="15" t="n"/>
      <c r="P2436" s="16" t="n">
        <v>1547464</v>
      </c>
      <c r="Q2436" s="16" t="n">
        <v>1704012</v>
      </c>
      <c r="S2436" s="16" t="n">
        <v>1640762</v>
      </c>
      <c r="AC2436" s="23">
        <f>IF(OR(E2436="",E2436="[PARENT]"),"ADD",IF(E2436="[ALT_VIEW]","ALT",""))</f>
        <v/>
      </c>
      <c r="AD2436" s="21">
        <f>IF(Y2436&lt;&gt;"",Y2436,IF(U2436&lt;&gt;"",U2436,S2436))</f>
        <v/>
      </c>
      <c r="AE2436" s="21">
        <f>IF(AB2436&lt;&gt;"",AB2436,Z2436)</f>
        <v/>
      </c>
      <c r="AF2436" s="13" t="inlineStr">
        <is>
          <t>OMN Vol2 &gt; OP-5A &gt; PNSY &gt; Performance Data &gt; Total</t>
        </is>
      </c>
      <c r="AG2436" s="7" t="inlineStr">
        <is>
          <t>83</t>
        </is>
      </c>
      <c r="AH2436" s="7" t="inlineStr">
        <is>
          <t>1B4B</t>
        </is>
      </c>
      <c r="AI2436" s="7" t="inlineStr">
        <is>
          <t>PNSY</t>
        </is>
      </c>
      <c r="AJ2436" s="7" t="inlineStr">
        <is>
          <t>Performance Data</t>
        </is>
      </c>
    </row>
    <row r="2437" ht="10" customHeight="1">
      <c r="A2437" s="7" t="inlineStr">
        <is>
          <t>OMN_Vol2</t>
        </is>
      </c>
      <c r="B2437" s="7" t="inlineStr">
        <is>
          <t>O&amp;M</t>
        </is>
      </c>
      <c r="D2437" s="7" t="inlineStr">
        <is>
          <t>Portsmouth Naval Shipyard: Infrastructure - Base Operating Support (Operation &amp; Maintenance, Navy)</t>
        </is>
      </c>
      <c r="E2437" s="13" t="inlineStr">
        <is>
          <t>[SUB]</t>
        </is>
      </c>
      <c r="F2437" s="7" t="inlineStr">
        <is>
          <t>PNSY Infrastructure Total</t>
        </is>
      </c>
      <c r="I2437" s="14" t="n">
        <v>7</v>
      </c>
      <c r="J2437" s="7" t="inlineStr">
        <is>
          <t>Availability Support</t>
        </is>
      </c>
      <c r="K2437" s="15" t="n"/>
      <c r="O2437" s="15" t="n"/>
      <c r="P2437" s="16" t="n">
        <v>5835</v>
      </c>
      <c r="Q2437" s="16" t="n">
        <v>5958</v>
      </c>
      <c r="S2437" s="16" t="n">
        <v>6083</v>
      </c>
      <c r="AC2437" s="23">
        <f>IF(OR(E2437="",E2437="[PARENT]"),"ADD",IF(E2437="[ALT_VIEW]","ALT",""))</f>
        <v/>
      </c>
      <c r="AD2437" s="21">
        <f>IF(Y2437&lt;&gt;"",Y2437,IF(U2437&lt;&gt;"",U2437,S2437))</f>
        <v/>
      </c>
      <c r="AE2437" s="21">
        <f>IF(AB2437&lt;&gt;"",AB2437,Z2437)</f>
        <v/>
      </c>
      <c r="AF2437" s="13" t="inlineStr">
        <is>
          <t>OMN Vol2 &gt; OP-5A &gt; PNSY &gt; Infrastructure &gt; Base Operating Support (OM,N)</t>
        </is>
      </c>
      <c r="AG2437" s="7" t="inlineStr">
        <is>
          <t>86</t>
        </is>
      </c>
      <c r="AH2437" s="7" t="inlineStr">
        <is>
          <t>1B4B</t>
        </is>
      </c>
      <c r="AI2437" s="7" t="inlineStr">
        <is>
          <t>PNSY</t>
        </is>
      </c>
      <c r="AJ2437" s="7" t="inlineStr">
        <is>
          <t>Infrastructure</t>
        </is>
      </c>
    </row>
    <row r="2438" ht="10" customHeight="1">
      <c r="A2438" s="7" t="inlineStr">
        <is>
          <t>OMN_Vol2</t>
        </is>
      </c>
      <c r="B2438" s="7" t="inlineStr">
        <is>
          <t>O&amp;M</t>
        </is>
      </c>
      <c r="D2438" s="7" t="inlineStr">
        <is>
          <t>Portsmouth Naval Shipyard: Infrastructure - Capital Equipment (Other Procurement, Navy)</t>
        </is>
      </c>
      <c r="E2438" s="13" t="inlineStr">
        <is>
          <t>[SUB]</t>
        </is>
      </c>
      <c r="F2438" s="7" t="inlineStr">
        <is>
          <t>PNSY Infrastructure Total</t>
        </is>
      </c>
      <c r="I2438" s="14" t="n">
        <v>7</v>
      </c>
      <c r="J2438" s="7" t="inlineStr">
        <is>
          <t>Availability Support</t>
        </is>
      </c>
      <c r="K2438" s="15" t="n"/>
      <c r="O2438" s="15" t="n"/>
      <c r="P2438" s="16" t="n">
        <v>10719</v>
      </c>
      <c r="Q2438" s="16" t="n">
        <v>60000</v>
      </c>
      <c r="S2438" s="16" t="n">
        <v>0</v>
      </c>
      <c r="AC2438" s="23">
        <f>IF(OR(E2438="",E2438="[PARENT]"),"ADD",IF(E2438="[ALT_VIEW]","ALT",""))</f>
        <v/>
      </c>
      <c r="AD2438" s="21">
        <f>IF(Y2438&lt;&gt;"",Y2438,IF(U2438&lt;&gt;"",U2438,S2438))</f>
        <v/>
      </c>
      <c r="AE2438" s="21">
        <f>IF(AB2438&lt;&gt;"",AB2438,Z2438)</f>
        <v/>
      </c>
      <c r="AF2438" s="13" t="inlineStr">
        <is>
          <t>OMN Vol2 &gt; OP-5A &gt; PNSY &gt; Infrastructure &gt; Capital Equipment (OP,N)</t>
        </is>
      </c>
      <c r="AG2438" s="7" t="inlineStr">
        <is>
          <t>86</t>
        </is>
      </c>
      <c r="AH2438" s="7" t="inlineStr">
        <is>
          <t>1B4B</t>
        </is>
      </c>
      <c r="AI2438" s="7" t="inlineStr">
        <is>
          <t>PNSY</t>
        </is>
      </c>
      <c r="AJ2438" s="7" t="inlineStr">
        <is>
          <t>Infrastructure</t>
        </is>
      </c>
    </row>
    <row r="2439" ht="10" customHeight="1">
      <c r="A2439" s="7" t="inlineStr">
        <is>
          <t>OMN_Vol2</t>
        </is>
      </c>
      <c r="B2439" s="7" t="inlineStr">
        <is>
          <t>O&amp;M</t>
        </is>
      </c>
      <c r="D2439" s="7" t="inlineStr">
        <is>
          <t>Portsmouth Naval Shipyard: Infrastructure - Facilities Restoration &amp; Modernization (Operation &amp; Maintenance, Navy)</t>
        </is>
      </c>
      <c r="E2439" s="13" t="inlineStr">
        <is>
          <t>[SUB]</t>
        </is>
      </c>
      <c r="F2439" s="7" t="inlineStr">
        <is>
          <t>PNSY Infrastructure Total</t>
        </is>
      </c>
      <c r="I2439" s="14" t="n">
        <v>7</v>
      </c>
      <c r="J2439" s="7" t="inlineStr">
        <is>
          <t>Availability Support</t>
        </is>
      </c>
      <c r="K2439" s="15" t="n"/>
      <c r="O2439" s="15" t="n"/>
      <c r="P2439" s="16" t="n">
        <v>20564</v>
      </c>
      <c r="Q2439" s="16" t="n">
        <v>82578</v>
      </c>
      <c r="S2439" s="16" t="n">
        <v>21644</v>
      </c>
      <c r="AC2439" s="23">
        <f>IF(OR(E2439="",E2439="[PARENT]"),"ADD",IF(E2439="[ALT_VIEW]","ALT",""))</f>
        <v/>
      </c>
      <c r="AD2439" s="21">
        <f>IF(Y2439&lt;&gt;"",Y2439,IF(U2439&lt;&gt;"",U2439,S2439))</f>
        <v/>
      </c>
      <c r="AE2439" s="21">
        <f>IF(AB2439&lt;&gt;"",AB2439,Z2439)</f>
        <v/>
      </c>
      <c r="AF2439" s="13" t="inlineStr">
        <is>
          <t>OMN Vol2 &gt; OP-5A &gt; PNSY &gt; Infrastructure &gt; Facilities Restoration &amp; Modernization (OM,N)</t>
        </is>
      </c>
      <c r="AG2439" s="7" t="inlineStr">
        <is>
          <t>86</t>
        </is>
      </c>
      <c r="AH2439" s="7" t="inlineStr">
        <is>
          <t>1B4B</t>
        </is>
      </c>
      <c r="AI2439" s="7" t="inlineStr">
        <is>
          <t>PNSY</t>
        </is>
      </c>
      <c r="AJ2439" s="7" t="inlineStr">
        <is>
          <t>Infrastructure</t>
        </is>
      </c>
    </row>
    <row r="2440" ht="10" customHeight="1">
      <c r="A2440" s="7" t="inlineStr">
        <is>
          <t>OMN_Vol2</t>
        </is>
      </c>
      <c r="B2440" s="7" t="inlineStr">
        <is>
          <t>O&amp;M</t>
        </is>
      </c>
      <c r="D2440" s="7" t="inlineStr">
        <is>
          <t>Portsmouth Naval Shipyard: Infrastructure - Facilities Restoration &amp; Modernization (Navy Working Capital Fund)</t>
        </is>
      </c>
      <c r="E2440" s="13" t="inlineStr">
        <is>
          <t>[SUB]</t>
        </is>
      </c>
      <c r="F2440" s="7" t="inlineStr">
        <is>
          <t>PNSY Infrastructure Total</t>
        </is>
      </c>
      <c r="I2440" s="14" t="n">
        <v>7</v>
      </c>
      <c r="J2440" s="7" t="inlineStr">
        <is>
          <t>Availability Support</t>
        </is>
      </c>
      <c r="K2440" s="15" t="n"/>
      <c r="O2440" s="15" t="n"/>
      <c r="P2440" s="16" t="n">
        <v>0</v>
      </c>
      <c r="Q2440" s="16" t="n">
        <v>0</v>
      </c>
      <c r="S2440" s="16" t="n">
        <v>0</v>
      </c>
      <c r="AC2440" s="23">
        <f>IF(OR(E2440="",E2440="[PARENT]"),"ADD",IF(E2440="[ALT_VIEW]","ALT",""))</f>
        <v/>
      </c>
      <c r="AD2440" s="21">
        <f>IF(Y2440&lt;&gt;"",Y2440,IF(U2440&lt;&gt;"",U2440,S2440))</f>
        <v/>
      </c>
      <c r="AE2440" s="21">
        <f>IF(AB2440&lt;&gt;"",AB2440,Z2440)</f>
        <v/>
      </c>
      <c r="AF2440" s="13" t="inlineStr">
        <is>
          <t>OMN Vol2 &gt; OP-5A &gt; PNSY &gt; Infrastructure &gt; Facilities Restoration &amp; Modernization (NWCF)</t>
        </is>
      </c>
      <c r="AG2440" s="7" t="inlineStr">
        <is>
          <t>86</t>
        </is>
      </c>
      <c r="AH2440" s="7" t="inlineStr">
        <is>
          <t>1B4B</t>
        </is>
      </c>
      <c r="AI2440" s="7" t="inlineStr">
        <is>
          <t>PNSY</t>
        </is>
      </c>
      <c r="AJ2440" s="7" t="inlineStr">
        <is>
          <t>Infrastructure</t>
        </is>
      </c>
    </row>
    <row r="2441" ht="10" customHeight="1">
      <c r="A2441" s="7" t="inlineStr">
        <is>
          <t>OMN_Vol2</t>
        </is>
      </c>
      <c r="B2441" s="7" t="inlineStr">
        <is>
          <t>O&amp;M</t>
        </is>
      </c>
      <c r="D2441" s="7" t="inlineStr">
        <is>
          <t>Portsmouth Naval Shipyard: Infrastructure - Military Construction (MILCON)</t>
        </is>
      </c>
      <c r="E2441" s="13" t="inlineStr">
        <is>
          <t>[SUB]</t>
        </is>
      </c>
      <c r="F2441" s="7" t="inlineStr">
        <is>
          <t>PNSY Infrastructure Total</t>
        </is>
      </c>
      <c r="I2441" s="14" t="n">
        <v>7</v>
      </c>
      <c r="J2441" s="7" t="inlineStr">
        <is>
          <t>Availability Support</t>
        </is>
      </c>
      <c r="K2441" s="15" t="n"/>
      <c r="O2441" s="15" t="n"/>
      <c r="P2441" s="16" t="n">
        <v>644808</v>
      </c>
      <c r="Q2441" s="16" t="n">
        <v>400578</v>
      </c>
      <c r="S2441" s="16" t="n">
        <v>448562</v>
      </c>
      <c r="AC2441" s="23">
        <f>IF(OR(E2441="",E2441="[PARENT]"),"ADD",IF(E2441="[ALT_VIEW]","ALT",""))</f>
        <v/>
      </c>
      <c r="AD2441" s="21">
        <f>IF(Y2441&lt;&gt;"",Y2441,IF(U2441&lt;&gt;"",U2441,S2441))</f>
        <v/>
      </c>
      <c r="AE2441" s="21">
        <f>IF(AB2441&lt;&gt;"",AB2441,Z2441)</f>
        <v/>
      </c>
      <c r="AF2441" s="13" t="inlineStr">
        <is>
          <t>OMN Vol2 &gt; OP-5A &gt; PNSY &gt; Infrastructure &gt; Military Construction (MILCON)</t>
        </is>
      </c>
      <c r="AG2441" s="7" t="inlineStr">
        <is>
          <t>86</t>
        </is>
      </c>
      <c r="AH2441" s="7" t="inlineStr">
        <is>
          <t>1B4B</t>
        </is>
      </c>
      <c r="AI2441" s="7" t="inlineStr">
        <is>
          <t>PNSY</t>
        </is>
      </c>
      <c r="AJ2441" s="7" t="inlineStr">
        <is>
          <t>Infrastructure</t>
        </is>
      </c>
    </row>
    <row r="2442" ht="10" customHeight="1">
      <c r="A2442" s="7" t="inlineStr">
        <is>
          <t>OMN_Vol2</t>
        </is>
      </c>
      <c r="B2442" s="7" t="inlineStr">
        <is>
          <t>O&amp;M</t>
        </is>
      </c>
      <c r="D2442" s="7" t="inlineStr">
        <is>
          <t>Portsmouth Naval Shipyard: Infrastructure - Total</t>
        </is>
      </c>
      <c r="E2442" s="13" t="inlineStr">
        <is>
          <t>[PARENT]</t>
        </is>
      </c>
      <c r="I2442" s="14" t="n">
        <v>7</v>
      </c>
      <c r="J2442" s="7" t="inlineStr">
        <is>
          <t>Availability Support</t>
        </is>
      </c>
      <c r="K2442" s="15" t="n"/>
      <c r="O2442" s="15" t="n"/>
      <c r="P2442" s="16" t="n">
        <v>681926</v>
      </c>
      <c r="Q2442" s="16" t="n">
        <v>549114</v>
      </c>
      <c r="S2442" s="16" t="n">
        <v>476289</v>
      </c>
      <c r="AC2442" s="23">
        <f>IF(OR(E2442="",E2442="[PARENT]"),"ADD",IF(E2442="[ALT_VIEW]","ALT",""))</f>
        <v/>
      </c>
      <c r="AD2442" s="21">
        <f>IF(Y2442&lt;&gt;"",Y2442,IF(U2442&lt;&gt;"",U2442,S2442))</f>
        <v/>
      </c>
      <c r="AE2442" s="21">
        <f>IF(AB2442&lt;&gt;"",AB2442,Z2442)</f>
        <v/>
      </c>
      <c r="AF2442" s="13" t="inlineStr">
        <is>
          <t>OMN Vol2 &gt; OP-5A &gt; PNSY &gt; Infrastructure &gt; Total</t>
        </is>
      </c>
      <c r="AG2442" s="7" t="inlineStr">
        <is>
          <t>86</t>
        </is>
      </c>
      <c r="AH2442" s="7" t="inlineStr">
        <is>
          <t>1B4B</t>
        </is>
      </c>
      <c r="AI2442" s="7" t="inlineStr">
        <is>
          <t>PNSY</t>
        </is>
      </c>
      <c r="AJ2442" s="7" t="inlineStr">
        <is>
          <t>Infrastructure</t>
        </is>
      </c>
    </row>
    <row r="2443" ht="10" customHeight="1">
      <c r="A2443" s="7" t="inlineStr">
        <is>
          <t>OMN_Vol2</t>
        </is>
      </c>
      <c r="B2443" s="7" t="inlineStr">
        <is>
          <t>O&amp;M</t>
        </is>
      </c>
      <c r="D2443" s="7" t="inlineStr">
        <is>
          <t>Portsmouth Naval Shipyard: Capital Equipment - RSC DD#2 Weather Protection</t>
        </is>
      </c>
      <c r="E2443" s="13" t="inlineStr">
        <is>
          <t>[SUB]</t>
        </is>
      </c>
      <c r="F2443" s="7" t="inlineStr">
        <is>
          <t>PNSY Infrastructure Total</t>
        </is>
      </c>
      <c r="I2443" s="14" t="n">
        <v>7</v>
      </c>
      <c r="J2443" s="7" t="inlineStr">
        <is>
          <t>Availability Support</t>
        </is>
      </c>
      <c r="K2443" s="15" t="n"/>
      <c r="O2443" s="15" t="n"/>
      <c r="P2443" s="16" t="n">
        <v>1066</v>
      </c>
      <c r="AC2443" s="23">
        <f>IF(OR(E2443="",E2443="[PARENT]"),"ADD",IF(E2443="[ALT_VIEW]","ALT",""))</f>
        <v/>
      </c>
      <c r="AD2443" s="21">
        <f>IF(Y2443&lt;&gt;"",Y2443,IF(U2443&lt;&gt;"",U2443,S2443))</f>
        <v/>
      </c>
      <c r="AE2443" s="21">
        <f>IF(AB2443&lt;&gt;"",AB2443,Z2443)</f>
        <v/>
      </c>
      <c r="AF2443" s="13" t="inlineStr">
        <is>
          <t>OMN Vol2 &gt; OP-5A &gt; PNSY &gt; Capital Equipment &gt; RSC DD#2 Weather Protection</t>
        </is>
      </c>
      <c r="AG2443" s="7" t="inlineStr">
        <is>
          <t>86</t>
        </is>
      </c>
      <c r="AH2443" s="7" t="inlineStr">
        <is>
          <t>1B4B</t>
        </is>
      </c>
      <c r="AI2443" s="7" t="inlineStr">
        <is>
          <t>PNSY</t>
        </is>
      </c>
      <c r="AJ2443" s="7" t="inlineStr">
        <is>
          <t>Capital Equipment</t>
        </is>
      </c>
    </row>
    <row r="2444" ht="10" customHeight="1">
      <c r="A2444" s="7" t="inlineStr">
        <is>
          <t>OMN_Vol2</t>
        </is>
      </c>
      <c r="B2444" s="7" t="inlineStr">
        <is>
          <t>O&amp;M</t>
        </is>
      </c>
      <c r="D2444" s="7" t="inlineStr">
        <is>
          <t>Portsmouth Naval Shipyard: Capital Equipment - RSC Redesign ECE</t>
        </is>
      </c>
      <c r="E2444" s="13" t="inlineStr">
        <is>
          <t>[SUB]</t>
        </is>
      </c>
      <c r="F2444" s="7" t="inlineStr">
        <is>
          <t>PNSY Infrastructure Total</t>
        </is>
      </c>
      <c r="I2444" s="14" t="n">
        <v>7</v>
      </c>
      <c r="J2444" s="7" t="inlineStr">
        <is>
          <t>Availability Support</t>
        </is>
      </c>
      <c r="K2444" s="15" t="n"/>
      <c r="O2444" s="15" t="n"/>
      <c r="P2444" s="16" t="n">
        <v>940</v>
      </c>
      <c r="AC2444" s="23">
        <f>IF(OR(E2444="",E2444="[PARENT]"),"ADD",IF(E2444="[ALT_VIEW]","ALT",""))</f>
        <v/>
      </c>
      <c r="AD2444" s="21">
        <f>IF(Y2444&lt;&gt;"",Y2444,IF(U2444&lt;&gt;"",U2444,S2444))</f>
        <v/>
      </c>
      <c r="AE2444" s="21">
        <f>IF(AB2444&lt;&gt;"",AB2444,Z2444)</f>
        <v/>
      </c>
      <c r="AF2444" s="13" t="inlineStr">
        <is>
          <t>OMN Vol2 &gt; OP-5A &gt; PNSY &gt; Capital Equipment &gt; RSC Redesign ECE</t>
        </is>
      </c>
      <c r="AG2444" s="7" t="inlineStr">
        <is>
          <t>86</t>
        </is>
      </c>
      <c r="AH2444" s="7" t="inlineStr">
        <is>
          <t>1B4B</t>
        </is>
      </c>
      <c r="AI2444" s="7" t="inlineStr">
        <is>
          <t>PNSY</t>
        </is>
      </c>
      <c r="AJ2444" s="7" t="inlineStr">
        <is>
          <t>Capital Equipment</t>
        </is>
      </c>
    </row>
    <row r="2445" ht="10" customHeight="1">
      <c r="A2445" s="7" t="inlineStr">
        <is>
          <t>OMN_Vol2</t>
        </is>
      </c>
      <c r="B2445" s="7" t="inlineStr">
        <is>
          <t>O&amp;M</t>
        </is>
      </c>
      <c r="D2445" s="7" t="inlineStr">
        <is>
          <t>Portsmouth Naval Shipyard: Capital Equipment - VPT Platform increase</t>
        </is>
      </c>
      <c r="E2445" s="13" t="inlineStr">
        <is>
          <t>[SUB]</t>
        </is>
      </c>
      <c r="F2445" s="7" t="inlineStr">
        <is>
          <t>PNSY Infrastructure Total</t>
        </is>
      </c>
      <c r="I2445" s="14" t="n">
        <v>7</v>
      </c>
      <c r="J2445" s="7" t="inlineStr">
        <is>
          <t>Availability Support</t>
        </is>
      </c>
      <c r="K2445" s="15" t="n"/>
      <c r="O2445" s="15" t="n"/>
      <c r="P2445" s="16" t="n">
        <v>200</v>
      </c>
      <c r="AC2445" s="23">
        <f>IF(OR(E2445="",E2445="[PARENT]"),"ADD",IF(E2445="[ALT_VIEW]","ALT",""))</f>
        <v/>
      </c>
      <c r="AD2445" s="21">
        <f>IF(Y2445&lt;&gt;"",Y2445,IF(U2445&lt;&gt;"",U2445,S2445))</f>
        <v/>
      </c>
      <c r="AE2445" s="21">
        <f>IF(AB2445&lt;&gt;"",AB2445,Z2445)</f>
        <v/>
      </c>
      <c r="AF2445" s="13" t="inlineStr">
        <is>
          <t>OMN Vol2 &gt; OP-5A &gt; PNSY &gt; Capital Equipment &gt; VPT Platform increase</t>
        </is>
      </c>
      <c r="AG2445" s="7" t="inlineStr">
        <is>
          <t>86</t>
        </is>
      </c>
      <c r="AH2445" s="7" t="inlineStr">
        <is>
          <t>1B4B</t>
        </is>
      </c>
      <c r="AI2445" s="7" t="inlineStr">
        <is>
          <t>PNSY</t>
        </is>
      </c>
      <c r="AJ2445" s="7" t="inlineStr">
        <is>
          <t>Capital Equipment</t>
        </is>
      </c>
    </row>
    <row r="2446" ht="10" customHeight="1">
      <c r="A2446" s="7" t="inlineStr">
        <is>
          <t>OMN_Vol2</t>
        </is>
      </c>
      <c r="B2446" s="7" t="inlineStr">
        <is>
          <t>O&amp;M</t>
        </is>
      </c>
      <c r="D2446" s="7" t="inlineStr">
        <is>
          <t>Portsmouth Naval Shipyard: Capital Equipment - 42' Rotary Surface Grinder</t>
        </is>
      </c>
      <c r="E2446" s="13" t="inlineStr">
        <is>
          <t>[SUB]</t>
        </is>
      </c>
      <c r="F2446" s="7" t="inlineStr">
        <is>
          <t>PNSY Infrastructure Total</t>
        </is>
      </c>
      <c r="I2446" s="14" t="n">
        <v>7</v>
      </c>
      <c r="J2446" s="7" t="inlineStr">
        <is>
          <t>Availability Support</t>
        </is>
      </c>
      <c r="K2446" s="15" t="n"/>
      <c r="O2446" s="15" t="n"/>
      <c r="P2446" s="16" t="n">
        <v>976</v>
      </c>
      <c r="AC2446" s="23">
        <f>IF(OR(E2446="",E2446="[PARENT]"),"ADD",IF(E2446="[ALT_VIEW]","ALT",""))</f>
        <v/>
      </c>
      <c r="AD2446" s="21">
        <f>IF(Y2446&lt;&gt;"",Y2446,IF(U2446&lt;&gt;"",U2446,S2446))</f>
        <v/>
      </c>
      <c r="AE2446" s="21">
        <f>IF(AB2446&lt;&gt;"",AB2446,Z2446)</f>
        <v/>
      </c>
      <c r="AF2446" s="13" t="inlineStr">
        <is>
          <t>OMN Vol2 &gt; OP-5A &gt; PNSY &gt; Capital Equipment &gt; 42' Rotary Surface Grinder</t>
        </is>
      </c>
      <c r="AG2446" s="7" t="inlineStr">
        <is>
          <t>86</t>
        </is>
      </c>
      <c r="AH2446" s="7" t="inlineStr">
        <is>
          <t>1B4B</t>
        </is>
      </c>
      <c r="AI2446" s="7" t="inlineStr">
        <is>
          <t>PNSY</t>
        </is>
      </c>
      <c r="AJ2446" s="7" t="inlineStr">
        <is>
          <t>Capital Equipment</t>
        </is>
      </c>
    </row>
    <row r="2447" ht="10" customHeight="1">
      <c r="A2447" s="7" t="inlineStr">
        <is>
          <t>OMN_Vol2</t>
        </is>
      </c>
      <c r="B2447" s="7" t="inlineStr">
        <is>
          <t>O&amp;M</t>
        </is>
      </c>
      <c r="D2447" s="7" t="inlineStr">
        <is>
          <t>Portsmouth Naval Shipyard: Capital Equipment - Horizontal Honing Machine</t>
        </is>
      </c>
      <c r="E2447" s="13" t="inlineStr">
        <is>
          <t>[SUB]</t>
        </is>
      </c>
      <c r="F2447" s="7" t="inlineStr">
        <is>
          <t>PNSY Infrastructure Total</t>
        </is>
      </c>
      <c r="I2447" s="14" t="n">
        <v>7</v>
      </c>
      <c r="J2447" s="7" t="inlineStr">
        <is>
          <t>Availability Support</t>
        </is>
      </c>
      <c r="K2447" s="15" t="n"/>
      <c r="O2447" s="15" t="n"/>
      <c r="P2447" s="16" t="n">
        <v>1985</v>
      </c>
      <c r="AC2447" s="23">
        <f>IF(OR(E2447="",E2447="[PARENT]"),"ADD",IF(E2447="[ALT_VIEW]","ALT",""))</f>
        <v/>
      </c>
      <c r="AD2447" s="21">
        <f>IF(Y2447&lt;&gt;"",Y2447,IF(U2447&lt;&gt;"",U2447,S2447))</f>
        <v/>
      </c>
      <c r="AE2447" s="21">
        <f>IF(AB2447&lt;&gt;"",AB2447,Z2447)</f>
        <v/>
      </c>
      <c r="AF2447" s="13" t="inlineStr">
        <is>
          <t>OMN Vol2 &gt; OP-5A &gt; PNSY &gt; Capital Equipment &gt; Horizontal Honing Machine</t>
        </is>
      </c>
      <c r="AG2447" s="7" t="inlineStr">
        <is>
          <t>86</t>
        </is>
      </c>
      <c r="AH2447" s="7" t="inlineStr">
        <is>
          <t>1B4B</t>
        </is>
      </c>
      <c r="AI2447" s="7" t="inlineStr">
        <is>
          <t>PNSY</t>
        </is>
      </c>
      <c r="AJ2447" s="7" t="inlineStr">
        <is>
          <t>Capital Equipment</t>
        </is>
      </c>
    </row>
    <row r="2448" ht="10" customHeight="1">
      <c r="A2448" s="7" t="inlineStr">
        <is>
          <t>OMN_Vol2</t>
        </is>
      </c>
      <c r="B2448" s="7" t="inlineStr">
        <is>
          <t>O&amp;M</t>
        </is>
      </c>
      <c r="D2448" s="7" t="inlineStr">
        <is>
          <t>Portsmouth Naval Shipyard: Capital Equipment - Hydrostatic Test Tank</t>
        </is>
      </c>
      <c r="E2448" s="13" t="inlineStr">
        <is>
          <t>[SUB]</t>
        </is>
      </c>
      <c r="F2448" s="7" t="inlineStr">
        <is>
          <t>PNSY Infrastructure Total</t>
        </is>
      </c>
      <c r="I2448" s="14" t="n">
        <v>7</v>
      </c>
      <c r="J2448" s="7" t="inlineStr">
        <is>
          <t>Availability Support</t>
        </is>
      </c>
      <c r="K2448" s="15" t="n"/>
      <c r="O2448" s="15" t="n"/>
      <c r="P2448" s="16" t="n">
        <v>4441</v>
      </c>
      <c r="AC2448" s="23">
        <f>IF(OR(E2448="",E2448="[PARENT]"),"ADD",IF(E2448="[ALT_VIEW]","ALT",""))</f>
        <v/>
      </c>
      <c r="AD2448" s="21">
        <f>IF(Y2448&lt;&gt;"",Y2448,IF(U2448&lt;&gt;"",U2448,S2448))</f>
        <v/>
      </c>
      <c r="AE2448" s="21">
        <f>IF(AB2448&lt;&gt;"",AB2448,Z2448)</f>
        <v/>
      </c>
      <c r="AF2448" s="13" t="inlineStr">
        <is>
          <t>OMN Vol2 &gt; OP-5A &gt; PNSY &gt; Capital Equipment &gt; Hydrostatic Test Tank</t>
        </is>
      </c>
      <c r="AG2448" s="7" t="inlineStr">
        <is>
          <t>86</t>
        </is>
      </c>
      <c r="AH2448" s="7" t="inlineStr">
        <is>
          <t>1B4B</t>
        </is>
      </c>
      <c r="AI2448" s="7" t="inlineStr">
        <is>
          <t>PNSY</t>
        </is>
      </c>
      <c r="AJ2448" s="7" t="inlineStr">
        <is>
          <t>Capital Equipment</t>
        </is>
      </c>
    </row>
    <row r="2449" ht="10" customHeight="1">
      <c r="A2449" s="7" t="inlineStr">
        <is>
          <t>OMN_Vol2</t>
        </is>
      </c>
      <c r="B2449" s="7" t="inlineStr">
        <is>
          <t>O&amp;M</t>
        </is>
      </c>
      <c r="D2449" s="7" t="inlineStr">
        <is>
          <t>Portsmouth Naval Shipyard: Capital Equipment - Coffer Dam Enclosure</t>
        </is>
      </c>
      <c r="E2449" s="13" t="inlineStr">
        <is>
          <t>[SUB]</t>
        </is>
      </c>
      <c r="F2449" s="7" t="inlineStr">
        <is>
          <t>PNSY Infrastructure Total</t>
        </is>
      </c>
      <c r="I2449" s="14" t="n">
        <v>7</v>
      </c>
      <c r="J2449" s="7" t="inlineStr">
        <is>
          <t>Availability Support</t>
        </is>
      </c>
      <c r="K2449" s="15" t="n"/>
      <c r="O2449" s="15" t="n"/>
      <c r="P2449" s="16" t="n">
        <v>1111</v>
      </c>
      <c r="AC2449" s="23">
        <f>IF(OR(E2449="",E2449="[PARENT]"),"ADD",IF(E2449="[ALT_VIEW]","ALT",""))</f>
        <v/>
      </c>
      <c r="AD2449" s="21">
        <f>IF(Y2449&lt;&gt;"",Y2449,IF(U2449&lt;&gt;"",U2449,S2449))</f>
        <v/>
      </c>
      <c r="AE2449" s="21">
        <f>IF(AB2449&lt;&gt;"",AB2449,Z2449)</f>
        <v/>
      </c>
      <c r="AF2449" s="13" t="inlineStr">
        <is>
          <t>OMN Vol2 &gt; OP-5A &gt; PNSY &gt; Capital Equipment &gt; Coffer Dam Enclosure</t>
        </is>
      </c>
      <c r="AG2449" s="7" t="inlineStr">
        <is>
          <t>86</t>
        </is>
      </c>
      <c r="AH2449" s="7" t="inlineStr">
        <is>
          <t>1B4B</t>
        </is>
      </c>
      <c r="AI2449" s="7" t="inlineStr">
        <is>
          <t>PNSY</t>
        </is>
      </c>
      <c r="AJ2449" s="7" t="inlineStr">
        <is>
          <t>Capital Equipment</t>
        </is>
      </c>
    </row>
    <row r="2450" ht="10" customHeight="1">
      <c r="A2450" s="7" t="inlineStr">
        <is>
          <t>OMN_Vol2</t>
        </is>
      </c>
      <c r="B2450" s="7" t="inlineStr">
        <is>
          <t>O&amp;M</t>
        </is>
      </c>
      <c r="D2450" s="7" t="inlineStr">
        <is>
          <t>Portsmouth Naval Shipyard: Capital Equipment - DD#2 RSC Re-boot</t>
        </is>
      </c>
      <c r="E2450" s="13" t="inlineStr">
        <is>
          <t>[SUB]</t>
        </is>
      </c>
      <c r="F2450" s="7" t="inlineStr">
        <is>
          <t>PNSY Infrastructure Total</t>
        </is>
      </c>
      <c r="I2450" s="14" t="n">
        <v>7</v>
      </c>
      <c r="J2450" s="7" t="inlineStr">
        <is>
          <t>Availability Support</t>
        </is>
      </c>
      <c r="K2450" s="15" t="n"/>
      <c r="O2450" s="15" t="n"/>
      <c r="Q2450" s="16" t="n">
        <v>32930</v>
      </c>
      <c r="AC2450" s="23">
        <f>IF(OR(E2450="",E2450="[PARENT]"),"ADD",IF(E2450="[ALT_VIEW]","ALT",""))</f>
        <v/>
      </c>
      <c r="AD2450" s="21">
        <f>IF(Y2450&lt;&gt;"",Y2450,IF(U2450&lt;&gt;"",U2450,S2450))</f>
        <v/>
      </c>
      <c r="AE2450" s="21">
        <f>IF(AB2450&lt;&gt;"",AB2450,Z2450)</f>
        <v/>
      </c>
      <c r="AF2450" s="13" t="inlineStr">
        <is>
          <t>OMN Vol2 &gt; OP-5A &gt; PNSY &gt; Capital Equipment &gt; DD#2 RSC Re-boot</t>
        </is>
      </c>
      <c r="AG2450" s="7" t="inlineStr">
        <is>
          <t>86</t>
        </is>
      </c>
      <c r="AH2450" s="7" t="inlineStr">
        <is>
          <t>1B4B</t>
        </is>
      </c>
      <c r="AI2450" s="7" t="inlineStr">
        <is>
          <t>PNSY</t>
        </is>
      </c>
      <c r="AJ2450" s="7" t="inlineStr">
        <is>
          <t>Capital Equipment</t>
        </is>
      </c>
    </row>
    <row r="2451" ht="10" customHeight="1">
      <c r="A2451" s="7" t="inlineStr">
        <is>
          <t>OMN_Vol2</t>
        </is>
      </c>
      <c r="B2451" s="7" t="inlineStr">
        <is>
          <t>O&amp;M</t>
        </is>
      </c>
      <c r="D2451" s="7" t="inlineStr">
        <is>
          <t>Portsmouth Naval Shipyard: Capital Equipment - DD#2 RSC Re-boot Design &amp; Labor</t>
        </is>
      </c>
      <c r="E2451" s="13" t="inlineStr">
        <is>
          <t>[SUB]</t>
        </is>
      </c>
      <c r="F2451" s="7" t="inlineStr">
        <is>
          <t>PNSY Infrastructure Total</t>
        </is>
      </c>
      <c r="I2451" s="14" t="n">
        <v>7</v>
      </c>
      <c r="J2451" s="7" t="inlineStr">
        <is>
          <t>Availability Support</t>
        </is>
      </c>
      <c r="K2451" s="15" t="n"/>
      <c r="O2451" s="15" t="n"/>
      <c r="Q2451" s="16" t="n">
        <v>2757</v>
      </c>
      <c r="AC2451" s="23">
        <f>IF(OR(E2451="",E2451="[PARENT]"),"ADD",IF(E2451="[ALT_VIEW]","ALT",""))</f>
        <v/>
      </c>
      <c r="AD2451" s="21">
        <f>IF(Y2451&lt;&gt;"",Y2451,IF(U2451&lt;&gt;"",U2451,S2451))</f>
        <v/>
      </c>
      <c r="AE2451" s="21">
        <f>IF(AB2451&lt;&gt;"",AB2451,Z2451)</f>
        <v/>
      </c>
      <c r="AF2451" s="13" t="inlineStr">
        <is>
          <t>OMN Vol2 &gt; OP-5A &gt; PNSY &gt; Capital Equipment &gt; DD#2 RSC Re-boot Design &amp; Labor</t>
        </is>
      </c>
      <c r="AG2451" s="7" t="inlineStr">
        <is>
          <t>86</t>
        </is>
      </c>
      <c r="AH2451" s="7" t="inlineStr">
        <is>
          <t>1B4B</t>
        </is>
      </c>
      <c r="AI2451" s="7" t="inlineStr">
        <is>
          <t>PNSY</t>
        </is>
      </c>
      <c r="AJ2451" s="7" t="inlineStr">
        <is>
          <t>Capital Equipment</t>
        </is>
      </c>
    </row>
    <row r="2452" ht="10" customHeight="1">
      <c r="A2452" s="7" t="inlineStr">
        <is>
          <t>OMN_Vol2</t>
        </is>
      </c>
      <c r="B2452" s="7" t="inlineStr">
        <is>
          <t>O&amp;M</t>
        </is>
      </c>
      <c r="D2452" s="7" t="inlineStr">
        <is>
          <t>Portsmouth Naval Shipyard: Capital Equipment - DD#2 RSC Early Work Package</t>
        </is>
      </c>
      <c r="E2452" s="13" t="inlineStr">
        <is>
          <t>[SUB]</t>
        </is>
      </c>
      <c r="F2452" s="7" t="inlineStr">
        <is>
          <t>PNSY Infrastructure Total</t>
        </is>
      </c>
      <c r="I2452" s="14" t="n">
        <v>7</v>
      </c>
      <c r="J2452" s="7" t="inlineStr">
        <is>
          <t>Availability Support</t>
        </is>
      </c>
      <c r="K2452" s="15" t="n"/>
      <c r="O2452" s="15" t="n"/>
      <c r="Q2452" s="16" t="n">
        <v>23253</v>
      </c>
      <c r="AC2452" s="23">
        <f>IF(OR(E2452="",E2452="[PARENT]"),"ADD",IF(E2452="[ALT_VIEW]","ALT",""))</f>
        <v/>
      </c>
      <c r="AD2452" s="21">
        <f>IF(Y2452&lt;&gt;"",Y2452,IF(U2452&lt;&gt;"",U2452,S2452))</f>
        <v/>
      </c>
      <c r="AE2452" s="21">
        <f>IF(AB2452&lt;&gt;"",AB2452,Z2452)</f>
        <v/>
      </c>
      <c r="AF2452" s="13" t="inlineStr">
        <is>
          <t>OMN Vol2 &gt; OP-5A &gt; PNSY &gt; Capital Equipment &gt; DD#2 RSC Early Work Package</t>
        </is>
      </c>
      <c r="AG2452" s="7" t="inlineStr">
        <is>
          <t>86</t>
        </is>
      </c>
      <c r="AH2452" s="7" t="inlineStr">
        <is>
          <t>1B4B</t>
        </is>
      </c>
      <c r="AI2452" s="7" t="inlineStr">
        <is>
          <t>PNSY</t>
        </is>
      </c>
      <c r="AJ2452" s="7" t="inlineStr">
        <is>
          <t>Capital Equipment</t>
        </is>
      </c>
    </row>
    <row r="2453" ht="10" customHeight="1">
      <c r="A2453" s="7" t="inlineStr">
        <is>
          <t>OMN_Vol2</t>
        </is>
      </c>
      <c r="B2453" s="7" t="inlineStr">
        <is>
          <t>O&amp;M</t>
        </is>
      </c>
      <c r="D2453" s="7" t="inlineStr">
        <is>
          <t>Portsmouth Naval Shipyard: Capital Equipment - DD#2 Intumescent Coating/Structural Shoring</t>
        </is>
      </c>
      <c r="E2453" s="13" t="inlineStr">
        <is>
          <t>[SUB]</t>
        </is>
      </c>
      <c r="F2453" s="7" t="inlineStr">
        <is>
          <t>PNSY Infrastructure Total</t>
        </is>
      </c>
      <c r="I2453" s="14" t="n">
        <v>7</v>
      </c>
      <c r="J2453" s="7" t="inlineStr">
        <is>
          <t>Availability Support</t>
        </is>
      </c>
      <c r="K2453" s="15" t="n"/>
      <c r="O2453" s="15" t="n"/>
      <c r="Q2453" s="16" t="n">
        <v>1060</v>
      </c>
      <c r="AC2453" s="23">
        <f>IF(OR(E2453="",E2453="[PARENT]"),"ADD",IF(E2453="[ALT_VIEW]","ALT",""))</f>
        <v/>
      </c>
      <c r="AD2453" s="21">
        <f>IF(Y2453&lt;&gt;"",Y2453,IF(U2453&lt;&gt;"",U2453,S2453))</f>
        <v/>
      </c>
      <c r="AE2453" s="21">
        <f>IF(AB2453&lt;&gt;"",AB2453,Z2453)</f>
        <v/>
      </c>
      <c r="AF2453" s="13" t="inlineStr">
        <is>
          <t>OMN Vol2 &gt; OP-5A &gt; PNSY &gt; Capital Equipment &gt; DD#2 Intumescent Coating/Structural Shoring</t>
        </is>
      </c>
      <c r="AG2453" s="7" t="inlineStr">
        <is>
          <t>86</t>
        </is>
      </c>
      <c r="AH2453" s="7" t="inlineStr">
        <is>
          <t>1B4B</t>
        </is>
      </c>
      <c r="AI2453" s="7" t="inlineStr">
        <is>
          <t>PNSY</t>
        </is>
      </c>
      <c r="AJ2453" s="7" t="inlineStr">
        <is>
          <t>Capital Equipment</t>
        </is>
      </c>
    </row>
    <row r="2454" ht="10" customHeight="1">
      <c r="A2454" s="7" t="inlineStr">
        <is>
          <t>OMN_Vol2</t>
        </is>
      </c>
      <c r="B2454" s="7" t="inlineStr">
        <is>
          <t>O&amp;M</t>
        </is>
      </c>
      <c r="D2454" s="7" t="inlineStr">
        <is>
          <t>Portsmouth Naval Shipyard: Military Construction (MILCON) - MULTI-MISSION DRY DOCK #1 EXTENSION, INCREMENT 4 of 7</t>
        </is>
      </c>
      <c r="E2454" s="13" t="inlineStr">
        <is>
          <t>[SUB]</t>
        </is>
      </c>
      <c r="F2454" s="7" t="inlineStr">
        <is>
          <t>PNSY Infrastructure Total</t>
        </is>
      </c>
      <c r="I2454" s="14" t="n">
        <v>7</v>
      </c>
      <c r="J2454" s="7" t="inlineStr">
        <is>
          <t>Availability Support</t>
        </is>
      </c>
      <c r="K2454" s="15" t="n"/>
      <c r="O2454" s="15" t="n"/>
      <c r="P2454" s="16" t="n">
        <v>644808</v>
      </c>
      <c r="AC2454" s="23">
        <f>IF(OR(E2454="",E2454="[PARENT]"),"ADD",IF(E2454="[ALT_VIEW]","ALT",""))</f>
        <v/>
      </c>
      <c r="AD2454" s="21">
        <f>IF(Y2454&lt;&gt;"",Y2454,IF(U2454&lt;&gt;"",U2454,S2454))</f>
        <v/>
      </c>
      <c r="AE2454" s="21">
        <f>IF(AB2454&lt;&gt;"",AB2454,Z2454)</f>
        <v/>
      </c>
      <c r="AF2454" s="13" t="inlineStr">
        <is>
          <t>OMN Vol2 &gt; OP-5A &gt; PNSY &gt; MILCON &gt; MULTI-MISSION DRY DOCK #1 EXTENSION, INCREMENT 4 of 7</t>
        </is>
      </c>
      <c r="AG2454" s="7" t="inlineStr">
        <is>
          <t>87</t>
        </is>
      </c>
      <c r="AH2454" s="7" t="inlineStr">
        <is>
          <t>1B4B</t>
        </is>
      </c>
      <c r="AI2454" s="7" t="inlineStr">
        <is>
          <t>PNSY</t>
        </is>
      </c>
      <c r="AJ2454" s="7" t="inlineStr">
        <is>
          <t>MILCON</t>
        </is>
      </c>
    </row>
    <row r="2455" ht="10" customHeight="1">
      <c r="A2455" s="7" t="inlineStr">
        <is>
          <t>OMN_Vol2</t>
        </is>
      </c>
      <c r="B2455" s="7" t="inlineStr">
        <is>
          <t>O&amp;M</t>
        </is>
      </c>
      <c r="D2455" s="7" t="inlineStr">
        <is>
          <t>Portsmouth Naval Shipyard: Military Construction (MILCON) - MULTI-MISSION DRY DOCK #1 EXTENSION, INCREMENT 5 of 7</t>
        </is>
      </c>
      <c r="E2455" s="13" t="inlineStr">
        <is>
          <t>[SUB]</t>
        </is>
      </c>
      <c r="F2455" s="7" t="inlineStr">
        <is>
          <t>PNSY Infrastructure Total</t>
        </is>
      </c>
      <c r="I2455" s="14" t="n">
        <v>7</v>
      </c>
      <c r="J2455" s="7" t="inlineStr">
        <is>
          <t>Availability Support</t>
        </is>
      </c>
      <c r="K2455" s="15" t="n"/>
      <c r="O2455" s="15" t="n"/>
      <c r="Q2455" s="16" t="n">
        <v>400578</v>
      </c>
      <c r="AC2455" s="23">
        <f>IF(OR(E2455="",E2455="[PARENT]"),"ADD",IF(E2455="[ALT_VIEW]","ALT",""))</f>
        <v/>
      </c>
      <c r="AD2455" s="21">
        <f>IF(Y2455&lt;&gt;"",Y2455,IF(U2455&lt;&gt;"",U2455,S2455))</f>
        <v/>
      </c>
      <c r="AE2455" s="21">
        <f>IF(AB2455&lt;&gt;"",AB2455,Z2455)</f>
        <v/>
      </c>
      <c r="AF2455" s="13" t="inlineStr">
        <is>
          <t>OMN Vol2 &gt; OP-5A &gt; PNSY &gt; MILCON &gt; MULTI-MISSION DRY DOCK #1 EXTENSION, INCREMENT 5 of 7</t>
        </is>
      </c>
      <c r="AG2455" s="7" t="inlineStr">
        <is>
          <t>87</t>
        </is>
      </c>
      <c r="AH2455" s="7" t="inlineStr">
        <is>
          <t>1B4B</t>
        </is>
      </c>
      <c r="AI2455" s="7" t="inlineStr">
        <is>
          <t>PNSY</t>
        </is>
      </c>
      <c r="AJ2455" s="7" t="inlineStr">
        <is>
          <t>MILCON</t>
        </is>
      </c>
    </row>
    <row r="2456" ht="10" customHeight="1">
      <c r="A2456" s="7" t="inlineStr">
        <is>
          <t>OMN_Vol2</t>
        </is>
      </c>
      <c r="B2456" s="7" t="inlineStr">
        <is>
          <t>O&amp;M</t>
        </is>
      </c>
      <c r="D2456" s="7" t="inlineStr">
        <is>
          <t>Portsmouth Naval Shipyard: Military Construction (MILCON) - MULTI-MISSION DRY DOCK #1 EXTENSION, INCREMENT 6 of 7</t>
        </is>
      </c>
      <c r="E2456" s="13" t="inlineStr">
        <is>
          <t>[SUB]</t>
        </is>
      </c>
      <c r="F2456" s="7" t="inlineStr">
        <is>
          <t>PNSY Infrastructure Total</t>
        </is>
      </c>
      <c r="I2456" s="14" t="n">
        <v>7</v>
      </c>
      <c r="J2456" s="7" t="inlineStr">
        <is>
          <t>Availability Support</t>
        </is>
      </c>
      <c r="K2456" s="15" t="n"/>
      <c r="O2456" s="15" t="n"/>
      <c r="S2456" s="16" t="n">
        <v>220793</v>
      </c>
      <c r="AC2456" s="23">
        <f>IF(OR(E2456="",E2456="[PARENT]"),"ADD",IF(E2456="[ALT_VIEW]","ALT",""))</f>
        <v/>
      </c>
      <c r="AD2456" s="21">
        <f>IF(Y2456&lt;&gt;"",Y2456,IF(U2456&lt;&gt;"",U2456,S2456))</f>
        <v/>
      </c>
      <c r="AE2456" s="21">
        <f>IF(AB2456&lt;&gt;"",AB2456,Z2456)</f>
        <v/>
      </c>
      <c r="AF2456" s="13" t="inlineStr">
        <is>
          <t>OMN Vol2 &gt; OP-5A &gt; PNSY &gt; MILCON &gt; MULTI-MISSION DRY DOCK #1 EXTENSION, INCREMENT 6 of 7</t>
        </is>
      </c>
      <c r="AG2456" s="7" t="inlineStr">
        <is>
          <t>87</t>
        </is>
      </c>
      <c r="AH2456" s="7" t="inlineStr">
        <is>
          <t>1B4B</t>
        </is>
      </c>
      <c r="AI2456" s="7" t="inlineStr">
        <is>
          <t>PNSY</t>
        </is>
      </c>
      <c r="AJ2456" s="7" t="inlineStr">
        <is>
          <t>MILCON</t>
        </is>
      </c>
    </row>
    <row r="2457" ht="10" customHeight="1">
      <c r="A2457" s="7" t="inlineStr">
        <is>
          <t>OMN_Vol2</t>
        </is>
      </c>
      <c r="B2457" s="7" t="inlineStr">
        <is>
          <t>O&amp;M</t>
        </is>
      </c>
      <c r="D2457" s="7" t="inlineStr">
        <is>
          <t>Portsmouth Naval Shipyard: Military Construction (MILCON) - POWER RELIABILITY &amp; WATER RESILIENCY, INCREMENT 1 of 5</t>
        </is>
      </c>
      <c r="E2457" s="13" t="inlineStr">
        <is>
          <t>[SUB]</t>
        </is>
      </c>
      <c r="F2457" s="7" t="inlineStr">
        <is>
          <t>PNSY Infrastructure Total</t>
        </is>
      </c>
      <c r="I2457" s="14" t="n">
        <v>7</v>
      </c>
      <c r="J2457" s="7" t="inlineStr">
        <is>
          <t>Availability Support</t>
        </is>
      </c>
      <c r="K2457" s="15" t="n"/>
      <c r="O2457" s="15" t="n"/>
      <c r="S2457" s="16" t="n">
        <v>227769</v>
      </c>
      <c r="AC2457" s="23">
        <f>IF(OR(E2457="",E2457="[PARENT]"),"ADD",IF(E2457="[ALT_VIEW]","ALT",""))</f>
        <v/>
      </c>
      <c r="AD2457" s="21">
        <f>IF(Y2457&lt;&gt;"",Y2457,IF(U2457&lt;&gt;"",U2457,S2457))</f>
        <v/>
      </c>
      <c r="AE2457" s="21">
        <f>IF(AB2457&lt;&gt;"",AB2457,Z2457)</f>
        <v/>
      </c>
      <c r="AF2457" s="13" t="inlineStr">
        <is>
          <t>OMN Vol2 &gt; OP-5A &gt; PNSY &gt; MILCON &gt; POWER RELIABILITY &amp; WATER RESILIENCY, INCREMENT 1 of 5</t>
        </is>
      </c>
      <c r="AG2457" s="7" t="inlineStr">
        <is>
          <t>87</t>
        </is>
      </c>
      <c r="AH2457" s="7" t="inlineStr">
        <is>
          <t>1B4B</t>
        </is>
      </c>
      <c r="AI2457" s="7" t="inlineStr">
        <is>
          <t>PNSY</t>
        </is>
      </c>
      <c r="AJ2457" s="7" t="inlineStr">
        <is>
          <t>MILCON</t>
        </is>
      </c>
    </row>
    <row r="2458" ht="10" customHeight="1">
      <c r="A2458" s="7" t="inlineStr">
        <is>
          <t>OMN_Vol2</t>
        </is>
      </c>
      <c r="B2458" s="7" t="inlineStr">
        <is>
          <t>O&amp;M</t>
        </is>
      </c>
      <c r="D2458" s="7" t="inlineStr">
        <is>
          <t>SSN 752 USS PASADENA* - Engineered Overhaul (EOH)</t>
        </is>
      </c>
      <c r="E2458" s="13" t="inlineStr">
        <is>
          <t>[REFERENCE]</t>
        </is>
      </c>
      <c r="I2458" s="14" t="n">
        <v>5</v>
      </c>
      <c r="J2458" s="7" t="inlineStr">
        <is>
          <t>Ship Availability</t>
        </is>
      </c>
      <c r="K2458" s="13" t="inlineStr">
        <is>
          <t>USN</t>
        </is>
      </c>
      <c r="L2458" s="7" t="inlineStr">
        <is>
          <t>Combatant Ships</t>
        </is>
      </c>
      <c r="M2458" s="7" t="inlineStr">
        <is>
          <t>Submarines</t>
        </is>
      </c>
      <c r="N2458" s="7" t="inlineStr">
        <is>
          <t>SSN</t>
        </is>
      </c>
      <c r="O2458" s="15" t="n"/>
      <c r="AC2458" s="23">
        <f>IF(OR(E2458="",E2458="[PARENT]"),"ADD",IF(E2458="[ALT_VIEW]","ALT",""))</f>
        <v/>
      </c>
      <c r="AD2458" s="21">
        <f>IF(Y2458&lt;&gt;"",Y2458,IF(U2458&lt;&gt;"",U2458,S2458))</f>
        <v/>
      </c>
      <c r="AE2458" s="21">
        <f>IF(AB2458&lt;&gt;"",AB2458,Z2458)</f>
        <v/>
      </c>
      <c r="AF2458" s="13" t="inlineStr">
        <is>
          <t>OMN Vol2 &gt; OP-5A &gt; PNSY &gt; Ship Availability &gt; SSN 752 USS PASADENA* - EOH</t>
        </is>
      </c>
      <c r="AG2458" s="7" t="inlineStr">
        <is>
          <t>88</t>
        </is>
      </c>
      <c r="AH2458" s="7" t="inlineStr">
        <is>
          <t>1B4B</t>
        </is>
      </c>
      <c r="AI2458" s="7" t="inlineStr">
        <is>
          <t>PNSY</t>
        </is>
      </c>
      <c r="AJ2458" s="7" t="inlineStr">
        <is>
          <t>Ship Availability</t>
        </is>
      </c>
    </row>
    <row r="2459" ht="10" customHeight="1">
      <c r="A2459" s="7" t="inlineStr">
        <is>
          <t>OMN_Vol2</t>
        </is>
      </c>
      <c r="B2459" s="7" t="inlineStr">
        <is>
          <t>O&amp;M</t>
        </is>
      </c>
      <c r="D2459" s="7" t="inlineStr">
        <is>
          <t>SSN 757 USS ALEXANDRIA* 8/1/2013 3/1/2015 12/4/2013 8/12/2015 - Engineered Overhaul (EOH)</t>
        </is>
      </c>
      <c r="E2459" s="13" t="inlineStr">
        <is>
          <t>[REFERENCE]</t>
        </is>
      </c>
      <c r="I2459" s="14" t="n">
        <v>5</v>
      </c>
      <c r="J2459" s="7" t="inlineStr">
        <is>
          <t>Ship Availability</t>
        </is>
      </c>
      <c r="K2459" s="13" t="inlineStr">
        <is>
          <t>USN</t>
        </is>
      </c>
      <c r="L2459" s="7" t="inlineStr">
        <is>
          <t>Combatant Ships</t>
        </is>
      </c>
      <c r="M2459" s="7" t="inlineStr">
        <is>
          <t>Submarines</t>
        </is>
      </c>
      <c r="N2459" s="7" t="inlineStr">
        <is>
          <t>SSN</t>
        </is>
      </c>
      <c r="O2459" s="15" t="n"/>
      <c r="AC2459" s="23">
        <f>IF(OR(E2459="",E2459="[PARENT]"),"ADD",IF(E2459="[ALT_VIEW]","ALT",""))</f>
        <v/>
      </c>
      <c r="AD2459" s="21">
        <f>IF(Y2459&lt;&gt;"",Y2459,IF(U2459&lt;&gt;"",U2459,S2459))</f>
        <v/>
      </c>
      <c r="AE2459" s="21">
        <f>IF(AB2459&lt;&gt;"",AB2459,Z2459)</f>
        <v/>
      </c>
      <c r="AF2459" s="13" t="inlineStr">
        <is>
          <t>OMN Vol2 &gt; OP-5A &gt; PNSY &gt; Ship Availability &gt; SSN 757 USS ALEXANDRIA* 8/1/2013 3/1/2015 12/4/2013 8/12/2015 - EOH</t>
        </is>
      </c>
      <c r="AG2459" s="7" t="inlineStr">
        <is>
          <t>88</t>
        </is>
      </c>
      <c r="AH2459" s="7" t="inlineStr">
        <is>
          <t>1B4B</t>
        </is>
      </c>
      <c r="AI2459" s="7" t="inlineStr">
        <is>
          <t>PNSY</t>
        </is>
      </c>
      <c r="AJ2459" s="7" t="inlineStr">
        <is>
          <t>Ship Availability</t>
        </is>
      </c>
    </row>
    <row r="2460" ht="10" customHeight="1">
      <c r="A2460" s="7" t="inlineStr">
        <is>
          <t>OMN_Vol2</t>
        </is>
      </c>
      <c r="B2460" s="7" t="inlineStr">
        <is>
          <t>O&amp;M</t>
        </is>
      </c>
      <c r="D2460" s="7" t="inlineStr">
        <is>
          <t>SSN 723 USS OKLAHOMA CITY* - Docking Selected Restricted Availability (DSRA)</t>
        </is>
      </c>
      <c r="E2460" s="13" t="inlineStr">
        <is>
          <t>[REFERENCE]</t>
        </is>
      </c>
      <c r="I2460" s="14" t="n">
        <v>2</v>
      </c>
      <c r="J2460" s="7" t="inlineStr">
        <is>
          <t>Ship Availability</t>
        </is>
      </c>
      <c r="K2460" s="13" t="inlineStr">
        <is>
          <t>USN</t>
        </is>
      </c>
      <c r="L2460" s="7" t="inlineStr">
        <is>
          <t>Combatant Ships</t>
        </is>
      </c>
      <c r="M2460" s="7" t="inlineStr">
        <is>
          <t>Submarines</t>
        </is>
      </c>
      <c r="N2460" s="7" t="inlineStr">
        <is>
          <t>SSN</t>
        </is>
      </c>
      <c r="O2460" s="15" t="n"/>
      <c r="AC2460" s="23">
        <f>IF(OR(E2460="",E2460="[PARENT]"),"ADD",IF(E2460="[ALT_VIEW]","ALT",""))</f>
        <v/>
      </c>
      <c r="AD2460" s="21">
        <f>IF(Y2460&lt;&gt;"",Y2460,IF(U2460&lt;&gt;"",U2460,S2460))</f>
        <v/>
      </c>
      <c r="AE2460" s="21">
        <f>IF(AB2460&lt;&gt;"",AB2460,Z2460)</f>
        <v/>
      </c>
      <c r="AF2460" s="13" t="inlineStr">
        <is>
          <t>OMN Vol2 &gt; OP-5A &gt; PNSY &gt; Ship Availability &gt; SSN 723 USS OKLAHOMA CITY* - DSRA</t>
        </is>
      </c>
      <c r="AG2460" s="7" t="inlineStr">
        <is>
          <t>88</t>
        </is>
      </c>
      <c r="AH2460" s="7" t="inlineStr">
        <is>
          <t>1B4B</t>
        </is>
      </c>
      <c r="AI2460" s="7" t="inlineStr">
        <is>
          <t>PNSY</t>
        </is>
      </c>
      <c r="AJ2460" s="7" t="inlineStr">
        <is>
          <t>Ship Availability</t>
        </is>
      </c>
    </row>
    <row r="2461" ht="10" customHeight="1">
      <c r="A2461" s="7" t="inlineStr">
        <is>
          <t>OMN_Vol2</t>
        </is>
      </c>
      <c r="B2461" s="7" t="inlineStr">
        <is>
          <t>O&amp;M</t>
        </is>
      </c>
      <c r="D2461" s="7" t="inlineStr">
        <is>
          <t>SSN 751 USS SAN JUAN* - Docking Selected Restricted Availability (DSRA)</t>
        </is>
      </c>
      <c r="E2461" s="13" t="inlineStr">
        <is>
          <t>[REFERENCE]</t>
        </is>
      </c>
      <c r="I2461" s="14" t="n">
        <v>2</v>
      </c>
      <c r="J2461" s="7" t="inlineStr">
        <is>
          <t>Ship Availability</t>
        </is>
      </c>
      <c r="K2461" s="13" t="inlineStr">
        <is>
          <t>USN</t>
        </is>
      </c>
      <c r="L2461" s="7" t="inlineStr">
        <is>
          <t>Combatant Ships</t>
        </is>
      </c>
      <c r="M2461" s="7" t="inlineStr">
        <is>
          <t>Submarines</t>
        </is>
      </c>
      <c r="N2461" s="7" t="inlineStr">
        <is>
          <t>SSN</t>
        </is>
      </c>
      <c r="O2461" s="15" t="n"/>
      <c r="AC2461" s="23">
        <f>IF(OR(E2461="",E2461="[PARENT]"),"ADD",IF(E2461="[ALT_VIEW]","ALT",""))</f>
        <v/>
      </c>
      <c r="AD2461" s="21">
        <f>IF(Y2461&lt;&gt;"",Y2461,IF(U2461&lt;&gt;"",U2461,S2461))</f>
        <v/>
      </c>
      <c r="AE2461" s="21">
        <f>IF(AB2461&lt;&gt;"",AB2461,Z2461)</f>
        <v/>
      </c>
      <c r="AF2461" s="13" t="inlineStr">
        <is>
          <t>OMN Vol2 &gt; OP-5A &gt; PNSY &gt; Ship Availability &gt; SSN 751 USS SAN JUAN* - DSRA</t>
        </is>
      </c>
      <c r="AG2461" s="7" t="inlineStr">
        <is>
          <t>88</t>
        </is>
      </c>
      <c r="AH2461" s="7" t="inlineStr">
        <is>
          <t>1B4B</t>
        </is>
      </c>
      <c r="AI2461" s="7" t="inlineStr">
        <is>
          <t>PNSY</t>
        </is>
      </c>
      <c r="AJ2461" s="7" t="inlineStr">
        <is>
          <t>Ship Availability</t>
        </is>
      </c>
    </row>
    <row r="2462" ht="10" customHeight="1">
      <c r="A2462" s="7" t="inlineStr">
        <is>
          <t>OMN_Vol2</t>
        </is>
      </c>
      <c r="B2462" s="7" t="inlineStr">
        <is>
          <t>O&amp;M</t>
        </is>
      </c>
      <c r="D2462" s="7" t="inlineStr">
        <is>
          <t>SSN 781 USS CALIFORNIA* - Extended Docking Selected Restricted Availability (EDSRA)</t>
        </is>
      </c>
      <c r="E2462" s="13" t="inlineStr">
        <is>
          <t>[REFERENCE]</t>
        </is>
      </c>
      <c r="I2462" s="14" t="n">
        <v>2</v>
      </c>
      <c r="J2462" s="7" t="inlineStr">
        <is>
          <t>Ship Availability</t>
        </is>
      </c>
      <c r="K2462" s="13" t="inlineStr">
        <is>
          <t>USN</t>
        </is>
      </c>
      <c r="L2462" s="7" t="inlineStr">
        <is>
          <t>Combatant Ships</t>
        </is>
      </c>
      <c r="M2462" s="7" t="inlineStr">
        <is>
          <t>Submarines</t>
        </is>
      </c>
      <c r="N2462" s="7" t="inlineStr">
        <is>
          <t>SSN</t>
        </is>
      </c>
      <c r="O2462" s="15" t="n"/>
      <c r="AC2462" s="23">
        <f>IF(OR(E2462="",E2462="[PARENT]"),"ADD",IF(E2462="[ALT_VIEW]","ALT",""))</f>
        <v/>
      </c>
      <c r="AD2462" s="21">
        <f>IF(Y2462&lt;&gt;"",Y2462,IF(U2462&lt;&gt;"",U2462,S2462))</f>
        <v/>
      </c>
      <c r="AE2462" s="21">
        <f>IF(AB2462&lt;&gt;"",AB2462,Z2462)</f>
        <v/>
      </c>
      <c r="AF2462" s="13" t="inlineStr">
        <is>
          <t>OMN Vol2 &gt; OP-5A &gt; PNSY &gt; Ship Availability &gt; SSN 781 USS CALIFORNIA* - EDSRA</t>
        </is>
      </c>
      <c r="AG2462" s="7" t="inlineStr">
        <is>
          <t>88</t>
        </is>
      </c>
      <c r="AH2462" s="7" t="inlineStr">
        <is>
          <t>1B4B</t>
        </is>
      </c>
      <c r="AI2462" s="7" t="inlineStr">
        <is>
          <t>PNSY</t>
        </is>
      </c>
      <c r="AJ2462" s="7" t="inlineStr">
        <is>
          <t>Ship Availability</t>
        </is>
      </c>
    </row>
    <row r="2463" ht="10" customHeight="1">
      <c r="A2463" s="7" t="inlineStr">
        <is>
          <t>OMN_Vol2</t>
        </is>
      </c>
      <c r="B2463" s="7" t="inlineStr">
        <is>
          <t>O&amp;M</t>
        </is>
      </c>
      <c r="D2463" s="7" t="inlineStr">
        <is>
          <t>SSN 775 USS TEXAS - Docking Maintenance Period (DMP)</t>
        </is>
      </c>
      <c r="E2463" s="13" t="inlineStr">
        <is>
          <t>[REFERENCE]</t>
        </is>
      </c>
      <c r="I2463" s="14" t="n">
        <v>2</v>
      </c>
      <c r="J2463" s="7" t="inlineStr">
        <is>
          <t>Ship Availability</t>
        </is>
      </c>
      <c r="K2463" s="13" t="inlineStr">
        <is>
          <t>USN</t>
        </is>
      </c>
      <c r="L2463" s="7" t="inlineStr">
        <is>
          <t>Combatant Ships</t>
        </is>
      </c>
      <c r="M2463" s="7" t="inlineStr">
        <is>
          <t>Submarines</t>
        </is>
      </c>
      <c r="N2463" s="7" t="inlineStr">
        <is>
          <t>SSN</t>
        </is>
      </c>
      <c r="O2463" s="15" t="n"/>
      <c r="AC2463" s="23">
        <f>IF(OR(E2463="",E2463="[PARENT]"),"ADD",IF(E2463="[ALT_VIEW]","ALT",""))</f>
        <v/>
      </c>
      <c r="AD2463" s="21">
        <f>IF(Y2463&lt;&gt;"",Y2463,IF(U2463&lt;&gt;"",U2463,S2463))</f>
        <v/>
      </c>
      <c r="AE2463" s="21">
        <f>IF(AB2463&lt;&gt;"",AB2463,Z2463)</f>
        <v/>
      </c>
      <c r="AF2463" s="13" t="inlineStr">
        <is>
          <t>OMN Vol2 &gt; OP-5A &gt; PNSY &gt; Ship Availability &gt; SSN 775 USS TEXAS - DMP</t>
        </is>
      </c>
      <c r="AG2463" s="7" t="inlineStr">
        <is>
          <t>88</t>
        </is>
      </c>
      <c r="AH2463" s="7" t="inlineStr">
        <is>
          <t>1B4B</t>
        </is>
      </c>
      <c r="AI2463" s="7" t="inlineStr">
        <is>
          <t>PNSY</t>
        </is>
      </c>
      <c r="AJ2463" s="7" t="inlineStr">
        <is>
          <t>Ship Availability</t>
        </is>
      </c>
    </row>
    <row r="2464" ht="10" customHeight="1">
      <c r="A2464" s="7" t="inlineStr">
        <is>
          <t>OMN_Vol2</t>
        </is>
      </c>
      <c r="B2464" s="7" t="inlineStr">
        <is>
          <t>O&amp;M</t>
        </is>
      </c>
      <c r="D2464" s="7" t="inlineStr">
        <is>
          <t>SSN 760 USS ANNAPOLIS* - Docking Selected Restricted Availability (DSRA)</t>
        </is>
      </c>
      <c r="E2464" s="13" t="inlineStr">
        <is>
          <t>[REFERENCE]</t>
        </is>
      </c>
      <c r="I2464" s="14" t="n">
        <v>2</v>
      </c>
      <c r="J2464" s="7" t="inlineStr">
        <is>
          <t>Ship Availability</t>
        </is>
      </c>
      <c r="K2464" s="13" t="inlineStr">
        <is>
          <t>USN</t>
        </is>
      </c>
      <c r="L2464" s="7" t="inlineStr">
        <is>
          <t>Combatant Ships</t>
        </is>
      </c>
      <c r="M2464" s="7" t="inlineStr">
        <is>
          <t>Submarines</t>
        </is>
      </c>
      <c r="N2464" s="7" t="inlineStr">
        <is>
          <t>SSN</t>
        </is>
      </c>
      <c r="O2464" s="15" t="n"/>
      <c r="AC2464" s="23">
        <f>IF(OR(E2464="",E2464="[PARENT]"),"ADD",IF(E2464="[ALT_VIEW]","ALT",""))</f>
        <v/>
      </c>
      <c r="AD2464" s="21">
        <f>IF(Y2464&lt;&gt;"",Y2464,IF(U2464&lt;&gt;"",U2464,S2464))</f>
        <v/>
      </c>
      <c r="AE2464" s="21">
        <f>IF(AB2464&lt;&gt;"",AB2464,Z2464)</f>
        <v/>
      </c>
      <c r="AF2464" s="13" t="inlineStr">
        <is>
          <t>OMN Vol2 &gt; OP-5A &gt; PNSY &gt; Ship Availability &gt; SSN 760 USS ANNAPOLIS* - DSRA</t>
        </is>
      </c>
      <c r="AG2464" s="7" t="inlineStr">
        <is>
          <t>88</t>
        </is>
      </c>
      <c r="AH2464" s="7" t="inlineStr">
        <is>
          <t>1B4B</t>
        </is>
      </c>
      <c r="AI2464" s="7" t="inlineStr">
        <is>
          <t>PNSY</t>
        </is>
      </c>
      <c r="AJ2464" s="7" t="inlineStr">
        <is>
          <t>Ship Availability</t>
        </is>
      </c>
    </row>
    <row r="2465" ht="10" customHeight="1">
      <c r="A2465" s="7" t="inlineStr">
        <is>
          <t>OMN_Vol2</t>
        </is>
      </c>
      <c r="B2465" s="7" t="inlineStr">
        <is>
          <t>O&amp;M</t>
        </is>
      </c>
      <c r="D2465" s="7" t="inlineStr">
        <is>
          <t>SSN 772 USS GREENEVILLE - Engineered Overhaul (EOH)</t>
        </is>
      </c>
      <c r="E2465" s="13" t="inlineStr">
        <is>
          <t>[REFERENCE]</t>
        </is>
      </c>
      <c r="I2465" s="14" t="n">
        <v>5</v>
      </c>
      <c r="J2465" s="7" t="inlineStr">
        <is>
          <t>Ship Availability</t>
        </is>
      </c>
      <c r="K2465" s="13" t="inlineStr">
        <is>
          <t>USN</t>
        </is>
      </c>
      <c r="L2465" s="7" t="inlineStr">
        <is>
          <t>Combatant Ships</t>
        </is>
      </c>
      <c r="M2465" s="7" t="inlineStr">
        <is>
          <t>Submarines</t>
        </is>
      </c>
      <c r="N2465" s="7" t="inlineStr">
        <is>
          <t>SSN</t>
        </is>
      </c>
      <c r="O2465" s="15" t="n"/>
      <c r="AC2465" s="23">
        <f>IF(OR(E2465="",E2465="[PARENT]"),"ADD",IF(E2465="[ALT_VIEW]","ALT",""))</f>
        <v/>
      </c>
      <c r="AD2465" s="21">
        <f>IF(Y2465&lt;&gt;"",Y2465,IF(U2465&lt;&gt;"",U2465,S2465))</f>
        <v/>
      </c>
      <c r="AE2465" s="21">
        <f>IF(AB2465&lt;&gt;"",AB2465,Z2465)</f>
        <v/>
      </c>
      <c r="AF2465" s="13" t="inlineStr">
        <is>
          <t>OMN Vol2 &gt; OP-5A &gt; PNSY &gt; Ship Availability &gt; SSN 772 USS GREENEVILLE - EOH</t>
        </is>
      </c>
      <c r="AG2465" s="7" t="inlineStr">
        <is>
          <t>88</t>
        </is>
      </c>
      <c r="AH2465" s="7" t="inlineStr">
        <is>
          <t>1B4B</t>
        </is>
      </c>
      <c r="AI2465" s="7" t="inlineStr">
        <is>
          <t>PNSY</t>
        </is>
      </c>
      <c r="AJ2465" s="7" t="inlineStr">
        <is>
          <t>Ship Availability</t>
        </is>
      </c>
    </row>
    <row r="2466" ht="10" customHeight="1">
      <c r="A2466" s="7" t="inlineStr">
        <is>
          <t>OMN_Vol2</t>
        </is>
      </c>
      <c r="B2466" s="7" t="inlineStr">
        <is>
          <t>O&amp;M</t>
        </is>
      </c>
      <c r="D2466" s="7" t="inlineStr">
        <is>
          <t>SSN 773 USS CHEYENNE - Engineered Refueling Overhaul (ERO)</t>
        </is>
      </c>
      <c r="E2466" s="13" t="inlineStr">
        <is>
          <t>[REFERENCE]</t>
        </is>
      </c>
      <c r="I2466" s="14" t="n">
        <v>5</v>
      </c>
      <c r="J2466" s="7" t="inlineStr">
        <is>
          <t>Ship Availability</t>
        </is>
      </c>
      <c r="K2466" s="13" t="inlineStr">
        <is>
          <t>USN</t>
        </is>
      </c>
      <c r="L2466" s="7" t="inlineStr">
        <is>
          <t>Combatant Ships</t>
        </is>
      </c>
      <c r="M2466" s="7" t="inlineStr">
        <is>
          <t>Submarines</t>
        </is>
      </c>
      <c r="N2466" s="7" t="inlineStr">
        <is>
          <t>SSN</t>
        </is>
      </c>
      <c r="O2466" s="15" t="n"/>
      <c r="AC2466" s="23">
        <f>IF(OR(E2466="",E2466="[PARENT]"),"ADD",IF(E2466="[ALT_VIEW]","ALT",""))</f>
        <v/>
      </c>
      <c r="AD2466" s="21">
        <f>IF(Y2466&lt;&gt;"",Y2466,IF(U2466&lt;&gt;"",U2466,S2466))</f>
        <v/>
      </c>
      <c r="AE2466" s="21">
        <f>IF(AB2466&lt;&gt;"",AB2466,Z2466)</f>
        <v/>
      </c>
      <c r="AF2466" s="13" t="inlineStr">
        <is>
          <t>OMN Vol2 &gt; OP-5A &gt; PNSY &gt; Ship Availability &gt; SSN 773 USS CHEYENNE - ERO</t>
        </is>
      </c>
      <c r="AG2466" s="7" t="inlineStr">
        <is>
          <t>88</t>
        </is>
      </c>
      <c r="AH2466" s="7" t="inlineStr">
        <is>
          <t>1B4B</t>
        </is>
      </c>
      <c r="AI2466" s="7" t="inlineStr">
        <is>
          <t>PNSY</t>
        </is>
      </c>
      <c r="AJ2466" s="7" t="inlineStr">
        <is>
          <t>Ship Availability</t>
        </is>
      </c>
    </row>
    <row r="2467" ht="10" customHeight="1">
      <c r="A2467" s="7" t="inlineStr">
        <is>
          <t>OMN_Vol2</t>
        </is>
      </c>
      <c r="B2467" s="7" t="inlineStr">
        <is>
          <t>O&amp;M</t>
        </is>
      </c>
      <c r="D2467" s="7" t="inlineStr">
        <is>
          <t>SSN 757 USS ALEXANDRIA - Docking Selected Restricted Availability (DSRA)</t>
        </is>
      </c>
      <c r="E2467" s="13" t="inlineStr">
        <is>
          <t>[REFERENCE]</t>
        </is>
      </c>
      <c r="I2467" s="14" t="n">
        <v>2</v>
      </c>
      <c r="J2467" s="7" t="inlineStr">
        <is>
          <t>Ship Availability</t>
        </is>
      </c>
      <c r="K2467" s="13" t="inlineStr">
        <is>
          <t>USN</t>
        </is>
      </c>
      <c r="L2467" s="7" t="inlineStr">
        <is>
          <t>Combatant Ships</t>
        </is>
      </c>
      <c r="M2467" s="7" t="inlineStr">
        <is>
          <t>Submarines</t>
        </is>
      </c>
      <c r="N2467" s="7" t="inlineStr">
        <is>
          <t>SSN</t>
        </is>
      </c>
      <c r="O2467" s="15" t="n"/>
      <c r="AC2467" s="23">
        <f>IF(OR(E2467="",E2467="[PARENT]"),"ADD",IF(E2467="[ALT_VIEW]","ALT",""))</f>
        <v/>
      </c>
      <c r="AD2467" s="21">
        <f>IF(Y2467&lt;&gt;"",Y2467,IF(U2467&lt;&gt;"",U2467,S2467))</f>
        <v/>
      </c>
      <c r="AE2467" s="21">
        <f>IF(AB2467&lt;&gt;"",AB2467,Z2467)</f>
        <v/>
      </c>
      <c r="AF2467" s="13" t="inlineStr">
        <is>
          <t>OMN Vol2 &gt; OP-5A &gt; PNSY &gt; Ship Availability &gt; SSN 757 USS ALEXANDRIA - DSRA</t>
        </is>
      </c>
      <c r="AG2467" s="7" t="inlineStr">
        <is>
          <t>88</t>
        </is>
      </c>
      <c r="AH2467" s="7" t="inlineStr">
        <is>
          <t>1B4B</t>
        </is>
      </c>
      <c r="AI2467" s="7" t="inlineStr">
        <is>
          <t>PNSY</t>
        </is>
      </c>
      <c r="AJ2467" s="7" t="inlineStr">
        <is>
          <t>Ship Availability</t>
        </is>
      </c>
    </row>
    <row r="2468" ht="10" customHeight="1">
      <c r="A2468" s="7" t="inlineStr">
        <is>
          <t>OMN_Vol2</t>
        </is>
      </c>
      <c r="B2468" s="7" t="inlineStr">
        <is>
          <t>O&amp;M</t>
        </is>
      </c>
      <c r="D2468" s="7" t="inlineStr">
        <is>
          <t>SSN 784 USS NORTH DAKOTA - Extended Docking Selected Restricted Availability (EDSRA)</t>
        </is>
      </c>
      <c r="E2468" s="13" t="inlineStr">
        <is>
          <t>[REFERENCE]</t>
        </is>
      </c>
      <c r="I2468" s="14" t="n">
        <v>2</v>
      </c>
      <c r="J2468" s="7" t="inlineStr">
        <is>
          <t>Ship Availability</t>
        </is>
      </c>
      <c r="K2468" s="13" t="inlineStr">
        <is>
          <t>USN</t>
        </is>
      </c>
      <c r="L2468" s="7" t="inlineStr">
        <is>
          <t>Combatant Ships</t>
        </is>
      </c>
      <c r="M2468" s="7" t="inlineStr">
        <is>
          <t>Submarines</t>
        </is>
      </c>
      <c r="N2468" s="7" t="inlineStr">
        <is>
          <t>SSN</t>
        </is>
      </c>
      <c r="O2468" s="15" t="n"/>
      <c r="AC2468" s="23">
        <f>IF(OR(E2468="",E2468="[PARENT]"),"ADD",IF(E2468="[ALT_VIEW]","ALT",""))</f>
        <v/>
      </c>
      <c r="AD2468" s="21">
        <f>IF(Y2468&lt;&gt;"",Y2468,IF(U2468&lt;&gt;"",U2468,S2468))</f>
        <v/>
      </c>
      <c r="AE2468" s="21">
        <f>IF(AB2468&lt;&gt;"",AB2468,Z2468)</f>
        <v/>
      </c>
      <c r="AF2468" s="13" t="inlineStr">
        <is>
          <t>OMN Vol2 &gt; OP-5A &gt; PNSY &gt; Ship Availability &gt; SSN 784 USS NORTH DAKOTA - EDSRA</t>
        </is>
      </c>
      <c r="AG2468" s="7" t="inlineStr">
        <is>
          <t>88</t>
        </is>
      </c>
      <c r="AH2468" s="7" t="inlineStr">
        <is>
          <t>1B4B</t>
        </is>
      </c>
      <c r="AI2468" s="7" t="inlineStr">
        <is>
          <t>PNSY</t>
        </is>
      </c>
      <c r="AJ2468" s="7" t="inlineStr">
        <is>
          <t>Ship Availability</t>
        </is>
      </c>
    </row>
    <row r="2469" ht="10" customHeight="1">
      <c r="A2469" s="7" t="inlineStr">
        <is>
          <t>OMN_Vol2</t>
        </is>
      </c>
      <c r="B2469" s="7" t="inlineStr">
        <is>
          <t>O&amp;M</t>
        </is>
      </c>
      <c r="D2469" s="7" t="inlineStr">
        <is>
          <t>SSN 758 USS ASHEVILLE - Docking Selected Restricted Availability (DSRA)</t>
        </is>
      </c>
      <c r="E2469" s="13" t="inlineStr">
        <is>
          <t>[REFERENCE]</t>
        </is>
      </c>
      <c r="I2469" s="14" t="n">
        <v>2</v>
      </c>
      <c r="J2469" s="7" t="inlineStr">
        <is>
          <t>Ship Availability</t>
        </is>
      </c>
      <c r="K2469" s="13" t="inlineStr">
        <is>
          <t>USN</t>
        </is>
      </c>
      <c r="L2469" s="7" t="inlineStr">
        <is>
          <t>Combatant Ships</t>
        </is>
      </c>
      <c r="M2469" s="7" t="inlineStr">
        <is>
          <t>Submarines</t>
        </is>
      </c>
      <c r="N2469" s="7" t="inlineStr">
        <is>
          <t>SSN</t>
        </is>
      </c>
      <c r="O2469" s="15" t="n"/>
      <c r="AC2469" s="23">
        <f>IF(OR(E2469="",E2469="[PARENT]"),"ADD",IF(E2469="[ALT_VIEW]","ALT",""))</f>
        <v/>
      </c>
      <c r="AD2469" s="21">
        <f>IF(Y2469&lt;&gt;"",Y2469,IF(U2469&lt;&gt;"",U2469,S2469))</f>
        <v/>
      </c>
      <c r="AE2469" s="21">
        <f>IF(AB2469&lt;&gt;"",AB2469,Z2469)</f>
        <v/>
      </c>
      <c r="AF2469" s="13" t="inlineStr">
        <is>
          <t>OMN Vol2 &gt; OP-5A &gt; PNSY &gt; Ship Availability &gt; SSN 758 USS ASHEVILLE - DSRA</t>
        </is>
      </c>
      <c r="AG2469" s="7" t="inlineStr">
        <is>
          <t>88</t>
        </is>
      </c>
      <c r="AH2469" s="7" t="inlineStr">
        <is>
          <t>1B4B</t>
        </is>
      </c>
      <c r="AI2469" s="7" t="inlineStr">
        <is>
          <t>PNSY</t>
        </is>
      </c>
      <c r="AJ2469" s="7" t="inlineStr">
        <is>
          <t>Ship Availability</t>
        </is>
      </c>
    </row>
    <row r="2470" ht="10" customHeight="1">
      <c r="A2470" s="7" t="inlineStr">
        <is>
          <t>OMN_Vol2</t>
        </is>
      </c>
      <c r="B2470" s="7" t="inlineStr">
        <is>
          <t>O&amp;M</t>
        </is>
      </c>
      <c r="D2470" s="7" t="inlineStr">
        <is>
          <t>SSN 787 USS WASHINGTON - Extended Docking Selected Restricted Availability (EDSRA)</t>
        </is>
      </c>
      <c r="E2470" s="13" t="inlineStr">
        <is>
          <t>[REFERENCE]</t>
        </is>
      </c>
      <c r="I2470" s="14" t="n">
        <v>2</v>
      </c>
      <c r="J2470" s="7" t="inlineStr">
        <is>
          <t>Ship Availability</t>
        </is>
      </c>
      <c r="K2470" s="13" t="inlineStr">
        <is>
          <t>USN</t>
        </is>
      </c>
      <c r="L2470" s="7" t="inlineStr">
        <is>
          <t>Combatant Ships</t>
        </is>
      </c>
      <c r="M2470" s="7" t="inlineStr">
        <is>
          <t>Submarines</t>
        </is>
      </c>
      <c r="N2470" s="7" t="inlineStr">
        <is>
          <t>SSN</t>
        </is>
      </c>
      <c r="O2470" s="15" t="n"/>
      <c r="AC2470" s="23">
        <f>IF(OR(E2470="",E2470="[PARENT]"),"ADD",IF(E2470="[ALT_VIEW]","ALT",""))</f>
        <v/>
      </c>
      <c r="AD2470" s="21">
        <f>IF(Y2470&lt;&gt;"",Y2470,IF(U2470&lt;&gt;"",U2470,S2470))</f>
        <v/>
      </c>
      <c r="AE2470" s="21">
        <f>IF(AB2470&lt;&gt;"",AB2470,Z2470)</f>
        <v/>
      </c>
      <c r="AF2470" s="13" t="inlineStr">
        <is>
          <t>OMN Vol2 &gt; OP-5A &gt; PNSY &gt; Ship Availability &gt; SSN 787 USS WASHINGTON - EDSRA</t>
        </is>
      </c>
      <c r="AG2470" s="7" t="inlineStr">
        <is>
          <t>88</t>
        </is>
      </c>
      <c r="AH2470" s="7" t="inlineStr">
        <is>
          <t>1B4B</t>
        </is>
      </c>
      <c r="AI2470" s="7" t="inlineStr">
        <is>
          <t>PNSY</t>
        </is>
      </c>
      <c r="AJ2470" s="7" t="inlineStr">
        <is>
          <t>Ship Availability</t>
        </is>
      </c>
    </row>
    <row r="2471" ht="10" customHeight="1">
      <c r="A2471" s="7" t="inlineStr">
        <is>
          <t>OMN_Vol2</t>
        </is>
      </c>
      <c r="B2471" s="7" t="inlineStr">
        <is>
          <t>O&amp;M</t>
        </is>
      </c>
      <c r="D2471" s="7" t="inlineStr">
        <is>
          <t>SSN 767 USS HAMPTON - Engineered Refueling Overhaul (ERO)</t>
        </is>
      </c>
      <c r="E2471" s="13" t="inlineStr">
        <is>
          <t>[REFERENCE]</t>
        </is>
      </c>
      <c r="I2471" s="14" t="n">
        <v>5</v>
      </c>
      <c r="J2471" s="7" t="inlineStr">
        <is>
          <t>Ship Availability</t>
        </is>
      </c>
      <c r="K2471" s="13" t="inlineStr">
        <is>
          <t>USN</t>
        </is>
      </c>
      <c r="L2471" s="7" t="inlineStr">
        <is>
          <t>Combatant Ships</t>
        </is>
      </c>
      <c r="M2471" s="7" t="inlineStr">
        <is>
          <t>Submarines</t>
        </is>
      </c>
      <c r="N2471" s="7" t="inlineStr">
        <is>
          <t>SSN</t>
        </is>
      </c>
      <c r="O2471" s="15" t="n"/>
      <c r="AC2471" s="23">
        <f>IF(OR(E2471="",E2471="[PARENT]"),"ADD",IF(E2471="[ALT_VIEW]","ALT",""))</f>
        <v/>
      </c>
      <c r="AD2471" s="21">
        <f>IF(Y2471&lt;&gt;"",Y2471,IF(U2471&lt;&gt;"",U2471,S2471))</f>
        <v/>
      </c>
      <c r="AE2471" s="21">
        <f>IF(AB2471&lt;&gt;"",AB2471,Z2471)</f>
        <v/>
      </c>
      <c r="AF2471" s="13" t="inlineStr">
        <is>
          <t>OMN Vol2 &gt; OP-5A &gt; PNSY &gt; Ship Availability &gt; SSN 767 USS HAMPTON - ERO</t>
        </is>
      </c>
      <c r="AG2471" s="7" t="inlineStr">
        <is>
          <t>88</t>
        </is>
      </c>
      <c r="AH2471" s="7" t="inlineStr">
        <is>
          <t>1B4B</t>
        </is>
      </c>
      <c r="AI2471" s="7" t="inlineStr">
        <is>
          <t>PNSY</t>
        </is>
      </c>
      <c r="AJ2471" s="7" t="inlineStr">
        <is>
          <t>Ship Availability</t>
        </is>
      </c>
    </row>
    <row r="2472" ht="10" customHeight="1">
      <c r="A2472" s="7" t="inlineStr">
        <is>
          <t>OMN_Vol2</t>
        </is>
      </c>
      <c r="B2472" s="7" t="inlineStr">
        <is>
          <t>O&amp;M</t>
        </is>
      </c>
      <c r="D2472" s="7" t="inlineStr">
        <is>
          <t>SSN 769 USS ALBANY - Docking Selected Restricted Availability (DSRA)</t>
        </is>
      </c>
      <c r="E2472" s="13" t="inlineStr">
        <is>
          <t>[REFERENCE]</t>
        </is>
      </c>
      <c r="I2472" s="14" t="n">
        <v>2</v>
      </c>
      <c r="J2472" s="7" t="inlineStr">
        <is>
          <t>Ship Availability</t>
        </is>
      </c>
      <c r="K2472" s="13" t="inlineStr">
        <is>
          <t>USN</t>
        </is>
      </c>
      <c r="L2472" s="7" t="inlineStr">
        <is>
          <t>Combatant Ships</t>
        </is>
      </c>
      <c r="M2472" s="7" t="inlineStr">
        <is>
          <t>Submarines</t>
        </is>
      </c>
      <c r="N2472" s="7" t="inlineStr">
        <is>
          <t>SSN</t>
        </is>
      </c>
      <c r="O2472" s="15" t="n"/>
      <c r="AC2472" s="23">
        <f>IF(OR(E2472="",E2472="[PARENT]"),"ADD",IF(E2472="[ALT_VIEW]","ALT",""))</f>
        <v/>
      </c>
      <c r="AD2472" s="21">
        <f>IF(Y2472&lt;&gt;"",Y2472,IF(U2472&lt;&gt;"",U2472,S2472))</f>
        <v/>
      </c>
      <c r="AE2472" s="21">
        <f>IF(AB2472&lt;&gt;"",AB2472,Z2472)</f>
        <v/>
      </c>
      <c r="AF2472" s="13" t="inlineStr">
        <is>
          <t>OMN Vol2 &gt; OP-5A &gt; PNSY &gt; Ship Availability &gt; SSN 769 USS ALBANY - DSRA</t>
        </is>
      </c>
      <c r="AG2472" s="7" t="inlineStr">
        <is>
          <t>88</t>
        </is>
      </c>
      <c r="AH2472" s="7" t="inlineStr">
        <is>
          <t>1B4B</t>
        </is>
      </c>
      <c r="AI2472" s="7" t="inlineStr">
        <is>
          <t>PNSY</t>
        </is>
      </c>
      <c r="AJ2472" s="7" t="inlineStr">
        <is>
          <t>Ship Availability</t>
        </is>
      </c>
    </row>
    <row r="2473" ht="10" customHeight="1">
      <c r="A2473" s="7" t="inlineStr">
        <is>
          <t>OMN_Vol2</t>
        </is>
      </c>
      <c r="B2473" s="7" t="inlineStr">
        <is>
          <t>O&amp;M</t>
        </is>
      </c>
      <c r="D2473" s="7" t="inlineStr">
        <is>
          <t>SSN 759 USS JEFFERSON CITY - Docking Selected Restricted Availability (DSRA)</t>
        </is>
      </c>
      <c r="E2473" s="13" t="inlineStr">
        <is>
          <t>[REFERENCE]</t>
        </is>
      </c>
      <c r="I2473" s="14" t="n">
        <v>2</v>
      </c>
      <c r="J2473" s="7" t="inlineStr">
        <is>
          <t>Ship Availability</t>
        </is>
      </c>
      <c r="K2473" s="13" t="inlineStr">
        <is>
          <t>USN</t>
        </is>
      </c>
      <c r="L2473" s="7" t="inlineStr">
        <is>
          <t>Combatant Ships</t>
        </is>
      </c>
      <c r="M2473" s="7" t="inlineStr">
        <is>
          <t>Submarines</t>
        </is>
      </c>
      <c r="N2473" s="7" t="inlineStr">
        <is>
          <t>SSN</t>
        </is>
      </c>
      <c r="O2473" s="15" t="n"/>
      <c r="AC2473" s="23">
        <f>IF(OR(E2473="",E2473="[PARENT]"),"ADD",IF(E2473="[ALT_VIEW]","ALT",""))</f>
        <v/>
      </c>
      <c r="AD2473" s="21">
        <f>IF(Y2473&lt;&gt;"",Y2473,IF(U2473&lt;&gt;"",U2473,S2473))</f>
        <v/>
      </c>
      <c r="AE2473" s="21">
        <f>IF(AB2473&lt;&gt;"",AB2473,Z2473)</f>
        <v/>
      </c>
      <c r="AF2473" s="13" t="inlineStr">
        <is>
          <t>OMN Vol2 &gt; OP-5A &gt; PNSY &gt; Ship Availability &gt; SSN 759 USS JEFFERSON CITY - DSRA</t>
        </is>
      </c>
      <c r="AG2473" s="7" t="inlineStr">
        <is>
          <t>88</t>
        </is>
      </c>
      <c r="AH2473" s="7" t="inlineStr">
        <is>
          <t>1B4B</t>
        </is>
      </c>
      <c r="AI2473" s="7" t="inlineStr">
        <is>
          <t>PNSY</t>
        </is>
      </c>
      <c r="AJ2473" s="7" t="inlineStr">
        <is>
          <t>Ship Availability</t>
        </is>
      </c>
    </row>
    <row r="2474" ht="10" customHeight="1">
      <c r="A2474" s="7" t="inlineStr">
        <is>
          <t>OMN_Vol2</t>
        </is>
      </c>
      <c r="B2474" s="7" t="inlineStr">
        <is>
          <t>O&amp;M</t>
        </is>
      </c>
      <c r="D2474" s="7" t="inlineStr">
        <is>
          <t>SSN 779 USS NEW MEXICO - Docking Maintenance Period (DMP)</t>
        </is>
      </c>
      <c r="E2474" s="13" t="inlineStr">
        <is>
          <t>[REFERENCE]</t>
        </is>
      </c>
      <c r="I2474" s="14" t="n">
        <v>2</v>
      </c>
      <c r="J2474" s="7" t="inlineStr">
        <is>
          <t>Ship Availability</t>
        </is>
      </c>
      <c r="K2474" s="13" t="inlineStr">
        <is>
          <t>USN</t>
        </is>
      </c>
      <c r="L2474" s="7" t="inlineStr">
        <is>
          <t>Combatant Ships</t>
        </is>
      </c>
      <c r="M2474" s="7" t="inlineStr">
        <is>
          <t>Submarines</t>
        </is>
      </c>
      <c r="N2474" s="7" t="inlineStr">
        <is>
          <t>SSN</t>
        </is>
      </c>
      <c r="O2474" s="15" t="n"/>
      <c r="AC2474" s="23">
        <f>IF(OR(E2474="",E2474="[PARENT]"),"ADD",IF(E2474="[ALT_VIEW]","ALT",""))</f>
        <v/>
      </c>
      <c r="AD2474" s="21">
        <f>IF(Y2474&lt;&gt;"",Y2474,IF(U2474&lt;&gt;"",U2474,S2474))</f>
        <v/>
      </c>
      <c r="AE2474" s="21">
        <f>IF(AB2474&lt;&gt;"",AB2474,Z2474)</f>
        <v/>
      </c>
      <c r="AF2474" s="13" t="inlineStr">
        <is>
          <t>OMN Vol2 &gt; OP-5A &gt; PNSY &gt; Ship Availability &gt; SSN 779 USS NEW MEXICO - DMP</t>
        </is>
      </c>
      <c r="AG2474" s="7" t="inlineStr">
        <is>
          <t>88</t>
        </is>
      </c>
      <c r="AH2474" s="7" t="inlineStr">
        <is>
          <t>1B4B</t>
        </is>
      </c>
      <c r="AI2474" s="7" t="inlineStr">
        <is>
          <t>PNSY</t>
        </is>
      </c>
      <c r="AJ2474" s="7" t="inlineStr">
        <is>
          <t>Ship Availability</t>
        </is>
      </c>
    </row>
    <row r="2475" ht="10" customHeight="1">
      <c r="A2475" s="7" t="inlineStr">
        <is>
          <t>OMN_Vol2</t>
        </is>
      </c>
      <c r="B2475" s="7" t="inlineStr">
        <is>
          <t>O&amp;M</t>
        </is>
      </c>
      <c r="D2475" s="7" t="inlineStr">
        <is>
          <t>Norfolk Naval Shipyard: Source of Funding - Department of Navy</t>
        </is>
      </c>
      <c r="E2475" s="13" t="inlineStr">
        <is>
          <t>[SUB]</t>
        </is>
      </c>
      <c r="F2475" s="7" t="inlineStr">
        <is>
          <t>NNSY Total</t>
        </is>
      </c>
      <c r="I2475" s="14" t="n">
        <v>2</v>
      </c>
      <c r="J2475" s="7" t="inlineStr">
        <is>
          <t>Scheduled Depot Maintenance</t>
        </is>
      </c>
      <c r="K2475" s="15" t="n"/>
      <c r="O2475" s="15" t="n"/>
      <c r="P2475" s="16" t="n">
        <v>1978623</v>
      </c>
      <c r="Q2475" s="16" t="n">
        <v>2090577</v>
      </c>
      <c r="S2475" s="16" t="n">
        <v>2044669</v>
      </c>
      <c r="AC2475" s="23">
        <f>IF(OR(E2475="",E2475="[PARENT]"),"ADD",IF(E2475="[ALT_VIEW]","ALT",""))</f>
        <v/>
      </c>
      <c r="AD2475" s="21">
        <f>IF(Y2475&lt;&gt;"",Y2475,IF(U2475&lt;&gt;"",U2475,S2475))</f>
        <v/>
      </c>
      <c r="AE2475" s="21">
        <f>IF(AB2475&lt;&gt;"",AB2475,Z2475)</f>
        <v/>
      </c>
      <c r="AF2475" s="13" t="inlineStr">
        <is>
          <t>OMN Vol2 &gt; OP-5A &gt; NNSY &gt; Source of Funding &gt; Department of Navy</t>
        </is>
      </c>
      <c r="AG2475" s="7" t="inlineStr">
        <is>
          <t>89</t>
        </is>
      </c>
      <c r="AH2475" s="7" t="inlineStr">
        <is>
          <t>1B4B</t>
        </is>
      </c>
      <c r="AI2475" s="7" t="inlineStr">
        <is>
          <t>NNSY</t>
        </is>
      </c>
      <c r="AJ2475" s="7" t="inlineStr">
        <is>
          <t>Source of Funding</t>
        </is>
      </c>
    </row>
    <row r="2476" ht="10" customHeight="1">
      <c r="A2476" s="7" t="inlineStr">
        <is>
          <t>OMN_Vol2</t>
        </is>
      </c>
      <c r="B2476" s="7" t="inlineStr">
        <is>
          <t>O&amp;M</t>
        </is>
      </c>
      <c r="D2476" s="7" t="inlineStr">
        <is>
          <t>Norfolk Naval Shipyard: Source of Funding - Direct</t>
        </is>
      </c>
      <c r="E2476" s="13" t="inlineStr">
        <is>
          <t>[SUB]</t>
        </is>
      </c>
      <c r="F2476" s="7" t="inlineStr">
        <is>
          <t>NNSY Total</t>
        </is>
      </c>
      <c r="I2476" s="14" t="n">
        <v>2</v>
      </c>
      <c r="J2476" s="7" t="inlineStr">
        <is>
          <t>Scheduled Depot Maintenance</t>
        </is>
      </c>
      <c r="K2476" s="15" t="n"/>
      <c r="O2476" s="15" t="n"/>
      <c r="P2476" s="16" t="n">
        <v>1758846</v>
      </c>
      <c r="Q2476" s="16" t="n">
        <v>1847552</v>
      </c>
      <c r="S2476" s="16" t="n">
        <v>1835038</v>
      </c>
      <c r="AC2476" s="23">
        <f>IF(OR(E2476="",E2476="[PARENT]"),"ADD",IF(E2476="[ALT_VIEW]","ALT",""))</f>
        <v/>
      </c>
      <c r="AD2476" s="21">
        <f>IF(Y2476&lt;&gt;"",Y2476,IF(U2476&lt;&gt;"",U2476,S2476))</f>
        <v/>
      </c>
      <c r="AE2476" s="21">
        <f>IF(AB2476&lt;&gt;"",AB2476,Z2476)</f>
        <v/>
      </c>
      <c r="AF2476" s="13" t="inlineStr">
        <is>
          <t>OMN Vol2 &gt; OP-5A &gt; NNSY &gt; Source of Funding &gt; Direct</t>
        </is>
      </c>
      <c r="AG2476" s="7" t="inlineStr">
        <is>
          <t>89</t>
        </is>
      </c>
      <c r="AH2476" s="7" t="inlineStr">
        <is>
          <t>1B4B</t>
        </is>
      </c>
      <c r="AI2476" s="7" t="inlineStr">
        <is>
          <t>NNSY</t>
        </is>
      </c>
      <c r="AJ2476" s="7" t="inlineStr">
        <is>
          <t>Source of Funding</t>
        </is>
      </c>
    </row>
    <row r="2477" ht="10" customHeight="1">
      <c r="A2477" s="7" t="inlineStr">
        <is>
          <t>OMN_Vol2</t>
        </is>
      </c>
      <c r="B2477" s="7" t="inlineStr">
        <is>
          <t>O&amp;M</t>
        </is>
      </c>
      <c r="D2477" s="7" t="inlineStr">
        <is>
          <t>Norfolk Naval Shipyard: Source of Funding - Operation &amp; Maintenance, Navy (Fleet, Base)</t>
        </is>
      </c>
      <c r="E2477" s="13" t="inlineStr">
        <is>
          <t>[SUB]</t>
        </is>
      </c>
      <c r="F2477" s="7" t="inlineStr">
        <is>
          <t>NNSY Total</t>
        </is>
      </c>
      <c r="I2477" s="14" t="n">
        <v>2</v>
      </c>
      <c r="J2477" s="7" t="inlineStr">
        <is>
          <t>Scheduled Depot Maintenance</t>
        </is>
      </c>
      <c r="K2477" s="15" t="n"/>
      <c r="O2477" s="15" t="n"/>
      <c r="P2477" s="16" t="n">
        <v>1558318</v>
      </c>
      <c r="Q2477" s="16" t="n">
        <v>1767890</v>
      </c>
      <c r="S2477" s="16" t="n">
        <v>1587466</v>
      </c>
      <c r="AC2477" s="23">
        <f>IF(OR(E2477="",E2477="[PARENT]"),"ADD",IF(E2477="[ALT_VIEW]","ALT",""))</f>
        <v/>
      </c>
      <c r="AD2477" s="21">
        <f>IF(Y2477&lt;&gt;"",Y2477,IF(U2477&lt;&gt;"",U2477,S2477))</f>
        <v/>
      </c>
      <c r="AE2477" s="21">
        <f>IF(AB2477&lt;&gt;"",AB2477,Z2477)</f>
        <v/>
      </c>
      <c r="AF2477" s="13" t="inlineStr">
        <is>
          <t>OMN Vol2 &gt; OP-5A &gt; NNSY &gt; Source of Funding &gt; Operation &amp; Maintenance, Navy (Fleet, Base)</t>
        </is>
      </c>
      <c r="AG2477" s="7" t="inlineStr">
        <is>
          <t>89</t>
        </is>
      </c>
      <c r="AH2477" s="7" t="inlineStr">
        <is>
          <t>1B4B</t>
        </is>
      </c>
      <c r="AI2477" s="7" t="inlineStr">
        <is>
          <t>NNSY</t>
        </is>
      </c>
      <c r="AJ2477" s="7" t="inlineStr">
        <is>
          <t>Source of Funding</t>
        </is>
      </c>
    </row>
    <row r="2478" ht="10" customHeight="1">
      <c r="A2478" s="7" t="inlineStr">
        <is>
          <t>OMN_Vol2</t>
        </is>
      </c>
      <c r="B2478" s="7" t="inlineStr">
        <is>
          <t>O&amp;M</t>
        </is>
      </c>
      <c r="D2478" s="7" t="inlineStr">
        <is>
          <t>Norfolk Naval Shipyard: Source of Funding - Operation &amp; Maintenance, Navy (Fleet, OCO)</t>
        </is>
      </c>
      <c r="E2478" s="13" t="inlineStr">
        <is>
          <t>[SUB]</t>
        </is>
      </c>
      <c r="F2478" s="7" t="inlineStr">
        <is>
          <t>NNSY Total</t>
        </is>
      </c>
      <c r="I2478" s="14" t="n">
        <v>2</v>
      </c>
      <c r="J2478" s="7" t="inlineStr">
        <is>
          <t>Scheduled Depot Maintenance</t>
        </is>
      </c>
      <c r="K2478" s="15" t="n"/>
      <c r="O2478" s="15" t="n"/>
      <c r="P2478" s="16" t="n">
        <v>148982</v>
      </c>
      <c r="Q2478" s="16" t="n">
        <v>26569</v>
      </c>
      <c r="S2478" s="16" t="n">
        <v>192640</v>
      </c>
      <c r="AC2478" s="23">
        <f>IF(OR(E2478="",E2478="[PARENT]"),"ADD",IF(E2478="[ALT_VIEW]","ALT",""))</f>
        <v/>
      </c>
      <c r="AD2478" s="21">
        <f>IF(Y2478&lt;&gt;"",Y2478,IF(U2478&lt;&gt;"",U2478,S2478))</f>
        <v/>
      </c>
      <c r="AE2478" s="21">
        <f>IF(AB2478&lt;&gt;"",AB2478,Z2478)</f>
        <v/>
      </c>
      <c r="AF2478" s="13" t="inlineStr">
        <is>
          <t>OMN Vol2 &gt; OP-5A &gt; NNSY &gt; Source of Funding &gt; Operation &amp; Maintenance, Navy (Fleet, OCO)</t>
        </is>
      </c>
      <c r="AG2478" s="7" t="inlineStr">
        <is>
          <t>89</t>
        </is>
      </c>
      <c r="AH2478" s="7" t="inlineStr">
        <is>
          <t>1B4B</t>
        </is>
      </c>
      <c r="AI2478" s="7" t="inlineStr">
        <is>
          <t>NNSY</t>
        </is>
      </c>
      <c r="AJ2478" s="7" t="inlineStr">
        <is>
          <t>Source of Funding</t>
        </is>
      </c>
    </row>
    <row r="2479" ht="10" customHeight="1">
      <c r="A2479" s="7" t="inlineStr">
        <is>
          <t>OMN_Vol2</t>
        </is>
      </c>
      <c r="B2479" s="7" t="inlineStr">
        <is>
          <t>O&amp;M</t>
        </is>
      </c>
      <c r="D2479" s="7" t="inlineStr">
        <is>
          <t>Norfolk Naval Shipyard: Source of Funding - Military Personnel, Navy (Fleet, MPN)</t>
        </is>
      </c>
      <c r="E2479" s="13" t="inlineStr">
        <is>
          <t>[SUB]</t>
        </is>
      </c>
      <c r="F2479" s="7" t="inlineStr">
        <is>
          <t>NNSY Total</t>
        </is>
      </c>
      <c r="I2479" s="14" t="n">
        <v>2</v>
      </c>
      <c r="J2479" s="7" t="inlineStr">
        <is>
          <t>Scheduled Depot Maintenance</t>
        </is>
      </c>
      <c r="K2479" s="15" t="n"/>
      <c r="O2479" s="15" t="n"/>
      <c r="P2479" s="16" t="n">
        <v>51546</v>
      </c>
      <c r="Q2479" s="16" t="n">
        <v>53093</v>
      </c>
      <c r="S2479" s="16" t="n">
        <v>54932</v>
      </c>
      <c r="AC2479" s="23">
        <f>IF(OR(E2479="",E2479="[PARENT]"),"ADD",IF(E2479="[ALT_VIEW]","ALT",""))</f>
        <v/>
      </c>
      <c r="AD2479" s="21">
        <f>IF(Y2479&lt;&gt;"",Y2479,IF(U2479&lt;&gt;"",U2479,S2479))</f>
        <v/>
      </c>
      <c r="AE2479" s="21">
        <f>IF(AB2479&lt;&gt;"",AB2479,Z2479)</f>
        <v/>
      </c>
      <c r="AF2479" s="13" t="inlineStr">
        <is>
          <t>OMN Vol2 &gt; OP-5A &gt; NNSY &gt; Source of Funding &gt; Military Personnel, Navy (Fleet, MPN)</t>
        </is>
      </c>
      <c r="AG2479" s="7" t="inlineStr">
        <is>
          <t>89</t>
        </is>
      </c>
      <c r="AH2479" s="7" t="inlineStr">
        <is>
          <t>1B4B</t>
        </is>
      </c>
      <c r="AI2479" s="7" t="inlineStr">
        <is>
          <t>NNSY</t>
        </is>
      </c>
      <c r="AJ2479" s="7" t="inlineStr">
        <is>
          <t>Source of Funding</t>
        </is>
      </c>
    </row>
    <row r="2480" ht="10" customHeight="1">
      <c r="A2480" s="7" t="inlineStr">
        <is>
          <t>OMN_Vol2</t>
        </is>
      </c>
      <c r="B2480" s="7" t="inlineStr">
        <is>
          <t>O&amp;M</t>
        </is>
      </c>
      <c r="D2480" s="7" t="inlineStr">
        <is>
          <t>Norfolk Naval Shipyard: Source of Funding - Reimbursable</t>
        </is>
      </c>
      <c r="E2480" s="13" t="inlineStr">
        <is>
          <t>[SUB]</t>
        </is>
      </c>
      <c r="F2480" s="7" t="inlineStr">
        <is>
          <t>NNSY Total</t>
        </is>
      </c>
      <c r="I2480" s="14" t="n">
        <v>2</v>
      </c>
      <c r="J2480" s="7" t="inlineStr">
        <is>
          <t>Scheduled Depot Maintenance</t>
        </is>
      </c>
      <c r="K2480" s="15" t="n"/>
      <c r="O2480" s="15" t="n"/>
      <c r="P2480" s="16" t="n">
        <v>219777</v>
      </c>
      <c r="Q2480" s="16" t="n">
        <v>243025</v>
      </c>
      <c r="S2480" s="16" t="n">
        <v>209631</v>
      </c>
      <c r="AC2480" s="23">
        <f>IF(OR(E2480="",E2480="[PARENT]"),"ADD",IF(E2480="[ALT_VIEW]","ALT",""))</f>
        <v/>
      </c>
      <c r="AD2480" s="21">
        <f>IF(Y2480&lt;&gt;"",Y2480,IF(U2480&lt;&gt;"",U2480,S2480))</f>
        <v/>
      </c>
      <c r="AE2480" s="21">
        <f>IF(AB2480&lt;&gt;"",AB2480,Z2480)</f>
        <v/>
      </c>
      <c r="AF2480" s="13" t="inlineStr">
        <is>
          <t>OMN Vol2 &gt; OP-5A &gt; NNSY &gt; Source of Funding &gt; Reimbursable</t>
        </is>
      </c>
      <c r="AG2480" s="7" t="inlineStr">
        <is>
          <t>89</t>
        </is>
      </c>
      <c r="AH2480" s="7" t="inlineStr">
        <is>
          <t>1B4B</t>
        </is>
      </c>
      <c r="AI2480" s="7" t="inlineStr">
        <is>
          <t>NNSY</t>
        </is>
      </c>
      <c r="AJ2480" s="7" t="inlineStr">
        <is>
          <t>Source of Funding</t>
        </is>
      </c>
    </row>
    <row r="2481" ht="10" customHeight="1">
      <c r="A2481" s="7" t="inlineStr">
        <is>
          <t>OMN_Vol2</t>
        </is>
      </c>
      <c r="B2481" s="7" t="inlineStr">
        <is>
          <t>O&amp;M</t>
        </is>
      </c>
      <c r="D2481" s="7" t="inlineStr">
        <is>
          <t>Norfolk Naval Shipyard: Source of Funding - Operation &amp; Maintenance, Navy</t>
        </is>
      </c>
      <c r="E2481" s="13" t="inlineStr">
        <is>
          <t>[SUB]</t>
        </is>
      </c>
      <c r="F2481" s="7" t="inlineStr">
        <is>
          <t>NNSY Total</t>
        </is>
      </c>
      <c r="I2481" s="14" t="n">
        <v>2</v>
      </c>
      <c r="J2481" s="7" t="inlineStr">
        <is>
          <t>Scheduled Depot Maintenance</t>
        </is>
      </c>
      <c r="K2481" s="15" t="n"/>
      <c r="O2481" s="15" t="n"/>
      <c r="P2481" s="16" t="n">
        <v>120379</v>
      </c>
      <c r="Q2481" s="16" t="n">
        <v>133113</v>
      </c>
      <c r="S2481" s="16" t="n">
        <v>114822</v>
      </c>
      <c r="AC2481" s="23">
        <f>IF(OR(E2481="",E2481="[PARENT]"),"ADD",IF(E2481="[ALT_VIEW]","ALT",""))</f>
        <v/>
      </c>
      <c r="AD2481" s="21">
        <f>IF(Y2481&lt;&gt;"",Y2481,IF(U2481&lt;&gt;"",U2481,S2481))</f>
        <v/>
      </c>
      <c r="AE2481" s="21">
        <f>IF(AB2481&lt;&gt;"",AB2481,Z2481)</f>
        <v/>
      </c>
      <c r="AF2481" s="13" t="inlineStr">
        <is>
          <t>OMN Vol2 &gt; OP-5A &gt; NNSY &gt; Source of Funding &gt; Operation &amp; Maintenance, Navy</t>
        </is>
      </c>
      <c r="AG2481" s="7" t="inlineStr">
        <is>
          <t>89</t>
        </is>
      </c>
      <c r="AH2481" s="7" t="inlineStr">
        <is>
          <t>1B4B</t>
        </is>
      </c>
      <c r="AI2481" s="7" t="inlineStr">
        <is>
          <t>NNSY</t>
        </is>
      </c>
      <c r="AJ2481" s="7" t="inlineStr">
        <is>
          <t>Source of Funding</t>
        </is>
      </c>
    </row>
    <row r="2482" ht="10" customHeight="1">
      <c r="A2482" s="7" t="inlineStr">
        <is>
          <t>OMN_Vol2</t>
        </is>
      </c>
      <c r="B2482" s="7" t="inlineStr">
        <is>
          <t>O&amp;M</t>
        </is>
      </c>
      <c r="D2482" s="7" t="inlineStr">
        <is>
          <t>Norfolk Naval Shipyard: Source of Funding - Shipbuilding &amp; Conversion, Navy</t>
        </is>
      </c>
      <c r="E2482" s="13" t="inlineStr">
        <is>
          <t>[SUB]</t>
        </is>
      </c>
      <c r="F2482" s="7" t="inlineStr">
        <is>
          <t>NNSY Total</t>
        </is>
      </c>
      <c r="I2482" s="14" t="n">
        <v>2</v>
      </c>
      <c r="J2482" s="7" t="inlineStr">
        <is>
          <t>Scheduled Depot Maintenance</t>
        </is>
      </c>
      <c r="K2482" s="15" t="n"/>
      <c r="O2482" s="15" t="n"/>
      <c r="P2482" s="16" t="n">
        <v>53472</v>
      </c>
      <c r="Q2482" s="16" t="n">
        <v>59128</v>
      </c>
      <c r="S2482" s="16" t="n">
        <v>51003</v>
      </c>
      <c r="AC2482" s="23">
        <f>IF(OR(E2482="",E2482="[PARENT]"),"ADD",IF(E2482="[ALT_VIEW]","ALT",""))</f>
        <v/>
      </c>
      <c r="AD2482" s="21">
        <f>IF(Y2482&lt;&gt;"",Y2482,IF(U2482&lt;&gt;"",U2482,S2482))</f>
        <v/>
      </c>
      <c r="AE2482" s="21">
        <f>IF(AB2482&lt;&gt;"",AB2482,Z2482)</f>
        <v/>
      </c>
      <c r="AF2482" s="13" t="inlineStr">
        <is>
          <t>OMN Vol2 &gt; OP-5A &gt; NNSY &gt; Source of Funding &gt; Shipbuilding &amp; Conversion, Navy</t>
        </is>
      </c>
      <c r="AG2482" s="7" t="inlineStr">
        <is>
          <t>89</t>
        </is>
      </c>
      <c r="AH2482" s="7" t="inlineStr">
        <is>
          <t>1B4B</t>
        </is>
      </c>
      <c r="AI2482" s="7" t="inlineStr">
        <is>
          <t>NNSY</t>
        </is>
      </c>
      <c r="AJ2482" s="7" t="inlineStr">
        <is>
          <t>Source of Funding</t>
        </is>
      </c>
    </row>
    <row r="2483" ht="10" customHeight="1">
      <c r="A2483" s="7" t="inlineStr">
        <is>
          <t>OMN_Vol2</t>
        </is>
      </c>
      <c r="B2483" s="7" t="inlineStr">
        <is>
          <t>O&amp;M</t>
        </is>
      </c>
      <c r="D2483" s="7" t="inlineStr">
        <is>
          <t>Norfolk Naval Shipyard: Source of Funding - Other Procurement, Navy</t>
        </is>
      </c>
      <c r="E2483" s="13" t="inlineStr">
        <is>
          <t>[SUB]</t>
        </is>
      </c>
      <c r="F2483" s="7" t="inlineStr">
        <is>
          <t>NNSY Total</t>
        </is>
      </c>
      <c r="I2483" s="14" t="n">
        <v>2</v>
      </c>
      <c r="J2483" s="7" t="inlineStr">
        <is>
          <t>Scheduled Depot Maintenance</t>
        </is>
      </c>
      <c r="K2483" s="15" t="n"/>
      <c r="O2483" s="15" t="n"/>
      <c r="P2483" s="16" t="n">
        <v>31578</v>
      </c>
      <c r="Q2483" s="16" t="n">
        <v>34918</v>
      </c>
      <c r="S2483" s="16" t="n">
        <v>30120</v>
      </c>
      <c r="AC2483" s="23">
        <f>IF(OR(E2483="",E2483="[PARENT]"),"ADD",IF(E2483="[ALT_VIEW]","ALT",""))</f>
        <v/>
      </c>
      <c r="AD2483" s="21">
        <f>IF(Y2483&lt;&gt;"",Y2483,IF(U2483&lt;&gt;"",U2483,S2483))</f>
        <v/>
      </c>
      <c r="AE2483" s="21">
        <f>IF(AB2483&lt;&gt;"",AB2483,Z2483)</f>
        <v/>
      </c>
      <c r="AF2483" s="13" t="inlineStr">
        <is>
          <t>OMN Vol2 &gt; OP-5A &gt; NNSY &gt; Source of Funding &gt; Other Procurement, Navy</t>
        </is>
      </c>
      <c r="AG2483" s="7" t="inlineStr">
        <is>
          <t>89</t>
        </is>
      </c>
      <c r="AH2483" s="7" t="inlineStr">
        <is>
          <t>1B4B</t>
        </is>
      </c>
      <c r="AI2483" s="7" t="inlineStr">
        <is>
          <t>NNSY</t>
        </is>
      </c>
      <c r="AJ2483" s="7" t="inlineStr">
        <is>
          <t>Source of Funding</t>
        </is>
      </c>
    </row>
    <row r="2484" ht="10" customHeight="1">
      <c r="A2484" s="7" t="inlineStr">
        <is>
          <t>OMN_Vol2</t>
        </is>
      </c>
      <c r="B2484" s="7" t="inlineStr">
        <is>
          <t>O&amp;M</t>
        </is>
      </c>
      <c r="D2484" s="7" t="inlineStr">
        <is>
          <t>Norfolk Naval Shipyard: Source of Funding - Procurement, Marine Corps</t>
        </is>
      </c>
      <c r="E2484" s="13" t="inlineStr">
        <is>
          <t>[SUB]</t>
        </is>
      </c>
      <c r="F2484" s="7" t="inlineStr">
        <is>
          <t>NNSY Total</t>
        </is>
      </c>
      <c r="I2484" s="14" t="n">
        <v>2</v>
      </c>
      <c r="J2484" s="7" t="inlineStr">
        <is>
          <t>Scheduled Depot Maintenance</t>
        </is>
      </c>
      <c r="K2484" s="15" t="n"/>
      <c r="O2484" s="15" t="n"/>
      <c r="P2484" s="16" t="n">
        <v>0</v>
      </c>
      <c r="Q2484" s="16" t="n">
        <v>0</v>
      </c>
      <c r="S2484" s="16" t="n">
        <v>0</v>
      </c>
      <c r="AC2484" s="23">
        <f>IF(OR(E2484="",E2484="[PARENT]"),"ADD",IF(E2484="[ALT_VIEW]","ALT",""))</f>
        <v/>
      </c>
      <c r="AD2484" s="21">
        <f>IF(Y2484&lt;&gt;"",Y2484,IF(U2484&lt;&gt;"",U2484,S2484))</f>
        <v/>
      </c>
      <c r="AE2484" s="21">
        <f>IF(AB2484&lt;&gt;"",AB2484,Z2484)</f>
        <v/>
      </c>
      <c r="AF2484" s="13" t="inlineStr">
        <is>
          <t>OMN Vol2 &gt; OP-5A &gt; NNSY &gt; Source of Funding &gt; Procurement, Marine Corps</t>
        </is>
      </c>
      <c r="AG2484" s="7" t="inlineStr">
        <is>
          <t>89</t>
        </is>
      </c>
      <c r="AH2484" s="7" t="inlineStr">
        <is>
          <t>1B4B</t>
        </is>
      </c>
      <c r="AI2484" s="7" t="inlineStr">
        <is>
          <t>NNSY</t>
        </is>
      </c>
      <c r="AJ2484" s="7" t="inlineStr">
        <is>
          <t>Source of Funding</t>
        </is>
      </c>
    </row>
    <row r="2485" ht="10" customHeight="1">
      <c r="A2485" s="7" t="inlineStr">
        <is>
          <t>OMN_Vol2</t>
        </is>
      </c>
      <c r="B2485" s="7" t="inlineStr">
        <is>
          <t>O&amp;M</t>
        </is>
      </c>
      <c r="D2485" s="7" t="inlineStr">
        <is>
          <t>Norfolk Naval Shipyard: Source of Funding - Other Department of Navy</t>
        </is>
      </c>
      <c r="E2485" s="13" t="inlineStr">
        <is>
          <t>[SUB]</t>
        </is>
      </c>
      <c r="F2485" s="7" t="inlineStr">
        <is>
          <t>NNSY Total</t>
        </is>
      </c>
      <c r="I2485" s="14" t="n">
        <v>2</v>
      </c>
      <c r="J2485" s="7" t="inlineStr">
        <is>
          <t>Scheduled Depot Maintenance</t>
        </is>
      </c>
      <c r="K2485" s="15" t="n"/>
      <c r="O2485" s="15" t="n"/>
      <c r="P2485" s="16" t="n">
        <v>14348</v>
      </c>
      <c r="Q2485" s="16" t="n">
        <v>15866</v>
      </c>
      <c r="S2485" s="16" t="n">
        <v>13686</v>
      </c>
      <c r="AC2485" s="23">
        <f>IF(OR(E2485="",E2485="[PARENT]"),"ADD",IF(E2485="[ALT_VIEW]","ALT",""))</f>
        <v/>
      </c>
      <c r="AD2485" s="21">
        <f>IF(Y2485&lt;&gt;"",Y2485,IF(U2485&lt;&gt;"",U2485,S2485))</f>
        <v/>
      </c>
      <c r="AE2485" s="21">
        <f>IF(AB2485&lt;&gt;"",AB2485,Z2485)</f>
        <v/>
      </c>
      <c r="AF2485" s="13" t="inlineStr">
        <is>
          <t>OMN Vol2 &gt; OP-5A &gt; NNSY &gt; Source of Funding &gt; Other Department of Navy</t>
        </is>
      </c>
      <c r="AG2485" s="7" t="inlineStr">
        <is>
          <t>89</t>
        </is>
      </c>
      <c r="AH2485" s="7" t="inlineStr">
        <is>
          <t>1B4B</t>
        </is>
      </c>
      <c r="AI2485" s="7" t="inlineStr">
        <is>
          <t>NNSY</t>
        </is>
      </c>
      <c r="AJ2485" s="7" t="inlineStr">
        <is>
          <t>Source of Funding</t>
        </is>
      </c>
    </row>
    <row r="2486" ht="10" customHeight="1">
      <c r="A2486" s="7" t="inlineStr">
        <is>
          <t>OMN_Vol2</t>
        </is>
      </c>
      <c r="B2486" s="7" t="inlineStr">
        <is>
          <t>O&amp;M</t>
        </is>
      </c>
      <c r="D2486" s="7" t="inlineStr">
        <is>
          <t>Norfolk Naval Shipyard: Source of Funding - Department of Defense</t>
        </is>
      </c>
      <c r="E2486" s="13" t="inlineStr">
        <is>
          <t>[SUB]</t>
        </is>
      </c>
      <c r="F2486" s="7" t="inlineStr">
        <is>
          <t>NNSY Total</t>
        </is>
      </c>
      <c r="I2486" s="14" t="n">
        <v>2</v>
      </c>
      <c r="J2486" s="7" t="inlineStr">
        <is>
          <t>Scheduled Depot Maintenance</t>
        </is>
      </c>
      <c r="K2486" s="15" t="n"/>
      <c r="O2486" s="15" t="n"/>
      <c r="P2486" s="16" t="n">
        <v>4325</v>
      </c>
      <c r="Q2486" s="16" t="n">
        <v>4783</v>
      </c>
      <c r="S2486" s="16" t="n">
        <v>4125</v>
      </c>
      <c r="AC2486" s="23">
        <f>IF(OR(E2486="",E2486="[PARENT]"),"ADD",IF(E2486="[ALT_VIEW]","ALT",""))</f>
        <v/>
      </c>
      <c r="AD2486" s="21">
        <f>IF(Y2486&lt;&gt;"",Y2486,IF(U2486&lt;&gt;"",U2486,S2486))</f>
        <v/>
      </c>
      <c r="AE2486" s="21">
        <f>IF(AB2486&lt;&gt;"",AB2486,Z2486)</f>
        <v/>
      </c>
      <c r="AF2486" s="13" t="inlineStr">
        <is>
          <t>OMN Vol2 &gt; OP-5A &gt; NNSY &gt; Source of Funding &gt; Department of Defense</t>
        </is>
      </c>
      <c r="AG2486" s="7" t="inlineStr">
        <is>
          <t>89</t>
        </is>
      </c>
      <c r="AH2486" s="7" t="inlineStr">
        <is>
          <t>1B4B</t>
        </is>
      </c>
      <c r="AI2486" s="7" t="inlineStr">
        <is>
          <t>NNSY</t>
        </is>
      </c>
      <c r="AJ2486" s="7" t="inlineStr">
        <is>
          <t>Source of Funding</t>
        </is>
      </c>
    </row>
    <row r="2487" ht="10" customHeight="1">
      <c r="A2487" s="7" t="inlineStr">
        <is>
          <t>OMN_Vol2</t>
        </is>
      </c>
      <c r="B2487" s="7" t="inlineStr">
        <is>
          <t>O&amp;M</t>
        </is>
      </c>
      <c r="D2487" s="7" t="inlineStr">
        <is>
          <t>Norfolk Naval Shipyard: Source of Funding - Other Orders</t>
        </is>
      </c>
      <c r="E2487" s="13" t="inlineStr">
        <is>
          <t>[SUB]</t>
        </is>
      </c>
      <c r="F2487" s="7" t="inlineStr">
        <is>
          <t>NNSY Total</t>
        </is>
      </c>
      <c r="I2487" s="14" t="n">
        <v>2</v>
      </c>
      <c r="J2487" s="7" t="inlineStr">
        <is>
          <t>Scheduled Depot Maintenance</t>
        </is>
      </c>
      <c r="K2487" s="15" t="n"/>
      <c r="O2487" s="15" t="n"/>
      <c r="P2487" s="16" t="n">
        <v>55983</v>
      </c>
      <c r="Q2487" s="16" t="n">
        <v>61905</v>
      </c>
      <c r="S2487" s="16" t="n">
        <v>53399</v>
      </c>
      <c r="AC2487" s="23">
        <f>IF(OR(E2487="",E2487="[PARENT]"),"ADD",IF(E2487="[ALT_VIEW]","ALT",""))</f>
        <v/>
      </c>
      <c r="AD2487" s="21">
        <f>IF(Y2487&lt;&gt;"",Y2487,IF(U2487&lt;&gt;"",U2487,S2487))</f>
        <v/>
      </c>
      <c r="AE2487" s="21">
        <f>IF(AB2487&lt;&gt;"",AB2487,Z2487)</f>
        <v/>
      </c>
      <c r="AF2487" s="13" t="inlineStr">
        <is>
          <t>OMN Vol2 &gt; OP-5A &gt; NNSY &gt; Source of Funding &gt; Other Orders</t>
        </is>
      </c>
      <c r="AG2487" s="7" t="inlineStr">
        <is>
          <t>89</t>
        </is>
      </c>
      <c r="AH2487" s="7" t="inlineStr">
        <is>
          <t>1B4B</t>
        </is>
      </c>
      <c r="AI2487" s="7" t="inlineStr">
        <is>
          <t>NNSY</t>
        </is>
      </c>
      <c r="AJ2487" s="7" t="inlineStr">
        <is>
          <t>Source of Funding</t>
        </is>
      </c>
    </row>
    <row r="2488" ht="10" customHeight="1">
      <c r="A2488" s="7" t="inlineStr">
        <is>
          <t>OMN_Vol2</t>
        </is>
      </c>
      <c r="B2488" s="7" t="inlineStr">
        <is>
          <t>O&amp;M</t>
        </is>
      </c>
      <c r="D2488" s="7" t="inlineStr">
        <is>
          <t>Norfolk Naval Shipyard: Source of Funding - Other Federal Agencies</t>
        </is>
      </c>
      <c r="E2488" s="13" t="inlineStr">
        <is>
          <t>[SUB]</t>
        </is>
      </c>
      <c r="F2488" s="7" t="inlineStr">
        <is>
          <t>NNSY Total</t>
        </is>
      </c>
      <c r="I2488" s="14" t="n">
        <v>2</v>
      </c>
      <c r="J2488" s="7" t="inlineStr">
        <is>
          <t>Scheduled Depot Maintenance</t>
        </is>
      </c>
      <c r="K2488" s="15" t="n"/>
      <c r="O2488" s="15" t="n"/>
      <c r="P2488" s="16" t="n">
        <v>55919</v>
      </c>
      <c r="Q2488" s="16" t="n">
        <v>61834</v>
      </c>
      <c r="S2488" s="16" t="n">
        <v>53338</v>
      </c>
      <c r="AC2488" s="23">
        <f>IF(OR(E2488="",E2488="[PARENT]"),"ADD",IF(E2488="[ALT_VIEW]","ALT",""))</f>
        <v/>
      </c>
      <c r="AD2488" s="21">
        <f>IF(Y2488&lt;&gt;"",Y2488,IF(U2488&lt;&gt;"",U2488,S2488))</f>
        <v/>
      </c>
      <c r="AE2488" s="21">
        <f>IF(AB2488&lt;&gt;"",AB2488,Z2488)</f>
        <v/>
      </c>
      <c r="AF2488" s="13" t="inlineStr">
        <is>
          <t>OMN Vol2 &gt; OP-5A &gt; NNSY &gt; Source of Funding &gt; Other Federal Agencies</t>
        </is>
      </c>
      <c r="AG2488" s="7" t="inlineStr">
        <is>
          <t>89</t>
        </is>
      </c>
      <c r="AH2488" s="7" t="inlineStr">
        <is>
          <t>1B4B</t>
        </is>
      </c>
      <c r="AI2488" s="7" t="inlineStr">
        <is>
          <t>NNSY</t>
        </is>
      </c>
      <c r="AJ2488" s="7" t="inlineStr">
        <is>
          <t>Source of Funding</t>
        </is>
      </c>
    </row>
    <row r="2489" ht="10" customHeight="1">
      <c r="A2489" s="7" t="inlineStr">
        <is>
          <t>OMN_Vol2</t>
        </is>
      </c>
      <c r="B2489" s="7" t="inlineStr">
        <is>
          <t>O&amp;M</t>
        </is>
      </c>
      <c r="D2489" s="7" t="inlineStr">
        <is>
          <t>Norfolk Naval Shipyard: Source of Funding - Foreign Military Sales</t>
        </is>
      </c>
      <c r="E2489" s="13" t="inlineStr">
        <is>
          <t>[SUB]</t>
        </is>
      </c>
      <c r="F2489" s="7" t="inlineStr">
        <is>
          <t>NNSY Total</t>
        </is>
      </c>
      <c r="I2489" s="14" t="n">
        <v>2</v>
      </c>
      <c r="J2489" s="7" t="inlineStr">
        <is>
          <t>Scheduled Depot Maintenance</t>
        </is>
      </c>
      <c r="K2489" s="15" t="n"/>
      <c r="O2489" s="15" t="n"/>
      <c r="P2489" s="16" t="n">
        <v>31</v>
      </c>
      <c r="Q2489" s="16" t="n">
        <v>34</v>
      </c>
      <c r="S2489" s="16" t="n">
        <v>30</v>
      </c>
      <c r="AC2489" s="23">
        <f>IF(OR(E2489="",E2489="[PARENT]"),"ADD",IF(E2489="[ALT_VIEW]","ALT",""))</f>
        <v/>
      </c>
      <c r="AD2489" s="21">
        <f>IF(Y2489&lt;&gt;"",Y2489,IF(U2489&lt;&gt;"",U2489,S2489))</f>
        <v/>
      </c>
      <c r="AE2489" s="21">
        <f>IF(AB2489&lt;&gt;"",AB2489,Z2489)</f>
        <v/>
      </c>
      <c r="AF2489" s="13" t="inlineStr">
        <is>
          <t>OMN Vol2 &gt; OP-5A &gt; NNSY &gt; Source of Funding &gt; Foreign Military Sales</t>
        </is>
      </c>
      <c r="AG2489" s="7" t="inlineStr">
        <is>
          <t>89</t>
        </is>
      </c>
      <c r="AH2489" s="7" t="inlineStr">
        <is>
          <t>1B4B</t>
        </is>
      </c>
      <c r="AI2489" s="7" t="inlineStr">
        <is>
          <t>NNSY</t>
        </is>
      </c>
      <c r="AJ2489" s="7" t="inlineStr">
        <is>
          <t>Source of Funding</t>
        </is>
      </c>
    </row>
    <row r="2490" ht="10" customHeight="1">
      <c r="A2490" s="7" t="inlineStr">
        <is>
          <t>OMN_Vol2</t>
        </is>
      </c>
      <c r="B2490" s="7" t="inlineStr">
        <is>
          <t>O&amp;M</t>
        </is>
      </c>
      <c r="D2490" s="7" t="inlineStr">
        <is>
          <t>Norfolk Naval Shipyard: Source of Funding - Other</t>
        </is>
      </c>
      <c r="E2490" s="13" t="inlineStr">
        <is>
          <t>[SUB]</t>
        </is>
      </c>
      <c r="F2490" s="7" t="inlineStr">
        <is>
          <t>NNSY Total</t>
        </is>
      </c>
      <c r="I2490" s="14" t="n">
        <v>2</v>
      </c>
      <c r="J2490" s="7" t="inlineStr">
        <is>
          <t>Scheduled Depot Maintenance</t>
        </is>
      </c>
      <c r="K2490" s="15" t="n"/>
      <c r="O2490" s="15" t="n"/>
      <c r="P2490" s="16" t="n">
        <v>33</v>
      </c>
      <c r="Q2490" s="16" t="n">
        <v>36</v>
      </c>
      <c r="S2490" s="16" t="n">
        <v>31</v>
      </c>
      <c r="AC2490" s="23">
        <f>IF(OR(E2490="",E2490="[PARENT]"),"ADD",IF(E2490="[ALT_VIEW]","ALT",""))</f>
        <v/>
      </c>
      <c r="AD2490" s="21">
        <f>IF(Y2490&lt;&gt;"",Y2490,IF(U2490&lt;&gt;"",U2490,S2490))</f>
        <v/>
      </c>
      <c r="AE2490" s="21">
        <f>IF(AB2490&lt;&gt;"",AB2490,Z2490)</f>
        <v/>
      </c>
      <c r="AF2490" s="13" t="inlineStr">
        <is>
          <t>OMN Vol2 &gt; OP-5A &gt; NNSY &gt; Source of Funding &gt; Other</t>
        </is>
      </c>
      <c r="AG2490" s="7" t="inlineStr">
        <is>
          <t>89</t>
        </is>
      </c>
      <c r="AH2490" s="7" t="inlineStr">
        <is>
          <t>1B4B</t>
        </is>
      </c>
      <c r="AI2490" s="7" t="inlineStr">
        <is>
          <t>NNSY</t>
        </is>
      </c>
      <c r="AJ2490" s="7" t="inlineStr">
        <is>
          <t>Source of Funding</t>
        </is>
      </c>
    </row>
    <row r="2491" ht="10" customHeight="1">
      <c r="A2491" s="7" t="inlineStr">
        <is>
          <t>OMN_Vol2</t>
        </is>
      </c>
      <c r="B2491" s="7" t="inlineStr">
        <is>
          <t>O&amp;M</t>
        </is>
      </c>
      <c r="D2491" s="7" t="inlineStr">
        <is>
          <t>Norfolk Naval Shipyard: Source of Funding - Total</t>
        </is>
      </c>
      <c r="E2491" s="13" t="inlineStr">
        <is>
          <t>[PARENT]</t>
        </is>
      </c>
      <c r="I2491" s="14" t="n">
        <v>2</v>
      </c>
      <c r="J2491" s="7" t="inlineStr">
        <is>
          <t>Scheduled Depot Maintenance</t>
        </is>
      </c>
      <c r="K2491" s="15" t="n"/>
      <c r="O2491" s="15" t="n"/>
      <c r="P2491" s="16" t="n">
        <v>2038931</v>
      </c>
      <c r="Q2491" s="16" t="n">
        <v>2157265</v>
      </c>
      <c r="S2491" s="16" t="n">
        <v>2102193</v>
      </c>
      <c r="AC2491" s="23">
        <f>IF(OR(E2491="",E2491="[PARENT]"),"ADD",IF(E2491="[ALT_VIEW]","ALT",""))</f>
        <v/>
      </c>
      <c r="AD2491" s="21">
        <f>IF(Y2491&lt;&gt;"",Y2491,IF(U2491&lt;&gt;"",U2491,S2491))</f>
        <v/>
      </c>
      <c r="AE2491" s="21">
        <f>IF(AB2491&lt;&gt;"",AB2491,Z2491)</f>
        <v/>
      </c>
      <c r="AF2491" s="13" t="inlineStr">
        <is>
          <t>OMN Vol2 &gt; OP-5A &gt; NNSY &gt; Source of Funding &gt; Total</t>
        </is>
      </c>
      <c r="AG2491" s="7" t="inlineStr">
        <is>
          <t>89</t>
        </is>
      </c>
      <c r="AH2491" s="7" t="inlineStr">
        <is>
          <t>1B4B</t>
        </is>
      </c>
      <c r="AI2491" s="7" t="inlineStr">
        <is>
          <t>NNSY</t>
        </is>
      </c>
      <c r="AJ2491" s="7" t="inlineStr">
        <is>
          <t>Source of Funding</t>
        </is>
      </c>
    </row>
    <row r="2492" ht="10" customHeight="1">
      <c r="A2492" s="7" t="inlineStr">
        <is>
          <t>OMN_Vol2</t>
        </is>
      </c>
      <c r="B2492" s="7" t="inlineStr">
        <is>
          <t>O&amp;M</t>
        </is>
      </c>
      <c r="D2492" s="7" t="inlineStr">
        <is>
          <t>Norfolk Naval Shipyard: Performance Data - Direct Civilian Labor</t>
        </is>
      </c>
      <c r="E2492" s="13" t="inlineStr">
        <is>
          <t>[ALT_VIEW]</t>
        </is>
      </c>
      <c r="F2492" s="7" t="inlineStr">
        <is>
          <t>NNSY Total</t>
        </is>
      </c>
      <c r="I2492" s="14" t="n">
        <v>2</v>
      </c>
      <c r="J2492" s="7" t="inlineStr">
        <is>
          <t>Scheduled Depot Maintenance</t>
        </is>
      </c>
      <c r="K2492" s="15" t="n"/>
      <c r="O2492" s="15" t="n"/>
      <c r="P2492" s="16" t="n">
        <v>718374</v>
      </c>
      <c r="Q2492" s="16" t="n">
        <v>825790</v>
      </c>
      <c r="S2492" s="16" t="n">
        <v>831814</v>
      </c>
      <c r="AC2492" s="23">
        <f>IF(OR(E2492="",E2492="[PARENT]"),"ADD",IF(E2492="[ALT_VIEW]","ALT",""))</f>
        <v/>
      </c>
      <c r="AD2492" s="21">
        <f>IF(Y2492&lt;&gt;"",Y2492,IF(U2492&lt;&gt;"",U2492,S2492))</f>
        <v/>
      </c>
      <c r="AE2492" s="21">
        <f>IF(AB2492&lt;&gt;"",AB2492,Z2492)</f>
        <v/>
      </c>
      <c r="AF2492" s="13" t="inlineStr">
        <is>
          <t>OMN Vol2 &gt; OP-5A &gt; NNSY &gt; Performance Data &gt; Direct Civilian Labor</t>
        </is>
      </c>
      <c r="AG2492" s="7" t="inlineStr">
        <is>
          <t>90</t>
        </is>
      </c>
      <c r="AH2492" s="7" t="inlineStr">
        <is>
          <t>1B4B</t>
        </is>
      </c>
      <c r="AI2492" s="7" t="inlineStr">
        <is>
          <t>NNSY</t>
        </is>
      </c>
      <c r="AJ2492" s="7" t="inlineStr">
        <is>
          <t>Performance Data</t>
        </is>
      </c>
    </row>
    <row r="2493" ht="10" customHeight="1">
      <c r="A2493" s="7" t="inlineStr">
        <is>
          <t>OMN_Vol2</t>
        </is>
      </c>
      <c r="B2493" s="7" t="inlineStr">
        <is>
          <t>O&amp;M</t>
        </is>
      </c>
      <c r="D2493" s="7" t="inlineStr">
        <is>
          <t>Norfolk Naval Shipyard: Performance Data - Direct Military Labor</t>
        </is>
      </c>
      <c r="E2493" s="13" t="inlineStr">
        <is>
          <t>[ALT_VIEW]</t>
        </is>
      </c>
      <c r="F2493" s="7" t="inlineStr">
        <is>
          <t>NNSY Total</t>
        </is>
      </c>
      <c r="I2493" s="14" t="n">
        <v>2</v>
      </c>
      <c r="J2493" s="7" t="inlineStr">
        <is>
          <t>Scheduled Depot Maintenance</t>
        </is>
      </c>
      <c r="K2493" s="15" t="n"/>
      <c r="O2493" s="15" t="n"/>
      <c r="P2493" s="16" t="n">
        <v>14782</v>
      </c>
      <c r="Q2493" s="16" t="n">
        <v>15226</v>
      </c>
      <c r="S2493" s="16" t="n">
        <v>15753</v>
      </c>
      <c r="AC2493" s="23">
        <f>IF(OR(E2493="",E2493="[PARENT]"),"ADD",IF(E2493="[ALT_VIEW]","ALT",""))</f>
        <v/>
      </c>
      <c r="AD2493" s="21">
        <f>IF(Y2493&lt;&gt;"",Y2493,IF(U2493&lt;&gt;"",U2493,S2493))</f>
        <v/>
      </c>
      <c r="AE2493" s="21">
        <f>IF(AB2493&lt;&gt;"",AB2493,Z2493)</f>
        <v/>
      </c>
      <c r="AF2493" s="13" t="inlineStr">
        <is>
          <t>OMN Vol2 &gt; OP-5A &gt; NNSY &gt; Performance Data &gt; Direct Military Labor</t>
        </is>
      </c>
      <c r="AG2493" s="7" t="inlineStr">
        <is>
          <t>90</t>
        </is>
      </c>
      <c r="AH2493" s="7" t="inlineStr">
        <is>
          <t>1B4B</t>
        </is>
      </c>
      <c r="AI2493" s="7" t="inlineStr">
        <is>
          <t>NNSY</t>
        </is>
      </c>
      <c r="AJ2493" s="7" t="inlineStr">
        <is>
          <t>Performance Data</t>
        </is>
      </c>
    </row>
    <row r="2494" ht="10" customHeight="1">
      <c r="A2494" s="7" t="inlineStr">
        <is>
          <t>OMN_Vol2</t>
        </is>
      </c>
      <c r="B2494" s="7" t="inlineStr">
        <is>
          <t>O&amp;M</t>
        </is>
      </c>
      <c r="D2494" s="7" t="inlineStr">
        <is>
          <t>Norfolk Naval Shipyard: Performance Data - Direct Material</t>
        </is>
      </c>
      <c r="E2494" s="13" t="inlineStr">
        <is>
          <t>[ALT_VIEW]</t>
        </is>
      </c>
      <c r="F2494" s="7" t="inlineStr">
        <is>
          <t>NNSY Total</t>
        </is>
      </c>
      <c r="I2494" s="14" t="n">
        <v>2</v>
      </c>
      <c r="J2494" s="7" t="inlineStr">
        <is>
          <t>Scheduled Depot Maintenance</t>
        </is>
      </c>
      <c r="K2494" s="15" t="n"/>
      <c r="O2494" s="15" t="n"/>
      <c r="P2494" s="16" t="n">
        <v>274015</v>
      </c>
      <c r="Q2494" s="16" t="n">
        <v>255236</v>
      </c>
      <c r="S2494" s="16" t="n">
        <v>170139</v>
      </c>
      <c r="AC2494" s="23">
        <f>IF(OR(E2494="",E2494="[PARENT]"),"ADD",IF(E2494="[ALT_VIEW]","ALT",""))</f>
        <v/>
      </c>
      <c r="AD2494" s="21">
        <f>IF(Y2494&lt;&gt;"",Y2494,IF(U2494&lt;&gt;"",U2494,S2494))</f>
        <v/>
      </c>
      <c r="AE2494" s="21">
        <f>IF(AB2494&lt;&gt;"",AB2494,Z2494)</f>
        <v/>
      </c>
      <c r="AF2494" s="13" t="inlineStr">
        <is>
          <t>OMN Vol2 &gt; OP-5A &gt; NNSY &gt; Performance Data &gt; Direct Material</t>
        </is>
      </c>
      <c r="AG2494" s="7" t="inlineStr">
        <is>
          <t>90</t>
        </is>
      </c>
      <c r="AH2494" s="7" t="inlineStr">
        <is>
          <t>1B4B</t>
        </is>
      </c>
      <c r="AI2494" s="7" t="inlineStr">
        <is>
          <t>NNSY</t>
        </is>
      </c>
      <c r="AJ2494" s="7" t="inlineStr">
        <is>
          <t>Performance Data</t>
        </is>
      </c>
    </row>
    <row r="2495" ht="10" customHeight="1">
      <c r="A2495" s="7" t="inlineStr">
        <is>
          <t>OMN_Vol2</t>
        </is>
      </c>
      <c r="B2495" s="7" t="inlineStr">
        <is>
          <t>O&amp;M</t>
        </is>
      </c>
      <c r="D2495" s="7" t="inlineStr">
        <is>
          <t>Norfolk Naval Shipyard: Performance Data - Direct Contracts</t>
        </is>
      </c>
      <c r="E2495" s="13" t="inlineStr">
        <is>
          <t>[ALT_VIEW]</t>
        </is>
      </c>
      <c r="F2495" s="7" t="inlineStr">
        <is>
          <t>NNSY Total</t>
        </is>
      </c>
      <c r="I2495" s="14" t="n">
        <v>2</v>
      </c>
      <c r="J2495" s="7" t="inlineStr">
        <is>
          <t>Scheduled Depot Maintenance</t>
        </is>
      </c>
      <c r="K2495" s="15" t="n"/>
      <c r="O2495" s="15" t="n"/>
      <c r="P2495" s="16" t="n">
        <v>71531</v>
      </c>
      <c r="Q2495" s="16" t="n">
        <v>89606</v>
      </c>
      <c r="S2495" s="16" t="n">
        <v>73761</v>
      </c>
      <c r="AC2495" s="23">
        <f>IF(OR(E2495="",E2495="[PARENT]"),"ADD",IF(E2495="[ALT_VIEW]","ALT",""))</f>
        <v/>
      </c>
      <c r="AD2495" s="21">
        <f>IF(Y2495&lt;&gt;"",Y2495,IF(U2495&lt;&gt;"",U2495,S2495))</f>
        <v/>
      </c>
      <c r="AE2495" s="21">
        <f>IF(AB2495&lt;&gt;"",AB2495,Z2495)</f>
        <v/>
      </c>
      <c r="AF2495" s="13" t="inlineStr">
        <is>
          <t>OMN Vol2 &gt; OP-5A &gt; NNSY &gt; Performance Data &gt; Direct Contracts</t>
        </is>
      </c>
      <c r="AG2495" s="7" t="inlineStr">
        <is>
          <t>90</t>
        </is>
      </c>
      <c r="AH2495" s="7" t="inlineStr">
        <is>
          <t>1B4B</t>
        </is>
      </c>
      <c r="AI2495" s="7" t="inlineStr">
        <is>
          <t>NNSY</t>
        </is>
      </c>
      <c r="AJ2495" s="7" t="inlineStr">
        <is>
          <t>Performance Data</t>
        </is>
      </c>
    </row>
    <row r="2496" ht="10" customHeight="1">
      <c r="A2496" s="7" t="inlineStr">
        <is>
          <t>OMN_Vol2</t>
        </is>
      </c>
      <c r="B2496" s="7" t="inlineStr">
        <is>
          <t>O&amp;M</t>
        </is>
      </c>
      <c r="D2496" s="7" t="inlineStr">
        <is>
          <t>Norfolk Naval Shipyard: Performance Data - Other Direct Costs</t>
        </is>
      </c>
      <c r="E2496" s="13" t="inlineStr">
        <is>
          <t>[ALT_VIEW]</t>
        </is>
      </c>
      <c r="F2496" s="7" t="inlineStr">
        <is>
          <t>NNSY Total</t>
        </is>
      </c>
      <c r="I2496" s="14" t="n">
        <v>2</v>
      </c>
      <c r="J2496" s="7" t="inlineStr">
        <is>
          <t>Scheduled Depot Maintenance</t>
        </is>
      </c>
      <c r="K2496" s="15" t="n"/>
      <c r="O2496" s="15" t="n"/>
      <c r="P2496" s="16" t="n">
        <v>25527</v>
      </c>
      <c r="Q2496" s="16" t="n">
        <v>41797</v>
      </c>
      <c r="S2496" s="16" t="n">
        <v>31891</v>
      </c>
      <c r="AC2496" s="23">
        <f>IF(OR(E2496="",E2496="[PARENT]"),"ADD",IF(E2496="[ALT_VIEW]","ALT",""))</f>
        <v/>
      </c>
      <c r="AD2496" s="21">
        <f>IF(Y2496&lt;&gt;"",Y2496,IF(U2496&lt;&gt;"",U2496,S2496))</f>
        <v/>
      </c>
      <c r="AE2496" s="21">
        <f>IF(AB2496&lt;&gt;"",AB2496,Z2496)</f>
        <v/>
      </c>
      <c r="AF2496" s="13" t="inlineStr">
        <is>
          <t>OMN Vol2 &gt; OP-5A &gt; NNSY &gt; Performance Data &gt; Other Direct Costs</t>
        </is>
      </c>
      <c r="AG2496" s="7" t="inlineStr">
        <is>
          <t>90</t>
        </is>
      </c>
      <c r="AH2496" s="7" t="inlineStr">
        <is>
          <t>1B4B</t>
        </is>
      </c>
      <c r="AI2496" s="7" t="inlineStr">
        <is>
          <t>NNSY</t>
        </is>
      </c>
      <c r="AJ2496" s="7" t="inlineStr">
        <is>
          <t>Performance Data</t>
        </is>
      </c>
    </row>
    <row r="2497" ht="10" customHeight="1">
      <c r="A2497" s="7" t="inlineStr">
        <is>
          <t>OMN_Vol2</t>
        </is>
      </c>
      <c r="B2497" s="7" t="inlineStr">
        <is>
          <t>O&amp;M</t>
        </is>
      </c>
      <c r="D2497" s="7" t="inlineStr">
        <is>
          <t>Norfolk Naval Shipyard: Performance Data - Overhead Civilian Labor</t>
        </is>
      </c>
      <c r="E2497" s="13" t="inlineStr">
        <is>
          <t>[ALT_VIEW]</t>
        </is>
      </c>
      <c r="F2497" s="7" t="inlineStr">
        <is>
          <t>NNSY Total</t>
        </is>
      </c>
      <c r="I2497" s="14" t="n">
        <v>2</v>
      </c>
      <c r="J2497" s="7" t="inlineStr">
        <is>
          <t>Scheduled Depot Maintenance</t>
        </is>
      </c>
      <c r="K2497" s="15" t="n"/>
      <c r="O2497" s="15" t="n"/>
      <c r="P2497" s="16" t="n">
        <v>635666</v>
      </c>
      <c r="Q2497" s="16" t="n">
        <v>643370</v>
      </c>
      <c r="S2497" s="16" t="n">
        <v>689712</v>
      </c>
      <c r="AC2497" s="23">
        <f>IF(OR(E2497="",E2497="[PARENT]"),"ADD",IF(E2497="[ALT_VIEW]","ALT",""))</f>
        <v/>
      </c>
      <c r="AD2497" s="21">
        <f>IF(Y2497&lt;&gt;"",Y2497,IF(U2497&lt;&gt;"",U2497,S2497))</f>
        <v/>
      </c>
      <c r="AE2497" s="21">
        <f>IF(AB2497&lt;&gt;"",AB2497,Z2497)</f>
        <v/>
      </c>
      <c r="AF2497" s="13" t="inlineStr">
        <is>
          <t>OMN Vol2 &gt; OP-5A &gt; NNSY &gt; Performance Data &gt; Overhead Civilian Labor</t>
        </is>
      </c>
      <c r="AG2497" s="7" t="inlineStr">
        <is>
          <t>90</t>
        </is>
      </c>
      <c r="AH2497" s="7" t="inlineStr">
        <is>
          <t>1B4B</t>
        </is>
      </c>
      <c r="AI2497" s="7" t="inlineStr">
        <is>
          <t>NNSY</t>
        </is>
      </c>
      <c r="AJ2497" s="7" t="inlineStr">
        <is>
          <t>Performance Data</t>
        </is>
      </c>
    </row>
    <row r="2498" ht="10" customHeight="1">
      <c r="A2498" s="7" t="inlineStr">
        <is>
          <t>OMN_Vol2</t>
        </is>
      </c>
      <c r="B2498" s="7" t="inlineStr">
        <is>
          <t>O&amp;M</t>
        </is>
      </c>
      <c r="D2498" s="7" t="inlineStr">
        <is>
          <t>Norfolk Naval Shipyard: Performance Data - Overhead Military Labor</t>
        </is>
      </c>
      <c r="E2498" s="13" t="inlineStr">
        <is>
          <t>[ALT_VIEW]</t>
        </is>
      </c>
      <c r="F2498" s="7" t="inlineStr">
        <is>
          <t>NNSY Total</t>
        </is>
      </c>
      <c r="I2498" s="14" t="n">
        <v>2</v>
      </c>
      <c r="J2498" s="7" t="inlineStr">
        <is>
          <t>Scheduled Depot Maintenance</t>
        </is>
      </c>
      <c r="K2498" s="15" t="n"/>
      <c r="O2498" s="15" t="n"/>
      <c r="P2498" s="16" t="n">
        <v>36764</v>
      </c>
      <c r="Q2498" s="16" t="n">
        <v>37867</v>
      </c>
      <c r="S2498" s="16" t="n">
        <v>39179</v>
      </c>
      <c r="AC2498" s="23">
        <f>IF(OR(E2498="",E2498="[PARENT]"),"ADD",IF(E2498="[ALT_VIEW]","ALT",""))</f>
        <v/>
      </c>
      <c r="AD2498" s="21">
        <f>IF(Y2498&lt;&gt;"",Y2498,IF(U2498&lt;&gt;"",U2498,S2498))</f>
        <v/>
      </c>
      <c r="AE2498" s="21">
        <f>IF(AB2498&lt;&gt;"",AB2498,Z2498)</f>
        <v/>
      </c>
      <c r="AF2498" s="13" t="inlineStr">
        <is>
          <t>OMN Vol2 &gt; OP-5A &gt; NNSY &gt; Performance Data &gt; Overhead Military Labor</t>
        </is>
      </c>
      <c r="AG2498" s="7" t="inlineStr">
        <is>
          <t>90</t>
        </is>
      </c>
      <c r="AH2498" s="7" t="inlineStr">
        <is>
          <t>1B4B</t>
        </is>
      </c>
      <c r="AI2498" s="7" t="inlineStr">
        <is>
          <t>NNSY</t>
        </is>
      </c>
      <c r="AJ2498" s="7" t="inlineStr">
        <is>
          <t>Performance Data</t>
        </is>
      </c>
    </row>
    <row r="2499" ht="10" customHeight="1">
      <c r="A2499" s="7" t="inlineStr">
        <is>
          <t>OMN_Vol2</t>
        </is>
      </c>
      <c r="B2499" s="7" t="inlineStr">
        <is>
          <t>O&amp;M</t>
        </is>
      </c>
      <c r="D2499" s="7" t="inlineStr">
        <is>
          <t>Norfolk Naval Shipyard: Performance Data - Overhead Non-Labor</t>
        </is>
      </c>
      <c r="E2499" s="13" t="inlineStr">
        <is>
          <t>[ALT_VIEW]</t>
        </is>
      </c>
      <c r="F2499" s="7" t="inlineStr">
        <is>
          <t>NNSY Total</t>
        </is>
      </c>
      <c r="I2499" s="14" t="n">
        <v>2</v>
      </c>
      <c r="J2499" s="7" t="inlineStr">
        <is>
          <t>Scheduled Depot Maintenance</t>
        </is>
      </c>
      <c r="K2499" s="15" t="n"/>
      <c r="O2499" s="15" t="n"/>
      <c r="P2499" s="16" t="n">
        <v>251251</v>
      </c>
      <c r="Q2499" s="16" t="n">
        <v>239927</v>
      </c>
      <c r="S2499" s="16" t="n">
        <v>241288</v>
      </c>
      <c r="AC2499" s="23">
        <f>IF(OR(E2499="",E2499="[PARENT]"),"ADD",IF(E2499="[ALT_VIEW]","ALT",""))</f>
        <v/>
      </c>
      <c r="AD2499" s="21">
        <f>IF(Y2499&lt;&gt;"",Y2499,IF(U2499&lt;&gt;"",U2499,S2499))</f>
        <v/>
      </c>
      <c r="AE2499" s="21">
        <f>IF(AB2499&lt;&gt;"",AB2499,Z2499)</f>
        <v/>
      </c>
      <c r="AF2499" s="13" t="inlineStr">
        <is>
          <t>OMN Vol2 &gt; OP-5A &gt; NNSY &gt; Performance Data &gt; Overhead Non-Labor</t>
        </is>
      </c>
      <c r="AG2499" s="7" t="inlineStr">
        <is>
          <t>90</t>
        </is>
      </c>
      <c r="AH2499" s="7" t="inlineStr">
        <is>
          <t>1B4B</t>
        </is>
      </c>
      <c r="AI2499" s="7" t="inlineStr">
        <is>
          <t>NNSY</t>
        </is>
      </c>
      <c r="AJ2499" s="7" t="inlineStr">
        <is>
          <t>Performance Data</t>
        </is>
      </c>
    </row>
    <row r="2500" ht="10" customHeight="1">
      <c r="A2500" s="7" t="inlineStr">
        <is>
          <t>OMN_Vol2</t>
        </is>
      </c>
      <c r="B2500" s="7" t="inlineStr">
        <is>
          <t>O&amp;M</t>
        </is>
      </c>
      <c r="D2500" s="7" t="inlineStr">
        <is>
          <t>Norfolk Naval Shipyard: Performance Data - Navy/Marine Corps Intranet (NMCI)</t>
        </is>
      </c>
      <c r="E2500" s="13" t="inlineStr">
        <is>
          <t>[ALT_VIEW]</t>
        </is>
      </c>
      <c r="F2500" s="7" t="inlineStr">
        <is>
          <t>NNSY Total</t>
        </is>
      </c>
      <c r="I2500" s="14" t="n">
        <v>2</v>
      </c>
      <c r="J2500" s="7" t="inlineStr">
        <is>
          <t>Scheduled Depot Maintenance</t>
        </is>
      </c>
      <c r="K2500" s="15" t="n"/>
      <c r="O2500" s="15" t="n"/>
      <c r="P2500" s="16" t="n">
        <v>11021</v>
      </c>
      <c r="Q2500" s="16" t="n">
        <v>8446</v>
      </c>
      <c r="S2500" s="16" t="n">
        <v>8656</v>
      </c>
      <c r="AC2500" s="23">
        <f>IF(OR(E2500="",E2500="[PARENT]"),"ADD",IF(E2500="[ALT_VIEW]","ALT",""))</f>
        <v/>
      </c>
      <c r="AD2500" s="21">
        <f>IF(Y2500&lt;&gt;"",Y2500,IF(U2500&lt;&gt;"",U2500,S2500))</f>
        <v/>
      </c>
      <c r="AE2500" s="21">
        <f>IF(AB2500&lt;&gt;"",AB2500,Z2500)</f>
        <v/>
      </c>
      <c r="AF2500" s="13" t="inlineStr">
        <is>
          <t>OMN Vol2 &gt; OP-5A &gt; NNSY &gt; Performance Data &gt; NMCI</t>
        </is>
      </c>
      <c r="AG2500" s="7" t="inlineStr">
        <is>
          <t>90</t>
        </is>
      </c>
      <c r="AH2500" s="7" t="inlineStr">
        <is>
          <t>1B4B</t>
        </is>
      </c>
      <c r="AI2500" s="7" t="inlineStr">
        <is>
          <t>NNSY</t>
        </is>
      </c>
      <c r="AJ2500" s="7" t="inlineStr">
        <is>
          <t>Performance Data</t>
        </is>
      </c>
    </row>
    <row r="2501" ht="10" customHeight="1">
      <c r="A2501" s="7" t="inlineStr">
        <is>
          <t>OMN_Vol2</t>
        </is>
      </c>
      <c r="B2501" s="7" t="inlineStr">
        <is>
          <t>O&amp;M</t>
        </is>
      </c>
      <c r="D2501" s="7" t="inlineStr">
        <is>
          <t>Norfolk Naval Shipyard: Performance Data - Total</t>
        </is>
      </c>
      <c r="E2501" s="13" t="inlineStr">
        <is>
          <t>[ALT_VIEW]</t>
        </is>
      </c>
      <c r="F2501" s="7" t="inlineStr">
        <is>
          <t>NNSY Total</t>
        </is>
      </c>
      <c r="I2501" s="14" t="n">
        <v>2</v>
      </c>
      <c r="J2501" s="7" t="inlineStr">
        <is>
          <t>Scheduled Depot Maintenance</t>
        </is>
      </c>
      <c r="K2501" s="15" t="n"/>
      <c r="O2501" s="15" t="n"/>
      <c r="P2501" s="16" t="n">
        <v>2038931</v>
      </c>
      <c r="Q2501" s="16" t="n">
        <v>2157265</v>
      </c>
      <c r="S2501" s="16" t="n">
        <v>2102193</v>
      </c>
      <c r="AC2501" s="23">
        <f>IF(OR(E2501="",E2501="[PARENT]"),"ADD",IF(E2501="[ALT_VIEW]","ALT",""))</f>
        <v/>
      </c>
      <c r="AD2501" s="21">
        <f>IF(Y2501&lt;&gt;"",Y2501,IF(U2501&lt;&gt;"",U2501,S2501))</f>
        <v/>
      </c>
      <c r="AE2501" s="21">
        <f>IF(AB2501&lt;&gt;"",AB2501,Z2501)</f>
        <v/>
      </c>
      <c r="AF2501" s="13" t="inlineStr">
        <is>
          <t>OMN Vol2 &gt; OP-5A &gt; NNSY &gt; Performance Data &gt; Total</t>
        </is>
      </c>
      <c r="AG2501" s="7" t="inlineStr">
        <is>
          <t>90</t>
        </is>
      </c>
      <c r="AH2501" s="7" t="inlineStr">
        <is>
          <t>1B4B</t>
        </is>
      </c>
      <c r="AI2501" s="7" t="inlineStr">
        <is>
          <t>NNSY</t>
        </is>
      </c>
      <c r="AJ2501" s="7" t="inlineStr">
        <is>
          <t>Performance Data</t>
        </is>
      </c>
    </row>
    <row r="2502" ht="10" customHeight="1">
      <c r="A2502" s="7" t="inlineStr">
        <is>
          <t>OMN_Vol2</t>
        </is>
      </c>
      <c r="B2502" s="7" t="inlineStr">
        <is>
          <t>O&amp;M</t>
        </is>
      </c>
      <c r="D2502" s="7" t="inlineStr">
        <is>
          <t>Norfolk Naval Shipyard: Infrastructure - Base Operating Support (Operation &amp; Maintenance, Navy)</t>
        </is>
      </c>
      <c r="E2502" s="13" t="inlineStr">
        <is>
          <t>[SUB]</t>
        </is>
      </c>
      <c r="F2502" s="7" t="inlineStr">
        <is>
          <t>NNSY Infrastructure Total</t>
        </is>
      </c>
      <c r="I2502" s="14" t="n">
        <v>7</v>
      </c>
      <c r="J2502" s="7" t="inlineStr">
        <is>
          <t>Availability Support</t>
        </is>
      </c>
      <c r="K2502" s="15" t="n"/>
      <c r="O2502" s="15" t="n"/>
      <c r="P2502" s="16" t="n">
        <v>15344</v>
      </c>
      <c r="Q2502" s="16" t="n">
        <v>15666</v>
      </c>
      <c r="S2502" s="16" t="n">
        <v>15995</v>
      </c>
      <c r="AC2502" s="23">
        <f>IF(OR(E2502="",E2502="[PARENT]"),"ADD",IF(E2502="[ALT_VIEW]","ALT",""))</f>
        <v/>
      </c>
      <c r="AD2502" s="21">
        <f>IF(Y2502&lt;&gt;"",Y2502,IF(U2502&lt;&gt;"",U2502,S2502))</f>
        <v/>
      </c>
      <c r="AE2502" s="21">
        <f>IF(AB2502&lt;&gt;"",AB2502,Z2502)</f>
        <v/>
      </c>
      <c r="AF2502" s="13" t="inlineStr">
        <is>
          <t>OMN Vol2 &gt; OP-5A &gt; NNSY &gt; Infrastructure &gt; Base Operating Support (OM,N)</t>
        </is>
      </c>
      <c r="AG2502" s="7" t="inlineStr">
        <is>
          <t>93</t>
        </is>
      </c>
      <c r="AH2502" s="7" t="inlineStr">
        <is>
          <t>1B4B</t>
        </is>
      </c>
      <c r="AI2502" s="7" t="inlineStr">
        <is>
          <t>NNSY</t>
        </is>
      </c>
      <c r="AJ2502" s="7" t="inlineStr">
        <is>
          <t>Infrastructure</t>
        </is>
      </c>
    </row>
    <row r="2503" ht="10" customHeight="1">
      <c r="A2503" s="7" t="inlineStr">
        <is>
          <t>OMN_Vol2</t>
        </is>
      </c>
      <c r="B2503" s="7" t="inlineStr">
        <is>
          <t>O&amp;M</t>
        </is>
      </c>
      <c r="D2503" s="7" t="inlineStr">
        <is>
          <t>Norfolk Naval Shipyard: Infrastructure - Capital Equipment (Other Procurement, Navy)</t>
        </is>
      </c>
      <c r="E2503" s="13" t="inlineStr">
        <is>
          <t>[SUB]</t>
        </is>
      </c>
      <c r="F2503" s="7" t="inlineStr">
        <is>
          <t>NNSY Infrastructure Total</t>
        </is>
      </c>
      <c r="I2503" s="14" t="n">
        <v>7</v>
      </c>
      <c r="J2503" s="7" t="inlineStr">
        <is>
          <t>Availability Support</t>
        </is>
      </c>
      <c r="K2503" s="15" t="n"/>
      <c r="O2503" s="15" t="n"/>
      <c r="P2503" s="16" t="n">
        <v>9750</v>
      </c>
      <c r="Q2503" s="16" t="n">
        <v>54852</v>
      </c>
      <c r="S2503" s="16" t="n">
        <v>0</v>
      </c>
      <c r="AC2503" s="23">
        <f>IF(OR(E2503="",E2503="[PARENT]"),"ADD",IF(E2503="[ALT_VIEW]","ALT",""))</f>
        <v/>
      </c>
      <c r="AD2503" s="21">
        <f>IF(Y2503&lt;&gt;"",Y2503,IF(U2503&lt;&gt;"",U2503,S2503))</f>
        <v/>
      </c>
      <c r="AE2503" s="21">
        <f>IF(AB2503&lt;&gt;"",AB2503,Z2503)</f>
        <v/>
      </c>
      <c r="AF2503" s="13" t="inlineStr">
        <is>
          <t>OMN Vol2 &gt; OP-5A &gt; NNSY &gt; Infrastructure &gt; Capital Equipment (OP,N)</t>
        </is>
      </c>
      <c r="AG2503" s="7" t="inlineStr">
        <is>
          <t>93</t>
        </is>
      </c>
      <c r="AH2503" s="7" t="inlineStr">
        <is>
          <t>1B4B</t>
        </is>
      </c>
      <c r="AI2503" s="7" t="inlineStr">
        <is>
          <t>NNSY</t>
        </is>
      </c>
      <c r="AJ2503" s="7" t="inlineStr">
        <is>
          <t>Infrastructure</t>
        </is>
      </c>
    </row>
    <row r="2504" ht="10" customHeight="1">
      <c r="A2504" s="7" t="inlineStr">
        <is>
          <t>OMN_Vol2</t>
        </is>
      </c>
      <c r="B2504" s="7" t="inlineStr">
        <is>
          <t>O&amp;M</t>
        </is>
      </c>
      <c r="D2504" s="7" t="inlineStr">
        <is>
          <t>Norfolk Naval Shipyard: Infrastructure - Facilities Restoration &amp; Modernization (Operation &amp; Maintenance, Navy)</t>
        </is>
      </c>
      <c r="E2504" s="13" t="inlineStr">
        <is>
          <t>[SUB]</t>
        </is>
      </c>
      <c r="F2504" s="7" t="inlineStr">
        <is>
          <t>NNSY Infrastructure Total</t>
        </is>
      </c>
      <c r="I2504" s="14" t="n">
        <v>7</v>
      </c>
      <c r="J2504" s="7" t="inlineStr">
        <is>
          <t>Availability Support</t>
        </is>
      </c>
      <c r="K2504" s="15" t="n"/>
      <c r="O2504" s="15" t="n"/>
      <c r="P2504" s="16" t="n">
        <v>54098</v>
      </c>
      <c r="Q2504" s="16" t="n">
        <v>203185</v>
      </c>
      <c r="S2504" s="16" t="n">
        <v>45998</v>
      </c>
      <c r="AC2504" s="23">
        <f>IF(OR(E2504="",E2504="[PARENT]"),"ADD",IF(E2504="[ALT_VIEW]","ALT",""))</f>
        <v/>
      </c>
      <c r="AD2504" s="21">
        <f>IF(Y2504&lt;&gt;"",Y2504,IF(U2504&lt;&gt;"",U2504,S2504))</f>
        <v/>
      </c>
      <c r="AE2504" s="21">
        <f>IF(AB2504&lt;&gt;"",AB2504,Z2504)</f>
        <v/>
      </c>
      <c r="AF2504" s="13" t="inlineStr">
        <is>
          <t>OMN Vol2 &gt; OP-5A &gt; NNSY &gt; Infrastructure &gt; Facilities Restoration &amp; Modernization (OM,N)</t>
        </is>
      </c>
      <c r="AG2504" s="7" t="inlineStr">
        <is>
          <t>93</t>
        </is>
      </c>
      <c r="AH2504" s="7" t="inlineStr">
        <is>
          <t>1B4B</t>
        </is>
      </c>
      <c r="AI2504" s="7" t="inlineStr">
        <is>
          <t>NNSY</t>
        </is>
      </c>
      <c r="AJ2504" s="7" t="inlineStr">
        <is>
          <t>Infrastructure</t>
        </is>
      </c>
    </row>
    <row r="2505" ht="10" customHeight="1">
      <c r="A2505" s="7" t="inlineStr">
        <is>
          <t>OMN_Vol2</t>
        </is>
      </c>
      <c r="B2505" s="7" t="inlineStr">
        <is>
          <t>O&amp;M</t>
        </is>
      </c>
      <c r="D2505" s="7" t="inlineStr">
        <is>
          <t>Norfolk Naval Shipyard: Infrastructure - Facilities Restoration &amp; Modernization (Navy Working Capital Fund)</t>
        </is>
      </c>
      <c r="E2505" s="13" t="inlineStr">
        <is>
          <t>[SUB]</t>
        </is>
      </c>
      <c r="F2505" s="7" t="inlineStr">
        <is>
          <t>NNSY Infrastructure Total</t>
        </is>
      </c>
      <c r="I2505" s="14" t="n">
        <v>7</v>
      </c>
      <c r="J2505" s="7" t="inlineStr">
        <is>
          <t>Availability Support</t>
        </is>
      </c>
      <c r="K2505" s="15" t="n"/>
      <c r="O2505" s="15" t="n"/>
      <c r="P2505" s="16" t="n">
        <v>0</v>
      </c>
      <c r="Q2505" s="16" t="n">
        <v>0</v>
      </c>
      <c r="S2505" s="16" t="n">
        <v>0</v>
      </c>
      <c r="AC2505" s="23">
        <f>IF(OR(E2505="",E2505="[PARENT]"),"ADD",IF(E2505="[ALT_VIEW]","ALT",""))</f>
        <v/>
      </c>
      <c r="AD2505" s="21">
        <f>IF(Y2505&lt;&gt;"",Y2505,IF(U2505&lt;&gt;"",U2505,S2505))</f>
        <v/>
      </c>
      <c r="AE2505" s="21">
        <f>IF(AB2505&lt;&gt;"",AB2505,Z2505)</f>
        <v/>
      </c>
      <c r="AF2505" s="13" t="inlineStr">
        <is>
          <t>OMN Vol2 &gt; OP-5A &gt; NNSY &gt; Infrastructure &gt; Facilities Restoration &amp; Modernization (NWCF)</t>
        </is>
      </c>
      <c r="AG2505" s="7" t="inlineStr">
        <is>
          <t>93</t>
        </is>
      </c>
      <c r="AH2505" s="7" t="inlineStr">
        <is>
          <t>1B4B</t>
        </is>
      </c>
      <c r="AI2505" s="7" t="inlineStr">
        <is>
          <t>NNSY</t>
        </is>
      </c>
      <c r="AJ2505" s="7" t="inlineStr">
        <is>
          <t>Infrastructure</t>
        </is>
      </c>
    </row>
    <row r="2506" ht="10" customHeight="1">
      <c r="A2506" s="7" t="inlineStr">
        <is>
          <t>OMN_Vol2</t>
        </is>
      </c>
      <c r="B2506" s="7" t="inlineStr">
        <is>
          <t>O&amp;M</t>
        </is>
      </c>
      <c r="D2506" s="7" t="inlineStr">
        <is>
          <t>Norfolk Naval Shipyard: Infrastructure - Military Construction (MILCON)</t>
        </is>
      </c>
      <c r="E2506" s="13" t="inlineStr">
        <is>
          <t>[SUB]</t>
        </is>
      </c>
      <c r="F2506" s="7" t="inlineStr">
        <is>
          <t>NNSY Infrastructure Total</t>
        </is>
      </c>
      <c r="I2506" s="14" t="n">
        <v>7</v>
      </c>
      <c r="J2506" s="7" t="inlineStr">
        <is>
          <t>Availability Support</t>
        </is>
      </c>
      <c r="K2506" s="15" t="n"/>
      <c r="O2506" s="15" t="n"/>
      <c r="P2506" s="16" t="n">
        <v>81082</v>
      </c>
      <c r="Q2506" s="16" t="n">
        <v>54366</v>
      </c>
      <c r="S2506" s="16" t="n">
        <v>281883</v>
      </c>
      <c r="AC2506" s="23">
        <f>IF(OR(E2506="",E2506="[PARENT]"),"ADD",IF(E2506="[ALT_VIEW]","ALT",""))</f>
        <v/>
      </c>
      <c r="AD2506" s="21">
        <f>IF(Y2506&lt;&gt;"",Y2506,IF(U2506&lt;&gt;"",U2506,S2506))</f>
        <v/>
      </c>
      <c r="AE2506" s="21">
        <f>IF(AB2506&lt;&gt;"",AB2506,Z2506)</f>
        <v/>
      </c>
      <c r="AF2506" s="13" t="inlineStr">
        <is>
          <t>OMN Vol2 &gt; OP-5A &gt; NNSY &gt; Infrastructure &gt; Military Construction (MILCON)</t>
        </is>
      </c>
      <c r="AG2506" s="7" t="inlineStr">
        <is>
          <t>93</t>
        </is>
      </c>
      <c r="AH2506" s="7" t="inlineStr">
        <is>
          <t>1B4B</t>
        </is>
      </c>
      <c r="AI2506" s="7" t="inlineStr">
        <is>
          <t>NNSY</t>
        </is>
      </c>
      <c r="AJ2506" s="7" t="inlineStr">
        <is>
          <t>Infrastructure</t>
        </is>
      </c>
    </row>
    <row r="2507" ht="10" customHeight="1">
      <c r="A2507" s="7" t="inlineStr">
        <is>
          <t>OMN_Vol2</t>
        </is>
      </c>
      <c r="B2507" s="7" t="inlineStr">
        <is>
          <t>O&amp;M</t>
        </is>
      </c>
      <c r="D2507" s="7" t="inlineStr">
        <is>
          <t>Norfolk Naval Shipyard: Infrastructure - Total</t>
        </is>
      </c>
      <c r="E2507" s="13" t="inlineStr">
        <is>
          <t>[PARENT]</t>
        </is>
      </c>
      <c r="I2507" s="14" t="n">
        <v>7</v>
      </c>
      <c r="J2507" s="7" t="inlineStr">
        <is>
          <t>Availability Support</t>
        </is>
      </c>
      <c r="K2507" s="15" t="n"/>
      <c r="O2507" s="15" t="n"/>
      <c r="P2507" s="16" t="n">
        <v>160274</v>
      </c>
      <c r="Q2507" s="16" t="n">
        <v>328069</v>
      </c>
      <c r="S2507" s="16" t="n">
        <v>343876</v>
      </c>
      <c r="AC2507" s="23">
        <f>IF(OR(E2507="",E2507="[PARENT]"),"ADD",IF(E2507="[ALT_VIEW]","ALT",""))</f>
        <v/>
      </c>
      <c r="AD2507" s="21">
        <f>IF(Y2507&lt;&gt;"",Y2507,IF(U2507&lt;&gt;"",U2507,S2507))</f>
        <v/>
      </c>
      <c r="AE2507" s="21">
        <f>IF(AB2507&lt;&gt;"",AB2507,Z2507)</f>
        <v/>
      </c>
      <c r="AF2507" s="13" t="inlineStr">
        <is>
          <t>OMN Vol2 &gt; OP-5A &gt; NNSY &gt; Infrastructure &gt; Total</t>
        </is>
      </c>
      <c r="AG2507" s="7" t="inlineStr">
        <is>
          <t>93</t>
        </is>
      </c>
      <c r="AH2507" s="7" t="inlineStr">
        <is>
          <t>1B4B</t>
        </is>
      </c>
      <c r="AI2507" s="7" t="inlineStr">
        <is>
          <t>NNSY</t>
        </is>
      </c>
      <c r="AJ2507" s="7" t="inlineStr">
        <is>
          <t>Infrastructure</t>
        </is>
      </c>
    </row>
    <row r="2508" ht="10" customHeight="1">
      <c r="A2508" s="7" t="inlineStr">
        <is>
          <t>OMN_Vol2</t>
        </is>
      </c>
      <c r="B2508" s="7" t="inlineStr">
        <is>
          <t>O&amp;M</t>
        </is>
      </c>
      <c r="D2508" s="7" t="inlineStr">
        <is>
          <t>Norfolk Naval Shipyard: Capital Equipment - Abrasive Tumbler Blaster Foundation</t>
        </is>
      </c>
      <c r="E2508" s="13" t="inlineStr">
        <is>
          <t>[SUB]</t>
        </is>
      </c>
      <c r="F2508" s="7" t="inlineStr">
        <is>
          <t>NNSY Infrastructure Total</t>
        </is>
      </c>
      <c r="I2508" s="14" t="n">
        <v>7</v>
      </c>
      <c r="J2508" s="7" t="inlineStr">
        <is>
          <t>Availability Support</t>
        </is>
      </c>
      <c r="K2508" s="15" t="n"/>
      <c r="O2508" s="15" t="n"/>
      <c r="P2508" s="16" t="n">
        <v>1349</v>
      </c>
      <c r="AC2508" s="23">
        <f>IF(OR(E2508="",E2508="[PARENT]"),"ADD",IF(E2508="[ALT_VIEW]","ALT",""))</f>
        <v/>
      </c>
      <c r="AD2508" s="21">
        <f>IF(Y2508&lt;&gt;"",Y2508,IF(U2508&lt;&gt;"",U2508,S2508))</f>
        <v/>
      </c>
      <c r="AE2508" s="21">
        <f>IF(AB2508&lt;&gt;"",AB2508,Z2508)</f>
        <v/>
      </c>
      <c r="AF2508" s="13" t="inlineStr">
        <is>
          <t>OMN Vol2 &gt; OP-5A &gt; NNSY &gt; Capital Equipment &gt; Abrasive Tumbler Blaster Foundation</t>
        </is>
      </c>
      <c r="AG2508" s="7" t="inlineStr">
        <is>
          <t>93</t>
        </is>
      </c>
      <c r="AH2508" s="7" t="inlineStr">
        <is>
          <t>1B4B</t>
        </is>
      </c>
      <c r="AI2508" s="7" t="inlineStr">
        <is>
          <t>NNSY</t>
        </is>
      </c>
      <c r="AJ2508" s="7" t="inlineStr">
        <is>
          <t>Capital Equipment</t>
        </is>
      </c>
    </row>
    <row r="2509" ht="10" customHeight="1">
      <c r="A2509" s="7" t="inlineStr">
        <is>
          <t>OMN_Vol2</t>
        </is>
      </c>
      <c r="B2509" s="7" t="inlineStr">
        <is>
          <t>O&amp;M</t>
        </is>
      </c>
      <c r="D2509" s="7" t="inlineStr">
        <is>
          <t>Norfolk Naval Shipyard: Capital Equipment - Vindicator ESS</t>
        </is>
      </c>
      <c r="E2509" s="13" t="inlineStr">
        <is>
          <t>[SUB]</t>
        </is>
      </c>
      <c r="F2509" s="7" t="inlineStr">
        <is>
          <t>NNSY Infrastructure Total</t>
        </is>
      </c>
      <c r="I2509" s="14" t="n">
        <v>7</v>
      </c>
      <c r="J2509" s="7" t="inlineStr">
        <is>
          <t>Availability Support</t>
        </is>
      </c>
      <c r="K2509" s="15" t="n"/>
      <c r="O2509" s="15" t="n"/>
      <c r="P2509" s="16" t="n">
        <v>26</v>
      </c>
      <c r="AC2509" s="23">
        <f>IF(OR(E2509="",E2509="[PARENT]"),"ADD",IF(E2509="[ALT_VIEW]","ALT",""))</f>
        <v/>
      </c>
      <c r="AD2509" s="21">
        <f>IF(Y2509&lt;&gt;"",Y2509,IF(U2509&lt;&gt;"",U2509,S2509))</f>
        <v/>
      </c>
      <c r="AE2509" s="21">
        <f>IF(AB2509&lt;&gt;"",AB2509,Z2509)</f>
        <v/>
      </c>
      <c r="AF2509" s="13" t="inlineStr">
        <is>
          <t>OMN Vol2 &gt; OP-5A &gt; NNSY &gt; Capital Equipment &gt; Vindicator ESS</t>
        </is>
      </c>
      <c r="AG2509" s="7" t="inlineStr">
        <is>
          <t>93</t>
        </is>
      </c>
      <c r="AH2509" s="7" t="inlineStr">
        <is>
          <t>1B4B</t>
        </is>
      </c>
      <c r="AI2509" s="7" t="inlineStr">
        <is>
          <t>NNSY</t>
        </is>
      </c>
      <c r="AJ2509" s="7" t="inlineStr">
        <is>
          <t>Capital Equipment</t>
        </is>
      </c>
    </row>
    <row r="2510" ht="10" customHeight="1">
      <c r="A2510" s="7" t="inlineStr">
        <is>
          <t>OMN_Vol2</t>
        </is>
      </c>
      <c r="B2510" s="7" t="inlineStr">
        <is>
          <t>O&amp;M</t>
        </is>
      </c>
      <c r="D2510" s="7" t="inlineStr">
        <is>
          <t>Norfolk Naval Shipyard: Capital Equipment - Security LAN with CCTV Replacement</t>
        </is>
      </c>
      <c r="E2510" s="13" t="inlineStr">
        <is>
          <t>[SUB]</t>
        </is>
      </c>
      <c r="F2510" s="7" t="inlineStr">
        <is>
          <t>NNSY Infrastructure Total</t>
        </is>
      </c>
      <c r="I2510" s="14" t="n">
        <v>7</v>
      </c>
      <c r="J2510" s="7" t="inlineStr">
        <is>
          <t>Availability Support</t>
        </is>
      </c>
      <c r="K2510" s="15" t="n"/>
      <c r="O2510" s="15" t="n"/>
      <c r="P2510" s="16" t="n">
        <v>1123</v>
      </c>
      <c r="AC2510" s="23">
        <f>IF(OR(E2510="",E2510="[PARENT]"),"ADD",IF(E2510="[ALT_VIEW]","ALT",""))</f>
        <v/>
      </c>
      <c r="AD2510" s="21">
        <f>IF(Y2510&lt;&gt;"",Y2510,IF(U2510&lt;&gt;"",U2510,S2510))</f>
        <v/>
      </c>
      <c r="AE2510" s="21">
        <f>IF(AB2510&lt;&gt;"",AB2510,Z2510)</f>
        <v/>
      </c>
      <c r="AF2510" s="13" t="inlineStr">
        <is>
          <t>OMN Vol2 &gt; OP-5A &gt; NNSY &gt; Capital Equipment &gt; Security LAN with CCTV Replacement</t>
        </is>
      </c>
      <c r="AG2510" s="7" t="inlineStr">
        <is>
          <t>93</t>
        </is>
      </c>
      <c r="AH2510" s="7" t="inlineStr">
        <is>
          <t>1B4B</t>
        </is>
      </c>
      <c r="AI2510" s="7" t="inlineStr">
        <is>
          <t>NNSY</t>
        </is>
      </c>
      <c r="AJ2510" s="7" t="inlineStr">
        <is>
          <t>Capital Equipment</t>
        </is>
      </c>
    </row>
    <row r="2511" ht="10" customHeight="1">
      <c r="A2511" s="7" t="inlineStr">
        <is>
          <t>OMN_Vol2</t>
        </is>
      </c>
      <c r="B2511" s="7" t="inlineStr">
        <is>
          <t>O&amp;M</t>
        </is>
      </c>
      <c r="D2511" s="7" t="inlineStr">
        <is>
          <t>Norfolk Naval Shipyard: Capital Equipment - 750 Ton Press Brake</t>
        </is>
      </c>
      <c r="E2511" s="13" t="inlineStr">
        <is>
          <t>[SUB]</t>
        </is>
      </c>
      <c r="F2511" s="7" t="inlineStr">
        <is>
          <t>NNSY Infrastructure Total</t>
        </is>
      </c>
      <c r="I2511" s="14" t="n">
        <v>7</v>
      </c>
      <c r="J2511" s="7" t="inlineStr">
        <is>
          <t>Availability Support</t>
        </is>
      </c>
      <c r="K2511" s="15" t="n"/>
      <c r="O2511" s="15" t="n"/>
      <c r="P2511" s="16" t="n">
        <v>3158</v>
      </c>
      <c r="AC2511" s="23">
        <f>IF(OR(E2511="",E2511="[PARENT]"),"ADD",IF(E2511="[ALT_VIEW]","ALT",""))</f>
        <v/>
      </c>
      <c r="AD2511" s="21">
        <f>IF(Y2511&lt;&gt;"",Y2511,IF(U2511&lt;&gt;"",U2511,S2511))</f>
        <v/>
      </c>
      <c r="AE2511" s="21">
        <f>IF(AB2511&lt;&gt;"",AB2511,Z2511)</f>
        <v/>
      </c>
      <c r="AF2511" s="13" t="inlineStr">
        <is>
          <t>OMN Vol2 &gt; OP-5A &gt; NNSY &gt; Capital Equipment &gt; 750 Ton Press Brake</t>
        </is>
      </c>
      <c r="AG2511" s="7" t="inlineStr">
        <is>
          <t>93</t>
        </is>
      </c>
      <c r="AH2511" s="7" t="inlineStr">
        <is>
          <t>1B4B</t>
        </is>
      </c>
      <c r="AI2511" s="7" t="inlineStr">
        <is>
          <t>NNSY</t>
        </is>
      </c>
      <c r="AJ2511" s="7" t="inlineStr">
        <is>
          <t>Capital Equipment</t>
        </is>
      </c>
    </row>
    <row r="2512" ht="10" customHeight="1">
      <c r="A2512" s="7" t="inlineStr">
        <is>
          <t>OMN_Vol2</t>
        </is>
      </c>
      <c r="B2512" s="7" t="inlineStr">
        <is>
          <t>O&amp;M</t>
        </is>
      </c>
      <c r="D2512" s="7" t="inlineStr">
        <is>
          <t>Norfolk Naval Shipyard: Capital Equipment - Horizontal Turning Center, qty 4</t>
        </is>
      </c>
      <c r="E2512" s="13" t="inlineStr">
        <is>
          <t>[SUB]</t>
        </is>
      </c>
      <c r="F2512" s="7" t="inlineStr">
        <is>
          <t>NNSY Infrastructure Total</t>
        </is>
      </c>
      <c r="I2512" s="14" t="n">
        <v>7</v>
      </c>
      <c r="J2512" s="7" t="inlineStr">
        <is>
          <t>Availability Support</t>
        </is>
      </c>
      <c r="K2512" s="15" t="n"/>
      <c r="O2512" s="15" t="n"/>
      <c r="P2512" s="16" t="n">
        <v>1936</v>
      </c>
      <c r="AC2512" s="23">
        <f>IF(OR(E2512="",E2512="[PARENT]"),"ADD",IF(E2512="[ALT_VIEW]","ALT",""))</f>
        <v/>
      </c>
      <c r="AD2512" s="21">
        <f>IF(Y2512&lt;&gt;"",Y2512,IF(U2512&lt;&gt;"",U2512,S2512))</f>
        <v/>
      </c>
      <c r="AE2512" s="21">
        <f>IF(AB2512&lt;&gt;"",AB2512,Z2512)</f>
        <v/>
      </c>
      <c r="AF2512" s="13" t="inlineStr">
        <is>
          <t>OMN Vol2 &gt; OP-5A &gt; NNSY &gt; Capital Equipment &gt; Horizontal Turning Center, qty 4</t>
        </is>
      </c>
      <c r="AG2512" s="7" t="inlineStr">
        <is>
          <t>93</t>
        </is>
      </c>
      <c r="AH2512" s="7" t="inlineStr">
        <is>
          <t>1B4B</t>
        </is>
      </c>
      <c r="AI2512" s="7" t="inlineStr">
        <is>
          <t>NNSY</t>
        </is>
      </c>
      <c r="AJ2512" s="7" t="inlineStr">
        <is>
          <t>Capital Equipment</t>
        </is>
      </c>
    </row>
    <row r="2513" ht="10" customHeight="1">
      <c r="A2513" s="7" t="inlineStr">
        <is>
          <t>OMN_Vol2</t>
        </is>
      </c>
      <c r="B2513" s="7" t="inlineStr">
        <is>
          <t>O&amp;M</t>
        </is>
      </c>
      <c r="D2513" s="7" t="inlineStr">
        <is>
          <t>Norfolk Naval Shipyard: Capital Equipment - Pure Water Trailers, qty 2</t>
        </is>
      </c>
      <c r="E2513" s="13" t="inlineStr">
        <is>
          <t>[SUB]</t>
        </is>
      </c>
      <c r="F2513" s="7" t="inlineStr">
        <is>
          <t>NNSY Infrastructure Total</t>
        </is>
      </c>
      <c r="I2513" s="14" t="n">
        <v>7</v>
      </c>
      <c r="J2513" s="7" t="inlineStr">
        <is>
          <t>Availability Support</t>
        </is>
      </c>
      <c r="K2513" s="15" t="n"/>
      <c r="O2513" s="15" t="n"/>
      <c r="P2513" s="16" t="n">
        <v>2158</v>
      </c>
      <c r="AC2513" s="23">
        <f>IF(OR(E2513="",E2513="[PARENT]"),"ADD",IF(E2513="[ALT_VIEW]","ALT",""))</f>
        <v/>
      </c>
      <c r="AD2513" s="21">
        <f>IF(Y2513&lt;&gt;"",Y2513,IF(U2513&lt;&gt;"",U2513,S2513))</f>
        <v/>
      </c>
      <c r="AE2513" s="21">
        <f>IF(AB2513&lt;&gt;"",AB2513,Z2513)</f>
        <v/>
      </c>
      <c r="AF2513" s="13" t="inlineStr">
        <is>
          <t>OMN Vol2 &gt; OP-5A &gt; NNSY &gt; Capital Equipment &gt; Pure Water Trailers, qty 2</t>
        </is>
      </c>
      <c r="AG2513" s="7" t="inlineStr">
        <is>
          <t>93</t>
        </is>
      </c>
      <c r="AH2513" s="7" t="inlineStr">
        <is>
          <t>1B4B</t>
        </is>
      </c>
      <c r="AI2513" s="7" t="inlineStr">
        <is>
          <t>NNSY</t>
        </is>
      </c>
      <c r="AJ2513" s="7" t="inlineStr">
        <is>
          <t>Capital Equipment</t>
        </is>
      </c>
    </row>
    <row r="2514" ht="10" customHeight="1">
      <c r="A2514" s="7" t="inlineStr">
        <is>
          <t>OMN_Vol2</t>
        </is>
      </c>
      <c r="B2514" s="7" t="inlineStr">
        <is>
          <t>O&amp;M</t>
        </is>
      </c>
      <c r="D2514" s="7" t="inlineStr">
        <is>
          <t>Norfolk Naval Shipyard: Capital Equipment - Portal Crane, 175 Ton</t>
        </is>
      </c>
      <c r="E2514" s="13" t="inlineStr">
        <is>
          <t>[SUB]</t>
        </is>
      </c>
      <c r="F2514" s="7" t="inlineStr">
        <is>
          <t>NNSY Infrastructure Total</t>
        </is>
      </c>
      <c r="I2514" s="14" t="n">
        <v>7</v>
      </c>
      <c r="J2514" s="7" t="inlineStr">
        <is>
          <t>Availability Support</t>
        </is>
      </c>
      <c r="K2514" s="15" t="n"/>
      <c r="O2514" s="15" t="n"/>
      <c r="Q2514" s="16" t="n">
        <v>49287</v>
      </c>
      <c r="AC2514" s="23">
        <f>IF(OR(E2514="",E2514="[PARENT]"),"ADD",IF(E2514="[ALT_VIEW]","ALT",""))</f>
        <v/>
      </c>
      <c r="AD2514" s="21">
        <f>IF(Y2514&lt;&gt;"",Y2514,IF(U2514&lt;&gt;"",U2514,S2514))</f>
        <v/>
      </c>
      <c r="AE2514" s="21">
        <f>IF(AB2514&lt;&gt;"",AB2514,Z2514)</f>
        <v/>
      </c>
      <c r="AF2514" s="13" t="inlineStr">
        <is>
          <t>OMN Vol2 &gt; OP-5A &gt; NNSY &gt; Capital Equipment &gt; Portal Crane, 175 Ton</t>
        </is>
      </c>
      <c r="AG2514" s="7" t="inlineStr">
        <is>
          <t>93</t>
        </is>
      </c>
      <c r="AH2514" s="7" t="inlineStr">
        <is>
          <t>1B4B</t>
        </is>
      </c>
      <c r="AI2514" s="7" t="inlineStr">
        <is>
          <t>NNSY</t>
        </is>
      </c>
      <c r="AJ2514" s="7" t="inlineStr">
        <is>
          <t>Capital Equipment</t>
        </is>
      </c>
    </row>
    <row r="2515" ht="10" customHeight="1">
      <c r="A2515" s="7" t="inlineStr">
        <is>
          <t>OMN_Vol2</t>
        </is>
      </c>
      <c r="B2515" s="7" t="inlineStr">
        <is>
          <t>O&amp;M</t>
        </is>
      </c>
      <c r="D2515" s="7" t="inlineStr">
        <is>
          <t>Norfolk Naval Shipyard: Capital Equipment - DD3 Utility Bridge Design</t>
        </is>
      </c>
      <c r="E2515" s="13" t="inlineStr">
        <is>
          <t>[SUB]</t>
        </is>
      </c>
      <c r="F2515" s="7" t="inlineStr">
        <is>
          <t>NNSY Infrastructure Total</t>
        </is>
      </c>
      <c r="I2515" s="14" t="n">
        <v>7</v>
      </c>
      <c r="J2515" s="7" t="inlineStr">
        <is>
          <t>Availability Support</t>
        </is>
      </c>
      <c r="K2515" s="15" t="n"/>
      <c r="O2515" s="15" t="n"/>
      <c r="Q2515" s="16" t="n">
        <v>490</v>
      </c>
      <c r="AC2515" s="23">
        <f>IF(OR(E2515="",E2515="[PARENT]"),"ADD",IF(E2515="[ALT_VIEW]","ALT",""))</f>
        <v/>
      </c>
      <c r="AD2515" s="21">
        <f>IF(Y2515&lt;&gt;"",Y2515,IF(U2515&lt;&gt;"",U2515,S2515))</f>
        <v/>
      </c>
      <c r="AE2515" s="21">
        <f>IF(AB2515&lt;&gt;"",AB2515,Z2515)</f>
        <v/>
      </c>
      <c r="AF2515" s="13" t="inlineStr">
        <is>
          <t>OMN Vol2 &gt; OP-5A &gt; NNSY &gt; Capital Equipment &gt; DD3 Utility Bridge Design</t>
        </is>
      </c>
      <c r="AG2515" s="7" t="inlineStr">
        <is>
          <t>93</t>
        </is>
      </c>
      <c r="AH2515" s="7" t="inlineStr">
        <is>
          <t>1B4B</t>
        </is>
      </c>
      <c r="AI2515" s="7" t="inlineStr">
        <is>
          <t>NNSY</t>
        </is>
      </c>
      <c r="AJ2515" s="7" t="inlineStr">
        <is>
          <t>Capital Equipment</t>
        </is>
      </c>
    </row>
    <row r="2516" ht="10" customHeight="1">
      <c r="A2516" s="7" t="inlineStr">
        <is>
          <t>OMN_Vol2</t>
        </is>
      </c>
      <c r="B2516" s="7" t="inlineStr">
        <is>
          <t>O&amp;M</t>
        </is>
      </c>
      <c r="D2516" s="7" t="inlineStr">
        <is>
          <t>Norfolk Naval Shipyard: Capital Equipment - Pure Water Trailers, qty 2</t>
        </is>
      </c>
      <c r="E2516" s="13" t="inlineStr">
        <is>
          <t>[SUB]</t>
        </is>
      </c>
      <c r="F2516" s="7" t="inlineStr">
        <is>
          <t>NNSY Infrastructure Total</t>
        </is>
      </c>
      <c r="I2516" s="14" t="n">
        <v>7</v>
      </c>
      <c r="J2516" s="7" t="inlineStr">
        <is>
          <t>Availability Support</t>
        </is>
      </c>
      <c r="K2516" s="15" t="n"/>
      <c r="O2516" s="15" t="n"/>
      <c r="Q2516" s="16" t="n">
        <v>2199</v>
      </c>
      <c r="AC2516" s="23">
        <f>IF(OR(E2516="",E2516="[PARENT]"),"ADD",IF(E2516="[ALT_VIEW]","ALT",""))</f>
        <v/>
      </c>
      <c r="AD2516" s="21">
        <f>IF(Y2516&lt;&gt;"",Y2516,IF(U2516&lt;&gt;"",U2516,S2516))</f>
        <v/>
      </c>
      <c r="AE2516" s="21">
        <f>IF(AB2516&lt;&gt;"",AB2516,Z2516)</f>
        <v/>
      </c>
      <c r="AF2516" s="13" t="inlineStr">
        <is>
          <t>OMN Vol2 &gt; OP-5A &gt; NNSY &gt; Capital Equipment &gt; Pure Water Trailers, qty 2</t>
        </is>
      </c>
      <c r="AG2516" s="7" t="inlineStr">
        <is>
          <t>93</t>
        </is>
      </c>
      <c r="AH2516" s="7" t="inlineStr">
        <is>
          <t>1B4B</t>
        </is>
      </c>
      <c r="AI2516" s="7" t="inlineStr">
        <is>
          <t>NNSY</t>
        </is>
      </c>
      <c r="AJ2516" s="7" t="inlineStr">
        <is>
          <t>Capital Equipment</t>
        </is>
      </c>
    </row>
    <row r="2517" ht="10" customHeight="1">
      <c r="A2517" s="7" t="inlineStr">
        <is>
          <t>OMN_Vol2</t>
        </is>
      </c>
      <c r="B2517" s="7" t="inlineStr">
        <is>
          <t>O&amp;M</t>
        </is>
      </c>
      <c r="D2517" s="7" t="inlineStr">
        <is>
          <t>Norfolk Naval Shipyard: Capital Equipment - Electronic Security System Scope Increase</t>
        </is>
      </c>
      <c r="E2517" s="13" t="inlineStr">
        <is>
          <t>[SUB]</t>
        </is>
      </c>
      <c r="F2517" s="7" t="inlineStr">
        <is>
          <t>NNSY Infrastructure Total</t>
        </is>
      </c>
      <c r="I2517" s="14" t="n">
        <v>7</v>
      </c>
      <c r="J2517" s="7" t="inlineStr">
        <is>
          <t>Availability Support</t>
        </is>
      </c>
      <c r="K2517" s="15" t="n"/>
      <c r="O2517" s="15" t="n"/>
      <c r="Q2517" s="16" t="n">
        <v>2876</v>
      </c>
      <c r="AC2517" s="23">
        <f>IF(OR(E2517="",E2517="[PARENT]"),"ADD",IF(E2517="[ALT_VIEW]","ALT",""))</f>
        <v/>
      </c>
      <c r="AD2517" s="21">
        <f>IF(Y2517&lt;&gt;"",Y2517,IF(U2517&lt;&gt;"",U2517,S2517))</f>
        <v/>
      </c>
      <c r="AE2517" s="21">
        <f>IF(AB2517&lt;&gt;"",AB2517,Z2517)</f>
        <v/>
      </c>
      <c r="AF2517" s="13" t="inlineStr">
        <is>
          <t>OMN Vol2 &gt; OP-5A &gt; NNSY &gt; Capital Equipment &gt; Electronic Security System Scope Increase</t>
        </is>
      </c>
      <c r="AG2517" s="7" t="inlineStr">
        <is>
          <t>93</t>
        </is>
      </c>
      <c r="AH2517" s="7" t="inlineStr">
        <is>
          <t>1B4B</t>
        </is>
      </c>
      <c r="AI2517" s="7" t="inlineStr">
        <is>
          <t>NNSY</t>
        </is>
      </c>
      <c r="AJ2517" s="7" t="inlineStr">
        <is>
          <t>Capital Equipment</t>
        </is>
      </c>
    </row>
    <row r="2518" ht="10" customHeight="1">
      <c r="A2518" s="7" t="inlineStr">
        <is>
          <t>OMN_Vol2</t>
        </is>
      </c>
      <c r="B2518" s="7" t="inlineStr">
        <is>
          <t>O&amp;M</t>
        </is>
      </c>
      <c r="D2518" s="7" t="inlineStr">
        <is>
          <t>Norfolk Naval Shipyard: Capital Equipment - VARIOUS NSYs: Various Equipment</t>
        </is>
      </c>
      <c r="E2518" s="13" t="inlineStr">
        <is>
          <t>[SUB]</t>
        </is>
      </c>
      <c r="F2518" s="7" t="inlineStr">
        <is>
          <t>NNSY Infrastructure Total</t>
        </is>
      </c>
      <c r="I2518" s="14" t="n">
        <v>7</v>
      </c>
      <c r="J2518" s="7" t="inlineStr">
        <is>
          <t>Availability Support</t>
        </is>
      </c>
      <c r="K2518" s="15" t="n"/>
      <c r="O2518" s="15" t="n"/>
      <c r="S2518" s="16" t="n">
        <v>139280</v>
      </c>
      <c r="AC2518" s="23">
        <f>IF(OR(E2518="",E2518="[PARENT]"),"ADD",IF(E2518="[ALT_VIEW]","ALT",""))</f>
        <v/>
      </c>
      <c r="AD2518" s="21">
        <f>IF(Y2518&lt;&gt;"",Y2518,IF(U2518&lt;&gt;"",U2518,S2518))</f>
        <v/>
      </c>
      <c r="AE2518" s="21">
        <f>IF(AB2518&lt;&gt;"",AB2518,Z2518)</f>
        <v/>
      </c>
      <c r="AF2518" s="13" t="inlineStr">
        <is>
          <t>OMN Vol2 &gt; OP-5A &gt; NNSY &gt; Capital Equipment &gt; VARIOUS NSYs: Various Equipment</t>
        </is>
      </c>
      <c r="AG2518" s="7" t="inlineStr">
        <is>
          <t>93</t>
        </is>
      </c>
      <c r="AH2518" s="7" t="inlineStr">
        <is>
          <t>1B4B</t>
        </is>
      </c>
      <c r="AI2518" s="7" t="inlineStr">
        <is>
          <t>NNSY</t>
        </is>
      </c>
      <c r="AJ2518" s="7" t="inlineStr">
        <is>
          <t>Capital Equipment</t>
        </is>
      </c>
    </row>
    <row r="2519" ht="10" customHeight="1">
      <c r="A2519" s="7" t="inlineStr">
        <is>
          <t>OMN_Vol2</t>
        </is>
      </c>
      <c r="B2519" s="7" t="inlineStr">
        <is>
          <t>O&amp;M</t>
        </is>
      </c>
      <c r="D2519" s="7" t="inlineStr">
        <is>
          <t>Norfolk Naval Shipyard: Military Construction (MILCON) - DRY DOCK SALTWATER SYSTEM FOR CVN-78, INCREMENT 3 of 3</t>
        </is>
      </c>
      <c r="E2519" s="13" t="inlineStr">
        <is>
          <t>[SUB]</t>
        </is>
      </c>
      <c r="F2519" s="7" t="inlineStr">
        <is>
          <t>NNSY Infrastructure Total</t>
        </is>
      </c>
      <c r="I2519" s="14" t="n">
        <v>7</v>
      </c>
      <c r="J2519" s="7" t="inlineStr">
        <is>
          <t>Availability Support</t>
        </is>
      </c>
      <c r="K2519" s="15" t="n"/>
      <c r="O2519" s="15" t="n"/>
      <c r="P2519" s="16" t="n">
        <v>81082</v>
      </c>
      <c r="AC2519" s="23">
        <f>IF(OR(E2519="",E2519="[PARENT]"),"ADD",IF(E2519="[ALT_VIEW]","ALT",""))</f>
        <v/>
      </c>
      <c r="AD2519" s="21">
        <f>IF(Y2519&lt;&gt;"",Y2519,IF(U2519&lt;&gt;"",U2519,S2519))</f>
        <v/>
      </c>
      <c r="AE2519" s="21">
        <f>IF(AB2519&lt;&gt;"",AB2519,Z2519)</f>
        <v/>
      </c>
      <c r="AF2519" s="13" t="inlineStr">
        <is>
          <t>OMN Vol2 &gt; OP-5A &gt; NNSY &gt; MILCON &gt; DRY DOCK SALTWATER SYSTEM FOR CVN-78, INCREMENT 3 of 3</t>
        </is>
      </c>
      <c r="AG2519" s="7" t="inlineStr">
        <is>
          <t>94</t>
        </is>
      </c>
      <c r="AH2519" s="7" t="inlineStr">
        <is>
          <t>1B4B</t>
        </is>
      </c>
      <c r="AI2519" s="7" t="inlineStr">
        <is>
          <t>NNSY</t>
        </is>
      </c>
      <c r="AJ2519" s="7" t="inlineStr">
        <is>
          <t>MILCON</t>
        </is>
      </c>
    </row>
    <row r="2520" ht="10" customHeight="1">
      <c r="A2520" s="7" t="inlineStr">
        <is>
          <t>OMN_Vol2</t>
        </is>
      </c>
      <c r="B2520" s="7" t="inlineStr">
        <is>
          <t>O&amp;M</t>
        </is>
      </c>
      <c r="D2520" s="7" t="inlineStr">
        <is>
          <t>Norfolk Naval Shipyard: Military Construction (MILCON) - DD 3 MODERNIZATION, INCREMENT 1 of 5</t>
        </is>
      </c>
      <c r="E2520" s="13" t="inlineStr">
        <is>
          <t>[SUB]</t>
        </is>
      </c>
      <c r="F2520" s="7" t="inlineStr">
        <is>
          <t>NNSY Infrastructure Total</t>
        </is>
      </c>
      <c r="I2520" s="14" t="n">
        <v>7</v>
      </c>
      <c r="J2520" s="7" t="inlineStr">
        <is>
          <t>Availability Support</t>
        </is>
      </c>
      <c r="K2520" s="15" t="n"/>
      <c r="O2520" s="15" t="n"/>
      <c r="Q2520" s="16" t="n">
        <v>54366</v>
      </c>
      <c r="AC2520" s="23">
        <f>IF(OR(E2520="",E2520="[PARENT]"),"ADD",IF(E2520="[ALT_VIEW]","ALT",""))</f>
        <v/>
      </c>
      <c r="AD2520" s="21">
        <f>IF(Y2520&lt;&gt;"",Y2520,IF(U2520&lt;&gt;"",U2520,S2520))</f>
        <v/>
      </c>
      <c r="AE2520" s="21">
        <f>IF(AB2520&lt;&gt;"",AB2520,Z2520)</f>
        <v/>
      </c>
      <c r="AF2520" s="13" t="inlineStr">
        <is>
          <t>OMN Vol2 &gt; OP-5A &gt; NNSY &gt; MILCON &gt; DD 3 MODERNIZATION, INCREMENT 1 of 5</t>
        </is>
      </c>
      <c r="AG2520" s="7" t="inlineStr">
        <is>
          <t>94</t>
        </is>
      </c>
      <c r="AH2520" s="7" t="inlineStr">
        <is>
          <t>1B4B</t>
        </is>
      </c>
      <c r="AI2520" s="7" t="inlineStr">
        <is>
          <t>NNSY</t>
        </is>
      </c>
      <c r="AJ2520" s="7" t="inlineStr">
        <is>
          <t>MILCON</t>
        </is>
      </c>
    </row>
    <row r="2521" ht="10" customHeight="1">
      <c r="A2521" s="7" t="inlineStr">
        <is>
          <t>OMN_Vol2</t>
        </is>
      </c>
      <c r="B2521" s="7" t="inlineStr">
        <is>
          <t>O&amp;M</t>
        </is>
      </c>
      <c r="D2521" s="7" t="inlineStr">
        <is>
          <t>Norfolk Naval Shipyard: Military Construction (MILCON) - DD 3 MODERNIZATION, INCREMENT 2 of 5</t>
        </is>
      </c>
      <c r="E2521" s="13" t="inlineStr">
        <is>
          <t>[SUB]</t>
        </is>
      </c>
      <c r="F2521" s="7" t="inlineStr">
        <is>
          <t>NNSY Infrastructure Total</t>
        </is>
      </c>
      <c r="I2521" s="14" t="n">
        <v>7</v>
      </c>
      <c r="J2521" s="7" t="inlineStr">
        <is>
          <t>Availability Support</t>
        </is>
      </c>
      <c r="K2521" s="15" t="n"/>
      <c r="O2521" s="15" t="n"/>
      <c r="S2521" s="16" t="n">
        <v>188576</v>
      </c>
      <c r="AC2521" s="23">
        <f>IF(OR(E2521="",E2521="[PARENT]"),"ADD",IF(E2521="[ALT_VIEW]","ALT",""))</f>
        <v/>
      </c>
      <c r="AD2521" s="21">
        <f>IF(Y2521&lt;&gt;"",Y2521,IF(U2521&lt;&gt;"",U2521,S2521))</f>
        <v/>
      </c>
      <c r="AE2521" s="21">
        <f>IF(AB2521&lt;&gt;"",AB2521,Z2521)</f>
        <v/>
      </c>
      <c r="AF2521" s="13" t="inlineStr">
        <is>
          <t>OMN Vol2 &gt; OP-5A &gt; NNSY &gt; MILCON &gt; DD 3 MODERNIZATION, INCREMENT 2 of 5</t>
        </is>
      </c>
      <c r="AG2521" s="7" t="inlineStr">
        <is>
          <t>94</t>
        </is>
      </c>
      <c r="AH2521" s="7" t="inlineStr">
        <is>
          <t>1B4B</t>
        </is>
      </c>
      <c r="AI2521" s="7" t="inlineStr">
        <is>
          <t>NNSY</t>
        </is>
      </c>
      <c r="AJ2521" s="7" t="inlineStr">
        <is>
          <t>MILCON</t>
        </is>
      </c>
    </row>
    <row r="2522" ht="10" customHeight="1">
      <c r="A2522" s="7" t="inlineStr">
        <is>
          <t>OMN_Vol2</t>
        </is>
      </c>
      <c r="B2522" s="7" t="inlineStr">
        <is>
          <t>O&amp;M</t>
        </is>
      </c>
      <c r="D2522" s="7" t="inlineStr">
        <is>
          <t>Norfolk Naval Shipyard: Military Construction (MILCON) - ELECTRICAL DISTRIBUTION UPGRADES, INCREMENT 1 of 3</t>
        </is>
      </c>
      <c r="E2522" s="13" t="inlineStr">
        <is>
          <t>[SUB]</t>
        </is>
      </c>
      <c r="F2522" s="7" t="inlineStr">
        <is>
          <t>NNSY Infrastructure Total</t>
        </is>
      </c>
      <c r="I2522" s="14" t="n">
        <v>7</v>
      </c>
      <c r="J2522" s="7" t="inlineStr">
        <is>
          <t>Availability Support</t>
        </is>
      </c>
      <c r="K2522" s="15" t="n"/>
      <c r="O2522" s="15" t="n"/>
      <c r="S2522" s="16" t="n">
        <v>93307</v>
      </c>
      <c r="AC2522" s="23">
        <f>IF(OR(E2522="",E2522="[PARENT]"),"ADD",IF(E2522="[ALT_VIEW]","ALT",""))</f>
        <v/>
      </c>
      <c r="AD2522" s="21">
        <f>IF(Y2522&lt;&gt;"",Y2522,IF(U2522&lt;&gt;"",U2522,S2522))</f>
        <v/>
      </c>
      <c r="AE2522" s="21">
        <f>IF(AB2522&lt;&gt;"",AB2522,Z2522)</f>
        <v/>
      </c>
      <c r="AF2522" s="13" t="inlineStr">
        <is>
          <t>OMN Vol2 &gt; OP-5A &gt; NNSY &gt; MILCON &gt; ELECTRICAL DISTRIBUTION UPGRADES, INCREMENT 1 of 3</t>
        </is>
      </c>
      <c r="AG2522" s="7" t="inlineStr">
        <is>
          <t>94</t>
        </is>
      </c>
      <c r="AH2522" s="7" t="inlineStr">
        <is>
          <t>1B4B</t>
        </is>
      </c>
      <c r="AI2522" s="7" t="inlineStr">
        <is>
          <t>NNSY</t>
        </is>
      </c>
      <c r="AJ2522" s="7" t="inlineStr">
        <is>
          <t>MILCON</t>
        </is>
      </c>
    </row>
    <row r="2523" ht="10" customHeight="1">
      <c r="A2523" s="7" t="inlineStr">
        <is>
          <t>OMN_Vol2</t>
        </is>
      </c>
      <c r="B2523" s="7" t="inlineStr">
        <is>
          <t>O&amp;M</t>
        </is>
      </c>
      <c r="D2523" s="7" t="inlineStr">
        <is>
          <t>SSN 765 USS MONTPELIER* - Docking Selected Restricted Availability (DSRA)</t>
        </is>
      </c>
      <c r="E2523" s="13" t="inlineStr">
        <is>
          <t>[REFERENCE]</t>
        </is>
      </c>
      <c r="I2523" s="14" t="n">
        <v>2</v>
      </c>
      <c r="J2523" s="7" t="inlineStr">
        <is>
          <t>Ship Availability</t>
        </is>
      </c>
      <c r="K2523" s="13" t="inlineStr">
        <is>
          <t>USN</t>
        </is>
      </c>
      <c r="L2523" s="7" t="inlineStr">
        <is>
          <t>Combatant Ships</t>
        </is>
      </c>
      <c r="M2523" s="7" t="inlineStr">
        <is>
          <t>Submarines</t>
        </is>
      </c>
      <c r="N2523" s="7" t="inlineStr">
        <is>
          <t>SSN</t>
        </is>
      </c>
      <c r="O2523" s="15" t="n"/>
      <c r="AC2523" s="23">
        <f>IF(OR(E2523="",E2523="[PARENT]"),"ADD",IF(E2523="[ALT_VIEW]","ALT",""))</f>
        <v/>
      </c>
      <c r="AD2523" s="21">
        <f>IF(Y2523&lt;&gt;"",Y2523,IF(U2523&lt;&gt;"",U2523,S2523))</f>
        <v/>
      </c>
      <c r="AE2523" s="21">
        <f>IF(AB2523&lt;&gt;"",AB2523,Z2523)</f>
        <v/>
      </c>
      <c r="AF2523" s="13" t="inlineStr">
        <is>
          <t>OMN Vol2 &gt; OP-5A &gt; NNSY &gt; Ship Availability &gt; SSN 765 USS MONTPELIER* - DSRA</t>
        </is>
      </c>
      <c r="AG2523" s="7" t="inlineStr">
        <is>
          <t>95</t>
        </is>
      </c>
      <c r="AH2523" s="7" t="inlineStr">
        <is>
          <t>1B4B</t>
        </is>
      </c>
      <c r="AI2523" s="7" t="inlineStr">
        <is>
          <t>NNSY</t>
        </is>
      </c>
      <c r="AJ2523" s="7" t="inlineStr">
        <is>
          <t>Ship Availability</t>
        </is>
      </c>
    </row>
    <row r="2524" ht="10" customHeight="1">
      <c r="A2524" s="7" t="inlineStr">
        <is>
          <t>OMN_Vol2</t>
        </is>
      </c>
      <c r="B2524" s="7" t="inlineStr">
        <is>
          <t>O&amp;M</t>
        </is>
      </c>
      <c r="D2524" s="7" t="inlineStr">
        <is>
          <t>AS 41 USS MCKEE - Inactivation Availability (IA)</t>
        </is>
      </c>
      <c r="E2524" s="13" t="inlineStr">
        <is>
          <t>[REFERENCE]</t>
        </is>
      </c>
      <c r="I2524" s="14" t="n">
        <v>2</v>
      </c>
      <c r="J2524" s="7" t="inlineStr">
        <is>
          <t>Ship Availability</t>
        </is>
      </c>
      <c r="K2524" s="13" t="inlineStr">
        <is>
          <t>USN</t>
        </is>
      </c>
      <c r="L2524" s="7" t="inlineStr">
        <is>
          <t>Combatant Ships</t>
        </is>
      </c>
      <c r="M2524" s="7" t="inlineStr">
        <is>
          <t>Material Support Ships</t>
        </is>
      </c>
      <c r="N2524" s="7" t="inlineStr">
        <is>
          <t>AS</t>
        </is>
      </c>
      <c r="O2524" s="15" t="n"/>
      <c r="AC2524" s="23">
        <f>IF(OR(E2524="",E2524="[PARENT]"),"ADD",IF(E2524="[ALT_VIEW]","ALT",""))</f>
        <v/>
      </c>
      <c r="AD2524" s="21">
        <f>IF(Y2524&lt;&gt;"",Y2524,IF(U2524&lt;&gt;"",U2524,S2524))</f>
        <v/>
      </c>
      <c r="AE2524" s="21">
        <f>IF(AB2524&lt;&gt;"",AB2524,Z2524)</f>
        <v/>
      </c>
      <c r="AF2524" s="13" t="inlineStr">
        <is>
          <t>OMN Vol2 &gt; OP-5A &gt; NNSY &gt; Ship Availability &gt; AS 41 USS MCKEE - IA</t>
        </is>
      </c>
      <c r="AG2524" s="7" t="inlineStr">
        <is>
          <t>95</t>
        </is>
      </c>
      <c r="AH2524" s="7" t="inlineStr">
        <is>
          <t>1B4B</t>
        </is>
      </c>
      <c r="AI2524" s="7" t="inlineStr">
        <is>
          <t>NNSY</t>
        </is>
      </c>
      <c r="AJ2524" s="7" t="inlineStr">
        <is>
          <t>Ship Availability</t>
        </is>
      </c>
    </row>
    <row r="2525" ht="10" customHeight="1">
      <c r="A2525" s="7" t="inlineStr">
        <is>
          <t>OMN_Vol2</t>
        </is>
      </c>
      <c r="B2525" s="7" t="inlineStr">
        <is>
          <t>O&amp;M</t>
        </is>
      </c>
      <c r="D2525" s="7" t="inlineStr">
        <is>
          <t>SSN 752 USS PASADENA* - Docking Selected Restricted Availability (DSRA)</t>
        </is>
      </c>
      <c r="E2525" s="13" t="inlineStr">
        <is>
          <t>[REFERENCE]</t>
        </is>
      </c>
      <c r="I2525" s="14" t="n">
        <v>2</v>
      </c>
      <c r="J2525" s="7" t="inlineStr">
        <is>
          <t>Ship Availability</t>
        </is>
      </c>
      <c r="K2525" s="13" t="inlineStr">
        <is>
          <t>USN</t>
        </is>
      </c>
      <c r="L2525" s="7" t="inlineStr">
        <is>
          <t>Combatant Ships</t>
        </is>
      </c>
      <c r="M2525" s="7" t="inlineStr">
        <is>
          <t>Submarines</t>
        </is>
      </c>
      <c r="N2525" s="7" t="inlineStr">
        <is>
          <t>SSN</t>
        </is>
      </c>
      <c r="O2525" s="15" t="n"/>
      <c r="AC2525" s="23">
        <f>IF(OR(E2525="",E2525="[PARENT]"),"ADD",IF(E2525="[ALT_VIEW]","ALT",""))</f>
        <v/>
      </c>
      <c r="AD2525" s="21">
        <f>IF(Y2525&lt;&gt;"",Y2525,IF(U2525&lt;&gt;"",U2525,S2525))</f>
        <v/>
      </c>
      <c r="AE2525" s="21">
        <f>IF(AB2525&lt;&gt;"",AB2525,Z2525)</f>
        <v/>
      </c>
      <c r="AF2525" s="13" t="inlineStr">
        <is>
          <t>OMN Vol2 &gt; OP-5A &gt; NNSY &gt; Ship Availability &gt; SSN 752 USS PASADENA* - DSRA</t>
        </is>
      </c>
      <c r="AG2525" s="7" t="inlineStr">
        <is>
          <t>95</t>
        </is>
      </c>
      <c r="AH2525" s="7" t="inlineStr">
        <is>
          <t>1B4B</t>
        </is>
      </c>
      <c r="AI2525" s="7" t="inlineStr">
        <is>
          <t>NNSY</t>
        </is>
      </c>
      <c r="AJ2525" s="7" t="inlineStr">
        <is>
          <t>Ship Availability</t>
        </is>
      </c>
    </row>
    <row r="2526" ht="10" customHeight="1">
      <c r="A2526" s="7" t="inlineStr">
        <is>
          <t>OMN_Vol2</t>
        </is>
      </c>
      <c r="B2526" s="7" t="inlineStr">
        <is>
          <t>O&amp;M</t>
        </is>
      </c>
      <c r="D2526" s="7" t="inlineStr">
        <is>
          <t>SSN 769 USS TOLEDO - Engineered Overhaul (EOH)</t>
        </is>
      </c>
      <c r="E2526" s="13" t="inlineStr">
        <is>
          <t>[REFERENCE]</t>
        </is>
      </c>
      <c r="I2526" s="14" t="n">
        <v>5</v>
      </c>
      <c r="J2526" s="7" t="inlineStr">
        <is>
          <t>Ship Availability</t>
        </is>
      </c>
      <c r="K2526" s="13" t="inlineStr">
        <is>
          <t>USN</t>
        </is>
      </c>
      <c r="L2526" s="7" t="inlineStr">
        <is>
          <t>Combatant Ships</t>
        </is>
      </c>
      <c r="M2526" s="7" t="inlineStr">
        <is>
          <t>Submarines</t>
        </is>
      </c>
      <c r="N2526" s="7" t="inlineStr">
        <is>
          <t>SSN</t>
        </is>
      </c>
      <c r="O2526" s="15" t="n"/>
      <c r="AC2526" s="23">
        <f>IF(OR(E2526="",E2526="[PARENT]"),"ADD",IF(E2526="[ALT_VIEW]","ALT",""))</f>
        <v/>
      </c>
      <c r="AD2526" s="21">
        <f>IF(Y2526&lt;&gt;"",Y2526,IF(U2526&lt;&gt;"",U2526,S2526))</f>
        <v/>
      </c>
      <c r="AE2526" s="21">
        <f>IF(AB2526&lt;&gt;"",AB2526,Z2526)</f>
        <v/>
      </c>
      <c r="AF2526" s="13" t="inlineStr">
        <is>
          <t>OMN Vol2 &gt; OP-5A &gt; NNSY &gt; Ship Availability &gt; SSN 769 USS TOLEDO - EOH</t>
        </is>
      </c>
      <c r="AG2526" s="7" t="inlineStr">
        <is>
          <t>95</t>
        </is>
      </c>
      <c r="AH2526" s="7" t="inlineStr">
        <is>
          <t>1B4B</t>
        </is>
      </c>
      <c r="AI2526" s="7" t="inlineStr">
        <is>
          <t>NNSY</t>
        </is>
      </c>
      <c r="AJ2526" s="7" t="inlineStr">
        <is>
          <t>Ship Availability</t>
        </is>
      </c>
    </row>
    <row r="2527" ht="10" customHeight="1">
      <c r="A2527" s="7" t="inlineStr">
        <is>
          <t>OMN_Vol2</t>
        </is>
      </c>
      <c r="B2527" s="7" t="inlineStr">
        <is>
          <t>O&amp;M</t>
        </is>
      </c>
      <c r="D2527" s="7" t="inlineStr">
        <is>
          <t>MTS 635 MTS SAMUEL RAYBURN - Inactivation Availability (IA)</t>
        </is>
      </c>
      <c r="E2527" s="13" t="inlineStr">
        <is>
          <t>[REFERENCE]</t>
        </is>
      </c>
      <c r="I2527" s="14" t="n">
        <v>2</v>
      </c>
      <c r="J2527" s="7" t="inlineStr">
        <is>
          <t>Ship Availability</t>
        </is>
      </c>
      <c r="K2527" s="13" t="inlineStr">
        <is>
          <t>USN</t>
        </is>
      </c>
      <c r="L2527" s="7" t="inlineStr">
        <is>
          <t>Combatant Ships</t>
        </is>
      </c>
      <c r="M2527" s="7" t="inlineStr">
        <is>
          <t>Submarines</t>
        </is>
      </c>
      <c r="N2527" s="7" t="inlineStr">
        <is>
          <t>SSN</t>
        </is>
      </c>
      <c r="O2527" s="15" t="n"/>
      <c r="AC2527" s="23">
        <f>IF(OR(E2527="",E2527="[PARENT]"),"ADD",IF(E2527="[ALT_VIEW]","ALT",""))</f>
        <v/>
      </c>
      <c r="AD2527" s="21">
        <f>IF(Y2527&lt;&gt;"",Y2527,IF(U2527&lt;&gt;"",U2527,S2527))</f>
        <v/>
      </c>
      <c r="AE2527" s="21">
        <f>IF(AB2527&lt;&gt;"",AB2527,Z2527)</f>
        <v/>
      </c>
      <c r="AF2527" s="13" t="inlineStr">
        <is>
          <t>OMN Vol2 &gt; OP-5A &gt; NNSY &gt; Ship Availability &gt; MTS 635 MTS SAMUEL RAYBURN - IA</t>
        </is>
      </c>
      <c r="AG2527" s="7" t="inlineStr">
        <is>
          <t>95</t>
        </is>
      </c>
      <c r="AH2527" s="7" t="inlineStr">
        <is>
          <t>1B4B</t>
        </is>
      </c>
      <c r="AI2527" s="7" t="inlineStr">
        <is>
          <t>NNSY</t>
        </is>
      </c>
      <c r="AJ2527" s="7" t="inlineStr">
        <is>
          <t>Ship Availability</t>
        </is>
      </c>
    </row>
    <row r="2528" ht="10" customHeight="1">
      <c r="A2528" s="7" t="inlineStr">
        <is>
          <t>OMN_Vol2</t>
        </is>
      </c>
      <c r="B2528" s="7" t="inlineStr">
        <is>
          <t>O&amp;M</t>
        </is>
      </c>
      <c r="D2528" s="7" t="inlineStr">
        <is>
          <t>SSN 785 USS JOHN WARNER - Extended Docking Selected Restricted Availability (EDSRA)</t>
        </is>
      </c>
      <c r="E2528" s="13" t="inlineStr">
        <is>
          <t>[REFERENCE]</t>
        </is>
      </c>
      <c r="I2528" s="14" t="n">
        <v>2</v>
      </c>
      <c r="J2528" s="7" t="inlineStr">
        <is>
          <t>Ship Availability</t>
        </is>
      </c>
      <c r="K2528" s="13" t="inlineStr">
        <is>
          <t>USN</t>
        </is>
      </c>
      <c r="L2528" s="7" t="inlineStr">
        <is>
          <t>Combatant Ships</t>
        </is>
      </c>
      <c r="M2528" s="7" t="inlineStr">
        <is>
          <t>Submarines</t>
        </is>
      </c>
      <c r="N2528" s="7" t="inlineStr">
        <is>
          <t>SSN</t>
        </is>
      </c>
      <c r="O2528" s="15" t="n"/>
      <c r="AC2528" s="23">
        <f>IF(OR(E2528="",E2528="[PARENT]"),"ADD",IF(E2528="[ALT_VIEW]","ALT",""))</f>
        <v/>
      </c>
      <c r="AD2528" s="21">
        <f>IF(Y2528&lt;&gt;"",Y2528,IF(U2528&lt;&gt;"",U2528,S2528))</f>
        <v/>
      </c>
      <c r="AE2528" s="21">
        <f>IF(AB2528&lt;&gt;"",AB2528,Z2528)</f>
        <v/>
      </c>
      <c r="AF2528" s="13" t="inlineStr">
        <is>
          <t>OMN Vol2 &gt; OP-5A &gt; NNSY &gt; Ship Availability &gt; SSN 785 USS JOHN WARNER - EDSRA</t>
        </is>
      </c>
      <c r="AG2528" s="7" t="inlineStr">
        <is>
          <t>95</t>
        </is>
      </c>
      <c r="AH2528" s="7" t="inlineStr">
        <is>
          <t>1B4B</t>
        </is>
      </c>
      <c r="AI2528" s="7" t="inlineStr">
        <is>
          <t>NNSY</t>
        </is>
      </c>
      <c r="AJ2528" s="7" t="inlineStr">
        <is>
          <t>Ship Availability</t>
        </is>
      </c>
    </row>
    <row r="2529" ht="10" customHeight="1">
      <c r="A2529" s="7" t="inlineStr">
        <is>
          <t>OMN_Vol2</t>
        </is>
      </c>
      <c r="B2529" s="7" t="inlineStr">
        <is>
          <t>O&amp;M</t>
        </is>
      </c>
      <c r="D2529" s="7" t="inlineStr">
        <is>
          <t>LHD 3 USS KEARSARGE - Docking Phased Maintenance Availability (DPMA)</t>
        </is>
      </c>
      <c r="E2529" s="13" t="inlineStr">
        <is>
          <t>[REFERENCE]</t>
        </is>
      </c>
      <c r="I2529" s="14" t="n">
        <v>2</v>
      </c>
      <c r="J2529" s="7" t="inlineStr">
        <is>
          <t>Ship Availability</t>
        </is>
      </c>
      <c r="K2529" s="13" t="inlineStr">
        <is>
          <t>USN</t>
        </is>
      </c>
      <c r="L2529" s="7" t="inlineStr">
        <is>
          <t>Combatant Ships</t>
        </is>
      </c>
      <c r="M2529" s="7" t="inlineStr">
        <is>
          <t>Amphibious Warfare Ships</t>
        </is>
      </c>
      <c r="N2529" s="7" t="inlineStr">
        <is>
          <t>LHD</t>
        </is>
      </c>
      <c r="O2529" s="15" t="n"/>
      <c r="AC2529" s="23">
        <f>IF(OR(E2529="",E2529="[PARENT]"),"ADD",IF(E2529="[ALT_VIEW]","ALT",""))</f>
        <v/>
      </c>
      <c r="AD2529" s="21">
        <f>IF(Y2529&lt;&gt;"",Y2529,IF(U2529&lt;&gt;"",U2529,S2529))</f>
        <v/>
      </c>
      <c r="AE2529" s="21">
        <f>IF(AB2529&lt;&gt;"",AB2529,Z2529)</f>
        <v/>
      </c>
      <c r="AF2529" s="13" t="inlineStr">
        <is>
          <t>OMN Vol2 &gt; OP-5A &gt; NNSY &gt; Ship Availability &gt; LHD 3 USS KEARSARGE - DPMA</t>
        </is>
      </c>
      <c r="AG2529" s="7" t="inlineStr">
        <is>
          <t>95</t>
        </is>
      </c>
      <c r="AH2529" s="7" t="inlineStr">
        <is>
          <t>1B4B</t>
        </is>
      </c>
      <c r="AI2529" s="7" t="inlineStr">
        <is>
          <t>NNSY</t>
        </is>
      </c>
      <c r="AJ2529" s="7" t="inlineStr">
        <is>
          <t>Ship Availability</t>
        </is>
      </c>
    </row>
    <row r="2530" ht="10" customHeight="1">
      <c r="A2530" s="7" t="inlineStr">
        <is>
          <t>OMN_Vol2</t>
        </is>
      </c>
      <c r="B2530" s="7" t="inlineStr">
        <is>
          <t>O&amp;M</t>
        </is>
      </c>
      <c r="D2530" s="7" t="inlineStr">
        <is>
          <t>CVN 75 USS HARRY S TRUMAN - Planned Incremental Availability (PIA)</t>
        </is>
      </c>
      <c r="E2530" s="13" t="inlineStr">
        <is>
          <t>[REFERENCE]</t>
        </is>
      </c>
      <c r="I2530" s="14" t="n">
        <v>2</v>
      </c>
      <c r="J2530" s="7" t="inlineStr">
        <is>
          <t>Ship Availability</t>
        </is>
      </c>
      <c r="K2530" s="13" t="inlineStr">
        <is>
          <t>USN</t>
        </is>
      </c>
      <c r="L2530" s="7" t="inlineStr">
        <is>
          <t>Combatant Ships</t>
        </is>
      </c>
      <c r="M2530" s="7" t="inlineStr">
        <is>
          <t>Aircraft Carriers</t>
        </is>
      </c>
      <c r="N2530" s="7" t="inlineStr">
        <is>
          <t>CVN</t>
        </is>
      </c>
      <c r="O2530" s="15" t="n"/>
      <c r="AC2530" s="23">
        <f>IF(OR(E2530="",E2530="[PARENT]"),"ADD",IF(E2530="[ALT_VIEW]","ALT",""))</f>
        <v/>
      </c>
      <c r="AD2530" s="21">
        <f>IF(Y2530&lt;&gt;"",Y2530,IF(U2530&lt;&gt;"",U2530,S2530))</f>
        <v/>
      </c>
      <c r="AE2530" s="21">
        <f>IF(AB2530&lt;&gt;"",AB2530,Z2530)</f>
        <v/>
      </c>
      <c r="AF2530" s="13" t="inlineStr">
        <is>
          <t>OMN Vol2 &gt; OP-5A &gt; NNSY &gt; Ship Availability &gt; CVN 75 USS HARRY S TRUMAN - PIA</t>
        </is>
      </c>
      <c r="AG2530" s="7" t="inlineStr">
        <is>
          <t>95</t>
        </is>
      </c>
      <c r="AH2530" s="7" t="inlineStr">
        <is>
          <t>1B4B</t>
        </is>
      </c>
      <c r="AI2530" s="7" t="inlineStr">
        <is>
          <t>NNSY</t>
        </is>
      </c>
      <c r="AJ2530" s="7" t="inlineStr">
        <is>
          <t>Ship Availability</t>
        </is>
      </c>
    </row>
    <row r="2531" ht="10" customHeight="1">
      <c r="A2531" s="7" t="inlineStr">
        <is>
          <t>OMN_Vol2</t>
        </is>
      </c>
      <c r="B2531" s="7" t="inlineStr">
        <is>
          <t>O&amp;M</t>
        </is>
      </c>
      <c r="D2531" s="7" t="inlineStr">
        <is>
          <t>SSBN 736 USS WEST VIRGINIA - Extended Refit Period (ERP)</t>
        </is>
      </c>
      <c r="E2531" s="13" t="inlineStr">
        <is>
          <t>[REFERENCE]</t>
        </is>
      </c>
      <c r="I2531" s="14" t="n">
        <v>5</v>
      </c>
      <c r="J2531" s="7" t="inlineStr">
        <is>
          <t>Ship Availability</t>
        </is>
      </c>
      <c r="K2531" s="13" t="inlineStr">
        <is>
          <t>USN</t>
        </is>
      </c>
      <c r="L2531" s="7" t="inlineStr">
        <is>
          <t>Combatant Ships</t>
        </is>
      </c>
      <c r="M2531" s="7" t="inlineStr">
        <is>
          <t>Submarines</t>
        </is>
      </c>
      <c r="N2531" s="7" t="inlineStr">
        <is>
          <t>SSBN</t>
        </is>
      </c>
      <c r="O2531" s="15" t="n"/>
      <c r="AC2531" s="23">
        <f>IF(OR(E2531="",E2531="[PARENT]"),"ADD",IF(E2531="[ALT_VIEW]","ALT",""))</f>
        <v/>
      </c>
      <c r="AD2531" s="21">
        <f>IF(Y2531&lt;&gt;"",Y2531,IF(U2531&lt;&gt;"",U2531,S2531))</f>
        <v/>
      </c>
      <c r="AE2531" s="21">
        <f>IF(AB2531&lt;&gt;"",AB2531,Z2531)</f>
        <v/>
      </c>
      <c r="AF2531" s="13" t="inlineStr">
        <is>
          <t>OMN Vol2 &gt; OP-5A &gt; NNSY &gt; Ship Availability &gt; SSBN 736 USS WEST VIRGINIA - ERP</t>
        </is>
      </c>
      <c r="AG2531" s="7" t="inlineStr">
        <is>
          <t>95</t>
        </is>
      </c>
      <c r="AH2531" s="7" t="inlineStr">
        <is>
          <t>1B4B</t>
        </is>
      </c>
      <c r="AI2531" s="7" t="inlineStr">
        <is>
          <t>NNSY</t>
        </is>
      </c>
      <c r="AJ2531" s="7" t="inlineStr">
        <is>
          <t>Ship Availability</t>
        </is>
      </c>
    </row>
    <row r="2532" ht="10" customHeight="1">
      <c r="A2532" s="7" t="inlineStr">
        <is>
          <t>OMN_Vol2</t>
        </is>
      </c>
      <c r="B2532" s="7" t="inlineStr">
        <is>
          <t>O&amp;M</t>
        </is>
      </c>
      <c r="D2532" s="7" t="inlineStr">
        <is>
          <t>CVN 77 USS GEORGE H.W. BUSH - Planned Incremental Availability (PIA)</t>
        </is>
      </c>
      <c r="E2532" s="13" t="inlineStr">
        <is>
          <t>[REFERENCE]</t>
        </is>
      </c>
      <c r="I2532" s="14" t="n">
        <v>2</v>
      </c>
      <c r="J2532" s="7" t="inlineStr">
        <is>
          <t>Ship Availability</t>
        </is>
      </c>
      <c r="K2532" s="13" t="inlineStr">
        <is>
          <t>USN</t>
        </is>
      </c>
      <c r="L2532" s="7" t="inlineStr">
        <is>
          <t>Combatant Ships</t>
        </is>
      </c>
      <c r="M2532" s="7" t="inlineStr">
        <is>
          <t>Aircraft Carriers</t>
        </is>
      </c>
      <c r="N2532" s="7" t="inlineStr">
        <is>
          <t>CVN</t>
        </is>
      </c>
      <c r="O2532" s="15" t="n"/>
      <c r="AC2532" s="23">
        <f>IF(OR(E2532="",E2532="[PARENT]"),"ADD",IF(E2532="[ALT_VIEW]","ALT",""))</f>
        <v/>
      </c>
      <c r="AD2532" s="21">
        <f>IF(Y2532&lt;&gt;"",Y2532,IF(U2532&lt;&gt;"",U2532,S2532))</f>
        <v/>
      </c>
      <c r="AE2532" s="21">
        <f>IF(AB2532&lt;&gt;"",AB2532,Z2532)</f>
        <v/>
      </c>
      <c r="AF2532" s="13" t="inlineStr">
        <is>
          <t>OMN Vol2 &gt; OP-5A &gt; NNSY &gt; Ship Availability &gt; CVN 77 USS GEORGE H.W. BUSH - PIA</t>
        </is>
      </c>
      <c r="AG2532" s="7" t="inlineStr">
        <is>
          <t>95</t>
        </is>
      </c>
      <c r="AH2532" s="7" t="inlineStr">
        <is>
          <t>1B4B</t>
        </is>
      </c>
      <c r="AI2532" s="7" t="inlineStr">
        <is>
          <t>NNSY</t>
        </is>
      </c>
      <c r="AJ2532" s="7" t="inlineStr">
        <is>
          <t>Ship Availability</t>
        </is>
      </c>
    </row>
    <row r="2533" ht="10" customHeight="1">
      <c r="A2533" s="7" t="inlineStr">
        <is>
          <t>OMN_Vol2</t>
        </is>
      </c>
      <c r="B2533" s="7" t="inlineStr">
        <is>
          <t>O&amp;M</t>
        </is>
      </c>
      <c r="D2533" s="7" t="inlineStr">
        <is>
          <t>SSGN 728 USS FLORIDA - Major Maintenance Period (MMP)</t>
        </is>
      </c>
      <c r="E2533" s="13" t="inlineStr">
        <is>
          <t>[REFERENCE]</t>
        </is>
      </c>
      <c r="I2533" s="14" t="n">
        <v>2</v>
      </c>
      <c r="J2533" s="7" t="inlineStr">
        <is>
          <t>Ship Availability</t>
        </is>
      </c>
      <c r="K2533" s="13" t="inlineStr">
        <is>
          <t>USN</t>
        </is>
      </c>
      <c r="L2533" s="7" t="inlineStr">
        <is>
          <t>Combatant Ships</t>
        </is>
      </c>
      <c r="M2533" s="7" t="inlineStr">
        <is>
          <t>Submarines</t>
        </is>
      </c>
      <c r="N2533" s="7" t="inlineStr">
        <is>
          <t>SSBN</t>
        </is>
      </c>
      <c r="O2533" s="15" t="n"/>
      <c r="AC2533" s="23">
        <f>IF(OR(E2533="",E2533="[PARENT]"),"ADD",IF(E2533="[ALT_VIEW]","ALT",""))</f>
        <v/>
      </c>
      <c r="AD2533" s="21">
        <f>IF(Y2533&lt;&gt;"",Y2533,IF(U2533&lt;&gt;"",U2533,S2533))</f>
        <v/>
      </c>
      <c r="AE2533" s="21">
        <f>IF(AB2533&lt;&gt;"",AB2533,Z2533)</f>
        <v/>
      </c>
      <c r="AF2533" s="13" t="inlineStr">
        <is>
          <t>OMN Vol2 &gt; OP-5A &gt; NNSY &gt; Ship Availability &gt; SSGN 728 USS FLORIDA - MMP</t>
        </is>
      </c>
      <c r="AG2533" s="7" t="inlineStr">
        <is>
          <t>95</t>
        </is>
      </c>
      <c r="AH2533" s="7" t="inlineStr">
        <is>
          <t>1B4B</t>
        </is>
      </c>
      <c r="AI2533" s="7" t="inlineStr">
        <is>
          <t>NNSY</t>
        </is>
      </c>
      <c r="AJ2533" s="7" t="inlineStr">
        <is>
          <t>Ship Availability</t>
        </is>
      </c>
    </row>
    <row r="2534" ht="10" customHeight="1">
      <c r="A2534" s="7" t="inlineStr">
        <is>
          <t>OMN_Vol2</t>
        </is>
      </c>
      <c r="B2534" s="7" t="inlineStr">
        <is>
          <t>O&amp;M</t>
        </is>
      </c>
      <c r="D2534" s="7" t="inlineStr">
        <is>
          <t>CVN 78 USS GERALD R. FORD - Continuous Incremental Availability (CIA)</t>
        </is>
      </c>
      <c r="E2534" s="13" t="inlineStr">
        <is>
          <t>[REFERENCE]</t>
        </is>
      </c>
      <c r="I2534" s="14" t="n">
        <v>2</v>
      </c>
      <c r="J2534" s="7" t="inlineStr">
        <is>
          <t>Ship Availability</t>
        </is>
      </c>
      <c r="K2534" s="13" t="inlineStr">
        <is>
          <t>USN</t>
        </is>
      </c>
      <c r="L2534" s="7" t="inlineStr">
        <is>
          <t>Combatant Ships</t>
        </is>
      </c>
      <c r="M2534" s="7" t="inlineStr">
        <is>
          <t>Aircraft Carriers</t>
        </is>
      </c>
      <c r="N2534" s="7" t="inlineStr">
        <is>
          <t>CVN</t>
        </is>
      </c>
      <c r="O2534" s="15" t="n"/>
      <c r="AC2534" s="23">
        <f>IF(OR(E2534="",E2534="[PARENT]"),"ADD",IF(E2534="[ALT_VIEW]","ALT",""))</f>
        <v/>
      </c>
      <c r="AD2534" s="21">
        <f>IF(Y2534&lt;&gt;"",Y2534,IF(U2534&lt;&gt;"",U2534,S2534))</f>
        <v/>
      </c>
      <c r="AE2534" s="21">
        <f>IF(AB2534&lt;&gt;"",AB2534,Z2534)</f>
        <v/>
      </c>
      <c r="AF2534" s="13" t="inlineStr">
        <is>
          <t>OMN Vol2 &gt; OP-5A &gt; NNSY &gt; Ship Availability &gt; CVN 78 USS GERALD R. FORD - CIA</t>
        </is>
      </c>
      <c r="AG2534" s="7" t="inlineStr">
        <is>
          <t>95</t>
        </is>
      </c>
      <c r="AH2534" s="7" t="inlineStr">
        <is>
          <t>1B4B</t>
        </is>
      </c>
      <c r="AI2534" s="7" t="inlineStr">
        <is>
          <t>NNSY</t>
        </is>
      </c>
      <c r="AJ2534" s="7" t="inlineStr">
        <is>
          <t>Ship Availability</t>
        </is>
      </c>
    </row>
    <row r="2535" ht="10" customHeight="1">
      <c r="A2535" s="7" t="inlineStr">
        <is>
          <t>OMN_Vol2</t>
        </is>
      </c>
      <c r="B2535" s="7" t="inlineStr">
        <is>
          <t>O&amp;M</t>
        </is>
      </c>
      <c r="D2535" s="7" t="inlineStr">
        <is>
          <t>SSN 765 USS MONTPELIER - Engineered Overhaul (EOH)</t>
        </is>
      </c>
      <c r="E2535" s="13" t="inlineStr">
        <is>
          <t>[REFERENCE]</t>
        </is>
      </c>
      <c r="I2535" s="14" t="n">
        <v>5</v>
      </c>
      <c r="J2535" s="7" t="inlineStr">
        <is>
          <t>Ship Availability</t>
        </is>
      </c>
      <c r="K2535" s="13" t="inlineStr">
        <is>
          <t>USN</t>
        </is>
      </c>
      <c r="L2535" s="7" t="inlineStr">
        <is>
          <t>Combatant Ships</t>
        </is>
      </c>
      <c r="M2535" s="7" t="inlineStr">
        <is>
          <t>Submarines</t>
        </is>
      </c>
      <c r="N2535" s="7" t="inlineStr">
        <is>
          <t>SSN</t>
        </is>
      </c>
      <c r="O2535" s="15" t="n"/>
      <c r="AC2535" s="23">
        <f>IF(OR(E2535="",E2535="[PARENT]"),"ADD",IF(E2535="[ALT_VIEW]","ALT",""))</f>
        <v/>
      </c>
      <c r="AD2535" s="21">
        <f>IF(Y2535&lt;&gt;"",Y2535,IF(U2535&lt;&gt;"",U2535,S2535))</f>
        <v/>
      </c>
      <c r="AE2535" s="21">
        <f>IF(AB2535&lt;&gt;"",AB2535,Z2535)</f>
        <v/>
      </c>
      <c r="AF2535" s="13" t="inlineStr">
        <is>
          <t>OMN Vol2 &gt; OP-5A &gt; NNSY &gt; Ship Availability &gt; SSN 765 USS MONTPELIER - EOH</t>
        </is>
      </c>
      <c r="AG2535" s="7" t="inlineStr">
        <is>
          <t>95</t>
        </is>
      </c>
      <c r="AH2535" s="7" t="inlineStr">
        <is>
          <t>1B4B</t>
        </is>
      </c>
      <c r="AI2535" s="7" t="inlineStr">
        <is>
          <t>NNSY</t>
        </is>
      </c>
      <c r="AJ2535" s="7" t="inlineStr">
        <is>
          <t>Ship Availability</t>
        </is>
      </c>
    </row>
    <row r="2536" ht="10" customHeight="1">
      <c r="A2536" s="7" t="inlineStr">
        <is>
          <t>OMN_Vol2</t>
        </is>
      </c>
      <c r="B2536" s="7" t="inlineStr">
        <is>
          <t>O&amp;M</t>
        </is>
      </c>
      <c r="D2536" s="7" t="inlineStr">
        <is>
          <t>CVN 73 USS GEORGE WASHINGTON - Selected Restricted Availability (SRA)</t>
        </is>
      </c>
      <c r="E2536" s="13" t="inlineStr">
        <is>
          <t>[REFERENCE]</t>
        </is>
      </c>
      <c r="I2536" s="14" t="n">
        <v>2</v>
      </c>
      <c r="J2536" s="7" t="inlineStr">
        <is>
          <t>Ship Availability</t>
        </is>
      </c>
      <c r="K2536" s="13" t="inlineStr">
        <is>
          <t>USN</t>
        </is>
      </c>
      <c r="L2536" s="7" t="inlineStr">
        <is>
          <t>Combatant Ships</t>
        </is>
      </c>
      <c r="M2536" s="7" t="inlineStr">
        <is>
          <t>Aircraft Carriers</t>
        </is>
      </c>
      <c r="N2536" s="7" t="inlineStr">
        <is>
          <t>CVN</t>
        </is>
      </c>
      <c r="O2536" s="15" t="n"/>
      <c r="AC2536" s="23">
        <f>IF(OR(E2536="",E2536="[PARENT]"),"ADD",IF(E2536="[ALT_VIEW]","ALT",""))</f>
        <v/>
      </c>
      <c r="AD2536" s="21">
        <f>IF(Y2536&lt;&gt;"",Y2536,IF(U2536&lt;&gt;"",U2536,S2536))</f>
        <v/>
      </c>
      <c r="AE2536" s="21">
        <f>IF(AB2536&lt;&gt;"",AB2536,Z2536)</f>
        <v/>
      </c>
      <c r="AF2536" s="13" t="inlineStr">
        <is>
          <t>OMN Vol2 &gt; OP-5A &gt; NNSY &gt; Ship Availability &gt; CVN 73 USS GEORGE WASHINGTON - SRA</t>
        </is>
      </c>
      <c r="AG2536" s="7" t="inlineStr">
        <is>
          <t>95</t>
        </is>
      </c>
      <c r="AH2536" s="7" t="inlineStr">
        <is>
          <t>1B4B</t>
        </is>
      </c>
      <c r="AI2536" s="7" t="inlineStr">
        <is>
          <t>NNSY</t>
        </is>
      </c>
      <c r="AJ2536" s="7" t="inlineStr">
        <is>
          <t>Ship Availability</t>
        </is>
      </c>
    </row>
    <row r="2537" ht="10" customHeight="1">
      <c r="A2537" s="7" t="inlineStr">
        <is>
          <t>OMN_Vol2</t>
        </is>
      </c>
      <c r="B2537" s="7" t="inlineStr">
        <is>
          <t>O&amp;M</t>
        </is>
      </c>
      <c r="D2537" s="7" t="inlineStr">
        <is>
          <t>CVN 69 USS DWIGHT D EISENHOWER - Planned Incremental Availability (PIA)</t>
        </is>
      </c>
      <c r="E2537" s="13" t="inlineStr">
        <is>
          <t>[REFERENCE]</t>
        </is>
      </c>
      <c r="I2537" s="14" t="n">
        <v>2</v>
      </c>
      <c r="J2537" s="7" t="inlineStr">
        <is>
          <t>Ship Availability</t>
        </is>
      </c>
      <c r="K2537" s="13" t="inlineStr">
        <is>
          <t>USN</t>
        </is>
      </c>
      <c r="L2537" s="7" t="inlineStr">
        <is>
          <t>Combatant Ships</t>
        </is>
      </c>
      <c r="M2537" s="7" t="inlineStr">
        <is>
          <t>Aircraft Carriers</t>
        </is>
      </c>
      <c r="N2537" s="7" t="inlineStr">
        <is>
          <t>CVN</t>
        </is>
      </c>
      <c r="O2537" s="15" t="n"/>
      <c r="AC2537" s="23">
        <f>IF(OR(E2537="",E2537="[PARENT]"),"ADD",IF(E2537="[ALT_VIEW]","ALT",""))</f>
        <v/>
      </c>
      <c r="AD2537" s="21">
        <f>IF(Y2537&lt;&gt;"",Y2537,IF(U2537&lt;&gt;"",U2537,S2537))</f>
        <v/>
      </c>
      <c r="AE2537" s="21">
        <f>IF(AB2537&lt;&gt;"",AB2537,Z2537)</f>
        <v/>
      </c>
      <c r="AF2537" s="13" t="inlineStr">
        <is>
          <t>OMN Vol2 &gt; OP-5A &gt; NNSY &gt; Ship Availability &gt; CVN 69 USS DWIGHT D EISENHOWER - PIA</t>
        </is>
      </c>
      <c r="AG2537" s="7" t="inlineStr">
        <is>
          <t>95</t>
        </is>
      </c>
      <c r="AH2537" s="7" t="inlineStr">
        <is>
          <t>1B4B</t>
        </is>
      </c>
      <c r="AI2537" s="7" t="inlineStr">
        <is>
          <t>NNSY</t>
        </is>
      </c>
      <c r="AJ2537" s="7" t="inlineStr">
        <is>
          <t>Ship Availability</t>
        </is>
      </c>
    </row>
    <row r="2538" ht="10" customHeight="1">
      <c r="A2538" s="7" t="inlineStr">
        <is>
          <t>OMN_Vol2</t>
        </is>
      </c>
      <c r="B2538" s="7" t="inlineStr">
        <is>
          <t>O&amp;M</t>
        </is>
      </c>
      <c r="D2538" s="7" t="inlineStr">
        <is>
          <t>SSBN 738 USS MARYLAND - Extended Refit Period (ERP)</t>
        </is>
      </c>
      <c r="E2538" s="13" t="inlineStr">
        <is>
          <t>[REFERENCE]</t>
        </is>
      </c>
      <c r="I2538" s="14" t="n">
        <v>5</v>
      </c>
      <c r="J2538" s="7" t="inlineStr">
        <is>
          <t>Ship Availability</t>
        </is>
      </c>
      <c r="K2538" s="13" t="inlineStr">
        <is>
          <t>USN</t>
        </is>
      </c>
      <c r="L2538" s="7" t="inlineStr">
        <is>
          <t>Combatant Ships</t>
        </is>
      </c>
      <c r="M2538" s="7" t="inlineStr">
        <is>
          <t>Submarines</t>
        </is>
      </c>
      <c r="N2538" s="7" t="inlineStr">
        <is>
          <t>SSBN</t>
        </is>
      </c>
      <c r="O2538" s="15" t="n"/>
      <c r="AC2538" s="23">
        <f>IF(OR(E2538="",E2538="[PARENT]"),"ADD",IF(E2538="[ALT_VIEW]","ALT",""))</f>
        <v/>
      </c>
      <c r="AD2538" s="21">
        <f>IF(Y2538&lt;&gt;"",Y2538,IF(U2538&lt;&gt;"",U2538,S2538))</f>
        <v/>
      </c>
      <c r="AE2538" s="21">
        <f>IF(AB2538&lt;&gt;"",AB2538,Z2538)</f>
        <v/>
      </c>
      <c r="AF2538" s="13" t="inlineStr">
        <is>
          <t>OMN Vol2 &gt; OP-5A &gt; NNSY &gt; Ship Availability &gt; SSBN 738 USS MARYLAND - ERP</t>
        </is>
      </c>
      <c r="AG2538" s="7" t="inlineStr">
        <is>
          <t>95</t>
        </is>
      </c>
      <c r="AH2538" s="7" t="inlineStr">
        <is>
          <t>1B4B</t>
        </is>
      </c>
      <c r="AI2538" s="7" t="inlineStr">
        <is>
          <t>NNSY</t>
        </is>
      </c>
      <c r="AJ2538" s="7" t="inlineStr">
        <is>
          <t>Ship Availability</t>
        </is>
      </c>
    </row>
    <row r="2539" ht="10" customHeight="1">
      <c r="A2539" s="7" t="inlineStr">
        <is>
          <t>OMN_Vol2</t>
        </is>
      </c>
      <c r="B2539" s="7" t="inlineStr">
        <is>
          <t>O&amp;M</t>
        </is>
      </c>
      <c r="D2539" s="7" t="inlineStr">
        <is>
          <t>SSGN 729 USS GEORGIA - Major Maintenance Period (MMP)</t>
        </is>
      </c>
      <c r="E2539" s="13" t="inlineStr">
        <is>
          <t>[REFERENCE]</t>
        </is>
      </c>
      <c r="I2539" s="14" t="n">
        <v>2</v>
      </c>
      <c r="J2539" s="7" t="inlineStr">
        <is>
          <t>Ship Availability</t>
        </is>
      </c>
      <c r="K2539" s="13" t="inlineStr">
        <is>
          <t>USN</t>
        </is>
      </c>
      <c r="L2539" s="7" t="inlineStr">
        <is>
          <t>Combatant Ships</t>
        </is>
      </c>
      <c r="M2539" s="7" t="inlineStr">
        <is>
          <t>Submarines</t>
        </is>
      </c>
      <c r="N2539" s="7" t="inlineStr">
        <is>
          <t>SSBN</t>
        </is>
      </c>
      <c r="O2539" s="15" t="n"/>
      <c r="AC2539" s="23">
        <f>IF(OR(E2539="",E2539="[PARENT]"),"ADD",IF(E2539="[ALT_VIEW]","ALT",""))</f>
        <v/>
      </c>
      <c r="AD2539" s="21">
        <f>IF(Y2539&lt;&gt;"",Y2539,IF(U2539&lt;&gt;"",U2539,S2539))</f>
        <v/>
      </c>
      <c r="AE2539" s="21">
        <f>IF(AB2539&lt;&gt;"",AB2539,Z2539)</f>
        <v/>
      </c>
      <c r="AF2539" s="13" t="inlineStr">
        <is>
          <t>OMN Vol2 &gt; OP-5A &gt; NNSY &gt; Ship Availability &gt; SSGN 729 USS GEORGIA - MMP</t>
        </is>
      </c>
      <c r="AG2539" s="7" t="inlineStr">
        <is>
          <t>95</t>
        </is>
      </c>
      <c r="AH2539" s="7" t="inlineStr">
        <is>
          <t>1B4B</t>
        </is>
      </c>
      <c r="AI2539" s="7" t="inlineStr">
        <is>
          <t>NNSY</t>
        </is>
      </c>
      <c r="AJ2539" s="7" t="inlineStr">
        <is>
          <t>Ship Availability</t>
        </is>
      </c>
    </row>
    <row r="2540" ht="10" customHeight="1">
      <c r="A2540" s="7" t="inlineStr">
        <is>
          <t>OMN_Vol2</t>
        </is>
      </c>
      <c r="B2540" s="7" t="inlineStr">
        <is>
          <t>O&amp;M</t>
        </is>
      </c>
      <c r="D2540" s="7" t="inlineStr">
        <is>
          <t>SSN 778 USS NEW HAMPSHIRE - Docking Maintenance Period (DMP)</t>
        </is>
      </c>
      <c r="E2540" s="13" t="inlineStr">
        <is>
          <t>[REFERENCE]</t>
        </is>
      </c>
      <c r="I2540" s="14" t="n">
        <v>2</v>
      </c>
      <c r="J2540" s="7" t="inlineStr">
        <is>
          <t>Ship Availability</t>
        </is>
      </c>
      <c r="K2540" s="13" t="inlineStr">
        <is>
          <t>USN</t>
        </is>
      </c>
      <c r="L2540" s="7" t="inlineStr">
        <is>
          <t>Combatant Ships</t>
        </is>
      </c>
      <c r="M2540" s="7" t="inlineStr">
        <is>
          <t>Submarines</t>
        </is>
      </c>
      <c r="N2540" s="7" t="inlineStr">
        <is>
          <t>SSN</t>
        </is>
      </c>
      <c r="O2540" s="15" t="n"/>
      <c r="AC2540" s="23">
        <f>IF(OR(E2540="",E2540="[PARENT]"),"ADD",IF(E2540="[ALT_VIEW]","ALT",""))</f>
        <v/>
      </c>
      <c r="AD2540" s="21">
        <f>IF(Y2540&lt;&gt;"",Y2540,IF(U2540&lt;&gt;"",U2540,S2540))</f>
        <v/>
      </c>
      <c r="AE2540" s="21">
        <f>IF(AB2540&lt;&gt;"",AB2540,Z2540)</f>
        <v/>
      </c>
      <c r="AF2540" s="13" t="inlineStr">
        <is>
          <t>OMN Vol2 &gt; OP-5A &gt; NNSY &gt; Ship Availability &gt; SSN 778 USS NEW HAMPSHIRE - DMP</t>
        </is>
      </c>
      <c r="AG2540" s="7" t="inlineStr">
        <is>
          <t>95</t>
        </is>
      </c>
      <c r="AH2540" s="7" t="inlineStr">
        <is>
          <t>1B4B</t>
        </is>
      </c>
      <c r="AI2540" s="7" t="inlineStr">
        <is>
          <t>NNSY</t>
        </is>
      </c>
      <c r="AJ2540" s="7" t="inlineStr">
        <is>
          <t>Ship Availability</t>
        </is>
      </c>
    </row>
    <row r="2541" ht="10" customHeight="1">
      <c r="A2541" s="7" t="inlineStr">
        <is>
          <t>OMN_Vol2</t>
        </is>
      </c>
      <c r="B2541" s="7" t="inlineStr">
        <is>
          <t>O&amp;M</t>
        </is>
      </c>
      <c r="D2541" s="7" t="inlineStr">
        <is>
          <t>SSN 778 USS NEW HAMPSHIRE - Docking Maintenance Period (DMP)</t>
        </is>
      </c>
      <c r="E2541" s="13" t="inlineStr">
        <is>
          <t>[REFERENCE]</t>
        </is>
      </c>
      <c r="I2541" s="14" t="n">
        <v>2</v>
      </c>
      <c r="J2541" s="7" t="inlineStr">
        <is>
          <t>Ship Availability</t>
        </is>
      </c>
      <c r="K2541" s="13" t="inlineStr">
        <is>
          <t>USN</t>
        </is>
      </c>
      <c r="L2541" s="7" t="inlineStr">
        <is>
          <t>Combatant Ships</t>
        </is>
      </c>
      <c r="M2541" s="7" t="inlineStr">
        <is>
          <t>Submarines</t>
        </is>
      </c>
      <c r="N2541" s="7" t="inlineStr">
        <is>
          <t>SSN</t>
        </is>
      </c>
      <c r="O2541" s="15" t="n"/>
      <c r="AC2541" s="23">
        <f>IF(OR(E2541="",E2541="[PARENT]"),"ADD",IF(E2541="[ALT_VIEW]","ALT",""))</f>
        <v/>
      </c>
      <c r="AD2541" s="21">
        <f>IF(Y2541&lt;&gt;"",Y2541,IF(U2541&lt;&gt;"",U2541,S2541))</f>
        <v/>
      </c>
      <c r="AE2541" s="21">
        <f>IF(AB2541&lt;&gt;"",AB2541,Z2541)</f>
        <v/>
      </c>
      <c r="AF2541" s="13" t="inlineStr">
        <is>
          <t>OMN Vol2 &gt; OP-5A &gt; NNSY &gt; Ship Availability &gt; SSN 778 USS NEW HAMPSHIRE - DMP</t>
        </is>
      </c>
      <c r="AG2541" s="7" t="inlineStr">
        <is>
          <t>95</t>
        </is>
      </c>
      <c r="AH2541" s="7" t="inlineStr">
        <is>
          <t>1B4B</t>
        </is>
      </c>
      <c r="AI2541" s="7" t="inlineStr">
        <is>
          <t>NNSY</t>
        </is>
      </c>
      <c r="AJ2541" s="7" t="inlineStr">
        <is>
          <t>Ship Availability</t>
        </is>
      </c>
    </row>
    <row r="2542" ht="10" customHeight="1">
      <c r="A2542" s="7" t="inlineStr">
        <is>
          <t>OMN_Vol2</t>
        </is>
      </c>
      <c r="B2542" s="7" t="inlineStr">
        <is>
          <t>O&amp;M</t>
        </is>
      </c>
      <c r="D2542" s="7" t="inlineStr">
        <is>
          <t>CVN 68 USS NIMITZ - Inactivation Availability (IA)</t>
        </is>
      </c>
      <c r="E2542" s="13" t="inlineStr">
        <is>
          <t>[REFERENCE]</t>
        </is>
      </c>
      <c r="I2542" s="14" t="n">
        <v>2</v>
      </c>
      <c r="J2542" s="7" t="inlineStr">
        <is>
          <t>Ship Availability</t>
        </is>
      </c>
      <c r="K2542" s="13" t="inlineStr">
        <is>
          <t>USN</t>
        </is>
      </c>
      <c r="L2542" s="7" t="inlineStr">
        <is>
          <t>Combatant Ships</t>
        </is>
      </c>
      <c r="M2542" s="7" t="inlineStr">
        <is>
          <t>Aircraft Carriers</t>
        </is>
      </c>
      <c r="N2542" s="7" t="inlineStr">
        <is>
          <t>CVN</t>
        </is>
      </c>
      <c r="O2542" s="15" t="n"/>
      <c r="AC2542" s="23">
        <f>IF(OR(E2542="",E2542="[PARENT]"),"ADD",IF(E2542="[ALT_VIEW]","ALT",""))</f>
        <v/>
      </c>
      <c r="AD2542" s="21">
        <f>IF(Y2542&lt;&gt;"",Y2542,IF(U2542&lt;&gt;"",U2542,S2542))</f>
        <v/>
      </c>
      <c r="AE2542" s="21">
        <f>IF(AB2542&lt;&gt;"",AB2542,Z2542)</f>
        <v/>
      </c>
      <c r="AF2542" s="13" t="inlineStr">
        <is>
          <t>OMN Vol2 &gt; OP-5A &gt; NNSY &gt; Ship Availability &gt; CVN 68 USS NIMITZ - IA</t>
        </is>
      </c>
      <c r="AG2542" s="7" t="inlineStr">
        <is>
          <t>95</t>
        </is>
      </c>
      <c r="AH2542" s="7" t="inlineStr">
        <is>
          <t>1B4B</t>
        </is>
      </c>
      <c r="AI2542" s="7" t="inlineStr">
        <is>
          <t>NNSY</t>
        </is>
      </c>
      <c r="AJ2542" s="7" t="inlineStr">
        <is>
          <t>Ship Availability</t>
        </is>
      </c>
    </row>
    <row r="2543" ht="10" customHeight="1">
      <c r="A2543" s="7" t="inlineStr">
        <is>
          <t>OMN_Vol2</t>
        </is>
      </c>
      <c r="B2543" s="7" t="inlineStr">
        <is>
          <t>O&amp;M</t>
        </is>
      </c>
      <c r="D2543" s="7" t="inlineStr">
        <is>
          <t>CVN 78 USS GERALD R. FORD - Planned Incremental Availability (PIA)</t>
        </is>
      </c>
      <c r="E2543" s="13" t="inlineStr">
        <is>
          <t>[REFERENCE]</t>
        </is>
      </c>
      <c r="I2543" s="14" t="n">
        <v>2</v>
      </c>
      <c r="J2543" s="7" t="inlineStr">
        <is>
          <t>Ship Availability</t>
        </is>
      </c>
      <c r="K2543" s="13" t="inlineStr">
        <is>
          <t>USN</t>
        </is>
      </c>
      <c r="L2543" s="7" t="inlineStr">
        <is>
          <t>Combatant Ships</t>
        </is>
      </c>
      <c r="M2543" s="7" t="inlineStr">
        <is>
          <t>Aircraft Carriers</t>
        </is>
      </c>
      <c r="N2543" s="7" t="inlineStr">
        <is>
          <t>CVN</t>
        </is>
      </c>
      <c r="O2543" s="15" t="n"/>
      <c r="AC2543" s="23">
        <f>IF(OR(E2543="",E2543="[PARENT]"),"ADD",IF(E2543="[ALT_VIEW]","ALT",""))</f>
        <v/>
      </c>
      <c r="AD2543" s="21">
        <f>IF(Y2543&lt;&gt;"",Y2543,IF(U2543&lt;&gt;"",U2543,S2543))</f>
        <v/>
      </c>
      <c r="AE2543" s="21">
        <f>IF(AB2543&lt;&gt;"",AB2543,Z2543)</f>
        <v/>
      </c>
      <c r="AF2543" s="13" t="inlineStr">
        <is>
          <t>OMN Vol2 &gt; OP-5A &gt; NNSY &gt; Ship Availability &gt; CVN 78 USS GERALD R. FORD - PIA</t>
        </is>
      </c>
      <c r="AG2543" s="7" t="inlineStr">
        <is>
          <t>95</t>
        </is>
      </c>
      <c r="AH2543" s="7" t="inlineStr">
        <is>
          <t>1B4B</t>
        </is>
      </c>
      <c r="AI2543" s="7" t="inlineStr">
        <is>
          <t>NNSY</t>
        </is>
      </c>
      <c r="AJ2543" s="7" t="inlineStr">
        <is>
          <t>Ship Availability</t>
        </is>
      </c>
    </row>
    <row r="2544" ht="10" customHeight="1">
      <c r="A2544" s="7" t="inlineStr">
        <is>
          <t>OMN_Vol2</t>
        </is>
      </c>
      <c r="B2544" s="7" t="inlineStr">
        <is>
          <t>O&amp;M</t>
        </is>
      </c>
      <c r="D2544" s="7" t="inlineStr">
        <is>
          <t>AMPHIBS</t>
        </is>
      </c>
      <c r="E2544" s="15" t="n"/>
      <c r="I2544" s="14" t="n">
        <v>3</v>
      </c>
      <c r="K2544" s="13" t="inlineStr">
        <is>
          <t>USN</t>
        </is>
      </c>
      <c r="L2544" s="7" t="inlineStr">
        <is>
          <t>Combatant Ships</t>
        </is>
      </c>
      <c r="M2544" s="7" t="inlineStr">
        <is>
          <t>Amphibious Warfare Ships</t>
        </is>
      </c>
      <c r="O2544" s="15" t="n"/>
      <c r="P2544" s="16" t="n">
        <v>15037</v>
      </c>
      <c r="Q2544" s="16" t="n">
        <v>17188</v>
      </c>
      <c r="R2544" s="16" t="n">
        <v>17188</v>
      </c>
      <c r="AC2544" s="23">
        <f>IF(OR(E2544="",E2544="[PARENT]"),"ADD",IF(E2544="[ALT_VIEW]","ALT",""))</f>
        <v/>
      </c>
      <c r="AD2544" s="21">
        <f>IF(Y2544&lt;&gt;"",Y2544,IF(U2544&lt;&gt;"",U2544,S2544))</f>
        <v/>
      </c>
      <c r="AE2544" s="21">
        <f>IF(AB2544&lt;&gt;"",AB2544,Z2544)</f>
        <v/>
      </c>
      <c r="AF2544" s="13" t="inlineStr">
        <is>
          <t>OMN Vol2 &gt; PB-61 &gt; OMN &gt; Ships &gt; Continuous Maintenance &gt; AMPHIBS</t>
        </is>
      </c>
      <c r="AG2544" s="7" t="inlineStr">
        <is>
          <t>108</t>
        </is>
      </c>
      <c r="AH2544" s="7" t="inlineStr">
        <is>
          <t>1B4B</t>
        </is>
      </c>
      <c r="AI2544" s="7" t="inlineStr">
        <is>
          <t>OMN &gt; Ships &gt; Continuous Maintenance</t>
        </is>
      </c>
      <c r="AJ2544" s="7" t="inlineStr">
        <is>
          <t>AMPHIBS</t>
        </is>
      </c>
    </row>
    <row r="2545" ht="10" customHeight="1">
      <c r="A2545" s="7" t="inlineStr">
        <is>
          <t>OMN_Vol2</t>
        </is>
      </c>
      <c r="B2545" s="7" t="inlineStr">
        <is>
          <t>O&amp;M</t>
        </is>
      </c>
      <c r="D2545" s="7" t="inlineStr">
        <is>
          <t>CG</t>
        </is>
      </c>
      <c r="E2545" s="15" t="n"/>
      <c r="I2545" s="14" t="n">
        <v>3</v>
      </c>
      <c r="K2545" s="13" t="inlineStr">
        <is>
          <t>USN</t>
        </is>
      </c>
      <c r="L2545" s="7" t="inlineStr">
        <is>
          <t>Combatant Ships</t>
        </is>
      </c>
      <c r="M2545" s="7" t="inlineStr">
        <is>
          <t>Surface Combatants</t>
        </is>
      </c>
      <c r="N2545" s="7" t="inlineStr">
        <is>
          <t>CG</t>
        </is>
      </c>
      <c r="O2545" s="15" t="n"/>
      <c r="P2545" s="16" t="n">
        <v>3066</v>
      </c>
      <c r="Q2545" s="16" t="n">
        <v>5200</v>
      </c>
      <c r="R2545" s="16" t="n">
        <v>5200</v>
      </c>
      <c r="S2545" s="16" t="n">
        <v>5969</v>
      </c>
      <c r="V2545" s="16" t="n">
        <v>5969</v>
      </c>
      <c r="AC2545" s="23">
        <f>IF(OR(E2545="",E2545="[PARENT]"),"ADD",IF(E2545="[ALT_VIEW]","ALT",""))</f>
        <v/>
      </c>
      <c r="AD2545" s="21">
        <f>IF(Y2545&lt;&gt;"",Y2545,IF(U2545&lt;&gt;"",U2545,S2545))</f>
        <v/>
      </c>
      <c r="AE2545" s="21">
        <f>IF(AB2545&lt;&gt;"",AB2545,Z2545)</f>
        <v/>
      </c>
      <c r="AF2545" s="13" t="inlineStr">
        <is>
          <t>OMN Vol2 &gt; PB-61 &gt; OMN &gt; Ships &gt; Continuous Maintenance &gt; CG</t>
        </is>
      </c>
      <c r="AG2545" s="7" t="inlineStr">
        <is>
          <t>108</t>
        </is>
      </c>
      <c r="AH2545" s="7" t="inlineStr">
        <is>
          <t>1B4B</t>
        </is>
      </c>
      <c r="AI2545" s="7" t="inlineStr">
        <is>
          <t>OMN &gt; Ships &gt; Continuous Maintenance</t>
        </is>
      </c>
      <c r="AJ2545" s="7" t="inlineStr">
        <is>
          <t>CG</t>
        </is>
      </c>
    </row>
    <row r="2546" ht="10" customHeight="1">
      <c r="A2546" s="7" t="inlineStr">
        <is>
          <t>OMN_Vol2</t>
        </is>
      </c>
      <c r="B2546" s="7" t="inlineStr">
        <is>
          <t>O&amp;M</t>
        </is>
      </c>
      <c r="D2546" s="7" t="inlineStr">
        <is>
          <t>DDG</t>
        </is>
      </c>
      <c r="E2546" s="15" t="n"/>
      <c r="I2546" s="14" t="n">
        <v>3</v>
      </c>
      <c r="K2546" s="13" t="inlineStr">
        <is>
          <t>USN</t>
        </is>
      </c>
      <c r="L2546" s="7" t="inlineStr">
        <is>
          <t>Combatant Ships</t>
        </is>
      </c>
      <c r="M2546" s="7" t="inlineStr">
        <is>
          <t>Surface Combatants</t>
        </is>
      </c>
      <c r="N2546" s="7" t="inlineStr">
        <is>
          <t>DDG</t>
        </is>
      </c>
      <c r="O2546" s="15" t="n"/>
      <c r="P2546" s="16" t="n">
        <v>106432</v>
      </c>
      <c r="Q2546" s="16" t="n">
        <v>100690</v>
      </c>
      <c r="R2546" s="16" t="n">
        <v>100690</v>
      </c>
      <c r="S2546" s="16" t="n">
        <v>123497</v>
      </c>
      <c r="V2546" s="16" t="n">
        <v>123497</v>
      </c>
      <c r="AC2546" s="23">
        <f>IF(OR(E2546="",E2546="[PARENT]"),"ADD",IF(E2546="[ALT_VIEW]","ALT",""))</f>
        <v/>
      </c>
      <c r="AD2546" s="21">
        <f>IF(Y2546&lt;&gt;"",Y2546,IF(U2546&lt;&gt;"",U2546,S2546))</f>
        <v/>
      </c>
      <c r="AE2546" s="21">
        <f>IF(AB2546&lt;&gt;"",AB2546,Z2546)</f>
        <v/>
      </c>
      <c r="AF2546" s="13" t="inlineStr">
        <is>
          <t>OMN Vol2 &gt; PB-61 &gt; OMN &gt; Ships &gt; Continuous Maintenance &gt; DDG</t>
        </is>
      </c>
      <c r="AG2546" s="7" t="inlineStr">
        <is>
          <t>108</t>
        </is>
      </c>
      <c r="AH2546" s="7" t="inlineStr">
        <is>
          <t>1B4B</t>
        </is>
      </c>
      <c r="AI2546" s="7" t="inlineStr">
        <is>
          <t>OMN &gt; Ships &gt; Continuous Maintenance</t>
        </is>
      </c>
      <c r="AJ2546" s="7" t="inlineStr">
        <is>
          <t>DDG</t>
        </is>
      </c>
    </row>
    <row r="2547" ht="10" customHeight="1">
      <c r="A2547" s="7" t="inlineStr">
        <is>
          <t>OMN_Vol2</t>
        </is>
      </c>
      <c r="B2547" s="7" t="inlineStr">
        <is>
          <t>O&amp;M</t>
        </is>
      </c>
      <c r="D2547" s="7" t="inlineStr">
        <is>
          <t>DDG 1000</t>
        </is>
      </c>
      <c r="E2547" s="15" t="n"/>
      <c r="I2547" s="14" t="n">
        <v>3</v>
      </c>
      <c r="K2547" s="13" t="inlineStr">
        <is>
          <t>USN</t>
        </is>
      </c>
      <c r="L2547" s="7" t="inlineStr">
        <is>
          <t>Combatant Ships</t>
        </is>
      </c>
      <c r="M2547" s="7" t="inlineStr">
        <is>
          <t>Surface Combatants</t>
        </is>
      </c>
      <c r="N2547" s="7" t="inlineStr">
        <is>
          <t>DDG</t>
        </is>
      </c>
      <c r="O2547" s="15" t="n"/>
      <c r="Q2547" s="16" t="n">
        <v>3950</v>
      </c>
      <c r="R2547" s="16" t="n">
        <v>3950</v>
      </c>
      <c r="S2547" s="16" t="n">
        <v>7645</v>
      </c>
      <c r="V2547" s="16" t="n">
        <v>7645</v>
      </c>
      <c r="AC2547" s="23">
        <f>IF(OR(E2547="",E2547="[PARENT]"),"ADD",IF(E2547="[ALT_VIEW]","ALT",""))</f>
        <v/>
      </c>
      <c r="AD2547" s="21">
        <f>IF(Y2547&lt;&gt;"",Y2547,IF(U2547&lt;&gt;"",U2547,S2547))</f>
        <v/>
      </c>
      <c r="AE2547" s="21">
        <f>IF(AB2547&lt;&gt;"",AB2547,Z2547)</f>
        <v/>
      </c>
      <c r="AF2547" s="13" t="inlineStr">
        <is>
          <t>OMN Vol2 &gt; PB-61 &gt; OMN &gt; Ships &gt; Continuous Maintenance &gt; DDG 1000</t>
        </is>
      </c>
      <c r="AG2547" s="7" t="inlineStr">
        <is>
          <t>108</t>
        </is>
      </c>
      <c r="AH2547" s="7" t="inlineStr">
        <is>
          <t>1B4B</t>
        </is>
      </c>
      <c r="AI2547" s="7" t="inlineStr">
        <is>
          <t>OMN &gt; Ships &gt; Continuous Maintenance</t>
        </is>
      </c>
      <c r="AJ2547" s="7" t="inlineStr">
        <is>
          <t>DDG 1000</t>
        </is>
      </c>
    </row>
    <row r="2548" ht="10" customHeight="1">
      <c r="A2548" s="7" t="inlineStr">
        <is>
          <t>OMN_Vol2</t>
        </is>
      </c>
      <c r="B2548" s="7" t="inlineStr">
        <is>
          <t>O&amp;M</t>
        </is>
      </c>
      <c r="D2548" s="7" t="inlineStr">
        <is>
          <t>LCAC</t>
        </is>
      </c>
      <c r="E2548" s="15" t="n"/>
      <c r="I2548" s="14" t="n">
        <v>3</v>
      </c>
      <c r="K2548" s="13" t="inlineStr">
        <is>
          <t>USN</t>
        </is>
      </c>
      <c r="L2548" s="7" t="inlineStr">
        <is>
          <t>Combatant Crafts</t>
        </is>
      </c>
      <c r="M2548" s="7" t="inlineStr">
        <is>
          <t>Amphibious Warfare Craft</t>
        </is>
      </c>
      <c r="N2548" s="7" t="inlineStr">
        <is>
          <t>LCAC</t>
        </is>
      </c>
      <c r="O2548" s="15" t="n"/>
      <c r="P2548" s="16" t="n">
        <v>9219</v>
      </c>
      <c r="Q2548" s="16" t="n">
        <v>7720</v>
      </c>
      <c r="R2548" s="16" t="n">
        <v>7720</v>
      </c>
      <c r="S2548" s="16" t="n">
        <v>7952</v>
      </c>
      <c r="V2548" s="16" t="n">
        <v>7952</v>
      </c>
      <c r="AC2548" s="23">
        <f>IF(OR(E2548="",E2548="[PARENT]"),"ADD",IF(E2548="[ALT_VIEW]","ALT",""))</f>
        <v/>
      </c>
      <c r="AD2548" s="21">
        <f>IF(Y2548&lt;&gt;"",Y2548,IF(U2548&lt;&gt;"",U2548,S2548))</f>
        <v/>
      </c>
      <c r="AE2548" s="21">
        <f>IF(AB2548&lt;&gt;"",AB2548,Z2548)</f>
        <v/>
      </c>
      <c r="AF2548" s="13" t="inlineStr">
        <is>
          <t>OMN Vol2 &gt; PB-61 &gt; OMN &gt; Ships &gt; Continuous Maintenance &gt; LCAC</t>
        </is>
      </c>
      <c r="AG2548" s="7" t="inlineStr">
        <is>
          <t>108</t>
        </is>
      </c>
      <c r="AH2548" s="7" t="inlineStr">
        <is>
          <t>1B4B</t>
        </is>
      </c>
      <c r="AI2548" s="7" t="inlineStr">
        <is>
          <t>OMN &gt; Ships &gt; Continuous Maintenance</t>
        </is>
      </c>
      <c r="AJ2548" s="7" t="inlineStr">
        <is>
          <t>LCAC</t>
        </is>
      </c>
    </row>
    <row r="2549" ht="10" customHeight="1">
      <c r="A2549" s="7" t="inlineStr">
        <is>
          <t>OMN_Vol2</t>
        </is>
      </c>
      <c r="B2549" s="7" t="inlineStr">
        <is>
          <t>O&amp;M</t>
        </is>
      </c>
      <c r="D2549" s="7" t="inlineStr">
        <is>
          <t>LCS</t>
        </is>
      </c>
      <c r="E2549" s="15" t="n"/>
      <c r="I2549" s="14" t="n">
        <v>3</v>
      </c>
      <c r="K2549" s="13" t="inlineStr">
        <is>
          <t>USN</t>
        </is>
      </c>
      <c r="L2549" s="7" t="inlineStr">
        <is>
          <t>Combatant Ships</t>
        </is>
      </c>
      <c r="M2549" s="7" t="inlineStr">
        <is>
          <t>Surface Combatants</t>
        </is>
      </c>
      <c r="N2549" s="7" t="inlineStr">
        <is>
          <t>LCS</t>
        </is>
      </c>
      <c r="O2549" s="15" t="n"/>
      <c r="P2549" s="16" t="n">
        <v>60812</v>
      </c>
      <c r="Q2549" s="16" t="n">
        <v>69375</v>
      </c>
      <c r="R2549" s="16" t="n">
        <v>69375</v>
      </c>
      <c r="S2549" s="16" t="n">
        <v>69759</v>
      </c>
      <c r="V2549" s="16" t="n">
        <v>69759</v>
      </c>
      <c r="AC2549" s="23">
        <f>IF(OR(E2549="",E2549="[PARENT]"),"ADD",IF(E2549="[ALT_VIEW]","ALT",""))</f>
        <v/>
      </c>
      <c r="AD2549" s="21">
        <f>IF(Y2549&lt;&gt;"",Y2549,IF(U2549&lt;&gt;"",U2549,S2549))</f>
        <v/>
      </c>
      <c r="AE2549" s="21">
        <f>IF(AB2549&lt;&gt;"",AB2549,Z2549)</f>
        <v/>
      </c>
      <c r="AF2549" s="13" t="inlineStr">
        <is>
          <t>OMN Vol2 &gt; PB-61 &gt; OMN &gt; Ships &gt; Continuous Maintenance &gt; LCS</t>
        </is>
      </c>
      <c r="AG2549" s="7" t="inlineStr">
        <is>
          <t>109</t>
        </is>
      </c>
      <c r="AH2549" s="7" t="inlineStr">
        <is>
          <t>1B4B</t>
        </is>
      </c>
      <c r="AI2549" s="7" t="inlineStr">
        <is>
          <t>OMN &gt; Ships &gt; Continuous Maintenance - LCS MCM Mission Packages</t>
        </is>
      </c>
      <c r="AJ2549" s="7" t="inlineStr">
        <is>
          <t>LCS</t>
        </is>
      </c>
    </row>
    <row r="2550" ht="10" customHeight="1">
      <c r="A2550" s="7" t="inlineStr">
        <is>
          <t>OMN_Vol2</t>
        </is>
      </c>
      <c r="B2550" s="7" t="inlineStr">
        <is>
          <t>O&amp;M</t>
        </is>
      </c>
      <c r="D2550" s="7" t="inlineStr">
        <is>
          <t>MINESWEEPERS</t>
        </is>
      </c>
      <c r="E2550" s="15" t="n"/>
      <c r="I2550" s="14" t="n">
        <v>3</v>
      </c>
      <c r="K2550" s="13" t="inlineStr">
        <is>
          <t>USN</t>
        </is>
      </c>
      <c r="L2550" s="7" t="inlineStr">
        <is>
          <t>Combatant Ships</t>
        </is>
      </c>
      <c r="M2550" s="7" t="inlineStr">
        <is>
          <t>Mine Warfare</t>
        </is>
      </c>
      <c r="N2550" s="7" t="inlineStr">
        <is>
          <t>MCM</t>
        </is>
      </c>
      <c r="O2550" s="15" t="n"/>
      <c r="P2550" s="16" t="n">
        <v>370</v>
      </c>
      <c r="Q2550" s="16" t="n">
        <v>1620</v>
      </c>
      <c r="R2550" s="16" t="n">
        <v>1620</v>
      </c>
      <c r="S2550" s="16" t="n">
        <v>1068</v>
      </c>
      <c r="V2550" s="16" t="n">
        <v>1068</v>
      </c>
      <c r="AC2550" s="23">
        <f>IF(OR(E2550="",E2550="[PARENT]"),"ADD",IF(E2550="[ALT_VIEW]","ALT",""))</f>
        <v/>
      </c>
      <c r="AD2550" s="21">
        <f>IF(Y2550&lt;&gt;"",Y2550,IF(U2550&lt;&gt;"",U2550,S2550))</f>
        <v/>
      </c>
      <c r="AE2550" s="21">
        <f>IF(AB2550&lt;&gt;"",AB2550,Z2550)</f>
        <v/>
      </c>
      <c r="AF2550" s="13" t="inlineStr">
        <is>
          <t>OMN Vol2 &gt; PB-61 &gt; OMN &gt; Ships &gt; Continuous Maintenance &gt; MINESWEEPERS</t>
        </is>
      </c>
      <c r="AG2550" s="7" t="inlineStr">
        <is>
          <t>109</t>
        </is>
      </c>
      <c r="AH2550" s="7" t="inlineStr">
        <is>
          <t>1B4B</t>
        </is>
      </c>
      <c r="AI2550" s="7" t="inlineStr">
        <is>
          <t>OMN &gt; Ships &gt; Continuous Maintenance</t>
        </is>
      </c>
      <c r="AJ2550" s="7" t="inlineStr">
        <is>
          <t>MINESWEEPERS</t>
        </is>
      </c>
    </row>
    <row r="2551" ht="10" customHeight="1">
      <c r="A2551" s="7" t="inlineStr">
        <is>
          <t>OMN_Vol2</t>
        </is>
      </c>
      <c r="B2551" s="7" t="inlineStr">
        <is>
          <t>O&amp;M</t>
        </is>
      </c>
      <c r="D2551" s="7" t="inlineStr">
        <is>
          <t>OMN Ships Continuous Maintenance - Other</t>
        </is>
      </c>
      <c r="E2551" s="15" t="n"/>
      <c r="I2551" s="14" t="n">
        <v>3</v>
      </c>
      <c r="K2551" s="15" t="n"/>
      <c r="O2551" s="15" t="n"/>
      <c r="P2551" s="16" t="n">
        <v>89976</v>
      </c>
      <c r="Q2551" s="16" t="n">
        <v>155923</v>
      </c>
      <c r="R2551" s="16" t="n">
        <v>155923</v>
      </c>
      <c r="S2551" s="16" t="n">
        <v>127665</v>
      </c>
      <c r="V2551" s="16" t="n">
        <v>127665</v>
      </c>
      <c r="AC2551" s="23">
        <f>IF(OR(E2551="",E2551="[PARENT]"),"ADD",IF(E2551="[ALT_VIEW]","ALT",""))</f>
        <v/>
      </c>
      <c r="AD2551" s="21">
        <f>IF(Y2551&lt;&gt;"",Y2551,IF(U2551&lt;&gt;"",U2551,S2551))</f>
        <v/>
      </c>
      <c r="AE2551" s="21">
        <f>IF(AB2551&lt;&gt;"",AB2551,Z2551)</f>
        <v/>
      </c>
      <c r="AF2551" s="13" t="inlineStr">
        <is>
          <t>OMN Vol2 &gt; PB-61 &gt; OMN &gt; Ships &gt; Continuous Maintenance &gt; Other</t>
        </is>
      </c>
      <c r="AG2551" s="7" t="inlineStr">
        <is>
          <t>109</t>
        </is>
      </c>
      <c r="AH2551" s="7" t="inlineStr">
        <is>
          <t>1B4B</t>
        </is>
      </c>
      <c r="AI2551" s="7" t="inlineStr">
        <is>
          <t>OMN &gt; Ships &gt; Continuous Maintenance</t>
        </is>
      </c>
      <c r="AJ2551" s="7" t="inlineStr">
        <is>
          <t>Other</t>
        </is>
      </c>
    </row>
    <row r="2552" ht="10" customHeight="1">
      <c r="A2552" s="7" t="inlineStr">
        <is>
          <t>OMN_Vol2</t>
        </is>
      </c>
      <c r="B2552" s="7" t="inlineStr">
        <is>
          <t>O&amp;M</t>
        </is>
      </c>
      <c r="D2552" s="7" t="inlineStr">
        <is>
          <t>AEGIS ASHORE</t>
        </is>
      </c>
      <c r="E2552" s="15" t="n"/>
      <c r="I2552" s="14" t="n">
        <v>2</v>
      </c>
      <c r="K2552" s="15" t="n"/>
      <c r="O2552" s="15" t="n"/>
      <c r="P2552" s="16" t="n">
        <v>27696</v>
      </c>
      <c r="Q2552" s="16" t="n">
        <v>3724</v>
      </c>
      <c r="R2552" s="16" t="n">
        <v>3830</v>
      </c>
      <c r="S2552" s="16" t="n">
        <v>4275</v>
      </c>
      <c r="V2552" s="16" t="n">
        <v>4244</v>
      </c>
      <c r="AC2552" s="23">
        <f>IF(OR(E2552="",E2552="[PARENT]"),"ADD",IF(E2552="[ALT_VIEW]","ALT",""))</f>
        <v/>
      </c>
      <c r="AD2552" s="21">
        <f>IF(Y2552&lt;&gt;"",Y2552,IF(U2552&lt;&gt;"",U2552,S2552))</f>
        <v/>
      </c>
      <c r="AE2552" s="21">
        <f>IF(AB2552&lt;&gt;"",AB2552,Z2552)</f>
        <v/>
      </c>
      <c r="AF2552" s="13" t="inlineStr">
        <is>
          <t>OMN Vol2 &gt; PB-61 &gt; OMN &gt; Ships &gt; Other &gt; AEGIS ASHORE</t>
        </is>
      </c>
      <c r="AG2552" s="7" t="inlineStr">
        <is>
          <t>109</t>
        </is>
      </c>
      <c r="AH2552" s="7" t="inlineStr">
        <is>
          <t>1B4B</t>
        </is>
      </c>
      <c r="AI2552" s="7" t="inlineStr">
        <is>
          <t>OMN &gt; Ships &gt; Other</t>
        </is>
      </c>
      <c r="AJ2552" s="7" t="inlineStr">
        <is>
          <t>AEGIS ASHORE</t>
        </is>
      </c>
    </row>
    <row r="2553" ht="10" customHeight="1">
      <c r="A2553" s="7" t="inlineStr">
        <is>
          <t>OMN_Vol2</t>
        </is>
      </c>
      <c r="B2553" s="7" t="inlineStr">
        <is>
          <t>O&amp;M</t>
        </is>
      </c>
      <c r="D2553" s="7" t="inlineStr">
        <is>
          <t>AFDL-AFDM-ARS</t>
        </is>
      </c>
      <c r="E2553" s="15" t="n"/>
      <c r="I2553" s="14" t="n">
        <v>2</v>
      </c>
      <c r="K2553" s="15" t="n"/>
      <c r="O2553" s="15" t="n"/>
      <c r="P2553" s="16" t="n">
        <v>1904</v>
      </c>
      <c r="Q2553" s="16" t="n">
        <v>4231</v>
      </c>
      <c r="R2553" s="16" t="n">
        <v>4592</v>
      </c>
      <c r="S2553" s="16" t="n">
        <v>4015</v>
      </c>
      <c r="V2553" s="16" t="n">
        <v>4447</v>
      </c>
      <c r="AC2553" s="23">
        <f>IF(OR(E2553="",E2553="[PARENT]"),"ADD",IF(E2553="[ALT_VIEW]","ALT",""))</f>
        <v/>
      </c>
      <c r="AD2553" s="21">
        <f>IF(Y2553&lt;&gt;"",Y2553,IF(U2553&lt;&gt;"",U2553,S2553))</f>
        <v/>
      </c>
      <c r="AE2553" s="21">
        <f>IF(AB2553&lt;&gt;"",AB2553,Z2553)</f>
        <v/>
      </c>
      <c r="AF2553" s="13" t="inlineStr">
        <is>
          <t>OMN Vol2 &gt; PB-61 &gt; OMN &gt; Ships &gt; Other &gt; AFDL-AFDM-ARS</t>
        </is>
      </c>
      <c r="AG2553" s="7" t="inlineStr">
        <is>
          <t>109</t>
        </is>
      </c>
      <c r="AH2553" s="7" t="inlineStr">
        <is>
          <t>1B4B</t>
        </is>
      </c>
      <c r="AI2553" s="7" t="inlineStr">
        <is>
          <t>OMN &gt; Ships &gt; Other</t>
        </is>
      </c>
      <c r="AJ2553" s="7" t="inlineStr">
        <is>
          <t>AFDL-AFDM-ARS</t>
        </is>
      </c>
    </row>
    <row r="2554" ht="10" customHeight="1">
      <c r="A2554" s="7" t="inlineStr">
        <is>
          <t>OMN_Vol2</t>
        </is>
      </c>
      <c r="B2554" s="7" t="inlineStr">
        <is>
          <t>O&amp;M</t>
        </is>
      </c>
      <c r="D2554" s="7" t="inlineStr">
        <is>
          <t>AGF-LCC</t>
        </is>
      </c>
      <c r="E2554" s="15" t="n"/>
      <c r="I2554" s="14" t="n">
        <v>2</v>
      </c>
      <c r="K2554" s="13" t="inlineStr">
        <is>
          <t>USN</t>
        </is>
      </c>
      <c r="L2554" s="7" t="inlineStr">
        <is>
          <t>Combatant Ships</t>
        </is>
      </c>
      <c r="M2554" s="7" t="inlineStr">
        <is>
          <t>Command Ships</t>
        </is>
      </c>
      <c r="N2554" s="7" t="inlineStr">
        <is>
          <t>LCC</t>
        </is>
      </c>
      <c r="O2554" s="15" t="n"/>
      <c r="P2554" s="16" t="n">
        <v>11377</v>
      </c>
      <c r="Q2554" s="16" t="n">
        <v>14291</v>
      </c>
      <c r="R2554" s="16" t="n">
        <v>15325</v>
      </c>
      <c r="S2554" s="16" t="n">
        <v>15511</v>
      </c>
      <c r="V2554" s="16" t="n">
        <v>15683</v>
      </c>
      <c r="AC2554" s="23">
        <f>IF(OR(E2554="",E2554="[PARENT]"),"ADD",IF(E2554="[ALT_VIEW]","ALT",""))</f>
        <v/>
      </c>
      <c r="AD2554" s="21">
        <f>IF(Y2554&lt;&gt;"",Y2554,IF(U2554&lt;&gt;"",U2554,S2554))</f>
        <v/>
      </c>
      <c r="AE2554" s="21">
        <f>IF(AB2554&lt;&gt;"",AB2554,Z2554)</f>
        <v/>
      </c>
      <c r="AF2554" s="13" t="inlineStr">
        <is>
          <t>OMN Vol2 &gt; PB-61 &gt; OMN &gt; Ships &gt; Other &gt; AGF-LCC</t>
        </is>
      </c>
      <c r="AG2554" s="7" t="inlineStr">
        <is>
          <t>109</t>
        </is>
      </c>
      <c r="AH2554" s="7" t="inlineStr">
        <is>
          <t>1B4B</t>
        </is>
      </c>
      <c r="AI2554" s="7" t="inlineStr">
        <is>
          <t>OMN &gt; Ships &gt; Other</t>
        </is>
      </c>
      <c r="AJ2554" s="7" t="inlineStr">
        <is>
          <t>AGF-LCC</t>
        </is>
      </c>
    </row>
    <row r="2555" ht="10" customHeight="1">
      <c r="A2555" s="7" t="inlineStr">
        <is>
          <t>OMN_Vol2</t>
        </is>
      </c>
      <c r="B2555" s="7" t="inlineStr">
        <is>
          <t>O&amp;M</t>
        </is>
      </c>
      <c r="D2555" s="7" t="inlineStr">
        <is>
          <t>AMPHIBS</t>
        </is>
      </c>
      <c r="E2555" s="15" t="n"/>
      <c r="I2555" s="14" t="n">
        <v>2</v>
      </c>
      <c r="K2555" s="13" t="inlineStr">
        <is>
          <t>USN</t>
        </is>
      </c>
      <c r="L2555" s="7" t="inlineStr">
        <is>
          <t>Combatant Ships</t>
        </is>
      </c>
      <c r="M2555" s="7" t="inlineStr">
        <is>
          <t>Amphibious Warfare Ships</t>
        </is>
      </c>
      <c r="N2555" s="7" t="inlineStr">
        <is>
          <t>LHD</t>
        </is>
      </c>
      <c r="O2555" s="15" t="n"/>
      <c r="P2555" s="16" t="n">
        <v>199393</v>
      </c>
      <c r="Q2555" s="16" t="n">
        <v>196703</v>
      </c>
      <c r="R2555" s="16" t="n">
        <v>201922</v>
      </c>
      <c r="S2555" s="16" t="n">
        <v>112718</v>
      </c>
      <c r="V2555" s="16" t="n">
        <v>150945</v>
      </c>
      <c r="AC2555" s="23">
        <f>IF(OR(E2555="",E2555="[PARENT]"),"ADD",IF(E2555="[ALT_VIEW]","ALT",""))</f>
        <v/>
      </c>
      <c r="AD2555" s="21">
        <f>IF(Y2555&lt;&gt;"",Y2555,IF(U2555&lt;&gt;"",U2555,S2555))</f>
        <v/>
      </c>
      <c r="AE2555" s="21">
        <f>IF(AB2555&lt;&gt;"",AB2555,Z2555)</f>
        <v/>
      </c>
      <c r="AF2555" s="13" t="inlineStr">
        <is>
          <t>OMN Vol2 &gt; PB-61 &gt; OMN &gt; Ships &gt; Other &gt; AMPHIBS</t>
        </is>
      </c>
      <c r="AG2555" s="7" t="inlineStr">
        <is>
          <t>109</t>
        </is>
      </c>
      <c r="AH2555" s="7" t="inlineStr">
        <is>
          <t>1B4B</t>
        </is>
      </c>
      <c r="AI2555" s="7" t="inlineStr">
        <is>
          <t>OMN &gt; Ships &gt; Other</t>
        </is>
      </c>
      <c r="AJ2555" s="7" t="inlineStr">
        <is>
          <t>AMPHIBS</t>
        </is>
      </c>
    </row>
    <row r="2556" ht="10" customHeight="1">
      <c r="A2556" s="7" t="inlineStr">
        <is>
          <t>OMN_Vol2</t>
        </is>
      </c>
      <c r="B2556" s="7" t="inlineStr">
        <is>
          <t>O&amp;M</t>
        </is>
      </c>
      <c r="D2556" s="7" t="inlineStr">
        <is>
          <t>ARDM-AS</t>
        </is>
      </c>
      <c r="E2556" s="15" t="n"/>
      <c r="I2556" s="14" t="n">
        <v>2</v>
      </c>
      <c r="K2556" s="15" t="n"/>
      <c r="O2556" s="15" t="n"/>
      <c r="P2556" s="16" t="n">
        <v>897</v>
      </c>
      <c r="Q2556" s="16" t="n">
        <v>5572</v>
      </c>
      <c r="R2556" s="16" t="n">
        <v>5628</v>
      </c>
      <c r="S2556" s="16" t="n">
        <v>2498</v>
      </c>
      <c r="V2556" s="16" t="n">
        <v>2580</v>
      </c>
      <c r="AC2556" s="23">
        <f>IF(OR(E2556="",E2556="[PARENT]"),"ADD",IF(E2556="[ALT_VIEW]","ALT",""))</f>
        <v/>
      </c>
      <c r="AD2556" s="21">
        <f>IF(Y2556&lt;&gt;"",Y2556,IF(U2556&lt;&gt;"",U2556,S2556))</f>
        <v/>
      </c>
      <c r="AE2556" s="21">
        <f>IF(AB2556&lt;&gt;"",AB2556,Z2556)</f>
        <v/>
      </c>
      <c r="AF2556" s="13" t="inlineStr">
        <is>
          <t>OMN Vol2 &gt; PB-61 &gt; OMN &gt; Ships &gt; Other &gt; ARDM-AS</t>
        </is>
      </c>
      <c r="AG2556" s="7" t="inlineStr">
        <is>
          <t>109</t>
        </is>
      </c>
      <c r="AH2556" s="7" t="inlineStr">
        <is>
          <t>1B4B</t>
        </is>
      </c>
      <c r="AI2556" s="7" t="inlineStr">
        <is>
          <t>OMN &gt; Ships &gt; Other</t>
        </is>
      </c>
      <c r="AJ2556" s="7" t="inlineStr">
        <is>
          <t>ARDM-AS</t>
        </is>
      </c>
    </row>
    <row r="2557" ht="10" customHeight="1">
      <c r="A2557" s="7" t="inlineStr">
        <is>
          <t>OMN_Vol2</t>
        </is>
      </c>
      <c r="B2557" s="7" t="inlineStr">
        <is>
          <t>O&amp;M</t>
        </is>
      </c>
      <c r="D2557" s="7" t="inlineStr">
        <is>
          <t>AS-ARDM</t>
        </is>
      </c>
      <c r="E2557" s="15" t="n"/>
      <c r="I2557" s="14" t="n">
        <v>2</v>
      </c>
      <c r="K2557" s="15" t="n"/>
      <c r="O2557" s="15" t="n"/>
      <c r="P2557" s="16" t="n">
        <v>712</v>
      </c>
      <c r="Q2557" s="16" t="n">
        <v>1428</v>
      </c>
      <c r="R2557" s="16" t="n">
        <v>1435</v>
      </c>
      <c r="S2557" s="16" t="n">
        <v>1477</v>
      </c>
      <c r="V2557" s="16" t="n">
        <v>1488</v>
      </c>
      <c r="AC2557" s="23">
        <f>IF(OR(E2557="",E2557="[PARENT]"),"ADD",IF(E2557="[ALT_VIEW]","ALT",""))</f>
        <v/>
      </c>
      <c r="AD2557" s="21">
        <f>IF(Y2557&lt;&gt;"",Y2557,IF(U2557&lt;&gt;"",U2557,S2557))</f>
        <v/>
      </c>
      <c r="AE2557" s="21">
        <f>IF(AB2557&lt;&gt;"",AB2557,Z2557)</f>
        <v/>
      </c>
      <c r="AF2557" s="13" t="inlineStr">
        <is>
          <t>OMN Vol2 &gt; PB-61 &gt; OMN &gt; Ships &gt; Other &gt; AS-ARDM</t>
        </is>
      </c>
      <c r="AG2557" s="7" t="inlineStr">
        <is>
          <t>109</t>
        </is>
      </c>
      <c r="AH2557" s="7" t="inlineStr">
        <is>
          <t>1B4B</t>
        </is>
      </c>
      <c r="AI2557" s="7" t="inlineStr">
        <is>
          <t>OMN &gt; Ships &gt; Other</t>
        </is>
      </c>
      <c r="AJ2557" s="7" t="inlineStr">
        <is>
          <t>AS-ARDM</t>
        </is>
      </c>
    </row>
    <row r="2558" ht="10" customHeight="1">
      <c r="A2558" s="7" t="inlineStr">
        <is>
          <t>OMN_Vol2</t>
        </is>
      </c>
      <c r="B2558" s="7" t="inlineStr">
        <is>
          <t>O&amp;M</t>
        </is>
      </c>
      <c r="D2558" s="7" t="inlineStr">
        <is>
          <t>CG</t>
        </is>
      </c>
      <c r="E2558" s="15" t="n"/>
      <c r="I2558" s="14" t="n">
        <v>2</v>
      </c>
      <c r="K2558" s="13" t="inlineStr">
        <is>
          <t>USN</t>
        </is>
      </c>
      <c r="L2558" s="7" t="inlineStr">
        <is>
          <t>Combatant Ships</t>
        </is>
      </c>
      <c r="M2558" s="7" t="inlineStr">
        <is>
          <t>Surface Combatants</t>
        </is>
      </c>
      <c r="N2558" s="7" t="inlineStr">
        <is>
          <t>CG</t>
        </is>
      </c>
      <c r="O2558" s="15" t="n"/>
      <c r="P2558" s="16" t="n">
        <v>69927</v>
      </c>
      <c r="Q2558" s="16" t="n">
        <v>83031</v>
      </c>
      <c r="R2558" s="16" t="n">
        <v>86340</v>
      </c>
      <c r="S2558" s="16" t="n">
        <v>75209</v>
      </c>
      <c r="V2558" s="16" t="n">
        <v>77398</v>
      </c>
      <c r="AC2558" s="23">
        <f>IF(OR(E2558="",E2558="[PARENT]"),"ADD",IF(E2558="[ALT_VIEW]","ALT",""))</f>
        <v/>
      </c>
      <c r="AD2558" s="21">
        <f>IF(Y2558&lt;&gt;"",Y2558,IF(U2558&lt;&gt;"",U2558,S2558))</f>
        <v/>
      </c>
      <c r="AE2558" s="21">
        <f>IF(AB2558&lt;&gt;"",AB2558,Z2558)</f>
        <v/>
      </c>
      <c r="AF2558" s="13" t="inlineStr">
        <is>
          <t>OMN Vol2 &gt; PB-61 &gt; OMN &gt; Ships &gt; Other &gt; CG</t>
        </is>
      </c>
      <c r="AG2558" s="7" t="inlineStr">
        <is>
          <t>109</t>
        </is>
      </c>
      <c r="AH2558" s="7" t="inlineStr">
        <is>
          <t>1B4B</t>
        </is>
      </c>
      <c r="AI2558" s="7" t="inlineStr">
        <is>
          <t>OMN &gt; Ships &gt; Other</t>
        </is>
      </c>
      <c r="AJ2558" s="7" t="inlineStr">
        <is>
          <t>CG</t>
        </is>
      </c>
    </row>
    <row r="2559" ht="10" customHeight="1">
      <c r="A2559" s="7" t="inlineStr">
        <is>
          <t>OMN_Vol2</t>
        </is>
      </c>
      <c r="B2559" s="7" t="inlineStr">
        <is>
          <t>O&amp;M</t>
        </is>
      </c>
      <c r="D2559" s="7" t="inlineStr">
        <is>
          <t>Combat Training System (CTSD)</t>
        </is>
      </c>
      <c r="E2559" s="15" t="n"/>
      <c r="I2559" s="14" t="n">
        <v>2</v>
      </c>
      <c r="K2559" s="15" t="n"/>
      <c r="O2559" s="15" t="n"/>
      <c r="P2559" s="16" t="n">
        <v>1527</v>
      </c>
      <c r="Q2559" s="16" t="n">
        <v>10512</v>
      </c>
      <c r="R2559" s="16" t="n">
        <v>10512</v>
      </c>
      <c r="S2559" s="16" t="n">
        <v>10193</v>
      </c>
      <c r="V2559" s="16" t="n">
        <v>10269</v>
      </c>
      <c r="AC2559" s="23">
        <f>IF(OR(E2559="",E2559="[PARENT]"),"ADD",IF(E2559="[ALT_VIEW]","ALT",""))</f>
        <v/>
      </c>
      <c r="AD2559" s="21">
        <f>IF(Y2559&lt;&gt;"",Y2559,IF(U2559&lt;&gt;"",U2559,S2559))</f>
        <v/>
      </c>
      <c r="AE2559" s="21">
        <f>IF(AB2559&lt;&gt;"",AB2559,Z2559)</f>
        <v/>
      </c>
      <c r="AF2559" s="13" t="inlineStr">
        <is>
          <t>OMN Vol2 &gt; PB-61 &gt; OMN &gt; Ships &gt; Other &gt; CTSD</t>
        </is>
      </c>
      <c r="AG2559" s="7" t="inlineStr">
        <is>
          <t>109</t>
        </is>
      </c>
      <c r="AH2559" s="7" t="inlineStr">
        <is>
          <t>1B4B</t>
        </is>
      </c>
      <c r="AI2559" s="7" t="inlineStr">
        <is>
          <t>OMN &gt; Ships &gt; Other</t>
        </is>
      </c>
      <c r="AJ2559" s="7" t="inlineStr">
        <is>
          <t>CTSD</t>
        </is>
      </c>
    </row>
    <row r="2560" ht="10" customHeight="1">
      <c r="A2560" s="7" t="inlineStr">
        <is>
          <t>OMN_Vol2</t>
        </is>
      </c>
      <c r="B2560" s="7" t="inlineStr">
        <is>
          <t>O&amp;M</t>
        </is>
      </c>
      <c r="D2560" s="7" t="inlineStr">
        <is>
          <t>CV-CVN</t>
        </is>
      </c>
      <c r="E2560" s="15" t="n"/>
      <c r="I2560" s="14" t="n">
        <v>2</v>
      </c>
      <c r="K2560" s="13" t="inlineStr">
        <is>
          <t>USN</t>
        </is>
      </c>
      <c r="L2560" s="7" t="inlineStr">
        <is>
          <t>Combatant Ships</t>
        </is>
      </c>
      <c r="M2560" s="7" t="inlineStr">
        <is>
          <t>Aircraft Carriers</t>
        </is>
      </c>
      <c r="N2560" s="7" t="inlineStr">
        <is>
          <t>CVN</t>
        </is>
      </c>
      <c r="O2560" s="15" t="n"/>
      <c r="P2560" s="16" t="n">
        <v>193274</v>
      </c>
      <c r="Q2560" s="16" t="n">
        <v>97736</v>
      </c>
      <c r="R2560" s="16" t="n">
        <v>102481</v>
      </c>
      <c r="S2560" s="16" t="n">
        <v>364463</v>
      </c>
      <c r="V2560" s="16" t="n">
        <v>184318</v>
      </c>
      <c r="AC2560" s="23">
        <f>IF(OR(E2560="",E2560="[PARENT]"),"ADD",IF(E2560="[ALT_VIEW]","ALT",""))</f>
        <v/>
      </c>
      <c r="AD2560" s="21">
        <f>IF(Y2560&lt;&gt;"",Y2560,IF(U2560&lt;&gt;"",U2560,S2560))</f>
        <v/>
      </c>
      <c r="AE2560" s="21">
        <f>IF(AB2560&lt;&gt;"",AB2560,Z2560)</f>
        <v/>
      </c>
      <c r="AF2560" s="13" t="inlineStr">
        <is>
          <t>OMN Vol2 &gt; PB-61 &gt; OMN &gt; Ships &gt; Other &gt; CV-CVN</t>
        </is>
      </c>
      <c r="AG2560" s="7" t="inlineStr">
        <is>
          <t>109</t>
        </is>
      </c>
      <c r="AH2560" s="7" t="inlineStr">
        <is>
          <t>1B4B</t>
        </is>
      </c>
      <c r="AI2560" s="7" t="inlineStr">
        <is>
          <t>OMN &gt; Ships &gt; Other</t>
        </is>
      </c>
      <c r="AJ2560" s="7" t="inlineStr">
        <is>
          <t>CV-CVN</t>
        </is>
      </c>
    </row>
    <row r="2561" ht="10" customHeight="1">
      <c r="A2561" s="7" t="inlineStr">
        <is>
          <t>OMN_Vol2</t>
        </is>
      </c>
      <c r="B2561" s="7" t="inlineStr">
        <is>
          <t>O&amp;M</t>
        </is>
      </c>
      <c r="D2561" s="7" t="inlineStr">
        <is>
          <t>DDG</t>
        </is>
      </c>
      <c r="E2561" s="15" t="n"/>
      <c r="I2561" s="14" t="n">
        <v>2</v>
      </c>
      <c r="K2561" s="13" t="inlineStr">
        <is>
          <t>USN</t>
        </is>
      </c>
      <c r="L2561" s="7" t="inlineStr">
        <is>
          <t>Combatant Ships</t>
        </is>
      </c>
      <c r="M2561" s="7" t="inlineStr">
        <is>
          <t>Surface Combatants</t>
        </is>
      </c>
      <c r="N2561" s="7" t="inlineStr">
        <is>
          <t>DDG</t>
        </is>
      </c>
      <c r="O2561" s="15" t="n"/>
      <c r="P2561" s="16" t="n">
        <v>429962</v>
      </c>
      <c r="Q2561" s="16" t="n">
        <v>353844</v>
      </c>
      <c r="R2561" s="16" t="n">
        <v>405744</v>
      </c>
      <c r="S2561" s="16" t="n">
        <v>426684</v>
      </c>
      <c r="V2561" s="16" t="n">
        <v>454399</v>
      </c>
      <c r="AC2561" s="23">
        <f>IF(OR(E2561="",E2561="[PARENT]"),"ADD",IF(E2561="[ALT_VIEW]","ALT",""))</f>
        <v/>
      </c>
      <c r="AD2561" s="21">
        <f>IF(Y2561&lt;&gt;"",Y2561,IF(U2561&lt;&gt;"",U2561,S2561))</f>
        <v/>
      </c>
      <c r="AE2561" s="21">
        <f>IF(AB2561&lt;&gt;"",AB2561,Z2561)</f>
        <v/>
      </c>
      <c r="AF2561" s="13" t="inlineStr">
        <is>
          <t>OMN Vol2 &gt; PB-61 &gt; OMN &gt; Ships &gt; Other &gt; DDG</t>
        </is>
      </c>
      <c r="AG2561" s="7" t="inlineStr">
        <is>
          <t>109</t>
        </is>
      </c>
      <c r="AH2561" s="7" t="inlineStr">
        <is>
          <t>1B4B</t>
        </is>
      </c>
      <c r="AI2561" s="7" t="inlineStr">
        <is>
          <t>OMN &gt; Ships &gt; Other - DM001 - DDG MODERNIZATION HME (WIRELESS COMMUNICATIONS)</t>
        </is>
      </c>
      <c r="AJ2561" s="7" t="inlineStr">
        <is>
          <t>DDG</t>
        </is>
      </c>
    </row>
    <row r="2562" ht="10" customHeight="1">
      <c r="A2562" s="7" t="inlineStr">
        <is>
          <t>OMN_Vol2</t>
        </is>
      </c>
      <c r="B2562" s="7" t="inlineStr">
        <is>
          <t>O&amp;M</t>
        </is>
      </c>
      <c r="D2562" s="7" t="inlineStr">
        <is>
          <t>DDG - 1000</t>
        </is>
      </c>
      <c r="E2562" s="15" t="n"/>
      <c r="I2562" s="14" t="n">
        <v>2</v>
      </c>
      <c r="K2562" s="13" t="inlineStr">
        <is>
          <t>USN</t>
        </is>
      </c>
      <c r="L2562" s="7" t="inlineStr">
        <is>
          <t>Combatant Ships</t>
        </is>
      </c>
      <c r="M2562" s="7" t="inlineStr">
        <is>
          <t>Surface Combatants</t>
        </is>
      </c>
      <c r="N2562" s="7" t="inlineStr">
        <is>
          <t>DDG</t>
        </is>
      </c>
      <c r="O2562" s="15" t="n"/>
      <c r="S2562" s="16" t="n">
        <v>1662</v>
      </c>
      <c r="V2562" s="16" t="n">
        <v>1790</v>
      </c>
      <c r="AC2562" s="23">
        <f>IF(OR(E2562="",E2562="[PARENT]"),"ADD",IF(E2562="[ALT_VIEW]","ALT",""))</f>
        <v/>
      </c>
      <c r="AD2562" s="21">
        <f>IF(Y2562&lt;&gt;"",Y2562,IF(U2562&lt;&gt;"",U2562,S2562))</f>
        <v/>
      </c>
      <c r="AE2562" s="21">
        <f>IF(AB2562&lt;&gt;"",AB2562,Z2562)</f>
        <v/>
      </c>
      <c r="AF2562" s="13" t="inlineStr">
        <is>
          <t>OMN Vol2 &gt; PB-61 &gt; OMN &gt; Ships &gt; Other &gt; DDG - 1000</t>
        </is>
      </c>
      <c r="AG2562" s="7" t="inlineStr">
        <is>
          <t>109</t>
        </is>
      </c>
      <c r="AH2562" s="7" t="inlineStr">
        <is>
          <t>1B4B</t>
        </is>
      </c>
      <c r="AI2562" s="7" t="inlineStr">
        <is>
          <t>OMN &gt; Ships &gt; Other</t>
        </is>
      </c>
      <c r="AJ2562" s="7" t="inlineStr">
        <is>
          <t>DDG - 1000</t>
        </is>
      </c>
    </row>
    <row r="2563" ht="10" customHeight="1">
      <c r="A2563" s="7" t="inlineStr">
        <is>
          <t>OMN_Vol2</t>
        </is>
      </c>
      <c r="B2563" s="7" t="inlineStr">
        <is>
          <t>O&amp;M</t>
        </is>
      </c>
      <c r="D2563" s="7" t="inlineStr">
        <is>
          <t>DDG-1000</t>
        </is>
      </c>
      <c r="E2563" s="15" t="n"/>
      <c r="I2563" s="14" t="n">
        <v>2</v>
      </c>
      <c r="K2563" s="13" t="inlineStr">
        <is>
          <t>USN</t>
        </is>
      </c>
      <c r="L2563" s="7" t="inlineStr">
        <is>
          <t>Combatant Ships</t>
        </is>
      </c>
      <c r="M2563" s="7" t="inlineStr">
        <is>
          <t>Surface Combatants</t>
        </is>
      </c>
      <c r="N2563" s="7" t="inlineStr">
        <is>
          <t>DDG</t>
        </is>
      </c>
      <c r="O2563" s="15" t="n"/>
      <c r="P2563" s="16" t="n">
        <v>643</v>
      </c>
      <c r="AC2563" s="23">
        <f>IF(OR(E2563="",E2563="[PARENT]"),"ADD",IF(E2563="[ALT_VIEW]","ALT",""))</f>
        <v/>
      </c>
      <c r="AD2563" s="21">
        <f>IF(Y2563&lt;&gt;"",Y2563,IF(U2563&lt;&gt;"",U2563,S2563))</f>
        <v/>
      </c>
      <c r="AE2563" s="21">
        <f>IF(AB2563&lt;&gt;"",AB2563,Z2563)</f>
        <v/>
      </c>
      <c r="AF2563" s="13" t="inlineStr">
        <is>
          <t>OMN Vol2 &gt; PB-61 &gt; OMN &gt; Ships &gt; Other &gt; DDG-1000</t>
        </is>
      </c>
      <c r="AG2563" s="7" t="inlineStr">
        <is>
          <t>109</t>
        </is>
      </c>
      <c r="AH2563" s="7" t="inlineStr">
        <is>
          <t>1B4B</t>
        </is>
      </c>
      <c r="AI2563" s="7" t="inlineStr">
        <is>
          <t>OMN &gt; Ships &gt; Other</t>
        </is>
      </c>
      <c r="AJ2563" s="7" t="inlineStr">
        <is>
          <t>DDG-1000</t>
        </is>
      </c>
    </row>
    <row r="2564" ht="10" customHeight="1">
      <c r="A2564" s="7" t="inlineStr">
        <is>
          <t>OMN_Vol2</t>
        </is>
      </c>
      <c r="B2564" s="7" t="inlineStr">
        <is>
          <t>O&amp;M</t>
        </is>
      </c>
      <c r="D2564" s="7" t="inlineStr">
        <is>
          <t>ESB</t>
        </is>
      </c>
      <c r="E2564" s="15" t="n"/>
      <c r="I2564" s="14" t="n">
        <v>2</v>
      </c>
      <c r="K2564" s="13" t="inlineStr">
        <is>
          <t>USN</t>
        </is>
      </c>
      <c r="L2564" s="7" t="inlineStr">
        <is>
          <t>Combatant Ships</t>
        </is>
      </c>
      <c r="M2564" s="7" t="inlineStr">
        <is>
          <t>Expeditionary &amp; Seabasing Ships</t>
        </is>
      </c>
      <c r="N2564" s="7" t="inlineStr">
        <is>
          <t>ESB</t>
        </is>
      </c>
      <c r="O2564" s="15" t="n"/>
      <c r="P2564" s="16" t="n">
        <v>1224</v>
      </c>
      <c r="Q2564" s="16" t="n">
        <v>1454</v>
      </c>
      <c r="R2564" s="16" t="n">
        <v>1461</v>
      </c>
      <c r="S2564" s="16" t="n">
        <v>4007</v>
      </c>
      <c r="V2564" s="16" t="n">
        <v>4091</v>
      </c>
      <c r="AC2564" s="23">
        <f>IF(OR(E2564="",E2564="[PARENT]"),"ADD",IF(E2564="[ALT_VIEW]","ALT",""))</f>
        <v/>
      </c>
      <c r="AD2564" s="21">
        <f>IF(Y2564&lt;&gt;"",Y2564,IF(U2564&lt;&gt;"",U2564,S2564))</f>
        <v/>
      </c>
      <c r="AE2564" s="21">
        <f>IF(AB2564&lt;&gt;"",AB2564,Z2564)</f>
        <v/>
      </c>
      <c r="AF2564" s="13" t="inlineStr">
        <is>
          <t>OMN Vol2 &gt; PB-61 &gt; OMN &gt; Ships &gt; Other &gt; ESB</t>
        </is>
      </c>
      <c r="AG2564" s="7" t="inlineStr">
        <is>
          <t>109</t>
        </is>
      </c>
      <c r="AH2564" s="7" t="inlineStr">
        <is>
          <t>1B4B</t>
        </is>
      </c>
      <c r="AI2564" s="7" t="inlineStr">
        <is>
          <t>OMN &gt; Ships &gt; Other</t>
        </is>
      </c>
      <c r="AJ2564" s="7" t="inlineStr">
        <is>
          <t>ESB</t>
        </is>
      </c>
    </row>
    <row r="2565" ht="10" customHeight="1">
      <c r="A2565" s="7" t="inlineStr">
        <is>
          <t>OMN_Vol2</t>
        </is>
      </c>
      <c r="B2565" s="7" t="inlineStr">
        <is>
          <t>O&amp;M</t>
        </is>
      </c>
      <c r="D2565" s="7" t="inlineStr">
        <is>
          <t>LCS</t>
        </is>
      </c>
      <c r="E2565" s="15" t="n"/>
      <c r="I2565" s="14" t="n">
        <v>2</v>
      </c>
      <c r="K2565" s="13" t="inlineStr">
        <is>
          <t>USN</t>
        </is>
      </c>
      <c r="L2565" s="7" t="inlineStr">
        <is>
          <t>Combatant Ships</t>
        </is>
      </c>
      <c r="M2565" s="7" t="inlineStr">
        <is>
          <t>Surface Combatants</t>
        </is>
      </c>
      <c r="N2565" s="7" t="inlineStr">
        <is>
          <t>LCS</t>
        </is>
      </c>
      <c r="O2565" s="15" t="n"/>
      <c r="P2565" s="16" t="n">
        <v>168387</v>
      </c>
      <c r="Q2565" s="16" t="n">
        <v>233021</v>
      </c>
      <c r="R2565" s="16" t="n">
        <v>279807</v>
      </c>
      <c r="S2565" s="16" t="n">
        <v>345600</v>
      </c>
      <c r="V2565" s="16" t="n">
        <v>372513</v>
      </c>
      <c r="AC2565" s="23">
        <f>IF(OR(E2565="",E2565="[PARENT]"),"ADD",IF(E2565="[ALT_VIEW]","ALT",""))</f>
        <v/>
      </c>
      <c r="AD2565" s="21">
        <f>IF(Y2565&lt;&gt;"",Y2565,IF(U2565&lt;&gt;"",U2565,S2565))</f>
        <v/>
      </c>
      <c r="AE2565" s="21">
        <f>IF(AB2565&lt;&gt;"",AB2565,Z2565)</f>
        <v/>
      </c>
      <c r="AF2565" s="13" t="inlineStr">
        <is>
          <t>OMN Vol2 &gt; PB-61 &gt; OMN &gt; Ships &gt; Other &gt; LCS</t>
        </is>
      </c>
      <c r="AG2565" s="7" t="inlineStr">
        <is>
          <t>109</t>
        </is>
      </c>
      <c r="AH2565" s="7" t="inlineStr">
        <is>
          <t>1B4B</t>
        </is>
      </c>
      <c r="AI2565" s="7" t="inlineStr">
        <is>
          <t>OMN &gt; Ships &gt; Other</t>
        </is>
      </c>
      <c r="AJ2565" s="7" t="inlineStr">
        <is>
          <t>LCS</t>
        </is>
      </c>
    </row>
    <row r="2566" ht="10" customHeight="1">
      <c r="A2566" s="7" t="inlineStr">
        <is>
          <t>OMN_Vol2</t>
        </is>
      </c>
      <c r="B2566" s="7" t="inlineStr">
        <is>
          <t>O&amp;M</t>
        </is>
      </c>
      <c r="D2566" s="7" t="inlineStr">
        <is>
          <t>LCU</t>
        </is>
      </c>
      <c r="E2566" s="15" t="n"/>
      <c r="I2566" s="14" t="n">
        <v>2</v>
      </c>
      <c r="K2566" s="13" t="inlineStr">
        <is>
          <t>USN</t>
        </is>
      </c>
      <c r="L2566" s="7" t="inlineStr">
        <is>
          <t>Combatant Crafts</t>
        </is>
      </c>
      <c r="M2566" s="7" t="inlineStr">
        <is>
          <t>Amphibious Warfare Craft</t>
        </is>
      </c>
      <c r="N2566" s="7" t="inlineStr">
        <is>
          <t>LCU</t>
        </is>
      </c>
      <c r="O2566" s="15" t="n"/>
      <c r="S2566" s="16" t="n">
        <v>1623</v>
      </c>
      <c r="V2566" s="16" t="n">
        <v>1662</v>
      </c>
      <c r="AC2566" s="23">
        <f>IF(OR(E2566="",E2566="[PARENT]"),"ADD",IF(E2566="[ALT_VIEW]","ALT",""))</f>
        <v/>
      </c>
      <c r="AD2566" s="21">
        <f>IF(Y2566&lt;&gt;"",Y2566,IF(U2566&lt;&gt;"",U2566,S2566))</f>
        <v/>
      </c>
      <c r="AE2566" s="21">
        <f>IF(AB2566&lt;&gt;"",AB2566,Z2566)</f>
        <v/>
      </c>
      <c r="AF2566" s="13" t="inlineStr">
        <is>
          <t>OMN Vol2 &gt; PB-61 &gt; OMN &gt; Ships &gt; Other &gt; LCU</t>
        </is>
      </c>
      <c r="AG2566" s="7" t="inlineStr">
        <is>
          <t>109</t>
        </is>
      </c>
      <c r="AH2566" s="7" t="inlineStr">
        <is>
          <t>1B4B</t>
        </is>
      </c>
      <c r="AI2566" s="7" t="inlineStr">
        <is>
          <t>OMN &gt; Ships &gt; Other</t>
        </is>
      </c>
      <c r="AJ2566" s="7" t="inlineStr">
        <is>
          <t>LCU</t>
        </is>
      </c>
    </row>
    <row r="2567" ht="10" customHeight="1">
      <c r="A2567" s="7" t="inlineStr">
        <is>
          <t>OMN_Vol2</t>
        </is>
      </c>
      <c r="B2567" s="7" t="inlineStr">
        <is>
          <t>O&amp;M</t>
        </is>
      </c>
      <c r="D2567" s="7" t="inlineStr">
        <is>
          <t>LHA</t>
        </is>
      </c>
      <c r="E2567" s="15" t="n"/>
      <c r="I2567" s="14" t="n">
        <v>2</v>
      </c>
      <c r="K2567" s="13" t="inlineStr">
        <is>
          <t>USN</t>
        </is>
      </c>
      <c r="L2567" s="7" t="inlineStr">
        <is>
          <t>Combatant Ships</t>
        </is>
      </c>
      <c r="M2567" s="7" t="inlineStr">
        <is>
          <t>Amphibious Warfare Ships</t>
        </is>
      </c>
      <c r="N2567" s="7" t="inlineStr">
        <is>
          <t>LHA</t>
        </is>
      </c>
      <c r="O2567" s="15" t="n"/>
      <c r="S2567" s="16" t="n">
        <v>15896</v>
      </c>
      <c r="V2567" s="16" t="n">
        <v>16315</v>
      </c>
      <c r="AC2567" s="23">
        <f>IF(OR(E2567="",E2567="[PARENT]"),"ADD",IF(E2567="[ALT_VIEW]","ALT",""))</f>
        <v/>
      </c>
      <c r="AD2567" s="21">
        <f>IF(Y2567&lt;&gt;"",Y2567,IF(U2567&lt;&gt;"",U2567,S2567))</f>
        <v/>
      </c>
      <c r="AE2567" s="21">
        <f>IF(AB2567&lt;&gt;"",AB2567,Z2567)</f>
        <v/>
      </c>
      <c r="AF2567" s="13" t="inlineStr">
        <is>
          <t>OMN Vol2 &gt; PB-61 &gt; OMN &gt; Ships &gt; Other &gt; LHA</t>
        </is>
      </c>
      <c r="AG2567" s="7" t="inlineStr">
        <is>
          <t>109</t>
        </is>
      </c>
      <c r="AH2567" s="7" t="inlineStr">
        <is>
          <t>1B4B</t>
        </is>
      </c>
      <c r="AI2567" s="7" t="inlineStr">
        <is>
          <t>OMN &gt; Ships &gt; Other</t>
        </is>
      </c>
      <c r="AJ2567" s="7" t="inlineStr">
        <is>
          <t>LHA</t>
        </is>
      </c>
    </row>
    <row r="2568" ht="10" customHeight="1">
      <c r="A2568" s="7" t="inlineStr">
        <is>
          <t>OMN_Vol2</t>
        </is>
      </c>
      <c r="B2568" s="7" t="inlineStr">
        <is>
          <t>O&amp;M</t>
        </is>
      </c>
      <c r="D2568" s="7" t="inlineStr">
        <is>
          <t>LHD</t>
        </is>
      </c>
      <c r="E2568" s="15" t="n"/>
      <c r="I2568" s="14" t="n">
        <v>2</v>
      </c>
      <c r="K2568" s="13" t="inlineStr">
        <is>
          <t>USN</t>
        </is>
      </c>
      <c r="L2568" s="7" t="inlineStr">
        <is>
          <t>Combatant Ships</t>
        </is>
      </c>
      <c r="M2568" s="7" t="inlineStr">
        <is>
          <t>Amphibious Warfare Ships</t>
        </is>
      </c>
      <c r="N2568" s="7" t="inlineStr">
        <is>
          <t>LHD</t>
        </is>
      </c>
      <c r="O2568" s="15" t="n"/>
      <c r="S2568" s="16" t="n">
        <v>16429</v>
      </c>
      <c r="V2568" s="16" t="n">
        <v>16573</v>
      </c>
      <c r="AC2568" s="23">
        <f>IF(OR(E2568="",E2568="[PARENT]"),"ADD",IF(E2568="[ALT_VIEW]","ALT",""))</f>
        <v/>
      </c>
      <c r="AD2568" s="21">
        <f>IF(Y2568&lt;&gt;"",Y2568,IF(U2568&lt;&gt;"",U2568,S2568))</f>
        <v/>
      </c>
      <c r="AE2568" s="21">
        <f>IF(AB2568&lt;&gt;"",AB2568,Z2568)</f>
        <v/>
      </c>
      <c r="AF2568" s="13" t="inlineStr">
        <is>
          <t>OMN Vol2 &gt; PB-61 &gt; OMN &gt; Ships &gt; Other &gt; LHD</t>
        </is>
      </c>
      <c r="AG2568" s="7" t="inlineStr">
        <is>
          <t>109</t>
        </is>
      </c>
      <c r="AH2568" s="7" t="inlineStr">
        <is>
          <t>1B4B</t>
        </is>
      </c>
      <c r="AI2568" s="7" t="inlineStr">
        <is>
          <t>OMN &gt; Ships &gt; Other</t>
        </is>
      </c>
      <c r="AJ2568" s="7" t="inlineStr">
        <is>
          <t>LHD</t>
        </is>
      </c>
    </row>
    <row r="2569" ht="10" customHeight="1">
      <c r="A2569" s="7" t="inlineStr">
        <is>
          <t>OMN_Vol2</t>
        </is>
      </c>
      <c r="B2569" s="7" t="inlineStr">
        <is>
          <t>O&amp;M</t>
        </is>
      </c>
      <c r="D2569" s="7" t="inlineStr">
        <is>
          <t>LPD</t>
        </is>
      </c>
      <c r="E2569" s="15" t="n"/>
      <c r="I2569" s="14" t="n">
        <v>2</v>
      </c>
      <c r="K2569" s="13" t="inlineStr">
        <is>
          <t>USN</t>
        </is>
      </c>
      <c r="L2569" s="7" t="inlineStr">
        <is>
          <t>Combatant Ships</t>
        </is>
      </c>
      <c r="M2569" s="7" t="inlineStr">
        <is>
          <t>Amphibious Warfare Ships</t>
        </is>
      </c>
      <c r="N2569" s="7" t="inlineStr">
        <is>
          <t>LPD</t>
        </is>
      </c>
      <c r="O2569" s="15" t="n"/>
      <c r="S2569" s="16" t="n">
        <v>44309</v>
      </c>
      <c r="V2569" s="16" t="n">
        <v>45312</v>
      </c>
      <c r="AC2569" s="23">
        <f>IF(OR(E2569="",E2569="[PARENT]"),"ADD",IF(E2569="[ALT_VIEW]","ALT",""))</f>
        <v/>
      </c>
      <c r="AD2569" s="21">
        <f>IF(Y2569&lt;&gt;"",Y2569,IF(U2569&lt;&gt;"",U2569,S2569))</f>
        <v/>
      </c>
      <c r="AE2569" s="21">
        <f>IF(AB2569&lt;&gt;"",AB2569,Z2569)</f>
        <v/>
      </c>
      <c r="AF2569" s="13" t="inlineStr">
        <is>
          <t>OMN Vol2 &gt; PB-61 &gt; OMN &gt; Ships &gt; Other &gt; LPD</t>
        </is>
      </c>
      <c r="AG2569" s="7" t="inlineStr">
        <is>
          <t>109</t>
        </is>
      </c>
      <c r="AH2569" s="7" t="inlineStr">
        <is>
          <t>1B4B</t>
        </is>
      </c>
      <c r="AI2569" s="7" t="inlineStr">
        <is>
          <t>OMN &gt; Ships &gt; Other</t>
        </is>
      </c>
      <c r="AJ2569" s="7" t="inlineStr">
        <is>
          <t>LPD</t>
        </is>
      </c>
    </row>
    <row r="2570" ht="10" customHeight="1">
      <c r="A2570" s="7" t="inlineStr">
        <is>
          <t>OMN_Vol2</t>
        </is>
      </c>
      <c r="B2570" s="7" t="inlineStr">
        <is>
          <t>O&amp;M</t>
        </is>
      </c>
      <c r="D2570" s="7" t="inlineStr">
        <is>
          <t>LSD</t>
        </is>
      </c>
      <c r="E2570" s="15" t="n"/>
      <c r="I2570" s="14" t="n">
        <v>2</v>
      </c>
      <c r="K2570" s="13" t="inlineStr">
        <is>
          <t>USN</t>
        </is>
      </c>
      <c r="L2570" s="7" t="inlineStr">
        <is>
          <t>Combatant Ships</t>
        </is>
      </c>
      <c r="M2570" s="7" t="inlineStr">
        <is>
          <t>Amphibious Warfare Ships</t>
        </is>
      </c>
      <c r="N2570" s="7" t="inlineStr">
        <is>
          <t>LSD</t>
        </is>
      </c>
      <c r="O2570" s="15" t="n"/>
      <c r="S2570" s="16" t="n">
        <v>21075</v>
      </c>
      <c r="V2570" s="16" t="n">
        <v>21237</v>
      </c>
      <c r="AC2570" s="23">
        <f>IF(OR(E2570="",E2570="[PARENT]"),"ADD",IF(E2570="[ALT_VIEW]","ALT",""))</f>
        <v/>
      </c>
      <c r="AD2570" s="21">
        <f>IF(Y2570&lt;&gt;"",Y2570,IF(U2570&lt;&gt;"",U2570,S2570))</f>
        <v/>
      </c>
      <c r="AE2570" s="21">
        <f>IF(AB2570&lt;&gt;"",AB2570,Z2570)</f>
        <v/>
      </c>
      <c r="AF2570" s="13" t="inlineStr">
        <is>
          <t>OMN Vol2 &gt; PB-61 &gt; OMN &gt; Ships &gt; Other &gt; LSD</t>
        </is>
      </c>
      <c r="AG2570" s="7" t="inlineStr">
        <is>
          <t>109</t>
        </is>
      </c>
      <c r="AH2570" s="7" t="inlineStr">
        <is>
          <t>1B4B</t>
        </is>
      </c>
      <c r="AI2570" s="7" t="inlineStr">
        <is>
          <t>OMN &gt; Ships &gt; Other</t>
        </is>
      </c>
      <c r="AJ2570" s="7" t="inlineStr">
        <is>
          <t>LSD</t>
        </is>
      </c>
    </row>
    <row r="2571" ht="10" customHeight="1">
      <c r="A2571" s="7" t="inlineStr">
        <is>
          <t>OMN_Vol2</t>
        </is>
      </c>
      <c r="B2571" s="7" t="inlineStr">
        <is>
          <t>O&amp;M</t>
        </is>
      </c>
      <c r="D2571" s="7" t="inlineStr">
        <is>
          <t>MCM-MHC (A)</t>
        </is>
      </c>
      <c r="E2571" s="15" t="n"/>
      <c r="I2571" s="14" t="n">
        <v>2</v>
      </c>
      <c r="K2571" s="13" t="inlineStr">
        <is>
          <t>USN</t>
        </is>
      </c>
      <c r="L2571" s="7" t="inlineStr">
        <is>
          <t>Combatant Ships</t>
        </is>
      </c>
      <c r="M2571" s="7" t="inlineStr">
        <is>
          <t>Mine Warfare</t>
        </is>
      </c>
      <c r="N2571" s="7" t="inlineStr">
        <is>
          <t>MCM</t>
        </is>
      </c>
      <c r="O2571" s="15" t="n"/>
      <c r="P2571" s="16" t="n">
        <v>26770</v>
      </c>
      <c r="Q2571" s="16" t="n">
        <v>24799</v>
      </c>
      <c r="R2571" s="16" t="n">
        <v>24900</v>
      </c>
      <c r="S2571" s="16" t="n">
        <v>12468</v>
      </c>
      <c r="V2571" s="16" t="n">
        <v>12585</v>
      </c>
      <c r="AC2571" s="23">
        <f>IF(OR(E2571="",E2571="[PARENT]"),"ADD",IF(E2571="[ALT_VIEW]","ALT",""))</f>
        <v/>
      </c>
      <c r="AD2571" s="21">
        <f>IF(Y2571&lt;&gt;"",Y2571,IF(U2571&lt;&gt;"",U2571,S2571))</f>
        <v/>
      </c>
      <c r="AE2571" s="21">
        <f>IF(AB2571&lt;&gt;"",AB2571,Z2571)</f>
        <v/>
      </c>
      <c r="AF2571" s="13" t="inlineStr">
        <is>
          <t>OMN Vol2 &gt; PB-61 &gt; OMN &gt; Ships &gt; Other &gt; MCM-MHC (A)</t>
        </is>
      </c>
      <c r="AG2571" s="7" t="inlineStr">
        <is>
          <t>109</t>
        </is>
      </c>
      <c r="AH2571" s="7" t="inlineStr">
        <is>
          <t>1B4B</t>
        </is>
      </c>
      <c r="AI2571" s="7" t="inlineStr">
        <is>
          <t>OMN &gt; Ships &gt; Other</t>
        </is>
      </c>
      <c r="AJ2571" s="7" t="inlineStr">
        <is>
          <t>MCM-MHC (A)</t>
        </is>
      </c>
    </row>
    <row r="2572" ht="10" customHeight="1">
      <c r="A2572" s="7" t="inlineStr">
        <is>
          <t>OMN_Vol2</t>
        </is>
      </c>
      <c r="B2572" s="7" t="inlineStr">
        <is>
          <t>O&amp;M</t>
        </is>
      </c>
      <c r="D2572" s="7" t="inlineStr">
        <is>
          <t>Navy Expeditionary Combat Command (NECC) Centrally Managed Items</t>
        </is>
      </c>
      <c r="E2572" s="15" t="n"/>
      <c r="I2572" s="14" t="n">
        <v>2</v>
      </c>
      <c r="K2572" s="15" t="n"/>
      <c r="O2572" s="15" t="n"/>
      <c r="P2572" s="16" t="n">
        <v>20</v>
      </c>
      <c r="Q2572" s="16" t="n">
        <v>202</v>
      </c>
      <c r="R2572" s="16" t="n">
        <v>202</v>
      </c>
      <c r="S2572" s="16" t="n">
        <v>244</v>
      </c>
      <c r="V2572" s="16" t="n">
        <v>244</v>
      </c>
      <c r="AC2572" s="23">
        <f>IF(OR(E2572="",E2572="[PARENT]"),"ADD",IF(E2572="[ALT_VIEW]","ALT",""))</f>
        <v/>
      </c>
      <c r="AD2572" s="21">
        <f>IF(Y2572&lt;&gt;"",Y2572,IF(U2572&lt;&gt;"",U2572,S2572))</f>
        <v/>
      </c>
      <c r="AE2572" s="21">
        <f>IF(AB2572&lt;&gt;"",AB2572,Z2572)</f>
        <v/>
      </c>
      <c r="AF2572" s="13" t="inlineStr">
        <is>
          <t>OMN Vol2 &gt; PB-61 &gt; OMN &gt; Ships &gt; Other &gt; NECC Centrally Managed Items</t>
        </is>
      </c>
      <c r="AG2572" s="7" t="inlineStr">
        <is>
          <t>109</t>
        </is>
      </c>
      <c r="AH2572" s="7" t="inlineStr">
        <is>
          <t>1B4B</t>
        </is>
      </c>
      <c r="AI2572" s="7" t="inlineStr">
        <is>
          <t>OMN &gt; Ships &gt; Other</t>
        </is>
      </c>
      <c r="AJ2572" s="7" t="inlineStr">
        <is>
          <t>NECC Centrally Managed Items</t>
        </is>
      </c>
    </row>
    <row r="2573" ht="10" customHeight="1">
      <c r="A2573" s="7" t="inlineStr">
        <is>
          <t>OMN_Vol2</t>
        </is>
      </c>
      <c r="B2573" s="7" t="inlineStr">
        <is>
          <t>O&amp;M</t>
        </is>
      </c>
      <c r="D2573" s="7" t="inlineStr">
        <is>
          <t>PC</t>
        </is>
      </c>
      <c r="E2573" s="15" t="n"/>
      <c r="I2573" s="14" t="n">
        <v>2</v>
      </c>
      <c r="K2573" s="13" t="inlineStr">
        <is>
          <t>USN</t>
        </is>
      </c>
      <c r="L2573" s="7" t="inlineStr">
        <is>
          <t>Combatant Crafts</t>
        </is>
      </c>
      <c r="M2573" s="7" t="inlineStr">
        <is>
          <t>Patrol Combatant</t>
        </is>
      </c>
      <c r="N2573" s="7" t="inlineStr">
        <is>
          <t>PC</t>
        </is>
      </c>
      <c r="O2573" s="15" t="n"/>
      <c r="P2573" s="16" t="n">
        <v>326</v>
      </c>
      <c r="Q2573" s="16" t="n">
        <v>6</v>
      </c>
      <c r="R2573" s="16" t="n">
        <v>6</v>
      </c>
      <c r="S2573" s="16" t="n">
        <v>9</v>
      </c>
      <c r="V2573" s="16" t="n">
        <v>9</v>
      </c>
      <c r="AC2573" s="23">
        <f>IF(OR(E2573="",E2573="[PARENT]"),"ADD",IF(E2573="[ALT_VIEW]","ALT",""))</f>
        <v/>
      </c>
      <c r="AD2573" s="21">
        <f>IF(Y2573&lt;&gt;"",Y2573,IF(U2573&lt;&gt;"",U2573,S2573))</f>
        <v/>
      </c>
      <c r="AE2573" s="21">
        <f>IF(AB2573&lt;&gt;"",AB2573,Z2573)</f>
        <v/>
      </c>
      <c r="AF2573" s="13" t="inlineStr">
        <is>
          <t>OMN Vol2 &gt; PB-61 &gt; OMN &gt; Ships &gt; Other &gt; PC</t>
        </is>
      </c>
      <c r="AG2573" s="7" t="inlineStr">
        <is>
          <t>109</t>
        </is>
      </c>
      <c r="AH2573" s="7" t="inlineStr">
        <is>
          <t>1B4B</t>
        </is>
      </c>
      <c r="AI2573" s="7" t="inlineStr">
        <is>
          <t>OMN &gt; Ships &gt; Other - PCS Benefits</t>
        </is>
      </c>
      <c r="AJ2573" s="7" t="inlineStr">
        <is>
          <t>PC</t>
        </is>
      </c>
    </row>
    <row r="2574" ht="10" customHeight="1">
      <c r="A2574" s="7" t="inlineStr">
        <is>
          <t>OMN_Vol2</t>
        </is>
      </c>
      <c r="B2574" s="7" t="inlineStr">
        <is>
          <t>O&amp;M</t>
        </is>
      </c>
      <c r="D2574" s="7" t="inlineStr">
        <is>
          <t>Safety PE</t>
        </is>
      </c>
      <c r="E2574" s="15" t="n"/>
      <c r="I2574" s="14" t="n">
        <v>2</v>
      </c>
      <c r="K2574" s="15" t="n"/>
      <c r="O2574" s="15" t="n"/>
      <c r="P2574" s="16" t="n">
        <v>6878</v>
      </c>
      <c r="Q2574" s="16" t="n">
        <v>10815</v>
      </c>
      <c r="R2574" s="16" t="n">
        <v>11021</v>
      </c>
      <c r="S2574" s="16" t="n">
        <v>10691</v>
      </c>
      <c r="V2574" s="16" t="n">
        <v>11075</v>
      </c>
      <c r="AC2574" s="23">
        <f>IF(OR(E2574="",E2574="[PARENT]"),"ADD",IF(E2574="[ALT_VIEW]","ALT",""))</f>
        <v/>
      </c>
      <c r="AD2574" s="21">
        <f>IF(Y2574&lt;&gt;"",Y2574,IF(U2574&lt;&gt;"",U2574,S2574))</f>
        <v/>
      </c>
      <c r="AE2574" s="21">
        <f>IF(AB2574&lt;&gt;"",AB2574,Z2574)</f>
        <v/>
      </c>
      <c r="AF2574" s="13" t="inlineStr">
        <is>
          <t>OMN Vol2 &gt; PB-61 &gt; OMN &gt; Ships &gt; Other &gt; Safety PE</t>
        </is>
      </c>
      <c r="AG2574" s="7" t="inlineStr">
        <is>
          <t>110</t>
        </is>
      </c>
      <c r="AH2574" s="7" t="inlineStr">
        <is>
          <t>1B4B</t>
        </is>
      </c>
      <c r="AI2574" s="7" t="inlineStr">
        <is>
          <t>OMN &gt; Ships &gt; Other</t>
        </is>
      </c>
      <c r="AJ2574" s="7" t="inlineStr">
        <is>
          <t>Safety PE</t>
        </is>
      </c>
    </row>
    <row r="2575" ht="10" customHeight="1">
      <c r="A2575" s="7" t="inlineStr">
        <is>
          <t>OMN_Vol2</t>
        </is>
      </c>
      <c r="B2575" s="7" t="inlineStr">
        <is>
          <t>O&amp;M</t>
        </is>
      </c>
      <c r="D2575" s="7" t="inlineStr">
        <is>
          <t>Service-Wide Support</t>
        </is>
      </c>
      <c r="E2575" s="15" t="n"/>
      <c r="I2575" s="14" t="n">
        <v>2</v>
      </c>
      <c r="K2575" s="15" t="n"/>
      <c r="O2575" s="15" t="n"/>
      <c r="P2575" s="16" t="n">
        <v>295</v>
      </c>
      <c r="Q2575" s="16" t="n">
        <v>665</v>
      </c>
      <c r="R2575" s="16" t="n">
        <v>704</v>
      </c>
      <c r="S2575" s="16" t="n">
        <v>649</v>
      </c>
      <c r="V2575" s="16" t="n">
        <v>716</v>
      </c>
      <c r="AC2575" s="23">
        <f>IF(OR(E2575="",E2575="[PARENT]"),"ADD",IF(E2575="[ALT_VIEW]","ALT",""))</f>
        <v/>
      </c>
      <c r="AD2575" s="21">
        <f>IF(Y2575&lt;&gt;"",Y2575,IF(U2575&lt;&gt;"",U2575,S2575))</f>
        <v/>
      </c>
      <c r="AE2575" s="21">
        <f>IF(AB2575&lt;&gt;"",AB2575,Z2575)</f>
        <v/>
      </c>
      <c r="AF2575" s="13" t="inlineStr">
        <is>
          <t>OMN Vol2 &gt; PB-61 &gt; OMN &gt; Ships &gt; Other &gt; Service-Wide Support</t>
        </is>
      </c>
      <c r="AG2575" s="7" t="inlineStr">
        <is>
          <t>110</t>
        </is>
      </c>
      <c r="AH2575" s="7" t="inlineStr">
        <is>
          <t>1B4B</t>
        </is>
      </c>
      <c r="AI2575" s="7" t="inlineStr">
        <is>
          <t>OMN &gt; Ships &gt; Other</t>
        </is>
      </c>
      <c r="AJ2575" s="7" t="inlineStr">
        <is>
          <t>Service-Wide Support</t>
        </is>
      </c>
    </row>
    <row r="2576" ht="10" customHeight="1">
      <c r="A2576" s="7" t="inlineStr">
        <is>
          <t>OMN_Vol2</t>
        </is>
      </c>
      <c r="B2576" s="7" t="inlineStr">
        <is>
          <t>O&amp;M</t>
        </is>
      </c>
      <c r="D2576" s="7" t="inlineStr">
        <is>
          <t>SSBN</t>
        </is>
      </c>
      <c r="E2576" s="15" t="n"/>
      <c r="I2576" s="14" t="n">
        <v>2</v>
      </c>
      <c r="K2576" s="13" t="inlineStr">
        <is>
          <t>USN</t>
        </is>
      </c>
      <c r="L2576" s="7" t="inlineStr">
        <is>
          <t>Combatant Ships</t>
        </is>
      </c>
      <c r="M2576" s="7" t="inlineStr">
        <is>
          <t>Submarines</t>
        </is>
      </c>
      <c r="N2576" s="7" t="inlineStr">
        <is>
          <t>SSBN</t>
        </is>
      </c>
      <c r="O2576" s="15" t="n"/>
      <c r="P2576" s="16" t="n">
        <v>528266</v>
      </c>
      <c r="Q2576" s="16" t="n">
        <v>541600</v>
      </c>
      <c r="R2576" s="16" t="n">
        <v>550579</v>
      </c>
      <c r="S2576" s="16" t="n">
        <v>577323</v>
      </c>
      <c r="V2576" s="16" t="n">
        <v>604609</v>
      </c>
      <c r="AC2576" s="23">
        <f>IF(OR(E2576="",E2576="[PARENT]"),"ADD",IF(E2576="[ALT_VIEW]","ALT",""))</f>
        <v/>
      </c>
      <c r="AD2576" s="21">
        <f>IF(Y2576&lt;&gt;"",Y2576,IF(U2576&lt;&gt;"",U2576,S2576))</f>
        <v/>
      </c>
      <c r="AE2576" s="21">
        <f>IF(AB2576&lt;&gt;"",AB2576,Z2576)</f>
        <v/>
      </c>
      <c r="AF2576" s="13" t="inlineStr">
        <is>
          <t>OMN Vol2 &gt; PB-61 &gt; OMN &gt; Ships &gt; Other &gt; SSBN</t>
        </is>
      </c>
      <c r="AG2576" s="7" t="inlineStr">
        <is>
          <t>110</t>
        </is>
      </c>
      <c r="AH2576" s="7" t="inlineStr">
        <is>
          <t>1B4B</t>
        </is>
      </c>
      <c r="AI2576" s="7" t="inlineStr">
        <is>
          <t>OMN &gt; Ships &gt; Other - SA303 SSBN TECHNICAL INSERTION CONVERSION (SWFTS)</t>
        </is>
      </c>
      <c r="AJ2576" s="7" t="inlineStr">
        <is>
          <t>SSBN</t>
        </is>
      </c>
    </row>
    <row r="2577" ht="10" customHeight="1">
      <c r="A2577" s="7" t="inlineStr">
        <is>
          <t>OMN_Vol2</t>
        </is>
      </c>
      <c r="B2577" s="7" t="inlineStr">
        <is>
          <t>O&amp;M</t>
        </is>
      </c>
      <c r="D2577" s="7" t="inlineStr">
        <is>
          <t>SSGN</t>
        </is>
      </c>
      <c r="E2577" s="15" t="n"/>
      <c r="I2577" s="14" t="n">
        <v>2</v>
      </c>
      <c r="K2577" s="13" t="inlineStr">
        <is>
          <t>USN</t>
        </is>
      </c>
      <c r="L2577" s="7" t="inlineStr">
        <is>
          <t>Combatant Ships</t>
        </is>
      </c>
      <c r="M2577" s="7" t="inlineStr">
        <is>
          <t>Submarines</t>
        </is>
      </c>
      <c r="N2577" s="7" t="inlineStr">
        <is>
          <t>SSGN</t>
        </is>
      </c>
      <c r="O2577" s="15" t="n"/>
      <c r="S2577" s="16" t="n">
        <v>157370</v>
      </c>
      <c r="V2577" s="16" t="n">
        <v>162292</v>
      </c>
      <c r="AC2577" s="23">
        <f>IF(OR(E2577="",E2577="[PARENT]"),"ADD",IF(E2577="[ALT_VIEW]","ALT",""))</f>
        <v/>
      </c>
      <c r="AD2577" s="21">
        <f>IF(Y2577&lt;&gt;"",Y2577,IF(U2577&lt;&gt;"",U2577,S2577))</f>
        <v/>
      </c>
      <c r="AE2577" s="21">
        <f>IF(AB2577&lt;&gt;"",AB2577,Z2577)</f>
        <v/>
      </c>
      <c r="AF2577" s="13" t="inlineStr">
        <is>
          <t>OMN Vol2 &gt; PB-61 &gt; OMN &gt; Ships &gt; Other &gt; SSGN</t>
        </is>
      </c>
      <c r="AG2577" s="7" t="inlineStr">
        <is>
          <t>110</t>
        </is>
      </c>
      <c r="AH2577" s="7" t="inlineStr">
        <is>
          <t>1B4B</t>
        </is>
      </c>
      <c r="AI2577" s="7" t="inlineStr">
        <is>
          <t>OMN &gt; Ships &gt; Other</t>
        </is>
      </c>
      <c r="AJ2577" s="7" t="inlineStr">
        <is>
          <t>SSGN</t>
        </is>
      </c>
    </row>
    <row r="2578" ht="10" customHeight="1">
      <c r="A2578" s="7" t="inlineStr">
        <is>
          <t>OMN_Vol2</t>
        </is>
      </c>
      <c r="B2578" s="7" t="inlineStr">
        <is>
          <t>O&amp;M</t>
        </is>
      </c>
      <c r="D2578" s="7" t="inlineStr">
        <is>
          <t>SSN</t>
        </is>
      </c>
      <c r="E2578" s="15" t="n"/>
      <c r="I2578" s="14" t="n">
        <v>2</v>
      </c>
      <c r="K2578" s="13" t="inlineStr">
        <is>
          <t>USN</t>
        </is>
      </c>
      <c r="L2578" s="7" t="inlineStr">
        <is>
          <t>Combatant Ships</t>
        </is>
      </c>
      <c r="M2578" s="7" t="inlineStr">
        <is>
          <t>Submarines</t>
        </is>
      </c>
      <c r="N2578" s="7" t="inlineStr">
        <is>
          <t>SSN</t>
        </is>
      </c>
      <c r="O2578" s="15" t="n"/>
      <c r="S2578" s="16" t="n">
        <v>75160</v>
      </c>
      <c r="V2578" s="16" t="n">
        <v>77571</v>
      </c>
      <c r="AC2578" s="23">
        <f>IF(OR(E2578="",E2578="[PARENT]"),"ADD",IF(E2578="[ALT_VIEW]","ALT",""))</f>
        <v/>
      </c>
      <c r="AD2578" s="21">
        <f>IF(Y2578&lt;&gt;"",Y2578,IF(U2578&lt;&gt;"",U2578,S2578))</f>
        <v/>
      </c>
      <c r="AE2578" s="21">
        <f>IF(AB2578&lt;&gt;"",AB2578,Z2578)</f>
        <v/>
      </c>
      <c r="AF2578" s="13" t="inlineStr">
        <is>
          <t>OMN Vol2 &gt; PB-61 &gt; OMN &gt; Ships &gt; Other &gt; SSN</t>
        </is>
      </c>
      <c r="AG2578" s="7" t="inlineStr">
        <is>
          <t>110</t>
        </is>
      </c>
      <c r="AH2578" s="7" t="inlineStr">
        <is>
          <t>1B4B</t>
        </is>
      </c>
      <c r="AI2578" s="7" t="inlineStr">
        <is>
          <t>OMN &gt; Ships &gt; Other</t>
        </is>
      </c>
      <c r="AJ2578" s="7" t="inlineStr">
        <is>
          <t>SSN</t>
        </is>
      </c>
    </row>
    <row r="2579" ht="10" customHeight="1">
      <c r="A2579" s="7" t="inlineStr">
        <is>
          <t>OMN_Vol2</t>
        </is>
      </c>
      <c r="B2579" s="7" t="inlineStr">
        <is>
          <t>O&amp;M</t>
        </is>
      </c>
      <c r="D2579" s="7" t="inlineStr">
        <is>
          <t>SSN-MTS-SSGN</t>
        </is>
      </c>
      <c r="E2579" s="15" t="n"/>
      <c r="I2579" s="14" t="n">
        <v>2</v>
      </c>
      <c r="K2579" s="13" t="inlineStr">
        <is>
          <t>USN</t>
        </is>
      </c>
      <c r="L2579" s="7" t="inlineStr">
        <is>
          <t>Combatant Ships</t>
        </is>
      </c>
      <c r="M2579" s="7" t="inlineStr">
        <is>
          <t>Submarines</t>
        </is>
      </c>
      <c r="N2579" s="7" t="inlineStr">
        <is>
          <t>SSN</t>
        </is>
      </c>
      <c r="O2579" s="15" t="n"/>
      <c r="P2579" s="16" t="n">
        <v>356970</v>
      </c>
      <c r="Q2579" s="16" t="n">
        <v>233706</v>
      </c>
      <c r="R2579" s="16" t="n">
        <v>258466</v>
      </c>
      <c r="S2579" s="16" t="n">
        <v>259540</v>
      </c>
      <c r="V2579" s="16" t="n">
        <v>280442</v>
      </c>
      <c r="AC2579" s="23">
        <f>IF(OR(E2579="",E2579="[PARENT]"),"ADD",IF(E2579="[ALT_VIEW]","ALT",""))</f>
        <v/>
      </c>
      <c r="AD2579" s="21">
        <f>IF(Y2579&lt;&gt;"",Y2579,IF(U2579&lt;&gt;"",U2579,S2579))</f>
        <v/>
      </c>
      <c r="AE2579" s="21">
        <f>IF(AB2579&lt;&gt;"",AB2579,Z2579)</f>
        <v/>
      </c>
      <c r="AF2579" s="13" t="inlineStr">
        <is>
          <t>OMN Vol2 &gt; PB-61 &gt; OMN &gt; Ships &gt; Other &gt; SSN-MTS-SSGN</t>
        </is>
      </c>
      <c r="AG2579" s="7" t="inlineStr">
        <is>
          <t>110</t>
        </is>
      </c>
      <c r="AH2579" s="7" t="inlineStr">
        <is>
          <t>1B4B</t>
        </is>
      </c>
      <c r="AI2579" s="7" t="inlineStr">
        <is>
          <t>OMN &gt; Ships &gt; Other</t>
        </is>
      </c>
      <c r="AJ2579" s="7" t="inlineStr">
        <is>
          <t>SSN-MTS-SSGN</t>
        </is>
      </c>
    </row>
    <row r="2580" ht="10" customHeight="1">
      <c r="A2580" s="7" t="inlineStr">
        <is>
          <t>OMN_Vol2</t>
        </is>
      </c>
      <c r="B2580" s="7" t="inlineStr">
        <is>
          <t>O&amp;M</t>
        </is>
      </c>
      <c r="D2580" s="7" t="inlineStr">
        <is>
          <t>SSN-SSGN</t>
        </is>
      </c>
      <c r="E2580" s="15" t="n"/>
      <c r="I2580" s="14" t="n">
        <v>2</v>
      </c>
      <c r="K2580" s="13" t="inlineStr">
        <is>
          <t>USN</t>
        </is>
      </c>
      <c r="L2580" s="7" t="inlineStr">
        <is>
          <t>Combatant Ships</t>
        </is>
      </c>
      <c r="M2580" s="7" t="inlineStr">
        <is>
          <t>Submarines</t>
        </is>
      </c>
      <c r="N2580" s="7" t="inlineStr">
        <is>
          <t>SSN</t>
        </is>
      </c>
      <c r="O2580" s="15" t="n"/>
      <c r="P2580" s="16" t="n">
        <v>677440</v>
      </c>
      <c r="Q2580" s="16" t="n">
        <v>628771</v>
      </c>
      <c r="R2580" s="16" t="n">
        <v>660421</v>
      </c>
      <c r="S2580" s="16" t="n">
        <v>453013</v>
      </c>
      <c r="V2580" s="16" t="n">
        <v>477255</v>
      </c>
      <c r="AC2580" s="23">
        <f>IF(OR(E2580="",E2580="[PARENT]"),"ADD",IF(E2580="[ALT_VIEW]","ALT",""))</f>
        <v/>
      </c>
      <c r="AD2580" s="21">
        <f>IF(Y2580&lt;&gt;"",Y2580,IF(U2580&lt;&gt;"",U2580,S2580))</f>
        <v/>
      </c>
      <c r="AE2580" s="21">
        <f>IF(AB2580&lt;&gt;"",AB2580,Z2580)</f>
        <v/>
      </c>
      <c r="AF2580" s="13" t="inlineStr">
        <is>
          <t>OMN Vol2 &gt; PB-61 &gt; OMN &gt; Ships &gt; Other &gt; SSN-SSGN</t>
        </is>
      </c>
      <c r="AG2580" s="7" t="inlineStr">
        <is>
          <t>110</t>
        </is>
      </c>
      <c r="AH2580" s="7" t="inlineStr">
        <is>
          <t>1B4B</t>
        </is>
      </c>
      <c r="AI2580" s="7" t="inlineStr">
        <is>
          <t>OMN &gt; Ships &gt; Other</t>
        </is>
      </c>
      <c r="AJ2580" s="7" t="inlineStr">
        <is>
          <t>SSN-SSGN</t>
        </is>
      </c>
    </row>
    <row r="2581" ht="10" customHeight="1">
      <c r="A2581" s="7" t="inlineStr">
        <is>
          <t>OMN_Vol2</t>
        </is>
      </c>
      <c r="B2581" s="7" t="inlineStr">
        <is>
          <t>O&amp;M</t>
        </is>
      </c>
      <c r="D2581" s="7" t="inlineStr">
        <is>
          <t>Surface Support Messing &amp; Berthing</t>
        </is>
      </c>
      <c r="E2581" s="15" t="n"/>
      <c r="I2581" s="14" t="n">
        <v>2</v>
      </c>
      <c r="K2581" s="15" t="n"/>
      <c r="O2581" s="15" t="n"/>
      <c r="S2581" s="16" t="n">
        <v>1660</v>
      </c>
      <c r="V2581" s="16" t="n">
        <v>1660</v>
      </c>
      <c r="AC2581" s="23">
        <f>IF(OR(E2581="",E2581="[PARENT]"),"ADD",IF(E2581="[ALT_VIEW]","ALT",""))</f>
        <v/>
      </c>
      <c r="AD2581" s="21">
        <f>IF(Y2581&lt;&gt;"",Y2581,IF(U2581&lt;&gt;"",U2581,S2581))</f>
        <v/>
      </c>
      <c r="AE2581" s="21">
        <f>IF(AB2581&lt;&gt;"",AB2581,Z2581)</f>
        <v/>
      </c>
      <c r="AF2581" s="13" t="inlineStr">
        <is>
          <t>OMN Vol2 &gt; PB-61 &gt; OMN &gt; Ships &gt; Other &gt; Surface Support Messing &amp; Berthing</t>
        </is>
      </c>
      <c r="AG2581" s="7" t="inlineStr">
        <is>
          <t>110</t>
        </is>
      </c>
      <c r="AH2581" s="7" t="inlineStr">
        <is>
          <t>1B4B</t>
        </is>
      </c>
      <c r="AI2581" s="7" t="inlineStr">
        <is>
          <t>OMN &gt; Ships &gt; Other</t>
        </is>
      </c>
      <c r="AJ2581" s="7" t="inlineStr">
        <is>
          <t>Surface Support Messing &amp; Berthing</t>
        </is>
      </c>
    </row>
    <row r="2582" ht="10" customHeight="1">
      <c r="A2582" s="7" t="inlineStr">
        <is>
          <t>OMN_Vol2</t>
        </is>
      </c>
      <c r="B2582" s="7" t="inlineStr">
        <is>
          <t>O&amp;M</t>
        </is>
      </c>
      <c r="D2582" s="7" t="inlineStr">
        <is>
          <t>AGF-LCC</t>
        </is>
      </c>
      <c r="E2582" s="15" t="n"/>
      <c r="I2582" s="14" t="n">
        <v>2</v>
      </c>
      <c r="K2582" s="13" t="inlineStr">
        <is>
          <t>USN</t>
        </is>
      </c>
      <c r="L2582" s="7" t="inlineStr">
        <is>
          <t>Combatant Ships</t>
        </is>
      </c>
      <c r="M2582" s="7" t="inlineStr">
        <is>
          <t>Command Ships</t>
        </is>
      </c>
      <c r="N2582" s="7" t="inlineStr">
        <is>
          <t>LCC</t>
        </is>
      </c>
      <c r="O2582" s="15" t="n"/>
      <c r="P2582" s="16" t="n">
        <v>15372</v>
      </c>
      <c r="Q2582" s="16" t="n">
        <v>65480</v>
      </c>
      <c r="R2582" s="16" t="n">
        <v>65674</v>
      </c>
      <c r="S2582" s="16" t="n">
        <v>2762</v>
      </c>
      <c r="V2582" s="16" t="n">
        <v>3093</v>
      </c>
      <c r="AC2582" s="23">
        <f>IF(OR(E2582="",E2582="[PARENT]"),"ADD",IF(E2582="[ALT_VIEW]","ALT",""))</f>
        <v/>
      </c>
      <c r="AD2582" s="21">
        <f>IF(Y2582&lt;&gt;"",Y2582,IF(U2582&lt;&gt;"",U2582,S2582))</f>
        <v/>
      </c>
      <c r="AE2582" s="21">
        <f>IF(AB2582&lt;&gt;"",AB2582,Z2582)</f>
        <v/>
      </c>
      <c r="AF2582" s="13" t="inlineStr">
        <is>
          <t>OMN Vol2 &gt; PB-61 &gt; OMN &gt; Ships &gt; Ship Maint &gt; AGF-LCC</t>
        </is>
      </c>
      <c r="AG2582" s="7" t="inlineStr">
        <is>
          <t>110</t>
        </is>
      </c>
      <c r="AH2582" s="7" t="inlineStr">
        <is>
          <t>1B4B</t>
        </is>
      </c>
      <c r="AI2582" s="7" t="inlineStr">
        <is>
          <t>OMN &gt; Ships &gt; Ship Maint</t>
        </is>
      </c>
      <c r="AJ2582" s="7" t="inlineStr">
        <is>
          <t>AGF-LCC</t>
        </is>
      </c>
    </row>
    <row r="2583" ht="10" customHeight="1">
      <c r="A2583" s="7" t="inlineStr">
        <is>
          <t>OMN_Vol2</t>
        </is>
      </c>
      <c r="B2583" s="7" t="inlineStr">
        <is>
          <t>O&amp;M</t>
        </is>
      </c>
      <c r="D2583" s="7" t="inlineStr">
        <is>
          <t>AMPHIBS</t>
        </is>
      </c>
      <c r="E2583" s="15" t="n"/>
      <c r="I2583" s="14" t="n">
        <v>2</v>
      </c>
      <c r="K2583" s="13" t="inlineStr">
        <is>
          <t>USN</t>
        </is>
      </c>
      <c r="L2583" s="7" t="inlineStr">
        <is>
          <t>Combatant Ships</t>
        </is>
      </c>
      <c r="M2583" s="7" t="inlineStr">
        <is>
          <t>Amphibious Warfare Ships</t>
        </is>
      </c>
      <c r="N2583" s="7" t="inlineStr">
        <is>
          <t>LHD</t>
        </is>
      </c>
      <c r="O2583" s="15" t="n"/>
      <c r="P2583" s="16" t="n">
        <v>518125</v>
      </c>
      <c r="Q2583" s="16" t="n">
        <v>474175</v>
      </c>
      <c r="R2583" s="16" t="n">
        <v>499230</v>
      </c>
      <c r="S2583" s="16" t="n">
        <v>180719</v>
      </c>
      <c r="V2583" s="16" t="n">
        <v>223014</v>
      </c>
      <c r="AC2583" s="23">
        <f>IF(OR(E2583="",E2583="[PARENT]"),"ADD",IF(E2583="[ALT_VIEW]","ALT",""))</f>
        <v/>
      </c>
      <c r="AD2583" s="21">
        <f>IF(Y2583&lt;&gt;"",Y2583,IF(U2583&lt;&gt;"",U2583,S2583))</f>
        <v/>
      </c>
      <c r="AE2583" s="21">
        <f>IF(AB2583&lt;&gt;"",AB2583,Z2583)</f>
        <v/>
      </c>
      <c r="AF2583" s="13" t="inlineStr">
        <is>
          <t>OMN Vol2 &gt; PB-61 &gt; OMN &gt; Ships &gt; Ship Maint &gt; AMPHIBS</t>
        </is>
      </c>
      <c r="AG2583" s="7" t="inlineStr">
        <is>
          <t>110</t>
        </is>
      </c>
      <c r="AH2583" s="7" t="inlineStr">
        <is>
          <t>1B4B</t>
        </is>
      </c>
      <c r="AI2583" s="7" t="inlineStr">
        <is>
          <t>OMN &gt; Ships &gt; Ship Maint</t>
        </is>
      </c>
      <c r="AJ2583" s="7" t="inlineStr">
        <is>
          <t>AMPHIBS</t>
        </is>
      </c>
    </row>
    <row r="2584" ht="10" customHeight="1">
      <c r="A2584" s="7" t="inlineStr">
        <is>
          <t>OMN_Vol2</t>
        </is>
      </c>
      <c r="B2584" s="7" t="inlineStr">
        <is>
          <t>O&amp;M</t>
        </is>
      </c>
      <c r="D2584" s="7" t="inlineStr">
        <is>
          <t>ARDM-AS</t>
        </is>
      </c>
      <c r="E2584" s="15" t="n"/>
      <c r="I2584" s="14" t="n">
        <v>2</v>
      </c>
      <c r="K2584" s="15" t="n"/>
      <c r="O2584" s="15" t="n"/>
      <c r="P2584" s="16" t="n">
        <v>1903</v>
      </c>
      <c r="Q2584" s="16" t="n">
        <v>89284</v>
      </c>
      <c r="R2584" s="16" t="n">
        <v>89284</v>
      </c>
      <c r="S2584" s="16" t="n">
        <v>24967</v>
      </c>
      <c r="V2584" s="16" t="n">
        <v>24967</v>
      </c>
      <c r="AC2584" s="23">
        <f>IF(OR(E2584="",E2584="[PARENT]"),"ADD",IF(E2584="[ALT_VIEW]","ALT",""))</f>
        <v/>
      </c>
      <c r="AD2584" s="21">
        <f>IF(Y2584&lt;&gt;"",Y2584,IF(U2584&lt;&gt;"",U2584,S2584))</f>
        <v/>
      </c>
      <c r="AE2584" s="21">
        <f>IF(AB2584&lt;&gt;"",AB2584,Z2584)</f>
        <v/>
      </c>
      <c r="AF2584" s="13" t="inlineStr">
        <is>
          <t>OMN Vol2 &gt; PB-61 &gt; OMN &gt; Ships &gt; Ship Maint &gt; ARDM-AS</t>
        </is>
      </c>
      <c r="AG2584" s="7" t="inlineStr">
        <is>
          <t>110</t>
        </is>
      </c>
      <c r="AH2584" s="7" t="inlineStr">
        <is>
          <t>1B4B</t>
        </is>
      </c>
      <c r="AI2584" s="7" t="inlineStr">
        <is>
          <t>OMN &gt; Ships &gt; Ship Maint</t>
        </is>
      </c>
      <c r="AJ2584" s="7" t="inlineStr">
        <is>
          <t>ARDM-AS</t>
        </is>
      </c>
    </row>
    <row r="2585" ht="10" customHeight="1">
      <c r="A2585" s="7" t="inlineStr">
        <is>
          <t>OMN_Vol2</t>
        </is>
      </c>
      <c r="B2585" s="7" t="inlineStr">
        <is>
          <t>O&amp;M</t>
        </is>
      </c>
      <c r="D2585" s="7" t="inlineStr">
        <is>
          <t>AS-ARDM</t>
        </is>
      </c>
      <c r="E2585" s="15" t="n"/>
      <c r="I2585" s="14" t="n">
        <v>2</v>
      </c>
      <c r="K2585" s="15" t="n"/>
      <c r="O2585" s="15" t="n"/>
      <c r="P2585" s="16" t="n">
        <v>17244</v>
      </c>
      <c r="Q2585" s="16" t="n">
        <v>23306</v>
      </c>
      <c r="R2585" s="16" t="n">
        <v>23632</v>
      </c>
      <c r="S2585" s="16" t="n">
        <v>8400</v>
      </c>
      <c r="V2585" s="16" t="n">
        <v>8751</v>
      </c>
      <c r="AC2585" s="23">
        <f>IF(OR(E2585="",E2585="[PARENT]"),"ADD",IF(E2585="[ALT_VIEW]","ALT",""))</f>
        <v/>
      </c>
      <c r="AD2585" s="21">
        <f>IF(Y2585&lt;&gt;"",Y2585,IF(U2585&lt;&gt;"",U2585,S2585))</f>
        <v/>
      </c>
      <c r="AE2585" s="21">
        <f>IF(AB2585&lt;&gt;"",AB2585,Z2585)</f>
        <v/>
      </c>
      <c r="AF2585" s="13" t="inlineStr">
        <is>
          <t>OMN Vol2 &gt; PB-61 &gt; OMN &gt; Ships &gt; Ship Maint &gt; AS-ARDM</t>
        </is>
      </c>
      <c r="AG2585" s="7" t="inlineStr">
        <is>
          <t>110</t>
        </is>
      </c>
      <c r="AH2585" s="7" t="inlineStr">
        <is>
          <t>1B4B</t>
        </is>
      </c>
      <c r="AI2585" s="7" t="inlineStr">
        <is>
          <t>OMN &gt; Ships &gt; Ship Maint</t>
        </is>
      </c>
      <c r="AJ2585" s="7" t="inlineStr">
        <is>
          <t>AS-ARDM</t>
        </is>
      </c>
    </row>
    <row r="2586" ht="10" customHeight="1">
      <c r="A2586" s="7" t="inlineStr">
        <is>
          <t>OMN_Vol2</t>
        </is>
      </c>
      <c r="B2586" s="7" t="inlineStr">
        <is>
          <t>O&amp;M</t>
        </is>
      </c>
      <c r="D2586" s="7" t="inlineStr">
        <is>
          <t>CG</t>
        </is>
      </c>
      <c r="E2586" s="15" t="n"/>
      <c r="I2586" s="14" t="n">
        <v>2</v>
      </c>
      <c r="K2586" s="13" t="inlineStr">
        <is>
          <t>USN</t>
        </is>
      </c>
      <c r="L2586" s="7" t="inlineStr">
        <is>
          <t>Combatant Ships</t>
        </is>
      </c>
      <c r="M2586" s="7" t="inlineStr">
        <is>
          <t>Surface Combatants</t>
        </is>
      </c>
      <c r="N2586" s="7" t="inlineStr">
        <is>
          <t>CG</t>
        </is>
      </c>
      <c r="O2586" s="15" t="n"/>
      <c r="P2586" s="16" t="n">
        <v>106091</v>
      </c>
      <c r="Q2586" s="16" t="n">
        <v>50328</v>
      </c>
      <c r="R2586" s="16" t="n">
        <v>51680</v>
      </c>
      <c r="S2586" s="16" t="n">
        <v>40292</v>
      </c>
      <c r="V2586" s="16" t="n">
        <v>42503</v>
      </c>
      <c r="AC2586" s="23">
        <f>IF(OR(E2586="",E2586="[PARENT]"),"ADD",IF(E2586="[ALT_VIEW]","ALT",""))</f>
        <v/>
      </c>
      <c r="AD2586" s="21">
        <f>IF(Y2586&lt;&gt;"",Y2586,IF(U2586&lt;&gt;"",U2586,S2586))</f>
        <v/>
      </c>
      <c r="AE2586" s="21">
        <f>IF(AB2586&lt;&gt;"",AB2586,Z2586)</f>
        <v/>
      </c>
      <c r="AF2586" s="13" t="inlineStr">
        <is>
          <t>OMN Vol2 &gt; PB-61 &gt; OMN &gt; Ships &gt; Ship Maint &gt; CG</t>
        </is>
      </c>
      <c r="AG2586" s="7" t="inlineStr">
        <is>
          <t>110</t>
        </is>
      </c>
      <c r="AH2586" s="7" t="inlineStr">
        <is>
          <t>1B4B</t>
        </is>
      </c>
      <c r="AI2586" s="7" t="inlineStr">
        <is>
          <t>OMN &gt; Ships &gt; Ship Maint</t>
        </is>
      </c>
      <c r="AJ2586" s="7" t="inlineStr">
        <is>
          <t>CG</t>
        </is>
      </c>
    </row>
    <row r="2587" ht="10" customHeight="1">
      <c r="A2587" s="7" t="inlineStr">
        <is>
          <t>OMN_Vol2</t>
        </is>
      </c>
      <c r="B2587" s="7" t="inlineStr">
        <is>
          <t>O&amp;M</t>
        </is>
      </c>
      <c r="D2587" s="7" t="inlineStr">
        <is>
          <t>CV-CVN</t>
        </is>
      </c>
      <c r="E2587" s="15" t="n"/>
      <c r="I2587" s="14" t="n">
        <v>2</v>
      </c>
      <c r="K2587" s="13" t="inlineStr">
        <is>
          <t>USN</t>
        </is>
      </c>
      <c r="L2587" s="7" t="inlineStr">
        <is>
          <t>Combatant Ships</t>
        </is>
      </c>
      <c r="M2587" s="7" t="inlineStr">
        <is>
          <t>Aircraft Carriers</t>
        </is>
      </c>
      <c r="N2587" s="7" t="inlineStr">
        <is>
          <t>CVN</t>
        </is>
      </c>
      <c r="O2587" s="15" t="n"/>
      <c r="P2587" s="16" t="n">
        <v>1796346</v>
      </c>
      <c r="Q2587" s="16" t="n">
        <v>2748996</v>
      </c>
      <c r="R2587" s="16" t="n">
        <v>2897547</v>
      </c>
      <c r="S2587" s="16" t="n">
        <v>2720122</v>
      </c>
      <c r="V2587" s="16" t="n">
        <v>3030280</v>
      </c>
      <c r="AC2587" s="23">
        <f>IF(OR(E2587="",E2587="[PARENT]"),"ADD",IF(E2587="[ALT_VIEW]","ALT",""))</f>
        <v/>
      </c>
      <c r="AD2587" s="21">
        <f>IF(Y2587&lt;&gt;"",Y2587,IF(U2587&lt;&gt;"",U2587,S2587))</f>
        <v/>
      </c>
      <c r="AE2587" s="21">
        <f>IF(AB2587&lt;&gt;"",AB2587,Z2587)</f>
        <v/>
      </c>
      <c r="AF2587" s="13" t="inlineStr">
        <is>
          <t>OMN Vol2 &gt; PB-61 &gt; OMN &gt; Ships &gt; Ship Maint &gt; CV-CVN</t>
        </is>
      </c>
      <c r="AG2587" s="7" t="inlineStr">
        <is>
          <t>110</t>
        </is>
      </c>
      <c r="AH2587" s="7" t="inlineStr">
        <is>
          <t>1B4B</t>
        </is>
      </c>
      <c r="AI2587" s="7" t="inlineStr">
        <is>
          <t>OMN &gt; Ships &gt; Ship Maint</t>
        </is>
      </c>
      <c r="AJ2587" s="7" t="inlineStr">
        <is>
          <t>CV-CVN</t>
        </is>
      </c>
    </row>
    <row r="2588" ht="10" customHeight="1">
      <c r="A2588" s="7" t="inlineStr">
        <is>
          <t>OMN_Vol2</t>
        </is>
      </c>
      <c r="B2588" s="7" t="inlineStr">
        <is>
          <t>O&amp;M</t>
        </is>
      </c>
      <c r="D2588" s="7" t="inlineStr">
        <is>
          <t>CV-CVN (Selected Restricted Budget)</t>
        </is>
      </c>
      <c r="E2588" s="15" t="n"/>
      <c r="I2588" s="14" t="n">
        <v>2</v>
      </c>
      <c r="K2588" s="13" t="inlineStr">
        <is>
          <t>USN</t>
        </is>
      </c>
      <c r="L2588" s="7" t="inlineStr">
        <is>
          <t>Combatant Ships</t>
        </is>
      </c>
      <c r="M2588" s="7" t="inlineStr">
        <is>
          <t>Aircraft Carriers</t>
        </is>
      </c>
      <c r="N2588" s="7" t="inlineStr">
        <is>
          <t>CVN</t>
        </is>
      </c>
      <c r="O2588" s="15" t="n"/>
      <c r="P2588" s="16" t="n">
        <v>278</v>
      </c>
      <c r="Q2588" s="16" t="n">
        <v>312</v>
      </c>
      <c r="R2588" s="16" t="n">
        <v>312</v>
      </c>
      <c r="S2588" s="16" t="n">
        <v>312</v>
      </c>
      <c r="V2588" s="16" t="n">
        <v>323</v>
      </c>
      <c r="AC2588" s="23">
        <f>IF(OR(E2588="",E2588="[PARENT]"),"ADD",IF(E2588="[ALT_VIEW]","ALT",""))</f>
        <v/>
      </c>
      <c r="AD2588" s="21">
        <f>IF(Y2588&lt;&gt;"",Y2588,IF(U2588&lt;&gt;"",U2588,S2588))</f>
        <v/>
      </c>
      <c r="AE2588" s="21">
        <f>IF(AB2588&lt;&gt;"",AB2588,Z2588)</f>
        <v/>
      </c>
      <c r="AF2588" s="13" t="inlineStr">
        <is>
          <t>OMN Vol2 &gt; PB-61 &gt; OMN &gt; Ships &gt; Ship Maint &gt; CV-CVN (SRB)</t>
        </is>
      </c>
      <c r="AG2588" s="7" t="inlineStr">
        <is>
          <t>110</t>
        </is>
      </c>
      <c r="AH2588" s="7" t="inlineStr">
        <is>
          <t>1B4B</t>
        </is>
      </c>
      <c r="AI2588" s="7" t="inlineStr">
        <is>
          <t>OMN &gt; Ships &gt; Ship Maint</t>
        </is>
      </c>
      <c r="AJ2588" s="7" t="inlineStr">
        <is>
          <t>CV-CVN (SRB)</t>
        </is>
      </c>
    </row>
    <row r="2589" ht="10" customHeight="1">
      <c r="A2589" s="7" t="inlineStr">
        <is>
          <t>OMN_Vol2</t>
        </is>
      </c>
      <c r="B2589" s="7" t="inlineStr">
        <is>
          <t>O&amp;M</t>
        </is>
      </c>
      <c r="D2589" s="7" t="inlineStr">
        <is>
          <t>CVN</t>
        </is>
      </c>
      <c r="E2589" s="15" t="n"/>
      <c r="I2589" s="14" t="n">
        <v>2</v>
      </c>
      <c r="K2589" s="13" t="inlineStr">
        <is>
          <t>USN</t>
        </is>
      </c>
      <c r="L2589" s="7" t="inlineStr">
        <is>
          <t>Combatant Ships</t>
        </is>
      </c>
      <c r="M2589" s="7" t="inlineStr">
        <is>
          <t>Aircraft Carriers</t>
        </is>
      </c>
      <c r="N2589" s="7" t="inlineStr">
        <is>
          <t>CVN</t>
        </is>
      </c>
      <c r="O2589" s="15" t="n"/>
      <c r="S2589" s="16" t="n">
        <v>17657</v>
      </c>
      <c r="V2589" s="16" t="n">
        <v>18054</v>
      </c>
      <c r="AC2589" s="23">
        <f>IF(OR(E2589="",E2589="[PARENT]"),"ADD",IF(E2589="[ALT_VIEW]","ALT",""))</f>
        <v/>
      </c>
      <c r="AD2589" s="21">
        <f>IF(Y2589&lt;&gt;"",Y2589,IF(U2589&lt;&gt;"",U2589,S2589))</f>
        <v/>
      </c>
      <c r="AE2589" s="21">
        <f>IF(AB2589&lt;&gt;"",AB2589,Z2589)</f>
        <v/>
      </c>
      <c r="AF2589" s="13" t="inlineStr">
        <is>
          <t>OMN Vol2 &gt; PB-61 &gt; OMN &gt; Ships &gt; Ship Maint &gt; CVN</t>
        </is>
      </c>
      <c r="AG2589" s="7" t="inlineStr">
        <is>
          <t>110</t>
        </is>
      </c>
      <c r="AH2589" s="7" t="inlineStr">
        <is>
          <t>1B4B</t>
        </is>
      </c>
      <c r="AI2589" s="7" t="inlineStr">
        <is>
          <t>OMN &gt; Ships &gt; Ship Maint</t>
        </is>
      </c>
      <c r="AJ2589" s="7" t="inlineStr">
        <is>
          <t>CVN</t>
        </is>
      </c>
    </row>
    <row r="2590" ht="10" customHeight="1">
      <c r="A2590" s="7" t="inlineStr">
        <is>
          <t>OMN_Vol2</t>
        </is>
      </c>
      <c r="B2590" s="7" t="inlineStr">
        <is>
          <t>O&amp;M</t>
        </is>
      </c>
      <c r="D2590" s="7" t="inlineStr">
        <is>
          <t>DDG</t>
        </is>
      </c>
      <c r="E2590" s="15" t="n"/>
      <c r="I2590" s="14" t="n">
        <v>2</v>
      </c>
      <c r="K2590" s="13" t="inlineStr">
        <is>
          <t>USN</t>
        </is>
      </c>
      <c r="L2590" s="7" t="inlineStr">
        <is>
          <t>Combatant Ships</t>
        </is>
      </c>
      <c r="M2590" s="7" t="inlineStr">
        <is>
          <t>Surface Combatants</t>
        </is>
      </c>
      <c r="N2590" s="7" t="inlineStr">
        <is>
          <t>DDG</t>
        </is>
      </c>
      <c r="O2590" s="15" t="n"/>
      <c r="P2590" s="16" t="n">
        <v>732057</v>
      </c>
      <c r="Q2590" s="16" t="n">
        <v>563674</v>
      </c>
      <c r="R2590" s="16" t="n">
        <v>595584</v>
      </c>
      <c r="S2590" s="16" t="n">
        <v>525288</v>
      </c>
      <c r="V2590" s="16" t="n">
        <v>568246</v>
      </c>
      <c r="AC2590" s="23">
        <f>IF(OR(E2590="",E2590="[PARENT]"),"ADD",IF(E2590="[ALT_VIEW]","ALT",""))</f>
        <v/>
      </c>
      <c r="AD2590" s="21">
        <f>IF(Y2590&lt;&gt;"",Y2590,IF(U2590&lt;&gt;"",U2590,S2590))</f>
        <v/>
      </c>
      <c r="AE2590" s="21">
        <f>IF(AB2590&lt;&gt;"",AB2590,Z2590)</f>
        <v/>
      </c>
      <c r="AF2590" s="13" t="inlineStr">
        <is>
          <t>OMN Vol2 &gt; PB-61 &gt; OMN &gt; Ships &gt; Ship Maint &gt; DDG</t>
        </is>
      </c>
      <c r="AG2590" s="7" t="inlineStr">
        <is>
          <t>110</t>
        </is>
      </c>
      <c r="AH2590" s="7" t="inlineStr">
        <is>
          <t>1B4B</t>
        </is>
      </c>
      <c r="AI2590" s="7" t="inlineStr">
        <is>
          <t>OMN &gt; Ships &gt; Ship Maint - DM001 - DDG MODERNIZATION HME (MCS/DCS)</t>
        </is>
      </c>
      <c r="AJ2590" s="7" t="inlineStr">
        <is>
          <t>DDG</t>
        </is>
      </c>
    </row>
    <row r="2591" ht="10" customHeight="1">
      <c r="A2591" s="7" t="inlineStr">
        <is>
          <t>OMN_Vol2</t>
        </is>
      </c>
      <c r="B2591" s="7" t="inlineStr">
        <is>
          <t>O&amp;M</t>
        </is>
      </c>
      <c r="D2591" s="7" t="inlineStr">
        <is>
          <t>DDG - 1000</t>
        </is>
      </c>
      <c r="E2591" s="15" t="n"/>
      <c r="I2591" s="14" t="n">
        <v>2</v>
      </c>
      <c r="K2591" s="13" t="inlineStr">
        <is>
          <t>USN</t>
        </is>
      </c>
      <c r="L2591" s="7" t="inlineStr">
        <is>
          <t>Combatant Ships</t>
        </is>
      </c>
      <c r="M2591" s="7" t="inlineStr">
        <is>
          <t>Surface Combatants</t>
        </is>
      </c>
      <c r="N2591" s="7" t="inlineStr">
        <is>
          <t>DDG</t>
        </is>
      </c>
      <c r="O2591" s="15" t="n"/>
      <c r="S2591" s="16" t="n">
        <v>6174</v>
      </c>
      <c r="V2591" s="16" t="n">
        <v>7358</v>
      </c>
      <c r="AC2591" s="23">
        <f>IF(OR(E2591="",E2591="[PARENT]"),"ADD",IF(E2591="[ALT_VIEW]","ALT",""))</f>
        <v/>
      </c>
      <c r="AD2591" s="21">
        <f>IF(Y2591&lt;&gt;"",Y2591,IF(U2591&lt;&gt;"",U2591,S2591))</f>
        <v/>
      </c>
      <c r="AE2591" s="21">
        <f>IF(AB2591&lt;&gt;"",AB2591,Z2591)</f>
        <v/>
      </c>
      <c r="AF2591" s="13" t="inlineStr">
        <is>
          <t>OMN Vol2 &gt; PB-61 &gt; OMN &gt; Ships &gt; Ship Maint &gt; DDG - 1000</t>
        </is>
      </c>
      <c r="AG2591" s="7" t="inlineStr">
        <is>
          <t>110</t>
        </is>
      </c>
      <c r="AH2591" s="7" t="inlineStr">
        <is>
          <t>1B4B</t>
        </is>
      </c>
      <c r="AI2591" s="7" t="inlineStr">
        <is>
          <t>OMN &gt; Ships &gt; Ship Maint</t>
        </is>
      </c>
      <c r="AJ2591" s="7" t="inlineStr">
        <is>
          <t>DDG - 1000</t>
        </is>
      </c>
    </row>
    <row r="2592" ht="10" customHeight="1">
      <c r="A2592" s="7" t="inlineStr">
        <is>
          <t>OMN_Vol2</t>
        </is>
      </c>
      <c r="B2592" s="7" t="inlineStr">
        <is>
          <t>O&amp;M</t>
        </is>
      </c>
      <c r="D2592" s="7" t="inlineStr">
        <is>
          <t>DDG-1000</t>
        </is>
      </c>
      <c r="E2592" s="15" t="n"/>
      <c r="I2592" s="14" t="n">
        <v>2</v>
      </c>
      <c r="K2592" s="13" t="inlineStr">
        <is>
          <t>USN</t>
        </is>
      </c>
      <c r="L2592" s="7" t="inlineStr">
        <is>
          <t>Combatant Ships</t>
        </is>
      </c>
      <c r="M2592" s="7" t="inlineStr">
        <is>
          <t>Surface Combatants</t>
        </is>
      </c>
      <c r="N2592" s="7" t="inlineStr">
        <is>
          <t>DDG</t>
        </is>
      </c>
      <c r="O2592" s="15" t="n"/>
      <c r="P2592" s="16" t="n">
        <v>2130</v>
      </c>
      <c r="AC2592" s="23">
        <f>IF(OR(E2592="",E2592="[PARENT]"),"ADD",IF(E2592="[ALT_VIEW]","ALT",""))</f>
        <v/>
      </c>
      <c r="AD2592" s="21">
        <f>IF(Y2592&lt;&gt;"",Y2592,IF(U2592&lt;&gt;"",U2592,S2592))</f>
        <v/>
      </c>
      <c r="AE2592" s="21">
        <f>IF(AB2592&lt;&gt;"",AB2592,Z2592)</f>
        <v/>
      </c>
      <c r="AF2592" s="13" t="inlineStr">
        <is>
          <t>OMN Vol2 &gt; PB-61 &gt; OMN &gt; Ships &gt; Ship Maint &gt; DDG-1000</t>
        </is>
      </c>
      <c r="AG2592" s="7" t="inlineStr">
        <is>
          <t>110</t>
        </is>
      </c>
      <c r="AH2592" s="7" t="inlineStr">
        <is>
          <t>1B4B</t>
        </is>
      </c>
      <c r="AI2592" s="7" t="inlineStr">
        <is>
          <t>OMN &gt; Ships &gt; Ship Maint</t>
        </is>
      </c>
      <c r="AJ2592" s="7" t="inlineStr">
        <is>
          <t>DDG-1000</t>
        </is>
      </c>
    </row>
    <row r="2593" ht="10" customHeight="1">
      <c r="A2593" s="7" t="inlineStr">
        <is>
          <t>OMN_Vol2</t>
        </is>
      </c>
      <c r="B2593" s="7" t="inlineStr">
        <is>
          <t>O&amp;M</t>
        </is>
      </c>
      <c r="D2593" s="7" t="inlineStr">
        <is>
          <t>ESB</t>
        </is>
      </c>
      <c r="E2593" s="15" t="n"/>
      <c r="I2593" s="14" t="n">
        <v>2</v>
      </c>
      <c r="K2593" s="13" t="inlineStr">
        <is>
          <t>USN</t>
        </is>
      </c>
      <c r="L2593" s="7" t="inlineStr">
        <is>
          <t>Combatant Ships</t>
        </is>
      </c>
      <c r="M2593" s="7" t="inlineStr">
        <is>
          <t>Expeditionary &amp; Seabasing Ships</t>
        </is>
      </c>
      <c r="N2593" s="7" t="inlineStr">
        <is>
          <t>ESB</t>
        </is>
      </c>
      <c r="O2593" s="15" t="n"/>
      <c r="P2593" s="16" t="n">
        <v>6850</v>
      </c>
      <c r="Q2593" s="16" t="n">
        <v>20241</v>
      </c>
      <c r="R2593" s="16" t="n">
        <v>20629</v>
      </c>
      <c r="S2593" s="16" t="n">
        <v>19655</v>
      </c>
      <c r="V2593" s="16" t="n">
        <v>22134</v>
      </c>
      <c r="AC2593" s="23">
        <f>IF(OR(E2593="",E2593="[PARENT]"),"ADD",IF(E2593="[ALT_VIEW]","ALT",""))</f>
        <v/>
      </c>
      <c r="AD2593" s="21">
        <f>IF(Y2593&lt;&gt;"",Y2593,IF(U2593&lt;&gt;"",U2593,S2593))</f>
        <v/>
      </c>
      <c r="AE2593" s="21">
        <f>IF(AB2593&lt;&gt;"",AB2593,Z2593)</f>
        <v/>
      </c>
      <c r="AF2593" s="13" t="inlineStr">
        <is>
          <t>OMN Vol2 &gt; PB-61 &gt; OMN &gt; Ships &gt; Ship Maint &gt; ESB</t>
        </is>
      </c>
      <c r="AG2593" s="7" t="inlineStr">
        <is>
          <t>110</t>
        </is>
      </c>
      <c r="AH2593" s="7" t="inlineStr">
        <is>
          <t>1B4B</t>
        </is>
      </c>
      <c r="AI2593" s="7" t="inlineStr">
        <is>
          <t>OMN &gt; Ships &gt; Ship Maint</t>
        </is>
      </c>
      <c r="AJ2593" s="7" t="inlineStr">
        <is>
          <t>ESB</t>
        </is>
      </c>
    </row>
    <row r="2594" ht="10" customHeight="1">
      <c r="A2594" s="7" t="inlineStr">
        <is>
          <t>OMN_Vol2</t>
        </is>
      </c>
      <c r="B2594" s="7" t="inlineStr">
        <is>
          <t>O&amp;M</t>
        </is>
      </c>
      <c r="D2594" s="7" t="inlineStr">
        <is>
          <t>LCC</t>
        </is>
      </c>
      <c r="E2594" s="15" t="n"/>
      <c r="I2594" s="14" t="n">
        <v>2</v>
      </c>
      <c r="K2594" s="13" t="inlineStr">
        <is>
          <t>USN</t>
        </is>
      </c>
      <c r="L2594" s="7" t="inlineStr">
        <is>
          <t>Combatant Ships</t>
        </is>
      </c>
      <c r="M2594" s="7" t="inlineStr">
        <is>
          <t>Command Ships</t>
        </is>
      </c>
      <c r="N2594" s="7" t="inlineStr">
        <is>
          <t>LCC</t>
        </is>
      </c>
      <c r="O2594" s="15" t="n"/>
      <c r="P2594" s="16" t="n">
        <v>5496</v>
      </c>
      <c r="Q2594" s="16" t="n">
        <v>517</v>
      </c>
      <c r="R2594" s="16" t="n">
        <v>517</v>
      </c>
      <c r="S2594" s="16" t="n">
        <v>3899</v>
      </c>
      <c r="V2594" s="16" t="n">
        <v>57265</v>
      </c>
      <c r="AC2594" s="23">
        <f>IF(OR(E2594="",E2594="[PARENT]"),"ADD",IF(E2594="[ALT_VIEW]","ALT",""))</f>
        <v/>
      </c>
      <c r="AD2594" s="21">
        <f>IF(Y2594&lt;&gt;"",Y2594,IF(U2594&lt;&gt;"",U2594,S2594))</f>
        <v/>
      </c>
      <c r="AE2594" s="21">
        <f>IF(AB2594&lt;&gt;"",AB2594,Z2594)</f>
        <v/>
      </c>
      <c r="AF2594" s="13" t="inlineStr">
        <is>
          <t>OMN Vol2 &gt; PB-61 &gt; OMN &gt; Ships &gt; Ship Maint &gt; LCC</t>
        </is>
      </c>
      <c r="AG2594" s="7" t="inlineStr">
        <is>
          <t>110</t>
        </is>
      </c>
      <c r="AH2594" s="7" t="inlineStr">
        <is>
          <t>1B4B</t>
        </is>
      </c>
      <c r="AI2594" s="7" t="inlineStr">
        <is>
          <t>OMN &gt; Ships &gt; Ship Maint</t>
        </is>
      </c>
      <c r="AJ2594" s="7" t="inlineStr">
        <is>
          <t>LCC</t>
        </is>
      </c>
    </row>
    <row r="2595" ht="10" customHeight="1">
      <c r="A2595" s="7" t="inlineStr">
        <is>
          <t>OMN_Vol2</t>
        </is>
      </c>
      <c r="B2595" s="7" t="inlineStr">
        <is>
          <t>O&amp;M</t>
        </is>
      </c>
      <c r="D2595" s="7" t="inlineStr">
        <is>
          <t>LCS</t>
        </is>
      </c>
      <c r="E2595" s="15" t="n"/>
      <c r="I2595" s="14" t="n">
        <v>2</v>
      </c>
      <c r="K2595" s="13" t="inlineStr">
        <is>
          <t>USN</t>
        </is>
      </c>
      <c r="L2595" s="7" t="inlineStr">
        <is>
          <t>Combatant Ships</t>
        </is>
      </c>
      <c r="M2595" s="7" t="inlineStr">
        <is>
          <t>Surface Combatants</t>
        </is>
      </c>
      <c r="N2595" s="7" t="inlineStr">
        <is>
          <t>LCS</t>
        </is>
      </c>
      <c r="O2595" s="15" t="n"/>
      <c r="P2595" s="16" t="n">
        <v>241434</v>
      </c>
      <c r="Q2595" s="16" t="n">
        <v>225747</v>
      </c>
      <c r="R2595" s="16" t="n">
        <v>237189</v>
      </c>
      <c r="S2595" s="16" t="n">
        <v>230789</v>
      </c>
      <c r="V2595" s="16" t="n">
        <v>346046</v>
      </c>
      <c r="AC2595" s="23">
        <f>IF(OR(E2595="",E2595="[PARENT]"),"ADD",IF(E2595="[ALT_VIEW]","ALT",""))</f>
        <v/>
      </c>
      <c r="AD2595" s="21">
        <f>IF(Y2595&lt;&gt;"",Y2595,IF(U2595&lt;&gt;"",U2595,S2595))</f>
        <v/>
      </c>
      <c r="AE2595" s="21">
        <f>IF(AB2595&lt;&gt;"",AB2595,Z2595)</f>
        <v/>
      </c>
      <c r="AF2595" s="13" t="inlineStr">
        <is>
          <t>OMN Vol2 &gt; PB-61 &gt; OMN &gt; Ships &gt; Ship Maint &gt; LCS</t>
        </is>
      </c>
      <c r="AG2595" s="7" t="inlineStr">
        <is>
          <t>110</t>
        </is>
      </c>
      <c r="AH2595" s="7" t="inlineStr">
        <is>
          <t>1B4B</t>
        </is>
      </c>
      <c r="AI2595" s="7" t="inlineStr">
        <is>
          <t>OMN &gt; Ships &gt; Ship Maint - LCS Maintenance Modernization</t>
        </is>
      </c>
      <c r="AJ2595" s="7" t="inlineStr">
        <is>
          <t>LCS</t>
        </is>
      </c>
    </row>
    <row r="2596" ht="10" customHeight="1">
      <c r="A2596" s="7" t="inlineStr">
        <is>
          <t>OMN_Vol2</t>
        </is>
      </c>
      <c r="B2596" s="7" t="inlineStr">
        <is>
          <t>O&amp;M</t>
        </is>
      </c>
      <c r="D2596" s="7" t="inlineStr">
        <is>
          <t>LHA</t>
        </is>
      </c>
      <c r="E2596" s="15" t="n"/>
      <c r="I2596" s="14" t="n">
        <v>2</v>
      </c>
      <c r="K2596" s="13" t="inlineStr">
        <is>
          <t>USN</t>
        </is>
      </c>
      <c r="L2596" s="7" t="inlineStr">
        <is>
          <t>Combatant Ships</t>
        </is>
      </c>
      <c r="M2596" s="7" t="inlineStr">
        <is>
          <t>Amphibious Warfare Ships</t>
        </is>
      </c>
      <c r="N2596" s="7" t="inlineStr">
        <is>
          <t>LHA</t>
        </is>
      </c>
      <c r="O2596" s="15" t="n"/>
      <c r="S2596" s="16" t="n">
        <v>29116</v>
      </c>
      <c r="V2596" s="16" t="n">
        <v>30946</v>
      </c>
      <c r="AC2596" s="23">
        <f>IF(OR(E2596="",E2596="[PARENT]"),"ADD",IF(E2596="[ALT_VIEW]","ALT",""))</f>
        <v/>
      </c>
      <c r="AD2596" s="21">
        <f>IF(Y2596&lt;&gt;"",Y2596,IF(U2596&lt;&gt;"",U2596,S2596))</f>
        <v/>
      </c>
      <c r="AE2596" s="21">
        <f>IF(AB2596&lt;&gt;"",AB2596,Z2596)</f>
        <v/>
      </c>
      <c r="AF2596" s="13" t="inlineStr">
        <is>
          <t>OMN Vol2 &gt; PB-61 &gt; OMN &gt; Ships &gt; Ship Maint &gt; LHA</t>
        </is>
      </c>
      <c r="AG2596" s="7" t="inlineStr">
        <is>
          <t>110</t>
        </is>
      </c>
      <c r="AH2596" s="7" t="inlineStr">
        <is>
          <t>1B4B</t>
        </is>
      </c>
      <c r="AI2596" s="7" t="inlineStr">
        <is>
          <t>OMN &gt; Ships &gt; Ship Maint</t>
        </is>
      </c>
      <c r="AJ2596" s="7" t="inlineStr">
        <is>
          <t>LHA</t>
        </is>
      </c>
    </row>
    <row r="2597" ht="10" customHeight="1">
      <c r="A2597" s="7" t="inlineStr">
        <is>
          <t>OMN_Vol2</t>
        </is>
      </c>
      <c r="B2597" s="7" t="inlineStr">
        <is>
          <t>O&amp;M</t>
        </is>
      </c>
      <c r="D2597" s="7" t="inlineStr">
        <is>
          <t>LHA-LHD-LPD-LSD</t>
        </is>
      </c>
      <c r="E2597" s="15" t="n"/>
      <c r="I2597" s="14" t="n">
        <v>2</v>
      </c>
      <c r="K2597" s="13" t="inlineStr">
        <is>
          <t>USN</t>
        </is>
      </c>
      <c r="L2597" s="7" t="inlineStr">
        <is>
          <t>Combatant Ships</t>
        </is>
      </c>
      <c r="M2597" s="7" t="inlineStr">
        <is>
          <t>Amphibious Warfare Ships</t>
        </is>
      </c>
      <c r="O2597" s="15" t="n"/>
      <c r="P2597" s="16" t="n">
        <v>5608</v>
      </c>
      <c r="Q2597" s="16" t="n">
        <v>10944</v>
      </c>
      <c r="R2597" s="16" t="n">
        <v>10944</v>
      </c>
      <c r="AC2597" s="23">
        <f>IF(OR(E2597="",E2597="[PARENT]"),"ADD",IF(E2597="[ALT_VIEW]","ALT",""))</f>
        <v/>
      </c>
      <c r="AD2597" s="21">
        <f>IF(Y2597&lt;&gt;"",Y2597,IF(U2597&lt;&gt;"",U2597,S2597))</f>
        <v/>
      </c>
      <c r="AE2597" s="21">
        <f>IF(AB2597&lt;&gt;"",AB2597,Z2597)</f>
        <v/>
      </c>
      <c r="AF2597" s="13" t="inlineStr">
        <is>
          <t>OMN Vol2 &gt; PB-61 &gt; OMN &gt; Ships &gt; Ship Maint &gt; LHA-LHD-LPD-LSD</t>
        </is>
      </c>
      <c r="AG2597" s="7" t="inlineStr">
        <is>
          <t>110</t>
        </is>
      </c>
      <c r="AH2597" s="7" t="inlineStr">
        <is>
          <t>1B4B</t>
        </is>
      </c>
      <c r="AI2597" s="7" t="inlineStr">
        <is>
          <t>OMN &gt; Ships &gt; Ship Maint</t>
        </is>
      </c>
      <c r="AJ2597" s="7" t="inlineStr">
        <is>
          <t>LHA-LHD-LPD-LSD</t>
        </is>
      </c>
    </row>
    <row r="2598" ht="10" customHeight="1">
      <c r="A2598" s="7" t="inlineStr">
        <is>
          <t>OMN_Vol2</t>
        </is>
      </c>
      <c r="B2598" s="7" t="inlineStr">
        <is>
          <t>O&amp;M</t>
        </is>
      </c>
      <c r="D2598" s="7" t="inlineStr">
        <is>
          <t>LHD</t>
        </is>
      </c>
      <c r="E2598" s="15" t="n"/>
      <c r="I2598" s="14" t="n">
        <v>2</v>
      </c>
      <c r="K2598" s="13" t="inlineStr">
        <is>
          <t>USN</t>
        </is>
      </c>
      <c r="L2598" s="7" t="inlineStr">
        <is>
          <t>Combatant Ships</t>
        </is>
      </c>
      <c r="M2598" s="7" t="inlineStr">
        <is>
          <t>Amphibious Warfare Ships</t>
        </is>
      </c>
      <c r="N2598" s="7" t="inlineStr">
        <is>
          <t>LHD</t>
        </is>
      </c>
      <c r="O2598" s="15" t="n"/>
      <c r="S2598" s="16" t="n">
        <v>36577</v>
      </c>
      <c r="V2598" s="16" t="n">
        <v>37210</v>
      </c>
      <c r="AC2598" s="23">
        <f>IF(OR(E2598="",E2598="[PARENT]"),"ADD",IF(E2598="[ALT_VIEW]","ALT",""))</f>
        <v/>
      </c>
      <c r="AD2598" s="21">
        <f>IF(Y2598&lt;&gt;"",Y2598,IF(U2598&lt;&gt;"",U2598,S2598))</f>
        <v/>
      </c>
      <c r="AE2598" s="21">
        <f>IF(AB2598&lt;&gt;"",AB2598,Z2598)</f>
        <v/>
      </c>
      <c r="AF2598" s="13" t="inlineStr">
        <is>
          <t>OMN Vol2 &gt; PB-61 &gt; OMN &gt; Ships &gt; Ship Maint &gt; LHD</t>
        </is>
      </c>
      <c r="AG2598" s="7" t="inlineStr">
        <is>
          <t>110</t>
        </is>
      </c>
      <c r="AH2598" s="7" t="inlineStr">
        <is>
          <t>1B4B</t>
        </is>
      </c>
      <c r="AI2598" s="7" t="inlineStr">
        <is>
          <t>OMN &gt; Ships &gt; Ship Maint</t>
        </is>
      </c>
      <c r="AJ2598" s="7" t="inlineStr">
        <is>
          <t>LHD</t>
        </is>
      </c>
    </row>
    <row r="2599" ht="10" customHeight="1">
      <c r="A2599" s="7" t="inlineStr">
        <is>
          <t>OMN_Vol2</t>
        </is>
      </c>
      <c r="B2599" s="7" t="inlineStr">
        <is>
          <t>O&amp;M</t>
        </is>
      </c>
      <c r="D2599" s="7" t="inlineStr">
        <is>
          <t>LPD</t>
        </is>
      </c>
      <c r="E2599" s="15" t="n"/>
      <c r="I2599" s="14" t="n">
        <v>2</v>
      </c>
      <c r="K2599" s="13" t="inlineStr">
        <is>
          <t>USN</t>
        </is>
      </c>
      <c r="L2599" s="7" t="inlineStr">
        <is>
          <t>Combatant Ships</t>
        </is>
      </c>
      <c r="M2599" s="7" t="inlineStr">
        <is>
          <t>Amphibious Warfare Ships</t>
        </is>
      </c>
      <c r="N2599" s="7" t="inlineStr">
        <is>
          <t>LPD</t>
        </is>
      </c>
      <c r="O2599" s="15" t="n"/>
      <c r="S2599" s="16" t="n">
        <v>105286</v>
      </c>
      <c r="V2599" s="16" t="n">
        <v>105354</v>
      </c>
      <c r="AC2599" s="23">
        <f>IF(OR(E2599="",E2599="[PARENT]"),"ADD",IF(E2599="[ALT_VIEW]","ALT",""))</f>
        <v/>
      </c>
      <c r="AD2599" s="21">
        <f>IF(Y2599&lt;&gt;"",Y2599,IF(U2599&lt;&gt;"",U2599,S2599))</f>
        <v/>
      </c>
      <c r="AE2599" s="21">
        <f>IF(AB2599&lt;&gt;"",AB2599,Z2599)</f>
        <v/>
      </c>
      <c r="AF2599" s="13" t="inlineStr">
        <is>
          <t>OMN Vol2 &gt; PB-61 &gt; OMN &gt; Ships &gt; Ship Maint &gt; LPD</t>
        </is>
      </c>
      <c r="AG2599" s="7" t="inlineStr">
        <is>
          <t>111</t>
        </is>
      </c>
      <c r="AH2599" s="7" t="inlineStr">
        <is>
          <t>1B4B</t>
        </is>
      </c>
      <c r="AI2599" s="7" t="inlineStr">
        <is>
          <t>OMN &gt; Ships &gt; Ship Maint</t>
        </is>
      </c>
      <c r="AJ2599" s="7" t="inlineStr">
        <is>
          <t>LPD</t>
        </is>
      </c>
    </row>
    <row r="2600" ht="10" customHeight="1">
      <c r="A2600" s="7" t="inlineStr">
        <is>
          <t>OMN_Vol2</t>
        </is>
      </c>
      <c r="B2600" s="7" t="inlineStr">
        <is>
          <t>O&amp;M</t>
        </is>
      </c>
      <c r="D2600" s="7" t="inlineStr">
        <is>
          <t>LSD</t>
        </is>
      </c>
      <c r="E2600" s="15" t="n"/>
      <c r="I2600" s="14" t="n">
        <v>2</v>
      </c>
      <c r="K2600" s="13" t="inlineStr">
        <is>
          <t>USN</t>
        </is>
      </c>
      <c r="L2600" s="7" t="inlineStr">
        <is>
          <t>Combatant Ships</t>
        </is>
      </c>
      <c r="M2600" s="7" t="inlineStr">
        <is>
          <t>Amphibious Warfare Ships</t>
        </is>
      </c>
      <c r="N2600" s="7" t="inlineStr">
        <is>
          <t>LSD</t>
        </is>
      </c>
      <c r="O2600" s="15" t="n"/>
      <c r="S2600" s="16" t="n">
        <v>73346</v>
      </c>
      <c r="V2600" s="16" t="n">
        <v>97543</v>
      </c>
      <c r="AC2600" s="23">
        <f>IF(OR(E2600="",E2600="[PARENT]"),"ADD",IF(E2600="[ALT_VIEW]","ALT",""))</f>
        <v/>
      </c>
      <c r="AD2600" s="21">
        <f>IF(Y2600&lt;&gt;"",Y2600,IF(U2600&lt;&gt;"",U2600,S2600))</f>
        <v/>
      </c>
      <c r="AE2600" s="21">
        <f>IF(AB2600&lt;&gt;"",AB2600,Z2600)</f>
        <v/>
      </c>
      <c r="AF2600" s="13" t="inlineStr">
        <is>
          <t>OMN Vol2 &gt; PB-61 &gt; OMN &gt; Ships &gt; Ship Maint &gt; LSD</t>
        </is>
      </c>
      <c r="AG2600" s="7" t="inlineStr">
        <is>
          <t>111</t>
        </is>
      </c>
      <c r="AH2600" s="7" t="inlineStr">
        <is>
          <t>1B4B</t>
        </is>
      </c>
      <c r="AI2600" s="7" t="inlineStr">
        <is>
          <t>OMN &gt; Ships &gt; Ship Maint</t>
        </is>
      </c>
      <c r="AJ2600" s="7" t="inlineStr">
        <is>
          <t>LSD</t>
        </is>
      </c>
    </row>
    <row r="2601" ht="10" customHeight="1">
      <c r="A2601" s="7" t="inlineStr">
        <is>
          <t>OMN_Vol2</t>
        </is>
      </c>
      <c r="B2601" s="7" t="inlineStr">
        <is>
          <t>O&amp;M</t>
        </is>
      </c>
      <c r="D2601" s="7" t="inlineStr">
        <is>
          <t>MCM-MHC (A)</t>
        </is>
      </c>
      <c r="E2601" s="15" t="n"/>
      <c r="I2601" s="14" t="n">
        <v>2</v>
      </c>
      <c r="K2601" s="13" t="inlineStr">
        <is>
          <t>USN</t>
        </is>
      </c>
      <c r="L2601" s="7" t="inlineStr">
        <is>
          <t>Combatant Ships</t>
        </is>
      </c>
      <c r="M2601" s="7" t="inlineStr">
        <is>
          <t>Mine Warfare</t>
        </is>
      </c>
      <c r="N2601" s="7" t="inlineStr">
        <is>
          <t>MCM</t>
        </is>
      </c>
      <c r="O2601" s="15" t="n"/>
      <c r="P2601" s="16" t="n">
        <v>55837</v>
      </c>
      <c r="Q2601" s="16" t="n">
        <v>46252</v>
      </c>
      <c r="R2601" s="16" t="n">
        <v>47028</v>
      </c>
      <c r="S2601" s="16" t="n">
        <v>10813</v>
      </c>
      <c r="V2601" s="16" t="n">
        <v>13189</v>
      </c>
      <c r="AC2601" s="23">
        <f>IF(OR(E2601="",E2601="[PARENT]"),"ADD",IF(E2601="[ALT_VIEW]","ALT",""))</f>
        <v/>
      </c>
      <c r="AD2601" s="21">
        <f>IF(Y2601&lt;&gt;"",Y2601,IF(U2601&lt;&gt;"",U2601,S2601))</f>
        <v/>
      </c>
      <c r="AE2601" s="21">
        <f>IF(AB2601&lt;&gt;"",AB2601,Z2601)</f>
        <v/>
      </c>
      <c r="AF2601" s="13" t="inlineStr">
        <is>
          <t>OMN Vol2 &gt; PB-61 &gt; OMN &gt; Ships &gt; Ship Maint &gt; MCM-MHC (A)</t>
        </is>
      </c>
      <c r="AG2601" s="7" t="inlineStr">
        <is>
          <t>111</t>
        </is>
      </c>
      <c r="AH2601" s="7" t="inlineStr">
        <is>
          <t>1B4B</t>
        </is>
      </c>
      <c r="AI2601" s="7" t="inlineStr">
        <is>
          <t>OMN &gt; Ships &gt; Ship Maint</t>
        </is>
      </c>
      <c r="AJ2601" s="7" t="inlineStr">
        <is>
          <t>MCM-MHC (A)</t>
        </is>
      </c>
    </row>
    <row r="2602" ht="10" customHeight="1">
      <c r="A2602" s="7" t="inlineStr">
        <is>
          <t>OMN_Vol2</t>
        </is>
      </c>
      <c r="B2602" s="7" t="inlineStr">
        <is>
          <t>O&amp;M</t>
        </is>
      </c>
      <c r="D2602" s="7" t="inlineStr">
        <is>
          <t>Naval Beach Group 2 (NBG2)</t>
        </is>
      </c>
      <c r="E2602" s="15" t="n"/>
      <c r="I2602" s="14" t="n">
        <v>2</v>
      </c>
      <c r="K2602" s="15" t="n"/>
      <c r="O2602" s="15" t="n"/>
      <c r="Q2602" s="16" t="n">
        <v>20041</v>
      </c>
      <c r="R2602" s="16" t="n">
        <v>20041</v>
      </c>
      <c r="S2602" s="16" t="n">
        <v>964</v>
      </c>
      <c r="V2602" s="16" t="n">
        <v>27283</v>
      </c>
      <c r="AC2602" s="23">
        <f>IF(OR(E2602="",E2602="[PARENT]"),"ADD",IF(E2602="[ALT_VIEW]","ALT",""))</f>
        <v/>
      </c>
      <c r="AD2602" s="21">
        <f>IF(Y2602&lt;&gt;"",Y2602,IF(U2602&lt;&gt;"",U2602,S2602))</f>
        <v/>
      </c>
      <c r="AE2602" s="21">
        <f>IF(AB2602&lt;&gt;"",AB2602,Z2602)</f>
        <v/>
      </c>
      <c r="AF2602" s="13" t="inlineStr">
        <is>
          <t>OMN Vol2 &gt; PB-61 &gt; OMN &gt; Ships &gt; Ship Maint &gt; NBG2</t>
        </is>
      </c>
      <c r="AG2602" s="7" t="inlineStr">
        <is>
          <t>111</t>
        </is>
      </c>
      <c r="AH2602" s="7" t="inlineStr">
        <is>
          <t>1B4B</t>
        </is>
      </c>
      <c r="AI2602" s="7" t="inlineStr">
        <is>
          <t>OMN &gt; Ships &gt; Ship Maint</t>
        </is>
      </c>
      <c r="AJ2602" s="7" t="inlineStr">
        <is>
          <t>NBG2</t>
        </is>
      </c>
    </row>
    <row r="2603" ht="10" customHeight="1">
      <c r="A2603" s="7" t="inlineStr">
        <is>
          <t>OMN_Vol2</t>
        </is>
      </c>
      <c r="B2603" s="7" t="inlineStr">
        <is>
          <t>O&amp;M</t>
        </is>
      </c>
      <c r="D2603" s="7" t="inlineStr">
        <is>
          <t>PC</t>
        </is>
      </c>
      <c r="E2603" s="15" t="n"/>
      <c r="I2603" s="14" t="n">
        <v>2</v>
      </c>
      <c r="K2603" s="13" t="inlineStr">
        <is>
          <t>USN</t>
        </is>
      </c>
      <c r="L2603" s="7" t="inlineStr">
        <is>
          <t>Combatant Crafts</t>
        </is>
      </c>
      <c r="M2603" s="7" t="inlineStr">
        <is>
          <t>Patrol Combatant</t>
        </is>
      </c>
      <c r="N2603" s="7" t="inlineStr">
        <is>
          <t>PC</t>
        </is>
      </c>
      <c r="O2603" s="15" t="n"/>
      <c r="P2603" s="16" t="n">
        <v>31</v>
      </c>
      <c r="AC2603" s="23">
        <f>IF(OR(E2603="",E2603="[PARENT]"),"ADD",IF(E2603="[ALT_VIEW]","ALT",""))</f>
        <v/>
      </c>
      <c r="AD2603" s="21">
        <f>IF(Y2603&lt;&gt;"",Y2603,IF(U2603&lt;&gt;"",U2603,S2603))</f>
        <v/>
      </c>
      <c r="AE2603" s="21">
        <f>IF(AB2603&lt;&gt;"",AB2603,Z2603)</f>
        <v/>
      </c>
      <c r="AF2603" s="13" t="inlineStr">
        <is>
          <t>OMN Vol2 &gt; PB-61 &gt; OMN &gt; Ships &gt; Ship Maint &gt; PC</t>
        </is>
      </c>
      <c r="AG2603" s="7" t="inlineStr">
        <is>
          <t>111</t>
        </is>
      </c>
      <c r="AH2603" s="7" t="inlineStr">
        <is>
          <t>1B4B</t>
        </is>
      </c>
      <c r="AI2603" s="7" t="inlineStr">
        <is>
          <t>OMN &gt; Ships &gt; Ship Maint - PCS Benefits</t>
        </is>
      </c>
      <c r="AJ2603" s="7" t="inlineStr">
        <is>
          <t>PC</t>
        </is>
      </c>
    </row>
    <row r="2604" ht="10" customHeight="1">
      <c r="A2604" s="7" t="inlineStr">
        <is>
          <t>OMN_Vol2</t>
        </is>
      </c>
      <c r="B2604" s="7" t="inlineStr">
        <is>
          <t>O&amp;M</t>
        </is>
      </c>
      <c r="D2604" s="7" t="inlineStr">
        <is>
          <t>Safety PE</t>
        </is>
      </c>
      <c r="E2604" s="15" t="n"/>
      <c r="I2604" s="14" t="n">
        <v>2</v>
      </c>
      <c r="K2604" s="15" t="n"/>
      <c r="O2604" s="15" t="n"/>
      <c r="P2604" s="16" t="n">
        <v>3608</v>
      </c>
      <c r="Q2604" s="16" t="n">
        <v>5651</v>
      </c>
      <c r="R2604" s="16" t="n">
        <v>5651</v>
      </c>
      <c r="S2604" s="16" t="n">
        <v>5569</v>
      </c>
      <c r="V2604" s="16" t="n">
        <v>5569</v>
      </c>
      <c r="AC2604" s="23">
        <f>IF(OR(E2604="",E2604="[PARENT]"),"ADD",IF(E2604="[ALT_VIEW]","ALT",""))</f>
        <v/>
      </c>
      <c r="AD2604" s="21">
        <f>IF(Y2604&lt;&gt;"",Y2604,IF(U2604&lt;&gt;"",U2604,S2604))</f>
        <v/>
      </c>
      <c r="AE2604" s="21">
        <f>IF(AB2604&lt;&gt;"",AB2604,Z2604)</f>
        <v/>
      </c>
      <c r="AF2604" s="13" t="inlineStr">
        <is>
          <t>OMN Vol2 &gt; PB-61 &gt; OMN &gt; Ships &gt; Ship Maint &gt; Safety PE</t>
        </is>
      </c>
      <c r="AG2604" s="7" t="inlineStr">
        <is>
          <t>111</t>
        </is>
      </c>
      <c r="AH2604" s="7" t="inlineStr">
        <is>
          <t>1B4B</t>
        </is>
      </c>
      <c r="AI2604" s="7" t="inlineStr">
        <is>
          <t>OMN &gt; Ships &gt; Ship Maint</t>
        </is>
      </c>
      <c r="AJ2604" s="7" t="inlineStr">
        <is>
          <t>Safety PE</t>
        </is>
      </c>
    </row>
    <row r="2605" ht="10" customHeight="1">
      <c r="A2605" s="7" t="inlineStr">
        <is>
          <t>OMN_Vol2</t>
        </is>
      </c>
      <c r="B2605" s="7" t="inlineStr">
        <is>
          <t>O&amp;M</t>
        </is>
      </c>
      <c r="D2605" s="7" t="inlineStr">
        <is>
          <t>Service-Wide Support</t>
        </is>
      </c>
      <c r="E2605" s="15" t="n"/>
      <c r="I2605" s="14" t="n">
        <v>2</v>
      </c>
      <c r="K2605" s="15" t="n"/>
      <c r="O2605" s="15" t="n"/>
      <c r="P2605" s="16" t="n">
        <v>628</v>
      </c>
      <c r="Q2605" s="16" t="n">
        <v>806</v>
      </c>
      <c r="R2605" s="16" t="n">
        <v>806</v>
      </c>
      <c r="S2605" s="16" t="n">
        <v>814</v>
      </c>
      <c r="V2605" s="16" t="n">
        <v>814</v>
      </c>
      <c r="AC2605" s="23">
        <f>IF(OR(E2605="",E2605="[PARENT]"),"ADD",IF(E2605="[ALT_VIEW]","ALT",""))</f>
        <v/>
      </c>
      <c r="AD2605" s="21">
        <f>IF(Y2605&lt;&gt;"",Y2605,IF(U2605&lt;&gt;"",U2605,S2605))</f>
        <v/>
      </c>
      <c r="AE2605" s="21">
        <f>IF(AB2605&lt;&gt;"",AB2605,Z2605)</f>
        <v/>
      </c>
      <c r="AF2605" s="13" t="inlineStr">
        <is>
          <t>OMN Vol2 &gt; PB-61 &gt; OMN &gt; Ships &gt; Ship Maint &gt; Service-Wide Support</t>
        </is>
      </c>
      <c r="AG2605" s="7" t="inlineStr">
        <is>
          <t>111</t>
        </is>
      </c>
      <c r="AH2605" s="7" t="inlineStr">
        <is>
          <t>1B4B</t>
        </is>
      </c>
      <c r="AI2605" s="7" t="inlineStr">
        <is>
          <t>OMN &gt; Ships &gt; Ship Maint</t>
        </is>
      </c>
      <c r="AJ2605" s="7" t="inlineStr">
        <is>
          <t>Service-Wide Support</t>
        </is>
      </c>
    </row>
    <row r="2606" ht="10" customHeight="1">
      <c r="A2606" s="7" t="inlineStr">
        <is>
          <t>OMN_Vol2</t>
        </is>
      </c>
      <c r="B2606" s="7" t="inlineStr">
        <is>
          <t>O&amp;M</t>
        </is>
      </c>
      <c r="D2606" s="7" t="inlineStr">
        <is>
          <t>Safety &amp; Occupational Health (SOH)</t>
        </is>
      </c>
      <c r="E2606" s="15" t="n"/>
      <c r="I2606" s="14" t="n">
        <v>2</v>
      </c>
      <c r="K2606" s="15" t="n"/>
      <c r="O2606" s="15" t="n"/>
      <c r="P2606" s="16" t="n">
        <v>13902</v>
      </c>
      <c r="Q2606" s="16" t="n">
        <v>27805</v>
      </c>
      <c r="R2606" s="16" t="n">
        <v>27805</v>
      </c>
      <c r="S2606" s="16" t="n">
        <v>27382</v>
      </c>
      <c r="V2606" s="16" t="n">
        <v>29120</v>
      </c>
      <c r="AC2606" s="23">
        <f>IF(OR(E2606="",E2606="[PARENT]"),"ADD",IF(E2606="[ALT_VIEW]","ALT",""))</f>
        <v/>
      </c>
      <c r="AD2606" s="21">
        <f>IF(Y2606&lt;&gt;"",Y2606,IF(U2606&lt;&gt;"",U2606,S2606))</f>
        <v/>
      </c>
      <c r="AE2606" s="21">
        <f>IF(AB2606&lt;&gt;"",AB2606,Z2606)</f>
        <v/>
      </c>
      <c r="AF2606" s="13" t="inlineStr">
        <is>
          <t>OMN Vol2 &gt; PB-61 &gt; OMN &gt; Ships &gt; Ship Maint &gt; SOH</t>
        </is>
      </c>
      <c r="AG2606" s="7" t="inlineStr">
        <is>
          <t>111</t>
        </is>
      </c>
      <c r="AH2606" s="7" t="inlineStr">
        <is>
          <t>1B4B</t>
        </is>
      </c>
      <c r="AI2606" s="7" t="inlineStr">
        <is>
          <t>OMN &gt; Ships &gt; Ship Maint</t>
        </is>
      </c>
      <c r="AJ2606" s="7" t="inlineStr">
        <is>
          <t>SOH</t>
        </is>
      </c>
    </row>
    <row r="2607" ht="10" customHeight="1">
      <c r="A2607" s="7" t="inlineStr">
        <is>
          <t>OMN_Vol2</t>
        </is>
      </c>
      <c r="B2607" s="7" t="inlineStr">
        <is>
          <t>O&amp;M</t>
        </is>
      </c>
      <c r="D2607" s="7" t="inlineStr">
        <is>
          <t>SSBN</t>
        </is>
      </c>
      <c r="E2607" s="15" t="n"/>
      <c r="I2607" s="14" t="n">
        <v>2</v>
      </c>
      <c r="K2607" s="13" t="inlineStr">
        <is>
          <t>USN</t>
        </is>
      </c>
      <c r="L2607" s="7" t="inlineStr">
        <is>
          <t>Combatant Ships</t>
        </is>
      </c>
      <c r="M2607" s="7" t="inlineStr">
        <is>
          <t>Submarines</t>
        </is>
      </c>
      <c r="N2607" s="7" t="inlineStr">
        <is>
          <t>SSBN</t>
        </is>
      </c>
      <c r="O2607" s="15" t="n"/>
      <c r="P2607" s="16" t="n">
        <v>424396</v>
      </c>
      <c r="Q2607" s="16" t="n">
        <v>276204</v>
      </c>
      <c r="R2607" s="16" t="n">
        <v>276424</v>
      </c>
      <c r="S2607" s="16" t="n">
        <v>301080</v>
      </c>
      <c r="V2607" s="16" t="n">
        <v>307425</v>
      </c>
      <c r="AC2607" s="23">
        <f>IF(OR(E2607="",E2607="[PARENT]"),"ADD",IF(E2607="[ALT_VIEW]","ALT",""))</f>
        <v/>
      </c>
      <c r="AD2607" s="21">
        <f>IF(Y2607&lt;&gt;"",Y2607,IF(U2607&lt;&gt;"",U2607,S2607))</f>
        <v/>
      </c>
      <c r="AE2607" s="21">
        <f>IF(AB2607&lt;&gt;"",AB2607,Z2607)</f>
        <v/>
      </c>
      <c r="AF2607" s="13" t="inlineStr">
        <is>
          <t>OMN Vol2 &gt; PB-61 &gt; OMN &gt; Ships &gt; Ship Maint &gt; SSBN</t>
        </is>
      </c>
      <c r="AG2607" s="7" t="inlineStr">
        <is>
          <t>111</t>
        </is>
      </c>
      <c r="AH2607" s="7" t="inlineStr">
        <is>
          <t>1B4B</t>
        </is>
      </c>
      <c r="AI2607" s="7" t="inlineStr">
        <is>
          <t>OMN &gt; Ships &gt; Ship Maint - GW066: SSBN NAVIGATION SENSOR OBSOLESCENCE</t>
        </is>
      </c>
      <c r="AJ2607" s="7" t="inlineStr">
        <is>
          <t>SSBN</t>
        </is>
      </c>
    </row>
    <row r="2608" ht="10" customHeight="1">
      <c r="A2608" s="7" t="inlineStr">
        <is>
          <t>OMN_Vol2</t>
        </is>
      </c>
      <c r="B2608" s="7" t="inlineStr">
        <is>
          <t>O&amp;M</t>
        </is>
      </c>
      <c r="D2608" s="7" t="inlineStr">
        <is>
          <t>SSGN</t>
        </is>
      </c>
      <c r="E2608" s="15" t="n"/>
      <c r="I2608" s="14" t="n">
        <v>2</v>
      </c>
      <c r="K2608" s="13" t="inlineStr">
        <is>
          <t>USN</t>
        </is>
      </c>
      <c r="L2608" s="7" t="inlineStr">
        <is>
          <t>Combatant Ships</t>
        </is>
      </c>
      <c r="M2608" s="7" t="inlineStr">
        <is>
          <t>Submarines</t>
        </is>
      </c>
      <c r="N2608" s="7" t="inlineStr">
        <is>
          <t>SSGN</t>
        </is>
      </c>
      <c r="O2608" s="15" t="n"/>
      <c r="S2608" s="16" t="n">
        <v>67781</v>
      </c>
      <c r="V2608" s="16" t="n">
        <v>67846</v>
      </c>
      <c r="AC2608" s="23">
        <f>IF(OR(E2608="",E2608="[PARENT]"),"ADD",IF(E2608="[ALT_VIEW]","ALT",""))</f>
        <v/>
      </c>
      <c r="AD2608" s="21">
        <f>IF(Y2608&lt;&gt;"",Y2608,IF(U2608&lt;&gt;"",U2608,S2608))</f>
        <v/>
      </c>
      <c r="AE2608" s="21">
        <f>IF(AB2608&lt;&gt;"",AB2608,Z2608)</f>
        <v/>
      </c>
      <c r="AF2608" s="13" t="inlineStr">
        <is>
          <t>OMN Vol2 &gt; PB-61 &gt; OMN &gt; Ships &gt; Ship Maint &gt; SSGN</t>
        </is>
      </c>
      <c r="AG2608" s="7" t="inlineStr">
        <is>
          <t>111</t>
        </is>
      </c>
      <c r="AH2608" s="7" t="inlineStr">
        <is>
          <t>1B4B</t>
        </is>
      </c>
      <c r="AI2608" s="7" t="inlineStr">
        <is>
          <t>OMN &gt; Ships &gt; Ship Maint</t>
        </is>
      </c>
      <c r="AJ2608" s="7" t="inlineStr">
        <is>
          <t>SSGN</t>
        </is>
      </c>
    </row>
    <row r="2609" ht="10" customHeight="1">
      <c r="A2609" s="7" t="inlineStr">
        <is>
          <t>OMN_Vol2</t>
        </is>
      </c>
      <c r="B2609" s="7" t="inlineStr">
        <is>
          <t>O&amp;M</t>
        </is>
      </c>
      <c r="D2609" s="7" t="inlineStr">
        <is>
          <t>SSN</t>
        </is>
      </c>
      <c r="E2609" s="15" t="n"/>
      <c r="I2609" s="14" t="n">
        <v>2</v>
      </c>
      <c r="K2609" s="13" t="inlineStr">
        <is>
          <t>USN</t>
        </is>
      </c>
      <c r="L2609" s="7" t="inlineStr">
        <is>
          <t>Combatant Ships</t>
        </is>
      </c>
      <c r="M2609" s="7" t="inlineStr">
        <is>
          <t>Submarines</t>
        </is>
      </c>
      <c r="N2609" s="7" t="inlineStr">
        <is>
          <t>SSN</t>
        </is>
      </c>
      <c r="O2609" s="15" t="n"/>
      <c r="P2609" s="16" t="n">
        <v>94867</v>
      </c>
      <c r="Q2609" s="16" t="n">
        <v>126352</v>
      </c>
      <c r="R2609" s="16" t="n">
        <v>126352</v>
      </c>
      <c r="S2609" s="16" t="n">
        <v>584293</v>
      </c>
      <c r="V2609" s="16" t="n">
        <v>592946</v>
      </c>
      <c r="AC2609" s="23">
        <f>IF(OR(E2609="",E2609="[PARENT]"),"ADD",IF(E2609="[ALT_VIEW]","ALT",""))</f>
        <v/>
      </c>
      <c r="AD2609" s="21">
        <f>IF(Y2609&lt;&gt;"",Y2609,IF(U2609&lt;&gt;"",U2609,S2609))</f>
        <v/>
      </c>
      <c r="AE2609" s="21">
        <f>IF(AB2609&lt;&gt;"",AB2609,Z2609)</f>
        <v/>
      </c>
      <c r="AF2609" s="13" t="inlineStr">
        <is>
          <t>OMN Vol2 &gt; PB-61 &gt; OMN &gt; Ships &gt; Ship Maint &gt; SSN</t>
        </is>
      </c>
      <c r="AG2609" s="7" t="inlineStr">
        <is>
          <t>111</t>
        </is>
      </c>
      <c r="AH2609" s="7" t="inlineStr">
        <is>
          <t>1B4B</t>
        </is>
      </c>
      <c r="AI2609" s="7" t="inlineStr">
        <is>
          <t>OMN &gt; Ships &gt; Ship Maint</t>
        </is>
      </c>
      <c r="AJ2609" s="7" t="inlineStr">
        <is>
          <t>SSN</t>
        </is>
      </c>
    </row>
    <row r="2610" ht="10" customHeight="1">
      <c r="A2610" s="7" t="inlineStr">
        <is>
          <t>OMN_Vol2</t>
        </is>
      </c>
      <c r="B2610" s="7" t="inlineStr">
        <is>
          <t>O&amp;M</t>
        </is>
      </c>
      <c r="D2610" s="7" t="inlineStr">
        <is>
          <t>SSN-MTS-SSGN</t>
        </is>
      </c>
      <c r="E2610" s="15" t="n"/>
      <c r="I2610" s="14" t="n">
        <v>2</v>
      </c>
      <c r="K2610" s="13" t="inlineStr">
        <is>
          <t>USN</t>
        </is>
      </c>
      <c r="L2610" s="7" t="inlineStr">
        <is>
          <t>Combatant Ships</t>
        </is>
      </c>
      <c r="M2610" s="7" t="inlineStr">
        <is>
          <t>Submarines</t>
        </is>
      </c>
      <c r="N2610" s="7" t="inlineStr">
        <is>
          <t>SSN</t>
        </is>
      </c>
      <c r="O2610" s="15" t="n"/>
      <c r="P2610" s="16" t="n">
        <v>2524018</v>
      </c>
      <c r="Q2610" s="16" t="n">
        <v>2635557</v>
      </c>
      <c r="R2610" s="16" t="n">
        <v>2765819</v>
      </c>
      <c r="S2610" s="16" t="n">
        <v>2431863</v>
      </c>
      <c r="V2610" s="16" t="n">
        <v>2531177</v>
      </c>
      <c r="AC2610" s="23">
        <f>IF(OR(E2610="",E2610="[PARENT]"),"ADD",IF(E2610="[ALT_VIEW]","ALT",""))</f>
        <v/>
      </c>
      <c r="AD2610" s="21">
        <f>IF(Y2610&lt;&gt;"",Y2610,IF(U2610&lt;&gt;"",U2610,S2610))</f>
        <v/>
      </c>
      <c r="AE2610" s="21">
        <f>IF(AB2610&lt;&gt;"",AB2610,Z2610)</f>
        <v/>
      </c>
      <c r="AF2610" s="13" t="inlineStr">
        <is>
          <t>OMN Vol2 &gt; PB-61 &gt; OMN &gt; Ships &gt; Ship Maint &gt; SSN-MTS-SSGN</t>
        </is>
      </c>
      <c r="AG2610" s="7" t="inlineStr">
        <is>
          <t>111</t>
        </is>
      </c>
      <c r="AH2610" s="7" t="inlineStr">
        <is>
          <t>1B4B</t>
        </is>
      </c>
      <c r="AI2610" s="7" t="inlineStr">
        <is>
          <t>OMN &gt; Ships &gt; Ship Maint</t>
        </is>
      </c>
      <c r="AJ2610" s="7" t="inlineStr">
        <is>
          <t>SSN-MTS-SSGN</t>
        </is>
      </c>
    </row>
    <row r="2611" ht="10" customHeight="1">
      <c r="A2611" s="7" t="inlineStr">
        <is>
          <t>OMN_Vol2</t>
        </is>
      </c>
      <c r="B2611" s="7" t="inlineStr">
        <is>
          <t>O&amp;M</t>
        </is>
      </c>
      <c r="D2611" s="7" t="inlineStr">
        <is>
          <t>SSN-SSGN</t>
        </is>
      </c>
      <c r="E2611" s="15" t="n"/>
      <c r="I2611" s="14" t="n">
        <v>2</v>
      </c>
      <c r="K2611" s="13" t="inlineStr">
        <is>
          <t>USN</t>
        </is>
      </c>
      <c r="L2611" s="7" t="inlineStr">
        <is>
          <t>Combatant Ships</t>
        </is>
      </c>
      <c r="M2611" s="7" t="inlineStr">
        <is>
          <t>Submarines</t>
        </is>
      </c>
      <c r="N2611" s="7" t="inlineStr">
        <is>
          <t>SSN</t>
        </is>
      </c>
      <c r="O2611" s="15" t="n"/>
      <c r="P2611" s="16" t="n">
        <v>1964943</v>
      </c>
      <c r="Q2611" s="16" t="n">
        <v>1633867</v>
      </c>
      <c r="R2611" s="16" t="n">
        <v>1758233</v>
      </c>
      <c r="S2611" s="16" t="n">
        <v>1410798</v>
      </c>
      <c r="V2611" s="16" t="n">
        <v>1598434</v>
      </c>
      <c r="AC2611" s="23">
        <f>IF(OR(E2611="",E2611="[PARENT]"),"ADD",IF(E2611="[ALT_VIEW]","ALT",""))</f>
        <v/>
      </c>
      <c r="AD2611" s="21">
        <f>IF(Y2611&lt;&gt;"",Y2611,IF(U2611&lt;&gt;"",U2611,S2611))</f>
        <v/>
      </c>
      <c r="AE2611" s="21">
        <f>IF(AB2611&lt;&gt;"",AB2611,Z2611)</f>
        <v/>
      </c>
      <c r="AF2611" s="13" t="inlineStr">
        <is>
          <t>OMN Vol2 &gt; PB-61 &gt; OMN &gt; Ships &gt; Ship Maint &gt; SSN-SSGN</t>
        </is>
      </c>
      <c r="AG2611" s="7" t="inlineStr">
        <is>
          <t>111</t>
        </is>
      </c>
      <c r="AH2611" s="7" t="inlineStr">
        <is>
          <t>1B4B</t>
        </is>
      </c>
      <c r="AI2611" s="7" t="inlineStr">
        <is>
          <t>OMN &gt; Ships &gt; Ship Maint</t>
        </is>
      </c>
      <c r="AJ2611" s="7" t="inlineStr">
        <is>
          <t>SSN-SSGN</t>
        </is>
      </c>
    </row>
    <row r="2612" ht="10" customHeight="1">
      <c r="A2612" s="7" t="inlineStr">
        <is>
          <t>OMN_Vol2</t>
        </is>
      </c>
      <c r="B2612" s="7" t="inlineStr">
        <is>
          <t>O&amp;M</t>
        </is>
      </c>
      <c r="D2612" s="7" t="inlineStr">
        <is>
          <t>OMN Total</t>
        </is>
      </c>
      <c r="E2612" s="13" t="inlineStr">
        <is>
          <t>[PARENT]</t>
        </is>
      </c>
      <c r="F2612" s="7" t="inlineStr">
        <is>
          <t>Sum of all OMN entries</t>
        </is>
      </c>
      <c r="I2612" s="14" t="n">
        <v>2</v>
      </c>
      <c r="K2612" s="15" t="n"/>
      <c r="O2612" s="15" t="n"/>
      <c r="P2612" s="16" t="n">
        <v>16356426</v>
      </c>
      <c r="Q2612" s="16" t="n">
        <v>16652022</v>
      </c>
      <c r="R2612" s="16" t="n">
        <v>18573316</v>
      </c>
      <c r="S2612" s="16" t="n">
        <v>17526406</v>
      </c>
      <c r="V2612" s="16" t="n">
        <v>19702254</v>
      </c>
      <c r="AC2612" s="23">
        <f>IF(OR(E2612="",E2612="[PARENT]"),"ADD",IF(E2612="[ALT_VIEW]","ALT",""))</f>
        <v/>
      </c>
      <c r="AD2612" s="21">
        <f>IF(Y2612&lt;&gt;"",Y2612,IF(U2612&lt;&gt;"",U2612,S2612))</f>
        <v/>
      </c>
      <c r="AE2612" s="21">
        <f>IF(AB2612&lt;&gt;"",AB2612,Z2612)</f>
        <v/>
      </c>
      <c r="AF2612" s="13" t="inlineStr">
        <is>
          <t>OMN Vol2 &gt; PB-61 &gt; OMN Total</t>
        </is>
      </c>
      <c r="AG2612" s="7" t="inlineStr">
        <is>
          <t>111</t>
        </is>
      </c>
      <c r="AH2612" s="7" t="inlineStr">
        <is>
          <t>1B4B</t>
        </is>
      </c>
    </row>
    <row r="2613" ht="10" customHeight="1">
      <c r="A2613" s="7" t="inlineStr">
        <is>
          <t>OMN_Vol2</t>
        </is>
      </c>
      <c r="B2613" s="7" t="inlineStr">
        <is>
          <t>O&amp;M</t>
        </is>
      </c>
      <c r="D2613" s="7" t="inlineStr">
        <is>
          <t>SSN / SSGN</t>
        </is>
      </c>
      <c r="E2613" s="15" t="n"/>
      <c r="I2613" s="14" t="n">
        <v>4</v>
      </c>
      <c r="K2613" s="13" t="inlineStr">
        <is>
          <t>USN</t>
        </is>
      </c>
      <c r="L2613" s="7" t="inlineStr">
        <is>
          <t>Combatant Ships</t>
        </is>
      </c>
      <c r="M2613" s="7" t="inlineStr">
        <is>
          <t>Submarines</t>
        </is>
      </c>
      <c r="N2613" s="7" t="inlineStr">
        <is>
          <t>SSN</t>
        </is>
      </c>
      <c r="O2613" s="15" t="n"/>
      <c r="P2613" s="16" t="n">
        <v>7736</v>
      </c>
      <c r="Q2613" s="16" t="n">
        <v>7398</v>
      </c>
      <c r="R2613" s="16" t="n">
        <v>7398</v>
      </c>
      <c r="S2613" s="16" t="n">
        <v>7620</v>
      </c>
      <c r="V2613" s="16" t="n">
        <v>12047</v>
      </c>
      <c r="AC2613" s="23">
        <f>IF(OR(E2613="",E2613="[PARENT]"),"ADD",IF(E2613="[ALT_VIEW]","ALT",""))</f>
        <v/>
      </c>
      <c r="AD2613" s="21">
        <f>IF(Y2613&lt;&gt;"",Y2613,IF(U2613&lt;&gt;"",U2613,S2613))</f>
        <v/>
      </c>
      <c r="AE2613" s="21">
        <f>IF(AB2613&lt;&gt;"",AB2613,Z2613)</f>
        <v/>
      </c>
      <c r="AF2613" s="13" t="inlineStr">
        <is>
          <t>OMN Vol2 &gt; PB-61 &gt; OPN &gt; Electronics and Communications Systems &gt; End Item &gt; SSN / SSGN</t>
        </is>
      </c>
      <c r="AG2613" s="7" t="inlineStr">
        <is>
          <t>118</t>
        </is>
      </c>
      <c r="AH2613" s="7" t="inlineStr">
        <is>
          <t>1B4B</t>
        </is>
      </c>
      <c r="AI2613" s="7" t="inlineStr">
        <is>
          <t>OPN &gt; Electronics and Communications Systems &gt; End Item</t>
        </is>
      </c>
      <c r="AJ2613" s="7" t="inlineStr">
        <is>
          <t>SSN / SSGN</t>
        </is>
      </c>
    </row>
    <row r="2614" ht="10" customHeight="1">
      <c r="A2614" s="7" t="inlineStr">
        <is>
          <t>OMN_Vol2</t>
        </is>
      </c>
      <c r="B2614" s="7" t="inlineStr">
        <is>
          <t>O&amp;M</t>
        </is>
      </c>
      <c r="D2614" s="7" t="inlineStr">
        <is>
          <t>CVN</t>
        </is>
      </c>
      <c r="E2614" s="15" t="n"/>
      <c r="I2614" s="14" t="n">
        <v>4</v>
      </c>
      <c r="K2614" s="13" t="inlineStr">
        <is>
          <t>USN</t>
        </is>
      </c>
      <c r="L2614" s="7" t="inlineStr">
        <is>
          <t>Combatant Ships</t>
        </is>
      </c>
      <c r="M2614" s="7" t="inlineStr">
        <is>
          <t>Aircraft Carriers</t>
        </is>
      </c>
      <c r="N2614" s="7" t="inlineStr">
        <is>
          <t>CVN</t>
        </is>
      </c>
      <c r="O2614" s="15" t="n"/>
      <c r="P2614" s="16" t="n">
        <v>13102</v>
      </c>
      <c r="Q2614" s="16" t="n">
        <v>54832</v>
      </c>
      <c r="R2614" s="16" t="n">
        <v>54832</v>
      </c>
      <c r="S2614" s="16" t="n">
        <v>63908</v>
      </c>
      <c r="V2614" s="16" t="n">
        <v>63908</v>
      </c>
      <c r="AC2614" s="23">
        <f>IF(OR(E2614="",E2614="[PARENT]"),"ADD",IF(E2614="[ALT_VIEW]","ALT",""))</f>
        <v/>
      </c>
      <c r="AD2614" s="21">
        <f>IF(Y2614&lt;&gt;"",Y2614,IF(U2614&lt;&gt;"",U2614,S2614))</f>
        <v/>
      </c>
      <c r="AE2614" s="21">
        <f>IF(AB2614&lt;&gt;"",AB2614,Z2614)</f>
        <v/>
      </c>
      <c r="AF2614" s="13" t="inlineStr">
        <is>
          <t>OMN Vol2 &gt; PB-61 &gt; OPN &gt; Ships &gt; Continuous Maintenance &gt; CVN</t>
        </is>
      </c>
      <c r="AG2614" s="7" t="inlineStr">
        <is>
          <t>118</t>
        </is>
      </c>
      <c r="AH2614" s="7" t="inlineStr">
        <is>
          <t>1B4B</t>
        </is>
      </c>
      <c r="AI2614" s="7" t="inlineStr">
        <is>
          <t>OPN &gt; Ships &gt; Continuous Maintenance</t>
        </is>
      </c>
      <c r="AJ2614" s="7" t="inlineStr">
        <is>
          <t>CVN</t>
        </is>
      </c>
    </row>
    <row r="2615" ht="10" customHeight="1">
      <c r="A2615" s="7" t="inlineStr">
        <is>
          <t>OMN_Vol2</t>
        </is>
      </c>
      <c r="B2615" s="7" t="inlineStr">
        <is>
          <t>O&amp;M</t>
        </is>
      </c>
      <c r="D2615" s="7" t="inlineStr">
        <is>
          <t>SSBN/SSGN</t>
        </is>
      </c>
      <c r="E2615" s="15" t="n"/>
      <c r="I2615" s="14" t="n">
        <v>4</v>
      </c>
      <c r="K2615" s="13" t="inlineStr">
        <is>
          <t>USN</t>
        </is>
      </c>
      <c r="L2615" s="7" t="inlineStr">
        <is>
          <t>Combatant Ships</t>
        </is>
      </c>
      <c r="M2615" s="7" t="inlineStr">
        <is>
          <t>Submarines</t>
        </is>
      </c>
      <c r="N2615" s="7" t="inlineStr">
        <is>
          <t>SSBN</t>
        </is>
      </c>
      <c r="O2615" s="15" t="n"/>
      <c r="S2615" s="16" t="n">
        <v>2669</v>
      </c>
      <c r="V2615" s="16" t="n">
        <v>2669</v>
      </c>
      <c r="AC2615" s="23">
        <f>IF(OR(E2615="",E2615="[PARENT]"),"ADD",IF(E2615="[ALT_VIEW]","ALT",""))</f>
        <v/>
      </c>
      <c r="AD2615" s="21">
        <f>IF(Y2615&lt;&gt;"",Y2615,IF(U2615&lt;&gt;"",U2615,S2615))</f>
        <v/>
      </c>
      <c r="AE2615" s="21">
        <f>IF(AB2615&lt;&gt;"",AB2615,Z2615)</f>
        <v/>
      </c>
      <c r="AF2615" s="13" t="inlineStr">
        <is>
          <t>OMN Vol2 &gt; PB-61 &gt; OPN &gt; Ships &gt; Continuous Maintenance &gt; SSBN/SSGN</t>
        </is>
      </c>
      <c r="AG2615" s="7" t="inlineStr">
        <is>
          <t>118</t>
        </is>
      </c>
      <c r="AH2615" s="7" t="inlineStr">
        <is>
          <t>1B4B</t>
        </is>
      </c>
      <c r="AI2615" s="7" t="inlineStr">
        <is>
          <t>OPN &gt; Ships &gt; Continuous Maintenance</t>
        </is>
      </c>
      <c r="AJ2615" s="7" t="inlineStr">
        <is>
          <t>SSBN/SSGN</t>
        </is>
      </c>
    </row>
    <row r="2616" ht="10" customHeight="1">
      <c r="A2616" s="7" t="inlineStr">
        <is>
          <t>OMN_Vol2</t>
        </is>
      </c>
      <c r="B2616" s="7" t="inlineStr">
        <is>
          <t>O&amp;M</t>
        </is>
      </c>
      <c r="D2616" s="7" t="inlineStr">
        <is>
          <t>SSN</t>
        </is>
      </c>
      <c r="E2616" s="15" t="n"/>
      <c r="I2616" s="14" t="n">
        <v>4</v>
      </c>
      <c r="K2616" s="13" t="inlineStr">
        <is>
          <t>USN</t>
        </is>
      </c>
      <c r="L2616" s="7" t="inlineStr">
        <is>
          <t>Combatant Ships</t>
        </is>
      </c>
      <c r="M2616" s="7" t="inlineStr">
        <is>
          <t>Submarines</t>
        </is>
      </c>
      <c r="N2616" s="7" t="inlineStr">
        <is>
          <t>SSN</t>
        </is>
      </c>
      <c r="O2616" s="15" t="n"/>
      <c r="P2616" s="16" t="n">
        <v>73142</v>
      </c>
      <c r="Q2616" s="16" t="n">
        <v>2810</v>
      </c>
      <c r="R2616" s="16" t="n">
        <v>2810</v>
      </c>
      <c r="S2616" s="16" t="n">
        <v>53356</v>
      </c>
      <c r="V2616" s="16" t="n">
        <v>53356</v>
      </c>
      <c r="AC2616" s="23">
        <f>IF(OR(E2616="",E2616="[PARENT]"),"ADD",IF(E2616="[ALT_VIEW]","ALT",""))</f>
        <v/>
      </c>
      <c r="AD2616" s="21">
        <f>IF(Y2616&lt;&gt;"",Y2616,IF(U2616&lt;&gt;"",U2616,S2616))</f>
        <v/>
      </c>
      <c r="AE2616" s="21">
        <f>IF(AB2616&lt;&gt;"",AB2616,Z2616)</f>
        <v/>
      </c>
      <c r="AF2616" s="13" t="inlineStr">
        <is>
          <t>OMN Vol2 &gt; PB-61 &gt; OPN &gt; Ships &gt; Continuous Maintenance &gt; SSN</t>
        </is>
      </c>
      <c r="AG2616" s="7" t="inlineStr">
        <is>
          <t>118</t>
        </is>
      </c>
      <c r="AH2616" s="7" t="inlineStr">
        <is>
          <t>1B4B</t>
        </is>
      </c>
      <c r="AI2616" s="7" t="inlineStr">
        <is>
          <t>OPN &gt; Ships &gt; Continuous Maintenance - SSN Acoustics</t>
        </is>
      </c>
      <c r="AJ2616" s="7" t="inlineStr">
        <is>
          <t>SSN</t>
        </is>
      </c>
    </row>
    <row r="2617" ht="10" customHeight="1">
      <c r="A2617" s="7" t="inlineStr">
        <is>
          <t>OMN_Vol2</t>
        </is>
      </c>
      <c r="B2617" s="7" t="inlineStr">
        <is>
          <t>O&amp;M</t>
        </is>
      </c>
      <c r="D2617" s="7" t="inlineStr">
        <is>
          <t>AMPHIBS</t>
        </is>
      </c>
      <c r="E2617" s="15" t="n"/>
      <c r="I2617" s="14" t="n">
        <v>4</v>
      </c>
      <c r="K2617" s="13" t="inlineStr">
        <is>
          <t>USN</t>
        </is>
      </c>
      <c r="L2617" s="7" t="inlineStr">
        <is>
          <t>Combatant Ships</t>
        </is>
      </c>
      <c r="M2617" s="7" t="inlineStr">
        <is>
          <t>Amphibious Warfare Ships</t>
        </is>
      </c>
      <c r="N2617" s="7" t="inlineStr">
        <is>
          <t>LHD</t>
        </is>
      </c>
      <c r="O2617" s="15" t="n"/>
      <c r="P2617" s="16" t="n">
        <v>573902</v>
      </c>
      <c r="Q2617" s="16" t="n">
        <v>1097648</v>
      </c>
      <c r="R2617" s="16" t="n">
        <v>1354392</v>
      </c>
      <c r="S2617" s="16" t="n">
        <v>236773</v>
      </c>
      <c r="V2617" s="16" t="n">
        <v>393588</v>
      </c>
      <c r="AC2617" s="23">
        <f>IF(OR(E2617="",E2617="[PARENT]"),"ADD",IF(E2617="[ALT_VIEW]","ALT",""))</f>
        <v/>
      </c>
      <c r="AD2617" s="21">
        <f>IF(Y2617&lt;&gt;"",Y2617,IF(U2617&lt;&gt;"",U2617,S2617))</f>
        <v/>
      </c>
      <c r="AE2617" s="21">
        <f>IF(AB2617&lt;&gt;"",AB2617,Z2617)</f>
        <v/>
      </c>
      <c r="AF2617" s="13" t="inlineStr">
        <is>
          <t>OMN Vol2 &gt; PB-61 &gt; OPN &gt; Ships &gt; Ship Maint &gt; AMPHIBS</t>
        </is>
      </c>
      <c r="AG2617" s="7" t="inlineStr">
        <is>
          <t>118</t>
        </is>
      </c>
      <c r="AH2617" s="7" t="inlineStr">
        <is>
          <t>1B4B</t>
        </is>
      </c>
      <c r="AI2617" s="7" t="inlineStr">
        <is>
          <t>OPN &gt; Ships &gt; Ship Maint</t>
        </is>
      </c>
      <c r="AJ2617" s="7" t="inlineStr">
        <is>
          <t>AMPHIBS</t>
        </is>
      </c>
    </row>
    <row r="2618" ht="10" customHeight="1">
      <c r="A2618" s="7" t="inlineStr">
        <is>
          <t>OMN_Vol2</t>
        </is>
      </c>
      <c r="B2618" s="7" t="inlineStr">
        <is>
          <t>O&amp;M</t>
        </is>
      </c>
      <c r="D2618" s="7" t="inlineStr">
        <is>
          <t>CG</t>
        </is>
      </c>
      <c r="E2618" s="15" t="n"/>
      <c r="I2618" s="14" t="n">
        <v>4</v>
      </c>
      <c r="K2618" s="13" t="inlineStr">
        <is>
          <t>USN</t>
        </is>
      </c>
      <c r="L2618" s="7" t="inlineStr">
        <is>
          <t>Combatant Ships</t>
        </is>
      </c>
      <c r="M2618" s="7" t="inlineStr">
        <is>
          <t>Surface Combatants</t>
        </is>
      </c>
      <c r="N2618" s="7" t="inlineStr">
        <is>
          <t>CG</t>
        </is>
      </c>
      <c r="O2618" s="15" t="n"/>
      <c r="S2618" s="16" t="n">
        <v>44940</v>
      </c>
      <c r="V2618" s="16" t="n">
        <v>44940</v>
      </c>
      <c r="AC2618" s="23">
        <f>IF(OR(E2618="",E2618="[PARENT]"),"ADD",IF(E2618="[ALT_VIEW]","ALT",""))</f>
        <v/>
      </c>
      <c r="AD2618" s="21">
        <f>IF(Y2618&lt;&gt;"",Y2618,IF(U2618&lt;&gt;"",U2618,S2618))</f>
        <v/>
      </c>
      <c r="AE2618" s="21">
        <f>IF(AB2618&lt;&gt;"",AB2618,Z2618)</f>
        <v/>
      </c>
      <c r="AF2618" s="13" t="inlineStr">
        <is>
          <t>OMN Vol2 &gt; PB-61 &gt; OPN &gt; Ships &gt; Ship Maint &gt; CG</t>
        </is>
      </c>
      <c r="AG2618" s="7" t="inlineStr">
        <is>
          <t>118</t>
        </is>
      </c>
      <c r="AH2618" s="7" t="inlineStr">
        <is>
          <t>1B4B</t>
        </is>
      </c>
      <c r="AI2618" s="7" t="inlineStr">
        <is>
          <t>OPN &gt; Ships &gt; Ship Maint</t>
        </is>
      </c>
      <c r="AJ2618" s="7" t="inlineStr">
        <is>
          <t>CG</t>
        </is>
      </c>
    </row>
    <row r="2619" ht="10" customHeight="1">
      <c r="A2619" s="7" t="inlineStr">
        <is>
          <t>OMN_Vol2</t>
        </is>
      </c>
      <c r="B2619" s="7" t="inlineStr">
        <is>
          <t>O&amp;M</t>
        </is>
      </c>
      <c r="D2619" s="7" t="inlineStr">
        <is>
          <t>CV-CVN</t>
        </is>
      </c>
      <c r="E2619" s="15" t="n"/>
      <c r="I2619" s="14" t="n">
        <v>4</v>
      </c>
      <c r="K2619" s="13" t="inlineStr">
        <is>
          <t>USN</t>
        </is>
      </c>
      <c r="L2619" s="7" t="inlineStr">
        <is>
          <t>Combatant Ships</t>
        </is>
      </c>
      <c r="M2619" s="7" t="inlineStr">
        <is>
          <t>Aircraft Carriers</t>
        </is>
      </c>
      <c r="N2619" s="7" t="inlineStr">
        <is>
          <t>CVN</t>
        </is>
      </c>
      <c r="O2619" s="15" t="n"/>
      <c r="P2619" s="16" t="n">
        <v>268311</v>
      </c>
      <c r="AC2619" s="23">
        <f>IF(OR(E2619="",E2619="[PARENT]"),"ADD",IF(E2619="[ALT_VIEW]","ALT",""))</f>
        <v/>
      </c>
      <c r="AD2619" s="21">
        <f>IF(Y2619&lt;&gt;"",Y2619,IF(U2619&lt;&gt;"",U2619,S2619))</f>
        <v/>
      </c>
      <c r="AE2619" s="21">
        <f>IF(AB2619&lt;&gt;"",AB2619,Z2619)</f>
        <v/>
      </c>
      <c r="AF2619" s="13" t="inlineStr">
        <is>
          <t>OMN Vol2 &gt; PB-61 &gt; OPN &gt; Ships &gt; Ship Maint &gt; CV-CVN</t>
        </is>
      </c>
      <c r="AG2619" s="7" t="inlineStr">
        <is>
          <t>118</t>
        </is>
      </c>
      <c r="AH2619" s="7" t="inlineStr">
        <is>
          <t>1B4B</t>
        </is>
      </c>
      <c r="AI2619" s="7" t="inlineStr">
        <is>
          <t>OPN &gt; Ships &gt; Ship Maint</t>
        </is>
      </c>
      <c r="AJ2619" s="7" t="inlineStr">
        <is>
          <t>CV-CVN</t>
        </is>
      </c>
    </row>
    <row r="2620" ht="10" customHeight="1">
      <c r="A2620" s="7" t="inlineStr">
        <is>
          <t>OMN_Vol2</t>
        </is>
      </c>
      <c r="B2620" s="7" t="inlineStr">
        <is>
          <t>O&amp;M</t>
        </is>
      </c>
      <c r="D2620" s="7" t="inlineStr">
        <is>
          <t>DDG</t>
        </is>
      </c>
      <c r="E2620" s="15" t="n"/>
      <c r="I2620" s="14" t="n">
        <v>4</v>
      </c>
      <c r="K2620" s="13" t="inlineStr">
        <is>
          <t>USN</t>
        </is>
      </c>
      <c r="L2620" s="7" t="inlineStr">
        <is>
          <t>Combatant Ships</t>
        </is>
      </c>
      <c r="M2620" s="7" t="inlineStr">
        <is>
          <t>Surface Combatants</t>
        </is>
      </c>
      <c r="N2620" s="7" t="inlineStr">
        <is>
          <t>DDG</t>
        </is>
      </c>
      <c r="O2620" s="15" t="n"/>
      <c r="P2620" s="16" t="n">
        <v>1676352</v>
      </c>
      <c r="Q2620" s="16" t="n">
        <v>732451</v>
      </c>
      <c r="R2620" s="16" t="n">
        <v>814455</v>
      </c>
      <c r="S2620" s="16" t="n">
        <v>1282612</v>
      </c>
      <c r="V2620" s="16" t="n">
        <v>1418118</v>
      </c>
      <c r="AC2620" s="23">
        <f>IF(OR(E2620="",E2620="[PARENT]"),"ADD",IF(E2620="[ALT_VIEW]","ALT",""))</f>
        <v/>
      </c>
      <c r="AD2620" s="21">
        <f>IF(Y2620&lt;&gt;"",Y2620,IF(U2620&lt;&gt;"",U2620,S2620))</f>
        <v/>
      </c>
      <c r="AE2620" s="21">
        <f>IF(AB2620&lt;&gt;"",AB2620,Z2620)</f>
        <v/>
      </c>
      <c r="AF2620" s="13" t="inlineStr">
        <is>
          <t>OMN Vol2 &gt; PB-61 &gt; OPN &gt; Ships &gt; Ship Maint &gt; DDG</t>
        </is>
      </c>
      <c r="AG2620" s="7" t="inlineStr">
        <is>
          <t>118</t>
        </is>
      </c>
      <c r="AH2620" s="7" t="inlineStr">
        <is>
          <t>1B4B</t>
        </is>
      </c>
      <c r="AI2620" s="7" t="inlineStr">
        <is>
          <t>OPN &gt; Ships &gt; Ship Maint - DM001 - DDG MODERNIZATION HME (GEDMS)</t>
        </is>
      </c>
      <c r="AJ2620" s="7" t="inlineStr">
        <is>
          <t>DDG</t>
        </is>
      </c>
    </row>
    <row r="2621" ht="10" customHeight="1">
      <c r="A2621" s="7" t="inlineStr">
        <is>
          <t>OMN_Vol2</t>
        </is>
      </c>
      <c r="B2621" s="7" t="inlineStr">
        <is>
          <t>O&amp;M</t>
        </is>
      </c>
      <c r="D2621" s="7" t="inlineStr">
        <is>
          <t>LCS</t>
        </is>
      </c>
      <c r="E2621" s="15" t="n"/>
      <c r="I2621" s="14" t="n">
        <v>4</v>
      </c>
      <c r="K2621" s="13" t="inlineStr">
        <is>
          <t>USN</t>
        </is>
      </c>
      <c r="L2621" s="7" t="inlineStr">
        <is>
          <t>Combatant Ships</t>
        </is>
      </c>
      <c r="M2621" s="7" t="inlineStr">
        <is>
          <t>Surface Combatants</t>
        </is>
      </c>
      <c r="N2621" s="7" t="inlineStr">
        <is>
          <t>LCS</t>
        </is>
      </c>
      <c r="O2621" s="15" t="n"/>
      <c r="P2621" s="16" t="n">
        <v>110171</v>
      </c>
      <c r="Q2621" s="16" t="n">
        <v>232091</v>
      </c>
      <c r="R2621" s="16" t="n">
        <v>232091</v>
      </c>
      <c r="S2621" s="16" t="n">
        <v>383361</v>
      </c>
      <c r="V2621" s="16" t="n">
        <v>383361</v>
      </c>
      <c r="AC2621" s="23">
        <f>IF(OR(E2621="",E2621="[PARENT]"),"ADD",IF(E2621="[ALT_VIEW]","ALT",""))</f>
        <v/>
      </c>
      <c r="AD2621" s="21">
        <f>IF(Y2621&lt;&gt;"",Y2621,IF(U2621&lt;&gt;"",U2621,S2621))</f>
        <v/>
      </c>
      <c r="AE2621" s="21">
        <f>IF(AB2621&lt;&gt;"",AB2621,Z2621)</f>
        <v/>
      </c>
      <c r="AF2621" s="13" t="inlineStr">
        <is>
          <t>OMN Vol2 &gt; PB-61 &gt; OPN &gt; Ships &gt; Ship Maint &gt; LCS</t>
        </is>
      </c>
      <c r="AG2621" s="7" t="inlineStr">
        <is>
          <t>118</t>
        </is>
      </c>
      <c r="AH2621" s="7" t="inlineStr">
        <is>
          <t>1B4B</t>
        </is>
      </c>
      <c r="AI2621" s="7" t="inlineStr">
        <is>
          <t>OPN &gt; Ships &gt; Ship Maint - LCS SUW Mission Packages</t>
        </is>
      </c>
      <c r="AJ2621" s="7" t="inlineStr">
        <is>
          <t>LCS</t>
        </is>
      </c>
    </row>
    <row r="2622" ht="10" customHeight="1">
      <c r="A2622" s="7" t="inlineStr">
        <is>
          <t>OMN_Vol2</t>
        </is>
      </c>
      <c r="B2622" s="7" t="inlineStr">
        <is>
          <t>O&amp;M</t>
        </is>
      </c>
      <c r="D2622" s="7" t="inlineStr">
        <is>
          <t>LHA</t>
        </is>
      </c>
      <c r="E2622" s="15" t="n"/>
      <c r="I2622" s="14" t="n">
        <v>4</v>
      </c>
      <c r="K2622" s="13" t="inlineStr">
        <is>
          <t>USN</t>
        </is>
      </c>
      <c r="L2622" s="7" t="inlineStr">
        <is>
          <t>Combatant Ships</t>
        </is>
      </c>
      <c r="M2622" s="7" t="inlineStr">
        <is>
          <t>Amphibious Warfare Ships</t>
        </is>
      </c>
      <c r="N2622" s="7" t="inlineStr">
        <is>
          <t>LHA</t>
        </is>
      </c>
      <c r="O2622" s="15" t="n"/>
      <c r="S2622" s="16" t="n">
        <v>12065</v>
      </c>
      <c r="V2622" s="16" t="n">
        <v>12065</v>
      </c>
      <c r="AC2622" s="23">
        <f>IF(OR(E2622="",E2622="[PARENT]"),"ADD",IF(E2622="[ALT_VIEW]","ALT",""))</f>
        <v/>
      </c>
      <c r="AD2622" s="21">
        <f>IF(Y2622&lt;&gt;"",Y2622,IF(U2622&lt;&gt;"",U2622,S2622))</f>
        <v/>
      </c>
      <c r="AE2622" s="21">
        <f>IF(AB2622&lt;&gt;"",AB2622,Z2622)</f>
        <v/>
      </c>
      <c r="AF2622" s="13" t="inlineStr">
        <is>
          <t>OMN Vol2 &gt; PB-61 &gt; OPN &gt; Ships &gt; Ship Maint &gt; LHA</t>
        </is>
      </c>
      <c r="AG2622" s="7" t="inlineStr">
        <is>
          <t>118</t>
        </is>
      </c>
      <c r="AH2622" s="7" t="inlineStr">
        <is>
          <t>1B4B</t>
        </is>
      </c>
      <c r="AI2622" s="7" t="inlineStr">
        <is>
          <t>OPN &gt; Ships &gt; Ship Maint</t>
        </is>
      </c>
      <c r="AJ2622" s="7" t="inlineStr">
        <is>
          <t>LHA</t>
        </is>
      </c>
    </row>
    <row r="2623" ht="10" customHeight="1">
      <c r="A2623" s="7" t="inlineStr">
        <is>
          <t>OMN_Vol2</t>
        </is>
      </c>
      <c r="B2623" s="7" t="inlineStr">
        <is>
          <t>O&amp;M</t>
        </is>
      </c>
      <c r="D2623" s="7" t="inlineStr">
        <is>
          <t>LHD</t>
        </is>
      </c>
      <c r="E2623" s="15" t="n"/>
      <c r="I2623" s="14" t="n">
        <v>4</v>
      </c>
      <c r="K2623" s="13" t="inlineStr">
        <is>
          <t>USN</t>
        </is>
      </c>
      <c r="L2623" s="7" t="inlineStr">
        <is>
          <t>Combatant Ships</t>
        </is>
      </c>
      <c r="M2623" s="7" t="inlineStr">
        <is>
          <t>Amphibious Warfare Ships</t>
        </is>
      </c>
      <c r="N2623" s="7" t="inlineStr">
        <is>
          <t>LHD</t>
        </is>
      </c>
      <c r="O2623" s="15" t="n"/>
      <c r="S2623" s="16" t="n">
        <v>395086</v>
      </c>
      <c r="V2623" s="16" t="n">
        <v>395086</v>
      </c>
      <c r="AC2623" s="23">
        <f>IF(OR(E2623="",E2623="[PARENT]"),"ADD",IF(E2623="[ALT_VIEW]","ALT",""))</f>
        <v/>
      </c>
      <c r="AD2623" s="21">
        <f>IF(Y2623&lt;&gt;"",Y2623,IF(U2623&lt;&gt;"",U2623,S2623))</f>
        <v/>
      </c>
      <c r="AE2623" s="21">
        <f>IF(AB2623&lt;&gt;"",AB2623,Z2623)</f>
        <v/>
      </c>
      <c r="AF2623" s="13" t="inlineStr">
        <is>
          <t>OMN Vol2 &gt; PB-61 &gt; OPN &gt; Ships &gt; Ship Maint &gt; LHD</t>
        </is>
      </c>
      <c r="AG2623" s="7" t="inlineStr">
        <is>
          <t>118</t>
        </is>
      </c>
      <c r="AH2623" s="7" t="inlineStr">
        <is>
          <t>1B4B</t>
        </is>
      </c>
      <c r="AI2623" s="7" t="inlineStr">
        <is>
          <t>OPN &gt; Ships &gt; Ship Maint</t>
        </is>
      </c>
      <c r="AJ2623" s="7" t="inlineStr">
        <is>
          <t>LHD</t>
        </is>
      </c>
    </row>
    <row r="2624" ht="10" customHeight="1">
      <c r="A2624" s="7" t="inlineStr">
        <is>
          <t>OMN_Vol2</t>
        </is>
      </c>
      <c r="B2624" s="7" t="inlineStr">
        <is>
          <t>O&amp;M</t>
        </is>
      </c>
      <c r="D2624" s="7" t="inlineStr">
        <is>
          <t>LPD</t>
        </is>
      </c>
      <c r="E2624" s="15" t="n"/>
      <c r="I2624" s="14" t="n">
        <v>4</v>
      </c>
      <c r="K2624" s="13" t="inlineStr">
        <is>
          <t>USN</t>
        </is>
      </c>
      <c r="L2624" s="7" t="inlineStr">
        <is>
          <t>Combatant Ships</t>
        </is>
      </c>
      <c r="M2624" s="7" t="inlineStr">
        <is>
          <t>Amphibious Warfare Ships</t>
        </is>
      </c>
      <c r="N2624" s="7" t="inlineStr">
        <is>
          <t>LPD</t>
        </is>
      </c>
      <c r="O2624" s="15" t="n"/>
      <c r="S2624" s="16" t="n">
        <v>11852</v>
      </c>
      <c r="V2624" s="16" t="n">
        <v>11852</v>
      </c>
      <c r="AC2624" s="23">
        <f>IF(OR(E2624="",E2624="[PARENT]"),"ADD",IF(E2624="[ALT_VIEW]","ALT",""))</f>
        <v/>
      </c>
      <c r="AD2624" s="21">
        <f>IF(Y2624&lt;&gt;"",Y2624,IF(U2624&lt;&gt;"",U2624,S2624))</f>
        <v/>
      </c>
      <c r="AE2624" s="21">
        <f>IF(AB2624&lt;&gt;"",AB2624,Z2624)</f>
        <v/>
      </c>
      <c r="AF2624" s="13" t="inlineStr">
        <is>
          <t>OMN Vol2 &gt; PB-61 &gt; OPN &gt; Ships &gt; Ship Maint &gt; LPD</t>
        </is>
      </c>
      <c r="AG2624" s="7" t="inlineStr">
        <is>
          <t>118</t>
        </is>
      </c>
      <c r="AH2624" s="7" t="inlineStr">
        <is>
          <t>1B4B</t>
        </is>
      </c>
      <c r="AI2624" s="7" t="inlineStr">
        <is>
          <t>OPN &gt; Ships &gt; Ship Maint</t>
        </is>
      </c>
      <c r="AJ2624" s="7" t="inlineStr">
        <is>
          <t>LPD</t>
        </is>
      </c>
    </row>
    <row r="2625" ht="10" customHeight="1">
      <c r="A2625" s="7" t="inlineStr">
        <is>
          <t>OMN_Vol2</t>
        </is>
      </c>
      <c r="B2625" s="7" t="inlineStr">
        <is>
          <t>O&amp;M</t>
        </is>
      </c>
      <c r="D2625" s="7" t="inlineStr">
        <is>
          <t>LSD</t>
        </is>
      </c>
      <c r="E2625" s="15" t="n"/>
      <c r="I2625" s="14" t="n">
        <v>4</v>
      </c>
      <c r="K2625" s="13" t="inlineStr">
        <is>
          <t>USN</t>
        </is>
      </c>
      <c r="L2625" s="7" t="inlineStr">
        <is>
          <t>Combatant Ships</t>
        </is>
      </c>
      <c r="M2625" s="7" t="inlineStr">
        <is>
          <t>Amphibious Warfare Ships</t>
        </is>
      </c>
      <c r="N2625" s="7" t="inlineStr">
        <is>
          <t>LSD</t>
        </is>
      </c>
      <c r="O2625" s="15" t="n"/>
      <c r="S2625" s="16" t="n">
        <v>25931</v>
      </c>
      <c r="V2625" s="16" t="n">
        <v>25931</v>
      </c>
      <c r="AC2625" s="23">
        <f>IF(OR(E2625="",E2625="[PARENT]"),"ADD",IF(E2625="[ALT_VIEW]","ALT",""))</f>
        <v/>
      </c>
      <c r="AD2625" s="21">
        <f>IF(Y2625&lt;&gt;"",Y2625,IF(U2625&lt;&gt;"",U2625,S2625))</f>
        <v/>
      </c>
      <c r="AE2625" s="21">
        <f>IF(AB2625&lt;&gt;"",AB2625,Z2625)</f>
        <v/>
      </c>
      <c r="AF2625" s="13" t="inlineStr">
        <is>
          <t>OMN Vol2 &gt; PB-61 &gt; OPN &gt; Ships &gt; Ship Maint &gt; LSD</t>
        </is>
      </c>
      <c r="AG2625" s="7" t="inlineStr">
        <is>
          <t>118</t>
        </is>
      </c>
      <c r="AH2625" s="7" t="inlineStr">
        <is>
          <t>1B4B</t>
        </is>
      </c>
      <c r="AI2625" s="7" t="inlineStr">
        <is>
          <t>OPN &gt; Ships &gt; Ship Maint</t>
        </is>
      </c>
      <c r="AJ2625" s="7" t="inlineStr">
        <is>
          <t>LSD</t>
        </is>
      </c>
    </row>
    <row r="2626" ht="10" customHeight="1">
      <c r="A2626" s="7" t="inlineStr">
        <is>
          <t>OMN_Vol2</t>
        </is>
      </c>
      <c r="B2626" s="7" t="inlineStr">
        <is>
          <t>O&amp;M</t>
        </is>
      </c>
      <c r="D2626" s="7" t="inlineStr">
        <is>
          <t>SSN-MTS-SSGN</t>
        </is>
      </c>
      <c r="E2626" s="15" t="n"/>
      <c r="I2626" s="14" t="n">
        <v>4</v>
      </c>
      <c r="K2626" s="13" t="inlineStr">
        <is>
          <t>USN</t>
        </is>
      </c>
      <c r="L2626" s="7" t="inlineStr">
        <is>
          <t>Combatant Ships</t>
        </is>
      </c>
      <c r="M2626" s="7" t="inlineStr">
        <is>
          <t>Submarines</t>
        </is>
      </c>
      <c r="O2626" s="15" t="n"/>
      <c r="P2626" s="16" t="n">
        <v>383868</v>
      </c>
      <c r="Q2626" s="16" t="n">
        <v>330000</v>
      </c>
      <c r="R2626" s="16" t="n">
        <v>330000</v>
      </c>
      <c r="AC2626" s="23">
        <f>IF(OR(E2626="",E2626="[PARENT]"),"ADD",IF(E2626="[ALT_VIEW]","ALT",""))</f>
        <v/>
      </c>
      <c r="AD2626" s="21">
        <f>IF(Y2626&lt;&gt;"",Y2626,IF(U2626&lt;&gt;"",U2626,S2626))</f>
        <v/>
      </c>
      <c r="AE2626" s="21">
        <f>IF(AB2626&lt;&gt;"",AB2626,Z2626)</f>
        <v/>
      </c>
      <c r="AF2626" s="13" t="inlineStr">
        <is>
          <t>OMN Vol2 &gt; PB-61 &gt; OPN &gt; Ships &gt; Ship Maint &gt; SSN-MTS-SSGN</t>
        </is>
      </c>
      <c r="AG2626" s="7" t="inlineStr">
        <is>
          <t>118</t>
        </is>
      </c>
      <c r="AH2626" s="7" t="inlineStr">
        <is>
          <t>1B4B</t>
        </is>
      </c>
      <c r="AI2626" s="7" t="inlineStr">
        <is>
          <t>OPN &gt; Ships &gt; Ship Maint</t>
        </is>
      </c>
      <c r="AJ2626" s="7" t="inlineStr">
        <is>
          <t>SSN-MTS-SSGN</t>
        </is>
      </c>
    </row>
    <row r="2627" ht="10" customHeight="1">
      <c r="A2627" s="7" t="inlineStr">
        <is>
          <t>OMN_Vol2</t>
        </is>
      </c>
      <c r="B2627" s="7" t="inlineStr">
        <is>
          <t>O&amp;M</t>
        </is>
      </c>
      <c r="D2627" s="7" t="inlineStr">
        <is>
          <t>OPN Total</t>
        </is>
      </c>
      <c r="E2627" s="13" t="inlineStr">
        <is>
          <t>[PARENT]</t>
        </is>
      </c>
      <c r="F2627" s="7" t="inlineStr">
        <is>
          <t>Sum of all OPN entries</t>
        </is>
      </c>
      <c r="I2627" s="14" t="n">
        <v>4</v>
      </c>
      <c r="K2627" s="15" t="n"/>
      <c r="O2627" s="15" t="n"/>
      <c r="P2627" s="16" t="n">
        <v>3109725</v>
      </c>
      <c r="Q2627" s="16" t="n">
        <v>2460434</v>
      </c>
      <c r="R2627" s="16" t="n">
        <v>2799182</v>
      </c>
      <c r="S2627" s="16" t="n">
        <v>2521564</v>
      </c>
      <c r="V2627" s="16" t="n">
        <v>2818312</v>
      </c>
      <c r="AC2627" s="23">
        <f>IF(OR(E2627="",E2627="[PARENT]"),"ADD",IF(E2627="[ALT_VIEW]","ALT",""))</f>
        <v/>
      </c>
      <c r="AD2627" s="21">
        <f>IF(Y2627&lt;&gt;"",Y2627,IF(U2627&lt;&gt;"",U2627,S2627))</f>
        <v/>
      </c>
      <c r="AE2627" s="21">
        <f>IF(AB2627&lt;&gt;"",AB2627,Z2627)</f>
        <v/>
      </c>
      <c r="AF2627" s="13" t="inlineStr">
        <is>
          <t>OMN Vol2 &gt; PB-61 &gt; OPN Total</t>
        </is>
      </c>
      <c r="AG2627" s="7" t="inlineStr">
        <is>
          <t>118</t>
        </is>
      </c>
      <c r="AH2627" s="7" t="inlineStr">
        <is>
          <t>1B4B</t>
        </is>
      </c>
    </row>
    <row r="2628" ht="10" customHeight="1">
      <c r="A2628" s="7" t="inlineStr">
        <is>
          <t>OMN_Vol2</t>
        </is>
      </c>
      <c r="B2628" s="7" t="inlineStr">
        <is>
          <t>O&amp;M</t>
        </is>
      </c>
      <c r="D2628" s="7" t="inlineStr">
        <is>
          <t>AGF-LCC</t>
        </is>
      </c>
      <c r="E2628" s="13" t="inlineStr">
        <is>
          <t>[UNFUNDED]</t>
        </is>
      </c>
      <c r="F2628" s="7" t="inlineStr">
        <is>
          <t>Gap: FY2026 Required (3093) - Funded (2762)</t>
        </is>
      </c>
      <c r="I2628" s="14" t="n">
        <v>2</v>
      </c>
      <c r="K2628" s="13" t="inlineStr">
        <is>
          <t>USN</t>
        </is>
      </c>
      <c r="L2628" s="7" t="inlineStr">
        <is>
          <t>Combatant Ships</t>
        </is>
      </c>
      <c r="M2628" s="7" t="inlineStr">
        <is>
          <t>Command Ships</t>
        </is>
      </c>
      <c r="N2628" s="7" t="inlineStr">
        <is>
          <t>LCC</t>
        </is>
      </c>
      <c r="O2628" s="15" t="n"/>
      <c r="V2628" s="16" t="n">
        <v>331</v>
      </c>
      <c r="AC2628" s="23">
        <f>IF(OR(E2628="",E2628="[PARENT]"),"ADD",IF(E2628="[ALT_VIEW]","ALT",""))</f>
        <v/>
      </c>
      <c r="AD2628" s="21">
        <f>IF(Y2628&lt;&gt;"",Y2628,IF(U2628&lt;&gt;"",U2628,S2628))</f>
        <v/>
      </c>
      <c r="AE2628" s="21">
        <f>IF(AB2628&lt;&gt;"",AB2628,Z2628)</f>
        <v/>
      </c>
      <c r="AF2628" s="13" t="inlineStr">
        <is>
          <t>OMN Vol2 &gt; PB-61 &gt; OMN &gt; Ships &gt; Ship Maint &gt; AGF-LCC [UNFUNDED]</t>
        </is>
      </c>
      <c r="AG2628" s="7" t="inlineStr">
        <is>
          <t>110</t>
        </is>
      </c>
      <c r="AH2628" s="7" t="inlineStr">
        <is>
          <t>1B4B</t>
        </is>
      </c>
      <c r="AI2628" s="7" t="inlineStr">
        <is>
          <t>OMN &gt; Ships &gt; Ship Maint</t>
        </is>
      </c>
      <c r="AJ2628" s="7" t="inlineStr">
        <is>
          <t>AGF-LCC [UNFUNDED]</t>
        </is>
      </c>
    </row>
    <row r="2629" ht="10" customHeight="1">
      <c r="A2629" s="7" t="inlineStr">
        <is>
          <t>OMN_Vol2</t>
        </is>
      </c>
      <c r="B2629" s="7" t="inlineStr">
        <is>
          <t>O&amp;M</t>
        </is>
      </c>
      <c r="D2629" s="7" t="inlineStr">
        <is>
          <t>AMPHIBS</t>
        </is>
      </c>
      <c r="E2629" s="13" t="inlineStr">
        <is>
          <t>[UNFUNDED]</t>
        </is>
      </c>
      <c r="F2629" s="7" t="inlineStr">
        <is>
          <t>Gap: FY2026 Required (223014) - Funded (180719)</t>
        </is>
      </c>
      <c r="I2629" s="14" t="n">
        <v>2</v>
      </c>
      <c r="K2629" s="13" t="inlineStr">
        <is>
          <t>USN</t>
        </is>
      </c>
      <c r="L2629" s="7" t="inlineStr">
        <is>
          <t>Combatant Ships</t>
        </is>
      </c>
      <c r="M2629" s="7" t="inlineStr">
        <is>
          <t>Amphibious Warfare Ships</t>
        </is>
      </c>
      <c r="O2629" s="15" t="n"/>
      <c r="V2629" s="16" t="n">
        <v>42295</v>
      </c>
      <c r="AC2629" s="23">
        <f>IF(OR(E2629="",E2629="[PARENT]"),"ADD",IF(E2629="[ALT_VIEW]","ALT",""))</f>
        <v/>
      </c>
      <c r="AD2629" s="21">
        <f>IF(Y2629&lt;&gt;"",Y2629,IF(U2629&lt;&gt;"",U2629,S2629))</f>
        <v/>
      </c>
      <c r="AE2629" s="21">
        <f>IF(AB2629&lt;&gt;"",AB2629,Z2629)</f>
        <v/>
      </c>
      <c r="AF2629" s="13" t="inlineStr">
        <is>
          <t>OMN Vol2 &gt; PB-61 &gt; OMN &gt; Ships &gt; Ship Maint &gt; AMPHIBS [UNFUNDED]</t>
        </is>
      </c>
      <c r="AG2629" s="7" t="inlineStr">
        <is>
          <t>110</t>
        </is>
      </c>
      <c r="AH2629" s="7" t="inlineStr">
        <is>
          <t>1B4B</t>
        </is>
      </c>
      <c r="AI2629" s="7" t="inlineStr">
        <is>
          <t>OMN &gt; Ships &gt; Ship Maint</t>
        </is>
      </c>
      <c r="AJ2629" s="7" t="inlineStr">
        <is>
          <t>AMPHIBS [UNFUNDED]</t>
        </is>
      </c>
    </row>
    <row r="2630" ht="10" customHeight="1">
      <c r="A2630" s="7" t="inlineStr">
        <is>
          <t>OMN_Vol2</t>
        </is>
      </c>
      <c r="B2630" s="7" t="inlineStr">
        <is>
          <t>O&amp;M</t>
        </is>
      </c>
      <c r="D2630" s="7" t="inlineStr">
        <is>
          <t>AS-ARDM</t>
        </is>
      </c>
      <c r="E2630" s="13" t="inlineStr">
        <is>
          <t>[UNFUNDED]</t>
        </is>
      </c>
      <c r="F2630" s="7" t="inlineStr">
        <is>
          <t>Gap: FY2026 Required (8751) - Funded (8400)</t>
        </is>
      </c>
      <c r="I2630" s="14" t="n">
        <v>2</v>
      </c>
      <c r="K2630" s="15" t="n"/>
      <c r="O2630" s="15" t="n"/>
      <c r="V2630" s="16" t="n">
        <v>351</v>
      </c>
      <c r="AC2630" s="23">
        <f>IF(OR(E2630="",E2630="[PARENT]"),"ADD",IF(E2630="[ALT_VIEW]","ALT",""))</f>
        <v/>
      </c>
      <c r="AD2630" s="21">
        <f>IF(Y2630&lt;&gt;"",Y2630,IF(U2630&lt;&gt;"",U2630,S2630))</f>
        <v/>
      </c>
      <c r="AE2630" s="21">
        <f>IF(AB2630&lt;&gt;"",AB2630,Z2630)</f>
        <v/>
      </c>
      <c r="AF2630" s="13" t="inlineStr">
        <is>
          <t>OMN Vol2 &gt; PB-61 &gt; OMN &gt; Ships &gt; Ship Maint &gt; AS-ARDM [UNFUNDED]</t>
        </is>
      </c>
      <c r="AG2630" s="7" t="inlineStr">
        <is>
          <t>110</t>
        </is>
      </c>
      <c r="AH2630" s="7" t="inlineStr">
        <is>
          <t>1B4B</t>
        </is>
      </c>
      <c r="AI2630" s="7" t="inlineStr">
        <is>
          <t>OMN &gt; Ships &gt; Ship Maint</t>
        </is>
      </c>
      <c r="AJ2630" s="7" t="inlineStr">
        <is>
          <t>AS-ARDM [UNFUNDED]</t>
        </is>
      </c>
    </row>
    <row r="2631" ht="10" customHeight="1">
      <c r="A2631" s="7" t="inlineStr">
        <is>
          <t>OMN_Vol2</t>
        </is>
      </c>
      <c r="B2631" s="7" t="inlineStr">
        <is>
          <t>O&amp;M</t>
        </is>
      </c>
      <c r="D2631" s="7" t="inlineStr">
        <is>
          <t>CG</t>
        </is>
      </c>
      <c r="E2631" s="13" t="inlineStr">
        <is>
          <t>[UNFUNDED]</t>
        </is>
      </c>
      <c r="F2631" s="7" t="inlineStr">
        <is>
          <t>Gap: FY2026 Required (42503) - Funded (40292)</t>
        </is>
      </c>
      <c r="I2631" s="14" t="n">
        <v>2</v>
      </c>
      <c r="K2631" s="13" t="inlineStr">
        <is>
          <t>USN</t>
        </is>
      </c>
      <c r="L2631" s="7" t="inlineStr">
        <is>
          <t>Combatant Ships</t>
        </is>
      </c>
      <c r="M2631" s="7" t="inlineStr">
        <is>
          <t>Surface Combatants</t>
        </is>
      </c>
      <c r="N2631" s="7" t="inlineStr">
        <is>
          <t>CG</t>
        </is>
      </c>
      <c r="O2631" s="15" t="n"/>
      <c r="V2631" s="16" t="n">
        <v>2211</v>
      </c>
      <c r="AC2631" s="23">
        <f>IF(OR(E2631="",E2631="[PARENT]"),"ADD",IF(E2631="[ALT_VIEW]","ALT",""))</f>
        <v/>
      </c>
      <c r="AD2631" s="21">
        <f>IF(Y2631&lt;&gt;"",Y2631,IF(U2631&lt;&gt;"",U2631,S2631))</f>
        <v/>
      </c>
      <c r="AE2631" s="21">
        <f>IF(AB2631&lt;&gt;"",AB2631,Z2631)</f>
        <v/>
      </c>
      <c r="AF2631" s="13" t="inlineStr">
        <is>
          <t>OMN Vol2 &gt; PB-61 &gt; OMN &gt; Ships &gt; Ship Maint &gt; CG [UNFUNDED]</t>
        </is>
      </c>
      <c r="AG2631" s="7" t="inlineStr">
        <is>
          <t>110</t>
        </is>
      </c>
      <c r="AH2631" s="7" t="inlineStr">
        <is>
          <t>1B4B</t>
        </is>
      </c>
      <c r="AI2631" s="7" t="inlineStr">
        <is>
          <t>OMN &gt; Ships &gt; Ship Maint</t>
        </is>
      </c>
      <c r="AJ2631" s="7" t="inlineStr">
        <is>
          <t>CG [UNFUNDED]</t>
        </is>
      </c>
    </row>
    <row r="2632" ht="10" customHeight="1">
      <c r="A2632" s="7" t="inlineStr">
        <is>
          <t>OMN_Vol2</t>
        </is>
      </c>
      <c r="B2632" s="7" t="inlineStr">
        <is>
          <t>O&amp;M</t>
        </is>
      </c>
      <c r="D2632" s="7" t="inlineStr">
        <is>
          <t>CV-CVN</t>
        </is>
      </c>
      <c r="E2632" s="13" t="inlineStr">
        <is>
          <t>[UNFUNDED]</t>
        </is>
      </c>
      <c r="F2632" s="7" t="inlineStr">
        <is>
          <t>Gap: FY2026 Required (3030280) - Funded (2720122)</t>
        </is>
      </c>
      <c r="I2632" s="14" t="n">
        <v>2</v>
      </c>
      <c r="K2632" s="13" t="inlineStr">
        <is>
          <t>USN</t>
        </is>
      </c>
      <c r="L2632" s="7" t="inlineStr">
        <is>
          <t>Combatant Ships</t>
        </is>
      </c>
      <c r="M2632" s="7" t="inlineStr">
        <is>
          <t>Aircraft Carriers</t>
        </is>
      </c>
      <c r="N2632" s="7" t="inlineStr">
        <is>
          <t>CVN</t>
        </is>
      </c>
      <c r="O2632" s="15" t="n"/>
      <c r="V2632" s="16" t="n">
        <v>310158</v>
      </c>
      <c r="AC2632" s="23">
        <f>IF(OR(E2632="",E2632="[PARENT]"),"ADD",IF(E2632="[ALT_VIEW]","ALT",""))</f>
        <v/>
      </c>
      <c r="AD2632" s="21">
        <f>IF(Y2632&lt;&gt;"",Y2632,IF(U2632&lt;&gt;"",U2632,S2632))</f>
        <v/>
      </c>
      <c r="AE2632" s="21">
        <f>IF(AB2632&lt;&gt;"",AB2632,Z2632)</f>
        <v/>
      </c>
      <c r="AF2632" s="13" t="inlineStr">
        <is>
          <t>OMN Vol2 &gt; PB-61 &gt; OMN &gt; Ships &gt; Ship Maint &gt; CV-CVN [UNFUNDED]</t>
        </is>
      </c>
      <c r="AG2632" s="7" t="inlineStr">
        <is>
          <t>110</t>
        </is>
      </c>
      <c r="AH2632" s="7" t="inlineStr">
        <is>
          <t>1B4B</t>
        </is>
      </c>
      <c r="AI2632" s="7" t="inlineStr">
        <is>
          <t>OMN &gt; Ships &gt; Ship Maint</t>
        </is>
      </c>
      <c r="AJ2632" s="7" t="inlineStr">
        <is>
          <t>CV-CVN [UNFUNDED]</t>
        </is>
      </c>
    </row>
    <row r="2633" ht="10" customHeight="1">
      <c r="A2633" s="7" t="inlineStr">
        <is>
          <t>OMN_Vol2</t>
        </is>
      </c>
      <c r="B2633" s="7" t="inlineStr">
        <is>
          <t>O&amp;M</t>
        </is>
      </c>
      <c r="D2633" s="7" t="inlineStr">
        <is>
          <t>CV-CVN (Selected Restricted Budget)</t>
        </is>
      </c>
      <c r="E2633" s="13" t="inlineStr">
        <is>
          <t>[UNFUNDED]</t>
        </is>
      </c>
      <c r="F2633" s="7" t="inlineStr">
        <is>
          <t>Gap: FY2026 Required (323) - Funded (312)</t>
        </is>
      </c>
      <c r="I2633" s="14" t="n">
        <v>2</v>
      </c>
      <c r="K2633" s="13" t="inlineStr">
        <is>
          <t>USN</t>
        </is>
      </c>
      <c r="L2633" s="7" t="inlineStr">
        <is>
          <t>Combatant Ships</t>
        </is>
      </c>
      <c r="M2633" s="7" t="inlineStr">
        <is>
          <t>Aircraft Carriers</t>
        </is>
      </c>
      <c r="N2633" s="7" t="inlineStr">
        <is>
          <t>CVN</t>
        </is>
      </c>
      <c r="O2633" s="15" t="n"/>
      <c r="V2633" s="16" t="n">
        <v>11</v>
      </c>
      <c r="AC2633" s="23">
        <f>IF(OR(E2633="",E2633="[PARENT]"),"ADD",IF(E2633="[ALT_VIEW]","ALT",""))</f>
        <v/>
      </c>
      <c r="AD2633" s="21">
        <f>IF(Y2633&lt;&gt;"",Y2633,IF(U2633&lt;&gt;"",U2633,S2633))</f>
        <v/>
      </c>
      <c r="AE2633" s="21">
        <f>IF(AB2633&lt;&gt;"",AB2633,Z2633)</f>
        <v/>
      </c>
      <c r="AF2633" s="13" t="inlineStr">
        <is>
          <t>OMN Vol2 &gt; PB-61 &gt; OMN &gt; Ships &gt; Ship Maint &gt; CV-CVN (SRB) [UNFUNDED]</t>
        </is>
      </c>
      <c r="AG2633" s="7" t="inlineStr">
        <is>
          <t>110</t>
        </is>
      </c>
      <c r="AH2633" s="7" t="inlineStr">
        <is>
          <t>1B4B</t>
        </is>
      </c>
      <c r="AI2633" s="7" t="inlineStr">
        <is>
          <t>OMN &gt; Ships &gt; Ship Maint</t>
        </is>
      </c>
      <c r="AJ2633" s="7" t="inlineStr">
        <is>
          <t>CV-CVN (SRB) [UNFUNDED]</t>
        </is>
      </c>
    </row>
    <row r="2634" ht="10" customHeight="1">
      <c r="A2634" s="7" t="inlineStr">
        <is>
          <t>OMN_Vol2</t>
        </is>
      </c>
      <c r="B2634" s="7" t="inlineStr">
        <is>
          <t>O&amp;M</t>
        </is>
      </c>
      <c r="D2634" s="7" t="inlineStr">
        <is>
          <t>CVN</t>
        </is>
      </c>
      <c r="E2634" s="13" t="inlineStr">
        <is>
          <t>[UNFUNDED]</t>
        </is>
      </c>
      <c r="F2634" s="7" t="inlineStr">
        <is>
          <t>Gap: FY2026 Required (18054) - Funded (17657)</t>
        </is>
      </c>
      <c r="I2634" s="14" t="n">
        <v>2</v>
      </c>
      <c r="K2634" s="13" t="inlineStr">
        <is>
          <t>USN</t>
        </is>
      </c>
      <c r="L2634" s="7" t="inlineStr">
        <is>
          <t>Combatant Ships</t>
        </is>
      </c>
      <c r="M2634" s="7" t="inlineStr">
        <is>
          <t>Aircraft Carriers</t>
        </is>
      </c>
      <c r="N2634" s="7" t="inlineStr">
        <is>
          <t>CVN</t>
        </is>
      </c>
      <c r="O2634" s="15" t="n"/>
      <c r="V2634" s="16" t="n">
        <v>397</v>
      </c>
      <c r="AC2634" s="23">
        <f>IF(OR(E2634="",E2634="[PARENT]"),"ADD",IF(E2634="[ALT_VIEW]","ALT",""))</f>
        <v/>
      </c>
      <c r="AD2634" s="21">
        <f>IF(Y2634&lt;&gt;"",Y2634,IF(U2634&lt;&gt;"",U2634,S2634))</f>
        <v/>
      </c>
      <c r="AE2634" s="21">
        <f>IF(AB2634&lt;&gt;"",AB2634,Z2634)</f>
        <v/>
      </c>
      <c r="AF2634" s="13" t="inlineStr">
        <is>
          <t>OMN Vol2 &gt; PB-61 &gt; OMN &gt; Ships &gt; Ship Maint &gt; CVN [UNFUNDED]</t>
        </is>
      </c>
      <c r="AG2634" s="7" t="inlineStr">
        <is>
          <t>110</t>
        </is>
      </c>
      <c r="AH2634" s="7" t="inlineStr">
        <is>
          <t>1B4B</t>
        </is>
      </c>
      <c r="AI2634" s="7" t="inlineStr">
        <is>
          <t>OMN &gt; Ships &gt; Ship Maint</t>
        </is>
      </c>
      <c r="AJ2634" s="7" t="inlineStr">
        <is>
          <t>CVN [UNFUNDED]</t>
        </is>
      </c>
    </row>
    <row r="2635" ht="10" customHeight="1">
      <c r="A2635" s="7" t="inlineStr">
        <is>
          <t>OMN_Vol2</t>
        </is>
      </c>
      <c r="B2635" s="7" t="inlineStr">
        <is>
          <t>O&amp;M</t>
        </is>
      </c>
      <c r="D2635" s="7" t="inlineStr">
        <is>
          <t>DDG</t>
        </is>
      </c>
      <c r="E2635" s="13" t="inlineStr">
        <is>
          <t>[UNFUNDED]</t>
        </is>
      </c>
      <c r="F2635" s="7" t="inlineStr">
        <is>
          <t>Gap: FY2026 Required (568246) - Funded (525288)</t>
        </is>
      </c>
      <c r="I2635" s="14" t="n">
        <v>2</v>
      </c>
      <c r="K2635" s="13" t="inlineStr">
        <is>
          <t>USN</t>
        </is>
      </c>
      <c r="L2635" s="7" t="inlineStr">
        <is>
          <t>Combatant Ships</t>
        </is>
      </c>
      <c r="M2635" s="7" t="inlineStr">
        <is>
          <t>Surface Combatants</t>
        </is>
      </c>
      <c r="N2635" s="7" t="inlineStr">
        <is>
          <t>DDG</t>
        </is>
      </c>
      <c r="O2635" s="15" t="n"/>
      <c r="V2635" s="16" t="n">
        <v>42958</v>
      </c>
      <c r="AC2635" s="23">
        <f>IF(OR(E2635="",E2635="[PARENT]"),"ADD",IF(E2635="[ALT_VIEW]","ALT",""))</f>
        <v/>
      </c>
      <c r="AD2635" s="21">
        <f>IF(Y2635&lt;&gt;"",Y2635,IF(U2635&lt;&gt;"",U2635,S2635))</f>
        <v/>
      </c>
      <c r="AE2635" s="21">
        <f>IF(AB2635&lt;&gt;"",AB2635,Z2635)</f>
        <v/>
      </c>
      <c r="AF2635" s="13" t="inlineStr">
        <is>
          <t>OMN Vol2 &gt; PB-61 &gt; OMN &gt; Ships &gt; Ship Maint &gt; DDG [UNFUNDED]</t>
        </is>
      </c>
      <c r="AG2635" s="7" t="inlineStr">
        <is>
          <t>110</t>
        </is>
      </c>
      <c r="AH2635" s="7" t="inlineStr">
        <is>
          <t>1B4B</t>
        </is>
      </c>
      <c r="AI2635" s="7" t="inlineStr">
        <is>
          <t>OMN &gt; Ships &gt; Ship Maint - DM001 - DDG MODERNIZATION HME (DVSS)</t>
        </is>
      </c>
      <c r="AJ2635" s="7" t="inlineStr">
        <is>
          <t>DDG [UNFUNDED]</t>
        </is>
      </c>
    </row>
    <row r="2636" ht="10" customHeight="1">
      <c r="A2636" s="7" t="inlineStr">
        <is>
          <t>OMN_Vol2</t>
        </is>
      </c>
      <c r="B2636" s="7" t="inlineStr">
        <is>
          <t>O&amp;M</t>
        </is>
      </c>
      <c r="D2636" s="7" t="inlineStr">
        <is>
          <t>DDG - 1000</t>
        </is>
      </c>
      <c r="E2636" s="13" t="inlineStr">
        <is>
          <t>[UNFUNDED]</t>
        </is>
      </c>
      <c r="F2636" s="7" t="inlineStr">
        <is>
          <t>Gap: FY2026 Required (7358) - Funded (6174)</t>
        </is>
      </c>
      <c r="I2636" s="14" t="n">
        <v>2</v>
      </c>
      <c r="K2636" s="13" t="inlineStr">
        <is>
          <t>USN</t>
        </is>
      </c>
      <c r="L2636" s="7" t="inlineStr">
        <is>
          <t>Combatant Ships</t>
        </is>
      </c>
      <c r="M2636" s="7" t="inlineStr">
        <is>
          <t>Surface Combatants</t>
        </is>
      </c>
      <c r="N2636" s="7" t="inlineStr">
        <is>
          <t>DDG</t>
        </is>
      </c>
      <c r="O2636" s="15" t="n"/>
      <c r="V2636" s="16" t="n">
        <v>1184</v>
      </c>
      <c r="AC2636" s="23">
        <f>IF(OR(E2636="",E2636="[PARENT]"),"ADD",IF(E2636="[ALT_VIEW]","ALT",""))</f>
        <v/>
      </c>
      <c r="AD2636" s="21">
        <f>IF(Y2636&lt;&gt;"",Y2636,IF(U2636&lt;&gt;"",U2636,S2636))</f>
        <v/>
      </c>
      <c r="AE2636" s="21">
        <f>IF(AB2636&lt;&gt;"",AB2636,Z2636)</f>
        <v/>
      </c>
      <c r="AF2636" s="13" t="inlineStr">
        <is>
          <t>OMN Vol2 &gt; PB-61 &gt; OMN &gt; Ships &gt; Ship Maint &gt; DDG - 1000 [UNFUNDED]</t>
        </is>
      </c>
      <c r="AG2636" s="7" t="inlineStr">
        <is>
          <t>110</t>
        </is>
      </c>
      <c r="AH2636" s="7" t="inlineStr">
        <is>
          <t>1B4B</t>
        </is>
      </c>
      <c r="AI2636" s="7" t="inlineStr">
        <is>
          <t>OMN &gt; Ships &gt; Ship Maint</t>
        </is>
      </c>
      <c r="AJ2636" s="7" t="inlineStr">
        <is>
          <t>DDG - 1000 [UNFUNDED]</t>
        </is>
      </c>
    </row>
    <row r="2637" ht="10" customHeight="1">
      <c r="A2637" s="7" t="inlineStr">
        <is>
          <t>OMN_Vol2</t>
        </is>
      </c>
      <c r="B2637" s="7" t="inlineStr">
        <is>
          <t>O&amp;M</t>
        </is>
      </c>
      <c r="D2637" s="7" t="inlineStr">
        <is>
          <t>ESB</t>
        </is>
      </c>
      <c r="E2637" s="13" t="inlineStr">
        <is>
          <t>[UNFUNDED]</t>
        </is>
      </c>
      <c r="F2637" s="7" t="inlineStr">
        <is>
          <t>Gap: FY2026 Required (22134) - Funded (19655)</t>
        </is>
      </c>
      <c r="I2637" s="14" t="n">
        <v>2</v>
      </c>
      <c r="K2637" s="13" t="inlineStr">
        <is>
          <t>USN</t>
        </is>
      </c>
      <c r="L2637" s="7" t="inlineStr">
        <is>
          <t>Combatant Ships</t>
        </is>
      </c>
      <c r="M2637" s="7" t="inlineStr">
        <is>
          <t>Expeditionary &amp; Seabasing Ships</t>
        </is>
      </c>
      <c r="N2637" s="7" t="inlineStr">
        <is>
          <t>ESB</t>
        </is>
      </c>
      <c r="O2637" s="15" t="n"/>
      <c r="V2637" s="16" t="n">
        <v>2479</v>
      </c>
      <c r="AC2637" s="23">
        <f>IF(OR(E2637="",E2637="[PARENT]"),"ADD",IF(E2637="[ALT_VIEW]","ALT",""))</f>
        <v/>
      </c>
      <c r="AD2637" s="21">
        <f>IF(Y2637&lt;&gt;"",Y2637,IF(U2637&lt;&gt;"",U2637,S2637))</f>
        <v/>
      </c>
      <c r="AE2637" s="21">
        <f>IF(AB2637&lt;&gt;"",AB2637,Z2637)</f>
        <v/>
      </c>
      <c r="AF2637" s="13" t="inlineStr">
        <is>
          <t>OMN Vol2 &gt; PB-61 &gt; OMN &gt; Ships &gt; Ship Maint &gt; ESB [UNFUNDED]</t>
        </is>
      </c>
      <c r="AG2637" s="7" t="inlineStr">
        <is>
          <t>110</t>
        </is>
      </c>
      <c r="AH2637" s="7" t="inlineStr">
        <is>
          <t>1B4B</t>
        </is>
      </c>
      <c r="AI2637" s="7" t="inlineStr">
        <is>
          <t>OMN &gt; Ships &gt; Ship Maint</t>
        </is>
      </c>
      <c r="AJ2637" s="7" t="inlineStr">
        <is>
          <t>ESB [UNFUNDED]</t>
        </is>
      </c>
    </row>
    <row r="2638" ht="10" customHeight="1">
      <c r="A2638" s="7" t="inlineStr">
        <is>
          <t>OMN_Vol2</t>
        </is>
      </c>
      <c r="B2638" s="7" t="inlineStr">
        <is>
          <t>O&amp;M</t>
        </is>
      </c>
      <c r="D2638" s="7" t="inlineStr">
        <is>
          <t>LCC</t>
        </is>
      </c>
      <c r="E2638" s="13" t="inlineStr">
        <is>
          <t>[UNFUNDED]</t>
        </is>
      </c>
      <c r="F2638" s="7" t="inlineStr">
        <is>
          <t>Gap: FY2026 Required (57265) - Funded (3899)</t>
        </is>
      </c>
      <c r="I2638" s="14" t="n">
        <v>2</v>
      </c>
      <c r="K2638" s="13" t="inlineStr">
        <is>
          <t>USN</t>
        </is>
      </c>
      <c r="L2638" s="7" t="inlineStr">
        <is>
          <t>Combatant Ships</t>
        </is>
      </c>
      <c r="M2638" s="7" t="inlineStr">
        <is>
          <t>Command Ships</t>
        </is>
      </c>
      <c r="N2638" s="7" t="inlineStr">
        <is>
          <t>LCC</t>
        </is>
      </c>
      <c r="O2638" s="15" t="n"/>
      <c r="V2638" s="16" t="n">
        <v>53366</v>
      </c>
      <c r="AC2638" s="23">
        <f>IF(OR(E2638="",E2638="[PARENT]"),"ADD",IF(E2638="[ALT_VIEW]","ALT",""))</f>
        <v/>
      </c>
      <c r="AD2638" s="21">
        <f>IF(Y2638&lt;&gt;"",Y2638,IF(U2638&lt;&gt;"",U2638,S2638))</f>
        <v/>
      </c>
      <c r="AE2638" s="21">
        <f>IF(AB2638&lt;&gt;"",AB2638,Z2638)</f>
        <v/>
      </c>
      <c r="AF2638" s="13" t="inlineStr">
        <is>
          <t>OMN Vol2 &gt; PB-61 &gt; OMN &gt; Ships &gt; Ship Maint &gt; LCC [UNFUNDED]</t>
        </is>
      </c>
      <c r="AG2638" s="7" t="inlineStr">
        <is>
          <t>110</t>
        </is>
      </c>
      <c r="AH2638" s="7" t="inlineStr">
        <is>
          <t>1B4B</t>
        </is>
      </c>
      <c r="AI2638" s="7" t="inlineStr">
        <is>
          <t>OMN &gt; Ships &gt; Ship Maint - LCC 19/20 EXTENDED SERVICE LIFE PROGRAM</t>
        </is>
      </c>
      <c r="AJ2638" s="7" t="inlineStr">
        <is>
          <t>LCC [UNFUNDED]</t>
        </is>
      </c>
    </row>
    <row r="2639" ht="10" customHeight="1">
      <c r="A2639" s="7" t="inlineStr">
        <is>
          <t>OMN_Vol2</t>
        </is>
      </c>
      <c r="B2639" s="7" t="inlineStr">
        <is>
          <t>O&amp;M</t>
        </is>
      </c>
      <c r="D2639" s="7" t="inlineStr">
        <is>
          <t>LCS</t>
        </is>
      </c>
      <c r="E2639" s="13" t="inlineStr">
        <is>
          <t>[UNFUNDED]</t>
        </is>
      </c>
      <c r="F2639" s="7" t="inlineStr">
        <is>
          <t>Gap: FY2026 Required (346046) - Funded (230789)</t>
        </is>
      </c>
      <c r="I2639" s="14" t="n">
        <v>2</v>
      </c>
      <c r="K2639" s="13" t="inlineStr">
        <is>
          <t>USN</t>
        </is>
      </c>
      <c r="L2639" s="7" t="inlineStr">
        <is>
          <t>Combatant Ships</t>
        </is>
      </c>
      <c r="M2639" s="7" t="inlineStr">
        <is>
          <t>Surface Combatants</t>
        </is>
      </c>
      <c r="N2639" s="7" t="inlineStr">
        <is>
          <t>LCS</t>
        </is>
      </c>
      <c r="O2639" s="15" t="n"/>
      <c r="V2639" s="16" t="n">
        <v>115257</v>
      </c>
      <c r="AC2639" s="23">
        <f>IF(OR(E2639="",E2639="[PARENT]"),"ADD",IF(E2639="[ALT_VIEW]","ALT",""))</f>
        <v/>
      </c>
      <c r="AD2639" s="21">
        <f>IF(Y2639&lt;&gt;"",Y2639,IF(U2639&lt;&gt;"",U2639,S2639))</f>
        <v/>
      </c>
      <c r="AE2639" s="21">
        <f>IF(AB2639&lt;&gt;"",AB2639,Z2639)</f>
        <v/>
      </c>
      <c r="AF2639" s="13" t="inlineStr">
        <is>
          <t>OMN Vol2 &gt; PB-61 &gt; OMN &gt; Ships &gt; Ship Maint &gt; LCS [UNFUNDED]</t>
        </is>
      </c>
      <c r="AG2639" s="7" t="inlineStr">
        <is>
          <t>110</t>
        </is>
      </c>
      <c r="AH2639" s="7" t="inlineStr">
        <is>
          <t>1B4B</t>
        </is>
      </c>
      <c r="AI2639" s="7" t="inlineStr">
        <is>
          <t>OMN &gt; Ships &gt; Ship Maint</t>
        </is>
      </c>
      <c r="AJ2639" s="7" t="inlineStr">
        <is>
          <t>LCS [UNFUNDED]</t>
        </is>
      </c>
    </row>
    <row r="2640" ht="10" customHeight="1">
      <c r="A2640" s="7" t="inlineStr">
        <is>
          <t>OMN_Vol2</t>
        </is>
      </c>
      <c r="B2640" s="7" t="inlineStr">
        <is>
          <t>O&amp;M</t>
        </is>
      </c>
      <c r="D2640" s="7" t="inlineStr">
        <is>
          <t>LHA</t>
        </is>
      </c>
      <c r="E2640" s="13" t="inlineStr">
        <is>
          <t>[UNFUNDED]</t>
        </is>
      </c>
      <c r="F2640" s="7" t="inlineStr">
        <is>
          <t>Gap: FY2026 Required (30946) - Funded (29116)</t>
        </is>
      </c>
      <c r="I2640" s="14" t="n">
        <v>2</v>
      </c>
      <c r="K2640" s="13" t="inlineStr">
        <is>
          <t>USN</t>
        </is>
      </c>
      <c r="L2640" s="7" t="inlineStr">
        <is>
          <t>Combatant Ships</t>
        </is>
      </c>
      <c r="M2640" s="7" t="inlineStr">
        <is>
          <t>Amphibious Warfare Ships</t>
        </is>
      </c>
      <c r="N2640" s="7" t="inlineStr">
        <is>
          <t>LHA</t>
        </is>
      </c>
      <c r="O2640" s="15" t="n"/>
      <c r="V2640" s="16" t="n">
        <v>1830</v>
      </c>
      <c r="AC2640" s="23">
        <f>IF(OR(E2640="",E2640="[PARENT]"),"ADD",IF(E2640="[ALT_VIEW]","ALT",""))</f>
        <v/>
      </c>
      <c r="AD2640" s="21">
        <f>IF(Y2640&lt;&gt;"",Y2640,IF(U2640&lt;&gt;"",U2640,S2640))</f>
        <v/>
      </c>
      <c r="AE2640" s="21">
        <f>IF(AB2640&lt;&gt;"",AB2640,Z2640)</f>
        <v/>
      </c>
      <c r="AF2640" s="13" t="inlineStr">
        <is>
          <t>OMN Vol2 &gt; PB-61 &gt; OMN &gt; Ships &gt; Ship Maint &gt; LHA [UNFUNDED]</t>
        </is>
      </c>
      <c r="AG2640" s="7" t="inlineStr">
        <is>
          <t>110</t>
        </is>
      </c>
      <c r="AH2640" s="7" t="inlineStr">
        <is>
          <t>1B4B</t>
        </is>
      </c>
      <c r="AI2640" s="7" t="inlineStr">
        <is>
          <t>OMN &gt; Ships &gt; Ship Maint</t>
        </is>
      </c>
      <c r="AJ2640" s="7" t="inlineStr">
        <is>
          <t>LHA [UNFUNDED]</t>
        </is>
      </c>
    </row>
    <row r="2641" ht="10" customHeight="1">
      <c r="A2641" s="7" t="inlineStr">
        <is>
          <t>OMN_Vol2</t>
        </is>
      </c>
      <c r="B2641" s="7" t="inlineStr">
        <is>
          <t>O&amp;M</t>
        </is>
      </c>
      <c r="D2641" s="7" t="inlineStr">
        <is>
          <t>LHD</t>
        </is>
      </c>
      <c r="E2641" s="13" t="inlineStr">
        <is>
          <t>[UNFUNDED]</t>
        </is>
      </c>
      <c r="F2641" s="7" t="inlineStr">
        <is>
          <t>Gap: FY2026 Required (37210) - Funded (36577)</t>
        </is>
      </c>
      <c r="I2641" s="14" t="n">
        <v>2</v>
      </c>
      <c r="K2641" s="13" t="inlineStr">
        <is>
          <t>USN</t>
        </is>
      </c>
      <c r="L2641" s="7" t="inlineStr">
        <is>
          <t>Combatant Ships</t>
        </is>
      </c>
      <c r="M2641" s="7" t="inlineStr">
        <is>
          <t>Amphibious Warfare Ships</t>
        </is>
      </c>
      <c r="N2641" s="7" t="inlineStr">
        <is>
          <t>LHD</t>
        </is>
      </c>
      <c r="O2641" s="15" t="n"/>
      <c r="V2641" s="16" t="n">
        <v>633</v>
      </c>
      <c r="AC2641" s="23">
        <f>IF(OR(E2641="",E2641="[PARENT]"),"ADD",IF(E2641="[ALT_VIEW]","ALT",""))</f>
        <v/>
      </c>
      <c r="AD2641" s="21">
        <f>IF(Y2641&lt;&gt;"",Y2641,IF(U2641&lt;&gt;"",U2641,S2641))</f>
        <v/>
      </c>
      <c r="AE2641" s="21">
        <f>IF(AB2641&lt;&gt;"",AB2641,Z2641)</f>
        <v/>
      </c>
      <c r="AF2641" s="13" t="inlineStr">
        <is>
          <t>OMN Vol2 &gt; PB-61 &gt; OMN &gt; Ships &gt; Ship Maint &gt; LHD [UNFUNDED]</t>
        </is>
      </c>
      <c r="AG2641" s="7" t="inlineStr">
        <is>
          <t>110</t>
        </is>
      </c>
      <c r="AH2641" s="7" t="inlineStr">
        <is>
          <t>1B4B</t>
        </is>
      </c>
      <c r="AI2641" s="7" t="inlineStr">
        <is>
          <t>OMN &gt; Ships &gt; Ship Maint</t>
        </is>
      </c>
      <c r="AJ2641" s="7" t="inlineStr">
        <is>
          <t>LHD [UNFUNDED]</t>
        </is>
      </c>
    </row>
    <row r="2642" ht="10" customHeight="1">
      <c r="A2642" s="7" t="inlineStr">
        <is>
          <t>OMN_Vol2</t>
        </is>
      </c>
      <c r="B2642" s="7" t="inlineStr">
        <is>
          <t>O&amp;M</t>
        </is>
      </c>
      <c r="D2642" s="7" t="inlineStr">
        <is>
          <t>LPD</t>
        </is>
      </c>
      <c r="E2642" s="13" t="inlineStr">
        <is>
          <t>[UNFUNDED]</t>
        </is>
      </c>
      <c r="F2642" s="7" t="inlineStr">
        <is>
          <t>Gap: FY2026 Required (105354) - Funded (105286)</t>
        </is>
      </c>
      <c r="I2642" s="14" t="n">
        <v>2</v>
      </c>
      <c r="K2642" s="13" t="inlineStr">
        <is>
          <t>USN</t>
        </is>
      </c>
      <c r="L2642" s="7" t="inlineStr">
        <is>
          <t>Combatant Ships</t>
        </is>
      </c>
      <c r="M2642" s="7" t="inlineStr">
        <is>
          <t>Amphibious Warfare Ships</t>
        </is>
      </c>
      <c r="N2642" s="7" t="inlineStr">
        <is>
          <t>LPD</t>
        </is>
      </c>
      <c r="O2642" s="15" t="n"/>
      <c r="V2642" s="16" t="n">
        <v>68</v>
      </c>
      <c r="AC2642" s="23">
        <f>IF(OR(E2642="",E2642="[PARENT]"),"ADD",IF(E2642="[ALT_VIEW]","ALT",""))</f>
        <v/>
      </c>
      <c r="AD2642" s="21">
        <f>IF(Y2642&lt;&gt;"",Y2642,IF(U2642&lt;&gt;"",U2642,S2642))</f>
        <v/>
      </c>
      <c r="AE2642" s="21">
        <f>IF(AB2642&lt;&gt;"",AB2642,Z2642)</f>
        <v/>
      </c>
      <c r="AF2642" s="13" t="inlineStr">
        <is>
          <t>OMN Vol2 &gt; PB-61 &gt; OMN &gt; Ships &gt; Ship Maint &gt; LPD [UNFUNDED]</t>
        </is>
      </c>
      <c r="AG2642" s="7" t="inlineStr">
        <is>
          <t>111</t>
        </is>
      </c>
      <c r="AH2642" s="7" t="inlineStr">
        <is>
          <t>1B4B</t>
        </is>
      </c>
      <c r="AI2642" s="7" t="inlineStr">
        <is>
          <t>OMN &gt; Ships &gt; Ship Maint</t>
        </is>
      </c>
      <c r="AJ2642" s="7" t="inlineStr">
        <is>
          <t>LPD [UNFUNDED]</t>
        </is>
      </c>
    </row>
    <row r="2643" ht="10" customHeight="1">
      <c r="A2643" s="7" t="inlineStr">
        <is>
          <t>OMN_Vol2</t>
        </is>
      </c>
      <c r="B2643" s="7" t="inlineStr">
        <is>
          <t>O&amp;M</t>
        </is>
      </c>
      <c r="D2643" s="7" t="inlineStr">
        <is>
          <t>LSD</t>
        </is>
      </c>
      <c r="E2643" s="13" t="inlineStr">
        <is>
          <t>[UNFUNDED]</t>
        </is>
      </c>
      <c r="F2643" s="7" t="inlineStr">
        <is>
          <t>Gap: FY2026 Required (97543) - Funded (73346)</t>
        </is>
      </c>
      <c r="I2643" s="14" t="n">
        <v>2</v>
      </c>
      <c r="K2643" s="13" t="inlineStr">
        <is>
          <t>USN</t>
        </is>
      </c>
      <c r="L2643" s="7" t="inlineStr">
        <is>
          <t>Combatant Ships</t>
        </is>
      </c>
      <c r="M2643" s="7" t="inlineStr">
        <is>
          <t>Amphibious Warfare Ships</t>
        </is>
      </c>
      <c r="N2643" s="7" t="inlineStr">
        <is>
          <t>LSD</t>
        </is>
      </c>
      <c r="O2643" s="15" t="n"/>
      <c r="V2643" s="16" t="n">
        <v>24197</v>
      </c>
      <c r="AC2643" s="23">
        <f>IF(OR(E2643="",E2643="[PARENT]"),"ADD",IF(E2643="[ALT_VIEW]","ALT",""))</f>
        <v/>
      </c>
      <c r="AD2643" s="21">
        <f>IF(Y2643&lt;&gt;"",Y2643,IF(U2643&lt;&gt;"",U2643,S2643))</f>
        <v/>
      </c>
      <c r="AE2643" s="21">
        <f>IF(AB2643&lt;&gt;"",AB2643,Z2643)</f>
        <v/>
      </c>
      <c r="AF2643" s="13" t="inlineStr">
        <is>
          <t>OMN Vol2 &gt; PB-61 &gt; OMN &gt; Ships &gt; Ship Maint &gt; LSD [UNFUNDED]</t>
        </is>
      </c>
      <c r="AG2643" s="7" t="inlineStr">
        <is>
          <t>111</t>
        </is>
      </c>
      <c r="AH2643" s="7" t="inlineStr">
        <is>
          <t>1B4B</t>
        </is>
      </c>
      <c r="AI2643" s="7" t="inlineStr">
        <is>
          <t>OMN &gt; Ships &gt; Ship Maint</t>
        </is>
      </c>
      <c r="AJ2643" s="7" t="inlineStr">
        <is>
          <t>LSD [UNFUNDED]</t>
        </is>
      </c>
    </row>
    <row r="2644" ht="10" customHeight="1">
      <c r="A2644" s="7" t="inlineStr">
        <is>
          <t>OMN_Vol2</t>
        </is>
      </c>
      <c r="B2644" s="7" t="inlineStr">
        <is>
          <t>O&amp;M</t>
        </is>
      </c>
      <c r="D2644" s="7" t="inlineStr">
        <is>
          <t>MCM-MHC (A)</t>
        </is>
      </c>
      <c r="E2644" s="13" t="inlineStr">
        <is>
          <t>[UNFUNDED]</t>
        </is>
      </c>
      <c r="F2644" s="7" t="inlineStr">
        <is>
          <t>Gap: FY2026 Required (13189) - Funded (10813)</t>
        </is>
      </c>
      <c r="I2644" s="14" t="n">
        <v>2</v>
      </c>
      <c r="K2644" s="13" t="inlineStr">
        <is>
          <t>USN</t>
        </is>
      </c>
      <c r="L2644" s="7" t="inlineStr">
        <is>
          <t>Combatant Ships</t>
        </is>
      </c>
      <c r="M2644" s="7" t="inlineStr">
        <is>
          <t>Mine Warfare</t>
        </is>
      </c>
      <c r="N2644" s="7" t="inlineStr">
        <is>
          <t>MCM</t>
        </is>
      </c>
      <c r="O2644" s="15" t="n"/>
      <c r="V2644" s="16" t="n">
        <v>2376</v>
      </c>
      <c r="AC2644" s="23">
        <f>IF(OR(E2644="",E2644="[PARENT]"),"ADD",IF(E2644="[ALT_VIEW]","ALT",""))</f>
        <v/>
      </c>
      <c r="AD2644" s="21">
        <f>IF(Y2644&lt;&gt;"",Y2644,IF(U2644&lt;&gt;"",U2644,S2644))</f>
        <v/>
      </c>
      <c r="AE2644" s="21">
        <f>IF(AB2644&lt;&gt;"",AB2644,Z2644)</f>
        <v/>
      </c>
      <c r="AF2644" s="13" t="inlineStr">
        <is>
          <t>OMN Vol2 &gt; PB-61 &gt; OMN &gt; Ships &gt; Ship Maint &gt; MCM-MHC (A) [UNFUNDED]</t>
        </is>
      </c>
      <c r="AG2644" s="7" t="inlineStr">
        <is>
          <t>111</t>
        </is>
      </c>
      <c r="AH2644" s="7" t="inlineStr">
        <is>
          <t>1B4B</t>
        </is>
      </c>
      <c r="AI2644" s="7" t="inlineStr">
        <is>
          <t>OMN &gt; Ships &gt; Ship Maint</t>
        </is>
      </c>
      <c r="AJ2644" s="7" t="inlineStr">
        <is>
          <t>MCM-MHC (A) [UNFUNDED]</t>
        </is>
      </c>
    </row>
    <row r="2645" ht="10" customHeight="1">
      <c r="A2645" s="7" t="inlineStr">
        <is>
          <t>OMN_Vol2</t>
        </is>
      </c>
      <c r="B2645" s="7" t="inlineStr">
        <is>
          <t>O&amp;M</t>
        </is>
      </c>
      <c r="D2645" s="7" t="inlineStr">
        <is>
          <t>Naval Beach Group 2 (NBG2)</t>
        </is>
      </c>
      <c r="E2645" s="13" t="inlineStr">
        <is>
          <t>[UNFUNDED]</t>
        </is>
      </c>
      <c r="F2645" s="7" t="inlineStr">
        <is>
          <t>Gap: FY2026 Required (27283) - Funded (964)</t>
        </is>
      </c>
      <c r="I2645" s="14" t="n">
        <v>2</v>
      </c>
      <c r="K2645" s="15" t="n"/>
      <c r="O2645" s="15" t="n"/>
      <c r="V2645" s="16" t="n">
        <v>26319</v>
      </c>
      <c r="AC2645" s="23">
        <f>IF(OR(E2645="",E2645="[PARENT]"),"ADD",IF(E2645="[ALT_VIEW]","ALT",""))</f>
        <v/>
      </c>
      <c r="AD2645" s="21">
        <f>IF(Y2645&lt;&gt;"",Y2645,IF(U2645&lt;&gt;"",U2645,S2645))</f>
        <v/>
      </c>
      <c r="AE2645" s="21">
        <f>IF(AB2645&lt;&gt;"",AB2645,Z2645)</f>
        <v/>
      </c>
      <c r="AF2645" s="13" t="inlineStr">
        <is>
          <t>OMN Vol2 &gt; PB-61 &gt; OMN &gt; Ships &gt; Ship Maint &gt; NBG2 [UNFUNDED]</t>
        </is>
      </c>
      <c r="AG2645" s="7" t="inlineStr">
        <is>
          <t>111</t>
        </is>
      </c>
      <c r="AH2645" s="7" t="inlineStr">
        <is>
          <t>1B4B</t>
        </is>
      </c>
      <c r="AI2645" s="7" t="inlineStr">
        <is>
          <t>OMN &gt; Ships &gt; Ship Maint</t>
        </is>
      </c>
      <c r="AJ2645" s="7" t="inlineStr">
        <is>
          <t>NBG2 [UNFUNDED]</t>
        </is>
      </c>
    </row>
    <row r="2646" ht="10" customHeight="1">
      <c r="A2646" s="7" t="inlineStr">
        <is>
          <t>OMN_Vol2</t>
        </is>
      </c>
      <c r="B2646" s="7" t="inlineStr">
        <is>
          <t>O&amp;M</t>
        </is>
      </c>
      <c r="D2646" s="7" t="inlineStr">
        <is>
          <t>Safety &amp; Occupational Health (SOH)</t>
        </is>
      </c>
      <c r="E2646" s="13" t="inlineStr">
        <is>
          <t>[UNFUNDED]</t>
        </is>
      </c>
      <c r="F2646" s="7" t="inlineStr">
        <is>
          <t>Gap: FY2026 Required (29120) - Funded (27382)</t>
        </is>
      </c>
      <c r="I2646" s="14" t="n">
        <v>2</v>
      </c>
      <c r="K2646" s="15" t="n"/>
      <c r="O2646" s="15" t="n"/>
      <c r="V2646" s="16" t="n">
        <v>1738</v>
      </c>
      <c r="AC2646" s="23">
        <f>IF(OR(E2646="",E2646="[PARENT]"),"ADD",IF(E2646="[ALT_VIEW]","ALT",""))</f>
        <v/>
      </c>
      <c r="AD2646" s="21">
        <f>IF(Y2646&lt;&gt;"",Y2646,IF(U2646&lt;&gt;"",U2646,S2646))</f>
        <v/>
      </c>
      <c r="AE2646" s="21">
        <f>IF(AB2646&lt;&gt;"",AB2646,Z2646)</f>
        <v/>
      </c>
      <c r="AF2646" s="13" t="inlineStr">
        <is>
          <t>OMN Vol2 &gt; PB-61 &gt; OMN &gt; Ships &gt; Ship Maint &gt; SOH [UNFUNDED]</t>
        </is>
      </c>
      <c r="AG2646" s="7" t="inlineStr">
        <is>
          <t>111</t>
        </is>
      </c>
      <c r="AH2646" s="7" t="inlineStr">
        <is>
          <t>1B4B</t>
        </is>
      </c>
      <c r="AI2646" s="7" t="inlineStr">
        <is>
          <t>OMN &gt; Ships &gt; Ship Maint</t>
        </is>
      </c>
      <c r="AJ2646" s="7" t="inlineStr">
        <is>
          <t>SOH [UNFUNDED]</t>
        </is>
      </c>
    </row>
    <row r="2647" ht="10" customHeight="1">
      <c r="A2647" s="7" t="inlineStr">
        <is>
          <t>OMN_Vol2</t>
        </is>
      </c>
      <c r="B2647" s="7" t="inlineStr">
        <is>
          <t>O&amp;M</t>
        </is>
      </c>
      <c r="D2647" s="7" t="inlineStr">
        <is>
          <t>SSBN</t>
        </is>
      </c>
      <c r="E2647" s="13" t="inlineStr">
        <is>
          <t>[UNFUNDED]</t>
        </is>
      </c>
      <c r="F2647" s="7" t="inlineStr">
        <is>
          <t>Gap: FY2026 Required (307425) - Funded (301080)</t>
        </is>
      </c>
      <c r="I2647" s="14" t="n">
        <v>2</v>
      </c>
      <c r="K2647" s="13" t="inlineStr">
        <is>
          <t>USN</t>
        </is>
      </c>
      <c r="L2647" s="7" t="inlineStr">
        <is>
          <t>Combatant Ships</t>
        </is>
      </c>
      <c r="M2647" s="7" t="inlineStr">
        <is>
          <t>Submarines</t>
        </is>
      </c>
      <c r="N2647" s="7" t="inlineStr">
        <is>
          <t>SSBN</t>
        </is>
      </c>
      <c r="O2647" s="15" t="n"/>
      <c r="V2647" s="16" t="n">
        <v>6345</v>
      </c>
      <c r="AC2647" s="23">
        <f>IF(OR(E2647="",E2647="[PARENT]"),"ADD",IF(E2647="[ALT_VIEW]","ALT",""))</f>
        <v/>
      </c>
      <c r="AD2647" s="21">
        <f>IF(Y2647&lt;&gt;"",Y2647,IF(U2647&lt;&gt;"",U2647,S2647))</f>
        <v/>
      </c>
      <c r="AE2647" s="21">
        <f>IF(AB2647&lt;&gt;"",AB2647,Z2647)</f>
        <v/>
      </c>
      <c r="AF2647" s="13" t="inlineStr">
        <is>
          <t>OMN Vol2 &gt; PB-61 &gt; OMN &gt; Ships &gt; Ship Maint &gt; SSBN [UNFUNDED]</t>
        </is>
      </c>
      <c r="AG2647" s="7" t="inlineStr">
        <is>
          <t>111</t>
        </is>
      </c>
      <c r="AH2647" s="7" t="inlineStr">
        <is>
          <t>1B4B</t>
        </is>
      </c>
      <c r="AI2647" s="7" t="inlineStr">
        <is>
          <t>OMN &gt; Ships &gt; Ship Maint</t>
        </is>
      </c>
      <c r="AJ2647" s="7" t="inlineStr">
        <is>
          <t>SSBN [UNFUNDED]</t>
        </is>
      </c>
    </row>
    <row r="2648" ht="10" customHeight="1">
      <c r="A2648" s="7" t="inlineStr">
        <is>
          <t>OMN_Vol2</t>
        </is>
      </c>
      <c r="B2648" s="7" t="inlineStr">
        <is>
          <t>O&amp;M</t>
        </is>
      </c>
      <c r="D2648" s="7" t="inlineStr">
        <is>
          <t>SSGN</t>
        </is>
      </c>
      <c r="E2648" s="13" t="inlineStr">
        <is>
          <t>[UNFUNDED]</t>
        </is>
      </c>
      <c r="F2648" s="7" t="inlineStr">
        <is>
          <t>Gap: FY2026 Required (67846) - Funded (67781)</t>
        </is>
      </c>
      <c r="I2648" s="14" t="n">
        <v>2</v>
      </c>
      <c r="K2648" s="13" t="inlineStr">
        <is>
          <t>USN</t>
        </is>
      </c>
      <c r="L2648" s="7" t="inlineStr">
        <is>
          <t>Combatant Ships</t>
        </is>
      </c>
      <c r="M2648" s="7" t="inlineStr">
        <is>
          <t>Submarines</t>
        </is>
      </c>
      <c r="N2648" s="7" t="inlineStr">
        <is>
          <t>SSGN</t>
        </is>
      </c>
      <c r="O2648" s="15" t="n"/>
      <c r="V2648" s="16" t="n">
        <v>65</v>
      </c>
      <c r="AC2648" s="23">
        <f>IF(OR(E2648="",E2648="[PARENT]"),"ADD",IF(E2648="[ALT_VIEW]","ALT",""))</f>
        <v/>
      </c>
      <c r="AD2648" s="21">
        <f>IF(Y2648&lt;&gt;"",Y2648,IF(U2648&lt;&gt;"",U2648,S2648))</f>
        <v/>
      </c>
      <c r="AE2648" s="21">
        <f>IF(AB2648&lt;&gt;"",AB2648,Z2648)</f>
        <v/>
      </c>
      <c r="AF2648" s="13" t="inlineStr">
        <is>
          <t>OMN Vol2 &gt; PB-61 &gt; OMN &gt; Ships &gt; Ship Maint &gt; SSGN [UNFUNDED]</t>
        </is>
      </c>
      <c r="AG2648" s="7" t="inlineStr">
        <is>
          <t>111</t>
        </is>
      </c>
      <c r="AH2648" s="7" t="inlineStr">
        <is>
          <t>1B4B</t>
        </is>
      </c>
      <c r="AI2648" s="7" t="inlineStr">
        <is>
          <t>OMN &gt; Ships &gt; Ship Maint</t>
        </is>
      </c>
      <c r="AJ2648" s="7" t="inlineStr">
        <is>
          <t>SSGN [UNFUNDED]</t>
        </is>
      </c>
    </row>
    <row r="2649" ht="10" customHeight="1">
      <c r="A2649" s="7" t="inlineStr">
        <is>
          <t>OMN_Vol2</t>
        </is>
      </c>
      <c r="B2649" s="7" t="inlineStr">
        <is>
          <t>O&amp;M</t>
        </is>
      </c>
      <c r="D2649" s="7" t="inlineStr">
        <is>
          <t>SSN</t>
        </is>
      </c>
      <c r="E2649" s="13" t="inlineStr">
        <is>
          <t>[UNFUNDED]</t>
        </is>
      </c>
      <c r="F2649" s="7" t="inlineStr">
        <is>
          <t>Gap: FY2026 Required (592946) - Funded (584293)</t>
        </is>
      </c>
      <c r="I2649" s="14" t="n">
        <v>2</v>
      </c>
      <c r="K2649" s="13" t="inlineStr">
        <is>
          <t>USN</t>
        </is>
      </c>
      <c r="L2649" s="7" t="inlineStr">
        <is>
          <t>Combatant Ships</t>
        </is>
      </c>
      <c r="M2649" s="7" t="inlineStr">
        <is>
          <t>Submarines</t>
        </is>
      </c>
      <c r="N2649" s="7" t="inlineStr">
        <is>
          <t>SSN</t>
        </is>
      </c>
      <c r="O2649" s="15" t="n"/>
      <c r="V2649" s="16" t="n">
        <v>8653</v>
      </c>
      <c r="AC2649" s="23">
        <f>IF(OR(E2649="",E2649="[PARENT]"),"ADD",IF(E2649="[ALT_VIEW]","ALT",""))</f>
        <v/>
      </c>
      <c r="AD2649" s="21">
        <f>IF(Y2649&lt;&gt;"",Y2649,IF(U2649&lt;&gt;"",U2649,S2649))</f>
        <v/>
      </c>
      <c r="AE2649" s="21">
        <f>IF(AB2649&lt;&gt;"",AB2649,Z2649)</f>
        <v/>
      </c>
      <c r="AF2649" s="13" t="inlineStr">
        <is>
          <t>OMN Vol2 &gt; PB-61 &gt; OMN &gt; Ships &gt; Ship Maint &gt; SSN [UNFUNDED]</t>
        </is>
      </c>
      <c r="AG2649" s="7" t="inlineStr">
        <is>
          <t>111</t>
        </is>
      </c>
      <c r="AH2649" s="7" t="inlineStr">
        <is>
          <t>1B4B</t>
        </is>
      </c>
      <c r="AI2649" s="7" t="inlineStr">
        <is>
          <t>OMN &gt; Ships &gt; Ship Maint - SA303 SSN 21 TECHNICAL INSERTION KITS (SWFTS)</t>
        </is>
      </c>
      <c r="AJ2649" s="7" t="inlineStr">
        <is>
          <t>SSN [UNFUNDED]</t>
        </is>
      </c>
    </row>
    <row r="2650" ht="10" customHeight="1">
      <c r="A2650" s="7" t="inlineStr">
        <is>
          <t>OMN_Vol2</t>
        </is>
      </c>
      <c r="B2650" s="7" t="inlineStr">
        <is>
          <t>O&amp;M</t>
        </is>
      </c>
      <c r="D2650" s="7" t="inlineStr">
        <is>
          <t>SSN-MTS-SSGN</t>
        </is>
      </c>
      <c r="E2650" s="13" t="inlineStr">
        <is>
          <t>[UNFUNDED]</t>
        </is>
      </c>
      <c r="F2650" s="7" t="inlineStr">
        <is>
          <t>Gap: FY2026 Required (2531177) - Funded (2431863)</t>
        </is>
      </c>
      <c r="I2650" s="14" t="n">
        <v>2</v>
      </c>
      <c r="K2650" s="13" t="inlineStr">
        <is>
          <t>USN</t>
        </is>
      </c>
      <c r="L2650" s="7" t="inlineStr">
        <is>
          <t>Combatant Ships</t>
        </is>
      </c>
      <c r="M2650" s="7" t="inlineStr">
        <is>
          <t>Submarines</t>
        </is>
      </c>
      <c r="O2650" s="15" t="n"/>
      <c r="V2650" s="16" t="n">
        <v>99314</v>
      </c>
      <c r="AC2650" s="23">
        <f>IF(OR(E2650="",E2650="[PARENT]"),"ADD",IF(E2650="[ALT_VIEW]","ALT",""))</f>
        <v/>
      </c>
      <c r="AD2650" s="21">
        <f>IF(Y2650&lt;&gt;"",Y2650,IF(U2650&lt;&gt;"",U2650,S2650))</f>
        <v/>
      </c>
      <c r="AE2650" s="21">
        <f>IF(AB2650&lt;&gt;"",AB2650,Z2650)</f>
        <v/>
      </c>
      <c r="AF2650" s="13" t="inlineStr">
        <is>
          <t>OMN Vol2 &gt; PB-61 &gt; OMN &gt; Ships &gt; Ship Maint &gt; SSN-MTS-SSGN [UNFUNDED]</t>
        </is>
      </c>
      <c r="AG2650" s="7" t="inlineStr">
        <is>
          <t>111</t>
        </is>
      </c>
      <c r="AH2650" s="7" t="inlineStr">
        <is>
          <t>1B4B</t>
        </is>
      </c>
      <c r="AI2650" s="7" t="inlineStr">
        <is>
          <t>OMN &gt; Ships &gt; Ship Maint</t>
        </is>
      </c>
      <c r="AJ2650" s="7" t="inlineStr">
        <is>
          <t>SSN-MTS-SSGN [UNFUNDED]</t>
        </is>
      </c>
    </row>
    <row r="2651" ht="10" customHeight="1">
      <c r="A2651" s="7" t="inlineStr">
        <is>
          <t>OMN_Vol2</t>
        </is>
      </c>
      <c r="B2651" s="7" t="inlineStr">
        <is>
          <t>O&amp;M</t>
        </is>
      </c>
      <c r="D2651" s="7" t="inlineStr">
        <is>
          <t>SSN-SSGN</t>
        </is>
      </c>
      <c r="E2651" s="13" t="inlineStr">
        <is>
          <t>[UNFUNDED]</t>
        </is>
      </c>
      <c r="F2651" s="7" t="inlineStr">
        <is>
          <t>Gap: FY2026 Required (1598434) - Funded (1410798)</t>
        </is>
      </c>
      <c r="I2651" s="14" t="n">
        <v>2</v>
      </c>
      <c r="K2651" s="13" t="inlineStr">
        <is>
          <t>USN</t>
        </is>
      </c>
      <c r="L2651" s="7" t="inlineStr">
        <is>
          <t>Combatant Ships</t>
        </is>
      </c>
      <c r="M2651" s="7" t="inlineStr">
        <is>
          <t>Submarines</t>
        </is>
      </c>
      <c r="O2651" s="15" t="n"/>
      <c r="V2651" s="16" t="n">
        <v>187636</v>
      </c>
      <c r="AC2651" s="23">
        <f>IF(OR(E2651="",E2651="[PARENT]"),"ADD",IF(E2651="[ALT_VIEW]","ALT",""))</f>
        <v/>
      </c>
      <c r="AD2651" s="21">
        <f>IF(Y2651&lt;&gt;"",Y2651,IF(U2651&lt;&gt;"",U2651,S2651))</f>
        <v/>
      </c>
      <c r="AE2651" s="21">
        <f>IF(AB2651&lt;&gt;"",AB2651,Z2651)</f>
        <v/>
      </c>
      <c r="AF2651" s="13" t="inlineStr">
        <is>
          <t>OMN Vol2 &gt; PB-61 &gt; OMN &gt; Ships &gt; Ship Maint &gt; SSN-SSGN [UNFUNDED]</t>
        </is>
      </c>
      <c r="AG2651" s="7" t="inlineStr">
        <is>
          <t>111</t>
        </is>
      </c>
      <c r="AH2651" s="7" t="inlineStr">
        <is>
          <t>1B4B</t>
        </is>
      </c>
      <c r="AI2651" s="7" t="inlineStr">
        <is>
          <t>OMN &gt; Ships &gt; Ship Maint</t>
        </is>
      </c>
      <c r="AJ2651" s="7" t="inlineStr">
        <is>
          <t>SSN-SSGN [UNFUNDED]</t>
        </is>
      </c>
    </row>
    <row r="2652" ht="10" customHeight="1">
      <c r="A2652" s="7" t="inlineStr">
        <is>
          <t>OMN_Vol2</t>
        </is>
      </c>
      <c r="B2652" s="7" t="inlineStr">
        <is>
          <t>O&amp;M</t>
        </is>
      </c>
      <c r="D2652" s="7" t="inlineStr">
        <is>
          <t>AMPHIBS</t>
        </is>
      </c>
      <c r="E2652" s="13" t="inlineStr">
        <is>
          <t>[UNFUNDED]</t>
        </is>
      </c>
      <c r="F2652" s="7" t="inlineStr">
        <is>
          <t>Gap: FY2026 Required (393588) - Funded (236773)</t>
        </is>
      </c>
      <c r="I2652" s="14" t="n">
        <v>4</v>
      </c>
      <c r="K2652" s="13" t="inlineStr">
        <is>
          <t>USN</t>
        </is>
      </c>
      <c r="L2652" s="7" t="inlineStr">
        <is>
          <t>Combatant Ships</t>
        </is>
      </c>
      <c r="M2652" s="7" t="inlineStr">
        <is>
          <t>Amphibious Warfare Ships</t>
        </is>
      </c>
      <c r="O2652" s="15" t="n"/>
      <c r="V2652" s="16" t="n">
        <v>156815</v>
      </c>
      <c r="AC2652" s="23">
        <f>IF(OR(E2652="",E2652="[PARENT]"),"ADD",IF(E2652="[ALT_VIEW]","ALT",""))</f>
        <v/>
      </c>
      <c r="AD2652" s="21">
        <f>IF(Y2652&lt;&gt;"",Y2652,IF(U2652&lt;&gt;"",U2652,S2652))</f>
        <v/>
      </c>
      <c r="AE2652" s="21">
        <f>IF(AB2652&lt;&gt;"",AB2652,Z2652)</f>
        <v/>
      </c>
      <c r="AF2652" s="13" t="inlineStr">
        <is>
          <t>OMN Vol2 &gt; PB-61 &gt; OPN &gt; Ships &gt; Ship Maint &gt; AMPHIBS [UNFUNDED]</t>
        </is>
      </c>
      <c r="AG2652" s="7" t="inlineStr">
        <is>
          <t>118</t>
        </is>
      </c>
      <c r="AH2652" s="7" t="inlineStr">
        <is>
          <t>1B4B</t>
        </is>
      </c>
      <c r="AI2652" s="7" t="inlineStr">
        <is>
          <t>OPN &gt; Ships &gt; Ship Maint</t>
        </is>
      </c>
      <c r="AJ2652" s="7" t="inlineStr">
        <is>
          <t>AMPHIBS [UNFUNDED]</t>
        </is>
      </c>
    </row>
    <row r="2653" ht="10" customHeight="1">
      <c r="A2653" s="7" t="inlineStr">
        <is>
          <t>OMN_Vol2</t>
        </is>
      </c>
      <c r="B2653" s="7" t="inlineStr">
        <is>
          <t>O&amp;M</t>
        </is>
      </c>
      <c r="D2653" s="7" t="inlineStr">
        <is>
          <t>DDG</t>
        </is>
      </c>
      <c r="E2653" s="13" t="inlineStr">
        <is>
          <t>[UNFUNDED]</t>
        </is>
      </c>
      <c r="F2653" s="7" t="inlineStr">
        <is>
          <t>Gap: FY2026 Required (1418118) - Funded (1282612)</t>
        </is>
      </c>
      <c r="I2653" s="14" t="n">
        <v>4</v>
      </c>
      <c r="K2653" s="13" t="inlineStr">
        <is>
          <t>USN</t>
        </is>
      </c>
      <c r="L2653" s="7" t="inlineStr">
        <is>
          <t>Combatant Ships</t>
        </is>
      </c>
      <c r="M2653" s="7" t="inlineStr">
        <is>
          <t>Surface Combatants</t>
        </is>
      </c>
      <c r="N2653" s="7" t="inlineStr">
        <is>
          <t>DDG</t>
        </is>
      </c>
      <c r="O2653" s="15" t="n"/>
      <c r="V2653" s="16" t="n">
        <v>135506</v>
      </c>
      <c r="AC2653" s="23">
        <f>IF(OR(E2653="",E2653="[PARENT]"),"ADD",IF(E2653="[ALT_VIEW]","ALT",""))</f>
        <v/>
      </c>
      <c r="AD2653" s="21">
        <f>IF(Y2653&lt;&gt;"",Y2653,IF(U2653&lt;&gt;"",U2653,S2653))</f>
        <v/>
      </c>
      <c r="AE2653" s="21">
        <f>IF(AB2653&lt;&gt;"",AB2653,Z2653)</f>
        <v/>
      </c>
      <c r="AF2653" s="13" t="inlineStr">
        <is>
          <t>OMN Vol2 &gt; PB-61 &gt; OPN &gt; Ships &gt; Ship Maint &gt; DDG [UNFUNDED]</t>
        </is>
      </c>
      <c r="AG2653" s="7" t="inlineStr">
        <is>
          <t>118</t>
        </is>
      </c>
      <c r="AH2653" s="7" t="inlineStr">
        <is>
          <t>1B4B</t>
        </is>
      </c>
      <c r="AI2653" s="7" t="inlineStr">
        <is>
          <t>OPN &gt; Ships &gt; Ship Maint - DM001 - DDG MODERNIZATION HME (IBNS)</t>
        </is>
      </c>
      <c r="AJ2653" s="7" t="inlineStr">
        <is>
          <t>DDG [UNFUNDED]</t>
        </is>
      </c>
    </row>
    <row r="2654" ht="10" customHeight="1">
      <c r="A2654" s="7" t="inlineStr">
        <is>
          <t>OPN_BA1</t>
        </is>
      </c>
      <c r="B2654" s="7" t="inlineStr">
        <is>
          <t>Procurement</t>
        </is>
      </c>
      <c r="C2654" s="7" t="inlineStr">
        <is>
          <t>1</t>
        </is>
      </c>
      <c r="D2654" s="7" t="inlineStr">
        <is>
          <t>Surface Power Equipment</t>
        </is>
      </c>
      <c r="E2654" s="15" t="n"/>
      <c r="I2654" s="14" t="n">
        <v>4</v>
      </c>
      <c r="K2654" s="15" t="n"/>
      <c r="O2654" s="15" t="n"/>
      <c r="P2654" s="16" t="n">
        <v>12855</v>
      </c>
      <c r="Q2654" s="16" t="n">
        <v>20840</v>
      </c>
      <c r="S2654" s="16" t="n">
        <v>9978</v>
      </c>
      <c r="T2654" s="16" t="n">
        <v>0</v>
      </c>
      <c r="U2654" s="16" t="n">
        <v>9978</v>
      </c>
      <c r="X2654" s="16" t="n">
        <v>9978</v>
      </c>
      <c r="Y2654" s="16" t="n">
        <v>9978</v>
      </c>
      <c r="Z2654" s="16" t="n">
        <v>22668</v>
      </c>
      <c r="AB2654" s="16" t="n">
        <v>22668</v>
      </c>
      <c r="AC2654" s="23">
        <f>IF(OR(E2654="",E2654="[PARENT]"),"ADD",IF(E2654="[ALT_VIEW]","ALT",""))</f>
        <v/>
      </c>
      <c r="AD2654" s="21">
        <f>IF(Y2654&lt;&gt;"",Y2654,IF(U2654&lt;&gt;"",U2654,S2654))</f>
        <v/>
      </c>
      <c r="AE2654" s="21">
        <f>IF(AB2654&lt;&gt;"",AB2654,Z2654)</f>
        <v/>
      </c>
      <c r="AF2654" s="13" t="inlineStr">
        <is>
          <t>OPN BA01 &gt; BSA 01 Ship Propulsion Equipment &gt; P-40 LI 0131</t>
        </is>
      </c>
      <c r="AG2654" s="7" t="inlineStr">
        <is>
          <t>59</t>
        </is>
      </c>
      <c r="AH2654" s="7" t="inlineStr">
        <is>
          <t>0131</t>
        </is>
      </c>
    </row>
    <row r="2655" ht="10" customHeight="1">
      <c r="A2655" s="7" t="inlineStr">
        <is>
          <t>OPN_BA1</t>
        </is>
      </c>
      <c r="B2655" s="7" t="inlineStr">
        <is>
          <t>Procurement</t>
        </is>
      </c>
      <c r="C2655" s="7" t="inlineStr">
        <is>
          <t>2</t>
        </is>
      </c>
      <c r="D2655" s="7" t="inlineStr">
        <is>
          <t>Surface Combatant HM&amp;E</t>
        </is>
      </c>
      <c r="E2655" s="15" t="n"/>
      <c r="I2655" s="14" t="n">
        <v>4</v>
      </c>
      <c r="K2655" s="15" t="n"/>
      <c r="O2655" s="15" t="n"/>
      <c r="P2655" s="16" t="n">
        <v>92449</v>
      </c>
      <c r="Q2655" s="16" t="n">
        <v>77592</v>
      </c>
      <c r="S2655" s="16" t="n">
        <v>62004</v>
      </c>
      <c r="T2655" s="16" t="n">
        <v>0</v>
      </c>
      <c r="U2655" s="16" t="n">
        <v>62004</v>
      </c>
      <c r="X2655" s="16" t="n">
        <v>62004</v>
      </c>
      <c r="Y2655" s="16" t="n">
        <v>62004</v>
      </c>
      <c r="Z2655" s="16" t="n">
        <v>103871</v>
      </c>
      <c r="AB2655" s="16" t="n">
        <v>103871</v>
      </c>
      <c r="AC2655" s="23">
        <f>IF(OR(E2655="",E2655="[PARENT]"),"ADD",IF(E2655="[ALT_VIEW]","ALT",""))</f>
        <v/>
      </c>
      <c r="AD2655" s="21">
        <f>IF(Y2655&lt;&gt;"",Y2655,IF(U2655&lt;&gt;"",U2655,S2655))</f>
        <v/>
      </c>
      <c r="AE2655" s="21">
        <f>IF(AB2655&lt;&gt;"",AB2655,Z2655)</f>
        <v/>
      </c>
      <c r="AF2655" s="13" t="inlineStr">
        <is>
          <t>OPN BA01 &gt; BSA 02 Generators &gt; P-40 LI 0200</t>
        </is>
      </c>
      <c r="AG2655" s="7" t="inlineStr">
        <is>
          <t>75</t>
        </is>
      </c>
      <c r="AH2655" s="7" t="inlineStr">
        <is>
          <t>0200</t>
        </is>
      </c>
    </row>
    <row r="2656" ht="10" customHeight="1">
      <c r="A2656" s="7" t="inlineStr">
        <is>
          <t>OPN_BA1</t>
        </is>
      </c>
      <c r="B2656" s="7" t="inlineStr">
        <is>
          <t>Procurement</t>
        </is>
      </c>
      <c r="C2656" s="7" t="inlineStr">
        <is>
          <t>3</t>
        </is>
      </c>
      <c r="D2656" s="7" t="inlineStr">
        <is>
          <t>Other Navigation Equipment</t>
        </is>
      </c>
      <c r="E2656" s="15" t="n"/>
      <c r="I2656" s="14" t="n">
        <v>4</v>
      </c>
      <c r="K2656" s="15" t="n"/>
      <c r="O2656" s="15" t="n"/>
      <c r="P2656" s="16" t="n">
        <v>103852</v>
      </c>
      <c r="Q2656" s="16" t="n">
        <v>97206</v>
      </c>
      <c r="S2656" s="16" t="n">
        <v>96945</v>
      </c>
      <c r="T2656" s="16" t="n">
        <v>0</v>
      </c>
      <c r="U2656" s="16" t="n">
        <v>96945</v>
      </c>
      <c r="X2656" s="16" t="n">
        <v>96945</v>
      </c>
      <c r="Y2656" s="16" t="n">
        <v>96945</v>
      </c>
      <c r="Z2656" s="16" t="n">
        <v>83510</v>
      </c>
      <c r="AB2656" s="16" t="n">
        <v>83510</v>
      </c>
      <c r="AC2656" s="23">
        <f>IF(OR(E2656="",E2656="[PARENT]"),"ADD",IF(E2656="[ALT_VIEW]","ALT",""))</f>
        <v/>
      </c>
      <c r="AD2656" s="21">
        <f>IF(Y2656&lt;&gt;"",Y2656,IF(U2656&lt;&gt;"",U2656,S2656))</f>
        <v/>
      </c>
      <c r="AE2656" s="21">
        <f>IF(AB2656&lt;&gt;"",AB2656,Z2656)</f>
        <v/>
      </c>
      <c r="AF2656" s="13" t="inlineStr">
        <is>
          <t>OPN BA01 &gt; BSA 06 Navigation Equipment &gt; P-40 LI 0670</t>
        </is>
      </c>
      <c r="AG2656" s="7" t="inlineStr">
        <is>
          <t>83</t>
        </is>
      </c>
      <c r="AH2656" s="7" t="inlineStr">
        <is>
          <t>0670</t>
        </is>
      </c>
      <c r="AI2656" s="7" t="inlineStr">
        <is>
          <t>GW054: NAVIGATION TRAINING EQUIPMENT</t>
        </is>
      </c>
    </row>
    <row r="2657" ht="10" customHeight="1">
      <c r="A2657" s="7" t="inlineStr">
        <is>
          <t>OPN_BA1</t>
        </is>
      </c>
      <c r="B2657" s="7" t="inlineStr">
        <is>
          <t>Procurement</t>
        </is>
      </c>
      <c r="C2657" s="7" t="inlineStr">
        <is>
          <t>4</t>
        </is>
      </c>
      <c r="D2657" s="7" t="inlineStr">
        <is>
          <t>Sub Periscope Imaging and Supt Equip Prog</t>
        </is>
      </c>
      <c r="E2657" s="15" t="n"/>
      <c r="I2657" s="14" t="n">
        <v>4</v>
      </c>
      <c r="K2657" s="13" t="inlineStr">
        <is>
          <t>USN</t>
        </is>
      </c>
      <c r="L2657" s="7" t="inlineStr">
        <is>
          <t>Combatant Ships</t>
        </is>
      </c>
      <c r="M2657" s="7" t="inlineStr">
        <is>
          <t>Submarines</t>
        </is>
      </c>
      <c r="N2657" s="7" t="inlineStr">
        <is>
          <t>SSN</t>
        </is>
      </c>
      <c r="O2657" s="15" t="n"/>
      <c r="P2657" s="16" t="n">
        <v>272778</v>
      </c>
      <c r="Q2657" s="16" t="n">
        <v>290575</v>
      </c>
      <c r="S2657" s="16" t="n">
        <v>135863</v>
      </c>
      <c r="T2657" s="16" t="n">
        <v>141550</v>
      </c>
      <c r="U2657" s="16" t="n">
        <v>277413</v>
      </c>
      <c r="W2657" s="16" t="n">
        <v>0</v>
      </c>
      <c r="X2657" s="16" t="n">
        <v>204863</v>
      </c>
      <c r="Y2657" s="16" t="n">
        <v>204863</v>
      </c>
      <c r="Z2657" s="16" t="n">
        <v>344885</v>
      </c>
      <c r="AB2657" s="16" t="n">
        <v>344885</v>
      </c>
      <c r="AC2657" s="23">
        <f>IF(OR(E2657="",E2657="[PARENT]"),"ADD",IF(E2657="[ALT_VIEW]","ALT",""))</f>
        <v/>
      </c>
      <c r="AD2657" s="21">
        <f>IF(Y2657&lt;&gt;"",Y2657,IF(U2657&lt;&gt;"",U2657,S2657))</f>
        <v/>
      </c>
      <c r="AE2657" s="21">
        <f>IF(AB2657&lt;&gt;"",AB2657,Z2657)</f>
        <v/>
      </c>
      <c r="AF2657" s="13" t="inlineStr">
        <is>
          <t>OPN BA01 &gt; BSA 09 Other Shipboard Equipment &gt; P-40 LI 0840</t>
        </is>
      </c>
      <c r="AG2657" s="7" t="inlineStr">
        <is>
          <t>161</t>
        </is>
      </c>
      <c r="AH2657" s="7" t="inlineStr">
        <is>
          <t>0840</t>
        </is>
      </c>
    </row>
    <row r="2658" ht="10" customHeight="1">
      <c r="A2658" s="7" t="inlineStr">
        <is>
          <t>OPN_BA1</t>
        </is>
      </c>
      <c r="B2658" s="7" t="inlineStr">
        <is>
          <t>Procurement</t>
        </is>
      </c>
      <c r="C2658" s="7" t="inlineStr">
        <is>
          <t>5</t>
        </is>
      </c>
      <c r="D2658" s="7" t="inlineStr">
        <is>
          <t>DDG Mod</t>
        </is>
      </c>
      <c r="E2658" s="13" t="inlineStr">
        <is>
          <t>[PARENT]</t>
        </is>
      </c>
      <c r="I2658" s="14" t="n">
        <v>4</v>
      </c>
      <c r="K2658" s="13" t="inlineStr">
        <is>
          <t>USN</t>
        </is>
      </c>
      <c r="L2658" s="7" t="inlineStr">
        <is>
          <t>Combatant Ships</t>
        </is>
      </c>
      <c r="M2658" s="7" t="inlineStr">
        <is>
          <t>Surface Combatants</t>
        </is>
      </c>
      <c r="N2658" s="7" t="inlineStr">
        <is>
          <t>DDG</t>
        </is>
      </c>
      <c r="O2658" s="15" t="n"/>
      <c r="P2658" s="16" t="n">
        <v>641676</v>
      </c>
      <c r="Q2658" s="16" t="n">
        <v>861066</v>
      </c>
      <c r="S2658" s="16" t="n">
        <v>686787</v>
      </c>
      <c r="T2658" s="16" t="n">
        <v>310698</v>
      </c>
      <c r="U2658" s="16" t="n">
        <v>997485</v>
      </c>
      <c r="W2658" s="16" t="n">
        <v>0</v>
      </c>
      <c r="X2658" s="16" t="n">
        <v>878787</v>
      </c>
      <c r="Y2658" s="16" t="n">
        <v>878787</v>
      </c>
      <c r="Z2658" s="16" t="n">
        <v>1000278</v>
      </c>
      <c r="AB2658" s="16" t="n">
        <v>1000278</v>
      </c>
      <c r="AC2658" s="23">
        <f>IF(OR(E2658="",E2658="[PARENT]"),"ADD",IF(E2658="[ALT_VIEW]","ALT",""))</f>
        <v/>
      </c>
      <c r="AD2658" s="21">
        <f>IF(Y2658&lt;&gt;"",Y2658,IF(U2658&lt;&gt;"",U2658,S2658))</f>
        <v/>
      </c>
      <c r="AE2658" s="21">
        <f>IF(AB2658&lt;&gt;"",AB2658,Z2658)</f>
        <v/>
      </c>
      <c r="AF2658" s="13" t="inlineStr">
        <is>
          <t>OPN BA01 &gt; BSA 09 Other Shipboard Equipment &gt; P-40 LI 0900</t>
        </is>
      </c>
      <c r="AG2658" s="7" t="inlineStr">
        <is>
          <t>197</t>
        </is>
      </c>
      <c r="AH2658" s="7" t="inlineStr">
        <is>
          <t>0900</t>
        </is>
      </c>
    </row>
    <row r="2659" ht="10" customHeight="1">
      <c r="A2659" s="7" t="inlineStr">
        <is>
          <t>OPN_BA1</t>
        </is>
      </c>
      <c r="B2659" s="7" t="inlineStr">
        <is>
          <t>Procurement</t>
        </is>
      </c>
      <c r="C2659" s="7" t="inlineStr">
        <is>
          <t>5-DM014</t>
        </is>
      </c>
      <c r="D2659" s="7" t="inlineStr">
        <is>
          <t>DDG Mod &gt; SPY-6(V)4 Solid State Radar Equipment</t>
        </is>
      </c>
      <c r="E2659" s="13" t="inlineStr">
        <is>
          <t>[SUB]</t>
        </is>
      </c>
      <c r="F2659" s="7" t="inlineStr">
        <is>
          <t>5 / DDG Mod</t>
        </is>
      </c>
      <c r="I2659" s="14" t="n">
        <v>4</v>
      </c>
      <c r="K2659" s="13" t="inlineStr">
        <is>
          <t>USN</t>
        </is>
      </c>
      <c r="L2659" s="7" t="inlineStr">
        <is>
          <t>Combatant Ships</t>
        </is>
      </c>
      <c r="M2659" s="7" t="inlineStr">
        <is>
          <t>Surface Combatants</t>
        </is>
      </c>
      <c r="N2659" s="7" t="inlineStr">
        <is>
          <t>DDG</t>
        </is>
      </c>
      <c r="O2659" s="15" t="n"/>
      <c r="S2659" s="16" t="n">
        <v>337068</v>
      </c>
      <c r="AC2659" s="23">
        <f>IF(OR(E2659="",E2659="[PARENT]"),"ADD",IF(E2659="[ALT_VIEW]","ALT",""))</f>
        <v/>
      </c>
      <c r="AD2659" s="21">
        <f>IF(Y2659&lt;&gt;"",Y2659,IF(U2659&lt;&gt;"",U2659,S2659))</f>
        <v/>
      </c>
      <c r="AE2659" s="21">
        <f>IF(AB2659&lt;&gt;"",AB2659,Z2659)</f>
        <v/>
      </c>
      <c r="AF2659" s="13" t="inlineStr">
        <is>
          <t>OPN BA01 &gt; BSA 09 &gt; P-40 LI 0900 &gt; P-3a DM014</t>
        </is>
      </c>
      <c r="AG2659" s="7" t="inlineStr">
        <is>
          <t>197</t>
        </is>
      </c>
      <c r="AH2659" s="7" t="inlineStr">
        <is>
          <t>0900</t>
        </is>
      </c>
      <c r="AI2659" s="7" t="inlineStr">
        <is>
          <t>DM014 SOLID STATE RADAR EQUIPMENT</t>
        </is>
      </c>
      <c r="AJ2659" s="7" t="inlineStr">
        <is>
          <t>DM014</t>
        </is>
      </c>
    </row>
    <row r="2660" ht="10" customHeight="1">
      <c r="A2660" s="7" t="inlineStr">
        <is>
          <t>OPN_BA1</t>
        </is>
      </c>
      <c r="B2660" s="7" t="inlineStr">
        <is>
          <t>Procurement</t>
        </is>
      </c>
      <c r="C2660" s="7" t="inlineStr">
        <is>
          <t>5-DM001</t>
        </is>
      </c>
      <c r="D2660" s="7" t="inlineStr">
        <is>
          <t>DDG Mod &gt; DDG Modernization HM&amp;E (aggregate)</t>
        </is>
      </c>
      <c r="E2660" s="13" t="inlineStr">
        <is>
          <t>[SUB]</t>
        </is>
      </c>
      <c r="F2660" s="7" t="inlineStr">
        <is>
          <t>5 / DDG Mod</t>
        </is>
      </c>
      <c r="I2660" s="14" t="n">
        <v>4</v>
      </c>
      <c r="K2660" s="13" t="inlineStr">
        <is>
          <t>USN</t>
        </is>
      </c>
      <c r="L2660" s="7" t="inlineStr">
        <is>
          <t>Combatant Ships</t>
        </is>
      </c>
      <c r="M2660" s="7" t="inlineStr">
        <is>
          <t>Surface Combatants</t>
        </is>
      </c>
      <c r="N2660" s="7" t="inlineStr">
        <is>
          <t>DDG</t>
        </is>
      </c>
      <c r="O2660" s="15" t="n"/>
      <c r="S2660" s="16" t="n">
        <v>168026</v>
      </c>
      <c r="AC2660" s="23">
        <f>IF(OR(E2660="",E2660="[PARENT]"),"ADD",IF(E2660="[ALT_VIEW]","ALT",""))</f>
        <v/>
      </c>
      <c r="AD2660" s="21">
        <f>IF(Y2660&lt;&gt;"",Y2660,IF(U2660&lt;&gt;"",U2660,S2660))</f>
        <v/>
      </c>
      <c r="AE2660" s="21">
        <f>IF(AB2660&lt;&gt;"",AB2660,Z2660)</f>
        <v/>
      </c>
      <c r="AF2660" s="13" t="inlineStr">
        <is>
          <t>OPN BA01 &gt; BSA 09 &gt; P-40 LI 0900 &gt; P-3a DM001</t>
        </is>
      </c>
      <c r="AG2660" s="7" t="inlineStr">
        <is>
          <t>197</t>
        </is>
      </c>
      <c r="AH2660" s="7" t="inlineStr">
        <is>
          <t>0900</t>
        </is>
      </c>
      <c r="AI2660" s="7" t="inlineStr">
        <is>
          <t>DM001 - HES-C</t>
        </is>
      </c>
      <c r="AJ2660" s="7" t="inlineStr">
        <is>
          <t>DM001</t>
        </is>
      </c>
    </row>
    <row r="2661" ht="10" customHeight="1">
      <c r="A2661" s="7" t="inlineStr">
        <is>
          <t>OPN_BA1</t>
        </is>
      </c>
      <c r="B2661" s="7" t="inlineStr">
        <is>
          <t>Procurement</t>
        </is>
      </c>
      <c r="C2661" s="7" t="inlineStr">
        <is>
          <t>5-DM004</t>
        </is>
      </c>
      <c r="D2661" s="7" t="inlineStr">
        <is>
          <t>DDG Mod &gt; AWS Upgrade</t>
        </is>
      </c>
      <c r="E2661" s="13" t="inlineStr">
        <is>
          <t>[SUB]</t>
        </is>
      </c>
      <c r="F2661" s="7" t="inlineStr">
        <is>
          <t>5 / DDG Mod</t>
        </is>
      </c>
      <c r="I2661" s="14" t="n">
        <v>4</v>
      </c>
      <c r="K2661" s="13" t="inlineStr">
        <is>
          <t>USN</t>
        </is>
      </c>
      <c r="L2661" s="7" t="inlineStr">
        <is>
          <t>Combatant Ships</t>
        </is>
      </c>
      <c r="M2661" s="7" t="inlineStr">
        <is>
          <t>Surface Combatants</t>
        </is>
      </c>
      <c r="N2661" s="7" t="inlineStr">
        <is>
          <t>DDG</t>
        </is>
      </c>
      <c r="O2661" s="15" t="n"/>
      <c r="S2661" s="16" t="n">
        <v>51902</v>
      </c>
      <c r="AC2661" s="23">
        <f>IF(OR(E2661="",E2661="[PARENT]"),"ADD",IF(E2661="[ALT_VIEW]","ALT",""))</f>
        <v/>
      </c>
      <c r="AD2661" s="21">
        <f>IF(Y2661&lt;&gt;"",Y2661,IF(U2661&lt;&gt;"",U2661,S2661))</f>
        <v/>
      </c>
      <c r="AE2661" s="21">
        <f>IF(AB2661&lt;&gt;"",AB2661,Z2661)</f>
        <v/>
      </c>
      <c r="AF2661" s="13" t="inlineStr">
        <is>
          <t>OPN BA01 &gt; BSA 09 &gt; P-40 LI 0900 &gt; P-3a DM004</t>
        </is>
      </c>
      <c r="AG2661" s="7" t="inlineStr">
        <is>
          <t>197</t>
        </is>
      </c>
      <c r="AH2661" s="7" t="inlineStr">
        <is>
          <t>0900</t>
        </is>
      </c>
      <c r="AI2661" s="7" t="inlineStr">
        <is>
          <t>DM004 - AWS UPGRADE</t>
        </is>
      </c>
      <c r="AJ2661" s="7" t="inlineStr">
        <is>
          <t>DM004</t>
        </is>
      </c>
    </row>
    <row r="2662" ht="10" customHeight="1">
      <c r="A2662" s="7" t="inlineStr">
        <is>
          <t>OPN_BA1</t>
        </is>
      </c>
      <c r="B2662" s="7" t="inlineStr">
        <is>
          <t>Procurement</t>
        </is>
      </c>
      <c r="C2662" s="7" t="inlineStr">
        <is>
          <t>5-AGG</t>
        </is>
      </c>
      <c r="D2662" s="7" t="inlineStr">
        <is>
          <t>DDG Mod &gt; Aggregated Items</t>
        </is>
      </c>
      <c r="E2662" s="13" t="inlineStr">
        <is>
          <t>[SUB]</t>
        </is>
      </c>
      <c r="F2662" s="7" t="inlineStr">
        <is>
          <t>5 / DDG Mod</t>
        </is>
      </c>
      <c r="I2662" s="14" t="n">
        <v>4</v>
      </c>
      <c r="K2662" s="13" t="inlineStr">
        <is>
          <t>USN</t>
        </is>
      </c>
      <c r="L2662" s="7" t="inlineStr">
        <is>
          <t>Combatant Ships</t>
        </is>
      </c>
      <c r="M2662" s="7" t="inlineStr">
        <is>
          <t>Surface Combatants</t>
        </is>
      </c>
      <c r="N2662" s="7" t="inlineStr">
        <is>
          <t>DDG</t>
        </is>
      </c>
      <c r="O2662" s="15" t="n"/>
      <c r="S2662" s="16" t="n">
        <v>79260</v>
      </c>
      <c r="AC2662" s="23">
        <f>IF(OR(E2662="",E2662="[PARENT]"),"ADD",IF(E2662="[ALT_VIEW]","ALT",""))</f>
        <v/>
      </c>
      <c r="AD2662" s="21">
        <f>IF(Y2662&lt;&gt;"",Y2662,IF(U2662&lt;&gt;"",U2662,S2662))</f>
        <v/>
      </c>
      <c r="AE2662" s="21">
        <f>IF(AB2662&lt;&gt;"",AB2662,Z2662)</f>
        <v/>
      </c>
      <c r="AF2662" s="13" t="inlineStr">
        <is>
          <t>OPN BA01 &gt; BSA 09 &gt; P-40 LI 0900 &gt; P-40a</t>
        </is>
      </c>
      <c r="AG2662" s="7" t="inlineStr">
        <is>
          <t>197</t>
        </is>
      </c>
      <c r="AH2662" s="7" t="inlineStr">
        <is>
          <t>0900</t>
        </is>
      </c>
    </row>
    <row r="2663" ht="10" customHeight="1">
      <c r="A2663" s="7" t="inlineStr">
        <is>
          <t>OPN_BA1</t>
        </is>
      </c>
      <c r="B2663" s="7" t="inlineStr">
        <is>
          <t>Procurement</t>
        </is>
      </c>
      <c r="C2663" s="7" t="inlineStr">
        <is>
          <t>6</t>
        </is>
      </c>
      <c r="D2663" s="7" t="inlineStr">
        <is>
          <t>Firefighting Equipment</t>
        </is>
      </c>
      <c r="E2663" s="15" t="n"/>
      <c r="I2663" s="14" t="n">
        <v>4</v>
      </c>
      <c r="K2663" s="15" t="n"/>
      <c r="O2663" s="15" t="n"/>
      <c r="P2663" s="16" t="n">
        <v>33532</v>
      </c>
      <c r="Q2663" s="16" t="n">
        <v>38521</v>
      </c>
      <c r="S2663" s="16" t="n">
        <v>36488</v>
      </c>
      <c r="T2663" s="16" t="n">
        <v>0</v>
      </c>
      <c r="U2663" s="16" t="n">
        <v>36488</v>
      </c>
      <c r="X2663" s="16" t="n">
        <v>36488</v>
      </c>
      <c r="Y2663" s="16" t="n">
        <v>36488</v>
      </c>
      <c r="Z2663" s="16" t="n">
        <v>177708</v>
      </c>
      <c r="AB2663" s="16" t="n">
        <v>177708</v>
      </c>
      <c r="AC2663" s="23">
        <f>IF(OR(E2663="",E2663="[PARENT]"),"ADD",IF(E2663="[ALT_VIEW]","ALT",""))</f>
        <v/>
      </c>
      <c r="AD2663" s="21">
        <f>IF(Y2663&lt;&gt;"",Y2663,IF(U2663&lt;&gt;"",U2663,S2663))</f>
        <v/>
      </c>
      <c r="AE2663" s="21">
        <f>IF(AB2663&lt;&gt;"",AB2663,Z2663)</f>
        <v/>
      </c>
      <c r="AF2663" s="13" t="inlineStr">
        <is>
          <t>OPN BA01 &gt; BSA 09 Other Shipboard Equipment &gt; P-40 LI 0910</t>
        </is>
      </c>
      <c r="AG2663" s="7" t="inlineStr">
        <is>
          <t>265</t>
        </is>
      </c>
      <c r="AH2663" s="7" t="inlineStr">
        <is>
          <t>0910</t>
        </is>
      </c>
    </row>
    <row r="2664" ht="10" customHeight="1">
      <c r="A2664" s="7" t="inlineStr">
        <is>
          <t>OPN_BA1</t>
        </is>
      </c>
      <c r="B2664" s="7" t="inlineStr">
        <is>
          <t>Procurement</t>
        </is>
      </c>
      <c r="C2664" s="7" t="inlineStr">
        <is>
          <t>7</t>
        </is>
      </c>
      <c r="D2664" s="7" t="inlineStr">
        <is>
          <t>Command and Control Switchboard</t>
        </is>
      </c>
      <c r="E2664" s="15" t="n"/>
      <c r="I2664" s="14" t="n">
        <v>4</v>
      </c>
      <c r="K2664" s="15" t="n"/>
      <c r="O2664" s="15" t="n"/>
      <c r="P2664" s="16" t="n">
        <v>2456</v>
      </c>
      <c r="Q2664" s="16" t="n">
        <v>2402</v>
      </c>
      <c r="S2664" s="16" t="n">
        <v>2417</v>
      </c>
      <c r="T2664" s="16" t="n">
        <v>0</v>
      </c>
      <c r="U2664" s="16" t="n">
        <v>2417</v>
      </c>
      <c r="X2664" s="16" t="n">
        <v>2417</v>
      </c>
      <c r="Y2664" s="16" t="n">
        <v>2417</v>
      </c>
      <c r="Z2664" s="16" t="n">
        <v>2259</v>
      </c>
      <c r="AB2664" s="16" t="n">
        <v>2259</v>
      </c>
      <c r="AC2664" s="23">
        <f>IF(OR(E2664="",E2664="[PARENT]"),"ADD",IF(E2664="[ALT_VIEW]","ALT",""))</f>
        <v/>
      </c>
      <c r="AD2664" s="21">
        <f>IF(Y2664&lt;&gt;"",Y2664,IF(U2664&lt;&gt;"",U2664,S2664))</f>
        <v/>
      </c>
      <c r="AE2664" s="21">
        <f>IF(AB2664&lt;&gt;"",AB2664,Z2664)</f>
        <v/>
      </c>
      <c r="AF2664" s="13" t="inlineStr">
        <is>
          <t>OPN BA01 &gt; BSA 09 Other Shipboard Equipment &gt; P-40 LI 0925</t>
        </is>
      </c>
      <c r="AG2664" s="7" t="inlineStr">
        <is>
          <t>281</t>
        </is>
      </c>
      <c r="AH2664" s="7" t="inlineStr">
        <is>
          <t>0925</t>
        </is>
      </c>
    </row>
    <row r="2665" ht="10" customHeight="1">
      <c r="A2665" s="7" t="inlineStr">
        <is>
          <t>OPN_BA1</t>
        </is>
      </c>
      <c r="B2665" s="7" t="inlineStr">
        <is>
          <t>Procurement</t>
        </is>
      </c>
      <c r="C2665" s="7" t="inlineStr">
        <is>
          <t>8</t>
        </is>
      </c>
      <c r="D2665" s="7" t="inlineStr">
        <is>
          <t>LHA/LHD Midlife</t>
        </is>
      </c>
      <c r="E2665" s="15" t="n"/>
      <c r="I2665" s="14" t="n">
        <v>4</v>
      </c>
      <c r="K2665" s="13" t="inlineStr">
        <is>
          <t>USN</t>
        </is>
      </c>
      <c r="L2665" s="7" t="inlineStr">
        <is>
          <t>Combatant Ships</t>
        </is>
      </c>
      <c r="M2665" s="7" t="inlineStr">
        <is>
          <t>Amphibious Warfare Ships</t>
        </is>
      </c>
      <c r="N2665" s="7" t="inlineStr">
        <is>
          <t>LHD</t>
        </is>
      </c>
      <c r="O2665" s="15" t="n"/>
      <c r="P2665" s="16" t="n">
        <v>102334</v>
      </c>
      <c r="Q2665" s="16" t="n">
        <v>81602</v>
      </c>
      <c r="S2665" s="16" t="n">
        <v>86884</v>
      </c>
      <c r="T2665" s="16" t="n">
        <v>36500</v>
      </c>
      <c r="U2665" s="16" t="n">
        <v>123384</v>
      </c>
      <c r="W2665" s="16" t="n">
        <v>62767</v>
      </c>
      <c r="X2665" s="16" t="n">
        <v>60617</v>
      </c>
      <c r="Y2665" s="16" t="n">
        <v>123384</v>
      </c>
      <c r="Z2665" s="16" t="n">
        <v>131315</v>
      </c>
      <c r="AB2665" s="16" t="n">
        <v>131315</v>
      </c>
      <c r="AC2665" s="23">
        <f>IF(OR(E2665="",E2665="[PARENT]"),"ADD",IF(E2665="[ALT_VIEW]","ALT",""))</f>
        <v/>
      </c>
      <c r="AD2665" s="21">
        <f>IF(Y2665&lt;&gt;"",Y2665,IF(U2665&lt;&gt;"",U2665,S2665))</f>
        <v/>
      </c>
      <c r="AE2665" s="21">
        <f>IF(AB2665&lt;&gt;"",AB2665,Z2665)</f>
        <v/>
      </c>
      <c r="AF2665" s="13" t="inlineStr">
        <is>
          <t>OPN BA01 &gt; BSA 09 Other Shipboard Equipment &gt; P-40 LI 0933</t>
        </is>
      </c>
      <c r="AG2665" s="7" t="inlineStr">
        <is>
          <t>287</t>
        </is>
      </c>
      <c r="AH2665" s="7" t="inlineStr">
        <is>
          <t>0933</t>
        </is>
      </c>
    </row>
    <row r="2666" ht="10" customHeight="1">
      <c r="A2666" s="7" t="inlineStr">
        <is>
          <t>OPN_BA1</t>
        </is>
      </c>
      <c r="B2666" s="7" t="inlineStr">
        <is>
          <t>Procurement</t>
        </is>
      </c>
      <c r="C2666" s="7" t="inlineStr">
        <is>
          <t>9</t>
        </is>
      </c>
      <c r="D2666" s="7" t="inlineStr">
        <is>
          <t>LCC 19/20 Extended Service Life Program</t>
        </is>
      </c>
      <c r="E2666" s="15" t="n"/>
      <c r="I2666" s="14" t="n">
        <v>5</v>
      </c>
      <c r="K2666" s="13" t="inlineStr">
        <is>
          <t>USN</t>
        </is>
      </c>
      <c r="L2666" s="7" t="inlineStr">
        <is>
          <t>Combatant Ships</t>
        </is>
      </c>
      <c r="M2666" s="7" t="inlineStr">
        <is>
          <t>Command Ships</t>
        </is>
      </c>
      <c r="N2666" s="7" t="inlineStr">
        <is>
          <t>LCC</t>
        </is>
      </c>
      <c r="O2666" s="15" t="n"/>
      <c r="P2666" s="16" t="n">
        <v>10522</v>
      </c>
      <c r="Q2666" s="16" t="n">
        <v>7352</v>
      </c>
      <c r="S2666" s="16" t="n">
        <v>19276</v>
      </c>
      <c r="T2666" s="16" t="n">
        <v>0</v>
      </c>
      <c r="U2666" s="16" t="n">
        <v>19276</v>
      </c>
      <c r="X2666" s="16" t="n">
        <v>19276</v>
      </c>
      <c r="Y2666" s="16" t="n">
        <v>19276</v>
      </c>
      <c r="Z2666" s="16" t="n">
        <v>766</v>
      </c>
      <c r="AB2666" s="16" t="n">
        <v>766</v>
      </c>
      <c r="AC2666" s="23">
        <f>IF(OR(E2666="",E2666="[PARENT]"),"ADD",IF(E2666="[ALT_VIEW]","ALT",""))</f>
        <v/>
      </c>
      <c r="AD2666" s="21">
        <f>IF(Y2666&lt;&gt;"",Y2666,IF(U2666&lt;&gt;"",U2666,S2666))</f>
        <v/>
      </c>
      <c r="AE2666" s="21">
        <f>IF(AB2666&lt;&gt;"",AB2666,Z2666)</f>
        <v/>
      </c>
      <c r="AF2666" s="13" t="inlineStr">
        <is>
          <t>OPN BA01 &gt; BSA 09 Other Shipboard Equipment &gt; P-40 LI 0934</t>
        </is>
      </c>
      <c r="AG2666" s="7" t="inlineStr">
        <is>
          <t>333</t>
        </is>
      </c>
      <c r="AH2666" s="7" t="inlineStr">
        <is>
          <t>0934</t>
        </is>
      </c>
    </row>
    <row r="2667" ht="10" customHeight="1">
      <c r="A2667" s="7" t="inlineStr">
        <is>
          <t>OPN_BA1</t>
        </is>
      </c>
      <c r="B2667" s="7" t="inlineStr">
        <is>
          <t>Procurement</t>
        </is>
      </c>
      <c r="C2667" s="7" t="inlineStr">
        <is>
          <t>10</t>
        </is>
      </c>
      <c r="D2667" s="7" t="inlineStr">
        <is>
          <t>Pollution Control Equipment</t>
        </is>
      </c>
      <c r="E2667" s="15" t="n"/>
      <c r="I2667" s="14" t="n">
        <v>4</v>
      </c>
      <c r="K2667" s="15" t="n"/>
      <c r="O2667" s="15" t="n"/>
      <c r="P2667" s="16" t="n">
        <v>22757</v>
      </c>
      <c r="Q2667" s="16" t="n">
        <v>23440</v>
      </c>
      <c r="S2667" s="16" t="n">
        <v>22477</v>
      </c>
      <c r="T2667" s="16" t="n">
        <v>0</v>
      </c>
      <c r="U2667" s="16" t="n">
        <v>22477</v>
      </c>
      <c r="X2667" s="16" t="n">
        <v>22477</v>
      </c>
      <c r="Y2667" s="16" t="n">
        <v>22477</v>
      </c>
      <c r="Z2667" s="16" t="n">
        <v>22506</v>
      </c>
      <c r="AB2667" s="16" t="n">
        <v>22506</v>
      </c>
      <c r="AC2667" s="23">
        <f>IF(OR(E2667="",E2667="[PARENT]"),"ADD",IF(E2667="[ALT_VIEW]","ALT",""))</f>
        <v/>
      </c>
      <c r="AD2667" s="21">
        <f>IF(Y2667&lt;&gt;"",Y2667,IF(U2667&lt;&gt;"",U2667,S2667))</f>
        <v/>
      </c>
      <c r="AE2667" s="21">
        <f>IF(AB2667&lt;&gt;"",AB2667,Z2667)</f>
        <v/>
      </c>
      <c r="AF2667" s="13" t="inlineStr">
        <is>
          <t>OPN BA01 &gt; BSA 09 Other Shipboard Equipment &gt; P-40 LI 0935</t>
        </is>
      </c>
      <c r="AG2667" s="7" t="inlineStr">
        <is>
          <t>343</t>
        </is>
      </c>
      <c r="AH2667" s="7" t="inlineStr">
        <is>
          <t>0935</t>
        </is>
      </c>
    </row>
    <row r="2668" ht="10" customHeight="1">
      <c r="A2668" s="7" t="inlineStr">
        <is>
          <t>OPN_BA1</t>
        </is>
      </c>
      <c r="B2668" s="7" t="inlineStr">
        <is>
          <t>Procurement</t>
        </is>
      </c>
      <c r="C2668" s="7" t="inlineStr">
        <is>
          <t>11</t>
        </is>
      </c>
      <c r="D2668" s="7" t="inlineStr">
        <is>
          <t>Submarine Support Equipment</t>
        </is>
      </c>
      <c r="E2668" s="15" t="n"/>
      <c r="I2668" s="14" t="n">
        <v>4</v>
      </c>
      <c r="K2668" s="13" t="inlineStr">
        <is>
          <t>USN</t>
        </is>
      </c>
      <c r="L2668" s="7" t="inlineStr">
        <is>
          <t>Combatant Ships</t>
        </is>
      </c>
      <c r="M2668" s="7" t="inlineStr">
        <is>
          <t>Submarines</t>
        </is>
      </c>
      <c r="N2668" s="7" t="inlineStr">
        <is>
          <t>SSN</t>
        </is>
      </c>
      <c r="O2668" s="15" t="n"/>
      <c r="P2668" s="16" t="n">
        <v>210652</v>
      </c>
      <c r="Q2668" s="16" t="n">
        <v>293766</v>
      </c>
      <c r="S2668" s="16" t="n">
        <v>383062</v>
      </c>
      <c r="T2668" s="16" t="n">
        <v>0</v>
      </c>
      <c r="U2668" s="16" t="n">
        <v>383062</v>
      </c>
      <c r="X2668" s="16" t="n">
        <v>383062</v>
      </c>
      <c r="Y2668" s="16" t="n">
        <v>383062</v>
      </c>
      <c r="Z2668" s="16" t="n">
        <v>330951</v>
      </c>
      <c r="AB2668" s="16" t="n">
        <v>330951</v>
      </c>
      <c r="AC2668" s="23">
        <f>IF(OR(E2668="",E2668="[PARENT]"),"ADD",IF(E2668="[ALT_VIEW]","ALT",""))</f>
        <v/>
      </c>
      <c r="AD2668" s="21">
        <f>IF(Y2668&lt;&gt;"",Y2668,IF(U2668&lt;&gt;"",U2668,S2668))</f>
        <v/>
      </c>
      <c r="AE2668" s="21">
        <f>IF(AB2668&lt;&gt;"",AB2668,Z2668)</f>
        <v/>
      </c>
      <c r="AF2668" s="13" t="inlineStr">
        <is>
          <t>OPN BA01 &gt; BSA 09 Other Shipboard Equipment &gt; P-40 LI 0941</t>
        </is>
      </c>
      <c r="AG2668" s="7" t="inlineStr">
        <is>
          <t>363</t>
        </is>
      </c>
      <c r="AH2668" s="7" t="inlineStr">
        <is>
          <t>0941</t>
        </is>
      </c>
    </row>
    <row r="2669" ht="10" customHeight="1">
      <c r="A2669" s="7" t="inlineStr">
        <is>
          <t>OPN_BA1</t>
        </is>
      </c>
      <c r="B2669" s="7" t="inlineStr">
        <is>
          <t>Procurement</t>
        </is>
      </c>
      <c r="C2669" s="7" t="inlineStr">
        <is>
          <t>12</t>
        </is>
      </c>
      <c r="D2669" s="7" t="inlineStr">
        <is>
          <t>Virginia Class Support Equipment</t>
        </is>
      </c>
      <c r="E2669" s="15" t="n"/>
      <c r="I2669" s="14" t="n">
        <v>4</v>
      </c>
      <c r="K2669" s="13" t="inlineStr">
        <is>
          <t>USN</t>
        </is>
      </c>
      <c r="L2669" s="7" t="inlineStr">
        <is>
          <t>Combatant Ships</t>
        </is>
      </c>
      <c r="M2669" s="7" t="inlineStr">
        <is>
          <t>Submarines</t>
        </is>
      </c>
      <c r="N2669" s="7" t="inlineStr">
        <is>
          <t>SSN</t>
        </is>
      </c>
      <c r="O2669" s="15" t="n"/>
      <c r="P2669" s="16" t="n">
        <v>32055</v>
      </c>
      <c r="Q2669" s="16" t="n">
        <v>43565</v>
      </c>
      <c r="S2669" s="16" t="n">
        <v>52039</v>
      </c>
      <c r="T2669" s="16" t="n">
        <v>0</v>
      </c>
      <c r="U2669" s="16" t="n">
        <v>52039</v>
      </c>
      <c r="X2669" s="16" t="n">
        <v>52039</v>
      </c>
      <c r="Y2669" s="16" t="n">
        <v>52039</v>
      </c>
      <c r="Z2669" s="16" t="n">
        <v>83297</v>
      </c>
      <c r="AB2669" s="16" t="n">
        <v>83297</v>
      </c>
      <c r="AC2669" s="23">
        <f>IF(OR(E2669="",E2669="[PARENT]"),"ADD",IF(E2669="[ALT_VIEW]","ALT",""))</f>
        <v/>
      </c>
      <c r="AD2669" s="21">
        <f>IF(Y2669&lt;&gt;"",Y2669,IF(U2669&lt;&gt;"",U2669,S2669))</f>
        <v/>
      </c>
      <c r="AE2669" s="21">
        <f>IF(AB2669&lt;&gt;"",AB2669,Z2669)</f>
        <v/>
      </c>
      <c r="AF2669" s="13" t="inlineStr">
        <is>
          <t>OPN BA01 &gt; BSA 09 Other Shipboard Equipment &gt; P-40 LI 0942</t>
        </is>
      </c>
      <c r="AG2669" s="7" t="inlineStr">
        <is>
          <t>381</t>
        </is>
      </c>
      <c r="AH2669" s="7" t="inlineStr">
        <is>
          <t>0942</t>
        </is>
      </c>
    </row>
    <row r="2670" ht="10" customHeight="1">
      <c r="A2670" s="7" t="inlineStr">
        <is>
          <t>OPN_BA1</t>
        </is>
      </c>
      <c r="B2670" s="7" t="inlineStr">
        <is>
          <t>Procurement</t>
        </is>
      </c>
      <c r="C2670" s="7" t="inlineStr">
        <is>
          <t>13</t>
        </is>
      </c>
      <c r="D2670" s="7" t="inlineStr">
        <is>
          <t>LCS Class Support Equipment</t>
        </is>
      </c>
      <c r="E2670" s="15" t="n"/>
      <c r="I2670" s="14" t="n">
        <v>6</v>
      </c>
      <c r="K2670" s="13" t="inlineStr">
        <is>
          <t>USN</t>
        </is>
      </c>
      <c r="L2670" s="7" t="inlineStr">
        <is>
          <t>Combatant Ships</t>
        </is>
      </c>
      <c r="M2670" s="7" t="inlineStr">
        <is>
          <t>Surface Combatants</t>
        </is>
      </c>
      <c r="N2670" s="7" t="inlineStr">
        <is>
          <t>LCS</t>
        </is>
      </c>
      <c r="O2670" s="15" t="n"/>
      <c r="P2670" s="16" t="n">
        <v>17816</v>
      </c>
      <c r="Q2670" s="16" t="n">
        <v>7318</v>
      </c>
      <c r="S2670" s="16" t="n">
        <v>2551</v>
      </c>
      <c r="T2670" s="16" t="n">
        <v>0</v>
      </c>
      <c r="U2670" s="16" t="n">
        <v>2551</v>
      </c>
      <c r="X2670" s="16" t="n">
        <v>2551</v>
      </c>
      <c r="Y2670" s="16" t="n">
        <v>2551</v>
      </c>
      <c r="Z2670" s="16" t="n">
        <v>15815</v>
      </c>
      <c r="AB2670" s="16" t="n">
        <v>15815</v>
      </c>
      <c r="AC2670" s="23">
        <f>IF(OR(E2670="",E2670="[PARENT]"),"ADD",IF(E2670="[ALT_VIEW]","ALT",""))</f>
        <v/>
      </c>
      <c r="AD2670" s="21">
        <f>IF(Y2670&lt;&gt;"",Y2670,IF(U2670&lt;&gt;"",U2670,S2670))</f>
        <v/>
      </c>
      <c r="AE2670" s="21">
        <f>IF(AB2670&lt;&gt;"",AB2670,Z2670)</f>
        <v/>
      </c>
      <c r="AF2670" s="13" t="inlineStr">
        <is>
          <t>OPN BA01 &gt; BSA 09 Other Shipboard Equipment &gt; P-40 LI 0944</t>
        </is>
      </c>
      <c r="AG2670" s="7" t="inlineStr">
        <is>
          <t>389</t>
        </is>
      </c>
      <c r="AH2670" s="7" t="inlineStr">
        <is>
          <t>0944</t>
        </is>
      </c>
    </row>
    <row r="2671" ht="10" customHeight="1">
      <c r="A2671" s="7" t="inlineStr">
        <is>
          <t>OPN_BA1</t>
        </is>
      </c>
      <c r="B2671" s="7" t="inlineStr">
        <is>
          <t>Procurement</t>
        </is>
      </c>
      <c r="C2671" s="7" t="inlineStr">
        <is>
          <t>14</t>
        </is>
      </c>
      <c r="D2671" s="7" t="inlineStr">
        <is>
          <t>Submarine Batteries</t>
        </is>
      </c>
      <c r="E2671" s="15" t="n"/>
      <c r="I2671" s="14" t="n">
        <v>6</v>
      </c>
      <c r="K2671" s="13" t="inlineStr">
        <is>
          <t>USN</t>
        </is>
      </c>
      <c r="L2671" s="7" t="inlineStr">
        <is>
          <t>Combatant Ships</t>
        </is>
      </c>
      <c r="M2671" s="7" t="inlineStr">
        <is>
          <t>Submarines</t>
        </is>
      </c>
      <c r="N2671" s="7" t="inlineStr">
        <is>
          <t>SSN</t>
        </is>
      </c>
      <c r="O2671" s="15" t="n"/>
      <c r="P2671" s="16" t="n">
        <v>31202</v>
      </c>
      <c r="Q2671" s="16" t="n">
        <v>30470</v>
      </c>
      <c r="S2671" s="16" t="n">
        <v>28169</v>
      </c>
      <c r="T2671" s="16" t="n">
        <v>0</v>
      </c>
      <c r="U2671" s="16" t="n">
        <v>28169</v>
      </c>
      <c r="X2671" s="16" t="n">
        <v>28169</v>
      </c>
      <c r="Y2671" s="16" t="n">
        <v>28169</v>
      </c>
      <c r="Z2671" s="16" t="n">
        <v>26211</v>
      </c>
      <c r="AB2671" s="16" t="n">
        <v>26211</v>
      </c>
      <c r="AC2671" s="23">
        <f>IF(OR(E2671="",E2671="[PARENT]"),"ADD",IF(E2671="[ALT_VIEW]","ALT",""))</f>
        <v/>
      </c>
      <c r="AD2671" s="21">
        <f>IF(Y2671&lt;&gt;"",Y2671,IF(U2671&lt;&gt;"",U2671,S2671))</f>
        <v/>
      </c>
      <c r="AE2671" s="21">
        <f>IF(AB2671&lt;&gt;"",AB2671,Z2671)</f>
        <v/>
      </c>
      <c r="AF2671" s="13" t="inlineStr">
        <is>
          <t>OPN BA01 &gt; BSA 09 Other Shipboard Equipment &gt; P-40 LI 0945</t>
        </is>
      </c>
      <c r="AG2671" s="7" t="inlineStr">
        <is>
          <t>395</t>
        </is>
      </c>
      <c r="AH2671" s="7" t="inlineStr">
        <is>
          <t>0945</t>
        </is>
      </c>
    </row>
    <row r="2672" ht="10" customHeight="1">
      <c r="A2672" s="7" t="inlineStr">
        <is>
          <t>OPN_BA1</t>
        </is>
      </c>
      <c r="B2672" s="7" t="inlineStr">
        <is>
          <t>Procurement</t>
        </is>
      </c>
      <c r="C2672" s="7" t="inlineStr">
        <is>
          <t>15</t>
        </is>
      </c>
      <c r="D2672" s="7" t="inlineStr">
        <is>
          <t>LPD Class Support Equipment</t>
        </is>
      </c>
      <c r="E2672" s="15" t="n"/>
      <c r="I2672" s="14" t="n">
        <v>4</v>
      </c>
      <c r="K2672" s="13" t="inlineStr">
        <is>
          <t>USN</t>
        </is>
      </c>
      <c r="L2672" s="7" t="inlineStr">
        <is>
          <t>Combatant Ships</t>
        </is>
      </c>
      <c r="M2672" s="7" t="inlineStr">
        <is>
          <t>Amphibious Warfare Ships</t>
        </is>
      </c>
      <c r="N2672" s="7" t="inlineStr">
        <is>
          <t>LPD</t>
        </is>
      </c>
      <c r="O2672" s="15" t="n"/>
      <c r="P2672" s="16" t="n">
        <v>80933</v>
      </c>
      <c r="Q2672" s="16" t="n">
        <v>38115</v>
      </c>
      <c r="S2672" s="16" t="n">
        <v>101042</v>
      </c>
      <c r="T2672" s="16" t="n">
        <v>24500</v>
      </c>
      <c r="U2672" s="16" t="n">
        <v>125542</v>
      </c>
      <c r="W2672" s="16" t="n">
        <v>29000</v>
      </c>
      <c r="X2672" s="16" t="n">
        <v>96542</v>
      </c>
      <c r="Y2672" s="16" t="n">
        <v>125542</v>
      </c>
      <c r="Z2672" s="16" t="n">
        <v>213723</v>
      </c>
      <c r="AB2672" s="16" t="n">
        <v>213723</v>
      </c>
      <c r="AC2672" s="23">
        <f>IF(OR(E2672="",E2672="[PARENT]"),"ADD",IF(E2672="[ALT_VIEW]","ALT",""))</f>
        <v/>
      </c>
      <c r="AD2672" s="21">
        <f>IF(Y2672&lt;&gt;"",Y2672,IF(U2672&lt;&gt;"",U2672,S2672))</f>
        <v/>
      </c>
      <c r="AE2672" s="21">
        <f>IF(AB2672&lt;&gt;"",AB2672,Z2672)</f>
        <v/>
      </c>
      <c r="AF2672" s="13" t="inlineStr">
        <is>
          <t>OPN BA01 &gt; BSA 09 Other Shipboard Equipment &gt; P-40 LI 0946</t>
        </is>
      </c>
      <c r="AG2672" s="7" t="inlineStr">
        <is>
          <t>403</t>
        </is>
      </c>
      <c r="AH2672" s="7" t="inlineStr">
        <is>
          <t>0946</t>
        </is>
      </c>
    </row>
    <row r="2673" ht="10" customHeight="1">
      <c r="A2673" s="7" t="inlineStr">
        <is>
          <t>OPN_BA1</t>
        </is>
      </c>
      <c r="B2673" s="7" t="inlineStr">
        <is>
          <t>Procurement</t>
        </is>
      </c>
      <c r="C2673" s="7" t="inlineStr">
        <is>
          <t>16</t>
        </is>
      </c>
      <c r="D2673" s="7" t="inlineStr">
        <is>
          <t>DDG 1000 Class Support Equipment</t>
        </is>
      </c>
      <c r="E2673" s="13" t="inlineStr">
        <is>
          <t>[PARENT]</t>
        </is>
      </c>
      <c r="I2673" s="14" t="n">
        <v>4</v>
      </c>
      <c r="K2673" s="13" t="inlineStr">
        <is>
          <t>USN</t>
        </is>
      </c>
      <c r="L2673" s="7" t="inlineStr">
        <is>
          <t>Combatant Ships</t>
        </is>
      </c>
      <c r="M2673" s="7" t="inlineStr">
        <is>
          <t>Surface Combatants</t>
        </is>
      </c>
      <c r="N2673" s="7" t="inlineStr">
        <is>
          <t>DDG</t>
        </is>
      </c>
      <c r="O2673" s="15" t="n"/>
      <c r="P2673" s="16" t="n">
        <v>220771</v>
      </c>
      <c r="Q2673" s="16" t="n">
        <v>340668</v>
      </c>
      <c r="S2673" s="16" t="n">
        <v>115267</v>
      </c>
      <c r="T2673" s="16" t="n">
        <v>0</v>
      </c>
      <c r="U2673" s="16" t="n">
        <v>115267</v>
      </c>
      <c r="X2673" s="16" t="n">
        <v>115267</v>
      </c>
      <c r="Y2673" s="16" t="n">
        <v>115267</v>
      </c>
      <c r="Z2673" s="16" t="n">
        <v>58284</v>
      </c>
      <c r="AB2673" s="16" t="n">
        <v>58284</v>
      </c>
      <c r="AC2673" s="23">
        <f>IF(OR(E2673="",E2673="[PARENT]"),"ADD",IF(E2673="[ALT_VIEW]","ALT",""))</f>
        <v/>
      </c>
      <c r="AD2673" s="21">
        <f>IF(Y2673&lt;&gt;"",Y2673,IF(U2673&lt;&gt;"",U2673,S2673))</f>
        <v/>
      </c>
      <c r="AE2673" s="21">
        <f>IF(AB2673&lt;&gt;"",AB2673,Z2673)</f>
        <v/>
      </c>
      <c r="AF2673" s="13" t="inlineStr">
        <is>
          <t>OPN BA01 &gt; BSA 09 Other Shipboard Equipment &gt; P-40 LI 0947</t>
        </is>
      </c>
      <c r="AG2673" s="7" t="inlineStr">
        <is>
          <t>439</t>
        </is>
      </c>
      <c r="AH2673" s="7" t="inlineStr">
        <is>
          <t>0947</t>
        </is>
      </c>
      <c r="AI2673" s="7" t="inlineStr">
        <is>
          <t>DDG 1000 CLASS SUPPORT EQUIPMENT</t>
        </is>
      </c>
    </row>
    <row r="2674" ht="10" customHeight="1">
      <c r="A2674" s="7" t="inlineStr">
        <is>
          <t>OPN_BA1</t>
        </is>
      </c>
      <c r="B2674" s="7" t="inlineStr">
        <is>
          <t>Procurement</t>
        </is>
      </c>
      <c r="C2674" s="7" t="inlineStr">
        <is>
          <t>16-CPS</t>
        </is>
      </c>
      <c r="D2674" s="7" t="inlineStr">
        <is>
          <t>DDG 1000 &gt; Conventional Prompt Strike</t>
        </is>
      </c>
      <c r="E2674" s="13" t="inlineStr">
        <is>
          <t>[SUB]</t>
        </is>
      </c>
      <c r="F2674" s="7" t="inlineStr">
        <is>
          <t>16 / DDG 1000 Class Support Equipment</t>
        </is>
      </c>
      <c r="I2674" s="14" t="n">
        <v>4</v>
      </c>
      <c r="K2674" s="13" t="inlineStr">
        <is>
          <t>USN</t>
        </is>
      </c>
      <c r="L2674" s="7" t="inlineStr">
        <is>
          <t>Combatant Ships</t>
        </is>
      </c>
      <c r="M2674" s="7" t="inlineStr">
        <is>
          <t>Surface Combatants</t>
        </is>
      </c>
      <c r="N2674" s="7" t="inlineStr">
        <is>
          <t>DDG</t>
        </is>
      </c>
      <c r="O2674" s="15" t="n"/>
      <c r="S2674" s="16" t="n">
        <v>98145</v>
      </c>
      <c r="AC2674" s="23">
        <f>IF(OR(E2674="",E2674="[PARENT]"),"ADD",IF(E2674="[ALT_VIEW]","ALT",""))</f>
        <v/>
      </c>
      <c r="AD2674" s="21">
        <f>IF(Y2674&lt;&gt;"",Y2674,IF(U2674&lt;&gt;"",U2674,S2674))</f>
        <v/>
      </c>
      <c r="AE2674" s="21">
        <f>IF(AB2674&lt;&gt;"",AB2674,Z2674)</f>
        <v/>
      </c>
      <c r="AF2674" s="13" t="inlineStr">
        <is>
          <t>OPN BA01 &gt; BSA 09 &gt; P-40 LI 0947 &gt; P-3a CPS</t>
        </is>
      </c>
      <c r="AG2674" s="7" t="inlineStr">
        <is>
          <t>439</t>
        </is>
      </c>
      <c r="AH2674" s="7" t="inlineStr">
        <is>
          <t>0947</t>
        </is>
      </c>
      <c r="AJ2674" s="7" t="inlineStr">
        <is>
          <t>CPS</t>
        </is>
      </c>
    </row>
    <row r="2675" ht="10" customHeight="1">
      <c r="A2675" s="7" t="inlineStr">
        <is>
          <t>OPN_BA1</t>
        </is>
      </c>
      <c r="B2675" s="7" t="inlineStr">
        <is>
          <t>Procurement</t>
        </is>
      </c>
      <c r="C2675" s="7" t="inlineStr">
        <is>
          <t>17</t>
        </is>
      </c>
      <c r="D2675" s="7" t="inlineStr">
        <is>
          <t>Strategic Platform Support Equip</t>
        </is>
      </c>
      <c r="E2675" s="15" t="n"/>
      <c r="I2675" s="14" t="n">
        <v>6</v>
      </c>
      <c r="K2675" s="13" t="inlineStr">
        <is>
          <t>USN</t>
        </is>
      </c>
      <c r="L2675" s="7" t="inlineStr">
        <is>
          <t>Combatant Ships</t>
        </is>
      </c>
      <c r="M2675" s="7" t="inlineStr">
        <is>
          <t>Submarines</t>
        </is>
      </c>
      <c r="N2675" s="7" t="inlineStr">
        <is>
          <t>SSBN</t>
        </is>
      </c>
      <c r="O2675" s="15" t="n"/>
      <c r="P2675" s="16" t="n">
        <v>23756</v>
      </c>
      <c r="Q2675" s="16" t="n">
        <v>53931</v>
      </c>
      <c r="S2675" s="16" t="n">
        <v>38039</v>
      </c>
      <c r="T2675" s="16" t="n">
        <v>15701</v>
      </c>
      <c r="U2675" s="16" t="n">
        <v>53740</v>
      </c>
      <c r="W2675" s="16" t="n">
        <v>0</v>
      </c>
      <c r="X2675" s="16" t="n">
        <v>38039</v>
      </c>
      <c r="Y2675" s="16" t="n">
        <v>38039</v>
      </c>
      <c r="Z2675" s="16" t="n">
        <v>72163</v>
      </c>
      <c r="AB2675" s="16" t="n">
        <v>72163</v>
      </c>
      <c r="AC2675" s="23">
        <f>IF(OR(E2675="",E2675="[PARENT]"),"ADD",IF(E2675="[ALT_VIEW]","ALT",""))</f>
        <v/>
      </c>
      <c r="AD2675" s="21">
        <f>IF(Y2675&lt;&gt;"",Y2675,IF(U2675&lt;&gt;"",U2675,S2675))</f>
        <v/>
      </c>
      <c r="AE2675" s="21">
        <f>IF(AB2675&lt;&gt;"",AB2675,Z2675)</f>
        <v/>
      </c>
      <c r="AF2675" s="13" t="inlineStr">
        <is>
          <t>OPN BA01 &gt; BSA 09 Other Shipboard Equipment &gt; P-40 LI 0950</t>
        </is>
      </c>
      <c r="AG2675" s="7" t="inlineStr">
        <is>
          <t>455</t>
        </is>
      </c>
      <c r="AH2675" s="7" t="inlineStr">
        <is>
          <t>0950</t>
        </is>
      </c>
    </row>
    <row r="2676" ht="10" customHeight="1">
      <c r="A2676" s="7" t="inlineStr">
        <is>
          <t>OPN_BA1</t>
        </is>
      </c>
      <c r="B2676" s="7" t="inlineStr">
        <is>
          <t>Procurement</t>
        </is>
      </c>
      <c r="C2676" s="7" t="inlineStr">
        <is>
          <t>19</t>
        </is>
      </c>
      <c r="D2676" s="7" t="inlineStr">
        <is>
          <t>Deep Subm Sys Proj (DSSP) Equip</t>
        </is>
      </c>
      <c r="E2676" s="15" t="n"/>
      <c r="I2676" s="14" t="n">
        <v>6</v>
      </c>
      <c r="K2676" s="13" t="inlineStr">
        <is>
          <t>USN</t>
        </is>
      </c>
      <c r="L2676" s="7" t="inlineStr">
        <is>
          <t>Combatant Ships</t>
        </is>
      </c>
      <c r="M2676" s="7" t="inlineStr">
        <is>
          <t>Submarines</t>
        </is>
      </c>
      <c r="N2676" s="7" t="inlineStr">
        <is>
          <t>SSN</t>
        </is>
      </c>
      <c r="O2676" s="15" t="n"/>
      <c r="P2676" s="16" t="n">
        <v>4620</v>
      </c>
      <c r="Q2676" s="16" t="n">
        <v>4586</v>
      </c>
      <c r="S2676" s="16" t="n">
        <v>5849</v>
      </c>
      <c r="T2676" s="16" t="n">
        <v>0</v>
      </c>
      <c r="U2676" s="16" t="n">
        <v>5849</v>
      </c>
      <c r="X2676" s="16" t="n">
        <v>5849</v>
      </c>
      <c r="Y2676" s="16" t="n">
        <v>5849</v>
      </c>
      <c r="Z2676" s="16" t="n">
        <v>7440</v>
      </c>
      <c r="AB2676" s="16" t="n">
        <v>7440</v>
      </c>
      <c r="AC2676" s="23">
        <f>IF(OR(E2676="",E2676="[PARENT]"),"ADD",IF(E2676="[ALT_VIEW]","ALT",""))</f>
        <v/>
      </c>
      <c r="AD2676" s="21">
        <f>IF(Y2676&lt;&gt;"",Y2676,IF(U2676&lt;&gt;"",U2676,S2676))</f>
        <v/>
      </c>
      <c r="AE2676" s="21">
        <f>IF(AB2676&lt;&gt;"",AB2676,Z2676)</f>
        <v/>
      </c>
      <c r="AF2676" s="13" t="inlineStr">
        <is>
          <t>OPN BA01 &gt; BSA 09 Other Shipboard Equipment &gt; P-40 LI 0955</t>
        </is>
      </c>
      <c r="AG2676" s="7" t="inlineStr">
        <is>
          <t>463</t>
        </is>
      </c>
      <c r="AH2676" s="7" t="inlineStr">
        <is>
          <t>0955</t>
        </is>
      </c>
      <c r="AI2676" s="7" t="inlineStr">
        <is>
          <t>HJ030 - RESCUE SUPPORT EQUIPMENT</t>
        </is>
      </c>
    </row>
    <row r="2677" ht="10" customHeight="1">
      <c r="A2677" s="7" t="inlineStr">
        <is>
          <t>OPN_BA1</t>
        </is>
      </c>
      <c r="B2677" s="7" t="inlineStr">
        <is>
          <t>Procurement</t>
        </is>
      </c>
      <c r="C2677" s="7" t="inlineStr">
        <is>
          <t>20</t>
        </is>
      </c>
      <c r="D2677" s="7" t="inlineStr">
        <is>
          <t>CG Modernization</t>
        </is>
      </c>
      <c r="E2677" s="15" t="n"/>
      <c r="I2677" s="14" t="n">
        <v>4</v>
      </c>
      <c r="K2677" s="13" t="inlineStr">
        <is>
          <t>USN</t>
        </is>
      </c>
      <c r="L2677" s="7" t="inlineStr">
        <is>
          <t>Combatant Ships</t>
        </is>
      </c>
      <c r="M2677" s="7" t="inlineStr">
        <is>
          <t>Surface Combatants</t>
        </is>
      </c>
      <c r="N2677" s="7" t="inlineStr">
        <is>
          <t>CG</t>
        </is>
      </c>
      <c r="O2677" s="15" t="n"/>
      <c r="P2677" s="16" t="n">
        <v>30000</v>
      </c>
      <c r="Q2677" s="16" t="n">
        <v>0</v>
      </c>
      <c r="S2677" s="16" t="n">
        <v>0</v>
      </c>
      <c r="T2677" s="16" t="n">
        <v>0</v>
      </c>
      <c r="U2677" s="16" t="n">
        <v>0</v>
      </c>
      <c r="AC2677" s="23">
        <f>IF(OR(E2677="",E2677="[PARENT]"),"ADD",IF(E2677="[ALT_VIEW]","ALT",""))</f>
        <v/>
      </c>
      <c r="AD2677" s="21">
        <f>IF(Y2677&lt;&gt;"",Y2677,IF(U2677&lt;&gt;"",U2677,S2677))</f>
        <v/>
      </c>
      <c r="AE2677" s="21">
        <f>IF(AB2677&lt;&gt;"",AB2677,Z2677)</f>
        <v/>
      </c>
      <c r="AF2677" s="13" t="inlineStr">
        <is>
          <t>OPN BA01 &gt; BSA 09 Other Shipboard Equipment &gt; P-40 LI 0960</t>
        </is>
      </c>
      <c r="AG2677" s="7" t="inlineStr">
        <is>
          <t>467</t>
        </is>
      </c>
      <c r="AH2677" s="7" t="inlineStr">
        <is>
          <t>0960</t>
        </is>
      </c>
    </row>
    <row r="2678" ht="10" customHeight="1">
      <c r="A2678" s="7" t="inlineStr">
        <is>
          <t>OPN_BA1</t>
        </is>
      </c>
      <c r="B2678" s="7" t="inlineStr">
        <is>
          <t>Procurement</t>
        </is>
      </c>
      <c r="C2678" s="7" t="inlineStr">
        <is>
          <t>21</t>
        </is>
      </c>
      <c r="D2678" s="7" t="inlineStr">
        <is>
          <t>LCAC</t>
        </is>
      </c>
      <c r="E2678" s="15" t="n"/>
      <c r="I2678" s="14" t="n">
        <v>4</v>
      </c>
      <c r="K2678" s="13" t="inlineStr">
        <is>
          <t>USN</t>
        </is>
      </c>
      <c r="L2678" s="7" t="inlineStr">
        <is>
          <t>Combatant Crafts</t>
        </is>
      </c>
      <c r="M2678" s="7" t="inlineStr">
        <is>
          <t>Amphibious Warfare Craft</t>
        </is>
      </c>
      <c r="N2678" s="7" t="inlineStr">
        <is>
          <t>LCAC</t>
        </is>
      </c>
      <c r="O2678" s="15" t="n"/>
      <c r="P2678" s="16" t="n">
        <v>10239</v>
      </c>
      <c r="Q2678" s="16" t="n">
        <v>11013</v>
      </c>
      <c r="S2678" s="16" t="n">
        <v>0</v>
      </c>
      <c r="T2678" s="16" t="n">
        <v>20321</v>
      </c>
      <c r="U2678" s="16" t="n">
        <v>20321</v>
      </c>
      <c r="W2678" s="16" t="n">
        <v>20321</v>
      </c>
      <c r="X2678" s="16" t="n">
        <v>0</v>
      </c>
      <c r="Y2678" s="16" t="n">
        <v>20321</v>
      </c>
      <c r="Z2678" s="16" t="n">
        <v>22515</v>
      </c>
      <c r="AB2678" s="16" t="n">
        <v>22515</v>
      </c>
      <c r="AC2678" s="23">
        <f>IF(OR(E2678="",E2678="[PARENT]"),"ADD",IF(E2678="[ALT_VIEW]","ALT",""))</f>
        <v/>
      </c>
      <c r="AD2678" s="21">
        <f>IF(Y2678&lt;&gt;"",Y2678,IF(U2678&lt;&gt;"",U2678,S2678))</f>
        <v/>
      </c>
      <c r="AE2678" s="21">
        <f>IF(AB2678&lt;&gt;"",AB2678,Z2678)</f>
        <v/>
      </c>
      <c r="AF2678" s="13" t="inlineStr">
        <is>
          <t>OPN BA01 &gt; BSA 09 Other Shipboard Equipment &gt; P-40 LI 0970</t>
        </is>
      </c>
      <c r="AG2678" s="7" t="inlineStr">
        <is>
          <t>469</t>
        </is>
      </c>
      <c r="AH2678" s="7" t="inlineStr">
        <is>
          <t>0970</t>
        </is>
      </c>
      <c r="AI2678" s="7" t="inlineStr">
        <is>
          <t>LCAC</t>
        </is>
      </c>
    </row>
    <row r="2679" ht="10" customHeight="1">
      <c r="A2679" s="7" t="inlineStr">
        <is>
          <t>OPN_BA1</t>
        </is>
      </c>
      <c r="B2679" s="7" t="inlineStr">
        <is>
          <t>Procurement</t>
        </is>
      </c>
      <c r="C2679" s="7" t="inlineStr">
        <is>
          <t>22</t>
        </is>
      </c>
      <c r="D2679" s="7" t="inlineStr">
        <is>
          <t>Underwater EOD Equipment</t>
        </is>
      </c>
      <c r="E2679" s="15" t="n"/>
      <c r="I2679" s="14" t="n">
        <v>4</v>
      </c>
      <c r="K2679" s="15" t="n"/>
      <c r="O2679" s="15" t="n"/>
      <c r="P2679" s="16" t="n">
        <v>19536</v>
      </c>
      <c r="Q2679" s="16" t="n">
        <v>16650</v>
      </c>
      <c r="S2679" s="16" t="n">
        <v>22355</v>
      </c>
      <c r="T2679" s="16" t="n">
        <v>0</v>
      </c>
      <c r="U2679" s="16" t="n">
        <v>22355</v>
      </c>
      <c r="X2679" s="16" t="n">
        <v>22355</v>
      </c>
      <c r="Y2679" s="16" t="n">
        <v>22355</v>
      </c>
      <c r="Z2679" s="16" t="n">
        <v>20575</v>
      </c>
      <c r="AB2679" s="16" t="n">
        <v>20575</v>
      </c>
      <c r="AC2679" s="23">
        <f>IF(OR(E2679="",E2679="[PARENT]"),"ADD",IF(E2679="[ALT_VIEW]","ALT",""))</f>
        <v/>
      </c>
      <c r="AD2679" s="21">
        <f>IF(Y2679&lt;&gt;"",Y2679,IF(U2679&lt;&gt;"",U2679,S2679))</f>
        <v/>
      </c>
      <c r="AE2679" s="21">
        <f>IF(AB2679&lt;&gt;"",AB2679,Z2679)</f>
        <v/>
      </c>
      <c r="AF2679" s="13" t="inlineStr">
        <is>
          <t>OPN BA01 &gt; BSA 09 Other Shipboard Equipment &gt; P-40 LI 0977</t>
        </is>
      </c>
      <c r="AG2679" s="7" t="inlineStr">
        <is>
          <t>473</t>
        </is>
      </c>
      <c r="AH2679" s="7" t="inlineStr">
        <is>
          <t>0977</t>
        </is>
      </c>
      <c r="AI2679" s="7" t="inlineStr">
        <is>
          <t>Underwater EOD Programs</t>
        </is>
      </c>
    </row>
    <row r="2680" ht="10" customHeight="1">
      <c r="A2680" s="7" t="inlineStr">
        <is>
          <t>OPN_BA1</t>
        </is>
      </c>
      <c r="B2680" s="7" t="inlineStr">
        <is>
          <t>Procurement</t>
        </is>
      </c>
      <c r="C2680" s="7" t="inlineStr">
        <is>
          <t>23</t>
        </is>
      </c>
      <c r="D2680" s="7" t="inlineStr">
        <is>
          <t>Items Less Than $5 Million</t>
        </is>
      </c>
      <c r="E2680" s="15" t="n"/>
      <c r="I2680" s="14" t="n">
        <v>4</v>
      </c>
      <c r="K2680" s="15" t="n"/>
      <c r="O2680" s="15" t="n"/>
      <c r="P2680" s="16" t="n">
        <v>85944</v>
      </c>
      <c r="Q2680" s="16" t="n">
        <v>66351</v>
      </c>
      <c r="S2680" s="16" t="n">
        <v>11691</v>
      </c>
      <c r="T2680" s="16" t="n">
        <v>75203</v>
      </c>
      <c r="U2680" s="16" t="n">
        <v>86894</v>
      </c>
      <c r="W2680" s="16" t="n">
        <v>7400</v>
      </c>
      <c r="X2680" s="16" t="n">
        <v>12691</v>
      </c>
      <c r="Y2680" s="16" t="n">
        <v>20091</v>
      </c>
      <c r="Z2680" s="16" t="n">
        <v>69425</v>
      </c>
      <c r="AB2680" s="16" t="n">
        <v>69425</v>
      </c>
      <c r="AC2680" s="23">
        <f>IF(OR(E2680="",E2680="[PARENT]"),"ADD",IF(E2680="[ALT_VIEW]","ALT",""))</f>
        <v/>
      </c>
      <c r="AD2680" s="21">
        <f>IF(Y2680&lt;&gt;"",Y2680,IF(U2680&lt;&gt;"",U2680,S2680))</f>
        <v/>
      </c>
      <c r="AE2680" s="21">
        <f>IF(AB2680&lt;&gt;"",AB2680,Z2680)</f>
        <v/>
      </c>
      <c r="AF2680" s="13" t="inlineStr">
        <is>
          <t>OPN BA01 &gt; BSA 09 Other Shipboard Equipment &gt; P-40 LI 0981</t>
        </is>
      </c>
      <c r="AG2680" s="7" t="inlineStr">
        <is>
          <t>495</t>
        </is>
      </c>
      <c r="AH2680" s="7" t="inlineStr">
        <is>
          <t>0981</t>
        </is>
      </c>
    </row>
    <row r="2681" ht="10" customHeight="1">
      <c r="A2681" s="7" t="inlineStr">
        <is>
          <t>OPN_BA1</t>
        </is>
      </c>
      <c r="B2681" s="7" t="inlineStr">
        <is>
          <t>Procurement</t>
        </is>
      </c>
      <c r="C2681" s="7" t="inlineStr">
        <is>
          <t>24</t>
        </is>
      </c>
      <c r="D2681" s="7" t="inlineStr">
        <is>
          <t>Chemical Warfare Detectors</t>
        </is>
      </c>
      <c r="E2681" s="15" t="n"/>
      <c r="I2681" s="14" t="n">
        <v>4</v>
      </c>
      <c r="K2681" s="15" t="n"/>
      <c r="O2681" s="15" t="n"/>
      <c r="P2681" s="16" t="n">
        <v>3286</v>
      </c>
      <c r="Q2681" s="16" t="n">
        <v>3254</v>
      </c>
      <c r="S2681" s="16" t="n">
        <v>2607</v>
      </c>
      <c r="T2681" s="16" t="n">
        <v>12</v>
      </c>
      <c r="U2681" s="16" t="n">
        <v>2619</v>
      </c>
      <c r="W2681" s="16" t="n">
        <v>0</v>
      </c>
      <c r="X2681" s="16" t="n">
        <v>2607</v>
      </c>
      <c r="Y2681" s="16" t="n">
        <v>2607</v>
      </c>
      <c r="Z2681" s="16" t="n">
        <v>2425</v>
      </c>
      <c r="AB2681" s="16" t="n">
        <v>2425</v>
      </c>
      <c r="AC2681" s="23">
        <f>IF(OR(E2681="",E2681="[PARENT]"),"ADD",IF(E2681="[ALT_VIEW]","ALT",""))</f>
        <v/>
      </c>
      <c r="AD2681" s="21">
        <f>IF(Y2681&lt;&gt;"",Y2681,IF(U2681&lt;&gt;"",U2681,S2681))</f>
        <v/>
      </c>
      <c r="AE2681" s="21">
        <f>IF(AB2681&lt;&gt;"",AB2681,Z2681)</f>
        <v/>
      </c>
      <c r="AF2681" s="13" t="inlineStr">
        <is>
          <t>OPN BA01 &gt; BSA 09 Other Shipboard Equipment &gt; P-40 LI 0989</t>
        </is>
      </c>
      <c r="AG2681" s="7" t="inlineStr">
        <is>
          <t>509</t>
        </is>
      </c>
      <c r="AH2681" s="7" t="inlineStr">
        <is>
          <t>0989</t>
        </is>
      </c>
      <c r="AI2681" s="7" t="inlineStr">
        <is>
          <t>CW001 CHEMICAL WARFARE PROGRAM JBAIDS</t>
        </is>
      </c>
    </row>
    <row r="2682" ht="10" customHeight="1">
      <c r="A2682" s="7" t="inlineStr">
        <is>
          <t>OPN_BA1</t>
        </is>
      </c>
      <c r="B2682" s="7" t="inlineStr">
        <is>
          <t>Procurement</t>
        </is>
      </c>
      <c r="C2682" s="7" t="inlineStr">
        <is>
          <t>26</t>
        </is>
      </c>
      <c r="D2682" s="7" t="inlineStr">
        <is>
          <t>Ship Maintenance Repair and Modernization</t>
        </is>
      </c>
      <c r="E2682" s="13" t="inlineStr">
        <is>
          <t>[PARENT]</t>
        </is>
      </c>
      <c r="I2682" s="14" t="n">
        <v>2</v>
      </c>
      <c r="K2682" s="15" t="n"/>
      <c r="O2682" s="15" t="n"/>
      <c r="P2682" s="16" t="n">
        <v>2839179</v>
      </c>
      <c r="Q2682" s="16" t="n">
        <v>2392190</v>
      </c>
      <c r="S2682" s="16" t="n">
        <v>2392620</v>
      </c>
      <c r="T2682" s="16" t="n">
        <v>0</v>
      </c>
      <c r="U2682" s="16" t="n">
        <v>2392620</v>
      </c>
      <c r="X2682" s="16" t="n">
        <v>2392620</v>
      </c>
      <c r="Y2682" s="16" t="n">
        <v>2392620</v>
      </c>
      <c r="Z2682" s="16" t="n">
        <v>2737140</v>
      </c>
      <c r="AB2682" s="16" t="n">
        <v>2737140</v>
      </c>
      <c r="AC2682" s="23">
        <f>IF(OR(E2682="",E2682="[PARENT]"),"ADD",IF(E2682="[ALT_VIEW]","ALT",""))</f>
        <v/>
      </c>
      <c r="AD2682" s="21">
        <f>IF(Y2682&lt;&gt;"",Y2682,IF(U2682&lt;&gt;"",U2682,S2682))</f>
        <v/>
      </c>
      <c r="AE2682" s="21">
        <f>IF(AB2682&lt;&gt;"",AB2682,Z2682)</f>
        <v/>
      </c>
      <c r="AF2682" s="13" t="inlineStr">
        <is>
          <t>OPN BA01 &gt; BSA 10 Reactor Plant Equipment &gt; P-40 LI 1000</t>
        </is>
      </c>
      <c r="AG2682" s="7" t="inlineStr">
        <is>
          <t>521</t>
        </is>
      </c>
      <c r="AH2682" s="7" t="inlineStr">
        <is>
          <t>1000</t>
        </is>
      </c>
      <c r="AI2682" s="7" t="inlineStr">
        <is>
          <t>Ship Maintenance, Repair and Modernization</t>
        </is>
      </c>
    </row>
    <row r="2683" ht="10" customHeight="1">
      <c r="A2683" s="7" t="inlineStr">
        <is>
          <t>OPN_BA1</t>
        </is>
      </c>
      <c r="B2683" s="7" t="inlineStr">
        <is>
          <t>Procurement</t>
        </is>
      </c>
      <c r="C2683" s="7" t="inlineStr">
        <is>
          <t>26-CPF</t>
        </is>
      </c>
      <c r="D2683" s="7" t="inlineStr">
        <is>
          <t>Ship Maint Repair &amp; Mod &gt; U.S. Pacific Fleet Availabilities</t>
        </is>
      </c>
      <c r="E2683" s="13" t="inlineStr">
        <is>
          <t>[SUB]</t>
        </is>
      </c>
      <c r="F2683" s="7" t="inlineStr">
        <is>
          <t>26 / Ship Maintenance Repair and Modernization</t>
        </is>
      </c>
      <c r="I2683" s="14" t="n">
        <v>2</v>
      </c>
      <c r="K2683" s="15" t="n"/>
      <c r="O2683" s="15" t="n"/>
      <c r="P2683" s="16" t="n">
        <v>1208571</v>
      </c>
      <c r="Q2683" s="16" t="n">
        <v>1168393</v>
      </c>
      <c r="S2683" s="16" t="n">
        <v>1306538</v>
      </c>
      <c r="AC2683" s="23">
        <f>IF(OR(E2683="",E2683="[PARENT]"),"ADD",IF(E2683="[ALT_VIEW]","ALT",""))</f>
        <v/>
      </c>
      <c r="AD2683" s="21">
        <f>IF(Y2683&lt;&gt;"",Y2683,IF(U2683&lt;&gt;"",U2683,S2683))</f>
        <v/>
      </c>
      <c r="AE2683" s="21">
        <f>IF(AB2683&lt;&gt;"",AB2683,Z2683)</f>
        <v/>
      </c>
      <c r="AF2683" s="13" t="inlineStr">
        <is>
          <t>OPN BA01 &gt; BSA 10 &gt; P-40 LI 1000 &gt; CPF detail</t>
        </is>
      </c>
      <c r="AG2683" s="7" t="inlineStr">
        <is>
          <t>521</t>
        </is>
      </c>
      <c r="AH2683" s="7" t="inlineStr">
        <is>
          <t>1000</t>
        </is>
      </c>
      <c r="AI2683" s="7" t="inlineStr">
        <is>
          <t>Ship Maintenance, Repair and Modernization</t>
        </is>
      </c>
    </row>
    <row r="2684" ht="10" customHeight="1">
      <c r="A2684" s="7" t="inlineStr">
        <is>
          <t>OPN_BA1</t>
        </is>
      </c>
      <c r="B2684" s="7" t="inlineStr">
        <is>
          <t>Procurement</t>
        </is>
      </c>
      <c r="C2684" s="7" t="inlineStr">
        <is>
          <t>26-FFC</t>
        </is>
      </c>
      <c r="D2684" s="7" t="inlineStr">
        <is>
          <t>Ship Maint Repair &amp; Mod &gt; U.S. Fleet Forces Availabilities</t>
        </is>
      </c>
      <c r="E2684" s="13" t="inlineStr">
        <is>
          <t>[SUB]</t>
        </is>
      </c>
      <c r="F2684" s="7" t="inlineStr">
        <is>
          <t>26 / Ship Maintenance Repair and Modernization</t>
        </is>
      </c>
      <c r="I2684" s="14" t="n">
        <v>2</v>
      </c>
      <c r="K2684" s="15" t="n"/>
      <c r="O2684" s="15" t="n"/>
      <c r="P2684" s="16" t="n">
        <v>1630608</v>
      </c>
      <c r="Q2684" s="16" t="n">
        <v>1223797</v>
      </c>
      <c r="S2684" s="16" t="n">
        <v>1086082</v>
      </c>
      <c r="AC2684" s="23">
        <f>IF(OR(E2684="",E2684="[PARENT]"),"ADD",IF(E2684="[ALT_VIEW]","ALT",""))</f>
        <v/>
      </c>
      <c r="AD2684" s="21">
        <f>IF(Y2684&lt;&gt;"",Y2684,IF(U2684&lt;&gt;"",U2684,S2684))</f>
        <v/>
      </c>
      <c r="AE2684" s="21">
        <f>IF(AB2684&lt;&gt;"",AB2684,Z2684)</f>
        <v/>
      </c>
      <c r="AF2684" s="13" t="inlineStr">
        <is>
          <t>OPN BA01 &gt; BSA 10 &gt; P-40 LI 1000 &gt; FFC detail</t>
        </is>
      </c>
      <c r="AG2684" s="7" t="inlineStr">
        <is>
          <t>521</t>
        </is>
      </c>
      <c r="AH2684" s="7" t="inlineStr">
        <is>
          <t>1000</t>
        </is>
      </c>
      <c r="AI2684" s="7" t="inlineStr">
        <is>
          <t>Ship Maintenance, Repair and Modernization</t>
        </is>
      </c>
    </row>
    <row r="2685" ht="10" customHeight="1">
      <c r="A2685" s="7" t="inlineStr">
        <is>
          <t>OPN_BA1</t>
        </is>
      </c>
      <c r="B2685" s="7" t="inlineStr">
        <is>
          <t>Procurement</t>
        </is>
      </c>
      <c r="C2685" s="7" t="inlineStr">
        <is>
          <t>27</t>
        </is>
      </c>
      <c r="D2685" s="7" t="inlineStr">
        <is>
          <t>Reactor Power Units</t>
        </is>
      </c>
      <c r="E2685" s="15" t="n"/>
      <c r="I2685" s="14" t="n">
        <v>6</v>
      </c>
      <c r="K2685" s="15" t="n"/>
      <c r="O2685" s="15" t="n"/>
      <c r="P2685" s="16" t="n">
        <v>2016</v>
      </c>
      <c r="Q2685" s="16" t="n">
        <v>0</v>
      </c>
      <c r="S2685" s="16" t="n">
        <v>0</v>
      </c>
      <c r="T2685" s="16" t="n">
        <v>0</v>
      </c>
      <c r="U2685" s="16" t="n">
        <v>0</v>
      </c>
      <c r="AC2685" s="23">
        <f>IF(OR(E2685="",E2685="[PARENT]"),"ADD",IF(E2685="[ALT_VIEW]","ALT",""))</f>
        <v/>
      </c>
      <c r="AD2685" s="21">
        <f>IF(Y2685&lt;&gt;"",Y2685,IF(U2685&lt;&gt;"",U2685,S2685))</f>
        <v/>
      </c>
      <c r="AE2685" s="21">
        <f>IF(AB2685&lt;&gt;"",AB2685,Z2685)</f>
        <v/>
      </c>
      <c r="AF2685" s="13" t="inlineStr">
        <is>
          <t>OPN BA01 &gt; BSA 10 Reactor Plant Equipment &gt; P-40 LI 1010</t>
        </is>
      </c>
      <c r="AG2685" s="7" t="inlineStr">
        <is>
          <t>539</t>
        </is>
      </c>
      <c r="AH2685" s="7" t="inlineStr">
        <is>
          <t>1010</t>
        </is>
      </c>
      <c r="AI2685" s="7" t="inlineStr">
        <is>
          <t>Reactor Power Units</t>
        </is>
      </c>
    </row>
    <row r="2686" ht="10" customHeight="1">
      <c r="A2686" s="7" t="inlineStr">
        <is>
          <t>OPN_BA1</t>
        </is>
      </c>
      <c r="B2686" s="7" t="inlineStr">
        <is>
          <t>Procurement</t>
        </is>
      </c>
      <c r="C2686" s="7" t="inlineStr">
        <is>
          <t>28</t>
        </is>
      </c>
      <c r="D2686" s="7" t="inlineStr">
        <is>
          <t>Reactor Components</t>
        </is>
      </c>
      <c r="E2686" s="15" t="n"/>
      <c r="I2686" s="14" t="n">
        <v>6</v>
      </c>
      <c r="K2686" s="15" t="n"/>
      <c r="O2686" s="15" t="n"/>
      <c r="P2686" s="16" t="n">
        <v>389890</v>
      </c>
      <c r="Q2686" s="16" t="n">
        <v>445974</v>
      </c>
      <c r="S2686" s="16" t="n">
        <v>399603</v>
      </c>
      <c r="T2686" s="16" t="n">
        <v>0</v>
      </c>
      <c r="U2686" s="16" t="n">
        <v>399603</v>
      </c>
      <c r="X2686" s="16" t="n">
        <v>474806</v>
      </c>
      <c r="Y2686" s="16" t="n">
        <v>474806</v>
      </c>
      <c r="Z2686" s="16" t="n">
        <v>519821</v>
      </c>
      <c r="AB2686" s="16" t="n">
        <v>519821</v>
      </c>
      <c r="AC2686" s="23">
        <f>IF(OR(E2686="",E2686="[PARENT]"),"ADD",IF(E2686="[ALT_VIEW]","ALT",""))</f>
        <v/>
      </c>
      <c r="AD2686" s="21">
        <f>IF(Y2686&lt;&gt;"",Y2686,IF(U2686&lt;&gt;"",U2686,S2686))</f>
        <v/>
      </c>
      <c r="AE2686" s="21">
        <f>IF(AB2686&lt;&gt;"",AB2686,Z2686)</f>
        <v/>
      </c>
      <c r="AF2686" s="13" t="inlineStr">
        <is>
          <t>OPN BA01 &gt; BSA 10 Reactor Plant Equipment &gt; P-40 LI 1020</t>
        </is>
      </c>
      <c r="AG2686" s="7" t="inlineStr">
        <is>
          <t>543</t>
        </is>
      </c>
      <c r="AH2686" s="7" t="inlineStr">
        <is>
          <t>1020</t>
        </is>
      </c>
      <c r="AI2686" s="7" t="inlineStr">
        <is>
          <t>Reactor Components</t>
        </is>
      </c>
    </row>
    <row r="2687" ht="10" customHeight="1">
      <c r="A2687" s="7" t="inlineStr">
        <is>
          <t>OPN_BA1</t>
        </is>
      </c>
      <c r="B2687" s="7" t="inlineStr">
        <is>
          <t>Procurement</t>
        </is>
      </c>
      <c r="C2687" s="7" t="inlineStr">
        <is>
          <t>29</t>
        </is>
      </c>
      <c r="D2687" s="7" t="inlineStr">
        <is>
          <t>Diving and Salvage Equipment</t>
        </is>
      </c>
      <c r="E2687" s="15" t="n"/>
      <c r="I2687" s="14" t="n">
        <v>7</v>
      </c>
      <c r="K2687" s="15" t="n"/>
      <c r="O2687" s="15" t="n"/>
      <c r="P2687" s="16" t="n">
        <v>17754</v>
      </c>
      <c r="Q2687" s="16" t="n">
        <v>17499</v>
      </c>
      <c r="S2687" s="16" t="n">
        <v>7842</v>
      </c>
      <c r="T2687" s="16" t="n">
        <v>5387</v>
      </c>
      <c r="U2687" s="16" t="n">
        <v>13229</v>
      </c>
      <c r="W2687" s="16" t="n">
        <v>0</v>
      </c>
      <c r="X2687" s="16" t="n">
        <v>7842</v>
      </c>
      <c r="Y2687" s="16" t="n">
        <v>7842</v>
      </c>
      <c r="Z2687" s="16" t="n">
        <v>33013</v>
      </c>
      <c r="AB2687" s="16" t="n">
        <v>33013</v>
      </c>
      <c r="AC2687" s="23">
        <f>IF(OR(E2687="",E2687="[PARENT]"),"ADD",IF(E2687="[ALT_VIEW]","ALT",""))</f>
        <v/>
      </c>
      <c r="AD2687" s="21">
        <f>IF(Y2687&lt;&gt;"",Y2687,IF(U2687&lt;&gt;"",U2687,S2687))</f>
        <v/>
      </c>
      <c r="AE2687" s="21">
        <f>IF(AB2687&lt;&gt;"",AB2687,Z2687)</f>
        <v/>
      </c>
      <c r="AF2687" s="13" t="inlineStr">
        <is>
          <t>OPN BA01 &gt; BSA 11 Ocean Engineering &gt; P-40 LI 1130</t>
        </is>
      </c>
      <c r="AG2687" s="7" t="inlineStr">
        <is>
          <t>547</t>
        </is>
      </c>
      <c r="AH2687" s="7" t="inlineStr">
        <is>
          <t>1130</t>
        </is>
      </c>
    </row>
    <row r="2688" ht="10" customHeight="1">
      <c r="A2688" s="7" t="inlineStr">
        <is>
          <t>OPN_BA1</t>
        </is>
      </c>
      <c r="B2688" s="7" t="inlineStr">
        <is>
          <t>Procurement</t>
        </is>
      </c>
      <c r="C2688" s="7" t="inlineStr">
        <is>
          <t>30</t>
        </is>
      </c>
      <c r="D2688" s="7" t="inlineStr">
        <is>
          <t>Medium Unmanned Surface Vehicle (MUSVs)</t>
        </is>
      </c>
      <c r="E2688" s="15" t="n"/>
      <c r="I2688" s="14" t="n">
        <v>1</v>
      </c>
      <c r="J2688" s="7" t="inlineStr">
        <is>
          <t>Full vessel procurement</t>
        </is>
      </c>
      <c r="K2688" s="13" t="inlineStr">
        <is>
          <t>USN</t>
        </is>
      </c>
      <c r="L2688" s="7" t="inlineStr">
        <is>
          <t>Unmanned Maritime Platforms</t>
        </is>
      </c>
      <c r="M2688" s="7" t="inlineStr">
        <is>
          <t>Unmanned Surface Vehicles</t>
        </is>
      </c>
      <c r="N2688" s="7" t="inlineStr">
        <is>
          <t>MUSV</t>
        </is>
      </c>
      <c r="O2688" s="15" t="n"/>
      <c r="P2688" s="16" t="n">
        <v>0</v>
      </c>
      <c r="Q2688" s="16" t="n">
        <v>0</v>
      </c>
      <c r="S2688" s="16" t="n">
        <v>0</v>
      </c>
      <c r="T2688" s="16" t="n">
        <v>1094000</v>
      </c>
      <c r="U2688" s="16" t="n">
        <v>1094000</v>
      </c>
      <c r="W2688" s="16" t="n">
        <v>1325714</v>
      </c>
      <c r="X2688" s="16" t="n">
        <v>0</v>
      </c>
      <c r="Y2688" s="16" t="n">
        <v>1325714</v>
      </c>
      <c r="Z2688" s="16" t="n">
        <v>121130</v>
      </c>
      <c r="AA2688" s="16" t="n">
        <v>50000</v>
      </c>
      <c r="AB2688" s="16" t="n">
        <v>171130</v>
      </c>
      <c r="AC2688" s="23">
        <f>IF(OR(E2688="",E2688="[PARENT]"),"ADD",IF(E2688="[ALT_VIEW]","ALT",""))</f>
        <v/>
      </c>
      <c r="AD2688" s="21">
        <f>IF(Y2688&lt;&gt;"",Y2688,IF(U2688&lt;&gt;"",U2688,S2688))</f>
        <v/>
      </c>
      <c r="AE2688" s="21">
        <f>IF(AB2688&lt;&gt;"",AB2688,Z2688)</f>
        <v/>
      </c>
      <c r="AF2688" s="13" t="inlineStr">
        <is>
          <t>OPN BA01 &gt; BSA 12 Small Boats &gt; P-1 Line #30</t>
        </is>
      </c>
    </row>
    <row r="2689" ht="10" customHeight="1">
      <c r="A2689" s="7" t="inlineStr">
        <is>
          <t>OPN_BA1</t>
        </is>
      </c>
      <c r="B2689" s="7" t="inlineStr">
        <is>
          <t>Procurement</t>
        </is>
      </c>
      <c r="C2689" s="7" t="inlineStr">
        <is>
          <t>31</t>
        </is>
      </c>
      <c r="D2689" s="7" t="inlineStr">
        <is>
          <t>Standard Boats</t>
        </is>
      </c>
      <c r="E2689" s="13" t="inlineStr">
        <is>
          <t>[PARENT]</t>
        </is>
      </c>
      <c r="I2689" s="14" t="n">
        <v>1</v>
      </c>
      <c r="J2689" s="7" t="inlineStr">
        <is>
          <t>Full vessel procurement</t>
        </is>
      </c>
      <c r="K2689" s="15" t="n"/>
      <c r="O2689" s="15" t="n"/>
      <c r="P2689" s="16" t="n">
        <v>223529</v>
      </c>
      <c r="Q2689" s="16" t="n">
        <v>422832</v>
      </c>
      <c r="S2689" s="16" t="n">
        <v>51546</v>
      </c>
      <c r="T2689" s="16" t="n">
        <v>814969</v>
      </c>
      <c r="U2689" s="16" t="n">
        <v>866515</v>
      </c>
      <c r="W2689" s="16" t="n">
        <v>0</v>
      </c>
      <c r="X2689" s="16" t="n">
        <v>82086</v>
      </c>
      <c r="Y2689" s="16" t="n">
        <v>82086</v>
      </c>
      <c r="Z2689" s="16" t="n">
        <v>97746</v>
      </c>
      <c r="AB2689" s="16" t="n">
        <v>97746</v>
      </c>
      <c r="AC2689" s="23">
        <f>IF(OR(E2689="",E2689="[PARENT]"),"ADD",IF(E2689="[ALT_VIEW]","ALT",""))</f>
        <v/>
      </c>
      <c r="AD2689" s="21">
        <f>IF(Y2689&lt;&gt;"",Y2689,IF(U2689&lt;&gt;"",U2689,S2689))</f>
        <v/>
      </c>
      <c r="AE2689" s="21">
        <f>IF(AB2689&lt;&gt;"",AB2689,Z2689)</f>
        <v/>
      </c>
      <c r="AF2689" s="13" t="inlineStr">
        <is>
          <t>OPN BA01 &gt; BSA 12 Small Boats &gt; P-40 LI 1210</t>
        </is>
      </c>
      <c r="AG2689" s="7" t="inlineStr">
        <is>
          <t>571</t>
        </is>
      </c>
      <c r="AH2689" s="7" t="inlineStr">
        <is>
          <t>1210</t>
        </is>
      </c>
    </row>
    <row r="2690" ht="10" customHeight="1">
      <c r="A2690" s="7" t="inlineStr">
        <is>
          <t>OPN_BA1</t>
        </is>
      </c>
      <c r="B2690" s="7" t="inlineStr">
        <is>
          <t>Procurement</t>
        </is>
      </c>
      <c r="C2690" s="7" t="inlineStr">
        <is>
          <t>31-H0001</t>
        </is>
      </c>
      <c r="D2690" s="7" t="inlineStr">
        <is>
          <t>Standard Boats &gt; Base Operating Forces</t>
        </is>
      </c>
      <c r="E2690" s="13" t="inlineStr">
        <is>
          <t>[SUB]</t>
        </is>
      </c>
      <c r="F2690" s="7" t="inlineStr">
        <is>
          <t>31 / Standard Boats</t>
        </is>
      </c>
      <c r="I2690" s="14" t="n">
        <v>1</v>
      </c>
      <c r="J2690" s="7" t="inlineStr">
        <is>
          <t>Full vessel procurement</t>
        </is>
      </c>
      <c r="K2690" s="15" t="n"/>
      <c r="O2690" s="15" t="n"/>
      <c r="P2690" s="16" t="n">
        <v>12032</v>
      </c>
      <c r="Q2690" s="16" t="n">
        <v>13618</v>
      </c>
      <c r="S2690" s="16" t="n">
        <v>14006</v>
      </c>
      <c r="AC2690" s="23">
        <f>IF(OR(E2690="",E2690="[PARENT]"),"ADD",IF(E2690="[ALT_VIEW]","ALT",""))</f>
        <v/>
      </c>
      <c r="AD2690" s="21">
        <f>IF(Y2690&lt;&gt;"",Y2690,IF(U2690&lt;&gt;"",U2690,S2690))</f>
        <v/>
      </c>
      <c r="AE2690" s="21">
        <f>IF(AB2690&lt;&gt;"",AB2690,Z2690)</f>
        <v/>
      </c>
      <c r="AF2690" s="13" t="inlineStr">
        <is>
          <t>OPN BA01 &gt; BSA 12 &gt; P-40 LI 1210 &gt; H0001</t>
        </is>
      </c>
      <c r="AG2690" s="7" t="inlineStr">
        <is>
          <t>571</t>
        </is>
      </c>
      <c r="AH2690" s="7" t="inlineStr">
        <is>
          <t>1210</t>
        </is>
      </c>
      <c r="AI2690" s="7" t="inlineStr">
        <is>
          <t>H0001 - Base Operating Forces</t>
        </is>
      </c>
    </row>
    <row r="2691" ht="10" customHeight="1">
      <c r="A2691" s="7" t="inlineStr">
        <is>
          <t>OPN_BA1</t>
        </is>
      </c>
      <c r="B2691" s="7" t="inlineStr">
        <is>
          <t>Procurement</t>
        </is>
      </c>
      <c r="C2691" s="7" t="inlineStr">
        <is>
          <t>31-H0004</t>
        </is>
      </c>
      <c r="D2691" s="7" t="inlineStr">
        <is>
          <t>Standard Boats &gt; Naval Special Warfare</t>
        </is>
      </c>
      <c r="E2691" s="13" t="inlineStr">
        <is>
          <t>[SUB]</t>
        </is>
      </c>
      <c r="F2691" s="7" t="inlineStr">
        <is>
          <t>31 / Standard Boats</t>
        </is>
      </c>
      <c r="I2691" s="14" t="n">
        <v>1</v>
      </c>
      <c r="J2691" s="7" t="inlineStr">
        <is>
          <t>Full vessel procurement</t>
        </is>
      </c>
      <c r="K2691" s="13" t="inlineStr">
        <is>
          <t>USN</t>
        </is>
      </c>
      <c r="L2691" s="7" t="inlineStr">
        <is>
          <t>Combatant Crafts</t>
        </is>
      </c>
      <c r="M2691" s="7" t="inlineStr">
        <is>
          <t>Special Warfare Craft</t>
        </is>
      </c>
      <c r="O2691" s="15" t="n"/>
      <c r="P2691" s="16" t="n">
        <v>10078</v>
      </c>
      <c r="Q2691" s="16" t="n">
        <v>17407</v>
      </c>
      <c r="S2691" s="16" t="n">
        <v>7277</v>
      </c>
      <c r="AC2691" s="23">
        <f>IF(OR(E2691="",E2691="[PARENT]"),"ADD",IF(E2691="[ALT_VIEW]","ALT",""))</f>
        <v/>
      </c>
      <c r="AD2691" s="21">
        <f>IF(Y2691&lt;&gt;"",Y2691,IF(U2691&lt;&gt;"",U2691,S2691))</f>
        <v/>
      </c>
      <c r="AE2691" s="21">
        <f>IF(AB2691&lt;&gt;"",AB2691,Z2691)</f>
        <v/>
      </c>
      <c r="AF2691" s="13" t="inlineStr">
        <is>
          <t>OPN BA01 &gt; BSA 12 &gt; P-40 LI 1210 &gt; H0004</t>
        </is>
      </c>
      <c r="AG2691" s="7" t="inlineStr">
        <is>
          <t>571</t>
        </is>
      </c>
      <c r="AH2691" s="7" t="inlineStr">
        <is>
          <t>1210</t>
        </is>
      </c>
      <c r="AI2691" s="7" t="inlineStr">
        <is>
          <t>H0004 - Naval Special Warfare</t>
        </is>
      </c>
    </row>
    <row r="2692" ht="10" customHeight="1">
      <c r="A2692" s="7" t="inlineStr">
        <is>
          <t>OPN_BA1</t>
        </is>
      </c>
      <c r="B2692" s="7" t="inlineStr">
        <is>
          <t>Procurement</t>
        </is>
      </c>
      <c r="C2692" s="7" t="inlineStr">
        <is>
          <t>32</t>
        </is>
      </c>
      <c r="D2692" s="7" t="inlineStr">
        <is>
          <t>Operating Forces IPE</t>
        </is>
      </c>
      <c r="E2692" s="15" t="n"/>
      <c r="I2692" s="14" t="n">
        <v>7</v>
      </c>
      <c r="K2692" s="15" t="n"/>
      <c r="O2692" s="15" t="n"/>
      <c r="P2692" s="16" t="n">
        <v>210764</v>
      </c>
      <c r="Q2692" s="16" t="n">
        <v>222304</v>
      </c>
      <c r="S2692" s="16" t="n">
        <v>208998</v>
      </c>
      <c r="T2692" s="16" t="n">
        <v>0</v>
      </c>
      <c r="U2692" s="16" t="n">
        <v>208998</v>
      </c>
      <c r="X2692" s="16" t="n">
        <v>394998</v>
      </c>
      <c r="Y2692" s="16" t="n">
        <v>394998</v>
      </c>
      <c r="Z2692" s="16" t="n">
        <v>492100</v>
      </c>
      <c r="AB2692" s="16" t="n">
        <v>492100</v>
      </c>
      <c r="AC2692" s="23">
        <f>IF(OR(E2692="",E2692="[PARENT]"),"ADD",IF(E2692="[ALT_VIEW]","ALT",""))</f>
        <v/>
      </c>
      <c r="AD2692" s="21">
        <f>IF(Y2692&lt;&gt;"",Y2692,IF(U2692&lt;&gt;"",U2692,S2692))</f>
        <v/>
      </c>
      <c r="AE2692" s="21">
        <f>IF(AB2692&lt;&gt;"",AB2692,Z2692)</f>
        <v/>
      </c>
      <c r="AF2692" s="13" t="inlineStr">
        <is>
          <t>OPN BA01 &gt; BSA 14 Production Facilities Equipment &gt; P-40 LI 1445</t>
        </is>
      </c>
      <c r="AG2692" s="7" t="inlineStr">
        <is>
          <t>589</t>
        </is>
      </c>
      <c r="AH2692" s="7" t="inlineStr">
        <is>
          <t>1445</t>
        </is>
      </c>
    </row>
    <row r="2693" ht="10" customHeight="1">
      <c r="A2693" s="7" t="inlineStr">
        <is>
          <t>OPN_BA1</t>
        </is>
      </c>
      <c r="B2693" s="7" t="inlineStr">
        <is>
          <t>Procurement</t>
        </is>
      </c>
      <c r="C2693" s="7" t="inlineStr">
        <is>
          <t>33</t>
        </is>
      </c>
      <c r="D2693" s="7" t="inlineStr">
        <is>
          <t>LCS Common Mission Modules Equipment</t>
        </is>
      </c>
      <c r="E2693" s="15" t="n"/>
      <c r="I2693" s="14" t="n">
        <v>4</v>
      </c>
      <c r="K2693" s="13" t="inlineStr">
        <is>
          <t>USN</t>
        </is>
      </c>
      <c r="L2693" s="7" t="inlineStr">
        <is>
          <t>Combatant Ships</t>
        </is>
      </c>
      <c r="M2693" s="7" t="inlineStr">
        <is>
          <t>Surface Combatants</t>
        </is>
      </c>
      <c r="N2693" s="7" t="inlineStr">
        <is>
          <t>LCS</t>
        </is>
      </c>
      <c r="O2693" s="15" t="n"/>
      <c r="P2693" s="16" t="n">
        <v>49028</v>
      </c>
      <c r="Q2693" s="16" t="n">
        <v>56105</v>
      </c>
      <c r="S2693" s="16" t="n">
        <v>38880</v>
      </c>
      <c r="T2693" s="16" t="n">
        <v>0</v>
      </c>
      <c r="U2693" s="16" t="n">
        <v>38880</v>
      </c>
      <c r="X2693" s="16" t="n">
        <v>38880</v>
      </c>
      <c r="Y2693" s="16" t="n">
        <v>38880</v>
      </c>
      <c r="Z2693" s="16" t="n">
        <v>30565</v>
      </c>
      <c r="AB2693" s="16" t="n">
        <v>30565</v>
      </c>
      <c r="AC2693" s="23">
        <f>IF(OR(E2693="",E2693="[PARENT]"),"ADD",IF(E2693="[ALT_VIEW]","ALT",""))</f>
        <v/>
      </c>
      <c r="AD2693" s="21">
        <f>IF(Y2693&lt;&gt;"",Y2693,IF(U2693&lt;&gt;"",U2693,S2693))</f>
        <v/>
      </c>
      <c r="AE2693" s="21">
        <f>IF(AB2693&lt;&gt;"",AB2693,Z2693)</f>
        <v/>
      </c>
      <c r="AF2693" s="13" t="inlineStr">
        <is>
          <t>OPN BA01 &gt; BSA 15 Other Ship Support &gt; P-40 LI 1600</t>
        </is>
      </c>
      <c r="AG2693" s="7" t="inlineStr">
        <is>
          <t>607</t>
        </is>
      </c>
      <c r="AH2693" s="7" t="inlineStr">
        <is>
          <t>1600</t>
        </is>
      </c>
    </row>
    <row r="2694" ht="10" customHeight="1">
      <c r="A2694" s="7" t="inlineStr">
        <is>
          <t>OPN_BA1</t>
        </is>
      </c>
      <c r="B2694" s="7" t="inlineStr">
        <is>
          <t>Procurement</t>
        </is>
      </c>
      <c r="C2694" s="7" t="inlineStr">
        <is>
          <t>34</t>
        </is>
      </c>
      <c r="D2694" s="7" t="inlineStr">
        <is>
          <t>LCS MCM Mission Modules</t>
        </is>
      </c>
      <c r="E2694" s="15" t="n"/>
      <c r="I2694" s="14" t="n">
        <v>4</v>
      </c>
      <c r="K2694" s="13" t="inlineStr">
        <is>
          <t>USN</t>
        </is>
      </c>
      <c r="L2694" s="7" t="inlineStr">
        <is>
          <t>Combatant Ships</t>
        </is>
      </c>
      <c r="M2694" s="7" t="inlineStr">
        <is>
          <t>Surface Combatants</t>
        </is>
      </c>
      <c r="N2694" s="7" t="inlineStr">
        <is>
          <t>LCS</t>
        </is>
      </c>
      <c r="O2694" s="15" t="n"/>
      <c r="P2694" s="16" t="n">
        <v>87828</v>
      </c>
      <c r="Q2694" s="16" t="n">
        <v>118247</v>
      </c>
      <c r="S2694" s="16" t="n">
        <v>91372</v>
      </c>
      <c r="T2694" s="16" t="n">
        <v>0</v>
      </c>
      <c r="U2694" s="16" t="n">
        <v>91372</v>
      </c>
      <c r="X2694" s="16" t="n">
        <v>91372</v>
      </c>
      <c r="Y2694" s="16" t="n">
        <v>91372</v>
      </c>
      <c r="Z2694" s="16" t="n">
        <v>65113</v>
      </c>
      <c r="AB2694" s="16" t="n">
        <v>65113</v>
      </c>
      <c r="AC2694" s="23">
        <f>IF(OR(E2694="",E2694="[PARENT]"),"ADD",IF(E2694="[ALT_VIEW]","ALT",""))</f>
        <v/>
      </c>
      <c r="AD2694" s="21">
        <f>IF(Y2694&lt;&gt;"",Y2694,IF(U2694&lt;&gt;"",U2694,S2694))</f>
        <v/>
      </c>
      <c r="AE2694" s="21">
        <f>IF(AB2694&lt;&gt;"",AB2694,Z2694)</f>
        <v/>
      </c>
      <c r="AF2694" s="13" t="inlineStr">
        <is>
          <t>OPN BA01 &gt; BSA 15 Other Ship Support &gt; P-40 LI 1601</t>
        </is>
      </c>
      <c r="AG2694" s="7" t="inlineStr">
        <is>
          <t>621</t>
        </is>
      </c>
      <c r="AH2694" s="7" t="inlineStr">
        <is>
          <t>1601</t>
        </is>
      </c>
      <c r="AI2694" s="7" t="inlineStr">
        <is>
          <t>LCS MCM Mission Packages</t>
        </is>
      </c>
    </row>
    <row r="2695" ht="10" customHeight="1">
      <c r="A2695" s="7" t="inlineStr">
        <is>
          <t>OPN_BA1</t>
        </is>
      </c>
      <c r="B2695" s="7" t="inlineStr">
        <is>
          <t>Procurement</t>
        </is>
      </c>
      <c r="C2695" s="7" t="inlineStr">
        <is>
          <t>36</t>
        </is>
      </c>
      <c r="D2695" s="7" t="inlineStr">
        <is>
          <t>LCS SUW Mission Modules</t>
        </is>
      </c>
      <c r="E2695" s="15" t="n"/>
      <c r="I2695" s="14" t="n">
        <v>4</v>
      </c>
      <c r="K2695" s="13" t="inlineStr">
        <is>
          <t>USN</t>
        </is>
      </c>
      <c r="L2695" s="7" t="inlineStr">
        <is>
          <t>Combatant Ships</t>
        </is>
      </c>
      <c r="M2695" s="7" t="inlineStr">
        <is>
          <t>Surface Combatants</t>
        </is>
      </c>
      <c r="N2695" s="7" t="inlineStr">
        <is>
          <t>LCS</t>
        </is>
      </c>
      <c r="O2695" s="15" t="n"/>
      <c r="P2695" s="16" t="n">
        <v>12094</v>
      </c>
      <c r="Q2695" s="16" t="n">
        <v>11101</v>
      </c>
      <c r="S2695" s="16" t="n">
        <v>3790</v>
      </c>
      <c r="T2695" s="16" t="n">
        <v>0</v>
      </c>
      <c r="U2695" s="16" t="n">
        <v>3790</v>
      </c>
      <c r="X2695" s="16" t="n">
        <v>3790</v>
      </c>
      <c r="Y2695" s="16" t="n">
        <v>3790</v>
      </c>
      <c r="Z2695" s="16" t="n">
        <v>1719</v>
      </c>
      <c r="AB2695" s="16" t="n">
        <v>1719</v>
      </c>
      <c r="AC2695" s="23">
        <f>IF(OR(E2695="",E2695="[PARENT]"),"ADD",IF(E2695="[ALT_VIEW]","ALT",""))</f>
        <v/>
      </c>
      <c r="AD2695" s="21">
        <f>IF(Y2695&lt;&gt;"",Y2695,IF(U2695&lt;&gt;"",U2695,S2695))</f>
        <v/>
      </c>
      <c r="AE2695" s="21">
        <f>IF(AB2695&lt;&gt;"",AB2695,Z2695)</f>
        <v/>
      </c>
      <c r="AF2695" s="13" t="inlineStr">
        <is>
          <t>OPN BA01 &gt; BSA 15 Other Ship Support &gt; P-40 LI 1603</t>
        </is>
      </c>
      <c r="AG2695" s="7" t="inlineStr">
        <is>
          <t>635</t>
        </is>
      </c>
      <c r="AH2695" s="7" t="inlineStr">
        <is>
          <t>1603</t>
        </is>
      </c>
    </row>
    <row r="2696" ht="10" customHeight="1">
      <c r="A2696" s="7" t="inlineStr">
        <is>
          <t>OPN_BA1</t>
        </is>
      </c>
      <c r="B2696" s="7" t="inlineStr">
        <is>
          <t>Procurement</t>
        </is>
      </c>
      <c r="C2696" s="7" t="inlineStr">
        <is>
          <t>37</t>
        </is>
      </c>
      <c r="D2696" s="7" t="inlineStr">
        <is>
          <t>LCS In-Service Modernization</t>
        </is>
      </c>
      <c r="E2696" s="15" t="n"/>
      <c r="I2696" s="14" t="n">
        <v>4</v>
      </c>
      <c r="K2696" s="13" t="inlineStr">
        <is>
          <t>USN</t>
        </is>
      </c>
      <c r="L2696" s="7" t="inlineStr">
        <is>
          <t>Combatant Ships</t>
        </is>
      </c>
      <c r="M2696" s="7" t="inlineStr">
        <is>
          <t>Surface Combatants</t>
        </is>
      </c>
      <c r="N2696" s="7" t="inlineStr">
        <is>
          <t>LCS</t>
        </is>
      </c>
      <c r="O2696" s="15" t="n"/>
      <c r="P2696" s="16" t="n">
        <v>154561</v>
      </c>
      <c r="Q2696" s="16" t="n">
        <v>188254</v>
      </c>
      <c r="S2696" s="16" t="n">
        <v>203442</v>
      </c>
      <c r="T2696" s="16" t="n">
        <v>34286</v>
      </c>
      <c r="U2696" s="16" t="n">
        <v>237728</v>
      </c>
      <c r="W2696" s="16" t="n">
        <v>0</v>
      </c>
      <c r="X2696" s="16" t="n">
        <v>189458</v>
      </c>
      <c r="Y2696" s="16" t="n">
        <v>189458</v>
      </c>
      <c r="Z2696" s="16" t="n">
        <v>315272</v>
      </c>
      <c r="AB2696" s="16" t="n">
        <v>315272</v>
      </c>
      <c r="AC2696" s="23">
        <f>IF(OR(E2696="",E2696="[PARENT]"),"ADD",IF(E2696="[ALT_VIEW]","ALT",""))</f>
        <v/>
      </c>
      <c r="AD2696" s="21">
        <f>IF(Y2696&lt;&gt;"",Y2696,IF(U2696&lt;&gt;"",U2696,S2696))</f>
        <v/>
      </c>
      <c r="AE2696" s="21">
        <f>IF(AB2696&lt;&gt;"",AB2696,Z2696)</f>
        <v/>
      </c>
      <c r="AF2696" s="13" t="inlineStr">
        <is>
          <t>OPN BA01 &gt; BSA 15 Other Ship Support &gt; P-40 LI 1604</t>
        </is>
      </c>
      <c r="AG2696" s="7" t="inlineStr">
        <is>
          <t>641</t>
        </is>
      </c>
      <c r="AH2696" s="7" t="inlineStr">
        <is>
          <t>1604</t>
        </is>
      </c>
      <c r="AI2696" s="7" t="inlineStr">
        <is>
          <t>MT005 LCS Combat System Modernization</t>
        </is>
      </c>
    </row>
    <row r="2697" ht="10" customHeight="1">
      <c r="A2697" s="7" t="inlineStr">
        <is>
          <t>OPN_BA1</t>
        </is>
      </c>
      <c r="B2697" s="7" t="inlineStr">
        <is>
          <t>Procurement</t>
        </is>
      </c>
      <c r="C2697" s="7" t="inlineStr">
        <is>
          <t>38</t>
        </is>
      </c>
      <c r="D2697" s="7" t="inlineStr">
        <is>
          <t>Small &amp; Medium UUV</t>
        </is>
      </c>
      <c r="E2697" s="15" t="n"/>
      <c r="I2697" s="14" t="n">
        <v>1</v>
      </c>
      <c r="J2697" s="7" t="inlineStr">
        <is>
          <t>Full vessel procurement</t>
        </is>
      </c>
      <c r="K2697" s="13" t="inlineStr">
        <is>
          <t>USN</t>
        </is>
      </c>
      <c r="L2697" s="7" t="inlineStr">
        <is>
          <t>Unmanned Maritime Platforms</t>
        </is>
      </c>
      <c r="M2697" s="7" t="inlineStr">
        <is>
          <t>Unmanned Undersea Vehicles</t>
        </is>
      </c>
      <c r="N2697" s="7" t="inlineStr">
        <is>
          <t>UUV</t>
        </is>
      </c>
      <c r="O2697" s="15" t="n"/>
      <c r="P2697" s="16" t="n">
        <v>56815</v>
      </c>
      <c r="Q2697" s="16" t="n">
        <v>48780</v>
      </c>
      <c r="S2697" s="16" t="n">
        <v>54854</v>
      </c>
      <c r="T2697" s="16" t="n">
        <v>66421</v>
      </c>
      <c r="U2697" s="16" t="n">
        <v>121275</v>
      </c>
      <c r="W2697" s="16" t="n">
        <v>198921</v>
      </c>
      <c r="X2697" s="16" t="n">
        <v>7000</v>
      </c>
      <c r="Y2697" s="16" t="n">
        <v>205921</v>
      </c>
      <c r="Z2697" s="16" t="n">
        <v>110955</v>
      </c>
      <c r="AB2697" s="16" t="n">
        <v>110955</v>
      </c>
      <c r="AC2697" s="23">
        <f>IF(OR(E2697="",E2697="[PARENT]"),"ADD",IF(E2697="[ALT_VIEW]","ALT",""))</f>
        <v/>
      </c>
      <c r="AD2697" s="21">
        <f>IF(Y2697&lt;&gt;"",Y2697,IF(U2697&lt;&gt;"",U2697,S2697))</f>
        <v/>
      </c>
      <c r="AE2697" s="21">
        <f>IF(AB2697&lt;&gt;"",AB2697,Z2697)</f>
        <v/>
      </c>
      <c r="AF2697" s="13" t="inlineStr">
        <is>
          <t>OPN BA01 &gt; BSA 15 Other Ship Support &gt; P-40 LI 1611</t>
        </is>
      </c>
      <c r="AG2697" s="7" t="inlineStr">
        <is>
          <t>667</t>
        </is>
      </c>
      <c r="AH2697" s="7" t="inlineStr">
        <is>
          <t>1611</t>
        </is>
      </c>
      <c r="AI2697" s="7" t="inlineStr">
        <is>
          <t>Small &amp; Medium UUV</t>
        </is>
      </c>
    </row>
    <row r="2698" ht="10" customHeight="1">
      <c r="A2698" s="7" t="inlineStr">
        <is>
          <t>OPN_BA1</t>
        </is>
      </c>
      <c r="B2698" s="7" t="inlineStr">
        <is>
          <t>Procurement</t>
        </is>
      </c>
      <c r="C2698" s="7" t="inlineStr">
        <is>
          <t>39</t>
        </is>
      </c>
      <c r="D2698" s="7" t="inlineStr">
        <is>
          <t>Extra Large UUV</t>
        </is>
      </c>
      <c r="E2698" s="15" t="n"/>
      <c r="I2698" s="14" t="n">
        <v>1</v>
      </c>
      <c r="J2698" s="7" t="inlineStr">
        <is>
          <t>Full vessel procurement</t>
        </is>
      </c>
      <c r="K2698" s="13" t="inlineStr">
        <is>
          <t>USN</t>
        </is>
      </c>
      <c r="L2698" s="7" t="inlineStr">
        <is>
          <t>Unmanned Maritime Platforms</t>
        </is>
      </c>
      <c r="M2698" s="7" t="inlineStr">
        <is>
          <t>Unmanned Undersea Vehicles</t>
        </is>
      </c>
      <c r="N2698" s="7" t="inlineStr">
        <is>
          <t>UUV</t>
        </is>
      </c>
      <c r="O2698" s="15" t="n"/>
      <c r="P2698" s="16" t="n">
        <v>0</v>
      </c>
      <c r="Q2698" s="16" t="n">
        <v>0</v>
      </c>
      <c r="S2698" s="16" t="n">
        <v>0</v>
      </c>
      <c r="T2698" s="16" t="n">
        <v>3313</v>
      </c>
      <c r="U2698" s="16" t="n">
        <v>3313</v>
      </c>
      <c r="W2698" s="16" t="n">
        <v>3313</v>
      </c>
      <c r="X2698" s="16" t="n">
        <v>0</v>
      </c>
      <c r="Y2698" s="16" t="n">
        <v>3313</v>
      </c>
      <c r="Z2698" s="16" t="n">
        <v>135802</v>
      </c>
      <c r="AB2698" s="16" t="n">
        <v>135802</v>
      </c>
      <c r="AC2698" s="23">
        <f>IF(OR(E2698="",E2698="[PARENT]"),"ADD",IF(E2698="[ALT_VIEW]","ALT",""))</f>
        <v/>
      </c>
      <c r="AD2698" s="21">
        <f>IF(Y2698&lt;&gt;"",Y2698,IF(U2698&lt;&gt;"",U2698,S2698))</f>
        <v/>
      </c>
      <c r="AE2698" s="21">
        <f>IF(AB2698&lt;&gt;"",AB2698,Z2698)</f>
        <v/>
      </c>
      <c r="AF2698" s="13" t="inlineStr">
        <is>
          <t>OPN BA01 &gt; BSA 15 Other Ship Support &gt; P-1 Line #39</t>
        </is>
      </c>
    </row>
    <row r="2699" ht="10" customHeight="1">
      <c r="A2699" s="7" t="inlineStr">
        <is>
          <t>OPN_BA1</t>
        </is>
      </c>
      <c r="B2699" s="7" t="inlineStr">
        <is>
          <t>Procurement</t>
        </is>
      </c>
      <c r="C2699" s="7" t="inlineStr">
        <is>
          <t>40</t>
        </is>
      </c>
      <c r="D2699" s="7" t="inlineStr">
        <is>
          <t>LSD Midlife &amp; Modernization</t>
        </is>
      </c>
      <c r="E2699" s="15" t="n"/>
      <c r="I2699" s="14" t="n">
        <v>4</v>
      </c>
      <c r="K2699" s="13" t="inlineStr">
        <is>
          <t>USN</t>
        </is>
      </c>
      <c r="L2699" s="7" t="inlineStr">
        <is>
          <t>Combatant Ships</t>
        </is>
      </c>
      <c r="M2699" s="7" t="inlineStr">
        <is>
          <t>Amphibious Warfare Ships</t>
        </is>
      </c>
      <c r="N2699" s="7" t="inlineStr">
        <is>
          <t>LSD</t>
        </is>
      </c>
      <c r="O2699" s="15" t="n"/>
      <c r="P2699" s="16" t="n">
        <v>3989</v>
      </c>
      <c r="Q2699" s="16" t="n">
        <v>56667</v>
      </c>
      <c r="S2699" s="16" t="n">
        <v>4079</v>
      </c>
      <c r="T2699" s="16" t="n">
        <v>0</v>
      </c>
      <c r="U2699" s="16" t="n">
        <v>4079</v>
      </c>
      <c r="X2699" s="16" t="n">
        <v>4079</v>
      </c>
      <c r="Y2699" s="16" t="n">
        <v>4079</v>
      </c>
      <c r="Z2699" s="16" t="n">
        <v>240</v>
      </c>
      <c r="AB2699" s="16" t="n">
        <v>240</v>
      </c>
      <c r="AC2699" s="23">
        <f>IF(OR(E2699="",E2699="[PARENT]"),"ADD",IF(E2699="[ALT_VIEW]","ALT",""))</f>
        <v/>
      </c>
      <c r="AD2699" s="21">
        <f>IF(Y2699&lt;&gt;"",Y2699,IF(U2699&lt;&gt;"",U2699,S2699))</f>
        <v/>
      </c>
      <c r="AE2699" s="21">
        <f>IF(AB2699&lt;&gt;"",AB2699,Z2699)</f>
        <v/>
      </c>
      <c r="AF2699" s="13" t="inlineStr">
        <is>
          <t>OPN BA01 &gt; BSA 16 Logistic Support &gt; P-40 LI 1610</t>
        </is>
      </c>
      <c r="AG2699" s="7" t="inlineStr">
        <is>
          <t>681</t>
        </is>
      </c>
      <c r="AH2699" s="7" t="inlineStr">
        <is>
          <t>1610</t>
        </is>
      </c>
      <c r="AI2699" s="7" t="inlineStr">
        <is>
          <t>ST001 - LSD Mod HM&amp;E Modernization</t>
        </is>
      </c>
    </row>
    <row r="2700" ht="10" customHeight="1">
      <c r="A2700" s="7" t="inlineStr">
        <is>
          <t>OPN_BA2</t>
        </is>
      </c>
      <c r="B2700" s="7" t="inlineStr">
        <is>
          <t>Procurement</t>
        </is>
      </c>
      <c r="D2700" s="7" t="inlineStr">
        <is>
          <t>Budget Activity 02: Communications and electronics equipment</t>
        </is>
      </c>
      <c r="E2700" s="13" t="inlineStr">
        <is>
          <t>[ALT_VIEW]</t>
        </is>
      </c>
      <c r="K2700" s="15" t="n"/>
      <c r="O2700" s="15" t="n"/>
      <c r="P2700" s="16" t="n">
        <v>4152244</v>
      </c>
      <c r="Q2700" s="16" t="n">
        <v>3927280</v>
      </c>
      <c r="S2700" s="16" t="n">
        <v>4508845</v>
      </c>
      <c r="T2700" s="16" t="n">
        <v>11000</v>
      </c>
      <c r="U2700" s="16" t="n">
        <v>4519845</v>
      </c>
      <c r="AC2700" s="23">
        <f>IF(OR(E2700="",E2700="[PARENT]"),"ADD",IF(E2700="[ALT_VIEW]","ALT",""))</f>
        <v/>
      </c>
      <c r="AD2700" s="21">
        <f>IF(Y2700&lt;&gt;"",Y2700,IF(U2700&lt;&gt;"",U2700,S2700))</f>
        <v/>
      </c>
      <c r="AE2700" s="21">
        <f>IF(AB2700&lt;&gt;"",AB2700,Z2700)</f>
        <v/>
      </c>
      <c r="AF2700" s="13" t="inlineStr">
        <is>
          <t>OPN BA2 P-1 Summary / 1810N Budget Activity Summary</t>
        </is>
      </c>
      <c r="AG2700" s="7" t="inlineStr">
        <is>
          <t>13</t>
        </is>
      </c>
    </row>
    <row r="2701" ht="10" customHeight="1">
      <c r="A2701" s="7" t="inlineStr">
        <is>
          <t>OPN_BA2</t>
        </is>
      </c>
      <c r="B2701" s="7" t="inlineStr">
        <is>
          <t>Procurement</t>
        </is>
      </c>
      <c r="C2701" s="7" t="inlineStr">
        <is>
          <t>2026</t>
        </is>
      </c>
      <c r="D2701" s="7" t="inlineStr">
        <is>
          <t>SPQ-9B Radar</t>
        </is>
      </c>
      <c r="E2701" s="13" t="inlineStr">
        <is>
          <t>[ALT_VIEW]</t>
        </is>
      </c>
      <c r="F2701" s="7" t="inlineStr">
        <is>
          <t>Funding realigned to LI 2981 In-Service Radars and Sensors</t>
        </is>
      </c>
      <c r="I2701" s="14" t="n">
        <v>4</v>
      </c>
      <c r="K2701" s="15" t="n"/>
      <c r="O2701" s="15" t="n"/>
      <c r="P2701" s="16" t="n">
        <v>7262</v>
      </c>
      <c r="Q2701" s="16" t="n">
        <v>7402</v>
      </c>
      <c r="S2701" s="16" t="n">
        <v>0</v>
      </c>
      <c r="T2701" s="16" t="n">
        <v>0</v>
      </c>
      <c r="U2701" s="16" t="n">
        <v>0</v>
      </c>
      <c r="AC2701" s="23">
        <f>IF(OR(E2701="",E2701="[PARENT]"),"ADD",IF(E2701="[ALT_VIEW]","ALT",""))</f>
        <v/>
      </c>
      <c r="AD2701" s="21">
        <f>IF(Y2701&lt;&gt;"",Y2701,IF(U2701&lt;&gt;"",U2701,S2701))</f>
        <v/>
      </c>
      <c r="AE2701" s="21">
        <f>IF(AB2701&lt;&gt;"",AB2701,Z2701)</f>
        <v/>
      </c>
      <c r="AF2701" s="13" t="inlineStr">
        <is>
          <t>OPN BA2 &gt; BSA 2: Ship Sonars &gt; LI 2026 SPQ-9B Radar</t>
        </is>
      </c>
      <c r="AG2701" s="7" t="inlineStr">
        <is>
          <t>61</t>
        </is>
      </c>
      <c r="AH2701" s="7" t="inlineStr">
        <is>
          <t>2026</t>
        </is>
      </c>
      <c r="AI2701" s="7" t="inlineStr">
        <is>
          <t>BR040 AN/SPQ-9B RADAR</t>
        </is>
      </c>
    </row>
    <row r="2702" ht="10" customHeight="1">
      <c r="A2702" s="7" t="inlineStr">
        <is>
          <t>OPN_BA2</t>
        </is>
      </c>
      <c r="B2702" s="7" t="inlineStr">
        <is>
          <t>Procurement</t>
        </is>
      </c>
      <c r="D2702" s="7" t="inlineStr">
        <is>
          <t>1 / BR040 AN/SPQ-9B RADAR FMP EQUIPMENT</t>
        </is>
      </c>
      <c r="E2702" s="13" t="inlineStr">
        <is>
          <t>[SUB]</t>
        </is>
      </c>
      <c r="F2702" s="7" t="inlineStr">
        <is>
          <t>LI 2026 SPQ-9B Radar</t>
        </is>
      </c>
      <c r="I2702" s="14" t="n">
        <v>4</v>
      </c>
      <c r="K2702" s="15" t="n"/>
      <c r="O2702" s="15" t="n"/>
      <c r="S2702" s="16" t="n">
        <v>0</v>
      </c>
      <c r="T2702" s="16" t="n">
        <v>0</v>
      </c>
      <c r="U2702" s="16" t="n">
        <v>0</v>
      </c>
      <c r="AC2702" s="23">
        <f>IF(OR(E2702="",E2702="[PARENT]"),"ADD",IF(E2702="[ALT_VIEW]","ALT",""))</f>
        <v/>
      </c>
      <c r="AD2702" s="21">
        <f>IF(Y2702&lt;&gt;"",Y2702,IF(U2702&lt;&gt;"",U2702,S2702))</f>
        <v/>
      </c>
      <c r="AE2702" s="21">
        <f>IF(AB2702&lt;&gt;"",AB2702,Z2702)</f>
        <v/>
      </c>
      <c r="AF2702" s="13" t="inlineStr">
        <is>
          <t>OPN BA2 &gt; BSA 2: Ship Sonars &gt; LI 2026 SPQ-9B Radar &gt; P-3a BR040</t>
        </is>
      </c>
      <c r="AG2702" s="7" t="inlineStr">
        <is>
          <t>66</t>
        </is>
      </c>
      <c r="AH2702" s="7" t="inlineStr">
        <is>
          <t>2026</t>
        </is>
      </c>
      <c r="AI2702" s="7" t="inlineStr">
        <is>
          <t>BR040 AN/SPQ-9B RADAR</t>
        </is>
      </c>
      <c r="AJ2702" s="7" t="inlineStr">
        <is>
          <t>BR040</t>
        </is>
      </c>
    </row>
    <row r="2703" ht="10" customHeight="1">
      <c r="A2703" s="7" t="inlineStr">
        <is>
          <t>OPN_BA2</t>
        </is>
      </c>
      <c r="B2703" s="7" t="inlineStr">
        <is>
          <t>Procurement</t>
        </is>
      </c>
      <c r="C2703" s="7" t="inlineStr">
        <is>
          <t>2136</t>
        </is>
      </c>
      <c r="D2703" s="7" t="inlineStr">
        <is>
          <t>AN/SQQ-89 Surf ASW Cmbt Sys</t>
        </is>
      </c>
      <c r="E2703" s="13" t="inlineStr">
        <is>
          <t>[PARENT]</t>
        </is>
      </c>
      <c r="I2703" s="14" t="n">
        <v>4</v>
      </c>
      <c r="K2703" s="15" t="n"/>
      <c r="O2703" s="15" t="n"/>
      <c r="P2703" s="16" t="n">
        <v>133803</v>
      </c>
      <c r="Q2703" s="16" t="n">
        <v>134637</v>
      </c>
      <c r="S2703" s="16" t="n">
        <v>144425</v>
      </c>
      <c r="T2703" s="16" t="n">
        <v>0</v>
      </c>
      <c r="U2703" s="16" t="n">
        <v>144425</v>
      </c>
      <c r="Z2703" s="16" t="n">
        <v>142355</v>
      </c>
      <c r="AB2703" s="16" t="n">
        <v>142355</v>
      </c>
      <c r="AC2703" s="23">
        <f>IF(OR(E2703="",E2703="[PARENT]"),"ADD",IF(E2703="[ALT_VIEW]","ALT",""))</f>
        <v/>
      </c>
      <c r="AD2703" s="21">
        <f>IF(Y2703&lt;&gt;"",Y2703,IF(U2703&lt;&gt;"",U2703,S2703))</f>
        <v/>
      </c>
      <c r="AE2703" s="21">
        <f>IF(AB2703&lt;&gt;"",AB2703,Z2703)</f>
        <v/>
      </c>
      <c r="AF2703" s="13" t="inlineStr">
        <is>
          <t>OPN BA2 &gt; BSA 2: Ship Sonars &gt; LI 2136 AN/SQQ-89 Surf ASW Cmbt Sys</t>
        </is>
      </c>
      <c r="AG2703" s="7" t="inlineStr">
        <is>
          <t>69</t>
        </is>
      </c>
      <c r="AH2703" s="7" t="inlineStr">
        <is>
          <t>2136</t>
        </is>
      </c>
    </row>
    <row r="2704" ht="10" customHeight="1">
      <c r="A2704" s="7" t="inlineStr">
        <is>
          <t>OPN_BA2</t>
        </is>
      </c>
      <c r="B2704" s="7" t="inlineStr">
        <is>
          <t>Procurement</t>
        </is>
      </c>
      <c r="D2704" s="7" t="inlineStr">
        <is>
          <t>AN/SQQ-89(V) SURFACE ASW COMBAT SYSTEM</t>
        </is>
      </c>
      <c r="E2704" s="13" t="inlineStr">
        <is>
          <t>[SUB]</t>
        </is>
      </c>
      <c r="F2704" s="7" t="inlineStr">
        <is>
          <t>LI 2136 AN/SQQ-89 Surf ASW Cmbt Sys</t>
        </is>
      </c>
      <c r="I2704" s="14" t="n">
        <v>4</v>
      </c>
      <c r="K2704" s="13" t="inlineStr">
        <is>
          <t>USN</t>
        </is>
      </c>
      <c r="L2704" s="7" t="inlineStr">
        <is>
          <t>Combatant Ships</t>
        </is>
      </c>
      <c r="M2704" s="7" t="inlineStr">
        <is>
          <t>Surface Combatants</t>
        </is>
      </c>
      <c r="O2704" s="15" t="n"/>
      <c r="P2704" s="16" t="n">
        <v>26111</v>
      </c>
      <c r="Q2704" s="16" t="n">
        <v>33862</v>
      </c>
      <c r="S2704" s="16" t="n">
        <v>51809</v>
      </c>
      <c r="AC2704" s="23">
        <f>IF(OR(E2704="",E2704="[PARENT]"),"ADD",IF(E2704="[ALT_VIEW]","ALT",""))</f>
        <v/>
      </c>
      <c r="AD2704" s="21">
        <f>IF(Y2704&lt;&gt;"",Y2704,IF(U2704&lt;&gt;"",U2704,S2704))</f>
        <v/>
      </c>
      <c r="AE2704" s="21">
        <f>IF(AB2704&lt;&gt;"",AB2704,Z2704)</f>
        <v/>
      </c>
      <c r="AF2704" s="13" t="inlineStr">
        <is>
          <t>OPN BA2 &gt; BSA 2: Ship Sonars &gt; LI 2136 &gt; P-40a AN/SQQ-89(V)</t>
        </is>
      </c>
      <c r="AG2704" s="7" t="inlineStr">
        <is>
          <t>79</t>
        </is>
      </c>
      <c r="AH2704" s="7" t="inlineStr">
        <is>
          <t>2136</t>
        </is>
      </c>
    </row>
    <row r="2705" ht="10" customHeight="1">
      <c r="A2705" s="7" t="inlineStr">
        <is>
          <t>OPN_BA2</t>
        </is>
      </c>
      <c r="B2705" s="7" t="inlineStr">
        <is>
          <t>Procurement</t>
        </is>
      </c>
      <c r="D2705" s="7" t="inlineStr">
        <is>
          <t>AN/SQQ-89A(V)15 - DDG79-112 FLT IIA UPGRADE</t>
        </is>
      </c>
      <c r="E2705" s="13" t="inlineStr">
        <is>
          <t>[SUB]</t>
        </is>
      </c>
      <c r="F2705" s="7" t="inlineStr">
        <is>
          <t>LI 2136 AN/SQQ-89 Surf ASW Cmbt Sys</t>
        </is>
      </c>
      <c r="I2705" s="14" t="n">
        <v>4</v>
      </c>
      <c r="K2705" s="13" t="inlineStr">
        <is>
          <t>USN</t>
        </is>
      </c>
      <c r="L2705" s="7" t="inlineStr">
        <is>
          <t>Combatant Ships</t>
        </is>
      </c>
      <c r="M2705" s="7" t="inlineStr">
        <is>
          <t>Surface Combatants</t>
        </is>
      </c>
      <c r="N2705" s="7" t="inlineStr">
        <is>
          <t>DDG</t>
        </is>
      </c>
      <c r="O2705" s="15" t="n"/>
      <c r="Q2705" s="16" t="n">
        <v>0</v>
      </c>
      <c r="S2705" s="16" t="n">
        <v>0</v>
      </c>
      <c r="T2705" s="16" t="n">
        <v>0</v>
      </c>
      <c r="U2705" s="16" t="n">
        <v>0</v>
      </c>
      <c r="AC2705" s="23">
        <f>IF(OR(E2705="",E2705="[PARENT]"),"ADD",IF(E2705="[ALT_VIEW]","ALT",""))</f>
        <v/>
      </c>
      <c r="AD2705" s="21">
        <f>IF(Y2705&lt;&gt;"",Y2705,IF(U2705&lt;&gt;"",U2705,S2705))</f>
        <v/>
      </c>
      <c r="AE2705" s="21">
        <f>IF(AB2705&lt;&gt;"",AB2705,Z2705)</f>
        <v/>
      </c>
      <c r="AF2705" s="13" t="inlineStr">
        <is>
          <t>OPN BA2 &gt; BSA 2: Ship Sonars &gt; LI 2136 &gt; P-3a DDG79-112 FLT IIA</t>
        </is>
      </c>
      <c r="AG2705" s="7" t="inlineStr">
        <is>
          <t>83</t>
        </is>
      </c>
      <c r="AH2705" s="7" t="inlineStr">
        <is>
          <t>2136</t>
        </is>
      </c>
      <c r="AJ2705" s="7" t="inlineStr">
        <is>
          <t>DDG79-112 FLT IIA</t>
        </is>
      </c>
    </row>
    <row r="2706" ht="10" customHeight="1">
      <c r="A2706" s="7" t="inlineStr">
        <is>
          <t>OPN_BA2</t>
        </is>
      </c>
      <c r="B2706" s="7" t="inlineStr">
        <is>
          <t>Procurement</t>
        </is>
      </c>
      <c r="D2706" s="7" t="inlineStr">
        <is>
          <t>AN/SQQ-89A(V)15 - DDG51-78 (SELECT) FLT I/II UPGRADE</t>
        </is>
      </c>
      <c r="E2706" s="13" t="inlineStr">
        <is>
          <t>[SUB]</t>
        </is>
      </c>
      <c r="F2706" s="7" t="inlineStr">
        <is>
          <t>LI 2136 AN/SQQ-89 Surf ASW Cmbt Sys</t>
        </is>
      </c>
      <c r="I2706" s="14" t="n">
        <v>4</v>
      </c>
      <c r="K2706" s="13" t="inlineStr">
        <is>
          <t>USN</t>
        </is>
      </c>
      <c r="L2706" s="7" t="inlineStr">
        <is>
          <t>Combatant Ships</t>
        </is>
      </c>
      <c r="M2706" s="7" t="inlineStr">
        <is>
          <t>Surface Combatants</t>
        </is>
      </c>
      <c r="N2706" s="7" t="inlineStr">
        <is>
          <t>DDG</t>
        </is>
      </c>
      <c r="O2706" s="15" t="n"/>
      <c r="Q2706" s="16" t="n">
        <v>11092</v>
      </c>
      <c r="S2706" s="16" t="n">
        <v>9093</v>
      </c>
      <c r="T2706" s="16" t="n">
        <v>0</v>
      </c>
      <c r="U2706" s="16" t="n">
        <v>0</v>
      </c>
      <c r="AC2706" s="23">
        <f>IF(OR(E2706="",E2706="[PARENT]"),"ADD",IF(E2706="[ALT_VIEW]","ALT",""))</f>
        <v/>
      </c>
      <c r="AD2706" s="21">
        <f>IF(Y2706&lt;&gt;"",Y2706,IF(U2706&lt;&gt;"",U2706,S2706))</f>
        <v/>
      </c>
      <c r="AE2706" s="21">
        <f>IF(AB2706&lt;&gt;"",AB2706,Z2706)</f>
        <v/>
      </c>
      <c r="AF2706" s="13" t="inlineStr">
        <is>
          <t>OPN BA2 &gt; BSA 2: Ship Sonars &gt; LI 2136 &gt; P-3a DDG51-78 FLT I/II</t>
        </is>
      </c>
      <c r="AG2706" s="7" t="inlineStr">
        <is>
          <t>87</t>
        </is>
      </c>
      <c r="AH2706" s="7" t="inlineStr">
        <is>
          <t>2136</t>
        </is>
      </c>
      <c r="AJ2706" s="7" t="inlineStr">
        <is>
          <t>DDG51-78 FLT I/II</t>
        </is>
      </c>
    </row>
    <row r="2707" ht="10" customHeight="1">
      <c r="A2707" s="7" t="inlineStr">
        <is>
          <t>OPN_BA2</t>
        </is>
      </c>
      <c r="B2707" s="7" t="inlineStr">
        <is>
          <t>Procurement</t>
        </is>
      </c>
      <c r="D2707" s="7" t="inlineStr">
        <is>
          <t>AN/SQQ-89A(V)15 - DDG113-132 MFTA/HANDLER UPGRADE</t>
        </is>
      </c>
      <c r="E2707" s="13" t="inlineStr">
        <is>
          <t>[SUB]</t>
        </is>
      </c>
      <c r="F2707" s="7" t="inlineStr">
        <is>
          <t>LI 2136 AN/SQQ-89 Surf ASW Cmbt Sys</t>
        </is>
      </c>
      <c r="I2707" s="14" t="n">
        <v>4</v>
      </c>
      <c r="K2707" s="13" t="inlineStr">
        <is>
          <t>USN</t>
        </is>
      </c>
      <c r="L2707" s="7" t="inlineStr">
        <is>
          <t>Combatant Ships</t>
        </is>
      </c>
      <c r="M2707" s="7" t="inlineStr">
        <is>
          <t>Surface Combatants</t>
        </is>
      </c>
      <c r="N2707" s="7" t="inlineStr">
        <is>
          <t>DDG</t>
        </is>
      </c>
      <c r="O2707" s="15" t="n"/>
      <c r="Q2707" s="16" t="n">
        <v>17326</v>
      </c>
      <c r="S2707" s="16" t="n">
        <v>4127</v>
      </c>
      <c r="T2707" s="16" t="n">
        <v>3704</v>
      </c>
      <c r="U2707" s="16" t="n">
        <v>0</v>
      </c>
      <c r="AC2707" s="23">
        <f>IF(OR(E2707="",E2707="[PARENT]"),"ADD",IF(E2707="[ALT_VIEW]","ALT",""))</f>
        <v/>
      </c>
      <c r="AD2707" s="21">
        <f>IF(Y2707&lt;&gt;"",Y2707,IF(U2707&lt;&gt;"",U2707,S2707))</f>
        <v/>
      </c>
      <c r="AE2707" s="21">
        <f>IF(AB2707&lt;&gt;"",AB2707,Z2707)</f>
        <v/>
      </c>
      <c r="AF2707" s="13" t="inlineStr">
        <is>
          <t>OPN BA2 &gt; BSA 2: Ship Sonars &gt; LI 2136 &gt; P-3a DDG113-132 MFTA</t>
        </is>
      </c>
      <c r="AG2707" s="7" t="inlineStr">
        <is>
          <t>90</t>
        </is>
      </c>
      <c r="AH2707" s="7" t="inlineStr">
        <is>
          <t>2136</t>
        </is>
      </c>
      <c r="AJ2707" s="7" t="inlineStr">
        <is>
          <t>DDG113-132 MFTA</t>
        </is>
      </c>
    </row>
    <row r="2708" ht="10" customHeight="1">
      <c r="A2708" s="7" t="inlineStr">
        <is>
          <t>OPN_BA2</t>
        </is>
      </c>
      <c r="B2708" s="7" t="inlineStr">
        <is>
          <t>Procurement</t>
        </is>
      </c>
      <c r="D2708" s="7" t="inlineStr">
        <is>
          <t>AN/SQQ-89A(V)15 - TECHNOLOGY INSERTION/REFRESH</t>
        </is>
      </c>
      <c r="E2708" s="13" t="inlineStr">
        <is>
          <t>[SUB]</t>
        </is>
      </c>
      <c r="F2708" s="7" t="inlineStr">
        <is>
          <t>LI 2136 AN/SQQ-89 Surf ASW Cmbt Sys</t>
        </is>
      </c>
      <c r="I2708" s="14" t="n">
        <v>4</v>
      </c>
      <c r="K2708" s="13" t="inlineStr">
        <is>
          <t>USN</t>
        </is>
      </c>
      <c r="L2708" s="7" t="inlineStr">
        <is>
          <t>Combatant Ships</t>
        </is>
      </c>
      <c r="M2708" s="7" t="inlineStr">
        <is>
          <t>Surface Combatants</t>
        </is>
      </c>
      <c r="N2708" s="7" t="inlineStr">
        <is>
          <t>DDG</t>
        </is>
      </c>
      <c r="O2708" s="15" t="n"/>
      <c r="Q2708" s="16" t="n">
        <v>17366</v>
      </c>
      <c r="S2708" s="16" t="n">
        <v>21419</v>
      </c>
      <c r="T2708" s="16" t="n">
        <v>10713</v>
      </c>
      <c r="U2708" s="16" t="n">
        <v>0</v>
      </c>
      <c r="AC2708" s="23">
        <f>IF(OR(E2708="",E2708="[PARENT]"),"ADD",IF(E2708="[ALT_VIEW]","ALT",""))</f>
        <v/>
      </c>
      <c r="AD2708" s="21">
        <f>IF(Y2708&lt;&gt;"",Y2708,IF(U2708&lt;&gt;"",U2708,S2708))</f>
        <v/>
      </c>
      <c r="AE2708" s="21">
        <f>IF(AB2708&lt;&gt;"",AB2708,Z2708)</f>
        <v/>
      </c>
      <c r="AF2708" s="13" t="inlineStr">
        <is>
          <t>OPN BA2 &gt; BSA 2: Ship Sonars &gt; LI 2136 &gt; P-3a TI/Refresh</t>
        </is>
      </c>
      <c r="AG2708" s="7" t="inlineStr">
        <is>
          <t>93</t>
        </is>
      </c>
      <c r="AH2708" s="7" t="inlineStr">
        <is>
          <t>2136</t>
        </is>
      </c>
      <c r="AJ2708" s="7" t="inlineStr">
        <is>
          <t>TI/Refresh</t>
        </is>
      </c>
    </row>
    <row r="2709" ht="10" customHeight="1">
      <c r="A2709" s="7" t="inlineStr">
        <is>
          <t>OPN_BA2</t>
        </is>
      </c>
      <c r="B2709" s="7" t="inlineStr">
        <is>
          <t>Procurement</t>
        </is>
      </c>
      <c r="D2709" s="7" t="inlineStr">
        <is>
          <t>AN/SQQ-89A(V)15 - TECHNOLOGY INSERTION/REFRESH - BUILD-IN-PLACE</t>
        </is>
      </c>
      <c r="E2709" s="13" t="inlineStr">
        <is>
          <t>[SUB]</t>
        </is>
      </c>
      <c r="F2709" s="7" t="inlineStr">
        <is>
          <t>LI 2136 AN/SQQ-89 Surf ASW Cmbt Sys</t>
        </is>
      </c>
      <c r="I2709" s="14" t="n">
        <v>4</v>
      </c>
      <c r="K2709" s="13" t="inlineStr">
        <is>
          <t>USN</t>
        </is>
      </c>
      <c r="L2709" s="7" t="inlineStr">
        <is>
          <t>Combatant Ships</t>
        </is>
      </c>
      <c r="M2709" s="7" t="inlineStr">
        <is>
          <t>Surface Combatants</t>
        </is>
      </c>
      <c r="N2709" s="7" t="inlineStr">
        <is>
          <t>DDG</t>
        </is>
      </c>
      <c r="O2709" s="15" t="n"/>
      <c r="Q2709" s="16" t="n">
        <v>61908</v>
      </c>
      <c r="S2709" s="16" t="n">
        <v>66136</v>
      </c>
      <c r="T2709" s="16" t="n">
        <v>78199</v>
      </c>
      <c r="U2709" s="16" t="n">
        <v>0</v>
      </c>
      <c r="AC2709" s="23">
        <f>IF(OR(E2709="",E2709="[PARENT]"),"ADD",IF(E2709="[ALT_VIEW]","ALT",""))</f>
        <v/>
      </c>
      <c r="AD2709" s="21">
        <f>IF(Y2709&lt;&gt;"",Y2709,IF(U2709&lt;&gt;"",U2709,S2709))</f>
        <v/>
      </c>
      <c r="AE2709" s="21">
        <f>IF(AB2709&lt;&gt;"",AB2709,Z2709)</f>
        <v/>
      </c>
      <c r="AF2709" s="13" t="inlineStr">
        <is>
          <t>OPN BA2 &gt; BSA 2: Ship Sonars &gt; LI 2136 &gt; P-3a TI/Refresh BIP</t>
        </is>
      </c>
      <c r="AG2709" s="7" t="inlineStr">
        <is>
          <t>97</t>
        </is>
      </c>
      <c r="AH2709" s="7" t="inlineStr">
        <is>
          <t>2136</t>
        </is>
      </c>
      <c r="AJ2709" s="7" t="inlineStr">
        <is>
          <t>TI/Refresh BIP</t>
        </is>
      </c>
    </row>
    <row r="2710" ht="10" customHeight="1">
      <c r="A2710" s="7" t="inlineStr">
        <is>
          <t>OPN_BA2</t>
        </is>
      </c>
      <c r="B2710" s="7" t="inlineStr">
        <is>
          <t>Procurement</t>
        </is>
      </c>
      <c r="C2710" s="7" t="inlineStr">
        <is>
          <t>2150</t>
        </is>
      </c>
      <c r="D2710" s="7" t="inlineStr">
        <is>
          <t>SSN Acoustic Equipment</t>
        </is>
      </c>
      <c r="E2710" s="13" t="inlineStr">
        <is>
          <t>[PARENT]</t>
        </is>
      </c>
      <c r="I2710" s="14" t="n">
        <v>4</v>
      </c>
      <c r="K2710" s="13" t="inlineStr">
        <is>
          <t>USN</t>
        </is>
      </c>
      <c r="L2710" s="7" t="inlineStr">
        <is>
          <t>Combatant Ships</t>
        </is>
      </c>
      <c r="M2710" s="7" t="inlineStr">
        <is>
          <t>Submarines</t>
        </is>
      </c>
      <c r="N2710" s="7" t="inlineStr">
        <is>
          <t>SSN</t>
        </is>
      </c>
      <c r="O2710" s="15" t="n"/>
      <c r="P2710" s="16" t="n">
        <v>519272</v>
      </c>
      <c r="Q2710" s="16" t="n">
        <v>465824</v>
      </c>
      <c r="S2710" s="16" t="n">
        <v>498597</v>
      </c>
      <c r="T2710" s="16" t="n">
        <v>0</v>
      </c>
      <c r="U2710" s="16" t="n">
        <v>498597</v>
      </c>
      <c r="Z2710" s="16" t="n">
        <v>454161</v>
      </c>
      <c r="AB2710" s="16" t="n">
        <v>454161</v>
      </c>
      <c r="AC2710" s="23">
        <f>IF(OR(E2710="",E2710="[PARENT]"),"ADD",IF(E2710="[ALT_VIEW]","ALT",""))</f>
        <v/>
      </c>
      <c r="AD2710" s="21">
        <f>IF(Y2710&lt;&gt;"",Y2710,IF(U2710&lt;&gt;"",U2710,S2710))</f>
        <v/>
      </c>
      <c r="AE2710" s="21">
        <f>IF(AB2710&lt;&gt;"",AB2710,Z2710)</f>
        <v/>
      </c>
      <c r="AF2710" s="13" t="inlineStr">
        <is>
          <t>OPN BA2 &gt; BSA 2: Ship Sonars &gt; LI 2150 SSN Acoustic Equipment</t>
        </is>
      </c>
      <c r="AG2710" s="7" t="inlineStr">
        <is>
          <t>101</t>
        </is>
      </c>
      <c r="AH2710" s="7" t="inlineStr">
        <is>
          <t>2150</t>
        </is>
      </c>
      <c r="AI2710" s="7" t="inlineStr">
        <is>
          <t>SA105 SONAR SUPPORT EQUIPMENT</t>
        </is>
      </c>
    </row>
    <row r="2711" ht="10" customHeight="1">
      <c r="A2711" s="7" t="inlineStr">
        <is>
          <t>OPN_BA2</t>
        </is>
      </c>
      <c r="B2711" s="7" t="inlineStr">
        <is>
          <t>Procurement</t>
        </is>
      </c>
      <c r="D2711" s="7" t="inlineStr">
        <is>
          <t>LWWAA Unit 6512 Tech Refresh</t>
        </is>
      </c>
      <c r="E2711" s="13" t="inlineStr">
        <is>
          <t>[SUB]</t>
        </is>
      </c>
      <c r="F2711" s="7" t="inlineStr">
        <is>
          <t>LI 2150 SSN Acoustic Equipment</t>
        </is>
      </c>
      <c r="I2711" s="14" t="n">
        <v>4</v>
      </c>
      <c r="K2711" s="13" t="inlineStr">
        <is>
          <t>USN</t>
        </is>
      </c>
      <c r="L2711" s="7" t="inlineStr">
        <is>
          <t>Combatant Ships</t>
        </is>
      </c>
      <c r="M2711" s="7" t="inlineStr">
        <is>
          <t>Submarines</t>
        </is>
      </c>
      <c r="N2711" s="7" t="inlineStr">
        <is>
          <t>SSN</t>
        </is>
      </c>
      <c r="O2711" s="15" t="n"/>
      <c r="P2711" s="16" t="n">
        <v>12313</v>
      </c>
      <c r="Q2711" s="16" t="n">
        <v>12559</v>
      </c>
      <c r="S2711" s="16" t="n">
        <v>12813</v>
      </c>
      <c r="AC2711" s="23">
        <f>IF(OR(E2711="",E2711="[PARENT]"),"ADD",IF(E2711="[ALT_VIEW]","ALT",""))</f>
        <v/>
      </c>
      <c r="AD2711" s="21">
        <f>IF(Y2711&lt;&gt;"",Y2711,IF(U2711&lt;&gt;"",U2711,S2711))</f>
        <v/>
      </c>
      <c r="AE2711" s="21">
        <f>IF(AB2711&lt;&gt;"",AB2711,Z2711)</f>
        <v/>
      </c>
      <c r="AF2711" s="13" t="inlineStr">
        <is>
          <t>OPN BA2 &gt; BSA 2: Ship Sonars &gt; LI 2150 &gt; LWWAA</t>
        </is>
      </c>
      <c r="AG2711" s="7" t="inlineStr">
        <is>
          <t>109</t>
        </is>
      </c>
      <c r="AH2711" s="7" t="inlineStr">
        <is>
          <t>2150</t>
        </is>
      </c>
    </row>
    <row r="2712" ht="10" customHeight="1">
      <c r="A2712" s="7" t="inlineStr">
        <is>
          <t>OPN_BA2</t>
        </is>
      </c>
      <c r="B2712" s="7" t="inlineStr">
        <is>
          <t>Procurement</t>
        </is>
      </c>
      <c r="D2712" s="7" t="inlineStr">
        <is>
          <t>SSBN Legacy Interface Hardware</t>
        </is>
      </c>
      <c r="E2712" s="13" t="inlineStr">
        <is>
          <t>[SUB]</t>
        </is>
      </c>
      <c r="F2712" s="7" t="inlineStr">
        <is>
          <t>LI 2150 SSN Acoustic Equipment</t>
        </is>
      </c>
      <c r="I2712" s="14" t="n">
        <v>4</v>
      </c>
      <c r="K2712" s="13" t="inlineStr">
        <is>
          <t>USN</t>
        </is>
      </c>
      <c r="L2712" s="7" t="inlineStr">
        <is>
          <t>Combatant Ships</t>
        </is>
      </c>
      <c r="M2712" s="7" t="inlineStr">
        <is>
          <t>Submarines</t>
        </is>
      </c>
      <c r="N2712" s="7" t="inlineStr">
        <is>
          <t>SSBN</t>
        </is>
      </c>
      <c r="O2712" s="15" t="n"/>
      <c r="P2712" s="16" t="n">
        <v>5250</v>
      </c>
      <c r="Q2712" s="16" t="n">
        <v>0</v>
      </c>
      <c r="S2712" s="16" t="n">
        <v>0</v>
      </c>
      <c r="AC2712" s="23">
        <f>IF(OR(E2712="",E2712="[PARENT]"),"ADD",IF(E2712="[ALT_VIEW]","ALT",""))</f>
        <v/>
      </c>
      <c r="AD2712" s="21">
        <f>IF(Y2712&lt;&gt;"",Y2712,IF(U2712&lt;&gt;"",U2712,S2712))</f>
        <v/>
      </c>
      <c r="AE2712" s="21">
        <f>IF(AB2712&lt;&gt;"",AB2712,Z2712)</f>
        <v/>
      </c>
      <c r="AF2712" s="13" t="inlineStr">
        <is>
          <t>OPN BA2 &gt; BSA 2: Ship Sonars &gt; LI 2150 &gt; SSBN Legacy</t>
        </is>
      </c>
      <c r="AG2712" s="7" t="inlineStr">
        <is>
          <t>112</t>
        </is>
      </c>
      <c r="AH2712" s="7" t="inlineStr">
        <is>
          <t>2150</t>
        </is>
      </c>
    </row>
    <row r="2713" ht="10" customHeight="1">
      <c r="A2713" s="7" t="inlineStr">
        <is>
          <t>OPN_BA2</t>
        </is>
      </c>
      <c r="B2713" s="7" t="inlineStr">
        <is>
          <t>Procurement</t>
        </is>
      </c>
      <c r="D2713" s="7" t="inlineStr">
        <is>
          <t>Low Cost Conformal Array (LCCA)</t>
        </is>
      </c>
      <c r="E2713" s="13" t="inlineStr">
        <is>
          <t>[SUB]</t>
        </is>
      </c>
      <c r="F2713" s="7" t="inlineStr">
        <is>
          <t>LI 2150 SSN Acoustic Equipment</t>
        </is>
      </c>
      <c r="I2713" s="14" t="n">
        <v>4</v>
      </c>
      <c r="K2713" s="13" t="inlineStr">
        <is>
          <t>USN</t>
        </is>
      </c>
      <c r="L2713" s="7" t="inlineStr">
        <is>
          <t>Combatant Ships</t>
        </is>
      </c>
      <c r="M2713" s="7" t="inlineStr">
        <is>
          <t>Submarines</t>
        </is>
      </c>
      <c r="O2713" s="15" t="n"/>
      <c r="P2713" s="16" t="n">
        <v>24387</v>
      </c>
      <c r="Q2713" s="16" t="n">
        <v>22486</v>
      </c>
      <c r="S2713" s="16" t="n">
        <v>19193</v>
      </c>
      <c r="AC2713" s="23">
        <f>IF(OR(E2713="",E2713="[PARENT]"),"ADD",IF(E2713="[ALT_VIEW]","ALT",""))</f>
        <v/>
      </c>
      <c r="AD2713" s="21">
        <f>IF(Y2713&lt;&gt;"",Y2713,IF(U2713&lt;&gt;"",U2713,S2713))</f>
        <v/>
      </c>
      <c r="AE2713" s="21">
        <f>IF(AB2713&lt;&gt;"",AB2713,Z2713)</f>
        <v/>
      </c>
      <c r="AF2713" s="13" t="inlineStr">
        <is>
          <t>OPN BA2 &gt; BSA 2: Ship Sonars &gt; LI 2150 &gt; LCCA</t>
        </is>
      </c>
      <c r="AG2713" s="7" t="inlineStr">
        <is>
          <t>115</t>
        </is>
      </c>
      <c r="AH2713" s="7" t="inlineStr">
        <is>
          <t>2150</t>
        </is>
      </c>
    </row>
    <row r="2714" ht="10" customHeight="1">
      <c r="A2714" s="7" t="inlineStr">
        <is>
          <t>OPN_BA2</t>
        </is>
      </c>
      <c r="B2714" s="7" t="inlineStr">
        <is>
          <t>Procurement</t>
        </is>
      </c>
      <c r="D2714" s="7" t="inlineStr">
        <is>
          <t>High Frequency Sail Array (HFSA)</t>
        </is>
      </c>
      <c r="E2714" s="13" t="inlineStr">
        <is>
          <t>[SUB]</t>
        </is>
      </c>
      <c r="F2714" s="7" t="inlineStr">
        <is>
          <t>LI 2150 SSN Acoustic Equipment</t>
        </is>
      </c>
      <c r="I2714" s="14" t="n">
        <v>4</v>
      </c>
      <c r="K2714" s="13" t="inlineStr">
        <is>
          <t>USN</t>
        </is>
      </c>
      <c r="L2714" s="7" t="inlineStr">
        <is>
          <t>Combatant Ships</t>
        </is>
      </c>
      <c r="M2714" s="7" t="inlineStr">
        <is>
          <t>Submarines</t>
        </is>
      </c>
      <c r="O2714" s="15" t="n"/>
      <c r="P2714" s="16" t="n">
        <v>4549</v>
      </c>
      <c r="Q2714" s="16" t="n">
        <v>7266</v>
      </c>
      <c r="S2714" s="16" t="n">
        <v>4732</v>
      </c>
      <c r="AC2714" s="23">
        <f>IF(OR(E2714="",E2714="[PARENT]"),"ADD",IF(E2714="[ALT_VIEW]","ALT",""))</f>
        <v/>
      </c>
      <c r="AD2714" s="21">
        <f>IF(Y2714&lt;&gt;"",Y2714,IF(U2714&lt;&gt;"",U2714,S2714))</f>
        <v/>
      </c>
      <c r="AE2714" s="21">
        <f>IF(AB2714&lt;&gt;"",AB2714,Z2714)</f>
        <v/>
      </c>
      <c r="AF2714" s="13" t="inlineStr">
        <is>
          <t>OPN BA2 &gt; BSA 2: Ship Sonars &gt; LI 2150 &gt; HFSA</t>
        </is>
      </c>
      <c r="AG2714" s="7" t="inlineStr">
        <is>
          <t>118</t>
        </is>
      </c>
      <c r="AH2714" s="7" t="inlineStr">
        <is>
          <t>2150</t>
        </is>
      </c>
    </row>
    <row r="2715" ht="10" customHeight="1">
      <c r="A2715" s="7" t="inlineStr">
        <is>
          <t>OPN_BA2</t>
        </is>
      </c>
      <c r="B2715" s="7" t="inlineStr">
        <is>
          <t>Procurement</t>
        </is>
      </c>
      <c r="D2715" s="7" t="inlineStr">
        <is>
          <t>Large Vertical Array (LVA) - OHIO Class</t>
        </is>
      </c>
      <c r="E2715" s="13" t="inlineStr">
        <is>
          <t>[SUB]</t>
        </is>
      </c>
      <c r="F2715" s="7" t="inlineStr">
        <is>
          <t>LI 2150 SSN Acoustic Equipment</t>
        </is>
      </c>
      <c r="I2715" s="14" t="n">
        <v>4</v>
      </c>
      <c r="K2715" s="13" t="inlineStr">
        <is>
          <t>USN</t>
        </is>
      </c>
      <c r="L2715" s="7" t="inlineStr">
        <is>
          <t>Combatant Ships</t>
        </is>
      </c>
      <c r="M2715" s="7" t="inlineStr">
        <is>
          <t>Submarines</t>
        </is>
      </c>
      <c r="N2715" s="7" t="inlineStr">
        <is>
          <t>SSBN</t>
        </is>
      </c>
      <c r="O2715" s="15" t="n"/>
      <c r="P2715" s="16" t="n">
        <v>20453</v>
      </c>
      <c r="Q2715" s="16" t="n">
        <v>41245</v>
      </c>
      <c r="S2715" s="16" t="n">
        <v>42070</v>
      </c>
      <c r="AC2715" s="23">
        <f>IF(OR(E2715="",E2715="[PARENT]"),"ADD",IF(E2715="[ALT_VIEW]","ALT",""))</f>
        <v/>
      </c>
      <c r="AD2715" s="21">
        <f>IF(Y2715&lt;&gt;"",Y2715,IF(U2715&lt;&gt;"",U2715,S2715))</f>
        <v/>
      </c>
      <c r="AE2715" s="21">
        <f>IF(AB2715&lt;&gt;"",AB2715,Z2715)</f>
        <v/>
      </c>
      <c r="AF2715" s="13" t="inlineStr">
        <is>
          <t>OPN BA2 &gt; BSA 2: Ship Sonars &gt; LI 2150 &gt; LVA Ohio</t>
        </is>
      </c>
      <c r="AG2715" s="7" t="inlineStr">
        <is>
          <t>121</t>
        </is>
      </c>
      <c r="AH2715" s="7" t="inlineStr">
        <is>
          <t>2150</t>
        </is>
      </c>
    </row>
    <row r="2716" ht="10" customHeight="1">
      <c r="A2716" s="7" t="inlineStr">
        <is>
          <t>OPN_BA2</t>
        </is>
      </c>
      <c r="B2716" s="7" t="inlineStr">
        <is>
          <t>Procurement</t>
        </is>
      </c>
      <c r="D2716" s="7" t="inlineStr">
        <is>
          <t>Large Vertical Array (LVA) - VIRGINIA Class</t>
        </is>
      </c>
      <c r="E2716" s="13" t="inlineStr">
        <is>
          <t>[SUB]</t>
        </is>
      </c>
      <c r="F2716" s="7" t="inlineStr">
        <is>
          <t>LI 2150 SSN Acoustic Equipment</t>
        </is>
      </c>
      <c r="I2716" s="14" t="n">
        <v>4</v>
      </c>
      <c r="K2716" s="13" t="inlineStr">
        <is>
          <t>USN</t>
        </is>
      </c>
      <c r="L2716" s="7" t="inlineStr">
        <is>
          <t>Combatant Ships</t>
        </is>
      </c>
      <c r="M2716" s="7" t="inlineStr">
        <is>
          <t>Submarines</t>
        </is>
      </c>
      <c r="N2716" s="7" t="inlineStr">
        <is>
          <t>SSN</t>
        </is>
      </c>
      <c r="O2716" s="15" t="n"/>
      <c r="P2716" s="16" t="n">
        <v>67683</v>
      </c>
      <c r="Q2716" s="16" t="n">
        <v>22124</v>
      </c>
      <c r="S2716" s="16" t="n">
        <v>71424</v>
      </c>
      <c r="AC2716" s="23">
        <f>IF(OR(E2716="",E2716="[PARENT]"),"ADD",IF(E2716="[ALT_VIEW]","ALT",""))</f>
        <v/>
      </c>
      <c r="AD2716" s="21">
        <f>IF(Y2716&lt;&gt;"",Y2716,IF(U2716&lt;&gt;"",U2716,S2716))</f>
        <v/>
      </c>
      <c r="AE2716" s="21">
        <f>IF(AB2716&lt;&gt;"",AB2716,Z2716)</f>
        <v/>
      </c>
      <c r="AF2716" s="13" t="inlineStr">
        <is>
          <t>OPN BA2 &gt; BSA 2: Ship Sonars &gt; LI 2150 &gt; LVA Virginia</t>
        </is>
      </c>
      <c r="AG2716" s="7" t="inlineStr">
        <is>
          <t>124</t>
        </is>
      </c>
      <c r="AH2716" s="7" t="inlineStr">
        <is>
          <t>2150</t>
        </is>
      </c>
    </row>
    <row r="2717" ht="10" customHeight="1">
      <c r="A2717" s="7" t="inlineStr">
        <is>
          <t>OPN_BA2</t>
        </is>
      </c>
      <c r="B2717" s="7" t="inlineStr">
        <is>
          <t>Procurement</t>
        </is>
      </c>
      <c r="D2717" s="7" t="inlineStr">
        <is>
          <t>A-RCI Tech Insertion - Los Angeles Class</t>
        </is>
      </c>
      <c r="E2717" s="13" t="inlineStr">
        <is>
          <t>[SUB]</t>
        </is>
      </c>
      <c r="F2717" s="7" t="inlineStr">
        <is>
          <t>LI 2150 SSN Acoustic Equipment</t>
        </is>
      </c>
      <c r="I2717" s="14" t="n">
        <v>4</v>
      </c>
      <c r="K2717" s="13" t="inlineStr">
        <is>
          <t>USN</t>
        </is>
      </c>
      <c r="L2717" s="7" t="inlineStr">
        <is>
          <t>Combatant Ships</t>
        </is>
      </c>
      <c r="M2717" s="7" t="inlineStr">
        <is>
          <t>Submarines</t>
        </is>
      </c>
      <c r="N2717" s="7" t="inlineStr">
        <is>
          <t>SSN</t>
        </is>
      </c>
      <c r="O2717" s="15" t="n"/>
      <c r="P2717" s="16" t="n">
        <v>26767</v>
      </c>
      <c r="Q2717" s="16" t="n">
        <v>2592</v>
      </c>
      <c r="S2717" s="16" t="n">
        <v>0</v>
      </c>
      <c r="AC2717" s="23">
        <f>IF(OR(E2717="",E2717="[PARENT]"),"ADD",IF(E2717="[ALT_VIEW]","ALT",""))</f>
        <v/>
      </c>
      <c r="AD2717" s="21">
        <f>IF(Y2717&lt;&gt;"",Y2717,IF(U2717&lt;&gt;"",U2717,S2717))</f>
        <v/>
      </c>
      <c r="AE2717" s="21">
        <f>IF(AB2717&lt;&gt;"",AB2717,Z2717)</f>
        <v/>
      </c>
      <c r="AF2717" s="13" t="inlineStr">
        <is>
          <t>OPN BA2 &gt; BSA 2: Ship Sonars &gt; LI 2150 &gt; ARCI 688</t>
        </is>
      </c>
      <c r="AG2717" s="7" t="inlineStr">
        <is>
          <t>127</t>
        </is>
      </c>
      <c r="AH2717" s="7" t="inlineStr">
        <is>
          <t>2150</t>
        </is>
      </c>
    </row>
    <row r="2718" ht="10" customHeight="1">
      <c r="A2718" s="7" t="inlineStr">
        <is>
          <t>OPN_BA2</t>
        </is>
      </c>
      <c r="B2718" s="7" t="inlineStr">
        <is>
          <t>Procurement</t>
        </is>
      </c>
      <c r="D2718" s="7" t="inlineStr">
        <is>
          <t>A-RCI Tech Insertion - Seawolf Class</t>
        </is>
      </c>
      <c r="E2718" s="13" t="inlineStr">
        <is>
          <t>[SUB]</t>
        </is>
      </c>
      <c r="F2718" s="7" t="inlineStr">
        <is>
          <t>LI 2150 SSN Acoustic Equipment</t>
        </is>
      </c>
      <c r="I2718" s="14" t="n">
        <v>4</v>
      </c>
      <c r="K2718" s="13" t="inlineStr">
        <is>
          <t>USN</t>
        </is>
      </c>
      <c r="L2718" s="7" t="inlineStr">
        <is>
          <t>Combatant Ships</t>
        </is>
      </c>
      <c r="M2718" s="7" t="inlineStr">
        <is>
          <t>Submarines</t>
        </is>
      </c>
      <c r="N2718" s="7" t="inlineStr">
        <is>
          <t>SSN</t>
        </is>
      </c>
      <c r="O2718" s="15" t="n"/>
      <c r="P2718" s="16" t="n">
        <v>13826</v>
      </c>
      <c r="Q2718" s="16" t="n">
        <v>3845</v>
      </c>
      <c r="S2718" s="16" t="n">
        <v>0</v>
      </c>
      <c r="AC2718" s="23">
        <f>IF(OR(E2718="",E2718="[PARENT]"),"ADD",IF(E2718="[ALT_VIEW]","ALT",""))</f>
        <v/>
      </c>
      <c r="AD2718" s="21">
        <f>IF(Y2718&lt;&gt;"",Y2718,IF(U2718&lt;&gt;"",U2718,S2718))</f>
        <v/>
      </c>
      <c r="AE2718" s="21">
        <f>IF(AB2718&lt;&gt;"",AB2718,Z2718)</f>
        <v/>
      </c>
      <c r="AF2718" s="13" t="inlineStr">
        <is>
          <t>OPN BA2 &gt; BSA 2: Ship Sonars &gt; LI 2150 &gt; ARCI Seawolf</t>
        </is>
      </c>
      <c r="AG2718" s="7" t="inlineStr">
        <is>
          <t>130</t>
        </is>
      </c>
      <c r="AH2718" s="7" t="inlineStr">
        <is>
          <t>2150</t>
        </is>
      </c>
    </row>
    <row r="2719" ht="10" customHeight="1">
      <c r="A2719" s="7" t="inlineStr">
        <is>
          <t>OPN_BA2</t>
        </is>
      </c>
      <c r="B2719" s="7" t="inlineStr">
        <is>
          <t>Procurement</t>
        </is>
      </c>
      <c r="D2719" s="7" t="inlineStr">
        <is>
          <t>A-RCI Tech Insertion - Virginia Class (BLK I-IV)</t>
        </is>
      </c>
      <c r="E2719" s="13" t="inlineStr">
        <is>
          <t>[SUB]</t>
        </is>
      </c>
      <c r="F2719" s="7" t="inlineStr">
        <is>
          <t>LI 2150 SSN Acoustic Equipment</t>
        </is>
      </c>
      <c r="I2719" s="14" t="n">
        <v>4</v>
      </c>
      <c r="K2719" s="13" t="inlineStr">
        <is>
          <t>USN</t>
        </is>
      </c>
      <c r="L2719" s="7" t="inlineStr">
        <is>
          <t>Combatant Ships</t>
        </is>
      </c>
      <c r="M2719" s="7" t="inlineStr">
        <is>
          <t>Submarines</t>
        </is>
      </c>
      <c r="N2719" s="7" t="inlineStr">
        <is>
          <t>SSN</t>
        </is>
      </c>
      <c r="O2719" s="15" t="n"/>
      <c r="P2719" s="16" t="n">
        <v>60338</v>
      </c>
      <c r="Q2719" s="16" t="n">
        <v>75975</v>
      </c>
      <c r="S2719" s="16" t="n">
        <v>69171</v>
      </c>
      <c r="AC2719" s="23">
        <f>IF(OR(E2719="",E2719="[PARENT]"),"ADD",IF(E2719="[ALT_VIEW]","ALT",""))</f>
        <v/>
      </c>
      <c r="AD2719" s="21">
        <f>IF(Y2719&lt;&gt;"",Y2719,IF(U2719&lt;&gt;"",U2719,S2719))</f>
        <v/>
      </c>
      <c r="AE2719" s="21">
        <f>IF(AB2719&lt;&gt;"",AB2719,Z2719)</f>
        <v/>
      </c>
      <c r="AF2719" s="13" t="inlineStr">
        <is>
          <t>OPN BA2 &gt; BSA 2: Ship Sonars &gt; LI 2150 &gt; ARCI Virginia</t>
        </is>
      </c>
      <c r="AG2719" s="7" t="inlineStr">
        <is>
          <t>133</t>
        </is>
      </c>
      <c r="AH2719" s="7" t="inlineStr">
        <is>
          <t>2150</t>
        </is>
      </c>
    </row>
    <row r="2720" ht="10" customHeight="1">
      <c r="A2720" s="7" t="inlineStr">
        <is>
          <t>OPN_BA2</t>
        </is>
      </c>
      <c r="B2720" s="7" t="inlineStr">
        <is>
          <t>Procurement</t>
        </is>
      </c>
      <c r="D2720" s="7" t="inlineStr">
        <is>
          <t>SSBN Technical Insertion Conversion (OHIO)</t>
        </is>
      </c>
      <c r="E2720" s="13" t="inlineStr">
        <is>
          <t>[SUB]</t>
        </is>
      </c>
      <c r="F2720" s="7" t="inlineStr">
        <is>
          <t>LI 2150 SSN Acoustic Equipment</t>
        </is>
      </c>
      <c r="I2720" s="14" t="n">
        <v>4</v>
      </c>
      <c r="K2720" s="13" t="inlineStr">
        <is>
          <t>USN</t>
        </is>
      </c>
      <c r="L2720" s="7" t="inlineStr">
        <is>
          <t>Combatant Ships</t>
        </is>
      </c>
      <c r="M2720" s="7" t="inlineStr">
        <is>
          <t>Submarines</t>
        </is>
      </c>
      <c r="N2720" s="7" t="inlineStr">
        <is>
          <t>SSBN</t>
        </is>
      </c>
      <c r="O2720" s="15" t="n"/>
      <c r="P2720" s="16" t="n">
        <v>22872</v>
      </c>
      <c r="Q2720" s="16" t="n">
        <v>35389</v>
      </c>
      <c r="S2720" s="16" t="n">
        <v>46823</v>
      </c>
      <c r="AC2720" s="23">
        <f>IF(OR(E2720="",E2720="[PARENT]"),"ADD",IF(E2720="[ALT_VIEW]","ALT",""))</f>
        <v/>
      </c>
      <c r="AD2720" s="21">
        <f>IF(Y2720&lt;&gt;"",Y2720,IF(U2720&lt;&gt;"",U2720,S2720))</f>
        <v/>
      </c>
      <c r="AE2720" s="21">
        <f>IF(AB2720&lt;&gt;"",AB2720,Z2720)</f>
        <v/>
      </c>
      <c r="AF2720" s="13" t="inlineStr">
        <is>
          <t>OPN BA2 &gt; BSA 2: Ship Sonars &gt; LI 2150 &gt; SSBN TI Ohio</t>
        </is>
      </c>
      <c r="AG2720" s="7" t="inlineStr">
        <is>
          <t>137</t>
        </is>
      </c>
      <c r="AH2720" s="7" t="inlineStr">
        <is>
          <t>2150</t>
        </is>
      </c>
    </row>
    <row r="2721" ht="10" customHeight="1">
      <c r="A2721" s="7" t="inlineStr">
        <is>
          <t>OPN_BA2</t>
        </is>
      </c>
      <c r="B2721" s="7" t="inlineStr">
        <is>
          <t>Procurement</t>
        </is>
      </c>
      <c r="D2721" s="7" t="inlineStr">
        <is>
          <t>CRAW MK 58 Torpedo Integration Kits</t>
        </is>
      </c>
      <c r="E2721" s="13" t="inlineStr">
        <is>
          <t>[SUB]</t>
        </is>
      </c>
      <c r="F2721" s="7" t="inlineStr">
        <is>
          <t>LI 2150 SSN Acoustic Equipment</t>
        </is>
      </c>
      <c r="I2721" s="14" t="n">
        <v>4</v>
      </c>
      <c r="K2721" s="13" t="inlineStr">
        <is>
          <t>USN</t>
        </is>
      </c>
      <c r="L2721" s="7" t="inlineStr">
        <is>
          <t>Combatant Ships</t>
        </is>
      </c>
      <c r="M2721" s="7" t="inlineStr">
        <is>
          <t>Submarines</t>
        </is>
      </c>
      <c r="N2721" s="7" t="inlineStr">
        <is>
          <t>SSN</t>
        </is>
      </c>
      <c r="O2721" s="15" t="n"/>
      <c r="P2721" s="16" t="n">
        <v>8419</v>
      </c>
      <c r="Q2721" s="16" t="n">
        <v>7896</v>
      </c>
      <c r="S2721" s="16" t="n">
        <v>10296</v>
      </c>
      <c r="AC2721" s="23">
        <f>IF(OR(E2721="",E2721="[PARENT]"),"ADD",IF(E2721="[ALT_VIEW]","ALT",""))</f>
        <v/>
      </c>
      <c r="AD2721" s="21">
        <f>IF(Y2721&lt;&gt;"",Y2721,IF(U2721&lt;&gt;"",U2721,S2721))</f>
        <v/>
      </c>
      <c r="AE2721" s="21">
        <f>IF(AB2721&lt;&gt;"",AB2721,Z2721)</f>
        <v/>
      </c>
      <c r="AF2721" s="13" t="inlineStr">
        <is>
          <t>OPN BA2 &gt; BSA 2: Ship Sonars &gt; LI 2150 &gt; CRAW MK 58</t>
        </is>
      </c>
      <c r="AG2721" s="7" t="inlineStr">
        <is>
          <t>173</t>
        </is>
      </c>
      <c r="AH2721" s="7" t="inlineStr">
        <is>
          <t>2150</t>
        </is>
      </c>
    </row>
    <row r="2722" ht="10" customHeight="1">
      <c r="A2722" s="7" t="inlineStr">
        <is>
          <t>OPN_BA2</t>
        </is>
      </c>
      <c r="B2722" s="7" t="inlineStr">
        <is>
          <t>Procurement</t>
        </is>
      </c>
      <c r="C2722" s="7" t="inlineStr">
        <is>
          <t>2176</t>
        </is>
      </c>
      <c r="D2722" s="7" t="inlineStr">
        <is>
          <t>Undersea Warfare Support Equipment</t>
        </is>
      </c>
      <c r="E2722" s="13" t="inlineStr">
        <is>
          <t>[ALT_VIEW]</t>
        </is>
      </c>
      <c r="F2722" s="7" t="inlineStr">
        <is>
          <t>Funding realigned to LI 2136 AN/SQQ-89</t>
        </is>
      </c>
      <c r="I2722" s="14" t="n">
        <v>4</v>
      </c>
      <c r="K2722" s="15" t="n"/>
      <c r="O2722" s="15" t="n"/>
      <c r="P2722" s="16" t="n">
        <v>23436</v>
      </c>
      <c r="Q2722" s="16" t="n">
        <v>14247</v>
      </c>
      <c r="S2722" s="16" t="n">
        <v>0</v>
      </c>
      <c r="T2722" s="16" t="n">
        <v>0</v>
      </c>
      <c r="U2722" s="16" t="n">
        <v>0</v>
      </c>
      <c r="AC2722" s="23">
        <f>IF(OR(E2722="",E2722="[PARENT]"),"ADD",IF(E2722="[ALT_VIEW]","ALT",""))</f>
        <v/>
      </c>
      <c r="AD2722" s="21">
        <f>IF(Y2722&lt;&gt;"",Y2722,IF(U2722&lt;&gt;"",U2722,S2722))</f>
        <v/>
      </c>
      <c r="AE2722" s="21">
        <f>IF(AB2722&lt;&gt;"",AB2722,Z2722)</f>
        <v/>
      </c>
      <c r="AF2722" s="13" t="inlineStr">
        <is>
          <t>OPN BA2 &gt; BSA 2: Ship Sonars &gt; LI 2176 Undersea Warfare Support Equipment</t>
        </is>
      </c>
      <c r="AG2722" s="7" t="inlineStr">
        <is>
          <t>141</t>
        </is>
      </c>
      <c r="AH2722" s="7" t="inlineStr">
        <is>
          <t>2176</t>
        </is>
      </c>
    </row>
    <row r="2723" ht="10" customHeight="1">
      <c r="A2723" s="7" t="inlineStr">
        <is>
          <t>OPN_BA2</t>
        </is>
      </c>
      <c r="B2723" s="7" t="inlineStr">
        <is>
          <t>Procurement</t>
        </is>
      </c>
      <c r="C2723" s="7" t="inlineStr">
        <is>
          <t>2210</t>
        </is>
      </c>
      <c r="D2723" s="7" t="inlineStr">
        <is>
          <t>Submarine Acoustic Warfare System</t>
        </is>
      </c>
      <c r="E2723" s="15" t="n"/>
      <c r="I2723" s="14" t="n">
        <v>4</v>
      </c>
      <c r="K2723" s="13" t="inlineStr">
        <is>
          <t>USN</t>
        </is>
      </c>
      <c r="L2723" s="7" t="inlineStr">
        <is>
          <t>Combatant Ships</t>
        </is>
      </c>
      <c r="M2723" s="7" t="inlineStr">
        <is>
          <t>Submarines</t>
        </is>
      </c>
      <c r="N2723" s="7" t="inlineStr">
        <is>
          <t>SSN</t>
        </is>
      </c>
      <c r="O2723" s="15" t="n"/>
      <c r="P2723" s="16" t="n">
        <v>41695</v>
      </c>
      <c r="Q2723" s="16" t="n">
        <v>51514</v>
      </c>
      <c r="S2723" s="16" t="n">
        <v>56482</v>
      </c>
      <c r="T2723" s="16" t="n">
        <v>0</v>
      </c>
      <c r="U2723" s="16" t="n">
        <v>56482</v>
      </c>
      <c r="Z2723" s="16" t="n">
        <v>68881</v>
      </c>
      <c r="AB2723" s="16" t="n">
        <v>68881</v>
      </c>
      <c r="AC2723" s="23">
        <f>IF(OR(E2723="",E2723="[PARENT]"),"ADD",IF(E2723="[ALT_VIEW]","ALT",""))</f>
        <v/>
      </c>
      <c r="AD2723" s="21">
        <f>IF(Y2723&lt;&gt;"",Y2723,IF(U2723&lt;&gt;"",U2723,S2723))</f>
        <v/>
      </c>
      <c r="AE2723" s="21">
        <f>IF(AB2723&lt;&gt;"",AB2723,Z2723)</f>
        <v/>
      </c>
      <c r="AF2723" s="13" t="inlineStr">
        <is>
          <t>OPN BA2 &gt; BSA 3: ASW Electronic Equipment &gt; LI 2210 Submarine Acoustic Warfare System</t>
        </is>
      </c>
      <c r="AG2723" s="7" t="inlineStr">
        <is>
          <t>149</t>
        </is>
      </c>
      <c r="AH2723" s="7" t="inlineStr">
        <is>
          <t>2210</t>
        </is>
      </c>
    </row>
    <row r="2724" ht="10" customHeight="1">
      <c r="A2724" s="7" t="inlineStr">
        <is>
          <t>OPN_BA2</t>
        </is>
      </c>
      <c r="B2724" s="7" t="inlineStr">
        <is>
          <t>Procurement</t>
        </is>
      </c>
      <c r="C2724" s="7" t="inlineStr">
        <is>
          <t>2213</t>
        </is>
      </c>
      <c r="D2724" s="7" t="inlineStr">
        <is>
          <t>Surface Ship Torpedo Def (SSTD)</t>
        </is>
      </c>
      <c r="E2724" s="15" t="n"/>
      <c r="I2724" s="14" t="n">
        <v>4</v>
      </c>
      <c r="K2724" s="13" t="inlineStr">
        <is>
          <t>USN</t>
        </is>
      </c>
      <c r="L2724" s="7" t="inlineStr">
        <is>
          <t>Combatant Ships</t>
        </is>
      </c>
      <c r="M2724" s="7" t="inlineStr">
        <is>
          <t>Surface Combatants</t>
        </is>
      </c>
      <c r="N2724" s="7" t="inlineStr">
        <is>
          <t>DDG</t>
        </is>
      </c>
      <c r="O2724" s="15" t="n"/>
      <c r="P2724" s="16" t="n">
        <v>14550</v>
      </c>
      <c r="Q2724" s="16" t="n">
        <v>9647</v>
      </c>
      <c r="S2724" s="16" t="n">
        <v>14915</v>
      </c>
      <c r="T2724" s="16" t="n">
        <v>0</v>
      </c>
      <c r="U2724" s="16" t="n">
        <v>14915</v>
      </c>
      <c r="Z2724" s="16" t="n">
        <v>14857</v>
      </c>
      <c r="AB2724" s="16" t="n">
        <v>14857</v>
      </c>
      <c r="AC2724" s="23">
        <f>IF(OR(E2724="",E2724="[PARENT]"),"ADD",IF(E2724="[ALT_VIEW]","ALT",""))</f>
        <v/>
      </c>
      <c r="AD2724" s="21">
        <f>IF(Y2724&lt;&gt;"",Y2724,IF(U2724&lt;&gt;"",U2724,S2724))</f>
        <v/>
      </c>
      <c r="AE2724" s="21">
        <f>IF(AB2724&lt;&gt;"",AB2724,Z2724)</f>
        <v/>
      </c>
      <c r="AF2724" s="13" t="inlineStr">
        <is>
          <t>OPN BA2 &gt; BSA 3: ASW Electronic Equipment &gt; LI 2213 Surface Ship Torpedo Def (SSTD)</t>
        </is>
      </c>
      <c r="AG2724" s="7" t="inlineStr">
        <is>
          <t>177</t>
        </is>
      </c>
      <c r="AH2724" s="7" t="inlineStr">
        <is>
          <t>2213</t>
        </is>
      </c>
    </row>
    <row r="2725" ht="10" customHeight="1">
      <c r="A2725" s="7" t="inlineStr">
        <is>
          <t>OPN_BA2</t>
        </is>
      </c>
      <c r="B2725" s="7" t="inlineStr">
        <is>
          <t>Procurement</t>
        </is>
      </c>
      <c r="C2725" s="7" t="inlineStr">
        <is>
          <t>2225</t>
        </is>
      </c>
      <c r="D2725" s="7" t="inlineStr">
        <is>
          <t>Fixed Surveillance System</t>
        </is>
      </c>
      <c r="E2725" s="15" t="n"/>
      <c r="I2725" s="14" t="n">
        <v>4</v>
      </c>
      <c r="K2725" s="15" t="n"/>
      <c r="O2725" s="15" t="n"/>
      <c r="P2725" s="16" t="n">
        <v>536796</v>
      </c>
      <c r="Q2725" s="16" t="n">
        <v>405854</v>
      </c>
      <c r="S2725" s="16" t="n">
        <v>352312</v>
      </c>
      <c r="T2725" s="16" t="n">
        <v>11000</v>
      </c>
      <c r="U2725" s="16" t="n">
        <v>363312</v>
      </c>
      <c r="W2725" s="16" t="n">
        <v>11000</v>
      </c>
      <c r="X2725" s="16" t="n">
        <v>352312</v>
      </c>
      <c r="Y2725" s="16" t="n">
        <v>363312</v>
      </c>
      <c r="Z2725" s="16" t="n">
        <v>490548</v>
      </c>
      <c r="AB2725" s="16" t="n">
        <v>490548</v>
      </c>
      <c r="AC2725" s="23">
        <f>IF(OR(E2725="",E2725="[PARENT]"),"ADD",IF(E2725="[ALT_VIEW]","ALT",""))</f>
        <v/>
      </c>
      <c r="AD2725" s="21">
        <f>IF(Y2725&lt;&gt;"",Y2725,IF(U2725&lt;&gt;"",U2725,S2725))</f>
        <v/>
      </c>
      <c r="AE2725" s="21">
        <f>IF(AB2725&lt;&gt;"",AB2725,Z2725)</f>
        <v/>
      </c>
      <c r="AF2725" s="13" t="inlineStr">
        <is>
          <t>OPN BA2 &gt; BSA 3: ASW Electronic Equipment &gt; LI 2225 Fixed Surveillance System</t>
        </is>
      </c>
      <c r="AG2725" s="7" t="inlineStr">
        <is>
          <t>187</t>
        </is>
      </c>
      <c r="AH2725" s="7" t="inlineStr">
        <is>
          <t>2225</t>
        </is>
      </c>
      <c r="AI2725" s="7" t="inlineStr">
        <is>
          <t>Classified</t>
        </is>
      </c>
    </row>
    <row r="2726" ht="10" customHeight="1">
      <c r="A2726" s="7" t="inlineStr">
        <is>
          <t>OPN_BA2</t>
        </is>
      </c>
      <c r="B2726" s="7" t="inlineStr">
        <is>
          <t>Procurement</t>
        </is>
      </c>
      <c r="C2726" s="7" t="inlineStr">
        <is>
          <t>2237</t>
        </is>
      </c>
      <c r="D2726" s="7" t="inlineStr">
        <is>
          <t>SURTASS</t>
        </is>
      </c>
      <c r="E2726" s="13" t="inlineStr">
        <is>
          <t>[PARENT]</t>
        </is>
      </c>
      <c r="I2726" s="14" t="n">
        <v>4</v>
      </c>
      <c r="K2726" s="13" t="inlineStr">
        <is>
          <t>MSC</t>
        </is>
      </c>
      <c r="L2726" s="7" t="inlineStr">
        <is>
          <t>Combatant Ships</t>
        </is>
      </c>
      <c r="M2726" s="7" t="inlineStr">
        <is>
          <t>Surveillance Ships</t>
        </is>
      </c>
      <c r="N2726" s="7" t="inlineStr">
        <is>
          <t>T-AGOS</t>
        </is>
      </c>
      <c r="O2726" s="15" t="n"/>
      <c r="P2726" s="16" t="n">
        <v>33887</v>
      </c>
      <c r="Q2726" s="16" t="n">
        <v>45975</v>
      </c>
      <c r="S2726" s="16" t="n">
        <v>31169</v>
      </c>
      <c r="T2726" s="16" t="n">
        <v>0</v>
      </c>
      <c r="U2726" s="16" t="n">
        <v>31169</v>
      </c>
      <c r="Z2726" s="16" t="n">
        <v>72190</v>
      </c>
      <c r="AB2726" s="16" t="n">
        <v>72190</v>
      </c>
      <c r="AC2726" s="23">
        <f>IF(OR(E2726="",E2726="[PARENT]"),"ADD",IF(E2726="[ALT_VIEW]","ALT",""))</f>
        <v/>
      </c>
      <c r="AD2726" s="21">
        <f>IF(Y2726&lt;&gt;"",Y2726,IF(U2726&lt;&gt;"",U2726,S2726))</f>
        <v/>
      </c>
      <c r="AE2726" s="21">
        <f>IF(AB2726&lt;&gt;"",AB2726,Z2726)</f>
        <v/>
      </c>
      <c r="AF2726" s="13" t="inlineStr">
        <is>
          <t>OPN BA2 &gt; BSA 3: ASW Electronic Equipment &gt; LI 2237 SURTASS</t>
        </is>
      </c>
      <c r="AG2726" s="7" t="inlineStr">
        <is>
          <t>191</t>
        </is>
      </c>
      <c r="AH2726" s="7" t="inlineStr">
        <is>
          <t>2237</t>
        </is>
      </c>
      <c r="AI2726" s="7" t="inlineStr">
        <is>
          <t>SURTASS</t>
        </is>
      </c>
    </row>
    <row r="2727" ht="10" customHeight="1">
      <c r="A2727" s="7" t="inlineStr">
        <is>
          <t>OPN_BA2</t>
        </is>
      </c>
      <c r="B2727" s="7" t="inlineStr">
        <is>
          <t>Procurement</t>
        </is>
      </c>
      <c r="D2727" s="7" t="inlineStr">
        <is>
          <t>Integrated Common Processor (ICP)</t>
        </is>
      </c>
      <c r="E2727" s="13" t="inlineStr">
        <is>
          <t>[SUB]</t>
        </is>
      </c>
      <c r="F2727" s="7" t="inlineStr">
        <is>
          <t>LI 2237 SURTASS</t>
        </is>
      </c>
      <c r="I2727" s="14" t="n">
        <v>4</v>
      </c>
      <c r="K2727" s="13" t="inlineStr">
        <is>
          <t>MSC</t>
        </is>
      </c>
      <c r="L2727" s="7" t="inlineStr">
        <is>
          <t>Combatant Ships</t>
        </is>
      </c>
      <c r="M2727" s="7" t="inlineStr">
        <is>
          <t>Surveillance Ships</t>
        </is>
      </c>
      <c r="N2727" s="7" t="inlineStr">
        <is>
          <t>T-AGOS</t>
        </is>
      </c>
      <c r="O2727" s="15" t="n"/>
      <c r="P2727" s="16" t="n">
        <v>15712</v>
      </c>
      <c r="Q2727" s="16" t="n">
        <v>17262</v>
      </c>
      <c r="S2727" s="16" t="n">
        <v>12516</v>
      </c>
      <c r="AC2727" s="23">
        <f>IF(OR(E2727="",E2727="[PARENT]"),"ADD",IF(E2727="[ALT_VIEW]","ALT",""))</f>
        <v/>
      </c>
      <c r="AD2727" s="21">
        <f>IF(Y2727&lt;&gt;"",Y2727,IF(U2727&lt;&gt;"",U2727,S2727))</f>
        <v/>
      </c>
      <c r="AE2727" s="21">
        <f>IF(AB2727&lt;&gt;"",AB2727,Z2727)</f>
        <v/>
      </c>
      <c r="AF2727" s="13" t="inlineStr">
        <is>
          <t>OPN BA2 &gt; BSA 3 &gt; LI 2237 SURTASS &gt; ICP</t>
        </is>
      </c>
      <c r="AG2727" s="7" t="inlineStr">
        <is>
          <t>195</t>
        </is>
      </c>
      <c r="AH2727" s="7" t="inlineStr">
        <is>
          <t>2237</t>
        </is>
      </c>
    </row>
    <row r="2728" ht="10" customHeight="1">
      <c r="A2728" s="7" t="inlineStr">
        <is>
          <t>OPN_BA2</t>
        </is>
      </c>
      <c r="B2728" s="7" t="inlineStr">
        <is>
          <t>Procurement</t>
        </is>
      </c>
      <c r="D2728" s="7" t="inlineStr">
        <is>
          <t>TL-29A Twinline</t>
        </is>
      </c>
      <c r="E2728" s="13" t="inlineStr">
        <is>
          <t>[SUB]</t>
        </is>
      </c>
      <c r="F2728" s="7" t="inlineStr">
        <is>
          <t>LI 2237 SURTASS</t>
        </is>
      </c>
      <c r="I2728" s="14" t="n">
        <v>4</v>
      </c>
      <c r="K2728" s="13" t="inlineStr">
        <is>
          <t>MSC</t>
        </is>
      </c>
      <c r="L2728" s="7" t="inlineStr">
        <is>
          <t>Combatant Ships</t>
        </is>
      </c>
      <c r="M2728" s="7" t="inlineStr">
        <is>
          <t>Surveillance Ships</t>
        </is>
      </c>
      <c r="N2728" s="7" t="inlineStr">
        <is>
          <t>T-AGOS</t>
        </is>
      </c>
      <c r="O2728" s="15" t="n"/>
      <c r="P2728" s="16" t="n">
        <v>2000</v>
      </c>
      <c r="Q2728" s="16" t="n">
        <v>2085</v>
      </c>
      <c r="S2728" s="16" t="n">
        <v>2092</v>
      </c>
      <c r="AC2728" s="23">
        <f>IF(OR(E2728="",E2728="[PARENT]"),"ADD",IF(E2728="[ALT_VIEW]","ALT",""))</f>
        <v/>
      </c>
      <c r="AD2728" s="21">
        <f>IF(Y2728&lt;&gt;"",Y2728,IF(U2728&lt;&gt;"",U2728,S2728))</f>
        <v/>
      </c>
      <c r="AE2728" s="21">
        <f>IF(AB2728&lt;&gt;"",AB2728,Z2728)</f>
        <v/>
      </c>
      <c r="AF2728" s="13" t="inlineStr">
        <is>
          <t>OPN BA2 &gt; BSA 3 &gt; LI 2237 SURTASS &gt; TL-29A</t>
        </is>
      </c>
      <c r="AG2728" s="7" t="inlineStr">
        <is>
          <t>199</t>
        </is>
      </c>
      <c r="AH2728" s="7" t="inlineStr">
        <is>
          <t>2237</t>
        </is>
      </c>
    </row>
    <row r="2729" ht="10" customHeight="1">
      <c r="A2729" s="7" t="inlineStr">
        <is>
          <t>OPN_BA2</t>
        </is>
      </c>
      <c r="B2729" s="7" t="inlineStr">
        <is>
          <t>Procurement</t>
        </is>
      </c>
      <c r="D2729" s="7" t="inlineStr">
        <is>
          <t>Japanese Auxiliary Oceanographic Surveillance (J-AOS)</t>
        </is>
      </c>
      <c r="E2729" s="13" t="inlineStr">
        <is>
          <t>[SUB]</t>
        </is>
      </c>
      <c r="F2729" s="7" t="inlineStr">
        <is>
          <t>LI 2237 SURTASS</t>
        </is>
      </c>
      <c r="I2729" s="14" t="n">
        <v>4</v>
      </c>
      <c r="K2729" s="13" t="inlineStr">
        <is>
          <t>MSC</t>
        </is>
      </c>
      <c r="L2729" s="7" t="inlineStr">
        <is>
          <t>Combatant Ships</t>
        </is>
      </c>
      <c r="M2729" s="7" t="inlineStr">
        <is>
          <t>Surveillance Ships</t>
        </is>
      </c>
      <c r="N2729" s="7" t="inlineStr">
        <is>
          <t>T-AGOS</t>
        </is>
      </c>
      <c r="O2729" s="15" t="n"/>
      <c r="P2729" s="16" t="n">
        <v>9107</v>
      </c>
      <c r="Q2729" s="16" t="n">
        <v>21963</v>
      </c>
      <c r="S2729" s="16" t="n">
        <v>0</v>
      </c>
      <c r="AC2729" s="23">
        <f>IF(OR(E2729="",E2729="[PARENT]"),"ADD",IF(E2729="[ALT_VIEW]","ALT",""))</f>
        <v/>
      </c>
      <c r="AD2729" s="21">
        <f>IF(Y2729&lt;&gt;"",Y2729,IF(U2729&lt;&gt;"",U2729,S2729))</f>
        <v/>
      </c>
      <c r="AE2729" s="21">
        <f>IF(AB2729&lt;&gt;"",AB2729,Z2729)</f>
        <v/>
      </c>
      <c r="AF2729" s="13" t="inlineStr">
        <is>
          <t>OPN BA2 &gt; BSA 3 &gt; LI 2237 SURTASS &gt; J-AOS</t>
        </is>
      </c>
      <c r="AG2729" s="7" t="inlineStr">
        <is>
          <t>208</t>
        </is>
      </c>
      <c r="AH2729" s="7" t="inlineStr">
        <is>
          <t>2237</t>
        </is>
      </c>
    </row>
    <row r="2730" ht="10" customHeight="1">
      <c r="A2730" s="7" t="inlineStr">
        <is>
          <t>OPN_BA2</t>
        </is>
      </c>
      <c r="B2730" s="7" t="inlineStr">
        <is>
          <t>Procurement</t>
        </is>
      </c>
      <c r="C2730" s="7" t="inlineStr">
        <is>
          <t>2312</t>
        </is>
      </c>
      <c r="D2730" s="7" t="inlineStr">
        <is>
          <t>AN/SLQ-32</t>
        </is>
      </c>
      <c r="E2730" s="13" t="inlineStr">
        <is>
          <t>[PARENT]</t>
        </is>
      </c>
      <c r="I2730" s="14" t="n">
        <v>4</v>
      </c>
      <c r="K2730" s="15" t="n"/>
      <c r="O2730" s="15" t="n"/>
      <c r="P2730" s="16" t="n">
        <v>325996</v>
      </c>
      <c r="Q2730" s="16" t="n">
        <v>182011</v>
      </c>
      <c r="S2730" s="16" t="n">
        <v>461380</v>
      </c>
      <c r="T2730" s="16" t="n">
        <v>0</v>
      </c>
      <c r="U2730" s="16" t="n">
        <v>461380</v>
      </c>
      <c r="Z2730" s="16" t="n">
        <v>653483</v>
      </c>
      <c r="AB2730" s="16" t="n">
        <v>653483</v>
      </c>
      <c r="AC2730" s="23">
        <f>IF(OR(E2730="",E2730="[PARENT]"),"ADD",IF(E2730="[ALT_VIEW]","ALT",""))</f>
        <v/>
      </c>
      <c r="AD2730" s="21">
        <f>IF(Y2730&lt;&gt;"",Y2730,IF(U2730&lt;&gt;"",U2730,S2730))</f>
        <v/>
      </c>
      <c r="AE2730" s="21">
        <f>IF(AB2730&lt;&gt;"",AB2730,Z2730)</f>
        <v/>
      </c>
      <c r="AF2730" s="13" t="inlineStr">
        <is>
          <t>OPN BA2 &gt; BSA 4: Electronic Warfare Equipment &gt; LI 2312 AN/SLQ-32</t>
        </is>
      </c>
      <c r="AG2730" s="7" t="inlineStr">
        <is>
          <t>213</t>
        </is>
      </c>
      <c r="AH2730" s="7" t="inlineStr">
        <is>
          <t>2312</t>
        </is>
      </c>
    </row>
    <row r="2731" ht="10" customHeight="1">
      <c r="A2731" s="7" t="inlineStr">
        <is>
          <t>OPN_BA2</t>
        </is>
      </c>
      <c r="B2731" s="7" t="inlineStr">
        <is>
          <t>Procurement</t>
        </is>
      </c>
      <c r="D2731" s="7" t="inlineStr">
        <is>
          <t>SEWIP Block 1 - AN/SLQ-32 Improvements</t>
        </is>
      </c>
      <c r="E2731" s="13" t="inlineStr">
        <is>
          <t>[SUB]</t>
        </is>
      </c>
      <c r="F2731" s="7" t="inlineStr">
        <is>
          <t>LI 2312 AN/SLQ-32</t>
        </is>
      </c>
      <c r="I2731" s="14" t="n">
        <v>4</v>
      </c>
      <c r="K2731" s="15" t="n"/>
      <c r="O2731" s="15" t="n"/>
      <c r="P2731" s="16" t="n">
        <v>191</v>
      </c>
      <c r="Q2731" s="16" t="n">
        <v>588</v>
      </c>
      <c r="S2731" s="16" t="n">
        <v>928</v>
      </c>
      <c r="AC2731" s="23">
        <f>IF(OR(E2731="",E2731="[PARENT]"),"ADD",IF(E2731="[ALT_VIEW]","ALT",""))</f>
        <v/>
      </c>
      <c r="AD2731" s="21">
        <f>IF(Y2731&lt;&gt;"",Y2731,IF(U2731&lt;&gt;"",U2731,S2731))</f>
        <v/>
      </c>
      <c r="AE2731" s="21">
        <f>IF(AB2731&lt;&gt;"",AB2731,Z2731)</f>
        <v/>
      </c>
      <c r="AF2731" s="13" t="inlineStr">
        <is>
          <t>OPN BA2 &gt; BSA 4 &gt; LI 2312 &gt; SEWIP Block 1</t>
        </is>
      </c>
      <c r="AG2731" s="7" t="inlineStr">
        <is>
          <t>224</t>
        </is>
      </c>
      <c r="AH2731" s="7" t="inlineStr">
        <is>
          <t>2312</t>
        </is>
      </c>
    </row>
    <row r="2732" ht="10" customHeight="1">
      <c r="A2732" s="7" t="inlineStr">
        <is>
          <t>OPN_BA2</t>
        </is>
      </c>
      <c r="B2732" s="7" t="inlineStr">
        <is>
          <t>Procurement</t>
        </is>
      </c>
      <c r="D2732" s="7" t="inlineStr">
        <is>
          <t>SEWIP Block 1B3 - High Gain High Sensitivity (HGHS)</t>
        </is>
      </c>
      <c r="E2732" s="13" t="inlineStr">
        <is>
          <t>[SUB]</t>
        </is>
      </c>
      <c r="F2732" s="7" t="inlineStr">
        <is>
          <t>LI 2312 AN/SLQ-32</t>
        </is>
      </c>
      <c r="I2732" s="14" t="n">
        <v>4</v>
      </c>
      <c r="K2732" s="15" t="n"/>
      <c r="O2732" s="15" t="n"/>
      <c r="P2732" s="16" t="n">
        <v>3230</v>
      </c>
      <c r="Q2732" s="16" t="n">
        <v>4320</v>
      </c>
      <c r="S2732" s="16" t="n">
        <v>13051</v>
      </c>
      <c r="AC2732" s="23">
        <f>IF(OR(E2732="",E2732="[PARENT]"),"ADD",IF(E2732="[ALT_VIEW]","ALT",""))</f>
        <v/>
      </c>
      <c r="AD2732" s="21">
        <f>IF(Y2732&lt;&gt;"",Y2732,IF(U2732&lt;&gt;"",U2732,S2732))</f>
        <v/>
      </c>
      <c r="AE2732" s="21">
        <f>IF(AB2732&lt;&gt;"",AB2732,Z2732)</f>
        <v/>
      </c>
      <c r="AF2732" s="13" t="inlineStr">
        <is>
          <t>OPN BA2 &gt; BSA 4 &gt; LI 2312 &gt; SEWIP Block 1B3</t>
        </is>
      </c>
      <c r="AG2732" s="7" t="inlineStr">
        <is>
          <t>228</t>
        </is>
      </c>
      <c r="AH2732" s="7" t="inlineStr">
        <is>
          <t>2312</t>
        </is>
      </c>
    </row>
    <row r="2733" ht="10" customHeight="1">
      <c r="A2733" s="7" t="inlineStr">
        <is>
          <t>OPN_BA2</t>
        </is>
      </c>
      <c r="B2733" s="7" t="inlineStr">
        <is>
          <t>Procurement</t>
        </is>
      </c>
      <c r="D2733" s="7" t="inlineStr">
        <is>
          <t>SEWIP Block 2 - Electronic Support (ES) System</t>
        </is>
      </c>
      <c r="E2733" s="13" t="inlineStr">
        <is>
          <t>[SUB]</t>
        </is>
      </c>
      <c r="F2733" s="7" t="inlineStr">
        <is>
          <t>LI 2312 AN/SLQ-32</t>
        </is>
      </c>
      <c r="I2733" s="14" t="n">
        <v>4</v>
      </c>
      <c r="K2733" s="15" t="n"/>
      <c r="O2733" s="15" t="n"/>
      <c r="P2733" s="16" t="n">
        <v>21439</v>
      </c>
      <c r="Q2733" s="16" t="n">
        <v>22576</v>
      </c>
      <c r="S2733" s="16" t="n">
        <v>64386</v>
      </c>
      <c r="AC2733" s="23">
        <f>IF(OR(E2733="",E2733="[PARENT]"),"ADD",IF(E2733="[ALT_VIEW]","ALT",""))</f>
        <v/>
      </c>
      <c r="AD2733" s="21">
        <f>IF(Y2733&lt;&gt;"",Y2733,IF(U2733&lt;&gt;"",U2733,S2733))</f>
        <v/>
      </c>
      <c r="AE2733" s="21">
        <f>IF(AB2733&lt;&gt;"",AB2733,Z2733)</f>
        <v/>
      </c>
      <c r="AF2733" s="13" t="inlineStr">
        <is>
          <t>OPN BA2 &gt; BSA 4 &gt; LI 2312 &gt; SEWIP Block 2</t>
        </is>
      </c>
      <c r="AG2733" s="7" t="inlineStr">
        <is>
          <t>233</t>
        </is>
      </c>
      <c r="AH2733" s="7" t="inlineStr">
        <is>
          <t>2312</t>
        </is>
      </c>
    </row>
    <row r="2734" ht="10" customHeight="1">
      <c r="A2734" s="7" t="inlineStr">
        <is>
          <t>OPN_BA2</t>
        </is>
      </c>
      <c r="B2734" s="7" t="inlineStr">
        <is>
          <t>Procurement</t>
        </is>
      </c>
      <c r="D2734" s="7" t="inlineStr">
        <is>
          <t>SEWIP Block 3 - Electronic Attack (EA)</t>
        </is>
      </c>
      <c r="E2734" s="13" t="inlineStr">
        <is>
          <t>[SUB]</t>
        </is>
      </c>
      <c r="F2734" s="7" t="inlineStr">
        <is>
          <t>LI 2312 AN/SLQ-32</t>
        </is>
      </c>
      <c r="I2734" s="14" t="n">
        <v>4</v>
      </c>
      <c r="K2734" s="15" t="n"/>
      <c r="O2734" s="15" t="n"/>
      <c r="P2734" s="16" t="n">
        <v>247393</v>
      </c>
      <c r="Q2734" s="16" t="n">
        <v>77570</v>
      </c>
      <c r="S2734" s="16" t="n">
        <v>165894</v>
      </c>
      <c r="AC2734" s="23">
        <f>IF(OR(E2734="",E2734="[PARENT]"),"ADD",IF(E2734="[ALT_VIEW]","ALT",""))</f>
        <v/>
      </c>
      <c r="AD2734" s="21">
        <f>IF(Y2734&lt;&gt;"",Y2734,IF(U2734&lt;&gt;"",U2734,S2734))</f>
        <v/>
      </c>
      <c r="AE2734" s="21">
        <f>IF(AB2734&lt;&gt;"",AB2734,Z2734)</f>
        <v/>
      </c>
      <c r="AF2734" s="13" t="inlineStr">
        <is>
          <t>OPN BA2 &gt; BSA 4 &gt; LI 2312 &gt; SEWIP Block 3</t>
        </is>
      </c>
      <c r="AG2734" s="7" t="inlineStr">
        <is>
          <t>242</t>
        </is>
      </c>
      <c r="AH2734" s="7" t="inlineStr">
        <is>
          <t>2312</t>
        </is>
      </c>
      <c r="AI2734" s="7" t="inlineStr">
        <is>
          <t>TC070 - Scaled Onboard Electronic Attack (SOEA)</t>
        </is>
      </c>
    </row>
    <row r="2735" ht="10" customHeight="1">
      <c r="A2735" s="7" t="inlineStr">
        <is>
          <t>OPN_BA2</t>
        </is>
      </c>
      <c r="B2735" s="7" t="inlineStr">
        <is>
          <t>Procurement</t>
        </is>
      </c>
      <c r="D2735" s="7" t="inlineStr">
        <is>
          <t>Scaled Onboard Electronic Attack (SOEA)</t>
        </is>
      </c>
      <c r="E2735" s="13" t="inlineStr">
        <is>
          <t>[SUB]</t>
        </is>
      </c>
      <c r="F2735" s="7" t="inlineStr">
        <is>
          <t>LI 2312 AN/SLQ-32</t>
        </is>
      </c>
      <c r="I2735" s="14" t="n">
        <v>4</v>
      </c>
      <c r="K2735" s="13" t="inlineStr">
        <is>
          <t>USN</t>
        </is>
      </c>
      <c r="L2735" s="7" t="inlineStr">
        <is>
          <t>Combatant Ships</t>
        </is>
      </c>
      <c r="M2735" s="7" t="inlineStr">
        <is>
          <t>Surface Combatants</t>
        </is>
      </c>
      <c r="O2735" s="15" t="n"/>
      <c r="P2735" s="16" t="n">
        <v>0</v>
      </c>
      <c r="Q2735" s="16" t="n">
        <v>0</v>
      </c>
      <c r="S2735" s="16" t="n">
        <v>44552</v>
      </c>
      <c r="AC2735" s="23">
        <f>IF(OR(E2735="",E2735="[PARENT]"),"ADD",IF(E2735="[ALT_VIEW]","ALT",""))</f>
        <v/>
      </c>
      <c r="AD2735" s="21">
        <f>IF(Y2735&lt;&gt;"",Y2735,IF(U2735&lt;&gt;"",U2735,S2735))</f>
        <v/>
      </c>
      <c r="AE2735" s="21">
        <f>IF(AB2735&lt;&gt;"",AB2735,Z2735)</f>
        <v/>
      </c>
      <c r="AF2735" s="13" t="inlineStr">
        <is>
          <t>OPN BA2 &gt; BSA 4 &gt; LI 2312 &gt; SOEA</t>
        </is>
      </c>
      <c r="AG2735" s="7" t="inlineStr">
        <is>
          <t>251</t>
        </is>
      </c>
      <c r="AH2735" s="7" t="inlineStr">
        <is>
          <t>2312</t>
        </is>
      </c>
      <c r="AI2735" s="7" t="inlineStr">
        <is>
          <t>TC070 - Scaled Onboard Electronic Attack (SOEA)</t>
        </is>
      </c>
    </row>
    <row r="2736" ht="10" customHeight="1">
      <c r="A2736" s="7" t="inlineStr">
        <is>
          <t>OPN_BA2</t>
        </is>
      </c>
      <c r="B2736" s="7" t="inlineStr">
        <is>
          <t>Procurement</t>
        </is>
      </c>
      <c r="C2736" s="7" t="inlineStr">
        <is>
          <t>2360</t>
        </is>
      </c>
      <c r="D2736" s="7" t="inlineStr">
        <is>
          <t>Shipboard IW Exploit</t>
        </is>
      </c>
      <c r="E2736" s="13" t="inlineStr">
        <is>
          <t>[PARENT]</t>
        </is>
      </c>
      <c r="I2736" s="14" t="n">
        <v>4</v>
      </c>
      <c r="K2736" s="15" t="n"/>
      <c r="O2736" s="15" t="n"/>
      <c r="P2736" s="16" t="n">
        <v>367452</v>
      </c>
      <c r="Q2736" s="16" t="n">
        <v>362099</v>
      </c>
      <c r="S2736" s="16" t="n">
        <v>379908</v>
      </c>
      <c r="T2736" s="16" t="n">
        <v>0</v>
      </c>
      <c r="U2736" s="16" t="n">
        <v>379908</v>
      </c>
      <c r="Z2736" s="16" t="n">
        <v>701667</v>
      </c>
      <c r="AB2736" s="16" t="n">
        <v>701667</v>
      </c>
      <c r="AC2736" s="23">
        <f>IF(OR(E2736="",E2736="[PARENT]"),"ADD",IF(E2736="[ALT_VIEW]","ALT",""))</f>
        <v/>
      </c>
      <c r="AD2736" s="21">
        <f>IF(Y2736&lt;&gt;"",Y2736,IF(U2736&lt;&gt;"",U2736,S2736))</f>
        <v/>
      </c>
      <c r="AE2736" s="21">
        <f>IF(AB2736&lt;&gt;"",AB2736,Z2736)</f>
        <v/>
      </c>
      <c r="AF2736" s="13" t="inlineStr">
        <is>
          <t>OPN BA2 &gt; BSA 5: Reconnaissance Equipment &gt; LI 2360 Shipboard IW Exploit</t>
        </is>
      </c>
      <c r="AG2736" s="7" t="inlineStr">
        <is>
          <t>255</t>
        </is>
      </c>
      <c r="AH2736" s="7" t="inlineStr">
        <is>
          <t>2360</t>
        </is>
      </c>
      <c r="AI2736" s="7" t="inlineStr">
        <is>
          <t>Shipboard IW Exploit</t>
        </is>
      </c>
    </row>
    <row r="2737" ht="10" customHeight="1">
      <c r="A2737" s="7" t="inlineStr">
        <is>
          <t>OPN_BA2</t>
        </is>
      </c>
      <c r="B2737" s="7" t="inlineStr">
        <is>
          <t>Procurement</t>
        </is>
      </c>
      <c r="D2737" s="7" t="inlineStr">
        <is>
          <t>Ship's Signal Exploitation Equipment (SSEE) Increment F</t>
        </is>
      </c>
      <c r="E2737" s="13" t="inlineStr">
        <is>
          <t>[SUB]</t>
        </is>
      </c>
      <c r="F2737" s="7" t="inlineStr">
        <is>
          <t>LI 2360 Shipboard IW Exploit</t>
        </is>
      </c>
      <c r="I2737" s="14" t="n">
        <v>4</v>
      </c>
      <c r="K2737" s="15" t="n"/>
      <c r="O2737" s="15" t="n"/>
      <c r="P2737" s="16" t="n">
        <v>143451</v>
      </c>
      <c r="Q2737" s="16" t="n">
        <v>72055</v>
      </c>
      <c r="S2737" s="16" t="n">
        <v>61161</v>
      </c>
      <c r="AC2737" s="23">
        <f>IF(OR(E2737="",E2737="[PARENT]"),"ADD",IF(E2737="[ALT_VIEW]","ALT",""))</f>
        <v/>
      </c>
      <c r="AD2737" s="21">
        <f>IF(Y2737&lt;&gt;"",Y2737,IF(U2737&lt;&gt;"",U2737,S2737))</f>
        <v/>
      </c>
      <c r="AE2737" s="21">
        <f>IF(AB2737&lt;&gt;"",AB2737,Z2737)</f>
        <v/>
      </c>
      <c r="AF2737" s="13" t="inlineStr">
        <is>
          <t>OPN BA2 &gt; BSA 5 &gt; LI 2360 &gt; SSEE Inc F</t>
        </is>
      </c>
      <c r="AG2737" s="7" t="inlineStr">
        <is>
          <t>267</t>
        </is>
      </c>
      <c r="AH2737" s="7" t="inlineStr">
        <is>
          <t>2360</t>
        </is>
      </c>
    </row>
    <row r="2738" ht="10" customHeight="1">
      <c r="A2738" s="7" t="inlineStr">
        <is>
          <t>OPN_BA2</t>
        </is>
      </c>
      <c r="B2738" s="7" t="inlineStr">
        <is>
          <t>Procurement</t>
        </is>
      </c>
      <c r="D2738" s="7" t="inlineStr">
        <is>
          <t>Real-Time Spectrum Operations (RTSO)</t>
        </is>
      </c>
      <c r="E2738" s="13" t="inlineStr">
        <is>
          <t>[SUB]</t>
        </is>
      </c>
      <c r="F2738" s="7" t="inlineStr">
        <is>
          <t>LI 2360 Shipboard IW Exploit</t>
        </is>
      </c>
      <c r="I2738" s="14" t="n">
        <v>4</v>
      </c>
      <c r="K2738" s="15" t="n"/>
      <c r="O2738" s="15" t="n"/>
      <c r="P2738" s="16" t="n">
        <v>12109</v>
      </c>
      <c r="Q2738" s="16" t="n">
        <v>8831</v>
      </c>
      <c r="S2738" s="16" t="n">
        <v>9918</v>
      </c>
      <c r="AC2738" s="23">
        <f>IF(OR(E2738="",E2738="[PARENT]"),"ADD",IF(E2738="[ALT_VIEW]","ALT",""))</f>
        <v/>
      </c>
      <c r="AD2738" s="21">
        <f>IF(Y2738&lt;&gt;"",Y2738,IF(U2738&lt;&gt;"",U2738,S2738))</f>
        <v/>
      </c>
      <c r="AE2738" s="21">
        <f>IF(AB2738&lt;&gt;"",AB2738,Z2738)</f>
        <v/>
      </c>
      <c r="AF2738" s="13" t="inlineStr">
        <is>
          <t>OPN BA2 &gt; BSA 5 &gt; LI 2360 &gt; RTSO</t>
        </is>
      </c>
      <c r="AG2738" s="7" t="inlineStr">
        <is>
          <t>278</t>
        </is>
      </c>
      <c r="AH2738" s="7" t="inlineStr">
        <is>
          <t>2360</t>
        </is>
      </c>
      <c r="AI2738" s="7" t="inlineStr">
        <is>
          <t>Real Time Spectrum Operations - Own Force Monitoring Hardware</t>
        </is>
      </c>
    </row>
    <row r="2739" ht="10" customHeight="1">
      <c r="A2739" s="7" t="inlineStr">
        <is>
          <t>OPN_BA2</t>
        </is>
      </c>
      <c r="B2739" s="7" t="inlineStr">
        <is>
          <t>Procurement</t>
        </is>
      </c>
      <c r="D2739" s="7" t="inlineStr">
        <is>
          <t>Spectral Program</t>
        </is>
      </c>
      <c r="E2739" s="13" t="inlineStr">
        <is>
          <t>[SUB]</t>
        </is>
      </c>
      <c r="F2739" s="7" t="inlineStr">
        <is>
          <t>LI 2360 Shipboard IW Exploit</t>
        </is>
      </c>
      <c r="I2739" s="14" t="n">
        <v>4</v>
      </c>
      <c r="K2739" s="15" t="n"/>
      <c r="O2739" s="15" t="n"/>
      <c r="P2739" s="16" t="n">
        <v>0</v>
      </c>
      <c r="Q2739" s="16" t="n">
        <v>159913</v>
      </c>
      <c r="S2739" s="16" t="n">
        <v>164055</v>
      </c>
      <c r="AC2739" s="23">
        <f>IF(OR(E2739="",E2739="[PARENT]"),"ADD",IF(E2739="[ALT_VIEW]","ALT",""))</f>
        <v/>
      </c>
      <c r="AD2739" s="21">
        <f>IF(Y2739&lt;&gt;"",Y2739,IF(U2739&lt;&gt;"",U2739,S2739))</f>
        <v/>
      </c>
      <c r="AE2739" s="21">
        <f>IF(AB2739&lt;&gt;"",AB2739,Z2739)</f>
        <v/>
      </c>
      <c r="AF2739" s="13" t="inlineStr">
        <is>
          <t>OPN BA2 &gt; BSA 5 &gt; LI 2360 &gt; Spectral</t>
        </is>
      </c>
      <c r="AG2739" s="7" t="inlineStr">
        <is>
          <t>289</t>
        </is>
      </c>
      <c r="AH2739" s="7" t="inlineStr">
        <is>
          <t>2360</t>
        </is>
      </c>
      <c r="AI2739" s="7" t="inlineStr">
        <is>
          <t>SPECTRAL</t>
        </is>
      </c>
    </row>
    <row r="2740" ht="10" customHeight="1">
      <c r="A2740" s="7" t="inlineStr">
        <is>
          <t>OPN_BA2</t>
        </is>
      </c>
      <c r="B2740" s="7" t="inlineStr">
        <is>
          <t>Procurement</t>
        </is>
      </c>
      <c r="D2740" s="7" t="inlineStr">
        <is>
          <t>Cryptologic Carry-On Program (CCOP)</t>
        </is>
      </c>
      <c r="E2740" s="13" t="inlineStr">
        <is>
          <t>[SUB]</t>
        </is>
      </c>
      <c r="F2740" s="7" t="inlineStr">
        <is>
          <t>LI 2360 Shipboard IW Exploit</t>
        </is>
      </c>
      <c r="I2740" s="14" t="n">
        <v>4</v>
      </c>
      <c r="K2740" s="15" t="n"/>
      <c r="O2740" s="15" t="n"/>
      <c r="AC2740" s="23">
        <f>IF(OR(E2740="",E2740="[PARENT]"),"ADD",IF(E2740="[ALT_VIEW]","ALT",""))</f>
        <v/>
      </c>
      <c r="AD2740" s="21">
        <f>IF(Y2740&lt;&gt;"",Y2740,IF(U2740&lt;&gt;"",U2740,S2740))</f>
        <v/>
      </c>
      <c r="AE2740" s="21">
        <f>IF(AB2740&lt;&gt;"",AB2740,Z2740)</f>
        <v/>
      </c>
      <c r="AF2740" s="13" t="inlineStr">
        <is>
          <t>OPN BA2 &gt; BSA 5 &gt; LI 2360 &gt; CCOP (from LI 3501)</t>
        </is>
      </c>
      <c r="AG2740" s="7" t="inlineStr">
        <is>
          <t>256</t>
        </is>
      </c>
      <c r="AH2740" s="7" t="inlineStr">
        <is>
          <t>2360</t>
        </is>
      </c>
    </row>
    <row r="2741" ht="10" customHeight="1">
      <c r="A2741" s="7" t="inlineStr">
        <is>
          <t>OPN_BA2</t>
        </is>
      </c>
      <c r="B2741" s="7" t="inlineStr">
        <is>
          <t>Procurement</t>
        </is>
      </c>
      <c r="C2741" s="7" t="inlineStr">
        <is>
          <t>2361</t>
        </is>
      </c>
      <c r="D2741" s="7" t="inlineStr">
        <is>
          <t>Automatic Identification System (AIS) / Maritime Battlespace Awareness</t>
        </is>
      </c>
      <c r="E2741" s="15" t="n"/>
      <c r="I2741" s="14" t="n">
        <v>4</v>
      </c>
      <c r="K2741" s="15" t="n"/>
      <c r="O2741" s="15" t="n"/>
      <c r="P2741" s="16" t="n">
        <v>4079</v>
      </c>
      <c r="Q2741" s="16" t="n">
        <v>4680</v>
      </c>
      <c r="S2741" s="16" t="n">
        <v>13008</v>
      </c>
      <c r="T2741" s="16" t="n">
        <v>0</v>
      </c>
      <c r="U2741" s="16" t="n">
        <v>13008</v>
      </c>
      <c r="Z2741" s="16" t="n">
        <v>8652</v>
      </c>
      <c r="AB2741" s="16" t="n">
        <v>8652</v>
      </c>
      <c r="AC2741" s="23">
        <f>IF(OR(E2741="",E2741="[PARENT]"),"ADD",IF(E2741="[ALT_VIEW]","ALT",""))</f>
        <v/>
      </c>
      <c r="AD2741" s="21">
        <f>IF(Y2741&lt;&gt;"",Y2741,IF(U2741&lt;&gt;"",U2741,S2741))</f>
        <v/>
      </c>
      <c r="AE2741" s="21">
        <f>IF(AB2741&lt;&gt;"",AB2741,Z2741)</f>
        <v/>
      </c>
      <c r="AF2741" s="13" t="inlineStr">
        <is>
          <t>OPN BA2 &gt; BSA 5: Reconnaissance Equipment &gt; LI 2361 Automatic Identification System (AIS)</t>
        </is>
      </c>
      <c r="AG2741" s="7" t="inlineStr">
        <is>
          <t>297</t>
        </is>
      </c>
      <c r="AH2741" s="7" t="inlineStr">
        <is>
          <t>2361</t>
        </is>
      </c>
      <c r="AI2741" s="7" t="inlineStr">
        <is>
          <t>1U030 Automatic Identification Systems (AIS)</t>
        </is>
      </c>
    </row>
    <row r="2742" ht="10" customHeight="1">
      <c r="A2742" s="7" t="inlineStr">
        <is>
          <t>OPN_BA2</t>
        </is>
      </c>
      <c r="B2742" s="7" t="inlineStr">
        <is>
          <t>Procurement</t>
        </is>
      </c>
      <c r="C2742" s="7" t="inlineStr">
        <is>
          <t>2606</t>
        </is>
      </c>
      <c r="D2742" s="7" t="inlineStr">
        <is>
          <t>Cooperative Engagement Capability</t>
        </is>
      </c>
      <c r="E2742" s="13" t="inlineStr">
        <is>
          <t>[PARENT]</t>
        </is>
      </c>
      <c r="I2742" s="14" t="n">
        <v>4</v>
      </c>
      <c r="K2742" s="15" t="n"/>
      <c r="O2742" s="15" t="n"/>
      <c r="P2742" s="16" t="n">
        <v>37652</v>
      </c>
      <c r="Q2742" s="16" t="n">
        <v>26644</v>
      </c>
      <c r="S2742" s="16" t="n">
        <v>26648</v>
      </c>
      <c r="T2742" s="16" t="n">
        <v>0</v>
      </c>
      <c r="U2742" s="16" t="n">
        <v>26648</v>
      </c>
      <c r="Z2742" s="16" t="n">
        <v>33932</v>
      </c>
      <c r="AB2742" s="16" t="n">
        <v>33932</v>
      </c>
      <c r="AC2742" s="23">
        <f>IF(OR(E2742="",E2742="[PARENT]"),"ADD",IF(E2742="[ALT_VIEW]","ALT",""))</f>
        <v/>
      </c>
      <c r="AD2742" s="21">
        <f>IF(Y2742&lt;&gt;"",Y2742,IF(U2742&lt;&gt;"",U2742,S2742))</f>
        <v/>
      </c>
      <c r="AE2742" s="21">
        <f>IF(AB2742&lt;&gt;"",AB2742,Z2742)</f>
        <v/>
      </c>
      <c r="AF2742" s="13" t="inlineStr">
        <is>
          <t>OPN BA2 &gt; BSA 7: Other Ship Electronic Equipment &gt; LI 2606 Cooperative Engagement Capability</t>
        </is>
      </c>
      <c r="AG2742" s="7" t="inlineStr">
        <is>
          <t>303</t>
        </is>
      </c>
      <c r="AH2742" s="7" t="inlineStr">
        <is>
          <t>2606</t>
        </is>
      </c>
    </row>
    <row r="2743" ht="10" customHeight="1">
      <c r="A2743" s="7" t="inlineStr">
        <is>
          <t>OPN_BA2</t>
        </is>
      </c>
      <c r="B2743" s="7" t="inlineStr">
        <is>
          <t>Procurement</t>
        </is>
      </c>
      <c r="C2743" s="7" t="inlineStr">
        <is>
          <t>2611</t>
        </is>
      </c>
      <c r="D2743" s="7" t="inlineStr">
        <is>
          <t>Naval Tactical Command Support System (NTCSS)</t>
        </is>
      </c>
      <c r="E2743" s="15" t="n"/>
      <c r="I2743" s="14" t="n">
        <v>6</v>
      </c>
      <c r="K2743" s="15" t="n"/>
      <c r="O2743" s="15" t="n"/>
      <c r="P2743" s="16" t="n">
        <v>14105</v>
      </c>
      <c r="Q2743" s="16" t="n">
        <v>13614</v>
      </c>
      <c r="S2743" s="16" t="n">
        <v>7972</v>
      </c>
      <c r="T2743" s="16" t="n">
        <v>0</v>
      </c>
      <c r="U2743" s="16" t="n">
        <v>7972</v>
      </c>
      <c r="Z2743" s="16" t="n">
        <v>10108</v>
      </c>
      <c r="AB2743" s="16" t="n">
        <v>10108</v>
      </c>
      <c r="AC2743" s="23">
        <f>IF(OR(E2743="",E2743="[PARENT]"),"ADD",IF(E2743="[ALT_VIEW]","ALT",""))</f>
        <v/>
      </c>
      <c r="AD2743" s="21">
        <f>IF(Y2743&lt;&gt;"",Y2743,IF(U2743&lt;&gt;"",U2743,S2743))</f>
        <v/>
      </c>
      <c r="AE2743" s="21">
        <f>IF(AB2743&lt;&gt;"",AB2743,Z2743)</f>
        <v/>
      </c>
      <c r="AF2743" s="13" t="inlineStr">
        <is>
          <t>OPN BA2 &gt; BSA 7: Other Ship Electronic Equipment &gt; LI 2611 Naval Tact Cmd Supt Sys (NTCSS)</t>
        </is>
      </c>
      <c r="AG2743" s="7" t="inlineStr">
        <is>
          <t>319</t>
        </is>
      </c>
      <c r="AH2743" s="7" t="inlineStr">
        <is>
          <t>2611</t>
        </is>
      </c>
    </row>
    <row r="2744" ht="10" customHeight="1">
      <c r="A2744" s="7" t="inlineStr">
        <is>
          <t>OPN_BA2</t>
        </is>
      </c>
      <c r="B2744" s="7" t="inlineStr">
        <is>
          <t>Procurement</t>
        </is>
      </c>
      <c r="C2744" s="7" t="inlineStr">
        <is>
          <t>2614</t>
        </is>
      </c>
      <c r="D2744" s="7" t="inlineStr">
        <is>
          <t>Advanced Tactical Data Link Systems (ATDLS)</t>
        </is>
      </c>
      <c r="E2744" s="15" t="n"/>
      <c r="I2744" s="14" t="n">
        <v>4</v>
      </c>
      <c r="K2744" s="15" t="n"/>
      <c r="O2744" s="15" t="n"/>
      <c r="P2744" s="16" t="n">
        <v>50115</v>
      </c>
      <c r="Q2744" s="16" t="n">
        <v>68458</v>
      </c>
      <c r="S2744" s="16" t="n">
        <v>58739</v>
      </c>
      <c r="T2744" s="16" t="n">
        <v>0</v>
      </c>
      <c r="U2744" s="16" t="n">
        <v>58739</v>
      </c>
      <c r="Z2744" s="16" t="n">
        <v>52758</v>
      </c>
      <c r="AB2744" s="16" t="n">
        <v>52758</v>
      </c>
      <c r="AC2744" s="23">
        <f>IF(OR(E2744="",E2744="[PARENT]"),"ADD",IF(E2744="[ALT_VIEW]","ALT",""))</f>
        <v/>
      </c>
      <c r="AD2744" s="21">
        <f>IF(Y2744&lt;&gt;"",Y2744,IF(U2744&lt;&gt;"",U2744,S2744))</f>
        <v/>
      </c>
      <c r="AE2744" s="21">
        <f>IF(AB2744&lt;&gt;"",AB2744,Z2744)</f>
        <v/>
      </c>
      <c r="AF2744" s="13" t="inlineStr">
        <is>
          <t>OPN BA2 &gt; BSA 7: Other Ship Electronic Equipment &gt; LI 2614 Adv Tact Data Link Sys (ATDLS)</t>
        </is>
      </c>
      <c r="AG2744" s="7" t="inlineStr">
        <is>
          <t>337</t>
        </is>
      </c>
      <c r="AH2744" s="7" t="inlineStr">
        <is>
          <t>2614</t>
        </is>
      </c>
      <c r="AI2744" s="7" t="inlineStr">
        <is>
          <t>Adv Tact Data Link Sys (ATDLS)</t>
        </is>
      </c>
    </row>
    <row r="2745" ht="10" customHeight="1">
      <c r="A2745" s="7" t="inlineStr">
        <is>
          <t>OPN_BA2</t>
        </is>
      </c>
      <c r="B2745" s="7" t="inlineStr">
        <is>
          <t>Procurement</t>
        </is>
      </c>
      <c r="C2745" s="7" t="inlineStr">
        <is>
          <t>2618</t>
        </is>
      </c>
      <c r="D2745" s="7" t="inlineStr">
        <is>
          <t>Navy Command and Control System (NCCS)</t>
        </is>
      </c>
      <c r="E2745" s="15" t="n"/>
      <c r="I2745" s="14" t="n">
        <v>4</v>
      </c>
      <c r="K2745" s="15" t="n"/>
      <c r="O2745" s="15" t="n"/>
      <c r="P2745" s="16" t="n">
        <v>3915</v>
      </c>
      <c r="Q2745" s="16" t="n">
        <v>3645</v>
      </c>
      <c r="S2745" s="16" t="n">
        <v>3489</v>
      </c>
      <c r="T2745" s="16" t="n">
        <v>0</v>
      </c>
      <c r="U2745" s="16" t="n">
        <v>3489</v>
      </c>
      <c r="Z2745" s="16" t="n">
        <v>16167</v>
      </c>
      <c r="AB2745" s="16" t="n">
        <v>16167</v>
      </c>
      <c r="AC2745" s="23">
        <f>IF(OR(E2745="",E2745="[PARENT]"),"ADD",IF(E2745="[ALT_VIEW]","ALT",""))</f>
        <v/>
      </c>
      <c r="AD2745" s="21">
        <f>IF(Y2745&lt;&gt;"",Y2745,IF(U2745&lt;&gt;"",U2745,S2745))</f>
        <v/>
      </c>
      <c r="AE2745" s="21">
        <f>IF(AB2745&lt;&gt;"",AB2745,Z2745)</f>
        <v/>
      </c>
      <c r="AF2745" s="13" t="inlineStr">
        <is>
          <t>OPN BA2 &gt; BSA 7: Other Ship Electronic Equipment &gt; LI 2618 Navy Command and Control System (NCCS)</t>
        </is>
      </c>
      <c r="AG2745" s="7" t="inlineStr">
        <is>
          <t>351</t>
        </is>
      </c>
      <c r="AH2745" s="7" t="inlineStr">
        <is>
          <t>2618</t>
        </is>
      </c>
      <c r="AI2745" s="7" t="inlineStr">
        <is>
          <t>Navy Command and Control System (NCCS)</t>
        </is>
      </c>
    </row>
    <row r="2746" ht="10" customHeight="1">
      <c r="A2746" s="7" t="inlineStr">
        <is>
          <t>OPN_BA2</t>
        </is>
      </c>
      <c r="B2746" s="7" t="inlineStr">
        <is>
          <t>Procurement</t>
        </is>
      </c>
      <c r="C2746" s="7" t="inlineStr">
        <is>
          <t>2622</t>
        </is>
      </c>
      <c r="D2746" s="7" t="inlineStr">
        <is>
          <t>Minesweeping System Replacement</t>
        </is>
      </c>
      <c r="E2746" s="15" t="n"/>
      <c r="I2746" s="14" t="n">
        <v>4</v>
      </c>
      <c r="K2746" s="15" t="n"/>
      <c r="O2746" s="15" t="n"/>
      <c r="P2746" s="16" t="n">
        <v>16803</v>
      </c>
      <c r="Q2746" s="16" t="n">
        <v>16812</v>
      </c>
      <c r="S2746" s="16" t="n">
        <v>16426</v>
      </c>
      <c r="T2746" s="16" t="n">
        <v>0</v>
      </c>
      <c r="U2746" s="16" t="n">
        <v>16426</v>
      </c>
      <c r="Z2746" s="16" t="n">
        <v>14879</v>
      </c>
      <c r="AB2746" s="16" t="n">
        <v>14879</v>
      </c>
      <c r="AC2746" s="23">
        <f>IF(OR(E2746="",E2746="[PARENT]"),"ADD",IF(E2746="[ALT_VIEW]","ALT",""))</f>
        <v/>
      </c>
      <c r="AD2746" s="21">
        <f>IF(Y2746&lt;&gt;"",Y2746,IF(U2746&lt;&gt;"",U2746,S2746))</f>
        <v/>
      </c>
      <c r="AE2746" s="21">
        <f>IF(AB2746&lt;&gt;"",AB2746,Z2746)</f>
        <v/>
      </c>
      <c r="AF2746" s="13" t="inlineStr">
        <is>
          <t>OPN BA2 &gt; BSA 7: Other Ship Electronic Equipment &gt; LI 2622 Minesweeping System Replacement</t>
        </is>
      </c>
      <c r="AG2746" s="7" t="inlineStr">
        <is>
          <t>359</t>
        </is>
      </c>
      <c r="AH2746" s="7" t="inlineStr">
        <is>
          <t>2622</t>
        </is>
      </c>
      <c r="AI2746" s="7" t="inlineStr">
        <is>
          <t>MAGNETIC SILENCING FACILITY UPGRADES</t>
        </is>
      </c>
    </row>
    <row r="2747" ht="10" customHeight="1">
      <c r="A2747" s="7" t="inlineStr">
        <is>
          <t>OPN_BA2</t>
        </is>
      </c>
      <c r="B2747" s="7" t="inlineStr">
        <is>
          <t>Procurement</t>
        </is>
      </c>
      <c r="C2747" s="7" t="inlineStr">
        <is>
          <t>2657</t>
        </is>
      </c>
      <c r="D2747" s="7" t="inlineStr">
        <is>
          <t>NAVSTAR GPS Receivers (Space)</t>
        </is>
      </c>
      <c r="E2747" s="15" t="n"/>
      <c r="I2747" s="14" t="n">
        <v>4</v>
      </c>
      <c r="K2747" s="15" t="n"/>
      <c r="O2747" s="15" t="n"/>
      <c r="P2747" s="16" t="n">
        <v>37294</v>
      </c>
      <c r="Q2747" s="16" t="n">
        <v>37964</v>
      </c>
      <c r="S2747" s="16" t="n">
        <v>45701</v>
      </c>
      <c r="T2747" s="16" t="n">
        <v>0</v>
      </c>
      <c r="U2747" s="16" t="n">
        <v>45701</v>
      </c>
      <c r="Z2747" s="16" t="n">
        <v>43097</v>
      </c>
      <c r="AB2747" s="16" t="n">
        <v>43097</v>
      </c>
      <c r="AC2747" s="23">
        <f>IF(OR(E2747="",E2747="[PARENT]"),"ADD",IF(E2747="[ALT_VIEW]","ALT",""))</f>
        <v/>
      </c>
      <c r="AD2747" s="21">
        <f>IF(Y2747&lt;&gt;"",Y2747,IF(U2747&lt;&gt;"",U2747,S2747))</f>
        <v/>
      </c>
      <c r="AE2747" s="21">
        <f>IF(AB2747&lt;&gt;"",AB2747,Z2747)</f>
        <v/>
      </c>
      <c r="AF2747" s="13" t="inlineStr">
        <is>
          <t>OPN BA2 &gt; BSA 7: Other Ship Electronic Equipment &gt; LI 2657 NAVSTAR GPS Receivers (Space)</t>
        </is>
      </c>
      <c r="AG2747" s="7" t="inlineStr">
        <is>
          <t>363</t>
        </is>
      </c>
      <c r="AH2747" s="7" t="inlineStr">
        <is>
          <t>2657</t>
        </is>
      </c>
      <c r="AI2747" s="7" t="inlineStr">
        <is>
          <t>NAVSTAR GPS Receivers (Space)</t>
        </is>
      </c>
    </row>
    <row r="2748" ht="10" customHeight="1">
      <c r="A2748" s="7" t="inlineStr">
        <is>
          <t>OPN_BA2</t>
        </is>
      </c>
      <c r="B2748" s="7" t="inlineStr">
        <is>
          <t>Procurement</t>
        </is>
      </c>
      <c r="C2748" s="7" t="inlineStr">
        <is>
          <t>2666</t>
        </is>
      </c>
      <c r="D2748" s="7" t="inlineStr">
        <is>
          <t>American Forces Radio and TV Service (AFRTS)</t>
        </is>
      </c>
      <c r="E2748" s="15" t="n"/>
      <c r="I2748" s="14" t="n">
        <v>4</v>
      </c>
      <c r="K2748" s="15" t="n"/>
      <c r="O2748" s="15" t="n"/>
      <c r="P2748" s="16" t="n">
        <v>2748</v>
      </c>
      <c r="Q2748" s="16" t="n">
        <v>3803</v>
      </c>
      <c r="S2748" s="16" t="n">
        <v>304</v>
      </c>
      <c r="T2748" s="16" t="n">
        <v>0</v>
      </c>
      <c r="U2748" s="16" t="n">
        <v>304</v>
      </c>
      <c r="Z2748" s="16" t="n">
        <v>289</v>
      </c>
      <c r="AB2748" s="16" t="n">
        <v>289</v>
      </c>
      <c r="AC2748" s="23">
        <f>IF(OR(E2748="",E2748="[PARENT]"),"ADD",IF(E2748="[ALT_VIEW]","ALT",""))</f>
        <v/>
      </c>
      <c r="AD2748" s="21">
        <f>IF(Y2748&lt;&gt;"",Y2748,IF(U2748&lt;&gt;"",U2748,S2748))</f>
        <v/>
      </c>
      <c r="AE2748" s="21">
        <f>IF(AB2748&lt;&gt;"",AB2748,Z2748)</f>
        <v/>
      </c>
      <c r="AF2748" s="13" t="inlineStr">
        <is>
          <t>OPN BA2 &gt; BSA 7: Other Ship Electronic Equipment &gt; LI 2666 American Forces Radio and TV Service (AFRTS)</t>
        </is>
      </c>
      <c r="AG2748" s="7" t="inlineStr">
        <is>
          <t>375</t>
        </is>
      </c>
      <c r="AH2748" s="7" t="inlineStr">
        <is>
          <t>2666</t>
        </is>
      </c>
      <c r="AI2748" s="7" t="inlineStr">
        <is>
          <t>American Forces Radio and TV Service (AFRTS)</t>
        </is>
      </c>
    </row>
    <row r="2749" ht="10" customHeight="1">
      <c r="A2749" s="7" t="inlineStr">
        <is>
          <t>OPN_BA2</t>
        </is>
      </c>
      <c r="B2749" s="7" t="inlineStr">
        <is>
          <t>Procurement</t>
        </is>
      </c>
      <c r="C2749" s="7" t="inlineStr">
        <is>
          <t>2676</t>
        </is>
      </c>
      <c r="D2749" s="7" t="inlineStr">
        <is>
          <t>Strategic Platform Support Equip</t>
        </is>
      </c>
      <c r="E2749" s="13" t="inlineStr">
        <is>
          <t>[ALT_VIEW]</t>
        </is>
      </c>
      <c r="F2749" s="7" t="inlineStr">
        <is>
          <t>Funding realigned to LI 0950 (BA1)</t>
        </is>
      </c>
      <c r="I2749" s="14" t="n">
        <v>4</v>
      </c>
      <c r="K2749" s="13" t="inlineStr">
        <is>
          <t>USN</t>
        </is>
      </c>
      <c r="L2749" s="7" t="inlineStr">
        <is>
          <t>Combatant Ships</t>
        </is>
      </c>
      <c r="M2749" s="7" t="inlineStr">
        <is>
          <t>Submarines</t>
        </is>
      </c>
      <c r="N2749" s="7" t="inlineStr">
        <is>
          <t>SSBN</t>
        </is>
      </c>
      <c r="O2749" s="15" t="n"/>
      <c r="P2749" s="16" t="n">
        <v>6433</v>
      </c>
      <c r="Q2749" s="16" t="n">
        <v>0</v>
      </c>
      <c r="S2749" s="16" t="n">
        <v>0</v>
      </c>
      <c r="T2749" s="16" t="n">
        <v>0</v>
      </c>
      <c r="U2749" s="16" t="n">
        <v>0</v>
      </c>
      <c r="AC2749" s="23">
        <f>IF(OR(E2749="",E2749="[PARENT]"),"ADD",IF(E2749="[ALT_VIEW]","ALT",""))</f>
        <v/>
      </c>
      <c r="AD2749" s="21">
        <f>IF(Y2749&lt;&gt;"",Y2749,IF(U2749&lt;&gt;"",U2749,S2749))</f>
        <v/>
      </c>
      <c r="AE2749" s="21">
        <f>IF(AB2749&lt;&gt;"",AB2749,Z2749)</f>
        <v/>
      </c>
      <c r="AF2749" s="13" t="inlineStr">
        <is>
          <t>OPN BA2 &gt; BSA 7: Other Ship Electronic Equipment &gt; LI 2676 Strategic Platform Support Equip</t>
        </is>
      </c>
      <c r="AG2749" s="7" t="inlineStr">
        <is>
          <t>381</t>
        </is>
      </c>
      <c r="AH2749" s="7" t="inlineStr">
        <is>
          <t>2676</t>
        </is>
      </c>
      <c r="AI2749" s="7" t="inlineStr">
        <is>
          <t>P1221 Strategic Platform Support Equip NPES</t>
        </is>
      </c>
    </row>
    <row r="2750" ht="10" customHeight="1">
      <c r="A2750" s="7" t="inlineStr">
        <is>
          <t>OPN_BA2</t>
        </is>
      </c>
      <c r="B2750" s="7" t="inlineStr">
        <is>
          <t>Procurement</t>
        </is>
      </c>
      <c r="C2750" s="7" t="inlineStr">
        <is>
          <t>2820</t>
        </is>
      </c>
      <c r="D2750" s="7" t="inlineStr">
        <is>
          <t>Ashore ATC Equipment</t>
        </is>
      </c>
      <c r="E2750" s="15" t="n"/>
      <c r="I2750" s="14" t="n">
        <v>4</v>
      </c>
      <c r="K2750" s="15" t="n"/>
      <c r="O2750" s="15" t="n"/>
      <c r="P2750" s="16" t="n">
        <v>88114</v>
      </c>
      <c r="Q2750" s="16" t="n">
        <v>90586</v>
      </c>
      <c r="S2750" s="16" t="n">
        <v>97262</v>
      </c>
      <c r="T2750" s="16" t="n">
        <v>0</v>
      </c>
      <c r="U2750" s="16" t="n">
        <v>97262</v>
      </c>
      <c r="Z2750" s="16" t="n">
        <v>83057</v>
      </c>
      <c r="AB2750" s="16" t="n">
        <v>83057</v>
      </c>
      <c r="AC2750" s="23">
        <f>IF(OR(E2750="",E2750="[PARENT]"),"ADD",IF(E2750="[ALT_VIEW]","ALT",""))</f>
        <v/>
      </c>
      <c r="AD2750" s="21">
        <f>IF(Y2750&lt;&gt;"",Y2750,IF(U2750&lt;&gt;"",U2750,S2750))</f>
        <v/>
      </c>
      <c r="AE2750" s="21">
        <f>IF(AB2750&lt;&gt;"",AB2750,Z2750)</f>
        <v/>
      </c>
      <c r="AF2750" s="13" t="inlineStr">
        <is>
          <t>OPN BA2 &gt; BSA 9: Aviation Electronic Equipment &gt; LI 2820 Ashore ATC Equipment</t>
        </is>
      </c>
      <c r="AG2750" s="7" t="inlineStr">
        <is>
          <t>385</t>
        </is>
      </c>
      <c r="AH2750" s="7" t="inlineStr">
        <is>
          <t>2820</t>
        </is>
      </c>
    </row>
    <row r="2751" ht="10" customHeight="1">
      <c r="A2751" s="7" t="inlineStr">
        <is>
          <t>OPN_BA2</t>
        </is>
      </c>
      <c r="B2751" s="7" t="inlineStr">
        <is>
          <t>Procurement</t>
        </is>
      </c>
      <c r="C2751" s="7" t="inlineStr">
        <is>
          <t>2830</t>
        </is>
      </c>
      <c r="D2751" s="7" t="inlineStr">
        <is>
          <t>Afloat ATC Equipment</t>
        </is>
      </c>
      <c r="E2751" s="13" t="inlineStr">
        <is>
          <t>[PARENT]</t>
        </is>
      </c>
      <c r="I2751" s="14" t="n">
        <v>4</v>
      </c>
      <c r="K2751" s="15" t="n"/>
      <c r="O2751" s="15" t="n"/>
      <c r="P2751" s="16" t="n">
        <v>88309</v>
      </c>
      <c r="Q2751" s="16" t="n">
        <v>75508</v>
      </c>
      <c r="S2751" s="16" t="n">
        <v>72104</v>
      </c>
      <c r="T2751" s="16" t="n">
        <v>0</v>
      </c>
      <c r="U2751" s="16" t="n">
        <v>72104</v>
      </c>
      <c r="Z2751" s="16" t="n">
        <v>62581</v>
      </c>
      <c r="AB2751" s="16" t="n">
        <v>62581</v>
      </c>
      <c r="AC2751" s="23">
        <f>IF(OR(E2751="",E2751="[PARENT]"),"ADD",IF(E2751="[ALT_VIEW]","ALT",""))</f>
        <v/>
      </c>
      <c r="AD2751" s="21">
        <f>IF(Y2751&lt;&gt;"",Y2751,IF(U2751&lt;&gt;"",U2751,S2751))</f>
        <v/>
      </c>
      <c r="AE2751" s="21">
        <f>IF(AB2751&lt;&gt;"",AB2751,Z2751)</f>
        <v/>
      </c>
      <c r="AF2751" s="13" t="inlineStr">
        <is>
          <t>OPN BA2 &gt; BSA 9: Aviation Electronic Equipment &gt; LI 2830 Afloat ATC Equipment</t>
        </is>
      </c>
      <c r="AG2751" s="7" t="inlineStr">
        <is>
          <t>449</t>
        </is>
      </c>
      <c r="AH2751" s="7" t="inlineStr">
        <is>
          <t>2830</t>
        </is>
      </c>
    </row>
    <row r="2752" ht="10" customHeight="1">
      <c r="A2752" s="7" t="inlineStr">
        <is>
          <t>OPN_BA2</t>
        </is>
      </c>
      <c r="B2752" s="7" t="inlineStr">
        <is>
          <t>Procurement</t>
        </is>
      </c>
      <c r="D2752" s="7" t="inlineStr">
        <is>
          <t>Shipboard Air Traffic Radar (SATR) AN/SPN-50(V)</t>
        </is>
      </c>
      <c r="E2752" s="13" t="inlineStr">
        <is>
          <t>[SUB]</t>
        </is>
      </c>
      <c r="F2752" s="7" t="inlineStr">
        <is>
          <t>LI 2830 Afloat ATC Equipment</t>
        </is>
      </c>
      <c r="I2752" s="14" t="n">
        <v>4</v>
      </c>
      <c r="K2752" s="15" t="n"/>
      <c r="O2752" s="15" t="n"/>
      <c r="P2752" s="16" t="n">
        <v>55806</v>
      </c>
      <c r="Q2752" s="16" t="n">
        <v>58751</v>
      </c>
      <c r="S2752" s="16" t="n">
        <v>44281</v>
      </c>
      <c r="AC2752" s="23">
        <f>IF(OR(E2752="",E2752="[PARENT]"),"ADD",IF(E2752="[ALT_VIEW]","ALT",""))</f>
        <v/>
      </c>
      <c r="AD2752" s="21">
        <f>IF(Y2752&lt;&gt;"",Y2752,IF(U2752&lt;&gt;"",U2752,S2752))</f>
        <v/>
      </c>
      <c r="AE2752" s="21">
        <f>IF(AB2752&lt;&gt;"",AB2752,Z2752)</f>
        <v/>
      </c>
      <c r="AF2752" s="13" t="inlineStr">
        <is>
          <t>OPN BA2 &gt; BSA 9 &gt; LI 2830 &gt; SATR AN/SPN-50(V)</t>
        </is>
      </c>
      <c r="AG2752" s="7" t="inlineStr">
        <is>
          <t>457</t>
        </is>
      </c>
      <c r="AH2752" s="7" t="inlineStr">
        <is>
          <t>2830</t>
        </is>
      </c>
    </row>
    <row r="2753" ht="10" customHeight="1">
      <c r="A2753" s="7" t="inlineStr">
        <is>
          <t>OPN_BA2</t>
        </is>
      </c>
      <c r="B2753" s="7" t="inlineStr">
        <is>
          <t>Procurement</t>
        </is>
      </c>
      <c r="D2753" s="7" t="inlineStr">
        <is>
          <t>AN/SPN-46 Block IV Precision Approach Landing System</t>
        </is>
      </c>
      <c r="E2753" s="13" t="inlineStr">
        <is>
          <t>[SUB]</t>
        </is>
      </c>
      <c r="F2753" s="7" t="inlineStr">
        <is>
          <t>LI 2830 Afloat ATC Equipment</t>
        </is>
      </c>
      <c r="I2753" s="14" t="n">
        <v>4</v>
      </c>
      <c r="K2753" s="15" t="n"/>
      <c r="O2753" s="15" t="n"/>
      <c r="P2753" s="16" t="n">
        <v>12095</v>
      </c>
      <c r="Q2753" s="16" t="n">
        <v>1856</v>
      </c>
      <c r="S2753" s="16" t="n">
        <v>952</v>
      </c>
      <c r="AC2753" s="23">
        <f>IF(OR(E2753="",E2753="[PARENT]"),"ADD",IF(E2753="[ALT_VIEW]","ALT",""))</f>
        <v/>
      </c>
      <c r="AD2753" s="21">
        <f>IF(Y2753&lt;&gt;"",Y2753,IF(U2753&lt;&gt;"",U2753,S2753))</f>
        <v/>
      </c>
      <c r="AE2753" s="21">
        <f>IF(AB2753&lt;&gt;"",AB2753,Z2753)</f>
        <v/>
      </c>
      <c r="AF2753" s="13" t="inlineStr">
        <is>
          <t>OPN BA2 &gt; BSA 9 &gt; LI 2830 &gt; AN/SPN-46 Block IV</t>
        </is>
      </c>
      <c r="AG2753" s="7" t="inlineStr">
        <is>
          <t>467</t>
        </is>
      </c>
      <c r="AH2753" s="7" t="inlineStr">
        <is>
          <t>2830</t>
        </is>
      </c>
    </row>
    <row r="2754" ht="10" customHeight="1">
      <c r="A2754" s="7" t="inlineStr">
        <is>
          <t>OPN_BA2</t>
        </is>
      </c>
      <c r="B2754" s="7" t="inlineStr">
        <is>
          <t>Procurement</t>
        </is>
      </c>
      <c r="C2754" s="7" t="inlineStr">
        <is>
          <t>2851</t>
        </is>
      </c>
      <c r="D2754" s="7" t="inlineStr">
        <is>
          <t>ID Systems</t>
        </is>
      </c>
      <c r="E2754" s="13" t="inlineStr">
        <is>
          <t>[PARENT]</t>
        </is>
      </c>
      <c r="I2754" s="14" t="n">
        <v>4</v>
      </c>
      <c r="K2754" s="15" t="n"/>
      <c r="O2754" s="15" t="n"/>
      <c r="P2754" s="16" t="n">
        <v>59195</v>
      </c>
      <c r="Q2754" s="16" t="n">
        <v>59602</v>
      </c>
      <c r="S2754" s="16" t="n">
        <v>52171</v>
      </c>
      <c r="T2754" s="16" t="n">
        <v>0</v>
      </c>
      <c r="U2754" s="16" t="n">
        <v>52171</v>
      </c>
      <c r="Z2754" s="16" t="n">
        <v>35620</v>
      </c>
      <c r="AB2754" s="16" t="n">
        <v>35620</v>
      </c>
      <c r="AC2754" s="23">
        <f>IF(OR(E2754="",E2754="[PARENT]"),"ADD",IF(E2754="[ALT_VIEW]","ALT",""))</f>
        <v/>
      </c>
      <c r="AD2754" s="21">
        <f>IF(Y2754&lt;&gt;"",Y2754,IF(U2754&lt;&gt;"",U2754,S2754))</f>
        <v/>
      </c>
      <c r="AE2754" s="21">
        <f>IF(AB2754&lt;&gt;"",AB2754,Z2754)</f>
        <v/>
      </c>
      <c r="AF2754" s="13" t="inlineStr">
        <is>
          <t>OPN BA2 &gt; BSA 9: Aviation Electronic Equipment &gt; LI 2851 ID Systems</t>
        </is>
      </c>
      <c r="AG2754" s="7" t="inlineStr">
        <is>
          <t>473</t>
        </is>
      </c>
      <c r="AH2754" s="7" t="inlineStr">
        <is>
          <t>2851</t>
        </is>
      </c>
    </row>
    <row r="2755" ht="10" customHeight="1">
      <c r="A2755" s="7" t="inlineStr">
        <is>
          <t>OPN_BA2</t>
        </is>
      </c>
      <c r="B2755" s="7" t="inlineStr">
        <is>
          <t>Procurement</t>
        </is>
      </c>
      <c r="D2755" s="7" t="inlineStr">
        <is>
          <t>Mark XIIA Mode 5</t>
        </is>
      </c>
      <c r="E2755" s="13" t="inlineStr">
        <is>
          <t>[SUB]</t>
        </is>
      </c>
      <c r="F2755" s="7" t="inlineStr">
        <is>
          <t>LI 2851 ID Systems</t>
        </is>
      </c>
      <c r="I2755" s="14" t="n">
        <v>4</v>
      </c>
      <c r="K2755" s="15" t="n"/>
      <c r="O2755" s="15" t="n"/>
      <c r="P2755" s="16" t="n">
        <v>631</v>
      </c>
      <c r="Q2755" s="16" t="n">
        <v>781</v>
      </c>
      <c r="S2755" s="16" t="n">
        <v>0</v>
      </c>
      <c r="AC2755" s="23">
        <f>IF(OR(E2755="",E2755="[PARENT]"),"ADD",IF(E2755="[ALT_VIEW]","ALT",""))</f>
        <v/>
      </c>
      <c r="AD2755" s="21">
        <f>IF(Y2755&lt;&gt;"",Y2755,IF(U2755&lt;&gt;"",U2755,S2755))</f>
        <v/>
      </c>
      <c r="AE2755" s="21">
        <f>IF(AB2755&lt;&gt;"",AB2755,Z2755)</f>
        <v/>
      </c>
      <c r="AF2755" s="13" t="inlineStr">
        <is>
          <t>OPN BA2 &gt; BSA 9 &gt; LI 2851 &gt; Mode 5</t>
        </is>
      </c>
      <c r="AG2755" s="7" t="inlineStr">
        <is>
          <t>482</t>
        </is>
      </c>
      <c r="AH2755" s="7" t="inlineStr">
        <is>
          <t>2851</t>
        </is>
      </c>
      <c r="AI2755" s="7" t="inlineStr">
        <is>
          <t>Mark XII Mode 5 (MT037)</t>
        </is>
      </c>
    </row>
    <row r="2756" ht="10" customHeight="1">
      <c r="A2756" s="7" t="inlineStr">
        <is>
          <t>OPN_BA2</t>
        </is>
      </c>
      <c r="B2756" s="7" t="inlineStr">
        <is>
          <t>Procurement</t>
        </is>
      </c>
      <c r="D2756" s="7" t="inlineStr">
        <is>
          <t>AN/UPX-34A Radar Track Discriminator System (RTDS)</t>
        </is>
      </c>
      <c r="E2756" s="13" t="inlineStr">
        <is>
          <t>[SUB]</t>
        </is>
      </c>
      <c r="F2756" s="7" t="inlineStr">
        <is>
          <t>LI 2851 ID Systems</t>
        </is>
      </c>
      <c r="I2756" s="14" t="n">
        <v>4</v>
      </c>
      <c r="K2756" s="13" t="inlineStr">
        <is>
          <t>USN</t>
        </is>
      </c>
      <c r="L2756" s="7" t="inlineStr">
        <is>
          <t>Combatant Ships</t>
        </is>
      </c>
      <c r="M2756" s="7" t="inlineStr">
        <is>
          <t>Surface Combatants</t>
        </is>
      </c>
      <c r="N2756" s="7" t="inlineStr">
        <is>
          <t>CG</t>
        </is>
      </c>
      <c r="O2756" s="15" t="n"/>
      <c r="P2756" s="16" t="n">
        <v>5111</v>
      </c>
      <c r="Q2756" s="16" t="n">
        <v>3336</v>
      </c>
      <c r="S2756" s="16" t="n">
        <v>3761</v>
      </c>
      <c r="AC2756" s="23">
        <f>IF(OR(E2756="",E2756="[PARENT]"),"ADD",IF(E2756="[ALT_VIEW]","ALT",""))</f>
        <v/>
      </c>
      <c r="AD2756" s="21">
        <f>IF(Y2756&lt;&gt;"",Y2756,IF(U2756&lt;&gt;"",U2756,S2756))</f>
        <v/>
      </c>
      <c r="AE2756" s="21">
        <f>IF(AB2756&lt;&gt;"",AB2756,Z2756)</f>
        <v/>
      </c>
      <c r="AF2756" s="13" t="inlineStr">
        <is>
          <t>OPN BA2 &gt; BSA 9 &gt; LI 2851 &gt; AN/UPX-34A</t>
        </is>
      </c>
      <c r="AG2756" s="7" t="inlineStr">
        <is>
          <t>495</t>
        </is>
      </c>
      <c r="AH2756" s="7" t="inlineStr">
        <is>
          <t>2851</t>
        </is>
      </c>
      <c r="AI2756" s="7" t="inlineStr">
        <is>
          <t>Radar Track Discriminator System (RTDS) AN/UPX-34A (MT043)</t>
        </is>
      </c>
    </row>
    <row r="2757" ht="10" customHeight="1">
      <c r="A2757" s="7" t="inlineStr">
        <is>
          <t>OPN_BA2</t>
        </is>
      </c>
      <c r="B2757" s="7" t="inlineStr">
        <is>
          <t>Procurement</t>
        </is>
      </c>
      <c r="D2757" s="7" t="inlineStr">
        <is>
          <t>DDG 1000 Zumwalt Class IFF Sensor Suite</t>
        </is>
      </c>
      <c r="E2757" s="13" t="inlineStr">
        <is>
          <t>[SUB]</t>
        </is>
      </c>
      <c r="F2757" s="7" t="inlineStr">
        <is>
          <t>LI 2851 ID Systems</t>
        </is>
      </c>
      <c r="I2757" s="14" t="n">
        <v>4</v>
      </c>
      <c r="K2757" s="13" t="inlineStr">
        <is>
          <t>USN</t>
        </is>
      </c>
      <c r="L2757" s="7" t="inlineStr">
        <is>
          <t>Combatant Ships</t>
        </is>
      </c>
      <c r="M2757" s="7" t="inlineStr">
        <is>
          <t>Surface Combatants</t>
        </is>
      </c>
      <c r="N2757" s="7" t="inlineStr">
        <is>
          <t>DDG</t>
        </is>
      </c>
      <c r="O2757" s="15" t="n"/>
      <c r="P2757" s="16" t="n">
        <v>700</v>
      </c>
      <c r="Q2757" s="16" t="n">
        <v>800</v>
      </c>
      <c r="S2757" s="16" t="n">
        <v>380</v>
      </c>
      <c r="AC2757" s="23">
        <f>IF(OR(E2757="",E2757="[PARENT]"),"ADD",IF(E2757="[ALT_VIEW]","ALT",""))</f>
        <v/>
      </c>
      <c r="AD2757" s="21">
        <f>IF(Y2757&lt;&gt;"",Y2757,IF(U2757&lt;&gt;"",U2757,S2757))</f>
        <v/>
      </c>
      <c r="AE2757" s="21">
        <f>IF(AB2757&lt;&gt;"",AB2757,Z2757)</f>
        <v/>
      </c>
      <c r="AF2757" s="13" t="inlineStr">
        <is>
          <t>OPN BA2 &gt; BSA 9 &gt; LI 2851 &gt; DDG 1000 IFF</t>
        </is>
      </c>
      <c r="AG2757" s="7" t="inlineStr">
        <is>
          <t>501</t>
        </is>
      </c>
      <c r="AH2757" s="7" t="inlineStr">
        <is>
          <t>2851</t>
        </is>
      </c>
    </row>
    <row r="2758" ht="10" customHeight="1">
      <c r="A2758" s="7" t="inlineStr">
        <is>
          <t>OPN_BA2</t>
        </is>
      </c>
      <c r="B2758" s="7" t="inlineStr">
        <is>
          <t>Procurement</t>
        </is>
      </c>
      <c r="C2758" s="7" t="inlineStr">
        <is>
          <t>2867</t>
        </is>
      </c>
      <c r="D2758" s="7" t="inlineStr">
        <is>
          <t>Joint Precision Approach and Landing System (JPALS)</t>
        </is>
      </c>
      <c r="E2758" s="15" t="n"/>
      <c r="I2758" s="14" t="n">
        <v>4</v>
      </c>
      <c r="K2758" s="15" t="n"/>
      <c r="O2758" s="15" t="n"/>
      <c r="P2758" s="16" t="n">
        <v>3341</v>
      </c>
      <c r="Q2758" s="16" t="n">
        <v>7287</v>
      </c>
      <c r="S2758" s="16" t="n">
        <v>5105</v>
      </c>
      <c r="T2758" s="16" t="n">
        <v>0</v>
      </c>
      <c r="U2758" s="16" t="n">
        <v>5105</v>
      </c>
      <c r="Z2758" s="16" t="n">
        <v>2976</v>
      </c>
      <c r="AB2758" s="16" t="n">
        <v>2976</v>
      </c>
      <c r="AC2758" s="23">
        <f>IF(OR(E2758="",E2758="[PARENT]"),"ADD",IF(E2758="[ALT_VIEW]","ALT",""))</f>
        <v/>
      </c>
      <c r="AD2758" s="21">
        <f>IF(Y2758&lt;&gt;"",Y2758,IF(U2758&lt;&gt;"",U2758,S2758))</f>
        <v/>
      </c>
      <c r="AE2758" s="21">
        <f>IF(AB2758&lt;&gt;"",AB2758,Z2758)</f>
        <v/>
      </c>
      <c r="AF2758" s="13" t="inlineStr">
        <is>
          <t>OPN BA2 &gt; BSA 9: Aviation Electronic Equipment &gt; LI 2867 Joint Precision Approach and Landing System (JPALS)</t>
        </is>
      </c>
      <c r="AG2758" s="7" t="inlineStr">
        <is>
          <t>507</t>
        </is>
      </c>
      <c r="AH2758" s="7" t="inlineStr">
        <is>
          <t>2867</t>
        </is>
      </c>
      <c r="AI2758" s="7" t="inlineStr">
        <is>
          <t>CR001 AN/USN-3 (V)1</t>
        </is>
      </c>
    </row>
    <row r="2759" ht="10" customHeight="1">
      <c r="A2759" s="7" t="inlineStr">
        <is>
          <t>OPN_BA2</t>
        </is>
      </c>
      <c r="B2759" s="7" t="inlineStr">
        <is>
          <t>Procurement</t>
        </is>
      </c>
      <c r="C2759" s="7" t="inlineStr">
        <is>
          <t>2876</t>
        </is>
      </c>
      <c r="D2759" s="7" t="inlineStr">
        <is>
          <t>Naval Mission Planning Systems</t>
        </is>
      </c>
      <c r="E2759" s="15" t="n"/>
      <c r="I2759" s="14" t="n">
        <v>4</v>
      </c>
      <c r="K2759" s="15" t="n"/>
      <c r="O2759" s="15" t="n"/>
      <c r="P2759" s="16" t="n">
        <v>34724</v>
      </c>
      <c r="Q2759" s="16" t="n">
        <v>42326</v>
      </c>
      <c r="S2759" s="16" t="n">
        <v>60058</v>
      </c>
      <c r="T2759" s="16" t="n">
        <v>0</v>
      </c>
      <c r="U2759" s="16" t="n">
        <v>60058</v>
      </c>
      <c r="Z2759" s="16" t="n">
        <v>54487</v>
      </c>
      <c r="AB2759" s="16" t="n">
        <v>54487</v>
      </c>
      <c r="AC2759" s="23">
        <f>IF(OR(E2759="",E2759="[PARENT]"),"ADD",IF(E2759="[ALT_VIEW]","ALT",""))</f>
        <v/>
      </c>
      <c r="AD2759" s="21">
        <f>IF(Y2759&lt;&gt;"",Y2759,IF(U2759&lt;&gt;"",U2759,S2759))</f>
        <v/>
      </c>
      <c r="AE2759" s="21">
        <f>IF(AB2759&lt;&gt;"",AB2759,Z2759)</f>
        <v/>
      </c>
      <c r="AF2759" s="13" t="inlineStr">
        <is>
          <t>OPN BA2 &gt; BSA 9: Aviation Electronic Equipment &gt; LI 2876 Naval Mission Planning Systems</t>
        </is>
      </c>
      <c r="AG2759" s="7" t="inlineStr">
        <is>
          <t>513</t>
        </is>
      </c>
      <c r="AH2759" s="7" t="inlineStr">
        <is>
          <t>2876</t>
        </is>
      </c>
      <c r="AI2759" s="7" t="inlineStr">
        <is>
          <t>Naval Mission Planning Systems</t>
        </is>
      </c>
    </row>
    <row r="2760" ht="10" customHeight="1">
      <c r="A2760" s="7" t="inlineStr">
        <is>
          <t>OPN_BA2</t>
        </is>
      </c>
      <c r="B2760" s="7" t="inlineStr">
        <is>
          <t>Procurement</t>
        </is>
      </c>
      <c r="C2760" s="7" t="inlineStr">
        <is>
          <t>2900</t>
        </is>
      </c>
      <c r="D2760" s="7" t="inlineStr">
        <is>
          <t>Maritime Integrated Broadcast System</t>
        </is>
      </c>
      <c r="E2760" s="13" t="inlineStr">
        <is>
          <t>[ALT_VIEW]</t>
        </is>
      </c>
      <c r="F2760" s="7" t="inlineStr">
        <is>
          <t>Funding realigned to LI 2361 AIS</t>
        </is>
      </c>
      <c r="I2760" s="14" t="n">
        <v>4</v>
      </c>
      <c r="K2760" s="15" t="n"/>
      <c r="O2760" s="15" t="n"/>
      <c r="P2760" s="16" t="n">
        <v>7905</v>
      </c>
      <c r="Q2760" s="16" t="n">
        <v>7809</v>
      </c>
      <c r="S2760" s="16" t="n">
        <v>0</v>
      </c>
      <c r="T2760" s="16" t="n">
        <v>0</v>
      </c>
      <c r="U2760" s="16" t="n">
        <v>0</v>
      </c>
      <c r="AC2760" s="23">
        <f>IF(OR(E2760="",E2760="[PARENT]"),"ADD",IF(E2760="[ALT_VIEW]","ALT",""))</f>
        <v/>
      </c>
      <c r="AD2760" s="21">
        <f>IF(Y2760&lt;&gt;"",Y2760,IF(U2760&lt;&gt;"",U2760,S2760))</f>
        <v/>
      </c>
      <c r="AE2760" s="21">
        <f>IF(AB2760&lt;&gt;"",AB2760,Z2760)</f>
        <v/>
      </c>
      <c r="AF2760" s="13" t="inlineStr">
        <is>
          <t>OPN BA2 &gt; BSA 10: Other Shore Electronic Equipment &gt; LI 2900 Maritime Integrated Broadcast System</t>
        </is>
      </c>
      <c r="AG2760" s="7" t="inlineStr">
        <is>
          <t>525</t>
        </is>
      </c>
      <c r="AH2760" s="7" t="inlineStr">
        <is>
          <t>2900</t>
        </is>
      </c>
      <c r="AI2760" s="7" t="inlineStr">
        <is>
          <t>Maritime Integrated Broadcast System (MIBS) - Procurement</t>
        </is>
      </c>
    </row>
    <row r="2761" ht="10" customHeight="1">
      <c r="A2761" s="7" t="inlineStr">
        <is>
          <t>OPN_BA2</t>
        </is>
      </c>
      <c r="B2761" s="7" t="inlineStr">
        <is>
          <t>Procurement</t>
        </is>
      </c>
      <c r="C2761" s="7" t="inlineStr">
        <is>
          <t>2906</t>
        </is>
      </c>
      <c r="D2761" s="7" t="inlineStr">
        <is>
          <t>Tactical/Mobile C4I Systems</t>
        </is>
      </c>
      <c r="E2761" s="15" t="n"/>
      <c r="I2761" s="14" t="n">
        <v>4</v>
      </c>
      <c r="K2761" s="15" t="n"/>
      <c r="O2761" s="15" t="n"/>
      <c r="P2761" s="16" t="n">
        <v>51415</v>
      </c>
      <c r="Q2761" s="16" t="n">
        <v>65113</v>
      </c>
      <c r="S2761" s="16" t="n">
        <v>64901</v>
      </c>
      <c r="T2761" s="16" t="n">
        <v>0</v>
      </c>
      <c r="U2761" s="16" t="n">
        <v>64901</v>
      </c>
      <c r="Z2761" s="16" t="n">
        <v>48262</v>
      </c>
      <c r="AB2761" s="16" t="n">
        <v>48262</v>
      </c>
      <c r="AC2761" s="23">
        <f>IF(OR(E2761="",E2761="[PARENT]"),"ADD",IF(E2761="[ALT_VIEW]","ALT",""))</f>
        <v/>
      </c>
      <c r="AD2761" s="21">
        <f>IF(Y2761&lt;&gt;"",Y2761,IF(U2761&lt;&gt;"",U2761,S2761))</f>
        <v/>
      </c>
      <c r="AE2761" s="21">
        <f>IF(AB2761&lt;&gt;"",AB2761,Z2761)</f>
        <v/>
      </c>
      <c r="AF2761" s="13" t="inlineStr">
        <is>
          <t>OPN BA2 &gt; BSA 10: Other Shore Electronic Equipment &gt; LI 2906 Tactical/Mobile C4I Systems</t>
        </is>
      </c>
      <c r="AG2761" s="7" t="inlineStr">
        <is>
          <t>529</t>
        </is>
      </c>
      <c r="AH2761" s="7" t="inlineStr">
        <is>
          <t>2906</t>
        </is>
      </c>
      <c r="AI2761" s="7" t="inlineStr">
        <is>
          <t>T4050 Tactical/Mobile</t>
        </is>
      </c>
    </row>
    <row r="2762" ht="10" customHeight="1">
      <c r="A2762" s="7" t="inlineStr">
        <is>
          <t>OPN_BA2</t>
        </is>
      </c>
      <c r="B2762" s="7" t="inlineStr">
        <is>
          <t>Procurement</t>
        </is>
      </c>
      <c r="C2762" s="7" t="inlineStr">
        <is>
          <t>2914</t>
        </is>
      </c>
      <c r="D2762" s="7" t="inlineStr">
        <is>
          <t>Intelligence Surveillance and Reconnaissance (ISR)</t>
        </is>
      </c>
      <c r="E2762" s="15" t="n"/>
      <c r="I2762" s="14" t="n">
        <v>4</v>
      </c>
      <c r="K2762" s="15" t="n"/>
      <c r="O2762" s="15" t="n"/>
      <c r="P2762" s="16" t="n">
        <v>16317</v>
      </c>
      <c r="Q2762" s="16" t="n">
        <v>16946</v>
      </c>
      <c r="S2762" s="16" t="n">
        <v>12112</v>
      </c>
      <c r="T2762" s="16" t="n">
        <v>0</v>
      </c>
      <c r="U2762" s="16" t="n">
        <v>12112</v>
      </c>
      <c r="Z2762" s="16" t="n">
        <v>11824</v>
      </c>
      <c r="AB2762" s="16" t="n">
        <v>11824</v>
      </c>
      <c r="AC2762" s="23">
        <f>IF(OR(E2762="",E2762="[PARENT]"),"ADD",IF(E2762="[ALT_VIEW]","ALT",""))</f>
        <v/>
      </c>
      <c r="AD2762" s="21">
        <f>IF(Y2762&lt;&gt;"",Y2762,IF(U2762&lt;&gt;"",U2762,S2762))</f>
        <v/>
      </c>
      <c r="AE2762" s="21">
        <f>IF(AB2762&lt;&gt;"",AB2762,Z2762)</f>
        <v/>
      </c>
      <c r="AF2762" s="13" t="inlineStr">
        <is>
          <t>OPN BA2 &gt; BSA 10: Other Shore Electronic Equipment &gt; LI 2914 ISR</t>
        </is>
      </c>
      <c r="AG2762" s="7" t="inlineStr">
        <is>
          <t>543</t>
        </is>
      </c>
      <c r="AH2762" s="7" t="inlineStr">
        <is>
          <t>2914</t>
        </is>
      </c>
    </row>
    <row r="2763" ht="10" customHeight="1">
      <c r="A2763" s="7" t="inlineStr">
        <is>
          <t>OPN_BA2</t>
        </is>
      </c>
      <c r="B2763" s="7" t="inlineStr">
        <is>
          <t>Procurement</t>
        </is>
      </c>
      <c r="C2763" s="7" t="inlineStr">
        <is>
          <t>2915</t>
        </is>
      </c>
      <c r="D2763" s="7" t="inlineStr">
        <is>
          <t>CANES</t>
        </is>
      </c>
      <c r="E2763" s="13" t="inlineStr">
        <is>
          <t>[PARENT]</t>
        </is>
      </c>
      <c r="I2763" s="14" t="n">
        <v>4</v>
      </c>
      <c r="K2763" s="15" t="n"/>
      <c r="O2763" s="15" t="n"/>
      <c r="P2763" s="16" t="n">
        <v>467278</v>
      </c>
      <c r="Q2763" s="16" t="n">
        <v>440207</v>
      </c>
      <c r="S2763" s="16" t="n">
        <v>534324</v>
      </c>
      <c r="T2763" s="16" t="n">
        <v>0</v>
      </c>
      <c r="U2763" s="16" t="n">
        <v>534324</v>
      </c>
      <c r="Z2763" s="16" t="n">
        <v>493046</v>
      </c>
      <c r="AB2763" s="16" t="n">
        <v>493046</v>
      </c>
      <c r="AC2763" s="23">
        <f>IF(OR(E2763="",E2763="[PARENT]"),"ADD",IF(E2763="[ALT_VIEW]","ALT",""))</f>
        <v/>
      </c>
      <c r="AD2763" s="21">
        <f>IF(Y2763&lt;&gt;"",Y2763,IF(U2763&lt;&gt;"",U2763,S2763))</f>
        <v/>
      </c>
      <c r="AE2763" s="21">
        <f>IF(AB2763&lt;&gt;"",AB2763,Z2763)</f>
        <v/>
      </c>
      <c r="AF2763" s="13" t="inlineStr">
        <is>
          <t>OPN BA2 &gt; BSA 10: Other Shore Electronic Equipment &gt; LI 2915 CANES</t>
        </is>
      </c>
      <c r="AG2763" s="7" t="inlineStr">
        <is>
          <t>557</t>
        </is>
      </c>
      <c r="AH2763" s="7" t="inlineStr">
        <is>
          <t>2915</t>
        </is>
      </c>
    </row>
    <row r="2764" ht="10" customHeight="1">
      <c r="A2764" s="7" t="inlineStr">
        <is>
          <t>OPN_BA2</t>
        </is>
      </c>
      <c r="B2764" s="7" t="inlineStr">
        <is>
          <t>Procurement</t>
        </is>
      </c>
      <c r="C2764" s="7" t="inlineStr">
        <is>
          <t>2920</t>
        </is>
      </c>
      <c r="D2764" s="7" t="inlineStr">
        <is>
          <t>RADIAC</t>
        </is>
      </c>
      <c r="E2764" s="15" t="n"/>
      <c r="I2764" s="14" t="n">
        <v>6</v>
      </c>
      <c r="K2764" s="15" t="n"/>
      <c r="O2764" s="15" t="n"/>
      <c r="P2764" s="16" t="n">
        <v>15903</v>
      </c>
      <c r="Q2764" s="16" t="n">
        <v>38688</v>
      </c>
      <c r="S2764" s="16" t="n">
        <v>31289</v>
      </c>
      <c r="T2764" s="16" t="n">
        <v>0</v>
      </c>
      <c r="U2764" s="16" t="n">
        <v>31289</v>
      </c>
      <c r="Z2764" s="16" t="n">
        <v>38000</v>
      </c>
      <c r="AB2764" s="16" t="n">
        <v>38000</v>
      </c>
      <c r="AC2764" s="23">
        <f>IF(OR(E2764="",E2764="[PARENT]"),"ADD",IF(E2764="[ALT_VIEW]","ALT",""))</f>
        <v/>
      </c>
      <c r="AD2764" s="21">
        <f>IF(Y2764&lt;&gt;"",Y2764,IF(U2764&lt;&gt;"",U2764,S2764))</f>
        <v/>
      </c>
      <c r="AE2764" s="21">
        <f>IF(AB2764&lt;&gt;"",AB2764,Z2764)</f>
        <v/>
      </c>
      <c r="AF2764" s="13" t="inlineStr">
        <is>
          <t>OPN BA2 &gt; BSA 10: Other Shore Electronic Equipment &gt; LI 2920 RADIAC</t>
        </is>
      </c>
      <c r="AG2764" s="7" t="inlineStr">
        <is>
          <t>571</t>
        </is>
      </c>
      <c r="AH2764" s="7" t="inlineStr">
        <is>
          <t>2920</t>
        </is>
      </c>
    </row>
    <row r="2765" ht="10" customHeight="1">
      <c r="A2765" s="7" t="inlineStr">
        <is>
          <t>OPN_BA2</t>
        </is>
      </c>
      <c r="B2765" s="7" t="inlineStr">
        <is>
          <t>Procurement</t>
        </is>
      </c>
      <c r="C2765" s="7" t="inlineStr">
        <is>
          <t>2925</t>
        </is>
      </c>
      <c r="D2765" s="7" t="inlineStr">
        <is>
          <t>CANES Intell</t>
        </is>
      </c>
      <c r="E2765" s="15" t="n"/>
      <c r="I2765" s="14" t="n">
        <v>4</v>
      </c>
      <c r="K2765" s="15" t="n"/>
      <c r="O2765" s="15" t="n"/>
      <c r="P2765" s="16" t="n">
        <v>48175</v>
      </c>
      <c r="Q2765" s="16" t="n">
        <v>50654</v>
      </c>
      <c r="S2765" s="16" t="n">
        <v>46281</v>
      </c>
      <c r="T2765" s="16" t="n">
        <v>0</v>
      </c>
      <c r="U2765" s="16" t="n">
        <v>46281</v>
      </c>
      <c r="Z2765" s="16" t="n">
        <v>43028</v>
      </c>
      <c r="AB2765" s="16" t="n">
        <v>43028</v>
      </c>
      <c r="AC2765" s="23">
        <f>IF(OR(E2765="",E2765="[PARENT]"),"ADD",IF(E2765="[ALT_VIEW]","ALT",""))</f>
        <v/>
      </c>
      <c r="AD2765" s="21">
        <f>IF(Y2765&lt;&gt;"",Y2765,IF(U2765&lt;&gt;"",U2765,S2765))</f>
        <v/>
      </c>
      <c r="AE2765" s="21">
        <f>IF(AB2765&lt;&gt;"",AB2765,Z2765)</f>
        <v/>
      </c>
      <c r="AF2765" s="13" t="inlineStr">
        <is>
          <t>OPN BA2 &gt; BSA 10: Other Shore Electronic Equipment &gt; LI 2925 CANES Intell</t>
        </is>
      </c>
      <c r="AG2765" s="7" t="inlineStr">
        <is>
          <t>583</t>
        </is>
      </c>
      <c r="AH2765" s="7" t="inlineStr">
        <is>
          <t>2925</t>
        </is>
      </c>
      <c r="AI2765" s="7" t="inlineStr">
        <is>
          <t>CANES Intell</t>
        </is>
      </c>
    </row>
    <row r="2766" ht="10" customHeight="1">
      <c r="A2766" s="7" t="inlineStr">
        <is>
          <t>OPN_BA2</t>
        </is>
      </c>
      <c r="B2766" s="7" t="inlineStr">
        <is>
          <t>Procurement</t>
        </is>
      </c>
      <c r="C2766" s="7" t="inlineStr">
        <is>
          <t>2940</t>
        </is>
      </c>
      <c r="D2766" s="7" t="inlineStr">
        <is>
          <t>Gen Purp Elec Test Equip (GPETE)</t>
        </is>
      </c>
      <c r="E2766" s="15" t="n"/>
      <c r="I2766" s="14" t="n">
        <v>6</v>
      </c>
      <c r="K2766" s="15" t="n"/>
      <c r="O2766" s="15" t="n"/>
      <c r="P2766" s="16" t="n">
        <v>25744</v>
      </c>
      <c r="Q2766" s="16" t="n">
        <v>32005</v>
      </c>
      <c r="S2766" s="16" t="n">
        <v>33395</v>
      </c>
      <c r="T2766" s="16" t="n">
        <v>0</v>
      </c>
      <c r="U2766" s="16" t="n">
        <v>33395</v>
      </c>
      <c r="Z2766" s="16" t="n">
        <v>31462</v>
      </c>
      <c r="AB2766" s="16" t="n">
        <v>31462</v>
      </c>
      <c r="AC2766" s="23">
        <f>IF(OR(E2766="",E2766="[PARENT]"),"ADD",IF(E2766="[ALT_VIEW]","ALT",""))</f>
        <v/>
      </c>
      <c r="AD2766" s="21">
        <f>IF(Y2766&lt;&gt;"",Y2766,IF(U2766&lt;&gt;"",U2766,S2766))</f>
        <v/>
      </c>
      <c r="AE2766" s="21">
        <f>IF(AB2766&lt;&gt;"",AB2766,Z2766)</f>
        <v/>
      </c>
      <c r="AF2766" s="13" t="inlineStr">
        <is>
          <t>OPN BA2 &gt; BSA 10: Other Shore Electronic Equipment &gt; LI 2940 Gen Purp Elec Test Equip (GPETE)</t>
        </is>
      </c>
      <c r="AG2766" s="7" t="inlineStr">
        <is>
          <t>593</t>
        </is>
      </c>
      <c r="AH2766" s="7" t="inlineStr">
        <is>
          <t>2940</t>
        </is>
      </c>
    </row>
    <row r="2767" ht="10" customHeight="1">
      <c r="A2767" s="7" t="inlineStr">
        <is>
          <t>OPN_BA2</t>
        </is>
      </c>
      <c r="B2767" s="7" t="inlineStr">
        <is>
          <t>Procurement</t>
        </is>
      </c>
      <c r="C2767" s="7" t="inlineStr">
        <is>
          <t>2950</t>
        </is>
      </c>
      <c r="D2767" s="7" t="inlineStr">
        <is>
          <t>Network Tactical Common Data Link (NTCDL) / MASF</t>
        </is>
      </c>
      <c r="E2767" s="15" t="n"/>
      <c r="I2767" s="14" t="n">
        <v>4</v>
      </c>
      <c r="K2767" s="15" t="n"/>
      <c r="O2767" s="15" t="n"/>
      <c r="P2767" s="16" t="n">
        <v>19757</v>
      </c>
      <c r="Q2767" s="16" t="n">
        <v>24361</v>
      </c>
      <c r="S2767" s="16" t="n">
        <v>13205</v>
      </c>
      <c r="T2767" s="16" t="n">
        <v>0</v>
      </c>
      <c r="U2767" s="16" t="n">
        <v>13205</v>
      </c>
      <c r="Z2767" s="16" t="n">
        <v>5822</v>
      </c>
      <c r="AB2767" s="16" t="n">
        <v>5822</v>
      </c>
      <c r="AC2767" s="23">
        <f>IF(OR(E2767="",E2767="[PARENT]"),"ADD",IF(E2767="[ALT_VIEW]","ALT",""))</f>
        <v/>
      </c>
      <c r="AD2767" s="21">
        <f>IF(Y2767&lt;&gt;"",Y2767,IF(U2767&lt;&gt;"",U2767,S2767))</f>
        <v/>
      </c>
      <c r="AE2767" s="21">
        <f>IF(AB2767&lt;&gt;"",AB2767,Z2767)</f>
        <v/>
      </c>
      <c r="AF2767" s="13" t="inlineStr">
        <is>
          <t>OPN BA2 &gt; BSA 10: Other Shore Electronic Equipment &gt; LI 2950 Network Tactical CDL (MASF)</t>
        </is>
      </c>
      <c r="AG2767" s="7" t="inlineStr">
        <is>
          <t>603</t>
        </is>
      </c>
      <c r="AH2767" s="7" t="inlineStr">
        <is>
          <t>2950</t>
        </is>
      </c>
      <c r="AI2767" s="7" t="inlineStr">
        <is>
          <t>Network Tactical Common Data Link (CDL)</t>
        </is>
      </c>
    </row>
    <row r="2768" ht="10" customHeight="1">
      <c r="A2768" s="7" t="inlineStr">
        <is>
          <t>OPN_BA2</t>
        </is>
      </c>
      <c r="B2768" s="7" t="inlineStr">
        <is>
          <t>Procurement</t>
        </is>
      </c>
      <c r="C2768" s="7" t="inlineStr">
        <is>
          <t>2960</t>
        </is>
      </c>
      <c r="D2768" s="7" t="inlineStr">
        <is>
          <t>Integ Combat System Test Facility</t>
        </is>
      </c>
      <c r="E2768" s="15" t="n"/>
      <c r="I2768" s="14" t="n">
        <v>6</v>
      </c>
      <c r="K2768" s="15" t="n"/>
      <c r="O2768" s="15" t="n"/>
      <c r="P2768" s="16" t="n">
        <v>6641</v>
      </c>
      <c r="Q2768" s="16" t="n">
        <v>6709</v>
      </c>
      <c r="S2768" s="16" t="n">
        <v>11493</v>
      </c>
      <c r="T2768" s="16" t="n">
        <v>0</v>
      </c>
      <c r="U2768" s="16" t="n">
        <v>11493</v>
      </c>
      <c r="Z2768" s="16" t="n">
        <v>6454</v>
      </c>
      <c r="AB2768" s="16" t="n">
        <v>6454</v>
      </c>
      <c r="AC2768" s="23">
        <f>IF(OR(E2768="",E2768="[PARENT]"),"ADD",IF(E2768="[ALT_VIEW]","ALT",""))</f>
        <v/>
      </c>
      <c r="AD2768" s="21">
        <f>IF(Y2768&lt;&gt;"",Y2768,IF(U2768&lt;&gt;"",U2768,S2768))</f>
        <v/>
      </c>
      <c r="AE2768" s="21">
        <f>IF(AB2768&lt;&gt;"",AB2768,Z2768)</f>
        <v/>
      </c>
      <c r="AF2768" s="13" t="inlineStr">
        <is>
          <t>OPN BA2 &gt; BSA 10: Other Shore Electronic Equipment &gt; LI 2960 Integ Combat System Test Facility</t>
        </is>
      </c>
      <c r="AG2768" s="7" t="inlineStr">
        <is>
          <t>611</t>
        </is>
      </c>
      <c r="AH2768" s="7" t="inlineStr">
        <is>
          <t>2960</t>
        </is>
      </c>
    </row>
    <row r="2769" ht="10" customHeight="1">
      <c r="A2769" s="7" t="inlineStr">
        <is>
          <t>OPN_BA2</t>
        </is>
      </c>
      <c r="B2769" s="7" t="inlineStr">
        <is>
          <t>Procurement</t>
        </is>
      </c>
      <c r="C2769" s="7" t="inlineStr">
        <is>
          <t>2970</t>
        </is>
      </c>
      <c r="D2769" s="7" t="inlineStr">
        <is>
          <t>EMI Control Instrumentation</t>
        </is>
      </c>
      <c r="E2769" s="15" t="n"/>
      <c r="I2769" s="14" t="n">
        <v>6</v>
      </c>
      <c r="K2769" s="15" t="n"/>
      <c r="O2769" s="15" t="n"/>
      <c r="P2769" s="16" t="n">
        <v>4279</v>
      </c>
      <c r="Q2769" s="16" t="n">
        <v>4081</v>
      </c>
      <c r="S2769" s="16" t="n">
        <v>3687</v>
      </c>
      <c r="T2769" s="16" t="n">
        <v>0</v>
      </c>
      <c r="U2769" s="16" t="n">
        <v>3687</v>
      </c>
      <c r="Z2769" s="16" t="n">
        <v>3435</v>
      </c>
      <c r="AB2769" s="16" t="n">
        <v>3435</v>
      </c>
      <c r="AC2769" s="23">
        <f>IF(OR(E2769="",E2769="[PARENT]"),"ADD",IF(E2769="[ALT_VIEW]","ALT",""))</f>
        <v/>
      </c>
      <c r="AD2769" s="21">
        <f>IF(Y2769&lt;&gt;"",Y2769,IF(U2769&lt;&gt;"",U2769,S2769))</f>
        <v/>
      </c>
      <c r="AE2769" s="21">
        <f>IF(AB2769&lt;&gt;"",AB2769,Z2769)</f>
        <v/>
      </c>
      <c r="AF2769" s="13" t="inlineStr">
        <is>
          <t>OPN BA2 &gt; BSA 10: Other Shore Electronic Equipment &gt; LI 2970 EMI Control Instrumentation</t>
        </is>
      </c>
      <c r="AG2769" s="7" t="inlineStr">
        <is>
          <t>615</t>
        </is>
      </c>
      <c r="AH2769" s="7" t="inlineStr">
        <is>
          <t>2970</t>
        </is>
      </c>
      <c r="AI2769" s="7" t="inlineStr">
        <is>
          <t>MA204 EMI CONTROL INSTRUMENTATION</t>
        </is>
      </c>
    </row>
    <row r="2770" ht="10" customHeight="1">
      <c r="A2770" s="7" t="inlineStr">
        <is>
          <t>OPN_BA2</t>
        </is>
      </c>
      <c r="B2770" s="7" t="inlineStr">
        <is>
          <t>Procurement</t>
        </is>
      </c>
      <c r="C2770" s="7" t="inlineStr">
        <is>
          <t>2981</t>
        </is>
      </c>
      <c r="D2770" s="7" t="inlineStr">
        <is>
          <t>In-Service Radars and Sensors</t>
        </is>
      </c>
      <c r="E2770" s="13" t="inlineStr">
        <is>
          <t>[PARENT]</t>
        </is>
      </c>
      <c r="I2770" s="14" t="n">
        <v>4</v>
      </c>
      <c r="K2770" s="15" t="n"/>
      <c r="O2770" s="15" t="n"/>
      <c r="P2770" s="16" t="n">
        <v>279545</v>
      </c>
      <c r="Q2770" s="16" t="n">
        <v>222607</v>
      </c>
      <c r="S2770" s="16" t="n">
        <v>249656</v>
      </c>
      <c r="T2770" s="16" t="n">
        <v>0</v>
      </c>
      <c r="U2770" s="16" t="n">
        <v>249656</v>
      </c>
      <c r="Z2770" s="16" t="n">
        <v>338946</v>
      </c>
      <c r="AB2770" s="16" t="n">
        <v>338946</v>
      </c>
      <c r="AC2770" s="23">
        <f>IF(OR(E2770="",E2770="[PARENT]"),"ADD",IF(E2770="[ALT_VIEW]","ALT",""))</f>
        <v/>
      </c>
      <c r="AD2770" s="21">
        <f>IF(Y2770&lt;&gt;"",Y2770,IF(U2770&lt;&gt;"",U2770,S2770))</f>
        <v/>
      </c>
      <c r="AE2770" s="21">
        <f>IF(AB2770&lt;&gt;"",AB2770,Z2770)</f>
        <v/>
      </c>
      <c r="AF2770" s="13" t="inlineStr">
        <is>
          <t>OPN BA2 &gt; BSA 10: Other Shore Electronic Equipment &gt; LI 2981 In-Service Radars and Sensors</t>
        </is>
      </c>
      <c r="AG2770" s="7" t="inlineStr">
        <is>
          <t>619</t>
        </is>
      </c>
      <c r="AH2770" s="7" t="inlineStr">
        <is>
          <t>2981</t>
        </is>
      </c>
    </row>
    <row r="2771" ht="10" customHeight="1">
      <c r="A2771" s="7" t="inlineStr">
        <is>
          <t>OPN_BA2</t>
        </is>
      </c>
      <c r="B2771" s="7" t="inlineStr">
        <is>
          <t>Procurement</t>
        </is>
      </c>
      <c r="D2771" s="7" t="inlineStr">
        <is>
          <t>AN/SPS-73(V) Navigation Radar / NGSSR Upgrade</t>
        </is>
      </c>
      <c r="E2771" s="13" t="inlineStr">
        <is>
          <t>[SUB]</t>
        </is>
      </c>
      <c r="F2771" s="7" t="inlineStr">
        <is>
          <t>LI 2981 In-Service Radars and Sensors</t>
        </is>
      </c>
      <c r="I2771" s="14" t="n">
        <v>4</v>
      </c>
      <c r="K2771" s="15" t="n"/>
      <c r="O2771" s="15" t="n"/>
      <c r="P2771" s="16" t="n">
        <v>110652</v>
      </c>
      <c r="Q2771" s="16" t="n">
        <v>61816</v>
      </c>
      <c r="S2771" s="16" t="n">
        <v>43181</v>
      </c>
      <c r="AC2771" s="23">
        <f>IF(OR(E2771="",E2771="[PARENT]"),"ADD",IF(E2771="[ALT_VIEW]","ALT",""))</f>
        <v/>
      </c>
      <c r="AD2771" s="21">
        <f>IF(Y2771&lt;&gt;"",Y2771,IF(U2771&lt;&gt;"",U2771,S2771))</f>
        <v/>
      </c>
      <c r="AE2771" s="21">
        <f>IF(AB2771&lt;&gt;"",AB2771,Z2771)</f>
        <v/>
      </c>
      <c r="AF2771" s="13" t="inlineStr">
        <is>
          <t>OPN BA2 &gt; BSA 10 &gt; LI 2981 &gt; AN/SPS-73</t>
        </is>
      </c>
      <c r="AG2771" s="7" t="inlineStr">
        <is>
          <t>626</t>
        </is>
      </c>
      <c r="AH2771" s="7" t="inlineStr">
        <is>
          <t>2981</t>
        </is>
      </c>
    </row>
    <row r="2772" ht="10" customHeight="1">
      <c r="A2772" s="7" t="inlineStr">
        <is>
          <t>OPN_BA2</t>
        </is>
      </c>
      <c r="B2772" s="7" t="inlineStr">
        <is>
          <t>Procurement</t>
        </is>
      </c>
      <c r="D2772" s="7" t="inlineStr">
        <is>
          <t>AN/SPS-48G 3-D Air Surveillance Radar</t>
        </is>
      </c>
      <c r="E2772" s="13" t="inlineStr">
        <is>
          <t>[SUB]</t>
        </is>
      </c>
      <c r="F2772" s="7" t="inlineStr">
        <is>
          <t>LI 2981 In-Service Radars and Sensors</t>
        </is>
      </c>
      <c r="I2772" s="14" t="n">
        <v>4</v>
      </c>
      <c r="K2772" s="15" t="n"/>
      <c r="O2772" s="15" t="n"/>
      <c r="P2772" s="16" t="n">
        <v>1016</v>
      </c>
      <c r="Q2772" s="16" t="n">
        <v>3135</v>
      </c>
      <c r="S2772" s="16" t="n">
        <v>947</v>
      </c>
      <c r="AC2772" s="23">
        <f>IF(OR(E2772="",E2772="[PARENT]"),"ADD",IF(E2772="[ALT_VIEW]","ALT",""))</f>
        <v/>
      </c>
      <c r="AD2772" s="21">
        <f>IF(Y2772&lt;&gt;"",Y2772,IF(U2772&lt;&gt;"",U2772,S2772))</f>
        <v/>
      </c>
      <c r="AE2772" s="21">
        <f>IF(AB2772&lt;&gt;"",AB2772,Z2772)</f>
        <v/>
      </c>
      <c r="AF2772" s="13" t="inlineStr">
        <is>
          <t>OPN BA2 &gt; BSA 10 &gt; LI 2981 &gt; AN/SPS-48G</t>
        </is>
      </c>
      <c r="AG2772" s="7" t="inlineStr">
        <is>
          <t>630</t>
        </is>
      </c>
      <c r="AH2772" s="7" t="inlineStr">
        <is>
          <t>2981</t>
        </is>
      </c>
    </row>
    <row r="2773" ht="10" customHeight="1">
      <c r="A2773" s="7" t="inlineStr">
        <is>
          <t>OPN_BA2</t>
        </is>
      </c>
      <c r="B2773" s="7" t="inlineStr">
        <is>
          <t>Procurement</t>
        </is>
      </c>
      <c r="D2773" s="7" t="inlineStr">
        <is>
          <t>AN/SPY-1 RM&amp;A Improvements</t>
        </is>
      </c>
      <c r="E2773" s="13" t="inlineStr">
        <is>
          <t>[SUB]</t>
        </is>
      </c>
      <c r="F2773" s="7" t="inlineStr">
        <is>
          <t>LI 2981 In-Service Radars and Sensors</t>
        </is>
      </c>
      <c r="I2773" s="14" t="n">
        <v>4</v>
      </c>
      <c r="K2773" s="13" t="inlineStr">
        <is>
          <t>USN</t>
        </is>
      </c>
      <c r="L2773" s="7" t="inlineStr">
        <is>
          <t>Combatant Ships</t>
        </is>
      </c>
      <c r="M2773" s="7" t="inlineStr">
        <is>
          <t>Surface Combatants</t>
        </is>
      </c>
      <c r="O2773" s="15" t="n"/>
      <c r="P2773" s="16" t="n">
        <v>43886</v>
      </c>
      <c r="Q2773" s="16" t="n">
        <v>33315</v>
      </c>
      <c r="S2773" s="16" t="n">
        <v>33517</v>
      </c>
      <c r="AC2773" s="23">
        <f>IF(OR(E2773="",E2773="[PARENT]"),"ADD",IF(E2773="[ALT_VIEW]","ALT",""))</f>
        <v/>
      </c>
      <c r="AD2773" s="21">
        <f>IF(Y2773&lt;&gt;"",Y2773,IF(U2773&lt;&gt;"",U2773,S2773))</f>
        <v/>
      </c>
      <c r="AE2773" s="21">
        <f>IF(AB2773&lt;&gt;"",AB2773,Z2773)</f>
        <v/>
      </c>
      <c r="AF2773" s="13" t="inlineStr">
        <is>
          <t>OPN BA2 &gt; BSA 10 &gt; LI 2981 &gt; AN/SPY-1 RM&amp;A</t>
        </is>
      </c>
      <c r="AG2773" s="7" t="inlineStr">
        <is>
          <t>633</t>
        </is>
      </c>
      <c r="AH2773" s="7" t="inlineStr">
        <is>
          <t>2981</t>
        </is>
      </c>
    </row>
    <row r="2774" ht="10" customHeight="1">
      <c r="A2774" s="7" t="inlineStr">
        <is>
          <t>OPN_BA2</t>
        </is>
      </c>
      <c r="B2774" s="7" t="inlineStr">
        <is>
          <t>Procurement</t>
        </is>
      </c>
      <c r="D2774" s="7" t="inlineStr">
        <is>
          <t>SPY-6 Family of Radars (FoR) O&amp;S</t>
        </is>
      </c>
      <c r="E2774" s="13" t="inlineStr">
        <is>
          <t>[SUB]</t>
        </is>
      </c>
      <c r="F2774" s="7" t="inlineStr">
        <is>
          <t>LI 2981 In-Service Radars and Sensors</t>
        </is>
      </c>
      <c r="I2774" s="14" t="n">
        <v>4</v>
      </c>
      <c r="K2774" s="13" t="inlineStr">
        <is>
          <t>USN</t>
        </is>
      </c>
      <c r="L2774" s="7" t="inlineStr">
        <is>
          <t>Combatant Ships</t>
        </is>
      </c>
      <c r="M2774" s="7" t="inlineStr">
        <is>
          <t>Surface Combatants</t>
        </is>
      </c>
      <c r="N2774" s="7" t="inlineStr">
        <is>
          <t>DDG</t>
        </is>
      </c>
      <c r="O2774" s="15" t="n"/>
      <c r="P2774" s="16" t="n">
        <v>35312</v>
      </c>
      <c r="Q2774" s="16" t="n">
        <v>39629</v>
      </c>
      <c r="S2774" s="16" t="n">
        <v>82765</v>
      </c>
      <c r="AC2774" s="23">
        <f>IF(OR(E2774="",E2774="[PARENT]"),"ADD",IF(E2774="[ALT_VIEW]","ALT",""))</f>
        <v/>
      </c>
      <c r="AD2774" s="21">
        <f>IF(Y2774&lt;&gt;"",Y2774,IF(U2774&lt;&gt;"",U2774,S2774))</f>
        <v/>
      </c>
      <c r="AE2774" s="21">
        <f>IF(AB2774&lt;&gt;"",AB2774,Z2774)</f>
        <v/>
      </c>
      <c r="AF2774" s="13" t="inlineStr">
        <is>
          <t>OPN BA2 &gt; BSA 10 &gt; LI 2981 &gt; SPY-6 FoR</t>
        </is>
      </c>
      <c r="AG2774" s="7" t="inlineStr">
        <is>
          <t>637</t>
        </is>
      </c>
      <c r="AH2774" s="7" t="inlineStr">
        <is>
          <t>2981</t>
        </is>
      </c>
      <c r="AI2774" s="7" t="inlineStr">
        <is>
          <t>DC024 - SPY-6 Family of Radars (FoR)</t>
        </is>
      </c>
    </row>
    <row r="2775" ht="10" customHeight="1">
      <c r="A2775" s="7" t="inlineStr">
        <is>
          <t>OPN_BA2</t>
        </is>
      </c>
      <c r="B2775" s="7" t="inlineStr">
        <is>
          <t>Procurement</t>
        </is>
      </c>
      <c r="D2775" s="7" t="inlineStr">
        <is>
          <t>Shipboard Passive Electro-Optical/Infrared (SPEIR) Block I</t>
        </is>
      </c>
      <c r="E2775" s="13" t="inlineStr">
        <is>
          <t>[SUB]</t>
        </is>
      </c>
      <c r="F2775" s="7" t="inlineStr">
        <is>
          <t>LI 2981 In-Service Radars and Sensors</t>
        </is>
      </c>
      <c r="I2775" s="14" t="n">
        <v>4</v>
      </c>
      <c r="K2775" s="13" t="inlineStr">
        <is>
          <t>USN</t>
        </is>
      </c>
      <c r="L2775" s="7" t="inlineStr">
        <is>
          <t>Combatant Ships</t>
        </is>
      </c>
      <c r="M2775" s="7" t="inlineStr">
        <is>
          <t>Surface Combatants</t>
        </is>
      </c>
      <c r="O2775" s="15" t="n"/>
      <c r="P2775" s="16" t="n">
        <v>16970</v>
      </c>
      <c r="Q2775" s="16" t="n">
        <v>27420</v>
      </c>
      <c r="S2775" s="16" t="n">
        <v>26631</v>
      </c>
      <c r="AC2775" s="23">
        <f>IF(OR(E2775="",E2775="[PARENT]"),"ADD",IF(E2775="[ALT_VIEW]","ALT",""))</f>
        <v/>
      </c>
      <c r="AD2775" s="21">
        <f>IF(Y2775&lt;&gt;"",Y2775,IF(U2775&lt;&gt;"",U2775,S2775))</f>
        <v/>
      </c>
      <c r="AE2775" s="21">
        <f>IF(AB2775&lt;&gt;"",AB2775,Z2775)</f>
        <v/>
      </c>
      <c r="AF2775" s="13" t="inlineStr">
        <is>
          <t>OPN BA2 &gt; BSA 10 &gt; LI 2981 &gt; SPEIR Block I</t>
        </is>
      </c>
      <c r="AG2775" s="7" t="inlineStr">
        <is>
          <t>640</t>
        </is>
      </c>
      <c r="AH2775" s="7" t="inlineStr">
        <is>
          <t>2981</t>
        </is>
      </c>
    </row>
    <row r="2776" ht="10" customHeight="1">
      <c r="A2776" s="7" t="inlineStr">
        <is>
          <t>OPN_BA2</t>
        </is>
      </c>
      <c r="B2776" s="7" t="inlineStr">
        <is>
          <t>Procurement</t>
        </is>
      </c>
      <c r="C2776" s="7" t="inlineStr">
        <is>
          <t>2437</t>
        </is>
      </c>
      <c r="D2776" s="7" t="inlineStr">
        <is>
          <t>Battle Force Tactical Network</t>
        </is>
      </c>
      <c r="E2776" s="15" t="n"/>
      <c r="I2776" s="14" t="n">
        <v>4</v>
      </c>
      <c r="K2776" s="15" t="n"/>
      <c r="O2776" s="15" t="n"/>
      <c r="P2776" s="16" t="n">
        <v>68327</v>
      </c>
      <c r="Q2776" s="16" t="n">
        <v>104119</v>
      </c>
      <c r="S2776" s="16" t="n">
        <v>106583</v>
      </c>
      <c r="T2776" s="16" t="n">
        <v>0</v>
      </c>
      <c r="U2776" s="16" t="n">
        <v>106583</v>
      </c>
      <c r="Z2776" s="16" t="n">
        <v>125661</v>
      </c>
      <c r="AB2776" s="16" t="n">
        <v>125661</v>
      </c>
      <c r="AC2776" s="23">
        <f>IF(OR(E2776="",E2776="[PARENT]"),"ADD",IF(E2776="[ALT_VIEW]","ALT",""))</f>
        <v/>
      </c>
      <c r="AD2776" s="21">
        <f>IF(Y2776&lt;&gt;"",Y2776,IF(U2776&lt;&gt;"",U2776,S2776))</f>
        <v/>
      </c>
      <c r="AE2776" s="21">
        <f>IF(AB2776&lt;&gt;"",AB2776,Z2776)</f>
        <v/>
      </c>
      <c r="AF2776" s="13" t="inlineStr">
        <is>
          <t>OPN BA2 &gt; BSA 11: Shipboard Communications &gt; LI 2437 Battle Force Tactical Network</t>
        </is>
      </c>
      <c r="AG2776" s="7" t="inlineStr">
        <is>
          <t>647</t>
        </is>
      </c>
      <c r="AH2776" s="7" t="inlineStr">
        <is>
          <t>2437</t>
        </is>
      </c>
      <c r="AI2776" s="7" t="inlineStr">
        <is>
          <t>BATTLE FORCE TACTICAL NETWORK</t>
        </is>
      </c>
    </row>
    <row r="2777" ht="10" customHeight="1">
      <c r="A2777" s="7" t="inlineStr">
        <is>
          <t>OPN_BA2</t>
        </is>
      </c>
      <c r="B2777" s="7" t="inlineStr">
        <is>
          <t>Procurement</t>
        </is>
      </c>
      <c r="C2777" s="7" t="inlineStr">
        <is>
          <t>3010</t>
        </is>
      </c>
      <c r="D2777" s="7" t="inlineStr">
        <is>
          <t>Shipboard Tactical Comms</t>
        </is>
      </c>
      <c r="E2777" s="15" t="n"/>
      <c r="I2777" s="14" t="n">
        <v>4</v>
      </c>
      <c r="K2777" s="15" t="n"/>
      <c r="O2777" s="15" t="n"/>
      <c r="P2777" s="16" t="n">
        <v>28574</v>
      </c>
      <c r="Q2777" s="16" t="n">
        <v>24602</v>
      </c>
      <c r="S2777" s="16" t="n">
        <v>20900</v>
      </c>
      <c r="T2777" s="16" t="n">
        <v>0</v>
      </c>
      <c r="U2777" s="16" t="n">
        <v>20900</v>
      </c>
      <c r="Z2777" s="16" t="n">
        <v>50350</v>
      </c>
      <c r="AB2777" s="16" t="n">
        <v>50350</v>
      </c>
      <c r="AC2777" s="23">
        <f>IF(OR(E2777="",E2777="[PARENT]"),"ADD",IF(E2777="[ALT_VIEW]","ALT",""))</f>
        <v/>
      </c>
      <c r="AD2777" s="21">
        <f>IF(Y2777&lt;&gt;"",Y2777,IF(U2777&lt;&gt;"",U2777,S2777))</f>
        <v/>
      </c>
      <c r="AE2777" s="21">
        <f>IF(AB2777&lt;&gt;"",AB2777,Z2777)</f>
        <v/>
      </c>
      <c r="AF2777" s="13" t="inlineStr">
        <is>
          <t>OPN BA2 &gt; BSA 11: Shipboard Communications &gt; LI 3010 Shipboard Tactical Comms</t>
        </is>
      </c>
      <c r="AG2777" s="7" t="inlineStr">
        <is>
          <t>651</t>
        </is>
      </c>
      <c r="AH2777" s="7" t="inlineStr">
        <is>
          <t>3010</t>
        </is>
      </c>
    </row>
    <row r="2778" ht="10" customHeight="1">
      <c r="A2778" s="7" t="inlineStr">
        <is>
          <t>OPN_BA2</t>
        </is>
      </c>
      <c r="B2778" s="7" t="inlineStr">
        <is>
          <t>Procurement</t>
        </is>
      </c>
      <c r="C2778" s="7" t="inlineStr">
        <is>
          <t>3050</t>
        </is>
      </c>
      <c r="D2778" s="7" t="inlineStr">
        <is>
          <t>Ship Communications Automation</t>
        </is>
      </c>
      <c r="E2778" s="13" t="inlineStr">
        <is>
          <t>[PARENT]</t>
        </is>
      </c>
      <c r="I2778" s="14" t="n">
        <v>4</v>
      </c>
      <c r="K2778" s="15" t="n"/>
      <c r="O2778" s="15" t="n"/>
      <c r="P2778" s="16" t="n">
        <v>103352</v>
      </c>
      <c r="Q2778" s="16" t="n">
        <v>103546</v>
      </c>
      <c r="S2778" s="16" t="n">
        <v>162075</v>
      </c>
      <c r="T2778" s="16" t="n">
        <v>0</v>
      </c>
      <c r="U2778" s="16" t="n">
        <v>162075</v>
      </c>
      <c r="Z2778" s="16" t="n">
        <v>156605</v>
      </c>
      <c r="AB2778" s="16" t="n">
        <v>156605</v>
      </c>
      <c r="AC2778" s="23">
        <f>IF(OR(E2778="",E2778="[PARENT]"),"ADD",IF(E2778="[ALT_VIEW]","ALT",""))</f>
        <v/>
      </c>
      <c r="AD2778" s="21">
        <f>IF(Y2778&lt;&gt;"",Y2778,IF(U2778&lt;&gt;"",U2778,S2778))</f>
        <v/>
      </c>
      <c r="AE2778" s="21">
        <f>IF(AB2778&lt;&gt;"",AB2778,Z2778)</f>
        <v/>
      </c>
      <c r="AF2778" s="13" t="inlineStr">
        <is>
          <t>OPN BA2 &gt; BSA 11: Shipboard Communications &gt; LI 3050 Ship Communications Automation</t>
        </is>
      </c>
      <c r="AG2778" s="7" t="inlineStr">
        <is>
          <t>661</t>
        </is>
      </c>
      <c r="AH2778" s="7" t="inlineStr">
        <is>
          <t>3050</t>
        </is>
      </c>
      <c r="AI2778" s="7" t="inlineStr">
        <is>
          <t>Ship Communications Automation</t>
        </is>
      </c>
    </row>
    <row r="2779" ht="10" customHeight="1">
      <c r="A2779" s="7" t="inlineStr">
        <is>
          <t>OPN_BA2</t>
        </is>
      </c>
      <c r="B2779" s="7" t="inlineStr">
        <is>
          <t>Procurement</t>
        </is>
      </c>
      <c r="D2779" s="7" t="inlineStr">
        <is>
          <t>Automated Digital Network System (ADNS)</t>
        </is>
      </c>
      <c r="E2779" s="13" t="inlineStr">
        <is>
          <t>[SUB]</t>
        </is>
      </c>
      <c r="F2779" s="7" t="inlineStr">
        <is>
          <t>LI 3050 Ship Communications Automation</t>
        </is>
      </c>
      <c r="I2779" s="14" t="n">
        <v>4</v>
      </c>
      <c r="K2779" s="15" t="n"/>
      <c r="O2779" s="15" t="n"/>
      <c r="P2779" s="16" t="n">
        <v>58940</v>
      </c>
      <c r="Q2779" s="16" t="n">
        <v>59583</v>
      </c>
      <c r="S2779" s="16" t="n">
        <v>113571</v>
      </c>
      <c r="AC2779" s="23">
        <f>IF(OR(E2779="",E2779="[PARENT]"),"ADD",IF(E2779="[ALT_VIEW]","ALT",""))</f>
        <v/>
      </c>
      <c r="AD2779" s="21">
        <f>IF(Y2779&lt;&gt;"",Y2779,IF(U2779&lt;&gt;"",U2779,S2779))</f>
        <v/>
      </c>
      <c r="AE2779" s="21">
        <f>IF(AB2779&lt;&gt;"",AB2779,Z2779)</f>
        <v/>
      </c>
      <c r="AF2779" s="13" t="inlineStr">
        <is>
          <t>OPN BA2 &gt; BSA 11 &gt; LI 3050 &gt; ADNS</t>
        </is>
      </c>
      <c r="AG2779" s="7" t="inlineStr">
        <is>
          <t>670</t>
        </is>
      </c>
      <c r="AH2779" s="7" t="inlineStr">
        <is>
          <t>3050</t>
        </is>
      </c>
    </row>
    <row r="2780" ht="10" customHeight="1">
      <c r="A2780" s="7" t="inlineStr">
        <is>
          <t>OPN_BA2</t>
        </is>
      </c>
      <c r="B2780" s="7" t="inlineStr">
        <is>
          <t>Procurement</t>
        </is>
      </c>
      <c r="D2780" s="7" t="inlineStr">
        <is>
          <t>Shore Tactical Assured Command and Control (STACC)</t>
        </is>
      </c>
      <c r="E2780" s="13" t="inlineStr">
        <is>
          <t>[SUB]</t>
        </is>
      </c>
      <c r="F2780" s="7" t="inlineStr">
        <is>
          <t>LI 3050 Ship Communications Automation</t>
        </is>
      </c>
      <c r="I2780" s="14" t="n">
        <v>4</v>
      </c>
      <c r="K2780" s="15" t="n"/>
      <c r="O2780" s="15" t="n"/>
      <c r="P2780" s="16" t="n">
        <v>28396</v>
      </c>
      <c r="Q2780" s="16" t="n">
        <v>29859</v>
      </c>
      <c r="S2780" s="16" t="n">
        <v>37232</v>
      </c>
      <c r="AC2780" s="23">
        <f>IF(OR(E2780="",E2780="[PARENT]"),"ADD",IF(E2780="[ALT_VIEW]","ALT",""))</f>
        <v/>
      </c>
      <c r="AD2780" s="21">
        <f>IF(Y2780&lt;&gt;"",Y2780,IF(U2780&lt;&gt;"",U2780,S2780))</f>
        <v/>
      </c>
      <c r="AE2780" s="21">
        <f>IF(AB2780&lt;&gt;"",AB2780,Z2780)</f>
        <v/>
      </c>
      <c r="AF2780" s="13" t="inlineStr">
        <is>
          <t>OPN BA2 &gt; BSA 11 &gt; LI 3050 &gt; STACC</t>
        </is>
      </c>
      <c r="AG2780" s="7" t="inlineStr">
        <is>
          <t>676</t>
        </is>
      </c>
      <c r="AH2780" s="7" t="inlineStr">
        <is>
          <t>3050</t>
        </is>
      </c>
      <c r="AI2780" s="7" t="inlineStr">
        <is>
          <t>PQ070 Shore Tactical Assured Command and Control (STACC)</t>
        </is>
      </c>
    </row>
    <row r="2781" ht="10" customHeight="1">
      <c r="A2781" s="7" t="inlineStr">
        <is>
          <t>OPN_BA2</t>
        </is>
      </c>
      <c r="B2781" s="7" t="inlineStr">
        <is>
          <t>Procurement</t>
        </is>
      </c>
      <c r="D2781" s="7" t="inlineStr">
        <is>
          <t>Piers / Enterprise Pier Connectivity Architecture (EPCA)</t>
        </is>
      </c>
      <c r="E2781" s="13" t="inlineStr">
        <is>
          <t>[SUB]</t>
        </is>
      </c>
      <c r="F2781" s="7" t="inlineStr">
        <is>
          <t>LI 3050 Ship Communications Automation</t>
        </is>
      </c>
      <c r="I2781" s="14" t="n">
        <v>4</v>
      </c>
      <c r="K2781" s="15" t="n"/>
      <c r="O2781" s="15" t="n"/>
      <c r="P2781" s="16" t="n">
        <v>9031</v>
      </c>
      <c r="Q2781" s="16" t="n">
        <v>7382</v>
      </c>
      <c r="S2781" s="16" t="n">
        <v>4847</v>
      </c>
      <c r="AC2781" s="23">
        <f>IF(OR(E2781="",E2781="[PARENT]"),"ADD",IF(E2781="[ALT_VIEW]","ALT",""))</f>
        <v/>
      </c>
      <c r="AD2781" s="21">
        <f>IF(Y2781&lt;&gt;"",Y2781,IF(U2781&lt;&gt;"",U2781,S2781))</f>
        <v/>
      </c>
      <c r="AE2781" s="21">
        <f>IF(AB2781&lt;&gt;"",AB2781,Z2781)</f>
        <v/>
      </c>
      <c r="AF2781" s="13" t="inlineStr">
        <is>
          <t>OPN BA2 &gt; BSA 11 &gt; LI 3050 &gt; EPCA</t>
        </is>
      </c>
      <c r="AG2781" s="7" t="inlineStr">
        <is>
          <t>684</t>
        </is>
      </c>
      <c r="AH2781" s="7" t="inlineStr">
        <is>
          <t>3050</t>
        </is>
      </c>
      <c r="AI2781" s="7" t="inlineStr">
        <is>
          <t>PQ020 Piers / Enterprise Pier Connectivity Architecture (EPCA)</t>
        </is>
      </c>
    </row>
    <row r="2782" ht="10" customHeight="1">
      <c r="A2782" s="7" t="inlineStr">
        <is>
          <t>OPN_BA2</t>
        </is>
      </c>
      <c r="B2782" s="7" t="inlineStr">
        <is>
          <t>Procurement</t>
        </is>
      </c>
      <c r="D2782" s="7" t="inlineStr">
        <is>
          <t>Amphibious Communications (Amphib Comms)</t>
        </is>
      </c>
      <c r="E2782" s="13" t="inlineStr">
        <is>
          <t>[SUB]</t>
        </is>
      </c>
      <c r="F2782" s="7" t="inlineStr">
        <is>
          <t>LI 3050 Ship Communications Automation</t>
        </is>
      </c>
      <c r="I2782" s="14" t="n">
        <v>4</v>
      </c>
      <c r="K2782" s="13" t="inlineStr">
        <is>
          <t>USN</t>
        </is>
      </c>
      <c r="L2782" s="7" t="inlineStr">
        <is>
          <t>Combatant Ships</t>
        </is>
      </c>
      <c r="M2782" s="7" t="inlineStr">
        <is>
          <t>Amphibious Warfare Ships</t>
        </is>
      </c>
      <c r="O2782" s="15" t="n"/>
      <c r="P2782" s="16" t="n">
        <v>3536</v>
      </c>
      <c r="Q2782" s="16" t="n">
        <v>2961</v>
      </c>
      <c r="S2782" s="16" t="n">
        <v>6534</v>
      </c>
      <c r="AC2782" s="23">
        <f>IF(OR(E2782="",E2782="[PARENT]"),"ADD",IF(E2782="[ALT_VIEW]","ALT",""))</f>
        <v/>
      </c>
      <c r="AD2782" s="21">
        <f>IF(Y2782&lt;&gt;"",Y2782,IF(U2782&lt;&gt;"",U2782,S2782))</f>
        <v/>
      </c>
      <c r="AE2782" s="21">
        <f>IF(AB2782&lt;&gt;"",AB2782,Z2782)</f>
        <v/>
      </c>
      <c r="AF2782" s="13" t="inlineStr">
        <is>
          <t>OPN BA2 &gt; BSA 11 &gt; LI 3050 &gt; Amphib Comms</t>
        </is>
      </c>
      <c r="AG2782" s="7" t="inlineStr">
        <is>
          <t>687</t>
        </is>
      </c>
      <c r="AH2782" s="7" t="inlineStr">
        <is>
          <t>3050</t>
        </is>
      </c>
    </row>
    <row r="2783" ht="10" customHeight="1">
      <c r="A2783" s="7" t="inlineStr">
        <is>
          <t>OPN_BA2</t>
        </is>
      </c>
      <c r="B2783" s="7" t="inlineStr">
        <is>
          <t>Procurement</t>
        </is>
      </c>
      <c r="C2783" s="7" t="inlineStr">
        <is>
          <t>3057</t>
        </is>
      </c>
      <c r="D2783" s="7" t="inlineStr">
        <is>
          <t>Communications Items under $5M</t>
        </is>
      </c>
      <c r="E2783" s="15" t="n"/>
      <c r="I2783" s="14" t="n">
        <v>4</v>
      </c>
      <c r="K2783" s="15" t="n"/>
      <c r="O2783" s="15" t="n"/>
      <c r="P2783" s="16" t="n">
        <v>14299</v>
      </c>
      <c r="Q2783" s="16" t="n">
        <v>9209</v>
      </c>
      <c r="S2783" s="16" t="n">
        <v>11138</v>
      </c>
      <c r="T2783" s="16" t="n">
        <v>0</v>
      </c>
      <c r="U2783" s="16" t="n">
        <v>11138</v>
      </c>
      <c r="Z2783" s="16" t="n">
        <v>15097</v>
      </c>
      <c r="AB2783" s="16" t="n">
        <v>15097</v>
      </c>
      <c r="AC2783" s="23">
        <f>IF(OR(E2783="",E2783="[PARENT]"),"ADD",IF(E2783="[ALT_VIEW]","ALT",""))</f>
        <v/>
      </c>
      <c r="AD2783" s="21">
        <f>IF(Y2783&lt;&gt;"",Y2783,IF(U2783&lt;&gt;"",U2783,S2783))</f>
        <v/>
      </c>
      <c r="AE2783" s="21">
        <f>IF(AB2783&lt;&gt;"",AB2783,Z2783)</f>
        <v/>
      </c>
      <c r="AF2783" s="13" t="inlineStr">
        <is>
          <t>OPN BA2 &gt; BSA 11: Shipboard Communications &gt; LI 3057 Communications Items under $5M</t>
        </is>
      </c>
      <c r="AG2783" s="7" t="inlineStr">
        <is>
          <t>687</t>
        </is>
      </c>
      <c r="AH2783" s="7" t="inlineStr">
        <is>
          <t>3057</t>
        </is>
      </c>
      <c r="AI2783" s="7" t="inlineStr">
        <is>
          <t>Communications Items under $5M</t>
        </is>
      </c>
    </row>
    <row r="2784" ht="10" customHeight="1">
      <c r="A2784" s="7" t="inlineStr">
        <is>
          <t>OPN_BA2</t>
        </is>
      </c>
      <c r="B2784" s="7" t="inlineStr">
        <is>
          <t>Procurement</t>
        </is>
      </c>
      <c r="C2784" s="7" t="inlineStr">
        <is>
          <t>3107</t>
        </is>
      </c>
      <c r="D2784" s="7" t="inlineStr">
        <is>
          <t>Submarine Broadcast Support</t>
        </is>
      </c>
      <c r="E2784" s="15" t="n"/>
      <c r="I2784" s="14" t="n">
        <v>4</v>
      </c>
      <c r="K2784" s="13" t="inlineStr">
        <is>
          <t>USN</t>
        </is>
      </c>
      <c r="L2784" s="7" t="inlineStr">
        <is>
          <t>Combatant Ships</t>
        </is>
      </c>
      <c r="M2784" s="7" t="inlineStr">
        <is>
          <t>Submarines</t>
        </is>
      </c>
      <c r="N2784" s="7" t="inlineStr">
        <is>
          <t>SSN</t>
        </is>
      </c>
      <c r="O2784" s="15" t="n"/>
      <c r="P2784" s="16" t="n">
        <v>71070</v>
      </c>
      <c r="Q2784" s="16" t="n">
        <v>129467</v>
      </c>
      <c r="S2784" s="16" t="n">
        <v>113115</v>
      </c>
      <c r="T2784" s="16" t="n">
        <v>0</v>
      </c>
      <c r="U2784" s="16" t="n">
        <v>113115</v>
      </c>
      <c r="Z2784" s="16" t="n">
        <v>173069</v>
      </c>
      <c r="AB2784" s="16" t="n">
        <v>173069</v>
      </c>
      <c r="AC2784" s="23">
        <f>IF(OR(E2784="",E2784="[PARENT]"),"ADD",IF(E2784="[ALT_VIEW]","ALT",""))</f>
        <v/>
      </c>
      <c r="AD2784" s="21">
        <f>IF(Y2784&lt;&gt;"",Y2784,IF(U2784&lt;&gt;"",U2784,S2784))</f>
        <v/>
      </c>
      <c r="AE2784" s="21">
        <f>IF(AB2784&lt;&gt;"",AB2784,Z2784)</f>
        <v/>
      </c>
      <c r="AF2784" s="13" t="inlineStr">
        <is>
          <t>OPN BA2 &gt; BSA 12: Submarine Communications &gt; LI 3107 Submarine Broadcast Support</t>
        </is>
      </c>
      <c r="AG2784" s="7" t="inlineStr">
        <is>
          <t>693</t>
        </is>
      </c>
      <c r="AH2784" s="7" t="inlineStr">
        <is>
          <t>3107</t>
        </is>
      </c>
      <c r="AI2784" s="7" t="inlineStr">
        <is>
          <t>Submarine Broadcast Support</t>
        </is>
      </c>
    </row>
    <row r="2785" ht="10" customHeight="1">
      <c r="A2785" s="7" t="inlineStr">
        <is>
          <t>OPN_BA2</t>
        </is>
      </c>
      <c r="B2785" s="7" t="inlineStr">
        <is>
          <t>Procurement</t>
        </is>
      </c>
      <c r="C2785" s="7" t="inlineStr">
        <is>
          <t>3130</t>
        </is>
      </c>
      <c r="D2785" s="7" t="inlineStr">
        <is>
          <t>Submarine Communication Equipment</t>
        </is>
      </c>
      <c r="E2785" s="15" t="n"/>
      <c r="I2785" s="14" t="n">
        <v>4</v>
      </c>
      <c r="K2785" s="13" t="inlineStr">
        <is>
          <t>USN</t>
        </is>
      </c>
      <c r="L2785" s="7" t="inlineStr">
        <is>
          <t>Combatant Ships</t>
        </is>
      </c>
      <c r="M2785" s="7" t="inlineStr">
        <is>
          <t>Submarines</t>
        </is>
      </c>
      <c r="N2785" s="7" t="inlineStr">
        <is>
          <t>SSN</t>
        </is>
      </c>
      <c r="O2785" s="15" t="n"/>
      <c r="P2785" s="16" t="n">
        <v>82595</v>
      </c>
      <c r="Q2785" s="16" t="n">
        <v>68334</v>
      </c>
      <c r="S2785" s="16" t="n">
        <v>84584</v>
      </c>
      <c r="T2785" s="16" t="n">
        <v>0</v>
      </c>
      <c r="U2785" s="16" t="n">
        <v>84584</v>
      </c>
      <c r="Z2785" s="16" t="n">
        <v>88071</v>
      </c>
      <c r="AB2785" s="16" t="n">
        <v>88071</v>
      </c>
      <c r="AC2785" s="23">
        <f>IF(OR(E2785="",E2785="[PARENT]"),"ADD",IF(E2785="[ALT_VIEW]","ALT",""))</f>
        <v/>
      </c>
      <c r="AD2785" s="21">
        <f>IF(Y2785&lt;&gt;"",Y2785,IF(U2785&lt;&gt;"",U2785,S2785))</f>
        <v/>
      </c>
      <c r="AE2785" s="21">
        <f>IF(AB2785&lt;&gt;"",AB2785,Z2785)</f>
        <v/>
      </c>
      <c r="AF2785" s="13" t="inlineStr">
        <is>
          <t>OPN BA2 &gt; BSA 12: Submarine Communications &gt; LI 3130 Submarine Communication Equipment</t>
        </is>
      </c>
      <c r="AG2785" s="7" t="inlineStr">
        <is>
          <t>697</t>
        </is>
      </c>
      <c r="AH2785" s="7" t="inlineStr">
        <is>
          <t>3130</t>
        </is>
      </c>
      <c r="AI2785" s="7" t="inlineStr">
        <is>
          <t>Submarine Communication Equipment</t>
        </is>
      </c>
    </row>
    <row r="2786" ht="10" customHeight="1">
      <c r="A2786" s="7" t="inlineStr">
        <is>
          <t>OPN_BA2</t>
        </is>
      </c>
      <c r="B2786" s="7" t="inlineStr">
        <is>
          <t>Procurement</t>
        </is>
      </c>
      <c r="C2786" s="7" t="inlineStr">
        <is>
          <t>3215</t>
        </is>
      </c>
      <c r="D2786" s="7" t="inlineStr">
        <is>
          <t>Satellite Communications Systems</t>
        </is>
      </c>
      <c r="E2786" s="13" t="inlineStr">
        <is>
          <t>[PARENT]</t>
        </is>
      </c>
      <c r="I2786" s="14" t="n">
        <v>4</v>
      </c>
      <c r="K2786" s="15" t="n"/>
      <c r="O2786" s="15" t="n"/>
      <c r="P2786" s="16" t="n">
        <v>69855</v>
      </c>
      <c r="Q2786" s="16" t="n">
        <v>59745</v>
      </c>
      <c r="S2786" s="16" t="n">
        <v>62943</v>
      </c>
      <c r="T2786" s="16" t="n">
        <v>0</v>
      </c>
      <c r="U2786" s="16" t="n">
        <v>62943</v>
      </c>
      <c r="Z2786" s="16" t="n">
        <v>57961</v>
      </c>
      <c r="AB2786" s="16" t="n">
        <v>57961</v>
      </c>
      <c r="AC2786" s="23">
        <f>IF(OR(E2786="",E2786="[PARENT]"),"ADD",IF(E2786="[ALT_VIEW]","ALT",""))</f>
        <v/>
      </c>
      <c r="AD2786" s="21">
        <f>IF(Y2786&lt;&gt;"",Y2786,IF(U2786&lt;&gt;"",U2786,S2786))</f>
        <v/>
      </c>
      <c r="AE2786" s="21">
        <f>IF(AB2786&lt;&gt;"",AB2786,Z2786)</f>
        <v/>
      </c>
      <c r="AF2786" s="13" t="inlineStr">
        <is>
          <t>OPN BA2 &gt; BSA 13: Satellite Communications &gt; LI 3215 Satellite Communications Systems</t>
        </is>
      </c>
      <c r="AG2786" s="7" t="inlineStr">
        <is>
          <t>701</t>
        </is>
      </c>
      <c r="AH2786" s="7" t="inlineStr">
        <is>
          <t>3215</t>
        </is>
      </c>
      <c r="AI2786" s="7" t="inlineStr">
        <is>
          <t>Satellite Communications Systems</t>
        </is>
      </c>
    </row>
    <row r="2787" ht="10" customHeight="1">
      <c r="A2787" s="7" t="inlineStr">
        <is>
          <t>OPN_BA2</t>
        </is>
      </c>
      <c r="B2787" s="7" t="inlineStr">
        <is>
          <t>Procurement</t>
        </is>
      </c>
      <c r="D2787" s="7" t="inlineStr">
        <is>
          <t>Global Broadcast Service (GBS)</t>
        </is>
      </c>
      <c r="E2787" s="13" t="inlineStr">
        <is>
          <t>[SUB]</t>
        </is>
      </c>
      <c r="F2787" s="7" t="inlineStr">
        <is>
          <t>LI 3215 Satellite Communications Systems</t>
        </is>
      </c>
      <c r="I2787" s="14" t="n">
        <v>4</v>
      </c>
      <c r="K2787" s="15" t="n"/>
      <c r="O2787" s="15" t="n"/>
      <c r="P2787" s="16" t="n">
        <v>8798</v>
      </c>
      <c r="Q2787" s="16" t="n">
        <v>8295</v>
      </c>
      <c r="S2787" s="16" t="n">
        <v>7840</v>
      </c>
      <c r="AC2787" s="23">
        <f>IF(OR(E2787="",E2787="[PARENT]"),"ADD",IF(E2787="[ALT_VIEW]","ALT",""))</f>
        <v/>
      </c>
      <c r="AD2787" s="21">
        <f>IF(Y2787&lt;&gt;"",Y2787,IF(U2787&lt;&gt;"",U2787,S2787))</f>
        <v/>
      </c>
      <c r="AE2787" s="21">
        <f>IF(AB2787&lt;&gt;"",AB2787,Z2787)</f>
        <v/>
      </c>
      <c r="AF2787" s="13" t="inlineStr">
        <is>
          <t>OPN BA2 &gt; BSA 13 &gt; LI 3215 &gt; GBS</t>
        </is>
      </c>
      <c r="AG2787" s="7" t="inlineStr">
        <is>
          <t>707</t>
        </is>
      </c>
      <c r="AH2787" s="7" t="inlineStr">
        <is>
          <t>3215</t>
        </is>
      </c>
    </row>
    <row r="2788" ht="10" customHeight="1">
      <c r="A2788" s="7" t="inlineStr">
        <is>
          <t>OPN_BA2</t>
        </is>
      </c>
      <c r="B2788" s="7" t="inlineStr">
        <is>
          <t>Procurement</t>
        </is>
      </c>
      <c r="D2788" s="7" t="inlineStr">
        <is>
          <t>Commercial Broadband Satellite Program (CBSP)</t>
        </is>
      </c>
      <c r="E2788" s="13" t="inlineStr">
        <is>
          <t>[SUB]</t>
        </is>
      </c>
      <c r="F2788" s="7" t="inlineStr">
        <is>
          <t>LI 3215 Satellite Communications Systems</t>
        </is>
      </c>
      <c r="I2788" s="14" t="n">
        <v>4</v>
      </c>
      <c r="K2788" s="15" t="n"/>
      <c r="O2788" s="15" t="n"/>
      <c r="P2788" s="16" t="n">
        <v>52424</v>
      </c>
      <c r="Q2788" s="16" t="n">
        <v>40044</v>
      </c>
      <c r="S2788" s="16" t="n">
        <v>41062</v>
      </c>
      <c r="AC2788" s="23">
        <f>IF(OR(E2788="",E2788="[PARENT]"),"ADD",IF(E2788="[ALT_VIEW]","ALT",""))</f>
        <v/>
      </c>
      <c r="AD2788" s="21">
        <f>IF(Y2788&lt;&gt;"",Y2788,IF(U2788&lt;&gt;"",U2788,S2788))</f>
        <v/>
      </c>
      <c r="AE2788" s="21">
        <f>IF(AB2788&lt;&gt;"",AB2788,Z2788)</f>
        <v/>
      </c>
      <c r="AF2788" s="13" t="inlineStr">
        <is>
          <t>OPN BA2 &gt; BSA 13 &gt; LI 3215 &gt; CBSP</t>
        </is>
      </c>
      <c r="AG2788" s="7" t="inlineStr">
        <is>
          <t>711</t>
        </is>
      </c>
      <c r="AH2788" s="7" t="inlineStr">
        <is>
          <t>3215</t>
        </is>
      </c>
      <c r="AI2788" s="7" t="inlineStr">
        <is>
          <t>(NR112) Commercial Broadband Satellite program (CBSP) - Afloat</t>
        </is>
      </c>
    </row>
    <row r="2789" ht="10" customHeight="1">
      <c r="A2789" s="7" t="inlineStr">
        <is>
          <t>OPN_BA2</t>
        </is>
      </c>
      <c r="B2789" s="7" t="inlineStr">
        <is>
          <t>Procurement</t>
        </is>
      </c>
      <c r="D2789" s="7" t="inlineStr">
        <is>
          <t>Wideband Anti-Jam Modem System (WAMS)</t>
        </is>
      </c>
      <c r="E2789" s="13" t="inlineStr">
        <is>
          <t>[SUB]</t>
        </is>
      </c>
      <c r="F2789" s="7" t="inlineStr">
        <is>
          <t>LI 3215 Satellite Communications Systems</t>
        </is>
      </c>
      <c r="I2789" s="14" t="n">
        <v>4</v>
      </c>
      <c r="K2789" s="15" t="n"/>
      <c r="O2789" s="15" t="n"/>
      <c r="P2789" s="16" t="n">
        <v>255</v>
      </c>
      <c r="Q2789" s="16" t="n">
        <v>11406</v>
      </c>
      <c r="S2789" s="16" t="n">
        <v>14041</v>
      </c>
      <c r="AC2789" s="23">
        <f>IF(OR(E2789="",E2789="[PARENT]"),"ADD",IF(E2789="[ALT_VIEW]","ALT",""))</f>
        <v/>
      </c>
      <c r="AD2789" s="21">
        <f>IF(Y2789&lt;&gt;"",Y2789,IF(U2789&lt;&gt;"",U2789,S2789))</f>
        <v/>
      </c>
      <c r="AE2789" s="21">
        <f>IF(AB2789&lt;&gt;"",AB2789,Z2789)</f>
        <v/>
      </c>
      <c r="AF2789" s="13" t="inlineStr">
        <is>
          <t>OPN BA2 &gt; BSA 13 &gt; LI 3215 &gt; WAMS</t>
        </is>
      </c>
      <c r="AG2789" s="7" t="inlineStr">
        <is>
          <t>715</t>
        </is>
      </c>
      <c r="AH2789" s="7" t="inlineStr">
        <is>
          <t>3215</t>
        </is>
      </c>
      <c r="AI2789" s="7" t="inlineStr">
        <is>
          <t>CBSP Wideband Anti-Jam Modem System (WAMS)</t>
        </is>
      </c>
    </row>
    <row r="2790" ht="10" customHeight="1">
      <c r="A2790" s="7" t="inlineStr">
        <is>
          <t>OPN_BA2</t>
        </is>
      </c>
      <c r="B2790" s="7" t="inlineStr">
        <is>
          <t>Procurement</t>
        </is>
      </c>
      <c r="C2790" s="7" t="inlineStr">
        <is>
          <t>3216</t>
        </is>
      </c>
      <c r="D2790" s="7" t="inlineStr">
        <is>
          <t>Navy Multiband Terminal (NMT)</t>
        </is>
      </c>
      <c r="E2790" s="13" t="inlineStr">
        <is>
          <t>[PARENT]</t>
        </is>
      </c>
      <c r="I2790" s="14" t="n">
        <v>4</v>
      </c>
      <c r="K2790" s="15" t="n"/>
      <c r="O2790" s="15" t="n"/>
      <c r="P2790" s="16" t="n">
        <v>37896</v>
      </c>
      <c r="Q2790" s="16" t="n">
        <v>163071</v>
      </c>
      <c r="S2790" s="16" t="n">
        <v>63433</v>
      </c>
      <c r="T2790" s="16" t="n">
        <v>0</v>
      </c>
      <c r="U2790" s="16" t="n">
        <v>63433</v>
      </c>
      <c r="Z2790" s="16" t="n">
        <v>57768</v>
      </c>
      <c r="AB2790" s="16" t="n">
        <v>57768</v>
      </c>
      <c r="AC2790" s="23">
        <f>IF(OR(E2790="",E2790="[PARENT]"),"ADD",IF(E2790="[ALT_VIEW]","ALT",""))</f>
        <v/>
      </c>
      <c r="AD2790" s="21">
        <f>IF(Y2790&lt;&gt;"",Y2790,IF(U2790&lt;&gt;"",U2790,S2790))</f>
        <v/>
      </c>
      <c r="AE2790" s="21">
        <f>IF(AB2790&lt;&gt;"",AB2790,Z2790)</f>
        <v/>
      </c>
      <c r="AF2790" s="13" t="inlineStr">
        <is>
          <t>OPN BA2 &gt; BSA 13: Satellite Communications &gt; LI 3216 Navy Multiband Terminal (NMT)</t>
        </is>
      </c>
      <c r="AG2790" s="7" t="inlineStr">
        <is>
          <t>719</t>
        </is>
      </c>
      <c r="AH2790" s="7" t="inlineStr">
        <is>
          <t>3216</t>
        </is>
      </c>
      <c r="AI2790" s="7" t="inlineStr">
        <is>
          <t>Navy Multiband Terminal (NMT)</t>
        </is>
      </c>
    </row>
    <row r="2791" ht="10" customHeight="1">
      <c r="A2791" s="7" t="inlineStr">
        <is>
          <t>OPN_BA2</t>
        </is>
      </c>
      <c r="B2791" s="7" t="inlineStr">
        <is>
          <t>Procurement</t>
        </is>
      </c>
      <c r="D2791" s="7" t="inlineStr">
        <is>
          <t>NMT Service Life Extension Modernization (SLEMOD) Kits</t>
        </is>
      </c>
      <c r="E2791" s="13" t="inlineStr">
        <is>
          <t>[SUB]</t>
        </is>
      </c>
      <c r="F2791" s="7" t="inlineStr">
        <is>
          <t>LI 3216 NMT</t>
        </is>
      </c>
      <c r="I2791" s="14" t="n">
        <v>4</v>
      </c>
      <c r="K2791" s="15" t="n"/>
      <c r="O2791" s="15" t="n"/>
      <c r="P2791" s="16" t="n">
        <v>21436</v>
      </c>
      <c r="Q2791" s="16" t="n">
        <v>26944</v>
      </c>
      <c r="S2791" s="16" t="n">
        <v>18953</v>
      </c>
      <c r="AC2791" s="23">
        <f>IF(OR(E2791="",E2791="[PARENT]"),"ADD",IF(E2791="[ALT_VIEW]","ALT",""))</f>
        <v/>
      </c>
      <c r="AD2791" s="21">
        <f>IF(Y2791&lt;&gt;"",Y2791,IF(U2791&lt;&gt;"",U2791,S2791))</f>
        <v/>
      </c>
      <c r="AE2791" s="21">
        <f>IF(AB2791&lt;&gt;"",AB2791,Z2791)</f>
        <v/>
      </c>
      <c r="AF2791" s="13" t="inlineStr">
        <is>
          <t>OPN BA2 &gt; BSA 13 &gt; LI 3216 &gt; NMT SLEMOD</t>
        </is>
      </c>
      <c r="AG2791" s="7" t="inlineStr">
        <is>
          <t>724</t>
        </is>
      </c>
      <c r="AH2791" s="7" t="inlineStr">
        <is>
          <t>3216</t>
        </is>
      </c>
    </row>
    <row r="2792" ht="10" customHeight="1">
      <c r="A2792" s="7" t="inlineStr">
        <is>
          <t>OPN_BA2</t>
        </is>
      </c>
      <c r="B2792" s="7" t="inlineStr">
        <is>
          <t>Procurement</t>
        </is>
      </c>
      <c r="C2792" s="7" t="inlineStr">
        <is>
          <t>3222</t>
        </is>
      </c>
      <c r="D2792" s="7" t="inlineStr">
        <is>
          <t>Mobile Advanced EHF Terminal (MAT)</t>
        </is>
      </c>
      <c r="E2792" s="15" t="n"/>
      <c r="I2792" s="14" t="n">
        <v>4</v>
      </c>
      <c r="K2792" s="15" t="n"/>
      <c r="O2792" s="15" t="n"/>
      <c r="S2792" s="16" t="n">
        <v>220453</v>
      </c>
      <c r="T2792" s="16" t="n">
        <v>0</v>
      </c>
      <c r="U2792" s="16" t="n">
        <v>220453</v>
      </c>
      <c r="Z2792" s="16" t="n">
        <v>202305</v>
      </c>
      <c r="AB2792" s="16" t="n">
        <v>202305</v>
      </c>
      <c r="AC2792" s="23">
        <f>IF(OR(E2792="",E2792="[PARENT]"),"ADD",IF(E2792="[ALT_VIEW]","ALT",""))</f>
        <v/>
      </c>
      <c r="AD2792" s="21">
        <f>IF(Y2792&lt;&gt;"",Y2792,IF(U2792&lt;&gt;"",U2792,S2792))</f>
        <v/>
      </c>
      <c r="AE2792" s="21">
        <f>IF(AB2792&lt;&gt;"",AB2792,Z2792)</f>
        <v/>
      </c>
      <c r="AF2792" s="13" t="inlineStr">
        <is>
          <t>OPN BA2 &gt; BSA 13: Satellite Communications &gt; LI 3222 Mobile Advanced EHF Terminal (MAT)</t>
        </is>
      </c>
      <c r="AG2792" s="7" t="inlineStr">
        <is>
          <t>737</t>
        </is>
      </c>
      <c r="AH2792" s="7" t="inlineStr">
        <is>
          <t>3222</t>
        </is>
      </c>
      <c r="AI2792" s="7" t="inlineStr">
        <is>
          <t>Mobile Advanced EHF Terminal (MAT)</t>
        </is>
      </c>
    </row>
    <row r="2793" ht="10" customHeight="1">
      <c r="A2793" s="7" t="inlineStr">
        <is>
          <t>OPN_BA2</t>
        </is>
      </c>
      <c r="B2793" s="7" t="inlineStr">
        <is>
          <t>Procurement</t>
        </is>
      </c>
      <c r="C2793" s="7" t="inlineStr">
        <is>
          <t>3302</t>
        </is>
      </c>
      <c r="D2793" s="7" t="inlineStr">
        <is>
          <t>Joint Communications Support Element (JCSE)</t>
        </is>
      </c>
      <c r="E2793" s="15" t="n"/>
      <c r="I2793" s="14" t="n">
        <v>4</v>
      </c>
      <c r="K2793" s="15" t="n"/>
      <c r="O2793" s="15" t="n"/>
      <c r="P2793" s="16" t="n">
        <v>3473</v>
      </c>
      <c r="Q2793" s="16" t="n">
        <v>4551</v>
      </c>
      <c r="S2793" s="16" t="n">
        <v>3389</v>
      </c>
      <c r="T2793" s="16" t="n">
        <v>0</v>
      </c>
      <c r="U2793" s="16" t="n">
        <v>3389</v>
      </c>
      <c r="AC2793" s="23">
        <f>IF(OR(E2793="",E2793="[PARENT]"),"ADD",IF(E2793="[ALT_VIEW]","ALT",""))</f>
        <v/>
      </c>
      <c r="AD2793" s="21">
        <f>IF(Y2793&lt;&gt;"",Y2793,IF(U2793&lt;&gt;"",U2793,S2793))</f>
        <v/>
      </c>
      <c r="AE2793" s="21">
        <f>IF(AB2793&lt;&gt;"",AB2793,Z2793)</f>
        <v/>
      </c>
      <c r="AF2793" s="13" t="inlineStr">
        <is>
          <t>OPN BA2 &gt; BSA 14: Shore Communications &gt; LI 3302 Joint Communications Support Element (JCSE)</t>
        </is>
      </c>
      <c r="AG2793" s="7" t="inlineStr">
        <is>
          <t>743</t>
        </is>
      </c>
      <c r="AH2793" s="7" t="inlineStr">
        <is>
          <t>3302</t>
        </is>
      </c>
      <c r="AI2793" s="7" t="inlineStr">
        <is>
          <t>Joint Communications Support Element Modernization</t>
        </is>
      </c>
    </row>
    <row r="2794" ht="10" customHeight="1">
      <c r="A2794" s="7" t="inlineStr">
        <is>
          <t>OPN_BA2</t>
        </is>
      </c>
      <c r="B2794" s="7" t="inlineStr">
        <is>
          <t>Procurement</t>
        </is>
      </c>
      <c r="C2794" s="7" t="inlineStr">
        <is>
          <t>3415</t>
        </is>
      </c>
      <c r="D2794" s="7" t="inlineStr">
        <is>
          <t>Info Systems Security Program (ISSP)</t>
        </is>
      </c>
      <c r="E2794" s="13" t="inlineStr">
        <is>
          <t>[PARENT]</t>
        </is>
      </c>
      <c r="I2794" s="14" t="n">
        <v>4</v>
      </c>
      <c r="K2794" s="15" t="n"/>
      <c r="O2794" s="15" t="n"/>
      <c r="P2794" s="16" t="n">
        <v>153614</v>
      </c>
      <c r="Q2794" s="16" t="n">
        <v>155188</v>
      </c>
      <c r="S2794" s="16" t="n">
        <v>191239</v>
      </c>
      <c r="T2794" s="16" t="n">
        <v>0</v>
      </c>
      <c r="U2794" s="16" t="n">
        <v>191239</v>
      </c>
      <c r="Z2794" s="16" t="n">
        <v>349099</v>
      </c>
      <c r="AB2794" s="16" t="n">
        <v>349099</v>
      </c>
      <c r="AC2794" s="23">
        <f>IF(OR(E2794="",E2794="[PARENT]"),"ADD",IF(E2794="[ALT_VIEW]","ALT",""))</f>
        <v/>
      </c>
      <c r="AD2794" s="21">
        <f>IF(Y2794&lt;&gt;"",Y2794,IF(U2794&lt;&gt;"",U2794,S2794))</f>
        <v/>
      </c>
      <c r="AE2794" s="21">
        <f>IF(AB2794&lt;&gt;"",AB2794,Z2794)</f>
        <v/>
      </c>
      <c r="AF2794" s="13" t="inlineStr">
        <is>
          <t>OPN BA2 &gt; BSA 15: Cryptographic Equipment &gt; LI 3415 Info Systems Security Program (ISSP)</t>
        </is>
      </c>
      <c r="AG2794" s="7" t="inlineStr">
        <is>
          <t>747</t>
        </is>
      </c>
      <c r="AH2794" s="7" t="inlineStr">
        <is>
          <t>3415</t>
        </is>
      </c>
      <c r="AI2794" s="7" t="inlineStr">
        <is>
          <t>Info Systems Security Program (ISSP)</t>
        </is>
      </c>
    </row>
    <row r="2795" ht="10" customHeight="1">
      <c r="A2795" s="7" t="inlineStr">
        <is>
          <t>OPN_BA2</t>
        </is>
      </c>
      <c r="B2795" s="7" t="inlineStr">
        <is>
          <t>Procurement</t>
        </is>
      </c>
      <c r="D2795" s="7" t="inlineStr">
        <is>
          <t>Computer Network Defense (CND)</t>
        </is>
      </c>
      <c r="E2795" s="13" t="inlineStr">
        <is>
          <t>[SUB]</t>
        </is>
      </c>
      <c r="F2795" s="7" t="inlineStr">
        <is>
          <t>LI 3415 ISSP</t>
        </is>
      </c>
      <c r="I2795" s="14" t="n">
        <v>4</v>
      </c>
      <c r="K2795" s="15" t="n"/>
      <c r="O2795" s="15" t="n"/>
      <c r="P2795" s="16" t="n">
        <v>29831</v>
      </c>
      <c r="Q2795" s="16" t="n">
        <v>27717</v>
      </c>
      <c r="S2795" s="16" t="n">
        <v>27688</v>
      </c>
      <c r="AC2795" s="23">
        <f>IF(OR(E2795="",E2795="[PARENT]"),"ADD",IF(E2795="[ALT_VIEW]","ALT",""))</f>
        <v/>
      </c>
      <c r="AD2795" s="21">
        <f>IF(Y2795&lt;&gt;"",Y2795,IF(U2795&lt;&gt;"",U2795,S2795))</f>
        <v/>
      </c>
      <c r="AE2795" s="21">
        <f>IF(AB2795&lt;&gt;"",AB2795,Z2795)</f>
        <v/>
      </c>
      <c r="AF2795" s="13" t="inlineStr">
        <is>
          <t>OPN BA2 &gt; BSA 15 &gt; LI 3415 &gt; CND</t>
        </is>
      </c>
      <c r="AG2795" s="7" t="inlineStr">
        <is>
          <t>755</t>
        </is>
      </c>
      <c r="AH2795" s="7" t="inlineStr">
        <is>
          <t>3415</t>
        </is>
      </c>
    </row>
    <row r="2796" ht="10" customHeight="1">
      <c r="A2796" s="7" t="inlineStr">
        <is>
          <t>OPN_BA2</t>
        </is>
      </c>
      <c r="B2796" s="7" t="inlineStr">
        <is>
          <t>Procurement</t>
        </is>
      </c>
      <c r="D2796" s="7" t="inlineStr">
        <is>
          <t>Navy Cryptography (Crypto) - Afloat</t>
        </is>
      </c>
      <c r="E2796" s="13" t="inlineStr">
        <is>
          <t>[SUB]</t>
        </is>
      </c>
      <c r="F2796" s="7" t="inlineStr">
        <is>
          <t>LI 3415 ISSP</t>
        </is>
      </c>
      <c r="I2796" s="14" t="n">
        <v>4</v>
      </c>
      <c r="K2796" s="15" t="n"/>
      <c r="O2796" s="15" t="n"/>
      <c r="P2796" s="16" t="n">
        <v>29311</v>
      </c>
      <c r="Q2796" s="16" t="n">
        <v>41876</v>
      </c>
      <c r="S2796" s="16" t="n">
        <v>58188</v>
      </c>
      <c r="AC2796" s="23">
        <f>IF(OR(E2796="",E2796="[PARENT]"),"ADD",IF(E2796="[ALT_VIEW]","ALT",""))</f>
        <v/>
      </c>
      <c r="AD2796" s="21">
        <f>IF(Y2796&lt;&gt;"",Y2796,IF(U2796&lt;&gt;"",U2796,S2796))</f>
        <v/>
      </c>
      <c r="AE2796" s="21">
        <f>IF(AB2796&lt;&gt;"",AB2796,Z2796)</f>
        <v/>
      </c>
      <c r="AF2796" s="13" t="inlineStr">
        <is>
          <t>OPN BA2 &gt; BSA 15 &gt; LI 3415 &gt; Crypto Afloat</t>
        </is>
      </c>
      <c r="AG2796" s="7" t="inlineStr">
        <is>
          <t>759</t>
        </is>
      </c>
      <c r="AH2796" s="7" t="inlineStr">
        <is>
          <t>3415</t>
        </is>
      </c>
      <c r="AI2796" s="7" t="inlineStr">
        <is>
          <t>Navy Cryptography (Crypto) - Afloat (DA071)</t>
        </is>
      </c>
    </row>
    <row r="2797" ht="10" customHeight="1">
      <c r="A2797" s="7" t="inlineStr">
        <is>
          <t>OPN_BA2</t>
        </is>
      </c>
      <c r="B2797" s="7" t="inlineStr">
        <is>
          <t>Procurement</t>
        </is>
      </c>
      <c r="D2797" s="7" t="inlineStr">
        <is>
          <t>Key Management (KM) - Afloat</t>
        </is>
      </c>
      <c r="E2797" s="13" t="inlineStr">
        <is>
          <t>[SUB]</t>
        </is>
      </c>
      <c r="F2797" s="7" t="inlineStr">
        <is>
          <t>LI 3415 ISSP</t>
        </is>
      </c>
      <c r="I2797" s="14" t="n">
        <v>4</v>
      </c>
      <c r="K2797" s="15" t="n"/>
      <c r="O2797" s="15" t="n"/>
      <c r="P2797" s="16" t="n">
        <v>8158</v>
      </c>
      <c r="Q2797" s="16" t="n">
        <v>7447</v>
      </c>
      <c r="S2797" s="16" t="n">
        <v>7140</v>
      </c>
      <c r="AC2797" s="23">
        <f>IF(OR(E2797="",E2797="[PARENT]"),"ADD",IF(E2797="[ALT_VIEW]","ALT",""))</f>
        <v/>
      </c>
      <c r="AD2797" s="21">
        <f>IF(Y2797&lt;&gt;"",Y2797,IF(U2797&lt;&gt;"",U2797,S2797))</f>
        <v/>
      </c>
      <c r="AE2797" s="21">
        <f>IF(AB2797&lt;&gt;"",AB2797,Z2797)</f>
        <v/>
      </c>
      <c r="AF2797" s="13" t="inlineStr">
        <is>
          <t>OPN BA2 &gt; BSA 15 &gt; LI 3415 &gt; KM Afloat</t>
        </is>
      </c>
      <c r="AG2797" s="7" t="inlineStr">
        <is>
          <t>767</t>
        </is>
      </c>
      <c r="AH2797" s="7" t="inlineStr">
        <is>
          <t>3415</t>
        </is>
      </c>
      <c r="AI2797" s="7" t="inlineStr">
        <is>
          <t>Key Management (KM) - Afloat (DA005)</t>
        </is>
      </c>
    </row>
    <row r="2798" ht="10" customHeight="1">
      <c r="A2798" s="7" t="inlineStr">
        <is>
          <t>OPN_BA2</t>
        </is>
      </c>
      <c r="B2798" s="7" t="inlineStr">
        <is>
          <t>Procurement</t>
        </is>
      </c>
      <c r="D2798" s="7" t="inlineStr">
        <is>
          <t>SHARKCAGE</t>
        </is>
      </c>
      <c r="E2798" s="13" t="inlineStr">
        <is>
          <t>[SUB]</t>
        </is>
      </c>
      <c r="F2798" s="7" t="inlineStr">
        <is>
          <t>LI 3415 ISSP</t>
        </is>
      </c>
      <c r="I2798" s="14" t="n">
        <v>4</v>
      </c>
      <c r="K2798" s="15" t="n"/>
      <c r="O2798" s="15" t="n"/>
      <c r="P2798" s="16" t="n">
        <v>2948</v>
      </c>
      <c r="Q2798" s="16" t="n">
        <v>13319</v>
      </c>
      <c r="S2798" s="16" t="n">
        <v>14571</v>
      </c>
      <c r="AC2798" s="23">
        <f>IF(OR(E2798="",E2798="[PARENT]"),"ADD",IF(E2798="[ALT_VIEW]","ALT",""))</f>
        <v/>
      </c>
      <c r="AD2798" s="21">
        <f>IF(Y2798&lt;&gt;"",Y2798,IF(U2798&lt;&gt;"",U2798,S2798))</f>
        <v/>
      </c>
      <c r="AE2798" s="21">
        <f>IF(AB2798&lt;&gt;"",AB2798,Z2798)</f>
        <v/>
      </c>
      <c r="AF2798" s="13" t="inlineStr">
        <is>
          <t>OPN BA2 &gt; BSA 15 &gt; LI 3415 &gt; SHARKCAGE</t>
        </is>
      </c>
      <c r="AG2798" s="7" t="inlineStr">
        <is>
          <t>775</t>
        </is>
      </c>
      <c r="AH2798" s="7" t="inlineStr">
        <is>
          <t>3415</t>
        </is>
      </c>
    </row>
    <row r="2799" ht="10" customHeight="1">
      <c r="A2799" s="7" t="inlineStr">
        <is>
          <t>OPN_BA2</t>
        </is>
      </c>
      <c r="B2799" s="7" t="inlineStr">
        <is>
          <t>Procurement</t>
        </is>
      </c>
      <c r="C2799" s="7" t="inlineStr">
        <is>
          <t>3417</t>
        </is>
      </c>
      <c r="D2799" s="7" t="inlineStr">
        <is>
          <t>MIO Intel Exploitation Team</t>
        </is>
      </c>
      <c r="E2799" s="15" t="n"/>
      <c r="I2799" s="14" t="n">
        <v>4</v>
      </c>
      <c r="K2799" s="15" t="n"/>
      <c r="O2799" s="15" t="n"/>
      <c r="P2799" s="16" t="n">
        <v>1078</v>
      </c>
      <c r="Q2799" s="16" t="n">
        <v>1100</v>
      </c>
      <c r="S2799" s="16" t="n">
        <v>1122</v>
      </c>
      <c r="T2799" s="16" t="n">
        <v>0</v>
      </c>
      <c r="U2799" s="16" t="n">
        <v>1122</v>
      </c>
      <c r="Z2799" s="16" t="n">
        <v>1063</v>
      </c>
      <c r="AB2799" s="16" t="n">
        <v>1063</v>
      </c>
      <c r="AC2799" s="23">
        <f>IF(OR(E2799="",E2799="[PARENT]"),"ADD",IF(E2799="[ALT_VIEW]","ALT",""))</f>
        <v/>
      </c>
      <c r="AD2799" s="21">
        <f>IF(Y2799&lt;&gt;"",Y2799,IF(U2799&lt;&gt;"",U2799,S2799))</f>
        <v/>
      </c>
      <c r="AE2799" s="21">
        <f>IF(AB2799&lt;&gt;"",AB2799,Z2799)</f>
        <v/>
      </c>
      <c r="AF2799" s="13" t="inlineStr">
        <is>
          <t>OPN BA2 &gt; BSA 15: Cryptographic Equipment &gt; LI 3417 MIO Intel Exploitation Team</t>
        </is>
      </c>
      <c r="AG2799" s="7" t="inlineStr">
        <is>
          <t>781</t>
        </is>
      </c>
      <c r="AH2799" s="7" t="inlineStr">
        <is>
          <t>3417</t>
        </is>
      </c>
      <c r="AI2799" s="7" t="inlineStr">
        <is>
          <t>343SA - Maritime Interdiction Operations Intel Exploitation Team</t>
        </is>
      </c>
    </row>
    <row r="2800" ht="10" customHeight="1">
      <c r="A2800" s="7" t="inlineStr">
        <is>
          <t>OPN_BA2</t>
        </is>
      </c>
      <c r="B2800" s="7" t="inlineStr">
        <is>
          <t>Procurement</t>
        </is>
      </c>
      <c r="C2800" s="7" t="inlineStr">
        <is>
          <t>3501</t>
        </is>
      </c>
      <c r="D2800" s="7" t="inlineStr">
        <is>
          <t>Cryptologic Communications Equip</t>
        </is>
      </c>
      <c r="E2800" s="15" t="n"/>
      <c r="I2800" s="14" t="n">
        <v>4</v>
      </c>
      <c r="K2800" s="15" t="n"/>
      <c r="O2800" s="15" t="n"/>
      <c r="P2800" s="16" t="n">
        <v>17071</v>
      </c>
      <c r="Q2800" s="16" t="n">
        <v>15506</v>
      </c>
      <c r="S2800" s="16" t="n">
        <v>7841</v>
      </c>
      <c r="T2800" s="16" t="n">
        <v>0</v>
      </c>
      <c r="U2800" s="16" t="n">
        <v>7841</v>
      </c>
      <c r="Z2800" s="16" t="n">
        <v>7419</v>
      </c>
      <c r="AB2800" s="16" t="n">
        <v>7419</v>
      </c>
      <c r="AC2800" s="23">
        <f>IF(OR(E2800="",E2800="[PARENT]"),"ADD",IF(E2800="[ALT_VIEW]","ALT",""))</f>
        <v/>
      </c>
      <c r="AD2800" s="21">
        <f>IF(Y2800&lt;&gt;"",Y2800,IF(U2800&lt;&gt;"",U2800,S2800))</f>
        <v/>
      </c>
      <c r="AE2800" s="21">
        <f>IF(AB2800&lt;&gt;"",AB2800,Z2800)</f>
        <v/>
      </c>
      <c r="AF2800" s="13" t="inlineStr">
        <is>
          <t>OPN BA2 &gt; BSA 16: Cryptologic Equipment &gt; LI 3501 Cryptologic Communications Equip</t>
        </is>
      </c>
      <c r="AG2800" s="7" t="inlineStr">
        <is>
          <t>785</t>
        </is>
      </c>
      <c r="AH2800" s="7" t="inlineStr">
        <is>
          <t>3501</t>
        </is>
      </c>
      <c r="AI2800" s="7" t="inlineStr">
        <is>
          <t>Cryptologic Communications Equip</t>
        </is>
      </c>
    </row>
    <row r="2801" ht="10" customHeight="1">
      <c r="A2801" s="7" t="inlineStr">
        <is>
          <t>OPN_BA2</t>
        </is>
      </c>
      <c r="B2801" s="7" t="inlineStr">
        <is>
          <t>Procurement</t>
        </is>
      </c>
      <c r="C2801" s="7" t="inlineStr">
        <is>
          <t>3620</t>
        </is>
      </c>
      <c r="D2801" s="7" t="inlineStr">
        <is>
          <t>Coast Guard Equipment</t>
        </is>
      </c>
      <c r="E2801" s="13" t="inlineStr">
        <is>
          <t>[PARENT]</t>
        </is>
      </c>
      <c r="I2801" s="14" t="n">
        <v>4</v>
      </c>
      <c r="K2801" s="15" t="n"/>
      <c r="O2801" s="15" t="n"/>
      <c r="P2801" s="16" t="n">
        <v>70678</v>
      </c>
      <c r="Q2801" s="16" t="n">
        <v>49523</v>
      </c>
      <c r="S2801" s="16" t="n">
        <v>61512</v>
      </c>
      <c r="T2801" s="16" t="n">
        <v>0</v>
      </c>
      <c r="U2801" s="16" t="n">
        <v>61512</v>
      </c>
      <c r="Z2801" s="16" t="n">
        <v>67106</v>
      </c>
      <c r="AB2801" s="16" t="n">
        <v>67106</v>
      </c>
      <c r="AC2801" s="23">
        <f>IF(OR(E2801="",E2801="[PARENT]"),"ADD",IF(E2801="[ALT_VIEW]","ALT",""))</f>
        <v/>
      </c>
      <c r="AD2801" s="21">
        <f>IF(Y2801&lt;&gt;"",Y2801,IF(U2801&lt;&gt;"",U2801,S2801))</f>
        <v/>
      </c>
      <c r="AE2801" s="21">
        <f>IF(AB2801&lt;&gt;"",AB2801,Z2801)</f>
        <v/>
      </c>
      <c r="AF2801" s="13" t="inlineStr">
        <is>
          <t>OPN BA2 &gt; BSA 17: Other Electronic Support &gt; LI 3620 Coast Guard Equipment</t>
        </is>
      </c>
      <c r="AG2801" s="7" t="inlineStr">
        <is>
          <t>797</t>
        </is>
      </c>
      <c r="AH2801" s="7" t="inlineStr">
        <is>
          <t>3620</t>
        </is>
      </c>
    </row>
    <row r="2802" ht="10" customHeight="1">
      <c r="A2802" s="7" t="inlineStr">
        <is>
          <t>OPN_BA2</t>
        </is>
      </c>
      <c r="B2802" s="7" t="inlineStr">
        <is>
          <t>Procurement</t>
        </is>
      </c>
      <c r="D2802" s="7" t="inlineStr">
        <is>
          <t>CG001 - SPQ-9B RADAR</t>
        </is>
      </c>
      <c r="E2802" s="13" t="inlineStr">
        <is>
          <t>[SUB]</t>
        </is>
      </c>
      <c r="F2802" s="7" t="inlineStr">
        <is>
          <t>LI 3620 Coast Guard Equipment</t>
        </is>
      </c>
      <c r="I2802" s="14" t="n">
        <v>4</v>
      </c>
      <c r="K2802" s="13" t="inlineStr">
        <is>
          <t>USCG</t>
        </is>
      </c>
      <c r="L2802" s="7" t="inlineStr">
        <is>
          <t>Cutters</t>
        </is>
      </c>
      <c r="M2802" s="7" t="inlineStr">
        <is>
          <t>National Security Cutters</t>
        </is>
      </c>
      <c r="N2802" s="7" t="inlineStr">
        <is>
          <t>WMSL</t>
        </is>
      </c>
      <c r="O2802" s="15" t="n"/>
      <c r="P2802" s="16" t="n">
        <v>569</v>
      </c>
      <c r="Q2802" s="16" t="n">
        <v>587</v>
      </c>
      <c r="S2802" s="16" t="n">
        <v>603</v>
      </c>
      <c r="AC2802" s="23">
        <f>IF(OR(E2802="",E2802="[PARENT]"),"ADD",IF(E2802="[ALT_VIEW]","ALT",""))</f>
        <v/>
      </c>
      <c r="AD2802" s="21">
        <f>IF(Y2802&lt;&gt;"",Y2802,IF(U2802&lt;&gt;"",U2802,S2802))</f>
        <v/>
      </c>
      <c r="AE2802" s="21">
        <f>IF(AB2802&lt;&gt;"",AB2802,Z2802)</f>
        <v/>
      </c>
      <c r="AF2802" s="13" t="inlineStr">
        <is>
          <t>OPN BA2 &gt; BSA 17 &gt; LI 3620 &gt; CG001 SPQ-9B</t>
        </is>
      </c>
      <c r="AG2802" s="7" t="inlineStr">
        <is>
          <t>797</t>
        </is>
      </c>
      <c r="AH2802" s="7" t="inlineStr">
        <is>
          <t>3620</t>
        </is>
      </c>
      <c r="AI2802" s="7" t="inlineStr">
        <is>
          <t>CG001 - SPQ-9B RADAR</t>
        </is>
      </c>
      <c r="AJ2802" s="7" t="inlineStr">
        <is>
          <t>CG001</t>
        </is>
      </c>
    </row>
    <row r="2803" ht="10" customHeight="1">
      <c r="A2803" s="7" t="inlineStr">
        <is>
          <t>OPN_BA2</t>
        </is>
      </c>
      <c r="B2803" s="7" t="inlineStr">
        <is>
          <t>Procurement</t>
        </is>
      </c>
      <c r="D2803" s="7" t="inlineStr">
        <is>
          <t>CG002 IFF AIMS</t>
        </is>
      </c>
      <c r="E2803" s="13" t="inlineStr">
        <is>
          <t>[SUB]</t>
        </is>
      </c>
      <c r="F2803" s="7" t="inlineStr">
        <is>
          <t>LI 3620 Coast Guard Equipment</t>
        </is>
      </c>
      <c r="I2803" s="14" t="n">
        <v>4</v>
      </c>
      <c r="K2803" s="15" t="n"/>
      <c r="O2803" s="15" t="n"/>
      <c r="P2803" s="16" t="n">
        <v>3477</v>
      </c>
      <c r="Q2803" s="16" t="n">
        <v>2323</v>
      </c>
      <c r="S2803" s="16" t="n">
        <v>3784</v>
      </c>
      <c r="AC2803" s="23">
        <f>IF(OR(E2803="",E2803="[PARENT]"),"ADD",IF(E2803="[ALT_VIEW]","ALT",""))</f>
        <v/>
      </c>
      <c r="AD2803" s="21">
        <f>IF(Y2803&lt;&gt;"",Y2803,IF(U2803&lt;&gt;"",U2803,S2803))</f>
        <v/>
      </c>
      <c r="AE2803" s="21">
        <f>IF(AB2803&lt;&gt;"",AB2803,Z2803)</f>
        <v/>
      </c>
      <c r="AF2803" s="13" t="inlineStr">
        <is>
          <t>OPN BA2 &gt; BSA 17 &gt; LI 3620 &gt; CG002 IFF</t>
        </is>
      </c>
      <c r="AG2803" s="7" t="inlineStr">
        <is>
          <t>797</t>
        </is>
      </c>
      <c r="AH2803" s="7" t="inlineStr">
        <is>
          <t>3620</t>
        </is>
      </c>
      <c r="AI2803" s="7" t="inlineStr">
        <is>
          <t>CG002 IFF AIMS</t>
        </is>
      </c>
      <c r="AJ2803" s="7" t="inlineStr">
        <is>
          <t>CG002</t>
        </is>
      </c>
    </row>
    <row r="2804" ht="10" customHeight="1">
      <c r="A2804" s="7" t="inlineStr">
        <is>
          <t>OPN_BA2</t>
        </is>
      </c>
      <c r="B2804" s="7" t="inlineStr">
        <is>
          <t>Procurement</t>
        </is>
      </c>
      <c r="D2804" s="7" t="inlineStr">
        <is>
          <t>CG003 DECOYS MK 53</t>
        </is>
      </c>
      <c r="E2804" s="13" t="inlineStr">
        <is>
          <t>[SUB]</t>
        </is>
      </c>
      <c r="F2804" s="7" t="inlineStr">
        <is>
          <t>LI 3620 Coast Guard Equipment</t>
        </is>
      </c>
      <c r="I2804" s="14" t="n">
        <v>4</v>
      </c>
      <c r="K2804" s="15" t="n"/>
      <c r="O2804" s="15" t="n"/>
      <c r="P2804" s="16" t="n">
        <v>2190</v>
      </c>
      <c r="Q2804" s="16" t="n">
        <v>598</v>
      </c>
      <c r="S2804" s="16" t="n">
        <v>1969</v>
      </c>
      <c r="AC2804" s="23">
        <f>IF(OR(E2804="",E2804="[PARENT]"),"ADD",IF(E2804="[ALT_VIEW]","ALT",""))</f>
        <v/>
      </c>
      <c r="AD2804" s="21">
        <f>IF(Y2804&lt;&gt;"",Y2804,IF(U2804&lt;&gt;"",U2804,S2804))</f>
        <v/>
      </c>
      <c r="AE2804" s="21">
        <f>IF(AB2804&lt;&gt;"",AB2804,Z2804)</f>
        <v/>
      </c>
      <c r="AF2804" s="13" t="inlineStr">
        <is>
          <t>OPN BA2 &gt; BSA 17 &gt; LI 3620 &gt; CG003 Decoys</t>
        </is>
      </c>
      <c r="AG2804" s="7" t="inlineStr">
        <is>
          <t>797</t>
        </is>
      </c>
      <c r="AH2804" s="7" t="inlineStr">
        <is>
          <t>3620</t>
        </is>
      </c>
      <c r="AI2804" s="7" t="inlineStr">
        <is>
          <t>CG003 DECOYS MK 53</t>
        </is>
      </c>
      <c r="AJ2804" s="7" t="inlineStr">
        <is>
          <t>CG003</t>
        </is>
      </c>
    </row>
    <row r="2805" ht="10" customHeight="1">
      <c r="A2805" s="7" t="inlineStr">
        <is>
          <t>OPN_BA2</t>
        </is>
      </c>
      <c r="B2805" s="7" t="inlineStr">
        <is>
          <t>Procurement</t>
        </is>
      </c>
      <c r="D2805" s="7" t="inlineStr">
        <is>
          <t>CG004 SLQ-32</t>
        </is>
      </c>
      <c r="E2805" s="13" t="inlineStr">
        <is>
          <t>[SUB]</t>
        </is>
      </c>
      <c r="F2805" s="7" t="inlineStr">
        <is>
          <t>LI 3620 Coast Guard Equipment</t>
        </is>
      </c>
      <c r="I2805" s="14" t="n">
        <v>4</v>
      </c>
      <c r="K2805" s="13" t="inlineStr">
        <is>
          <t>USCG</t>
        </is>
      </c>
      <c r="L2805" s="7" t="inlineStr">
        <is>
          <t>Cutters</t>
        </is>
      </c>
      <c r="M2805" s="7" t="inlineStr">
        <is>
          <t>National Security Cutters</t>
        </is>
      </c>
      <c r="N2805" s="7" t="inlineStr">
        <is>
          <t>WMSL</t>
        </is>
      </c>
      <c r="O2805" s="15" t="n"/>
      <c r="P2805" s="16" t="n">
        <v>0</v>
      </c>
      <c r="Q2805" s="16" t="n">
        <v>0</v>
      </c>
      <c r="S2805" s="16" t="n">
        <v>0</v>
      </c>
      <c r="AC2805" s="23">
        <f>IF(OR(E2805="",E2805="[PARENT]"),"ADD",IF(E2805="[ALT_VIEW]","ALT",""))</f>
        <v/>
      </c>
      <c r="AD2805" s="21">
        <f>IF(Y2805&lt;&gt;"",Y2805,IF(U2805&lt;&gt;"",U2805,S2805))</f>
        <v/>
      </c>
      <c r="AE2805" s="21">
        <f>IF(AB2805&lt;&gt;"",AB2805,Z2805)</f>
        <v/>
      </c>
      <c r="AF2805" s="13" t="inlineStr">
        <is>
          <t>OPN BA2 &gt; BSA 17 &gt; LI 3620 &gt; CG004 SLQ-32</t>
        </is>
      </c>
      <c r="AG2805" s="7" t="inlineStr">
        <is>
          <t>797</t>
        </is>
      </c>
      <c r="AH2805" s="7" t="inlineStr">
        <is>
          <t>3620</t>
        </is>
      </c>
      <c r="AJ2805" s="7" t="inlineStr">
        <is>
          <t>CG004</t>
        </is>
      </c>
    </row>
    <row r="2806" ht="10" customHeight="1">
      <c r="A2806" s="7" t="inlineStr">
        <is>
          <t>OPN_BA2</t>
        </is>
      </c>
      <c r="B2806" s="7" t="inlineStr">
        <is>
          <t>Procurement</t>
        </is>
      </c>
      <c r="D2806" s="7" t="inlineStr">
        <is>
          <t>CG007 MULTI-MODE RADAR</t>
        </is>
      </c>
      <c r="E2806" s="13" t="inlineStr">
        <is>
          <t>[SUB]</t>
        </is>
      </c>
      <c r="F2806" s="7" t="inlineStr">
        <is>
          <t>LI 3620 Coast Guard Equipment</t>
        </is>
      </c>
      <c r="I2806" s="14" t="n">
        <v>4</v>
      </c>
      <c r="K2806" s="15" t="n"/>
      <c r="O2806" s="15" t="n"/>
      <c r="P2806" s="16" t="n">
        <v>16222</v>
      </c>
      <c r="Q2806" s="16" t="n">
        <v>16597</v>
      </c>
      <c r="S2806" s="16" t="n">
        <v>19859</v>
      </c>
      <c r="AC2806" s="23">
        <f>IF(OR(E2806="",E2806="[PARENT]"),"ADD",IF(E2806="[ALT_VIEW]","ALT",""))</f>
        <v/>
      </c>
      <c r="AD2806" s="21">
        <f>IF(Y2806&lt;&gt;"",Y2806,IF(U2806&lt;&gt;"",U2806,S2806))</f>
        <v/>
      </c>
      <c r="AE2806" s="21">
        <f>IF(AB2806&lt;&gt;"",AB2806,Z2806)</f>
        <v/>
      </c>
      <c r="AF2806" s="13" t="inlineStr">
        <is>
          <t>OPN BA2 &gt; BSA 17 &gt; LI 3620 &gt; CG007 MMR</t>
        </is>
      </c>
      <c r="AG2806" s="7" t="inlineStr">
        <is>
          <t>798</t>
        </is>
      </c>
      <c r="AH2806" s="7" t="inlineStr">
        <is>
          <t>3620</t>
        </is>
      </c>
      <c r="AI2806" s="7" t="inlineStr">
        <is>
          <t>CG007 MULTI-MODE RADAR</t>
        </is>
      </c>
      <c r="AJ2806" s="7" t="inlineStr">
        <is>
          <t>CG007</t>
        </is>
      </c>
    </row>
    <row r="2807" ht="10" customHeight="1">
      <c r="A2807" s="7" t="inlineStr">
        <is>
          <t>OPN_BA2</t>
        </is>
      </c>
      <c r="B2807" s="7" t="inlineStr">
        <is>
          <t>Procurement</t>
        </is>
      </c>
      <c r="D2807" s="7" t="inlineStr">
        <is>
          <t>CG008 ATHENA CCD</t>
        </is>
      </c>
      <c r="E2807" s="13" t="inlineStr">
        <is>
          <t>[SUB]</t>
        </is>
      </c>
      <c r="F2807" s="7" t="inlineStr">
        <is>
          <t>LI 3620 Coast Guard Equipment</t>
        </is>
      </c>
      <c r="I2807" s="14" t="n">
        <v>4</v>
      </c>
      <c r="K2807" s="15" t="n"/>
      <c r="O2807" s="15" t="n"/>
      <c r="P2807" s="16" t="n">
        <v>17420</v>
      </c>
      <c r="Q2807" s="16" t="n">
        <v>15112</v>
      </c>
      <c r="S2807" s="16" t="n">
        <v>17741</v>
      </c>
      <c r="AC2807" s="23">
        <f>IF(OR(E2807="",E2807="[PARENT]"),"ADD",IF(E2807="[ALT_VIEW]","ALT",""))</f>
        <v/>
      </c>
      <c r="AD2807" s="21">
        <f>IF(Y2807&lt;&gt;"",Y2807,IF(U2807&lt;&gt;"",U2807,S2807))</f>
        <v/>
      </c>
      <c r="AE2807" s="21">
        <f>IF(AB2807&lt;&gt;"",AB2807,Z2807)</f>
        <v/>
      </c>
      <c r="AF2807" s="13" t="inlineStr">
        <is>
          <t>OPN BA2 &gt; BSA 17 &gt; LI 3620 &gt; CG008 ATHENA CCD</t>
        </is>
      </c>
      <c r="AG2807" s="7" t="inlineStr">
        <is>
          <t>798</t>
        </is>
      </c>
      <c r="AH2807" s="7" t="inlineStr">
        <is>
          <t>3620</t>
        </is>
      </c>
      <c r="AI2807" s="7" t="inlineStr">
        <is>
          <t>CG008 ATHENA CCD</t>
        </is>
      </c>
      <c r="AJ2807" s="7" t="inlineStr">
        <is>
          <t>CG008</t>
        </is>
      </c>
    </row>
    <row r="2808" ht="10" customHeight="1">
      <c r="A2808" s="7" t="inlineStr">
        <is>
          <t>OPN_BA2</t>
        </is>
      </c>
      <c r="B2808" s="7" t="inlineStr">
        <is>
          <t>Procurement</t>
        </is>
      </c>
      <c r="D2808" s="7" t="inlineStr">
        <is>
          <t>OPC C4I</t>
        </is>
      </c>
      <c r="E2808" s="13" t="inlineStr">
        <is>
          <t>[SUB]</t>
        </is>
      </c>
      <c r="F2808" s="7" t="inlineStr">
        <is>
          <t>LI 3620 Coast Guard Equipment</t>
        </is>
      </c>
      <c r="I2808" s="14" t="n">
        <v>4</v>
      </c>
      <c r="K2808" s="15" t="n"/>
      <c r="O2808" s="15" t="n"/>
      <c r="P2808" s="16" t="n">
        <v>19143</v>
      </c>
      <c r="Q2808" s="16" t="n">
        <v>5974</v>
      </c>
      <c r="S2808" s="16" t="n">
        <v>4951</v>
      </c>
      <c r="AC2808" s="23">
        <f>IF(OR(E2808="",E2808="[PARENT]"),"ADD",IF(E2808="[ALT_VIEW]","ALT",""))</f>
        <v/>
      </c>
      <c r="AD2808" s="21">
        <f>IF(Y2808&lt;&gt;"",Y2808,IF(U2808&lt;&gt;"",U2808,S2808))</f>
        <v/>
      </c>
      <c r="AE2808" s="21">
        <f>IF(AB2808&lt;&gt;"",AB2808,Z2808)</f>
        <v/>
      </c>
      <c r="AF2808" s="13" t="inlineStr">
        <is>
          <t>OPN BA2 &gt; BSA 17 &gt; LI 3620 &gt; OPC C4I</t>
        </is>
      </c>
      <c r="AG2808" s="7" t="inlineStr">
        <is>
          <t>798</t>
        </is>
      </c>
      <c r="AH2808" s="7" t="inlineStr">
        <is>
          <t>3620</t>
        </is>
      </c>
      <c r="AI2808" s="7" t="inlineStr">
        <is>
          <t>OPC C4I</t>
        </is>
      </c>
    </row>
    <row r="2809" ht="10" customHeight="1">
      <c r="A2809" s="7" t="inlineStr">
        <is>
          <t>OPN_BA2</t>
        </is>
      </c>
      <c r="B2809" s="7" t="inlineStr">
        <is>
          <t>Procurement</t>
        </is>
      </c>
      <c r="D2809" s="7" t="inlineStr">
        <is>
          <t>CG006 COMBAT SYSTEM INTEGRATION</t>
        </is>
      </c>
      <c r="E2809" s="13" t="inlineStr">
        <is>
          <t>[SUB]</t>
        </is>
      </c>
      <c r="F2809" s="7" t="inlineStr">
        <is>
          <t>LI 3620 Coast Guard Equipment</t>
        </is>
      </c>
      <c r="I2809" s="14" t="n">
        <v>4</v>
      </c>
      <c r="K2809" s="15" t="n"/>
      <c r="O2809" s="15" t="n"/>
      <c r="P2809" s="16" t="n">
        <v>5776</v>
      </c>
      <c r="Q2809" s="16" t="n">
        <v>5616</v>
      </c>
      <c r="S2809" s="16" t="n">
        <v>7020</v>
      </c>
      <c r="AC2809" s="23">
        <f>IF(OR(E2809="",E2809="[PARENT]"),"ADD",IF(E2809="[ALT_VIEW]","ALT",""))</f>
        <v/>
      </c>
      <c r="AD2809" s="21">
        <f>IF(Y2809&lt;&gt;"",Y2809,IF(U2809&lt;&gt;"",U2809,S2809))</f>
        <v/>
      </c>
      <c r="AE2809" s="21">
        <f>IF(AB2809&lt;&gt;"",AB2809,Z2809)</f>
        <v/>
      </c>
      <c r="AF2809" s="13" t="inlineStr">
        <is>
          <t>OPN BA2 &gt; BSA 17 &gt; LI 3620 &gt; CG006 CSI</t>
        </is>
      </c>
      <c r="AG2809" s="7" t="inlineStr">
        <is>
          <t>798</t>
        </is>
      </c>
      <c r="AH2809" s="7" t="inlineStr">
        <is>
          <t>3620</t>
        </is>
      </c>
      <c r="AI2809" s="7" t="inlineStr">
        <is>
          <t>CG006 COMBAT SYSTEM INTEGRATION</t>
        </is>
      </c>
      <c r="AJ2809" s="7" t="inlineStr">
        <is>
          <t>CG006</t>
        </is>
      </c>
    </row>
    <row r="2810" ht="10" customHeight="1">
      <c r="A2810" s="7" t="inlineStr">
        <is>
          <t>OPN_BA3</t>
        </is>
      </c>
      <c r="B2810" s="7" t="inlineStr">
        <is>
          <t>Procurement</t>
        </is>
      </c>
      <c r="C2810" s="7" t="inlineStr">
        <is>
          <t>112</t>
        </is>
      </c>
      <c r="D2810" s="7" t="inlineStr">
        <is>
          <t>Sonobuoys - All Types</t>
        </is>
      </c>
      <c r="E2810" s="13" t="inlineStr">
        <is>
          <t>[PARENT]</t>
        </is>
      </c>
      <c r="I2810" s="14" t="n">
        <v>6</v>
      </c>
      <c r="K2810" s="15" t="n"/>
      <c r="O2810" s="15" t="n"/>
      <c r="P2810" s="16" t="n">
        <v>310972</v>
      </c>
      <c r="Q2810" s="16" t="n">
        <v>353441</v>
      </c>
      <c r="S2810" s="16" t="n">
        <v>249908</v>
      </c>
      <c r="T2810" s="16" t="n">
        <v>80000</v>
      </c>
      <c r="U2810" s="16" t="n">
        <v>329908</v>
      </c>
      <c r="W2810" s="16" t="n">
        <v>80000</v>
      </c>
      <c r="X2810" s="16" t="n">
        <v>289908</v>
      </c>
      <c r="Y2810" s="16" t="n">
        <v>369908</v>
      </c>
      <c r="Z2810" s="16" t="n">
        <v>300151</v>
      </c>
      <c r="AB2810" s="16" t="n">
        <v>300151</v>
      </c>
      <c r="AC2810" s="23">
        <f>IF(OR(E2810="",E2810="[PARENT]"),"ADD",IF(E2810="[ALT_VIEW]","ALT",""))</f>
        <v/>
      </c>
      <c r="AD2810" s="21">
        <f>IF(Y2810&lt;&gt;"",Y2810,IF(U2810&lt;&gt;"",U2810,S2810))</f>
        <v/>
      </c>
      <c r="AE2810" s="21">
        <f>IF(AB2810&lt;&gt;"",AB2810,Z2810)</f>
        <v/>
      </c>
      <c r="AF2810" s="13" t="inlineStr">
        <is>
          <t>P-40 / BA03 / BSA01 Sonobuoys / LI 4048</t>
        </is>
      </c>
      <c r="AG2810" s="7" t="inlineStr">
        <is>
          <t>57</t>
        </is>
      </c>
      <c r="AH2810" s="7" t="inlineStr">
        <is>
          <t>4048</t>
        </is>
      </c>
      <c r="AI2810" s="7" t="inlineStr">
        <is>
          <t>Sonobuoys, All Types</t>
        </is>
      </c>
    </row>
    <row r="2811" ht="10" customHeight="1">
      <c r="A2811" s="7" t="inlineStr">
        <is>
          <t>OPN_BA3</t>
        </is>
      </c>
      <c r="B2811" s="7" t="inlineStr">
        <is>
          <t>Procurement</t>
        </is>
      </c>
      <c r="D2811" s="7" t="inlineStr">
        <is>
          <t>AN/SSQ-36 (BT) QZ001</t>
        </is>
      </c>
      <c r="E2811" s="13" t="inlineStr">
        <is>
          <t>[SUB]</t>
        </is>
      </c>
      <c r="F2811" s="7" t="inlineStr">
        <is>
          <t>112 / Sonobuoys - All Types</t>
        </is>
      </c>
      <c r="I2811" s="14" t="n">
        <v>6</v>
      </c>
      <c r="K2811" s="15" t="n"/>
      <c r="O2811" s="15" t="n"/>
      <c r="P2811" s="16" t="n">
        <v>2396</v>
      </c>
      <c r="Q2811" s="16" t="n">
        <v>4004</v>
      </c>
      <c r="S2811" s="16" t="n">
        <v>1590</v>
      </c>
      <c r="U2811" s="16" t="n">
        <v>1590</v>
      </c>
      <c r="AC2811" s="23">
        <f>IF(OR(E2811="",E2811="[PARENT]"),"ADD",IF(E2811="[ALT_VIEW]","ALT",""))</f>
        <v/>
      </c>
      <c r="AD2811" s="21">
        <f>IF(Y2811&lt;&gt;"",Y2811,IF(U2811&lt;&gt;"",U2811,S2811))</f>
        <v/>
      </c>
      <c r="AE2811" s="21">
        <f>IF(AB2811&lt;&gt;"",AB2811,Z2811)</f>
        <v/>
      </c>
      <c r="AF2811" s="13" t="inlineStr">
        <is>
          <t>P-5 Cost Analysis / LI 4048 / Hardware - Sonobuoys (Common)</t>
        </is>
      </c>
      <c r="AG2811" s="7" t="inlineStr">
        <is>
          <t>60</t>
        </is>
      </c>
      <c r="AH2811" s="7" t="inlineStr">
        <is>
          <t>4048</t>
        </is>
      </c>
      <c r="AI2811" s="7" t="inlineStr">
        <is>
          <t>Sonobuoys, All Types</t>
        </is>
      </c>
      <c r="AJ2811" s="7" t="inlineStr">
        <is>
          <t>QZ001</t>
        </is>
      </c>
    </row>
    <row r="2812" ht="10" customHeight="1">
      <c r="A2812" s="7" t="inlineStr">
        <is>
          <t>OPN_BA3</t>
        </is>
      </c>
      <c r="B2812" s="7" t="inlineStr">
        <is>
          <t>Procurement</t>
        </is>
      </c>
      <c r="D2812" s="7" t="inlineStr">
        <is>
          <t>AN/SSQ-53 (DIFAR) QZ002</t>
        </is>
      </c>
      <c r="E2812" s="13" t="inlineStr">
        <is>
          <t>[SUB]</t>
        </is>
      </c>
      <c r="F2812" s="7" t="inlineStr">
        <is>
          <t>112 / Sonobuoys - All Types</t>
        </is>
      </c>
      <c r="I2812" s="14" t="n">
        <v>6</v>
      </c>
      <c r="K2812" s="15" t="n"/>
      <c r="O2812" s="15" t="n"/>
      <c r="P2812" s="16" t="n">
        <v>133532</v>
      </c>
      <c r="Q2812" s="16" t="n">
        <v>176356</v>
      </c>
      <c r="S2812" s="16" t="n">
        <v>124802</v>
      </c>
      <c r="U2812" s="16" t="n">
        <v>124802</v>
      </c>
      <c r="AC2812" s="23">
        <f>IF(OR(E2812="",E2812="[PARENT]"),"ADD",IF(E2812="[ALT_VIEW]","ALT",""))</f>
        <v/>
      </c>
      <c r="AD2812" s="21">
        <f>IF(Y2812&lt;&gt;"",Y2812,IF(U2812&lt;&gt;"",U2812,S2812))</f>
        <v/>
      </c>
      <c r="AE2812" s="21">
        <f>IF(AB2812&lt;&gt;"",AB2812,Z2812)</f>
        <v/>
      </c>
      <c r="AF2812" s="13" t="inlineStr">
        <is>
          <t>P-5 Cost Analysis / LI 4048 / Hardware - Sonobuoys (Common)</t>
        </is>
      </c>
      <c r="AG2812" s="7" t="inlineStr">
        <is>
          <t>60</t>
        </is>
      </c>
      <c r="AH2812" s="7" t="inlineStr">
        <is>
          <t>4048</t>
        </is>
      </c>
      <c r="AI2812" s="7" t="inlineStr">
        <is>
          <t>Sonobuoys, All Types</t>
        </is>
      </c>
      <c r="AJ2812" s="7" t="inlineStr">
        <is>
          <t>QZ002</t>
        </is>
      </c>
    </row>
    <row r="2813" ht="10" customHeight="1">
      <c r="A2813" s="7" t="inlineStr">
        <is>
          <t>OPN_BA3</t>
        </is>
      </c>
      <c r="B2813" s="7" t="inlineStr">
        <is>
          <t>Procurement</t>
        </is>
      </c>
      <c r="D2813" s="7" t="inlineStr">
        <is>
          <t>AN/SSQ-62 (DICASS) QZ004</t>
        </is>
      </c>
      <c r="E2813" s="13" t="inlineStr">
        <is>
          <t>[SUB]</t>
        </is>
      </c>
      <c r="F2813" s="7" t="inlineStr">
        <is>
          <t>112 / Sonobuoys - All Types</t>
        </is>
      </c>
      <c r="I2813" s="14" t="n">
        <v>6</v>
      </c>
      <c r="K2813" s="15" t="n"/>
      <c r="O2813" s="15" t="n"/>
      <c r="P2813" s="16" t="n">
        <v>46840</v>
      </c>
      <c r="Q2813" s="16" t="n">
        <v>53014</v>
      </c>
      <c r="S2813" s="16" t="n">
        <v>27347</v>
      </c>
      <c r="U2813" s="16" t="n">
        <v>27347</v>
      </c>
      <c r="AC2813" s="23">
        <f>IF(OR(E2813="",E2813="[PARENT]"),"ADD",IF(E2813="[ALT_VIEW]","ALT",""))</f>
        <v/>
      </c>
      <c r="AD2813" s="21">
        <f>IF(Y2813&lt;&gt;"",Y2813,IF(U2813&lt;&gt;"",U2813,S2813))</f>
        <v/>
      </c>
      <c r="AE2813" s="21">
        <f>IF(AB2813&lt;&gt;"",AB2813,Z2813)</f>
        <v/>
      </c>
      <c r="AF2813" s="13" t="inlineStr">
        <is>
          <t>P-5 Cost Analysis / LI 4048 / Hardware - Sonobuoys (Common)</t>
        </is>
      </c>
      <c r="AG2813" s="7" t="inlineStr">
        <is>
          <t>60</t>
        </is>
      </c>
      <c r="AH2813" s="7" t="inlineStr">
        <is>
          <t>4048</t>
        </is>
      </c>
      <c r="AI2813" s="7" t="inlineStr">
        <is>
          <t>Sonobuoys, All Types</t>
        </is>
      </c>
      <c r="AJ2813" s="7" t="inlineStr">
        <is>
          <t>QZ004</t>
        </is>
      </c>
    </row>
    <row r="2814" ht="10" customHeight="1">
      <c r="A2814" s="7" t="inlineStr">
        <is>
          <t>OPN_BA3</t>
        </is>
      </c>
      <c r="B2814" s="7" t="inlineStr">
        <is>
          <t>Procurement</t>
        </is>
      </c>
      <c r="D2814" s="7" t="inlineStr">
        <is>
          <t>AN/SSQ-101 (Multi-static Coherent Receiver) QZ006</t>
        </is>
      </c>
      <c r="E2814" s="13" t="inlineStr">
        <is>
          <t>[SUB]</t>
        </is>
      </c>
      <c r="F2814" s="7" t="inlineStr">
        <is>
          <t>112 / Sonobuoys - All Types</t>
        </is>
      </c>
      <c r="I2814" s="14" t="n">
        <v>6</v>
      </c>
      <c r="K2814" s="15" t="n"/>
      <c r="O2814" s="15" t="n"/>
      <c r="P2814" s="16" t="n">
        <v>2719</v>
      </c>
      <c r="Q2814" s="16" t="n">
        <v>11212</v>
      </c>
      <c r="S2814" s="16" t="n">
        <v>18624</v>
      </c>
      <c r="U2814" s="16" t="n">
        <v>18624</v>
      </c>
      <c r="AC2814" s="23">
        <f>IF(OR(E2814="",E2814="[PARENT]"),"ADD",IF(E2814="[ALT_VIEW]","ALT",""))</f>
        <v/>
      </c>
      <c r="AD2814" s="21">
        <f>IF(Y2814&lt;&gt;"",Y2814,IF(U2814&lt;&gt;"",U2814,S2814))</f>
        <v/>
      </c>
      <c r="AE2814" s="21">
        <f>IF(AB2814&lt;&gt;"",AB2814,Z2814)</f>
        <v/>
      </c>
      <c r="AF2814" s="13" t="inlineStr">
        <is>
          <t>P-5 Cost Analysis / LI 4048 / Hardware - Sonobuoys (Multistatic)</t>
        </is>
      </c>
      <c r="AG2814" s="7" t="inlineStr">
        <is>
          <t>60</t>
        </is>
      </c>
      <c r="AH2814" s="7" t="inlineStr">
        <is>
          <t>4048</t>
        </is>
      </c>
      <c r="AI2814" s="7" t="inlineStr">
        <is>
          <t>Sonobuoys, All Types</t>
        </is>
      </c>
      <c r="AJ2814" s="7" t="inlineStr">
        <is>
          <t>QZ006</t>
        </is>
      </c>
    </row>
    <row r="2815" ht="10" customHeight="1">
      <c r="A2815" s="7" t="inlineStr">
        <is>
          <t>OPN_BA3</t>
        </is>
      </c>
      <c r="B2815" s="7" t="inlineStr">
        <is>
          <t>Procurement</t>
        </is>
      </c>
      <c r="D2815" s="7" t="inlineStr">
        <is>
          <t>AN/SSQ-125/125A (Multi-static Coherent Source) QZ010</t>
        </is>
      </c>
      <c r="E2815" s="13" t="inlineStr">
        <is>
          <t>[SUB]</t>
        </is>
      </c>
      <c r="F2815" s="7" t="inlineStr">
        <is>
          <t>112 / Sonobuoys - All Types</t>
        </is>
      </c>
      <c r="I2815" s="14" t="n">
        <v>6</v>
      </c>
      <c r="K2815" s="15" t="n"/>
      <c r="O2815" s="15" t="n"/>
      <c r="P2815" s="16" t="n">
        <v>113128</v>
      </c>
      <c r="Q2815" s="16" t="n">
        <v>66404</v>
      </c>
      <c r="AC2815" s="23">
        <f>IF(OR(E2815="",E2815="[PARENT]"),"ADD",IF(E2815="[ALT_VIEW]","ALT",""))</f>
        <v/>
      </c>
      <c r="AD2815" s="21">
        <f>IF(Y2815&lt;&gt;"",Y2815,IF(U2815&lt;&gt;"",U2815,S2815))</f>
        <v/>
      </c>
      <c r="AE2815" s="21">
        <f>IF(AB2815&lt;&gt;"",AB2815,Z2815)</f>
        <v/>
      </c>
      <c r="AF2815" s="13" t="inlineStr">
        <is>
          <t>P-5 Cost Analysis / LI 4048 / Hardware - Sonobuoys (Multistatic)</t>
        </is>
      </c>
      <c r="AG2815" s="7" t="inlineStr">
        <is>
          <t>60</t>
        </is>
      </c>
      <c r="AH2815" s="7" t="inlineStr">
        <is>
          <t>4048</t>
        </is>
      </c>
      <c r="AI2815" s="7" t="inlineStr">
        <is>
          <t>Sonobuoys, All Types</t>
        </is>
      </c>
      <c r="AJ2815" s="7" t="inlineStr">
        <is>
          <t>QZ010</t>
        </is>
      </c>
    </row>
    <row r="2816" ht="10" customHeight="1">
      <c r="A2816" s="7" t="inlineStr">
        <is>
          <t>OPN_BA3</t>
        </is>
      </c>
      <c r="B2816" s="7" t="inlineStr">
        <is>
          <t>Procurement</t>
        </is>
      </c>
      <c r="D2816" s="7" t="inlineStr">
        <is>
          <t>AN/SSQ-125B (Multi-static Coherent Source)</t>
        </is>
      </c>
      <c r="E2816" s="13" t="inlineStr">
        <is>
          <t>[SUB]</t>
        </is>
      </c>
      <c r="F2816" s="7" t="inlineStr">
        <is>
          <t>112 / Sonobuoys - All Types</t>
        </is>
      </c>
      <c r="I2816" s="14" t="n">
        <v>6</v>
      </c>
      <c r="K2816" s="15" t="n"/>
      <c r="O2816" s="15" t="n"/>
      <c r="Q2816" s="16" t="n">
        <v>29991</v>
      </c>
      <c r="S2816" s="16" t="n">
        <v>64766</v>
      </c>
      <c r="U2816" s="16" t="n">
        <v>64766</v>
      </c>
      <c r="AC2816" s="23">
        <f>IF(OR(E2816="",E2816="[PARENT]"),"ADD",IF(E2816="[ALT_VIEW]","ALT",""))</f>
        <v/>
      </c>
      <c r="AD2816" s="21">
        <f>IF(Y2816&lt;&gt;"",Y2816,IF(U2816&lt;&gt;"",U2816,S2816))</f>
        <v/>
      </c>
      <c r="AE2816" s="21">
        <f>IF(AB2816&lt;&gt;"",AB2816,Z2816)</f>
        <v/>
      </c>
      <c r="AF2816" s="13" t="inlineStr">
        <is>
          <t>P-5 Cost Analysis / LI 4048 / Hardware - Sonobuoys (Multistatic)</t>
        </is>
      </c>
      <c r="AG2816" s="7" t="inlineStr">
        <is>
          <t>61</t>
        </is>
      </c>
      <c r="AH2816" s="7" t="inlineStr">
        <is>
          <t>4048</t>
        </is>
      </c>
      <c r="AI2816" s="7" t="inlineStr">
        <is>
          <t>Sonobuoys, All Types</t>
        </is>
      </c>
    </row>
    <row r="2817" ht="10" customHeight="1">
      <c r="A2817" s="7" t="inlineStr">
        <is>
          <t>OPN_BA3</t>
        </is>
      </c>
      <c r="B2817" s="7" t="inlineStr">
        <is>
          <t>Procurement</t>
        </is>
      </c>
      <c r="D2817" s="7" t="inlineStr">
        <is>
          <t>SUS MK84 QZ012</t>
        </is>
      </c>
      <c r="E2817" s="13" t="inlineStr">
        <is>
          <t>[SUB]</t>
        </is>
      </c>
      <c r="F2817" s="7" t="inlineStr">
        <is>
          <t>112 / Sonobuoys - All Types</t>
        </is>
      </c>
      <c r="I2817" s="14" t="n">
        <v>6</v>
      </c>
      <c r="K2817" s="15" t="n"/>
      <c r="O2817" s="15" t="n"/>
      <c r="AC2817" s="23">
        <f>IF(OR(E2817="",E2817="[PARENT]"),"ADD",IF(E2817="[ALT_VIEW]","ALT",""))</f>
        <v/>
      </c>
      <c r="AD2817" s="21">
        <f>IF(Y2817&lt;&gt;"",Y2817,IF(U2817&lt;&gt;"",U2817,S2817))</f>
        <v/>
      </c>
      <c r="AE2817" s="21">
        <f>IF(AB2817&lt;&gt;"",AB2817,Z2817)</f>
        <v/>
      </c>
      <c r="AF2817" s="13" t="inlineStr">
        <is>
          <t>P-5 Cost Analysis / LI 4048 / Hardware - Sonobuoys (Other)</t>
        </is>
      </c>
      <c r="AG2817" s="7" t="inlineStr">
        <is>
          <t>61</t>
        </is>
      </c>
      <c r="AH2817" s="7" t="inlineStr">
        <is>
          <t>4048</t>
        </is>
      </c>
      <c r="AI2817" s="7" t="inlineStr">
        <is>
          <t>Sonobuoys, All Types</t>
        </is>
      </c>
      <c r="AJ2817" s="7" t="inlineStr">
        <is>
          <t>QZ012</t>
        </is>
      </c>
    </row>
    <row r="2818" ht="10" customHeight="1">
      <c r="A2818" s="7" t="inlineStr">
        <is>
          <t>OPN_BA3</t>
        </is>
      </c>
      <c r="B2818" s="7" t="inlineStr">
        <is>
          <t>Procurement</t>
        </is>
      </c>
      <c r="D2818" s="7" t="inlineStr">
        <is>
          <t>Common Acceptance Testing QZ860</t>
        </is>
      </c>
      <c r="E2818" s="13" t="inlineStr">
        <is>
          <t>[SUB]</t>
        </is>
      </c>
      <c r="F2818" s="7" t="inlineStr">
        <is>
          <t>112 / Sonobuoys - All Types</t>
        </is>
      </c>
      <c r="I2818" s="14" t="n">
        <v>6</v>
      </c>
      <c r="K2818" s="15" t="n"/>
      <c r="O2818" s="15" t="n"/>
      <c r="P2818" s="16" t="n">
        <v>3444</v>
      </c>
      <c r="Q2818" s="16" t="n">
        <v>3379</v>
      </c>
      <c r="S2818" s="16" t="n">
        <v>3474</v>
      </c>
      <c r="U2818" s="16" t="n">
        <v>3474</v>
      </c>
      <c r="AC2818" s="23">
        <f>IF(OR(E2818="",E2818="[PARENT]"),"ADD",IF(E2818="[ALT_VIEW]","ALT",""))</f>
        <v/>
      </c>
      <c r="AD2818" s="21">
        <f>IF(Y2818&lt;&gt;"",Y2818,IF(U2818&lt;&gt;"",U2818,S2818))</f>
        <v/>
      </c>
      <c r="AE2818" s="21">
        <f>IF(AB2818&lt;&gt;"",AB2818,Z2818)</f>
        <v/>
      </c>
      <c r="AF2818" s="13" t="inlineStr">
        <is>
          <t>P-5 Cost Analysis / LI 4048 / Hardware - Acceptance Testing</t>
        </is>
      </c>
      <c r="AG2818" s="7" t="inlineStr">
        <is>
          <t>61</t>
        </is>
      </c>
      <c r="AH2818" s="7" t="inlineStr">
        <is>
          <t>4048</t>
        </is>
      </c>
      <c r="AI2818" s="7" t="inlineStr">
        <is>
          <t>Sonobuoys, All Types</t>
        </is>
      </c>
      <c r="AJ2818" s="7" t="inlineStr">
        <is>
          <t>QZ860</t>
        </is>
      </c>
    </row>
    <row r="2819" ht="10" customHeight="1">
      <c r="A2819" s="7" t="inlineStr">
        <is>
          <t>OPN_BA3</t>
        </is>
      </c>
      <c r="B2819" s="7" t="inlineStr">
        <is>
          <t>Procurement</t>
        </is>
      </c>
      <c r="D2819" s="7" t="inlineStr">
        <is>
          <t>Multi-static Acceptance Testing QZ860</t>
        </is>
      </c>
      <c r="E2819" s="13" t="inlineStr">
        <is>
          <t>[SUB]</t>
        </is>
      </c>
      <c r="F2819" s="7" t="inlineStr">
        <is>
          <t>112 / Sonobuoys - All Types</t>
        </is>
      </c>
      <c r="I2819" s="14" t="n">
        <v>6</v>
      </c>
      <c r="K2819" s="15" t="n"/>
      <c r="O2819" s="15" t="n"/>
      <c r="P2819" s="16" t="n">
        <v>3803</v>
      </c>
      <c r="Q2819" s="16" t="n">
        <v>3962</v>
      </c>
      <c r="S2819" s="16" t="n">
        <v>4041</v>
      </c>
      <c r="U2819" s="16" t="n">
        <v>4041</v>
      </c>
      <c r="AC2819" s="23">
        <f>IF(OR(E2819="",E2819="[PARENT]"),"ADD",IF(E2819="[ALT_VIEW]","ALT",""))</f>
        <v/>
      </c>
      <c r="AD2819" s="21">
        <f>IF(Y2819&lt;&gt;"",Y2819,IF(U2819&lt;&gt;"",U2819,S2819))</f>
        <v/>
      </c>
      <c r="AE2819" s="21">
        <f>IF(AB2819&lt;&gt;"",AB2819,Z2819)</f>
        <v/>
      </c>
      <c r="AF2819" s="13" t="inlineStr">
        <is>
          <t>P-5 Cost Analysis / LI 4048 / Hardware - Acceptance Testing</t>
        </is>
      </c>
      <c r="AG2819" s="7" t="inlineStr">
        <is>
          <t>61</t>
        </is>
      </c>
      <c r="AH2819" s="7" t="inlineStr">
        <is>
          <t>4048</t>
        </is>
      </c>
      <c r="AI2819" s="7" t="inlineStr">
        <is>
          <t>Sonobuoys, All Types</t>
        </is>
      </c>
      <c r="AJ2819" s="7" t="inlineStr">
        <is>
          <t>QZ860</t>
        </is>
      </c>
    </row>
    <row r="2820" ht="10" customHeight="1">
      <c r="A2820" s="7" t="inlineStr">
        <is>
          <t>OPN_BA3</t>
        </is>
      </c>
      <c r="B2820" s="7" t="inlineStr">
        <is>
          <t>Procurement</t>
        </is>
      </c>
      <c r="D2820" s="7" t="inlineStr">
        <is>
          <t>Other Acceptance Testing QZ860</t>
        </is>
      </c>
      <c r="E2820" s="13" t="inlineStr">
        <is>
          <t>[SUB]</t>
        </is>
      </c>
      <c r="F2820" s="7" t="inlineStr">
        <is>
          <t>112 / Sonobuoys - All Types</t>
        </is>
      </c>
      <c r="I2820" s="14" t="n">
        <v>6</v>
      </c>
      <c r="K2820" s="15" t="n"/>
      <c r="O2820" s="15" t="n"/>
      <c r="AC2820" s="23">
        <f>IF(OR(E2820="",E2820="[PARENT]"),"ADD",IF(E2820="[ALT_VIEW]","ALT",""))</f>
        <v/>
      </c>
      <c r="AD2820" s="21">
        <f>IF(Y2820&lt;&gt;"",Y2820,IF(U2820&lt;&gt;"",U2820,S2820))</f>
        <v/>
      </c>
      <c r="AE2820" s="21">
        <f>IF(AB2820&lt;&gt;"",AB2820,Z2820)</f>
        <v/>
      </c>
      <c r="AF2820" s="13" t="inlineStr">
        <is>
          <t>P-5 Cost Analysis / LI 4048 / Hardware - Acceptance Testing</t>
        </is>
      </c>
      <c r="AG2820" s="7" t="inlineStr">
        <is>
          <t>61</t>
        </is>
      </c>
      <c r="AH2820" s="7" t="inlineStr">
        <is>
          <t>4048</t>
        </is>
      </c>
      <c r="AI2820" s="7" t="inlineStr">
        <is>
          <t>Sonobuoys, All Types</t>
        </is>
      </c>
      <c r="AJ2820" s="7" t="inlineStr">
        <is>
          <t>QZ860</t>
        </is>
      </c>
    </row>
    <row r="2821" ht="10" customHeight="1">
      <c r="A2821" s="7" t="inlineStr">
        <is>
          <t>OPN_BA3</t>
        </is>
      </c>
      <c r="B2821" s="7" t="inlineStr">
        <is>
          <t>Procurement</t>
        </is>
      </c>
      <c r="D2821" s="7" t="inlineStr">
        <is>
          <t>Common Production Engineering QZ830</t>
        </is>
      </c>
      <c r="E2821" s="13" t="inlineStr">
        <is>
          <t>[SUB]</t>
        </is>
      </c>
      <c r="F2821" s="7" t="inlineStr">
        <is>
          <t>112 / Sonobuoys - All Types</t>
        </is>
      </c>
      <c r="I2821" s="14" t="n">
        <v>6</v>
      </c>
      <c r="K2821" s="15" t="n"/>
      <c r="O2821" s="15" t="n"/>
      <c r="P2821" s="16" t="n">
        <v>2555</v>
      </c>
      <c r="Q2821" s="16" t="n">
        <v>2575</v>
      </c>
      <c r="S2821" s="16" t="n">
        <v>2626</v>
      </c>
      <c r="U2821" s="16" t="n">
        <v>2626</v>
      </c>
      <c r="AC2821" s="23">
        <f>IF(OR(E2821="",E2821="[PARENT]"),"ADD",IF(E2821="[ALT_VIEW]","ALT",""))</f>
        <v/>
      </c>
      <c r="AD2821" s="21">
        <f>IF(Y2821&lt;&gt;"",Y2821,IF(U2821&lt;&gt;"",U2821,S2821))</f>
        <v/>
      </c>
      <c r="AE2821" s="21">
        <f>IF(AB2821&lt;&gt;"",AB2821,Z2821)</f>
        <v/>
      </c>
      <c r="AF2821" s="13" t="inlineStr">
        <is>
          <t>P-5 Cost Analysis / LI 4048 / Support - Production Engineering</t>
        </is>
      </c>
      <c r="AG2821" s="7" t="inlineStr">
        <is>
          <t>62</t>
        </is>
      </c>
      <c r="AH2821" s="7" t="inlineStr">
        <is>
          <t>4048</t>
        </is>
      </c>
      <c r="AI2821" s="7" t="inlineStr">
        <is>
          <t>Sonobuoys, All Types</t>
        </is>
      </c>
      <c r="AJ2821" s="7" t="inlineStr">
        <is>
          <t>QZ830</t>
        </is>
      </c>
    </row>
    <row r="2822" ht="10" customHeight="1">
      <c r="A2822" s="7" t="inlineStr">
        <is>
          <t>OPN_BA3</t>
        </is>
      </c>
      <c r="B2822" s="7" t="inlineStr">
        <is>
          <t>Procurement</t>
        </is>
      </c>
      <c r="D2822" s="7" t="inlineStr">
        <is>
          <t>Multi-static Production Engineering QZ830</t>
        </is>
      </c>
      <c r="E2822" s="13" t="inlineStr">
        <is>
          <t>[SUB]</t>
        </is>
      </c>
      <c r="F2822" s="7" t="inlineStr">
        <is>
          <t>112 / Sonobuoys - All Types</t>
        </is>
      </c>
      <c r="I2822" s="14" t="n">
        <v>6</v>
      </c>
      <c r="K2822" s="15" t="n"/>
      <c r="O2822" s="15" t="n"/>
      <c r="P2822" s="16" t="n">
        <v>2555</v>
      </c>
      <c r="Q2822" s="16" t="n">
        <v>2544</v>
      </c>
      <c r="S2822" s="16" t="n">
        <v>2638</v>
      </c>
      <c r="U2822" s="16" t="n">
        <v>2638</v>
      </c>
      <c r="AC2822" s="23">
        <f>IF(OR(E2822="",E2822="[PARENT]"),"ADD",IF(E2822="[ALT_VIEW]","ALT",""))</f>
        <v/>
      </c>
      <c r="AD2822" s="21">
        <f>IF(Y2822&lt;&gt;"",Y2822,IF(U2822&lt;&gt;"",U2822,S2822))</f>
        <v/>
      </c>
      <c r="AE2822" s="21">
        <f>IF(AB2822&lt;&gt;"",AB2822,Z2822)</f>
        <v/>
      </c>
      <c r="AF2822" s="13" t="inlineStr">
        <is>
          <t>P-5 Cost Analysis / LI 4048 / Support - Production Engineering</t>
        </is>
      </c>
      <c r="AG2822" s="7" t="inlineStr">
        <is>
          <t>62</t>
        </is>
      </c>
      <c r="AH2822" s="7" t="inlineStr">
        <is>
          <t>4048</t>
        </is>
      </c>
      <c r="AI2822" s="7" t="inlineStr">
        <is>
          <t>Sonobuoys, All Types</t>
        </is>
      </c>
      <c r="AJ2822" s="7" t="inlineStr">
        <is>
          <t>QZ830</t>
        </is>
      </c>
    </row>
    <row r="2823" ht="10" customHeight="1">
      <c r="A2823" s="7" t="inlineStr">
        <is>
          <t>OPN_BA3</t>
        </is>
      </c>
      <c r="B2823" s="7" t="inlineStr">
        <is>
          <t>Procurement</t>
        </is>
      </c>
      <c r="C2823" s="7" t="inlineStr">
        <is>
          <t>113</t>
        </is>
      </c>
      <c r="D2823" s="7" t="inlineStr">
        <is>
          <t>Minotaur</t>
        </is>
      </c>
      <c r="E2823" s="13" t="inlineStr">
        <is>
          <t>[PARENT]</t>
        </is>
      </c>
      <c r="I2823" s="14" t="n">
        <v>4</v>
      </c>
      <c r="K2823" s="15" t="n"/>
      <c r="O2823" s="15" t="n"/>
      <c r="P2823" s="16" t="n">
        <v>5392</v>
      </c>
      <c r="Q2823" s="16" t="n">
        <v>5431</v>
      </c>
      <c r="S2823" s="16" t="n">
        <v>5191</v>
      </c>
      <c r="U2823" s="16" t="n">
        <v>5191</v>
      </c>
      <c r="X2823" s="16" t="n">
        <v>5191</v>
      </c>
      <c r="Y2823" s="16" t="n">
        <v>5191</v>
      </c>
      <c r="Z2823" s="16" t="n">
        <v>4831</v>
      </c>
      <c r="AB2823" s="16" t="n">
        <v>4831</v>
      </c>
      <c r="AC2823" s="23">
        <f>IF(OR(E2823="",E2823="[PARENT]"),"ADD",IF(E2823="[ALT_VIEW]","ALT",""))</f>
        <v/>
      </c>
      <c r="AD2823" s="21">
        <f>IF(Y2823&lt;&gt;"",Y2823,IF(U2823&lt;&gt;"",U2823,S2823))</f>
        <v/>
      </c>
      <c r="AE2823" s="21">
        <f>IF(AB2823&lt;&gt;"",AB2823,Z2823)</f>
        <v/>
      </c>
      <c r="AF2823" s="13" t="inlineStr">
        <is>
          <t>P-40 / BA03 / BSA03 Aircraft Support Equipment / LI 3640</t>
        </is>
      </c>
      <c r="AG2823" s="7" t="inlineStr">
        <is>
          <t>85</t>
        </is>
      </c>
      <c r="AH2823" s="7" t="inlineStr">
        <is>
          <t>3640</t>
        </is>
      </c>
      <c r="AI2823" s="7" t="inlineStr">
        <is>
          <t>Minotaur</t>
        </is>
      </c>
    </row>
    <row r="2824" ht="10" customHeight="1">
      <c r="A2824" s="7" t="inlineStr">
        <is>
          <t>OPN_BA3</t>
        </is>
      </c>
      <c r="B2824" s="7" t="inlineStr">
        <is>
          <t>Procurement</t>
        </is>
      </c>
      <c r="D2824" s="7" t="inlineStr">
        <is>
          <t>Ship-Based Hardware</t>
        </is>
      </c>
      <c r="E2824" s="13" t="inlineStr">
        <is>
          <t>[SUB]</t>
        </is>
      </c>
      <c r="F2824" s="7" t="inlineStr">
        <is>
          <t>113 / Minotaur</t>
        </is>
      </c>
      <c r="I2824" s="14" t="n">
        <v>4</v>
      </c>
      <c r="K2824" s="15" t="n"/>
      <c r="O2824" s="15" t="n"/>
      <c r="P2824" s="16" t="n">
        <v>1721</v>
      </c>
      <c r="Q2824" s="16" t="n">
        <v>1777</v>
      </c>
      <c r="S2824" s="16" t="n">
        <v>1811</v>
      </c>
      <c r="U2824" s="16" t="n">
        <v>1811</v>
      </c>
      <c r="AC2824" s="23">
        <f>IF(OR(E2824="",E2824="[PARENT]"),"ADD",IF(E2824="[ALT_VIEW]","ALT",""))</f>
        <v/>
      </c>
      <c r="AD2824" s="21">
        <f>IF(Y2824&lt;&gt;"",Y2824,IF(U2824&lt;&gt;"",U2824,S2824))</f>
        <v/>
      </c>
      <c r="AE2824" s="21">
        <f>IF(AB2824&lt;&gt;"",AB2824,Z2824)</f>
        <v/>
      </c>
      <c r="AF2824" s="13" t="inlineStr">
        <is>
          <t>P-5 Cost Analysis / LI 3640 / Hardware (Recurring)</t>
        </is>
      </c>
      <c r="AG2824" s="7" t="inlineStr">
        <is>
          <t>87</t>
        </is>
      </c>
      <c r="AH2824" s="7" t="inlineStr">
        <is>
          <t>3640</t>
        </is>
      </c>
      <c r="AI2824" s="7" t="inlineStr">
        <is>
          <t>Minotaur</t>
        </is>
      </c>
    </row>
    <row r="2825" ht="10" customHeight="1">
      <c r="A2825" s="7" t="inlineStr">
        <is>
          <t>OPN_BA3</t>
        </is>
      </c>
      <c r="B2825" s="7" t="inlineStr">
        <is>
          <t>Procurement</t>
        </is>
      </c>
      <c r="D2825" s="7" t="inlineStr">
        <is>
          <t>Shore-Based Hardware</t>
        </is>
      </c>
      <c r="E2825" s="13" t="inlineStr">
        <is>
          <t>[SUB]</t>
        </is>
      </c>
      <c r="F2825" s="7" t="inlineStr">
        <is>
          <t>113 / Minotaur</t>
        </is>
      </c>
      <c r="I2825" s="14" t="n">
        <v>6</v>
      </c>
      <c r="K2825" s="15" t="n"/>
      <c r="O2825" s="15" t="n"/>
      <c r="P2825" s="16" t="n">
        <v>1843</v>
      </c>
      <c r="Q2825" s="16" t="n">
        <v>1884</v>
      </c>
      <c r="S2825" s="16" t="n">
        <v>1921</v>
      </c>
      <c r="U2825" s="16" t="n">
        <v>1921</v>
      </c>
      <c r="AC2825" s="23">
        <f>IF(OR(E2825="",E2825="[PARENT]"),"ADD",IF(E2825="[ALT_VIEW]","ALT",""))</f>
        <v/>
      </c>
      <c r="AD2825" s="21">
        <f>IF(Y2825&lt;&gt;"",Y2825,IF(U2825&lt;&gt;"",U2825,S2825))</f>
        <v/>
      </c>
      <c r="AE2825" s="21">
        <f>IF(AB2825&lt;&gt;"",AB2825,Z2825)</f>
        <v/>
      </c>
      <c r="AF2825" s="13" t="inlineStr">
        <is>
          <t>P-5 Cost Analysis / LI 3640 / Hardware (Recurring)</t>
        </is>
      </c>
      <c r="AG2825" s="7" t="inlineStr">
        <is>
          <t>87</t>
        </is>
      </c>
      <c r="AH2825" s="7" t="inlineStr">
        <is>
          <t>3640</t>
        </is>
      </c>
      <c r="AI2825" s="7" t="inlineStr">
        <is>
          <t>Minotaur</t>
        </is>
      </c>
    </row>
    <row r="2826" ht="10" customHeight="1">
      <c r="A2826" s="7" t="inlineStr">
        <is>
          <t>OPN_BA3</t>
        </is>
      </c>
      <c r="B2826" s="7" t="inlineStr">
        <is>
          <t>Procurement</t>
        </is>
      </c>
      <c r="D2826" s="7" t="inlineStr">
        <is>
          <t>Data</t>
        </is>
      </c>
      <c r="E2826" s="13" t="inlineStr">
        <is>
          <t>[SUB]</t>
        </is>
      </c>
      <c r="F2826" s="7" t="inlineStr">
        <is>
          <t>113 / Minotaur</t>
        </is>
      </c>
      <c r="I2826" s="14" t="n">
        <v>6</v>
      </c>
      <c r="K2826" s="15" t="n"/>
      <c r="O2826" s="15" t="n"/>
      <c r="P2826" s="16" t="n">
        <v>218</v>
      </c>
      <c r="Q2826" s="16" t="n">
        <v>206</v>
      </c>
      <c r="S2826" s="16" t="n">
        <v>175</v>
      </c>
      <c r="U2826" s="16" t="n">
        <v>175</v>
      </c>
      <c r="AC2826" s="23">
        <f>IF(OR(E2826="",E2826="[PARENT]"),"ADD",IF(E2826="[ALT_VIEW]","ALT",""))</f>
        <v/>
      </c>
      <c r="AD2826" s="21">
        <f>IF(Y2826&lt;&gt;"",Y2826,IF(U2826&lt;&gt;"",U2826,S2826))</f>
        <v/>
      </c>
      <c r="AE2826" s="21">
        <f>IF(AB2826&lt;&gt;"",AB2826,Z2826)</f>
        <v/>
      </c>
      <c r="AF2826" s="13" t="inlineStr">
        <is>
          <t>P-5 Cost Analysis / LI 3640 / Support</t>
        </is>
      </c>
      <c r="AG2826" s="7" t="inlineStr">
        <is>
          <t>87</t>
        </is>
      </c>
      <c r="AH2826" s="7" t="inlineStr">
        <is>
          <t>3640</t>
        </is>
      </c>
      <c r="AI2826" s="7" t="inlineStr">
        <is>
          <t>Minotaur</t>
        </is>
      </c>
    </row>
    <row r="2827" ht="10" customHeight="1">
      <c r="A2827" s="7" t="inlineStr">
        <is>
          <t>OPN_BA3</t>
        </is>
      </c>
      <c r="B2827" s="7" t="inlineStr">
        <is>
          <t>Procurement</t>
        </is>
      </c>
      <c r="D2827" s="7" t="inlineStr">
        <is>
          <t>Training Equipment</t>
        </is>
      </c>
      <c r="E2827" s="13" t="inlineStr">
        <is>
          <t>[SUB]</t>
        </is>
      </c>
      <c r="F2827" s="7" t="inlineStr">
        <is>
          <t>113 / Minotaur</t>
        </is>
      </c>
      <c r="I2827" s="14" t="n">
        <v>6</v>
      </c>
      <c r="K2827" s="15" t="n"/>
      <c r="O2827" s="15" t="n"/>
      <c r="P2827" s="16" t="n">
        <v>550</v>
      </c>
      <c r="Q2827" s="16" t="n">
        <v>541</v>
      </c>
      <c r="S2827" s="16" t="n">
        <v>461</v>
      </c>
      <c r="U2827" s="16" t="n">
        <v>461</v>
      </c>
      <c r="AC2827" s="23">
        <f>IF(OR(E2827="",E2827="[PARENT]"),"ADD",IF(E2827="[ALT_VIEW]","ALT",""))</f>
        <v/>
      </c>
      <c r="AD2827" s="21">
        <f>IF(Y2827&lt;&gt;"",Y2827,IF(U2827&lt;&gt;"",U2827,S2827))</f>
        <v/>
      </c>
      <c r="AE2827" s="21">
        <f>IF(AB2827&lt;&gt;"",AB2827,Z2827)</f>
        <v/>
      </c>
      <c r="AF2827" s="13" t="inlineStr">
        <is>
          <t>P-5 Cost Analysis / LI 3640 / Support</t>
        </is>
      </c>
      <c r="AG2827" s="7" t="inlineStr">
        <is>
          <t>87</t>
        </is>
      </c>
      <c r="AH2827" s="7" t="inlineStr">
        <is>
          <t>3640</t>
        </is>
      </c>
      <c r="AI2827" s="7" t="inlineStr">
        <is>
          <t>Minotaur</t>
        </is>
      </c>
    </row>
    <row r="2828" ht="10" customHeight="1">
      <c r="A2828" s="7" t="inlineStr">
        <is>
          <t>OPN_BA3</t>
        </is>
      </c>
      <c r="B2828" s="7" t="inlineStr">
        <is>
          <t>Procurement</t>
        </is>
      </c>
      <c r="D2828" s="7" t="inlineStr">
        <is>
          <t>Support Equipment</t>
        </is>
      </c>
      <c r="E2828" s="13" t="inlineStr">
        <is>
          <t>[SUB]</t>
        </is>
      </c>
      <c r="F2828" s="7" t="inlineStr">
        <is>
          <t>113 / Minotaur</t>
        </is>
      </c>
      <c r="I2828" s="14" t="n">
        <v>6</v>
      </c>
      <c r="K2828" s="15" t="n"/>
      <c r="O2828" s="15" t="n"/>
      <c r="P2828" s="16" t="n">
        <v>573</v>
      </c>
      <c r="Q2828" s="16" t="n">
        <v>567</v>
      </c>
      <c r="S2828" s="16" t="n">
        <v>445</v>
      </c>
      <c r="U2828" s="16" t="n">
        <v>445</v>
      </c>
      <c r="AC2828" s="23">
        <f>IF(OR(E2828="",E2828="[PARENT]"),"ADD",IF(E2828="[ALT_VIEW]","ALT",""))</f>
        <v/>
      </c>
      <c r="AD2828" s="21">
        <f>IF(Y2828&lt;&gt;"",Y2828,IF(U2828&lt;&gt;"",U2828,S2828))</f>
        <v/>
      </c>
      <c r="AE2828" s="21">
        <f>IF(AB2828&lt;&gt;"",AB2828,Z2828)</f>
        <v/>
      </c>
      <c r="AF2828" s="13" t="inlineStr">
        <is>
          <t>P-5 Cost Analysis / LI 3640 / Support</t>
        </is>
      </c>
      <c r="AG2828" s="7" t="inlineStr">
        <is>
          <t>87</t>
        </is>
      </c>
      <c r="AH2828" s="7" t="inlineStr">
        <is>
          <t>3640</t>
        </is>
      </c>
      <c r="AI2828" s="7" t="inlineStr">
        <is>
          <t>Minotaur</t>
        </is>
      </c>
    </row>
    <row r="2829" ht="10" customHeight="1">
      <c r="A2829" s="7" t="inlineStr">
        <is>
          <t>OPN_BA3</t>
        </is>
      </c>
      <c r="B2829" s="7" t="inlineStr">
        <is>
          <t>Procurement</t>
        </is>
      </c>
      <c r="D2829" s="7" t="inlineStr">
        <is>
          <t>ILS</t>
        </is>
      </c>
      <c r="E2829" s="13" t="inlineStr">
        <is>
          <t>[SUB]</t>
        </is>
      </c>
      <c r="F2829" s="7" t="inlineStr">
        <is>
          <t>113 / Minotaur</t>
        </is>
      </c>
      <c r="I2829" s="14" t="n">
        <v>6</v>
      </c>
      <c r="K2829" s="15" t="n"/>
      <c r="O2829" s="15" t="n"/>
      <c r="P2829" s="16" t="n">
        <v>160</v>
      </c>
      <c r="Q2829" s="16" t="n">
        <v>138</v>
      </c>
      <c r="S2829" s="16" t="n">
        <v>118</v>
      </c>
      <c r="U2829" s="16" t="n">
        <v>118</v>
      </c>
      <c r="AC2829" s="23">
        <f>IF(OR(E2829="",E2829="[PARENT]"),"ADD",IF(E2829="[ALT_VIEW]","ALT",""))</f>
        <v/>
      </c>
      <c r="AD2829" s="21">
        <f>IF(Y2829&lt;&gt;"",Y2829,IF(U2829&lt;&gt;"",U2829,S2829))</f>
        <v/>
      </c>
      <c r="AE2829" s="21">
        <f>IF(AB2829&lt;&gt;"",AB2829,Z2829)</f>
        <v/>
      </c>
      <c r="AF2829" s="13" t="inlineStr">
        <is>
          <t>P-5 Cost Analysis / LI 3640 / Support</t>
        </is>
      </c>
      <c r="AG2829" s="7" t="inlineStr">
        <is>
          <t>87</t>
        </is>
      </c>
      <c r="AH2829" s="7" t="inlineStr">
        <is>
          <t>3640</t>
        </is>
      </c>
      <c r="AI2829" s="7" t="inlineStr">
        <is>
          <t>Minotaur</t>
        </is>
      </c>
    </row>
    <row r="2830" ht="10" customHeight="1">
      <c r="A2830" s="7" t="inlineStr">
        <is>
          <t>OPN_BA3</t>
        </is>
      </c>
      <c r="B2830" s="7" t="inlineStr">
        <is>
          <t>Procurement</t>
        </is>
      </c>
      <c r="D2830" s="7" t="inlineStr">
        <is>
          <t>Other Support</t>
        </is>
      </c>
      <c r="E2830" s="13" t="inlineStr">
        <is>
          <t>[SUB]</t>
        </is>
      </c>
      <c r="F2830" s="7" t="inlineStr">
        <is>
          <t>113 / Minotaur</t>
        </is>
      </c>
      <c r="I2830" s="14" t="n">
        <v>6</v>
      </c>
      <c r="K2830" s="15" t="n"/>
      <c r="O2830" s="15" t="n"/>
      <c r="P2830" s="16" t="n">
        <v>327</v>
      </c>
      <c r="Q2830" s="16" t="n">
        <v>318</v>
      </c>
      <c r="S2830" s="16" t="n">
        <v>260</v>
      </c>
      <c r="U2830" s="16" t="n">
        <v>260</v>
      </c>
      <c r="AC2830" s="23">
        <f>IF(OR(E2830="",E2830="[PARENT]"),"ADD",IF(E2830="[ALT_VIEW]","ALT",""))</f>
        <v/>
      </c>
      <c r="AD2830" s="21">
        <f>IF(Y2830&lt;&gt;"",Y2830,IF(U2830&lt;&gt;"",U2830,S2830))</f>
        <v/>
      </c>
      <c r="AE2830" s="21">
        <f>IF(AB2830&lt;&gt;"",AB2830,Z2830)</f>
        <v/>
      </c>
      <c r="AF2830" s="13" t="inlineStr">
        <is>
          <t>P-5 Cost Analysis / LI 3640 / Support</t>
        </is>
      </c>
      <c r="AG2830" s="7" t="inlineStr">
        <is>
          <t>87</t>
        </is>
      </c>
      <c r="AH2830" s="7" t="inlineStr">
        <is>
          <t>3640</t>
        </is>
      </c>
      <c r="AI2830" s="7" t="inlineStr">
        <is>
          <t>Minotaur</t>
        </is>
      </c>
    </row>
    <row r="2831" ht="10" customHeight="1">
      <c r="A2831" s="7" t="inlineStr">
        <is>
          <t>OPN_BA3</t>
        </is>
      </c>
      <c r="B2831" s="7" t="inlineStr">
        <is>
          <t>Procurement</t>
        </is>
      </c>
      <c r="C2831" s="7" t="inlineStr">
        <is>
          <t>114</t>
        </is>
      </c>
      <c r="D2831" s="7" t="inlineStr">
        <is>
          <t>Weapons Range Support Equipment</t>
        </is>
      </c>
      <c r="E2831" s="13" t="inlineStr">
        <is>
          <t>[PARENT]</t>
        </is>
      </c>
      <c r="I2831" s="14" t="n">
        <v>6</v>
      </c>
      <c r="K2831" s="15" t="n"/>
      <c r="O2831" s="15" t="n"/>
      <c r="P2831" s="16" t="n">
        <v>145685</v>
      </c>
      <c r="Q2831" s="16" t="n">
        <v>138062</v>
      </c>
      <c r="S2831" s="16" t="n">
        <v>123435</v>
      </c>
      <c r="U2831" s="16" t="n">
        <v>123435</v>
      </c>
      <c r="X2831" s="16" t="n">
        <v>123435</v>
      </c>
      <c r="Y2831" s="16" t="n">
        <v>123435</v>
      </c>
      <c r="Z2831" s="16" t="n">
        <v>119900</v>
      </c>
      <c r="AB2831" s="16" t="n">
        <v>119900</v>
      </c>
      <c r="AC2831" s="23">
        <f>IF(OR(E2831="",E2831="[PARENT]"),"ADD",IF(E2831="[ALT_VIEW]","ALT",""))</f>
        <v/>
      </c>
      <c r="AD2831" s="21">
        <f>IF(Y2831&lt;&gt;"",Y2831,IF(U2831&lt;&gt;"",U2831,S2831))</f>
        <v/>
      </c>
      <c r="AE2831" s="21">
        <f>IF(AB2831&lt;&gt;"",AB2831,Z2831)</f>
        <v/>
      </c>
      <c r="AF2831" s="13" t="inlineStr">
        <is>
          <t>P-40 / BA03 / BSA03 Aircraft Support Equipment / LI 4204</t>
        </is>
      </c>
      <c r="AG2831" s="7" t="inlineStr">
        <is>
          <t>89</t>
        </is>
      </c>
      <c r="AH2831" s="7" t="inlineStr">
        <is>
          <t>4204</t>
        </is>
      </c>
      <c r="AI2831" s="7" t="inlineStr">
        <is>
          <t>Weapons Range Support Equipment</t>
        </is>
      </c>
    </row>
    <row r="2832" ht="10" customHeight="1">
      <c r="A2832" s="7" t="inlineStr">
        <is>
          <t>OPN_BA3</t>
        </is>
      </c>
      <c r="B2832" s="7" t="inlineStr">
        <is>
          <t>Procurement</t>
        </is>
      </c>
      <c r="D2832" s="7" t="inlineStr">
        <is>
          <t>SC004 SRAM - Systems Replacement and Modernization</t>
        </is>
      </c>
      <c r="E2832" s="13" t="inlineStr">
        <is>
          <t>[SUB]</t>
        </is>
      </c>
      <c r="F2832" s="7" t="inlineStr">
        <is>
          <t>114 / Weapons Range Support Equipment</t>
        </is>
      </c>
      <c r="I2832" s="14" t="n">
        <v>6</v>
      </c>
      <c r="K2832" s="15" t="n"/>
      <c r="O2832" s="15" t="n"/>
      <c r="P2832" s="16" t="n">
        <v>9284</v>
      </c>
      <c r="Q2832" s="16" t="n">
        <v>7648</v>
      </c>
      <c r="S2832" s="16" t="n">
        <v>7808</v>
      </c>
      <c r="U2832" s="16" t="n">
        <v>7808</v>
      </c>
      <c r="AC2832" s="23">
        <f>IF(OR(E2832="",E2832="[PARENT]"),"ADD",IF(E2832="[ALT_VIEW]","ALT",""))</f>
        <v/>
      </c>
      <c r="AD2832" s="21">
        <f>IF(Y2832&lt;&gt;"",Y2832,IF(U2832&lt;&gt;"",U2832,S2832))</f>
        <v/>
      </c>
      <c r="AE2832" s="21">
        <f>IF(AB2832&lt;&gt;"",AB2832,Z2832)</f>
        <v/>
      </c>
      <c r="AF2832" s="13" t="inlineStr">
        <is>
          <t>P-5 Cost Analysis / LI 4204 / Hardware - Systems Replacement</t>
        </is>
      </c>
      <c r="AG2832" s="7" t="inlineStr">
        <is>
          <t>92</t>
        </is>
      </c>
      <c r="AH2832" s="7" t="inlineStr">
        <is>
          <t>4204</t>
        </is>
      </c>
      <c r="AI2832" s="7" t="inlineStr">
        <is>
          <t>Weapons Range Support Equipment</t>
        </is>
      </c>
      <c r="AJ2832" s="7" t="inlineStr">
        <is>
          <t>SC004</t>
        </is>
      </c>
    </row>
    <row r="2833" ht="10" customHeight="1">
      <c r="A2833" s="7" t="inlineStr">
        <is>
          <t>OPN_BA3</t>
        </is>
      </c>
      <c r="B2833" s="7" t="inlineStr">
        <is>
          <t>Procurement</t>
        </is>
      </c>
      <c r="D2833" s="7" t="inlineStr">
        <is>
          <t>SC012 OS - Ocean Systems</t>
        </is>
      </c>
      <c r="E2833" s="13" t="inlineStr">
        <is>
          <t>[SUB]</t>
        </is>
      </c>
      <c r="F2833" s="7" t="inlineStr">
        <is>
          <t>114 / Weapons Range Support Equipment</t>
        </is>
      </c>
      <c r="I2833" s="14" t="n">
        <v>6</v>
      </c>
      <c r="K2833" s="15" t="n"/>
      <c r="O2833" s="15" t="n"/>
      <c r="P2833" s="16" t="n">
        <v>41802</v>
      </c>
      <c r="Q2833" s="16" t="n">
        <v>55694</v>
      </c>
      <c r="S2833" s="16" t="n">
        <v>62535</v>
      </c>
      <c r="U2833" s="16" t="n">
        <v>62535</v>
      </c>
      <c r="AC2833" s="23">
        <f>IF(OR(E2833="",E2833="[PARENT]"),"ADD",IF(E2833="[ALT_VIEW]","ALT",""))</f>
        <v/>
      </c>
      <c r="AD2833" s="21">
        <f>IF(Y2833&lt;&gt;"",Y2833,IF(U2833&lt;&gt;"",U2833,S2833))</f>
        <v/>
      </c>
      <c r="AE2833" s="21">
        <f>IF(AB2833&lt;&gt;"",AB2833,Z2833)</f>
        <v/>
      </c>
      <c r="AF2833" s="13" t="inlineStr">
        <is>
          <t>P-5 Cost Analysis / LI 4204 / Hardware - Ocean Systems</t>
        </is>
      </c>
      <c r="AG2833" s="7" t="inlineStr">
        <is>
          <t>92</t>
        </is>
      </c>
      <c r="AH2833" s="7" t="inlineStr">
        <is>
          <t>4204</t>
        </is>
      </c>
      <c r="AI2833" s="7" t="inlineStr">
        <is>
          <t>Weapons Range Support Equipment</t>
        </is>
      </c>
      <c r="AJ2833" s="7" t="inlineStr">
        <is>
          <t>SC012</t>
        </is>
      </c>
    </row>
    <row r="2834" ht="10" customHeight="1">
      <c r="A2834" s="7" t="inlineStr">
        <is>
          <t>OPN_BA3</t>
        </is>
      </c>
      <c r="B2834" s="7" t="inlineStr">
        <is>
          <t>Procurement</t>
        </is>
      </c>
      <c r="D2834" s="7" t="inlineStr">
        <is>
          <t>SC161 OS - East Coast USWTR</t>
        </is>
      </c>
      <c r="E2834" s="13" t="inlineStr">
        <is>
          <t>[SUB]</t>
        </is>
      </c>
      <c r="F2834" s="7" t="inlineStr">
        <is>
          <t>114 / Weapons Range Support Equipment</t>
        </is>
      </c>
      <c r="I2834" s="14" t="n">
        <v>6</v>
      </c>
      <c r="K2834" s="15" t="n"/>
      <c r="O2834" s="15" t="n"/>
      <c r="AC2834" s="23">
        <f>IF(OR(E2834="",E2834="[PARENT]"),"ADD",IF(E2834="[ALT_VIEW]","ALT",""))</f>
        <v/>
      </c>
      <c r="AD2834" s="21">
        <f>IF(Y2834&lt;&gt;"",Y2834,IF(U2834&lt;&gt;"",U2834,S2834))</f>
        <v/>
      </c>
      <c r="AE2834" s="21">
        <f>IF(AB2834&lt;&gt;"",AB2834,Z2834)</f>
        <v/>
      </c>
      <c r="AF2834" s="13" t="inlineStr">
        <is>
          <t>P-5 Cost Analysis / LI 4204 / Hardware - Ocean Systems</t>
        </is>
      </c>
      <c r="AG2834" s="7" t="inlineStr">
        <is>
          <t>92</t>
        </is>
      </c>
      <c r="AH2834" s="7" t="inlineStr">
        <is>
          <t>4204</t>
        </is>
      </c>
      <c r="AI2834" s="7" t="inlineStr">
        <is>
          <t>Weapons Range Support Equipment</t>
        </is>
      </c>
      <c r="AJ2834" s="7" t="inlineStr">
        <is>
          <t>SC161</t>
        </is>
      </c>
    </row>
    <row r="2835" ht="10" customHeight="1">
      <c r="A2835" s="7" t="inlineStr">
        <is>
          <t>OPN_BA3</t>
        </is>
      </c>
      <c r="B2835" s="7" t="inlineStr">
        <is>
          <t>Procurement</t>
        </is>
      </c>
      <c r="D2835" s="7" t="inlineStr">
        <is>
          <t>SC034 LATR Shipboard Rotary Technology Upgrade</t>
        </is>
      </c>
      <c r="E2835" s="13" t="inlineStr">
        <is>
          <t>[SUB]</t>
        </is>
      </c>
      <c r="F2835" s="7" t="inlineStr">
        <is>
          <t>114 / Weapons Range Support Equipment</t>
        </is>
      </c>
      <c r="I2835" s="14" t="n">
        <v>6</v>
      </c>
      <c r="K2835" s="15" t="n"/>
      <c r="O2835" s="15" t="n"/>
      <c r="AC2835" s="23">
        <f>IF(OR(E2835="",E2835="[PARENT]"),"ADD",IF(E2835="[ALT_VIEW]","ALT",""))</f>
        <v/>
      </c>
      <c r="AD2835" s="21">
        <f>IF(Y2835&lt;&gt;"",Y2835,IF(U2835&lt;&gt;"",U2835,S2835))</f>
        <v/>
      </c>
      <c r="AE2835" s="21">
        <f>IF(AB2835&lt;&gt;"",AB2835,Z2835)</f>
        <v/>
      </c>
      <c r="AF2835" s="13" t="inlineStr">
        <is>
          <t>P-5 Cost Analysis / LI 4204 / Hardware - Large Area Tracking Range</t>
        </is>
      </c>
      <c r="AG2835" s="7" t="inlineStr">
        <is>
          <t>92</t>
        </is>
      </c>
      <c r="AH2835" s="7" t="inlineStr">
        <is>
          <t>4204</t>
        </is>
      </c>
      <c r="AI2835" s="7" t="inlineStr">
        <is>
          <t>Weapons Range Support Equipment</t>
        </is>
      </c>
      <c r="AJ2835" s="7" t="inlineStr">
        <is>
          <t>SC034</t>
        </is>
      </c>
    </row>
    <row r="2836" ht="10" customHeight="1">
      <c r="A2836" s="7" t="inlineStr">
        <is>
          <t>OPN_BA3</t>
        </is>
      </c>
      <c r="B2836" s="7" t="inlineStr">
        <is>
          <t>Procurement</t>
        </is>
      </c>
      <c r="D2836" s="7" t="inlineStr">
        <is>
          <t>SC132 LATR Navigation Technology Refresh</t>
        </is>
      </c>
      <c r="E2836" s="13" t="inlineStr">
        <is>
          <t>[SUB]</t>
        </is>
      </c>
      <c r="F2836" s="7" t="inlineStr">
        <is>
          <t>114 / Weapons Range Support Equipment</t>
        </is>
      </c>
      <c r="I2836" s="14" t="n">
        <v>6</v>
      </c>
      <c r="K2836" s="15" t="n"/>
      <c r="O2836" s="15" t="n"/>
      <c r="AC2836" s="23">
        <f>IF(OR(E2836="",E2836="[PARENT]"),"ADD",IF(E2836="[ALT_VIEW]","ALT",""))</f>
        <v/>
      </c>
      <c r="AD2836" s="21">
        <f>IF(Y2836&lt;&gt;"",Y2836,IF(U2836&lt;&gt;"",U2836,S2836))</f>
        <v/>
      </c>
      <c r="AE2836" s="21">
        <f>IF(AB2836&lt;&gt;"",AB2836,Z2836)</f>
        <v/>
      </c>
      <c r="AF2836" s="13" t="inlineStr">
        <is>
          <t>P-5 Cost Analysis / LI 4204 / Hardware - Large Area Tracking Range</t>
        </is>
      </c>
      <c r="AG2836" s="7" t="inlineStr">
        <is>
          <t>93</t>
        </is>
      </c>
      <c r="AH2836" s="7" t="inlineStr">
        <is>
          <t>4204</t>
        </is>
      </c>
      <c r="AI2836" s="7" t="inlineStr">
        <is>
          <t>Weapons Range Support Equipment</t>
        </is>
      </c>
      <c r="AJ2836" s="7" t="inlineStr">
        <is>
          <t>SC132</t>
        </is>
      </c>
    </row>
    <row r="2837" ht="10" customHeight="1">
      <c r="A2837" s="7" t="inlineStr">
        <is>
          <t>OPN_BA3</t>
        </is>
      </c>
      <c r="B2837" s="7" t="inlineStr">
        <is>
          <t>Procurement</t>
        </is>
      </c>
      <c r="D2837" s="7" t="inlineStr">
        <is>
          <t>SC158 TCTS Common Ground Subsystem</t>
        </is>
      </c>
      <c r="E2837" s="13" t="inlineStr">
        <is>
          <t>[SUB]</t>
        </is>
      </c>
      <c r="F2837" s="7" t="inlineStr">
        <is>
          <t>114 / Weapons Range Support Equipment</t>
        </is>
      </c>
      <c r="I2837" s="14" t="n">
        <v>6</v>
      </c>
      <c r="K2837" s="15" t="n"/>
      <c r="O2837" s="15" t="n"/>
      <c r="P2837" s="16" t="n">
        <v>3521</v>
      </c>
      <c r="Q2837" s="16" t="n">
        <v>2798</v>
      </c>
      <c r="S2837" s="16" t="n">
        <v>1902</v>
      </c>
      <c r="U2837" s="16" t="n">
        <v>1902</v>
      </c>
      <c r="AC2837" s="23">
        <f>IF(OR(E2837="",E2837="[PARENT]"),"ADD",IF(E2837="[ALT_VIEW]","ALT",""))</f>
        <v/>
      </c>
      <c r="AD2837" s="21">
        <f>IF(Y2837&lt;&gt;"",Y2837,IF(U2837&lt;&gt;"",U2837,S2837))</f>
        <v/>
      </c>
      <c r="AE2837" s="21">
        <f>IF(AB2837&lt;&gt;"",AB2837,Z2837)</f>
        <v/>
      </c>
      <c r="AF2837" s="13" t="inlineStr">
        <is>
          <t>P-5 Cost Analysis / LI 4204 / Hardware - TCTS</t>
        </is>
      </c>
      <c r="AG2837" s="7" t="inlineStr">
        <is>
          <t>93</t>
        </is>
      </c>
      <c r="AH2837" s="7" t="inlineStr">
        <is>
          <t>4204</t>
        </is>
      </c>
      <c r="AI2837" s="7" t="inlineStr">
        <is>
          <t>Weapons Range Support Equipment</t>
        </is>
      </c>
      <c r="AJ2837" s="7" t="inlineStr">
        <is>
          <t>SC158</t>
        </is>
      </c>
    </row>
    <row r="2838" ht="10" customHeight="1">
      <c r="A2838" s="7" t="inlineStr">
        <is>
          <t>OPN_BA3</t>
        </is>
      </c>
      <c r="B2838" s="7" t="inlineStr">
        <is>
          <t>Procurement</t>
        </is>
      </c>
      <c r="D2838" s="7" t="inlineStr">
        <is>
          <t>SC140 TCTS Remote Range Unit</t>
        </is>
      </c>
      <c r="E2838" s="13" t="inlineStr">
        <is>
          <t>[SUB]</t>
        </is>
      </c>
      <c r="F2838" s="7" t="inlineStr">
        <is>
          <t>114 / Weapons Range Support Equipment</t>
        </is>
      </c>
      <c r="I2838" s="14" t="n">
        <v>6</v>
      </c>
      <c r="K2838" s="15" t="n"/>
      <c r="O2838" s="15" t="n"/>
      <c r="P2838" s="16" t="n">
        <v>5485</v>
      </c>
      <c r="Q2838" s="16" t="n">
        <v>3307</v>
      </c>
      <c r="S2838" s="16" t="n">
        <v>4854</v>
      </c>
      <c r="U2838" s="16" t="n">
        <v>4854</v>
      </c>
      <c r="AC2838" s="23">
        <f>IF(OR(E2838="",E2838="[PARENT]"),"ADD",IF(E2838="[ALT_VIEW]","ALT",""))</f>
        <v/>
      </c>
      <c r="AD2838" s="21">
        <f>IF(Y2838&lt;&gt;"",Y2838,IF(U2838&lt;&gt;"",U2838,S2838))</f>
        <v/>
      </c>
      <c r="AE2838" s="21">
        <f>IF(AB2838&lt;&gt;"",AB2838,Z2838)</f>
        <v/>
      </c>
      <c r="AF2838" s="13" t="inlineStr">
        <is>
          <t>P-5 Cost Analysis / LI 4204 / Hardware - TCTS</t>
        </is>
      </c>
      <c r="AG2838" s="7" t="inlineStr">
        <is>
          <t>93</t>
        </is>
      </c>
      <c r="AH2838" s="7" t="inlineStr">
        <is>
          <t>4204</t>
        </is>
      </c>
      <c r="AI2838" s="7" t="inlineStr">
        <is>
          <t>Weapons Range Support Equipment</t>
        </is>
      </c>
      <c r="AJ2838" s="7" t="inlineStr">
        <is>
          <t>SC140</t>
        </is>
      </c>
    </row>
    <row r="2839" ht="10" customHeight="1">
      <c r="A2839" s="7" t="inlineStr">
        <is>
          <t>OPN_BA3</t>
        </is>
      </c>
      <c r="B2839" s="7" t="inlineStr">
        <is>
          <t>Procurement</t>
        </is>
      </c>
      <c r="D2839" s="7" t="inlineStr">
        <is>
          <t>TCTS Internal Mount</t>
        </is>
      </c>
      <c r="E2839" s="13" t="inlineStr">
        <is>
          <t>[SUB]</t>
        </is>
      </c>
      <c r="F2839" s="7" t="inlineStr">
        <is>
          <t>114 / Weapons Range Support Equipment</t>
        </is>
      </c>
      <c r="I2839" s="14" t="n">
        <v>6</v>
      </c>
      <c r="K2839" s="15" t="n"/>
      <c r="O2839" s="15" t="n"/>
      <c r="Q2839" s="16" t="n">
        <v>16000</v>
      </c>
      <c r="AC2839" s="23">
        <f>IF(OR(E2839="",E2839="[PARENT]"),"ADD",IF(E2839="[ALT_VIEW]","ALT",""))</f>
        <v/>
      </c>
      <c r="AD2839" s="21">
        <f>IF(Y2839&lt;&gt;"",Y2839,IF(U2839&lt;&gt;"",U2839,S2839))</f>
        <v/>
      </c>
      <c r="AE2839" s="21">
        <f>IF(AB2839&lt;&gt;"",AB2839,Z2839)</f>
        <v/>
      </c>
      <c r="AF2839" s="13" t="inlineStr">
        <is>
          <t>P-5 Cost Analysis / LI 4204 / Hardware - TCTS</t>
        </is>
      </c>
      <c r="AG2839" s="7" t="inlineStr">
        <is>
          <t>93</t>
        </is>
      </c>
      <c r="AH2839" s="7" t="inlineStr">
        <is>
          <t>4204</t>
        </is>
      </c>
      <c r="AI2839" s="7" t="inlineStr">
        <is>
          <t>Weapons Range Support Equipment</t>
        </is>
      </c>
    </row>
    <row r="2840" ht="10" customHeight="1">
      <c r="A2840" s="7" t="inlineStr">
        <is>
          <t>OPN_BA3</t>
        </is>
      </c>
      <c r="B2840" s="7" t="inlineStr">
        <is>
          <t>Procurement</t>
        </is>
      </c>
      <c r="D2840" s="7" t="inlineStr">
        <is>
          <t>TCTS Engineering Change Proposal</t>
        </is>
      </c>
      <c r="E2840" s="13" t="inlineStr">
        <is>
          <t>[SUB]</t>
        </is>
      </c>
      <c r="F2840" s="7" t="inlineStr">
        <is>
          <t>114 / Weapons Range Support Equipment</t>
        </is>
      </c>
      <c r="I2840" s="14" t="n">
        <v>6</v>
      </c>
      <c r="K2840" s="15" t="n"/>
      <c r="O2840" s="15" t="n"/>
      <c r="P2840" s="16" t="n">
        <v>945</v>
      </c>
      <c r="Q2840" s="16" t="n">
        <v>369</v>
      </c>
      <c r="S2840" s="16" t="n">
        <v>629</v>
      </c>
      <c r="U2840" s="16" t="n">
        <v>629</v>
      </c>
      <c r="AC2840" s="23">
        <f>IF(OR(E2840="",E2840="[PARENT]"),"ADD",IF(E2840="[ALT_VIEW]","ALT",""))</f>
        <v/>
      </c>
      <c r="AD2840" s="21">
        <f>IF(Y2840&lt;&gt;"",Y2840,IF(U2840&lt;&gt;"",U2840,S2840))</f>
        <v/>
      </c>
      <c r="AE2840" s="21">
        <f>IF(AB2840&lt;&gt;"",AB2840,Z2840)</f>
        <v/>
      </c>
      <c r="AF2840" s="13" t="inlineStr">
        <is>
          <t>P-5 Cost Analysis / LI 4204 / Hardware - TCTS</t>
        </is>
      </c>
      <c r="AG2840" s="7" t="inlineStr">
        <is>
          <t>93</t>
        </is>
      </c>
      <c r="AH2840" s="7" t="inlineStr">
        <is>
          <t>4204</t>
        </is>
      </c>
      <c r="AI2840" s="7" t="inlineStr">
        <is>
          <t>Weapons Range Support Equipment</t>
        </is>
      </c>
    </row>
    <row r="2841" ht="10" customHeight="1">
      <c r="A2841" s="7" t="inlineStr">
        <is>
          <t>OPN_BA3</t>
        </is>
      </c>
      <c r="B2841" s="7" t="inlineStr">
        <is>
          <t>Procurement</t>
        </is>
      </c>
      <c r="D2841" s="7" t="inlineStr">
        <is>
          <t>SC040 TCTS Shipboard Ground Subsystem</t>
        </is>
      </c>
      <c r="E2841" s="13" t="inlineStr">
        <is>
          <t>[SUB]</t>
        </is>
      </c>
      <c r="F2841" s="7" t="inlineStr">
        <is>
          <t>114 / Weapons Range Support Equipment</t>
        </is>
      </c>
      <c r="I2841" s="14" t="n">
        <v>6</v>
      </c>
      <c r="K2841" s="15" t="n"/>
      <c r="O2841" s="15" t="n"/>
      <c r="Q2841" s="16" t="n">
        <v>814</v>
      </c>
      <c r="S2841" s="16" t="n">
        <v>468</v>
      </c>
      <c r="U2841" s="16" t="n">
        <v>468</v>
      </c>
      <c r="AC2841" s="23">
        <f>IF(OR(E2841="",E2841="[PARENT]"),"ADD",IF(E2841="[ALT_VIEW]","ALT",""))</f>
        <v/>
      </c>
      <c r="AD2841" s="21">
        <f>IF(Y2841&lt;&gt;"",Y2841,IF(U2841&lt;&gt;"",U2841,S2841))</f>
        <v/>
      </c>
      <c r="AE2841" s="21">
        <f>IF(AB2841&lt;&gt;"",AB2841,Z2841)</f>
        <v/>
      </c>
      <c r="AF2841" s="13" t="inlineStr">
        <is>
          <t>P-5 Cost Analysis / LI 4204 / Hardware - TCTS</t>
        </is>
      </c>
      <c r="AG2841" s="7" t="inlineStr">
        <is>
          <t>93</t>
        </is>
      </c>
      <c r="AH2841" s="7" t="inlineStr">
        <is>
          <t>4204</t>
        </is>
      </c>
      <c r="AI2841" s="7" t="inlineStr">
        <is>
          <t>Weapons Range Support Equipment</t>
        </is>
      </c>
      <c r="AJ2841" s="7" t="inlineStr">
        <is>
          <t>SC040</t>
        </is>
      </c>
    </row>
    <row r="2842" ht="10" customHeight="1">
      <c r="A2842" s="7" t="inlineStr">
        <is>
          <t>OPN_BA3</t>
        </is>
      </c>
      <c r="B2842" s="7" t="inlineStr">
        <is>
          <t>Procurement</t>
        </is>
      </c>
      <c r="D2842" s="7" t="inlineStr">
        <is>
          <t>SC105 EW - Threat Presentation</t>
        </is>
      </c>
      <c r="E2842" s="13" t="inlineStr">
        <is>
          <t>[SUB]</t>
        </is>
      </c>
      <c r="F2842" s="7" t="inlineStr">
        <is>
          <t>114 / Weapons Range Support Equipment</t>
        </is>
      </c>
      <c r="I2842" s="14" t="n">
        <v>6</v>
      </c>
      <c r="K2842" s="15" t="n"/>
      <c r="O2842" s="15" t="n"/>
      <c r="P2842" s="16" t="n">
        <v>57556</v>
      </c>
      <c r="Q2842" s="16" t="n">
        <v>25482</v>
      </c>
      <c r="S2842" s="16" t="n">
        <v>28701</v>
      </c>
      <c r="U2842" s="16" t="n">
        <v>28701</v>
      </c>
      <c r="AC2842" s="23">
        <f>IF(OR(E2842="",E2842="[PARENT]"),"ADD",IF(E2842="[ALT_VIEW]","ALT",""))</f>
        <v/>
      </c>
      <c r="AD2842" s="21">
        <f>IF(Y2842&lt;&gt;"",Y2842,IF(U2842&lt;&gt;"",U2842,S2842))</f>
        <v/>
      </c>
      <c r="AE2842" s="21">
        <f>IF(AB2842&lt;&gt;"",AB2842,Z2842)</f>
        <v/>
      </c>
      <c r="AF2842" s="13" t="inlineStr">
        <is>
          <t>P-5 Cost Analysis / LI 4204 / Hardware - EW Training</t>
        </is>
      </c>
      <c r="AG2842" s="7" t="inlineStr">
        <is>
          <t>94</t>
        </is>
      </c>
      <c r="AH2842" s="7" t="inlineStr">
        <is>
          <t>4204</t>
        </is>
      </c>
      <c r="AI2842" s="7" t="inlineStr">
        <is>
          <t>Weapons Range Support Equipment</t>
        </is>
      </c>
      <c r="AJ2842" s="7" t="inlineStr">
        <is>
          <t>SC105</t>
        </is>
      </c>
    </row>
    <row r="2843" ht="10" customHeight="1">
      <c r="A2843" s="7" t="inlineStr">
        <is>
          <t>OPN_BA3</t>
        </is>
      </c>
      <c r="B2843" s="7" t="inlineStr">
        <is>
          <t>Procurement</t>
        </is>
      </c>
      <c r="D2843" s="7" t="inlineStr">
        <is>
          <t>SC151 MLT Hardware</t>
        </is>
      </c>
      <c r="E2843" s="13" t="inlineStr">
        <is>
          <t>[SUB]</t>
        </is>
      </c>
      <c r="F2843" s="7" t="inlineStr">
        <is>
          <t>114 / Weapons Range Support Equipment</t>
        </is>
      </c>
      <c r="I2843" s="14" t="n">
        <v>6</v>
      </c>
      <c r="K2843" s="15" t="n"/>
      <c r="O2843" s="15" t="n"/>
      <c r="P2843" s="16" t="n">
        <v>1654</v>
      </c>
      <c r="Q2843" s="16" t="n">
        <v>1685</v>
      </c>
      <c r="S2843" s="16" t="n">
        <v>1722</v>
      </c>
      <c r="U2843" s="16" t="n">
        <v>1722</v>
      </c>
      <c r="AC2843" s="23">
        <f>IF(OR(E2843="",E2843="[PARENT]"),"ADD",IF(E2843="[ALT_VIEW]","ALT",""))</f>
        <v/>
      </c>
      <c r="AD2843" s="21">
        <f>IF(Y2843&lt;&gt;"",Y2843,IF(U2843&lt;&gt;"",U2843,S2843))</f>
        <v/>
      </c>
      <c r="AE2843" s="21">
        <f>IF(AB2843&lt;&gt;"",AB2843,Z2843)</f>
        <v/>
      </c>
      <c r="AF2843" s="13" t="inlineStr">
        <is>
          <t>P-5 Cost Analysis / LI 4204 / Hardware - Aerial Targets</t>
        </is>
      </c>
      <c r="AG2843" s="7" t="inlineStr">
        <is>
          <t>94</t>
        </is>
      </c>
      <c r="AH2843" s="7" t="inlineStr">
        <is>
          <t>4204</t>
        </is>
      </c>
      <c r="AI2843" s="7" t="inlineStr">
        <is>
          <t>Weapons Range Support Equipment</t>
        </is>
      </c>
      <c r="AJ2843" s="7" t="inlineStr">
        <is>
          <t>SC151</t>
        </is>
      </c>
    </row>
    <row r="2844" ht="10" customHeight="1">
      <c r="A2844" s="7" t="inlineStr">
        <is>
          <t>OPN_BA3</t>
        </is>
      </c>
      <c r="B2844" s="7" t="inlineStr">
        <is>
          <t>Procurement</t>
        </is>
      </c>
      <c r="D2844" s="7" t="inlineStr">
        <is>
          <t>SC152 MLT Engineering Change Proposals</t>
        </is>
      </c>
      <c r="E2844" s="13" t="inlineStr">
        <is>
          <t>[SUB]</t>
        </is>
      </c>
      <c r="F2844" s="7" t="inlineStr">
        <is>
          <t>114 / Weapons Range Support Equipment</t>
        </is>
      </c>
      <c r="I2844" s="14" t="n">
        <v>6</v>
      </c>
      <c r="K2844" s="15" t="n"/>
      <c r="O2844" s="15" t="n"/>
      <c r="P2844" s="16" t="n">
        <v>35</v>
      </c>
      <c r="Q2844" s="16" t="n">
        <v>35</v>
      </c>
      <c r="S2844" s="16" t="n">
        <v>35</v>
      </c>
      <c r="U2844" s="16" t="n">
        <v>35</v>
      </c>
      <c r="AC2844" s="23">
        <f>IF(OR(E2844="",E2844="[PARENT]"),"ADD",IF(E2844="[ALT_VIEW]","ALT",""))</f>
        <v/>
      </c>
      <c r="AD2844" s="21">
        <f>IF(Y2844&lt;&gt;"",Y2844,IF(U2844&lt;&gt;"",U2844,S2844))</f>
        <v/>
      </c>
      <c r="AE2844" s="21">
        <f>IF(AB2844&lt;&gt;"",AB2844,Z2844)</f>
        <v/>
      </c>
      <c r="AF2844" s="13" t="inlineStr">
        <is>
          <t>P-5 Cost Analysis / LI 4204 / Hardware - Aerial Targets</t>
        </is>
      </c>
      <c r="AG2844" s="7" t="inlineStr">
        <is>
          <t>95</t>
        </is>
      </c>
      <c r="AH2844" s="7" t="inlineStr">
        <is>
          <t>4204</t>
        </is>
      </c>
      <c r="AI2844" s="7" t="inlineStr">
        <is>
          <t>Weapons Range Support Equipment</t>
        </is>
      </c>
      <c r="AJ2844" s="7" t="inlineStr">
        <is>
          <t>SC152</t>
        </is>
      </c>
    </row>
    <row r="2845" ht="10" customHeight="1">
      <c r="A2845" s="7" t="inlineStr">
        <is>
          <t>OPN_BA3</t>
        </is>
      </c>
      <c r="B2845" s="7" t="inlineStr">
        <is>
          <t>Procurement</t>
        </is>
      </c>
      <c r="D2845" s="7" t="inlineStr">
        <is>
          <t>SC106 TTSP</t>
        </is>
      </c>
      <c r="E2845" s="13" t="inlineStr">
        <is>
          <t>[SUB]</t>
        </is>
      </c>
      <c r="F2845" s="7" t="inlineStr">
        <is>
          <t>114 / Weapons Range Support Equipment</t>
        </is>
      </c>
      <c r="I2845" s="14" t="n">
        <v>6</v>
      </c>
      <c r="K2845" s="15" t="n"/>
      <c r="O2845" s="15" t="n"/>
      <c r="P2845" s="16" t="n">
        <v>112</v>
      </c>
      <c r="Q2845" s="16" t="n">
        <v>112</v>
      </c>
      <c r="S2845" s="16" t="n">
        <v>114</v>
      </c>
      <c r="U2845" s="16" t="n">
        <v>114</v>
      </c>
      <c r="AC2845" s="23">
        <f>IF(OR(E2845="",E2845="[PARENT]"),"ADD",IF(E2845="[ALT_VIEW]","ALT",""))</f>
        <v/>
      </c>
      <c r="AD2845" s="21">
        <f>IF(Y2845&lt;&gt;"",Y2845,IF(U2845&lt;&gt;"",U2845,S2845))</f>
        <v/>
      </c>
      <c r="AE2845" s="21">
        <f>IF(AB2845&lt;&gt;"",AB2845,Z2845)</f>
        <v/>
      </c>
      <c r="AF2845" s="13" t="inlineStr">
        <is>
          <t>P-5 Cost Analysis / LI 4204 / Hardware - Aerial Targets</t>
        </is>
      </c>
      <c r="AG2845" s="7" t="inlineStr">
        <is>
          <t>95</t>
        </is>
      </c>
      <c r="AH2845" s="7" t="inlineStr">
        <is>
          <t>4204</t>
        </is>
      </c>
      <c r="AI2845" s="7" t="inlineStr">
        <is>
          <t>Weapons Range Support Equipment</t>
        </is>
      </c>
      <c r="AJ2845" s="7" t="inlineStr">
        <is>
          <t>SC106</t>
        </is>
      </c>
    </row>
    <row r="2846" ht="10" customHeight="1">
      <c r="A2846" s="7" t="inlineStr">
        <is>
          <t>OPN_BA3</t>
        </is>
      </c>
      <c r="B2846" s="7" t="inlineStr">
        <is>
          <t>Procurement</t>
        </is>
      </c>
      <c r="D2846" s="7" t="inlineStr">
        <is>
          <t>SC711 LVC Range Integration</t>
        </is>
      </c>
      <c r="E2846" s="13" t="inlineStr">
        <is>
          <t>[SUB]</t>
        </is>
      </c>
      <c r="F2846" s="7" t="inlineStr">
        <is>
          <t>114 / Weapons Range Support Equipment</t>
        </is>
      </c>
      <c r="I2846" s="14" t="n">
        <v>6</v>
      </c>
      <c r="K2846" s="15" t="n"/>
      <c r="O2846" s="15" t="n"/>
      <c r="P2846" s="16" t="n">
        <v>9906</v>
      </c>
      <c r="Q2846" s="16" t="n">
        <v>9739</v>
      </c>
      <c r="S2846" s="16" t="n">
        <v>1910</v>
      </c>
      <c r="U2846" s="16" t="n">
        <v>1910</v>
      </c>
      <c r="AC2846" s="23">
        <f>IF(OR(E2846="",E2846="[PARENT]"),"ADD",IF(E2846="[ALT_VIEW]","ALT",""))</f>
        <v/>
      </c>
      <c r="AD2846" s="21">
        <f>IF(Y2846&lt;&gt;"",Y2846,IF(U2846&lt;&gt;"",U2846,S2846))</f>
        <v/>
      </c>
      <c r="AE2846" s="21">
        <f>IF(AB2846&lt;&gt;"",AB2846,Z2846)</f>
        <v/>
      </c>
      <c r="AF2846" s="13" t="inlineStr">
        <is>
          <t>P-5 Cost Analysis / LI 4204 / Hardware - LVC</t>
        </is>
      </c>
      <c r="AG2846" s="7" t="inlineStr">
        <is>
          <t>95</t>
        </is>
      </c>
      <c r="AH2846" s="7" t="inlineStr">
        <is>
          <t>4204</t>
        </is>
      </c>
      <c r="AI2846" s="7" t="inlineStr">
        <is>
          <t>Weapons Range Support Equipment</t>
        </is>
      </c>
      <c r="AJ2846" s="7" t="inlineStr">
        <is>
          <t>SC711</t>
        </is>
      </c>
    </row>
    <row r="2847" ht="10" customHeight="1">
      <c r="A2847" s="7" t="inlineStr">
        <is>
          <t>OPN_BA3</t>
        </is>
      </c>
      <c r="B2847" s="7" t="inlineStr">
        <is>
          <t>Procurement</t>
        </is>
      </c>
      <c r="D2847" s="7" t="inlineStr">
        <is>
          <t>SC820 SRAM Production Support</t>
        </is>
      </c>
      <c r="E2847" s="13" t="inlineStr">
        <is>
          <t>[SUB]</t>
        </is>
      </c>
      <c r="F2847" s="7" t="inlineStr">
        <is>
          <t>114 / Weapons Range Support Equipment</t>
        </is>
      </c>
      <c r="I2847" s="14" t="n">
        <v>6</v>
      </c>
      <c r="K2847" s="15" t="n"/>
      <c r="O2847" s="15" t="n"/>
      <c r="P2847" s="16" t="n">
        <v>699</v>
      </c>
      <c r="Q2847" s="16" t="n">
        <v>647</v>
      </c>
      <c r="S2847" s="16" t="n">
        <v>661</v>
      </c>
      <c r="U2847" s="16" t="n">
        <v>661</v>
      </c>
      <c r="AC2847" s="23">
        <f>IF(OR(E2847="",E2847="[PARENT]"),"ADD",IF(E2847="[ALT_VIEW]","ALT",""))</f>
        <v/>
      </c>
      <c r="AD2847" s="21">
        <f>IF(Y2847&lt;&gt;"",Y2847,IF(U2847&lt;&gt;"",U2847,S2847))</f>
        <v/>
      </c>
      <c r="AE2847" s="21">
        <f>IF(AB2847&lt;&gt;"",AB2847,Z2847)</f>
        <v/>
      </c>
      <c r="AF2847" s="13" t="inlineStr">
        <is>
          <t>P-5 Cost Analysis / LI 4204 / Support - Production Support</t>
        </is>
      </c>
      <c r="AG2847" s="7" t="inlineStr">
        <is>
          <t>96</t>
        </is>
      </c>
      <c r="AH2847" s="7" t="inlineStr">
        <is>
          <t>4204</t>
        </is>
      </c>
      <c r="AI2847" s="7" t="inlineStr">
        <is>
          <t>Weapons Range Support Equipment</t>
        </is>
      </c>
      <c r="AJ2847" s="7" t="inlineStr">
        <is>
          <t>SC820</t>
        </is>
      </c>
    </row>
    <row r="2848" ht="10" customHeight="1">
      <c r="A2848" s="7" t="inlineStr">
        <is>
          <t>OPN_BA3</t>
        </is>
      </c>
      <c r="B2848" s="7" t="inlineStr">
        <is>
          <t>Procurement</t>
        </is>
      </c>
      <c r="D2848" s="7" t="inlineStr">
        <is>
          <t>SC820 Ocean Systems Production Support</t>
        </is>
      </c>
      <c r="E2848" s="13" t="inlineStr">
        <is>
          <t>[SUB]</t>
        </is>
      </c>
      <c r="F2848" s="7" t="inlineStr">
        <is>
          <t>114 / Weapons Range Support Equipment</t>
        </is>
      </c>
      <c r="I2848" s="14" t="n">
        <v>6</v>
      </c>
      <c r="K2848" s="15" t="n"/>
      <c r="O2848" s="15" t="n"/>
      <c r="P2848" s="16" t="n">
        <v>1589</v>
      </c>
      <c r="Q2848" s="16" t="n">
        <v>1657</v>
      </c>
      <c r="S2848" s="16" t="n">
        <v>1804</v>
      </c>
      <c r="U2848" s="16" t="n">
        <v>1804</v>
      </c>
      <c r="AC2848" s="23">
        <f>IF(OR(E2848="",E2848="[PARENT]"),"ADD",IF(E2848="[ALT_VIEW]","ALT",""))</f>
        <v/>
      </c>
      <c r="AD2848" s="21">
        <f>IF(Y2848&lt;&gt;"",Y2848,IF(U2848&lt;&gt;"",U2848,S2848))</f>
        <v/>
      </c>
      <c r="AE2848" s="21">
        <f>IF(AB2848&lt;&gt;"",AB2848,Z2848)</f>
        <v/>
      </c>
      <c r="AF2848" s="13" t="inlineStr">
        <is>
          <t>P-5 Cost Analysis / LI 4204 / Support - Production Support</t>
        </is>
      </c>
      <c r="AG2848" s="7" t="inlineStr">
        <is>
          <t>96</t>
        </is>
      </c>
      <c r="AH2848" s="7" t="inlineStr">
        <is>
          <t>4204</t>
        </is>
      </c>
      <c r="AI2848" s="7" t="inlineStr">
        <is>
          <t>Weapons Range Support Equipment</t>
        </is>
      </c>
      <c r="AJ2848" s="7" t="inlineStr">
        <is>
          <t>SC820</t>
        </is>
      </c>
    </row>
    <row r="2849" ht="10" customHeight="1">
      <c r="A2849" s="7" t="inlineStr">
        <is>
          <t>OPN_BA3</t>
        </is>
      </c>
      <c r="B2849" s="7" t="inlineStr">
        <is>
          <t>Procurement</t>
        </is>
      </c>
      <c r="D2849" s="7" t="inlineStr">
        <is>
          <t>SC820 TCTS Production Support</t>
        </is>
      </c>
      <c r="E2849" s="13" t="inlineStr">
        <is>
          <t>[SUB]</t>
        </is>
      </c>
      <c r="F2849" s="7" t="inlineStr">
        <is>
          <t>114 / Weapons Range Support Equipment</t>
        </is>
      </c>
      <c r="I2849" s="14" t="n">
        <v>6</v>
      </c>
      <c r="K2849" s="15" t="n"/>
      <c r="O2849" s="15" t="n"/>
      <c r="P2849" s="16" t="n">
        <v>883</v>
      </c>
      <c r="Q2849" s="16" t="n">
        <v>822</v>
      </c>
      <c r="S2849" s="16" t="n">
        <v>389</v>
      </c>
      <c r="U2849" s="16" t="n">
        <v>389</v>
      </c>
      <c r="AC2849" s="23">
        <f>IF(OR(E2849="",E2849="[PARENT]"),"ADD",IF(E2849="[ALT_VIEW]","ALT",""))</f>
        <v/>
      </c>
      <c r="AD2849" s="21">
        <f>IF(Y2849&lt;&gt;"",Y2849,IF(U2849&lt;&gt;"",U2849,S2849))</f>
        <v/>
      </c>
      <c r="AE2849" s="21">
        <f>IF(AB2849&lt;&gt;"",AB2849,Z2849)</f>
        <v/>
      </c>
      <c r="AF2849" s="13" t="inlineStr">
        <is>
          <t>P-5 Cost Analysis / LI 4204 / Support - Production Support</t>
        </is>
      </c>
      <c r="AG2849" s="7" t="inlineStr">
        <is>
          <t>96</t>
        </is>
      </c>
      <c r="AH2849" s="7" t="inlineStr">
        <is>
          <t>4204</t>
        </is>
      </c>
      <c r="AI2849" s="7" t="inlineStr">
        <is>
          <t>Weapons Range Support Equipment</t>
        </is>
      </c>
      <c r="AJ2849" s="7" t="inlineStr">
        <is>
          <t>SC820</t>
        </is>
      </c>
    </row>
    <row r="2850" ht="10" customHeight="1">
      <c r="A2850" s="7" t="inlineStr">
        <is>
          <t>OPN_BA3</t>
        </is>
      </c>
      <c r="B2850" s="7" t="inlineStr">
        <is>
          <t>Procurement</t>
        </is>
      </c>
      <c r="D2850" s="7" t="inlineStr">
        <is>
          <t>SC820 EW Production Support</t>
        </is>
      </c>
      <c r="E2850" s="13" t="inlineStr">
        <is>
          <t>[SUB]</t>
        </is>
      </c>
      <c r="F2850" s="7" t="inlineStr">
        <is>
          <t>114 / Weapons Range Support Equipment</t>
        </is>
      </c>
      <c r="I2850" s="14" t="n">
        <v>6</v>
      </c>
      <c r="K2850" s="15" t="n"/>
      <c r="O2850" s="15" t="n"/>
      <c r="P2850" s="16" t="n">
        <v>2134</v>
      </c>
      <c r="Q2850" s="16" t="n">
        <v>1977</v>
      </c>
      <c r="S2850" s="16" t="n">
        <v>2019</v>
      </c>
      <c r="U2850" s="16" t="n">
        <v>2019</v>
      </c>
      <c r="AC2850" s="23">
        <f>IF(OR(E2850="",E2850="[PARENT]"),"ADD",IF(E2850="[ALT_VIEW]","ALT",""))</f>
        <v/>
      </c>
      <c r="AD2850" s="21">
        <f>IF(Y2850&lt;&gt;"",Y2850,IF(U2850&lt;&gt;"",U2850,S2850))</f>
        <v/>
      </c>
      <c r="AE2850" s="21">
        <f>IF(AB2850&lt;&gt;"",AB2850,Z2850)</f>
        <v/>
      </c>
      <c r="AF2850" s="13" t="inlineStr">
        <is>
          <t>P-5 Cost Analysis / LI 4204 / Support - Production Support</t>
        </is>
      </c>
      <c r="AG2850" s="7" t="inlineStr">
        <is>
          <t>96</t>
        </is>
      </c>
      <c r="AH2850" s="7" t="inlineStr">
        <is>
          <t>4204</t>
        </is>
      </c>
      <c r="AI2850" s="7" t="inlineStr">
        <is>
          <t>Weapons Range Support Equipment</t>
        </is>
      </c>
      <c r="AJ2850" s="7" t="inlineStr">
        <is>
          <t>SC820</t>
        </is>
      </c>
    </row>
    <row r="2851" ht="10" customHeight="1">
      <c r="A2851" s="7" t="inlineStr">
        <is>
          <t>OPN_BA3</t>
        </is>
      </c>
      <c r="B2851" s="7" t="inlineStr">
        <is>
          <t>Procurement</t>
        </is>
      </c>
      <c r="D2851" s="7" t="inlineStr">
        <is>
          <t>SC820 LVC Range Integration Prod Support</t>
        </is>
      </c>
      <c r="E2851" s="13" t="inlineStr">
        <is>
          <t>[SUB]</t>
        </is>
      </c>
      <c r="F2851" s="7" t="inlineStr">
        <is>
          <t>114 / Weapons Range Support Equipment</t>
        </is>
      </c>
      <c r="I2851" s="14" t="n">
        <v>6</v>
      </c>
      <c r="K2851" s="15" t="n"/>
      <c r="O2851" s="15" t="n"/>
      <c r="P2851" s="16" t="n">
        <v>106</v>
      </c>
      <c r="Q2851" s="16" t="n">
        <v>477</v>
      </c>
      <c r="S2851" s="16" t="n">
        <v>110</v>
      </c>
      <c r="U2851" s="16" t="n">
        <v>110</v>
      </c>
      <c r="AC2851" s="23">
        <f>IF(OR(E2851="",E2851="[PARENT]"),"ADD",IF(E2851="[ALT_VIEW]","ALT",""))</f>
        <v/>
      </c>
      <c r="AD2851" s="21">
        <f>IF(Y2851&lt;&gt;"",Y2851,IF(U2851&lt;&gt;"",U2851,S2851))</f>
        <v/>
      </c>
      <c r="AE2851" s="21">
        <f>IF(AB2851&lt;&gt;"",AB2851,Z2851)</f>
        <v/>
      </c>
      <c r="AF2851" s="13" t="inlineStr">
        <is>
          <t>P-5 Cost Analysis / LI 4204 / Support - Production Support</t>
        </is>
      </c>
      <c r="AG2851" s="7" t="inlineStr">
        <is>
          <t>96</t>
        </is>
      </c>
      <c r="AH2851" s="7" t="inlineStr">
        <is>
          <t>4204</t>
        </is>
      </c>
      <c r="AI2851" s="7" t="inlineStr">
        <is>
          <t>Weapons Range Support Equipment</t>
        </is>
      </c>
      <c r="AJ2851" s="7" t="inlineStr">
        <is>
          <t>SC820</t>
        </is>
      </c>
    </row>
    <row r="2852" ht="10" customHeight="1">
      <c r="A2852" s="7" t="inlineStr">
        <is>
          <t>OPN_BA3</t>
        </is>
      </c>
      <c r="B2852" s="7" t="inlineStr">
        <is>
          <t>Procurement</t>
        </is>
      </c>
      <c r="D2852" s="7" t="inlineStr">
        <is>
          <t>SC831 SRAM Production Engineering</t>
        </is>
      </c>
      <c r="E2852" s="13" t="inlineStr">
        <is>
          <t>[SUB]</t>
        </is>
      </c>
      <c r="F2852" s="7" t="inlineStr">
        <is>
          <t>114 / Weapons Range Support Equipment</t>
        </is>
      </c>
      <c r="I2852" s="14" t="n">
        <v>6</v>
      </c>
      <c r="K2852" s="15" t="n"/>
      <c r="O2852" s="15" t="n"/>
      <c r="P2852" s="16" t="n">
        <v>2032</v>
      </c>
      <c r="Q2852" s="16" t="n">
        <v>1891</v>
      </c>
      <c r="S2852" s="16" t="n">
        <v>1931</v>
      </c>
      <c r="U2852" s="16" t="n">
        <v>1931</v>
      </c>
      <c r="AC2852" s="23">
        <f>IF(OR(E2852="",E2852="[PARENT]"),"ADD",IF(E2852="[ALT_VIEW]","ALT",""))</f>
        <v/>
      </c>
      <c r="AD2852" s="21">
        <f>IF(Y2852&lt;&gt;"",Y2852,IF(U2852&lt;&gt;"",U2852,S2852))</f>
        <v/>
      </c>
      <c r="AE2852" s="21">
        <f>IF(AB2852&lt;&gt;"",AB2852,Z2852)</f>
        <v/>
      </c>
      <c r="AF2852" s="13" t="inlineStr">
        <is>
          <t>P-5 Cost Analysis / LI 4204 / Support - Production Engineering</t>
        </is>
      </c>
      <c r="AG2852" s="7" t="inlineStr">
        <is>
          <t>97</t>
        </is>
      </c>
      <c r="AH2852" s="7" t="inlineStr">
        <is>
          <t>4204</t>
        </is>
      </c>
      <c r="AI2852" s="7" t="inlineStr">
        <is>
          <t>Weapons Range Support Equipment</t>
        </is>
      </c>
      <c r="AJ2852" s="7" t="inlineStr">
        <is>
          <t>SC831</t>
        </is>
      </c>
    </row>
    <row r="2853" ht="10" customHeight="1">
      <c r="A2853" s="7" t="inlineStr">
        <is>
          <t>OPN_BA3</t>
        </is>
      </c>
      <c r="B2853" s="7" t="inlineStr">
        <is>
          <t>Procurement</t>
        </is>
      </c>
      <c r="D2853" s="7" t="inlineStr">
        <is>
          <t>SC831 Ocean Systems Production Engineering</t>
        </is>
      </c>
      <c r="E2853" s="13" t="inlineStr">
        <is>
          <t>[SUB]</t>
        </is>
      </c>
      <c r="F2853" s="7" t="inlineStr">
        <is>
          <t>114 / Weapons Range Support Equipment</t>
        </is>
      </c>
      <c r="I2853" s="14" t="n">
        <v>6</v>
      </c>
      <c r="K2853" s="15" t="n"/>
      <c r="O2853" s="15" t="n"/>
      <c r="P2853" s="16" t="n">
        <v>3586</v>
      </c>
      <c r="Q2853" s="16" t="n">
        <v>2820</v>
      </c>
      <c r="S2853" s="16" t="n">
        <v>3039</v>
      </c>
      <c r="U2853" s="16" t="n">
        <v>3039</v>
      </c>
      <c r="AC2853" s="23">
        <f>IF(OR(E2853="",E2853="[PARENT]"),"ADD",IF(E2853="[ALT_VIEW]","ALT",""))</f>
        <v/>
      </c>
      <c r="AD2853" s="21">
        <f>IF(Y2853&lt;&gt;"",Y2853,IF(U2853&lt;&gt;"",U2853,S2853))</f>
        <v/>
      </c>
      <c r="AE2853" s="21">
        <f>IF(AB2853&lt;&gt;"",AB2853,Z2853)</f>
        <v/>
      </c>
      <c r="AF2853" s="13" t="inlineStr">
        <is>
          <t>P-5 Cost Analysis / LI 4204 / Support - Production Engineering</t>
        </is>
      </c>
      <c r="AG2853" s="7" t="inlineStr">
        <is>
          <t>97</t>
        </is>
      </c>
      <c r="AH2853" s="7" t="inlineStr">
        <is>
          <t>4204</t>
        </is>
      </c>
      <c r="AI2853" s="7" t="inlineStr">
        <is>
          <t>Weapons Range Support Equipment</t>
        </is>
      </c>
      <c r="AJ2853" s="7" t="inlineStr">
        <is>
          <t>SC831</t>
        </is>
      </c>
    </row>
    <row r="2854" ht="10" customHeight="1">
      <c r="A2854" s="7" t="inlineStr">
        <is>
          <t>OPN_BA3</t>
        </is>
      </c>
      <c r="B2854" s="7" t="inlineStr">
        <is>
          <t>Procurement</t>
        </is>
      </c>
      <c r="D2854" s="7" t="inlineStr">
        <is>
          <t>SC831 TCTS Production Engineering</t>
        </is>
      </c>
      <c r="E2854" s="13" t="inlineStr">
        <is>
          <t>[SUB]</t>
        </is>
      </c>
      <c r="F2854" s="7" t="inlineStr">
        <is>
          <t>114 / Weapons Range Support Equipment</t>
        </is>
      </c>
      <c r="I2854" s="14" t="n">
        <v>6</v>
      </c>
      <c r="K2854" s="15" t="n"/>
      <c r="O2854" s="15" t="n"/>
      <c r="P2854" s="16" t="n">
        <v>1407</v>
      </c>
      <c r="Q2854" s="16" t="n">
        <v>1613</v>
      </c>
      <c r="S2854" s="16" t="n">
        <v>389</v>
      </c>
      <c r="U2854" s="16" t="n">
        <v>389</v>
      </c>
      <c r="AC2854" s="23">
        <f>IF(OR(E2854="",E2854="[PARENT]"),"ADD",IF(E2854="[ALT_VIEW]","ALT",""))</f>
        <v/>
      </c>
      <c r="AD2854" s="21">
        <f>IF(Y2854&lt;&gt;"",Y2854,IF(U2854&lt;&gt;"",U2854,S2854))</f>
        <v/>
      </c>
      <c r="AE2854" s="21">
        <f>IF(AB2854&lt;&gt;"",AB2854,Z2854)</f>
        <v/>
      </c>
      <c r="AF2854" s="13" t="inlineStr">
        <is>
          <t>P-5 Cost Analysis / LI 4204 / Support - Production Engineering</t>
        </is>
      </c>
      <c r="AG2854" s="7" t="inlineStr">
        <is>
          <t>97</t>
        </is>
      </c>
      <c r="AH2854" s="7" t="inlineStr">
        <is>
          <t>4204</t>
        </is>
      </c>
      <c r="AI2854" s="7" t="inlineStr">
        <is>
          <t>Weapons Range Support Equipment</t>
        </is>
      </c>
      <c r="AJ2854" s="7" t="inlineStr">
        <is>
          <t>SC831</t>
        </is>
      </c>
    </row>
    <row r="2855" ht="10" customHeight="1">
      <c r="A2855" s="7" t="inlineStr">
        <is>
          <t>OPN_BA3</t>
        </is>
      </c>
      <c r="B2855" s="7" t="inlineStr">
        <is>
          <t>Procurement</t>
        </is>
      </c>
      <c r="D2855" s="7" t="inlineStr">
        <is>
          <t>SC831 EW Production Engineering</t>
        </is>
      </c>
      <c r="E2855" s="13" t="inlineStr">
        <is>
          <t>[SUB]</t>
        </is>
      </c>
      <c r="F2855" s="7" t="inlineStr">
        <is>
          <t>114 / Weapons Range Support Equipment</t>
        </is>
      </c>
      <c r="I2855" s="14" t="n">
        <v>6</v>
      </c>
      <c r="K2855" s="15" t="n"/>
      <c r="O2855" s="15" t="n"/>
      <c r="P2855" s="16" t="n">
        <v>1927</v>
      </c>
      <c r="Q2855" s="16" t="n">
        <v>1775</v>
      </c>
      <c r="S2855" s="16" t="n">
        <v>1812</v>
      </c>
      <c r="U2855" s="16" t="n">
        <v>1812</v>
      </c>
      <c r="AC2855" s="23">
        <f>IF(OR(E2855="",E2855="[PARENT]"),"ADD",IF(E2855="[ALT_VIEW]","ALT",""))</f>
        <v/>
      </c>
      <c r="AD2855" s="21">
        <f>IF(Y2855&lt;&gt;"",Y2855,IF(U2855&lt;&gt;"",U2855,S2855))</f>
        <v/>
      </c>
      <c r="AE2855" s="21">
        <f>IF(AB2855&lt;&gt;"",AB2855,Z2855)</f>
        <v/>
      </c>
      <c r="AF2855" s="13" t="inlineStr">
        <is>
          <t>P-5 Cost Analysis / LI 4204 / Support - Production Engineering</t>
        </is>
      </c>
      <c r="AG2855" s="7" t="inlineStr">
        <is>
          <t>97</t>
        </is>
      </c>
      <c r="AH2855" s="7" t="inlineStr">
        <is>
          <t>4204</t>
        </is>
      </c>
      <c r="AI2855" s="7" t="inlineStr">
        <is>
          <t>Weapons Range Support Equipment</t>
        </is>
      </c>
      <c r="AJ2855" s="7" t="inlineStr">
        <is>
          <t>SC831</t>
        </is>
      </c>
    </row>
    <row r="2856" ht="10" customHeight="1">
      <c r="A2856" s="7" t="inlineStr">
        <is>
          <t>OPN_BA3</t>
        </is>
      </c>
      <c r="B2856" s="7" t="inlineStr">
        <is>
          <t>Procurement</t>
        </is>
      </c>
      <c r="D2856" s="7" t="inlineStr">
        <is>
          <t>SC832 MLT Production Engineering</t>
        </is>
      </c>
      <c r="E2856" s="13" t="inlineStr">
        <is>
          <t>[SUB]</t>
        </is>
      </c>
      <c r="F2856" s="7" t="inlineStr">
        <is>
          <t>114 / Weapons Range Support Equipment</t>
        </is>
      </c>
      <c r="I2856" s="14" t="n">
        <v>6</v>
      </c>
      <c r="K2856" s="15" t="n"/>
      <c r="O2856" s="15" t="n"/>
      <c r="P2856" s="16" t="n">
        <v>474</v>
      </c>
      <c r="Q2856" s="16" t="n">
        <v>450</v>
      </c>
      <c r="S2856" s="16" t="n">
        <v>368</v>
      </c>
      <c r="U2856" s="16" t="n">
        <v>368</v>
      </c>
      <c r="AC2856" s="23">
        <f>IF(OR(E2856="",E2856="[PARENT]"),"ADD",IF(E2856="[ALT_VIEW]","ALT",""))</f>
        <v/>
      </c>
      <c r="AD2856" s="21">
        <f>IF(Y2856&lt;&gt;"",Y2856,IF(U2856&lt;&gt;"",U2856,S2856))</f>
        <v/>
      </c>
      <c r="AE2856" s="21">
        <f>IF(AB2856&lt;&gt;"",AB2856,Z2856)</f>
        <v/>
      </c>
      <c r="AF2856" s="13" t="inlineStr">
        <is>
          <t>P-5 Cost Analysis / LI 4204 / Support - Production Engineering</t>
        </is>
      </c>
      <c r="AG2856" s="7" t="inlineStr">
        <is>
          <t>97</t>
        </is>
      </c>
      <c r="AH2856" s="7" t="inlineStr">
        <is>
          <t>4204</t>
        </is>
      </c>
      <c r="AI2856" s="7" t="inlineStr">
        <is>
          <t>Weapons Range Support Equipment</t>
        </is>
      </c>
      <c r="AJ2856" s="7" t="inlineStr">
        <is>
          <t>SC832</t>
        </is>
      </c>
    </row>
    <row r="2857" ht="10" customHeight="1">
      <c r="A2857" s="7" t="inlineStr">
        <is>
          <t>OPN_BA3</t>
        </is>
      </c>
      <c r="B2857" s="7" t="inlineStr">
        <is>
          <t>Procurement</t>
        </is>
      </c>
      <c r="D2857" s="7" t="inlineStr">
        <is>
          <t>SC831 LVC Range Integration Prod Engineering</t>
        </is>
      </c>
      <c r="E2857" s="13" t="inlineStr">
        <is>
          <t>[SUB]</t>
        </is>
      </c>
      <c r="F2857" s="7" t="inlineStr">
        <is>
          <t>114 / Weapons Range Support Equipment</t>
        </is>
      </c>
      <c r="I2857" s="14" t="n">
        <v>6</v>
      </c>
      <c r="K2857" s="15" t="n"/>
      <c r="O2857" s="15" t="n"/>
      <c r="P2857" s="16" t="n">
        <v>548</v>
      </c>
      <c r="Q2857" s="16" t="n">
        <v>250</v>
      </c>
      <c r="S2857" s="16" t="n">
        <v>235</v>
      </c>
      <c r="U2857" s="16" t="n">
        <v>235</v>
      </c>
      <c r="AC2857" s="23">
        <f>IF(OR(E2857="",E2857="[PARENT]"),"ADD",IF(E2857="[ALT_VIEW]","ALT",""))</f>
        <v/>
      </c>
      <c r="AD2857" s="21">
        <f>IF(Y2857&lt;&gt;"",Y2857,IF(U2857&lt;&gt;"",U2857,S2857))</f>
        <v/>
      </c>
      <c r="AE2857" s="21">
        <f>IF(AB2857&lt;&gt;"",AB2857,Z2857)</f>
        <v/>
      </c>
      <c r="AF2857" s="13" t="inlineStr">
        <is>
          <t>P-5 Cost Analysis / LI 4204 / Support - Production Engineering</t>
        </is>
      </c>
      <c r="AG2857" s="7" t="inlineStr">
        <is>
          <t>98</t>
        </is>
      </c>
      <c r="AH2857" s="7" t="inlineStr">
        <is>
          <t>4204</t>
        </is>
      </c>
      <c r="AI2857" s="7" t="inlineStr">
        <is>
          <t>Weapons Range Support Equipment</t>
        </is>
      </c>
      <c r="AJ2857" s="7" t="inlineStr">
        <is>
          <t>SC831</t>
        </is>
      </c>
    </row>
    <row r="2858" ht="10" customHeight="1">
      <c r="A2858" s="7" t="inlineStr">
        <is>
          <t>OPN_BA3</t>
        </is>
      </c>
      <c r="B2858" s="7" t="inlineStr">
        <is>
          <t>Procurement</t>
        </is>
      </c>
      <c r="C2858" s="7" t="inlineStr">
        <is>
          <t>115</t>
        </is>
      </c>
      <c r="D2858" s="7" t="inlineStr">
        <is>
          <t>Aircraft Support Equipment</t>
        </is>
      </c>
      <c r="E2858" s="13" t="inlineStr">
        <is>
          <t>[PARENT]</t>
        </is>
      </c>
      <c r="I2858" s="14" t="n">
        <v>4</v>
      </c>
      <c r="K2858" s="15" t="n"/>
      <c r="O2858" s="15" t="n"/>
      <c r="P2858" s="16" t="n">
        <v>159480</v>
      </c>
      <c r="Q2858" s="16" t="n">
        <v>121108</v>
      </c>
      <c r="S2858" s="16" t="n">
        <v>91284</v>
      </c>
      <c r="U2858" s="16" t="n">
        <v>91284</v>
      </c>
      <c r="X2858" s="16" t="n">
        <v>82039</v>
      </c>
      <c r="Y2858" s="16" t="n">
        <v>82039</v>
      </c>
      <c r="Z2858" s="16" t="n">
        <v>69065</v>
      </c>
      <c r="AB2858" s="16" t="n">
        <v>69065</v>
      </c>
      <c r="AC2858" s="23">
        <f>IF(OR(E2858="",E2858="[PARENT]"),"ADD",IF(E2858="[ALT_VIEW]","ALT",""))</f>
        <v/>
      </c>
      <c r="AD2858" s="21">
        <f>IF(Y2858&lt;&gt;"",Y2858,IF(U2858&lt;&gt;"",U2858,S2858))</f>
        <v/>
      </c>
      <c r="AE2858" s="21">
        <f>IF(AB2858&lt;&gt;"",AB2858,Z2858)</f>
        <v/>
      </c>
      <c r="AF2858" s="13" t="inlineStr">
        <is>
          <t>P-40 / BA03 / BSA03 Aircraft Support Equipment / LI 4213</t>
        </is>
      </c>
      <c r="AG2858" s="7" t="inlineStr">
        <is>
          <t>105</t>
        </is>
      </c>
      <c r="AH2858" s="7" t="inlineStr">
        <is>
          <t>4213</t>
        </is>
      </c>
    </row>
    <row r="2859" ht="10" customHeight="1">
      <c r="A2859" s="7" t="inlineStr">
        <is>
          <t>OPN_BA3</t>
        </is>
      </c>
      <c r="B2859" s="7" t="inlineStr">
        <is>
          <t>Procurement</t>
        </is>
      </c>
      <c r="D2859" s="7" t="inlineStr">
        <is>
          <t>Expeditionary Airfields (Item 1 of LI 4213)</t>
        </is>
      </c>
      <c r="E2859" s="13" t="inlineStr">
        <is>
          <t>[SUB]</t>
        </is>
      </c>
      <c r="F2859" s="7" t="inlineStr">
        <is>
          <t>115 / Aircraft Support Equipment</t>
        </is>
      </c>
      <c r="I2859" s="14" t="n">
        <v>6</v>
      </c>
      <c r="K2859" s="15" t="n"/>
      <c r="O2859" s="15" t="n"/>
      <c r="P2859" s="16" t="n">
        <v>47412</v>
      </c>
      <c r="Q2859" s="16" t="n">
        <v>15443</v>
      </c>
      <c r="S2859" s="16" t="n">
        <v>14285</v>
      </c>
      <c r="U2859" s="16" t="n">
        <v>14285</v>
      </c>
      <c r="AC2859" s="23">
        <f>IF(OR(E2859="",E2859="[PARENT]"),"ADD",IF(E2859="[ALT_VIEW]","ALT",""))</f>
        <v/>
      </c>
      <c r="AD2859" s="21">
        <f>IF(Y2859&lt;&gt;"",Y2859,IF(U2859&lt;&gt;"",U2859,S2859))</f>
        <v/>
      </c>
      <c r="AE2859" s="21">
        <f>IF(AB2859&lt;&gt;"",AB2859,Z2859)</f>
        <v/>
      </c>
      <c r="AF2859" s="13" t="inlineStr">
        <is>
          <t>P-5 Cost Analysis / LI 4213 / Item 1 - Expeditionary Airfields</t>
        </is>
      </c>
      <c r="AG2859" s="7" t="inlineStr">
        <is>
          <t>109</t>
        </is>
      </c>
      <c r="AH2859" s="7" t="inlineStr">
        <is>
          <t>4213</t>
        </is>
      </c>
      <c r="AI2859" s="7" t="inlineStr">
        <is>
          <t>Expeditionary Airfields</t>
        </is>
      </c>
    </row>
    <row r="2860" ht="10" customHeight="1">
      <c r="A2860" s="7" t="inlineStr">
        <is>
          <t>OPN_BA3</t>
        </is>
      </c>
      <c r="B2860" s="7" t="inlineStr">
        <is>
          <t>Procurement</t>
        </is>
      </c>
      <c r="D2860" s="7" t="inlineStr">
        <is>
          <t>Acft Rearming Equip (Item 2 of LI 4213)</t>
        </is>
      </c>
      <c r="E2860" s="13" t="inlineStr">
        <is>
          <t>[SUB]</t>
        </is>
      </c>
      <c r="F2860" s="7" t="inlineStr">
        <is>
          <t>115 / Aircraft Support Equipment</t>
        </is>
      </c>
      <c r="I2860" s="14" t="n">
        <v>6</v>
      </c>
      <c r="K2860" s="15" t="n"/>
      <c r="O2860" s="15" t="n"/>
      <c r="P2860" s="16" t="n">
        <v>13633</v>
      </c>
      <c r="Q2860" s="16" t="n">
        <v>13871</v>
      </c>
      <c r="S2860" s="16" t="n">
        <v>13536</v>
      </c>
      <c r="U2860" s="16" t="n">
        <v>13536</v>
      </c>
      <c r="AC2860" s="23">
        <f>IF(OR(E2860="",E2860="[PARENT]"),"ADD",IF(E2860="[ALT_VIEW]","ALT",""))</f>
        <v/>
      </c>
      <c r="AD2860" s="21">
        <f>IF(Y2860&lt;&gt;"",Y2860,IF(U2860&lt;&gt;"",U2860,S2860))</f>
        <v/>
      </c>
      <c r="AE2860" s="21">
        <f>IF(AB2860&lt;&gt;"",AB2860,Z2860)</f>
        <v/>
      </c>
      <c r="AF2860" s="13" t="inlineStr">
        <is>
          <t>P-5 Cost Analysis / LI 4213 / Item 2 - Acft Rearming Equip</t>
        </is>
      </c>
      <c r="AG2860" s="7" t="inlineStr">
        <is>
          <t>115</t>
        </is>
      </c>
      <c r="AH2860" s="7" t="inlineStr">
        <is>
          <t>4213</t>
        </is>
      </c>
      <c r="AI2860" s="7" t="inlineStr">
        <is>
          <t>Acft Rearming Equip</t>
        </is>
      </c>
    </row>
    <row r="2861" ht="10" customHeight="1">
      <c r="A2861" s="7" t="inlineStr">
        <is>
          <t>OPN_BA3</t>
        </is>
      </c>
      <c r="B2861" s="7" t="inlineStr">
        <is>
          <t>Procurement</t>
        </is>
      </c>
      <c r="D2861" s="7" t="inlineStr">
        <is>
          <t>Air Launch &amp; Recovery Equip (Item 3 of LI 4213)</t>
        </is>
      </c>
      <c r="E2861" s="13" t="inlineStr">
        <is>
          <t>[SUB]</t>
        </is>
      </c>
      <c r="F2861" s="7" t="inlineStr">
        <is>
          <t>115 / Aircraft Support Equipment</t>
        </is>
      </c>
      <c r="I2861" s="14" t="n">
        <v>4</v>
      </c>
      <c r="K2861" s="15" t="n"/>
      <c r="O2861" s="15" t="n"/>
      <c r="P2861" s="16" t="n">
        <v>72519</v>
      </c>
      <c r="Q2861" s="16" t="n">
        <v>73105</v>
      </c>
      <c r="S2861" s="16" t="n">
        <v>63463</v>
      </c>
      <c r="U2861" s="16" t="n">
        <v>63463</v>
      </c>
      <c r="AC2861" s="23">
        <f>IF(OR(E2861="",E2861="[PARENT]"),"ADD",IF(E2861="[ALT_VIEW]","ALT",""))</f>
        <v/>
      </c>
      <c r="AD2861" s="21">
        <f>IF(Y2861&lt;&gt;"",Y2861,IF(U2861&lt;&gt;"",U2861,S2861))</f>
        <v/>
      </c>
      <c r="AE2861" s="21">
        <f>IF(AB2861&lt;&gt;"",AB2861,Z2861)</f>
        <v/>
      </c>
      <c r="AF2861" s="13" t="inlineStr">
        <is>
          <t>P-5 Cost Analysis / LI 4213 / Item 3 - Air Launch &amp; Recovery</t>
        </is>
      </c>
      <c r="AG2861" s="7" t="inlineStr">
        <is>
          <t>119</t>
        </is>
      </c>
      <c r="AH2861" s="7" t="inlineStr">
        <is>
          <t>4213</t>
        </is>
      </c>
      <c r="AI2861" s="7" t="inlineStr">
        <is>
          <t>Air Launch &amp; Recovery Equip</t>
        </is>
      </c>
    </row>
    <row r="2862" ht="10" customHeight="1">
      <c r="A2862" s="7" t="inlineStr">
        <is>
          <t>OPN_BA3</t>
        </is>
      </c>
      <c r="B2862" s="7" t="inlineStr">
        <is>
          <t>Procurement</t>
        </is>
      </c>
      <c r="D2862" s="7" t="inlineStr">
        <is>
          <t>Visual Landing Aids (Service Change Kits)</t>
        </is>
      </c>
      <c r="E2862" s="13" t="inlineStr">
        <is>
          <t>[SUB]</t>
        </is>
      </c>
      <c r="F2862" s="7" t="inlineStr">
        <is>
          <t>115-I3 / Air Launch &amp; Recovery Equip</t>
        </is>
      </c>
      <c r="I2862" s="14" t="n">
        <v>4</v>
      </c>
      <c r="K2862" s="15" t="n"/>
      <c r="O2862" s="15" t="n"/>
      <c r="P2862" s="16" t="n">
        <v>18150</v>
      </c>
      <c r="Q2862" s="16" t="n">
        <v>3839</v>
      </c>
      <c r="S2862" s="16" t="n">
        <v>19245</v>
      </c>
      <c r="U2862" s="16" t="n">
        <v>19245</v>
      </c>
      <c r="AC2862" s="23">
        <f>IF(OR(E2862="",E2862="[PARENT]"),"ADD",IF(E2862="[ALT_VIEW]","ALT",""))</f>
        <v/>
      </c>
      <c r="AD2862" s="21">
        <f>IF(Y2862&lt;&gt;"",Y2862,IF(U2862&lt;&gt;"",U2862,S2862))</f>
        <v/>
      </c>
      <c r="AE2862" s="21">
        <f>IF(AB2862&lt;&gt;"",AB2862,Z2862)</f>
        <v/>
      </c>
      <c r="AF2862" s="13" t="inlineStr">
        <is>
          <t>P-5 / LI 4213 / Item 3 - Air Launch &amp; Recovery</t>
        </is>
      </c>
      <c r="AG2862" s="7" t="inlineStr">
        <is>
          <t>119</t>
        </is>
      </c>
      <c r="AH2862" s="7" t="inlineStr">
        <is>
          <t>4213</t>
        </is>
      </c>
    </row>
    <row r="2863" ht="10" customHeight="1">
      <c r="A2863" s="7" t="inlineStr">
        <is>
          <t>OPN_BA3</t>
        </is>
      </c>
      <c r="B2863" s="7" t="inlineStr">
        <is>
          <t>Procurement</t>
        </is>
      </c>
      <c r="D2863" s="7" t="inlineStr">
        <is>
          <t>VLA - MA</t>
        </is>
      </c>
      <c r="E2863" s="13" t="inlineStr">
        <is>
          <t>[SUB]</t>
        </is>
      </c>
      <c r="F2863" s="7" t="inlineStr">
        <is>
          <t>115-I3 / Air Launch &amp; Recovery Equip</t>
        </is>
      </c>
      <c r="I2863" s="14" t="n">
        <v>4</v>
      </c>
      <c r="K2863" s="15" t="n"/>
      <c r="O2863" s="15" t="n"/>
      <c r="P2863" s="16" t="n">
        <v>957</v>
      </c>
      <c r="Q2863" s="16" t="n">
        <v>202</v>
      </c>
      <c r="S2863" s="16" t="n">
        <v>410</v>
      </c>
      <c r="U2863" s="16" t="n">
        <v>410</v>
      </c>
      <c r="AC2863" s="23">
        <f>IF(OR(E2863="",E2863="[PARENT]"),"ADD",IF(E2863="[ALT_VIEW]","ALT",""))</f>
        <v/>
      </c>
      <c r="AD2863" s="21">
        <f>IF(Y2863&lt;&gt;"",Y2863,IF(U2863&lt;&gt;"",U2863,S2863))</f>
        <v/>
      </c>
      <c r="AE2863" s="21">
        <f>IF(AB2863&lt;&gt;"",AB2863,Z2863)</f>
        <v/>
      </c>
      <c r="AF2863" s="13" t="inlineStr">
        <is>
          <t>P-5 / LI 4213 / Item 3 - Air Launch &amp; Recovery</t>
        </is>
      </c>
      <c r="AG2863" s="7" t="inlineStr">
        <is>
          <t>119</t>
        </is>
      </c>
      <c r="AH2863" s="7" t="inlineStr">
        <is>
          <t>4213</t>
        </is>
      </c>
    </row>
    <row r="2864" ht="10" customHeight="1">
      <c r="A2864" s="7" t="inlineStr">
        <is>
          <t>OPN_BA3</t>
        </is>
      </c>
      <c r="B2864" s="7" t="inlineStr">
        <is>
          <t>Procurement</t>
        </is>
      </c>
      <c r="D2864" s="7" t="inlineStr">
        <is>
          <t>Launcher (JBD for CVN-78)</t>
        </is>
      </c>
      <c r="E2864" s="13" t="inlineStr">
        <is>
          <t>[SUB]</t>
        </is>
      </c>
      <c r="F2864" s="7" t="inlineStr">
        <is>
          <t>115-I3 / Air Launch &amp; Recovery Equip</t>
        </is>
      </c>
      <c r="I2864" s="14" t="n">
        <v>4</v>
      </c>
      <c r="K2864" s="13" t="inlineStr">
        <is>
          <t>USN</t>
        </is>
      </c>
      <c r="L2864" s="7" t="inlineStr">
        <is>
          <t>Combatant Ships</t>
        </is>
      </c>
      <c r="M2864" s="7" t="inlineStr">
        <is>
          <t>Aircraft Carriers</t>
        </is>
      </c>
      <c r="N2864" s="7" t="inlineStr">
        <is>
          <t>CVN</t>
        </is>
      </c>
      <c r="O2864" s="15" t="n"/>
      <c r="Q2864" s="16" t="n">
        <v>1887</v>
      </c>
      <c r="S2864" s="16" t="n">
        <v>1295</v>
      </c>
      <c r="U2864" s="16" t="n">
        <v>1295</v>
      </c>
      <c r="AC2864" s="23">
        <f>IF(OR(E2864="",E2864="[PARENT]"),"ADD",IF(E2864="[ALT_VIEW]","ALT",""))</f>
        <v/>
      </c>
      <c r="AD2864" s="21">
        <f>IF(Y2864&lt;&gt;"",Y2864,IF(U2864&lt;&gt;"",U2864,S2864))</f>
        <v/>
      </c>
      <c r="AE2864" s="21">
        <f>IF(AB2864&lt;&gt;"",AB2864,Z2864)</f>
        <v/>
      </c>
      <c r="AF2864" s="13" t="inlineStr">
        <is>
          <t>P-5 / LI 4213 / Item 3 - Air Launch &amp; Recovery</t>
        </is>
      </c>
      <c r="AG2864" s="7" t="inlineStr">
        <is>
          <t>119</t>
        </is>
      </c>
      <c r="AH2864" s="7" t="inlineStr">
        <is>
          <t>4213</t>
        </is>
      </c>
    </row>
    <row r="2865" ht="10" customHeight="1">
      <c r="A2865" s="7" t="inlineStr">
        <is>
          <t>OPN_BA3</t>
        </is>
      </c>
      <c r="B2865" s="7" t="inlineStr">
        <is>
          <t>Procurement</t>
        </is>
      </c>
      <c r="D2865" s="7" t="inlineStr">
        <is>
          <t>Recovery</t>
        </is>
      </c>
      <c r="E2865" s="13" t="inlineStr">
        <is>
          <t>[SUB]</t>
        </is>
      </c>
      <c r="F2865" s="7" t="inlineStr">
        <is>
          <t>115-I3 / Air Launch &amp; Recovery Equip</t>
        </is>
      </c>
      <c r="I2865" s="14" t="n">
        <v>4</v>
      </c>
      <c r="K2865" s="15" t="n"/>
      <c r="O2865" s="15" t="n"/>
      <c r="P2865" s="16" t="n">
        <v>3913</v>
      </c>
      <c r="Q2865" s="16" t="n">
        <v>7525</v>
      </c>
      <c r="S2865" s="16" t="n">
        <v>4906</v>
      </c>
      <c r="U2865" s="16" t="n">
        <v>4906</v>
      </c>
      <c r="AC2865" s="23">
        <f>IF(OR(E2865="",E2865="[PARENT]"),"ADD",IF(E2865="[ALT_VIEW]","ALT",""))</f>
        <v/>
      </c>
      <c r="AD2865" s="21">
        <f>IF(Y2865&lt;&gt;"",Y2865,IF(U2865&lt;&gt;"",U2865,S2865))</f>
        <v/>
      </c>
      <c r="AE2865" s="21">
        <f>IF(AB2865&lt;&gt;"",AB2865,Z2865)</f>
        <v/>
      </c>
      <c r="AF2865" s="13" t="inlineStr">
        <is>
          <t>P-5 / LI 4213 / Item 3 - Air Launch &amp; Recovery</t>
        </is>
      </c>
      <c r="AG2865" s="7" t="inlineStr">
        <is>
          <t>119</t>
        </is>
      </c>
      <c r="AH2865" s="7" t="inlineStr">
        <is>
          <t>4213</t>
        </is>
      </c>
    </row>
    <row r="2866" ht="10" customHeight="1">
      <c r="A2866" s="7" t="inlineStr">
        <is>
          <t>OPN_BA3</t>
        </is>
      </c>
      <c r="B2866" s="7" t="inlineStr">
        <is>
          <t>Procurement</t>
        </is>
      </c>
      <c r="D2866" s="7" t="inlineStr">
        <is>
          <t>ADMACS</t>
        </is>
      </c>
      <c r="E2866" s="13" t="inlineStr">
        <is>
          <t>[SUB]</t>
        </is>
      </c>
      <c r="F2866" s="7" t="inlineStr">
        <is>
          <t>115-I3 / Air Launch &amp; Recovery Equip</t>
        </is>
      </c>
      <c r="I2866" s="14" t="n">
        <v>4</v>
      </c>
      <c r="K2866" s="15" t="n"/>
      <c r="O2866" s="15" t="n"/>
      <c r="S2866" s="16" t="n">
        <v>1821</v>
      </c>
      <c r="U2866" s="16" t="n">
        <v>1821</v>
      </c>
      <c r="AC2866" s="23">
        <f>IF(OR(E2866="",E2866="[PARENT]"),"ADD",IF(E2866="[ALT_VIEW]","ALT",""))</f>
        <v/>
      </c>
      <c r="AD2866" s="21">
        <f>IF(Y2866&lt;&gt;"",Y2866,IF(U2866&lt;&gt;"",U2866,S2866))</f>
        <v/>
      </c>
      <c r="AE2866" s="21">
        <f>IF(AB2866&lt;&gt;"",AB2866,Z2866)</f>
        <v/>
      </c>
      <c r="AF2866" s="13" t="inlineStr">
        <is>
          <t>P-5 / LI 4213 / Item 3 - Air Launch &amp; Recovery</t>
        </is>
      </c>
      <c r="AG2866" s="7" t="inlineStr">
        <is>
          <t>119</t>
        </is>
      </c>
      <c r="AH2866" s="7" t="inlineStr">
        <is>
          <t>4213</t>
        </is>
      </c>
    </row>
    <row r="2867" ht="10" customHeight="1">
      <c r="A2867" s="7" t="inlineStr">
        <is>
          <t>OPN_BA3</t>
        </is>
      </c>
      <c r="B2867" s="7" t="inlineStr">
        <is>
          <t>Procurement</t>
        </is>
      </c>
      <c r="D2867" s="7" t="inlineStr">
        <is>
          <t>Visual Landing Aids N95 (LHA/LHD Spot 9 Lighting)</t>
        </is>
      </c>
      <c r="E2867" s="13" t="inlineStr">
        <is>
          <t>[SUB]</t>
        </is>
      </c>
      <c r="F2867" s="7" t="inlineStr">
        <is>
          <t>115-I3 / Air Launch &amp; Recovery Equip</t>
        </is>
      </c>
      <c r="I2867" s="14" t="n">
        <v>4</v>
      </c>
      <c r="K2867" s="13" t="inlineStr">
        <is>
          <t>USN</t>
        </is>
      </c>
      <c r="L2867" s="7" t="inlineStr">
        <is>
          <t>Combatant Ships</t>
        </is>
      </c>
      <c r="M2867" s="7" t="inlineStr">
        <is>
          <t>Amphibious Warfare Ships</t>
        </is>
      </c>
      <c r="O2867" s="15" t="n"/>
      <c r="Q2867" s="16" t="n">
        <v>1400</v>
      </c>
      <c r="S2867" s="16" t="n">
        <v>357</v>
      </c>
      <c r="U2867" s="16" t="n">
        <v>357</v>
      </c>
      <c r="AC2867" s="23">
        <f>IF(OR(E2867="",E2867="[PARENT]"),"ADD",IF(E2867="[ALT_VIEW]","ALT",""))</f>
        <v/>
      </c>
      <c r="AD2867" s="21">
        <f>IF(Y2867&lt;&gt;"",Y2867,IF(U2867&lt;&gt;"",U2867,S2867))</f>
        <v/>
      </c>
      <c r="AE2867" s="21">
        <f>IF(AB2867&lt;&gt;"",AB2867,Z2867)</f>
        <v/>
      </c>
      <c r="AF2867" s="13" t="inlineStr">
        <is>
          <t>P-5 / LI 4213 / Item 3 - Air Launch &amp; Recovery</t>
        </is>
      </c>
      <c r="AG2867" s="7" t="inlineStr">
        <is>
          <t>119</t>
        </is>
      </c>
      <c r="AH2867" s="7" t="inlineStr">
        <is>
          <t>4213</t>
        </is>
      </c>
    </row>
    <row r="2868" ht="10" customHeight="1">
      <c r="A2868" s="7" t="inlineStr">
        <is>
          <t>OPN_BA3</t>
        </is>
      </c>
      <c r="B2868" s="7" t="inlineStr">
        <is>
          <t>Procurement</t>
        </is>
      </c>
      <c r="D2868" s="7" t="inlineStr">
        <is>
          <t>VLA Non-Recurring Engineering</t>
        </is>
      </c>
      <c r="E2868" s="13" t="inlineStr">
        <is>
          <t>[SUB]</t>
        </is>
      </c>
      <c r="F2868" s="7" t="inlineStr">
        <is>
          <t>115-I3 / Air Launch &amp; Recovery Equip</t>
        </is>
      </c>
      <c r="I2868" s="14" t="n">
        <v>4</v>
      </c>
      <c r="K2868" s="15" t="n"/>
      <c r="O2868" s="15" t="n"/>
      <c r="P2868" s="16" t="n">
        <v>3910</v>
      </c>
      <c r="Q2868" s="16" t="n">
        <v>4112</v>
      </c>
      <c r="S2868" s="16" t="n">
        <v>1744</v>
      </c>
      <c r="U2868" s="16" t="n">
        <v>1744</v>
      </c>
      <c r="AC2868" s="23">
        <f>IF(OR(E2868="",E2868="[PARENT]"),"ADD",IF(E2868="[ALT_VIEW]","ALT",""))</f>
        <v/>
      </c>
      <c r="AD2868" s="21">
        <f>IF(Y2868&lt;&gt;"",Y2868,IF(U2868&lt;&gt;"",U2868,S2868))</f>
        <v/>
      </c>
      <c r="AE2868" s="21">
        <f>IF(AB2868&lt;&gt;"",AB2868,Z2868)</f>
        <v/>
      </c>
      <c r="AF2868" s="13" t="inlineStr">
        <is>
          <t>P-5 / LI 4213 / Item 3 - Air Launch &amp; Recovery</t>
        </is>
      </c>
      <c r="AG2868" s="7" t="inlineStr">
        <is>
          <t>119</t>
        </is>
      </c>
      <c r="AH2868" s="7" t="inlineStr">
        <is>
          <t>4213</t>
        </is>
      </c>
    </row>
    <row r="2869" ht="10" customHeight="1">
      <c r="A2869" s="7" t="inlineStr">
        <is>
          <t>OPN_BA3</t>
        </is>
      </c>
      <c r="B2869" s="7" t="inlineStr">
        <is>
          <t>Procurement</t>
        </is>
      </c>
      <c r="D2869" s="7" t="inlineStr">
        <is>
          <t>VLA - MA NRE</t>
        </is>
      </c>
      <c r="E2869" s="13" t="inlineStr">
        <is>
          <t>[SUB]</t>
        </is>
      </c>
      <c r="F2869" s="7" t="inlineStr">
        <is>
          <t>115-I3 / Air Launch &amp; Recovery Equip</t>
        </is>
      </c>
      <c r="I2869" s="14" t="n">
        <v>4</v>
      </c>
      <c r="K2869" s="15" t="n"/>
      <c r="O2869" s="15" t="n"/>
      <c r="P2869" s="16" t="n">
        <v>2777</v>
      </c>
      <c r="Q2869" s="16" t="n">
        <v>4224</v>
      </c>
      <c r="S2869" s="16" t="n">
        <v>6452</v>
      </c>
      <c r="U2869" s="16" t="n">
        <v>6452</v>
      </c>
      <c r="AC2869" s="23">
        <f>IF(OR(E2869="",E2869="[PARENT]"),"ADD",IF(E2869="[ALT_VIEW]","ALT",""))</f>
        <v/>
      </c>
      <c r="AD2869" s="21">
        <f>IF(Y2869&lt;&gt;"",Y2869,IF(U2869&lt;&gt;"",U2869,S2869))</f>
        <v/>
      </c>
      <c r="AE2869" s="21">
        <f>IF(AB2869&lt;&gt;"",AB2869,Z2869)</f>
        <v/>
      </c>
      <c r="AF2869" s="13" t="inlineStr">
        <is>
          <t>P-5 / LI 4213 / Item 3 - Air Launch &amp; Recovery</t>
        </is>
      </c>
      <c r="AG2869" s="7" t="inlineStr">
        <is>
          <t>119</t>
        </is>
      </c>
      <c r="AH2869" s="7" t="inlineStr">
        <is>
          <t>4213</t>
        </is>
      </c>
    </row>
    <row r="2870" ht="10" customHeight="1">
      <c r="A2870" s="7" t="inlineStr">
        <is>
          <t>OPN_BA3</t>
        </is>
      </c>
      <c r="B2870" s="7" t="inlineStr">
        <is>
          <t>Procurement</t>
        </is>
      </c>
      <c r="D2870" s="7" t="inlineStr">
        <is>
          <t>Launcher NRE</t>
        </is>
      </c>
      <c r="E2870" s="13" t="inlineStr">
        <is>
          <t>[SUB]</t>
        </is>
      </c>
      <c r="F2870" s="7" t="inlineStr">
        <is>
          <t>115-I3 / Air Launch &amp; Recovery Equip</t>
        </is>
      </c>
      <c r="I2870" s="14" t="n">
        <v>4</v>
      </c>
      <c r="K2870" s="13" t="inlineStr">
        <is>
          <t>USN</t>
        </is>
      </c>
      <c r="L2870" s="7" t="inlineStr">
        <is>
          <t>Combatant Ships</t>
        </is>
      </c>
      <c r="M2870" s="7" t="inlineStr">
        <is>
          <t>Aircraft Carriers</t>
        </is>
      </c>
      <c r="N2870" s="7" t="inlineStr">
        <is>
          <t>CVN</t>
        </is>
      </c>
      <c r="O2870" s="15" t="n"/>
      <c r="Q2870" s="16" t="n">
        <v>976</v>
      </c>
      <c r="S2870" s="16" t="n">
        <v>665</v>
      </c>
      <c r="U2870" s="16" t="n">
        <v>665</v>
      </c>
      <c r="AC2870" s="23">
        <f>IF(OR(E2870="",E2870="[PARENT]"),"ADD",IF(E2870="[ALT_VIEW]","ALT",""))</f>
        <v/>
      </c>
      <c r="AD2870" s="21">
        <f>IF(Y2870&lt;&gt;"",Y2870,IF(U2870&lt;&gt;"",U2870,S2870))</f>
        <v/>
      </c>
      <c r="AE2870" s="21">
        <f>IF(AB2870&lt;&gt;"",AB2870,Z2870)</f>
        <v/>
      </c>
      <c r="AF2870" s="13" t="inlineStr">
        <is>
          <t>P-5 / LI 4213 / Item 3 - Air Launch &amp; Recovery</t>
        </is>
      </c>
      <c r="AG2870" s="7" t="inlineStr">
        <is>
          <t>119</t>
        </is>
      </c>
      <c r="AH2870" s="7" t="inlineStr">
        <is>
          <t>4213</t>
        </is>
      </c>
    </row>
    <row r="2871" ht="10" customHeight="1">
      <c r="A2871" s="7" t="inlineStr">
        <is>
          <t>OPN_BA3</t>
        </is>
      </c>
      <c r="B2871" s="7" t="inlineStr">
        <is>
          <t>Procurement</t>
        </is>
      </c>
      <c r="D2871" s="7" t="inlineStr">
        <is>
          <t>Recovery NRE</t>
        </is>
      </c>
      <c r="E2871" s="13" t="inlineStr">
        <is>
          <t>[SUB]</t>
        </is>
      </c>
      <c r="F2871" s="7" t="inlineStr">
        <is>
          <t>115-I3 / Air Launch &amp; Recovery Equip</t>
        </is>
      </c>
      <c r="I2871" s="14" t="n">
        <v>4</v>
      </c>
      <c r="K2871" s="15" t="n"/>
      <c r="O2871" s="15" t="n"/>
      <c r="P2871" s="16" t="n">
        <v>947</v>
      </c>
      <c r="Q2871" s="16" t="n">
        <v>3865</v>
      </c>
      <c r="S2871" s="16" t="n">
        <v>4056</v>
      </c>
      <c r="U2871" s="16" t="n">
        <v>4056</v>
      </c>
      <c r="AC2871" s="23">
        <f>IF(OR(E2871="",E2871="[PARENT]"),"ADD",IF(E2871="[ALT_VIEW]","ALT",""))</f>
        <v/>
      </c>
      <c r="AD2871" s="21">
        <f>IF(Y2871&lt;&gt;"",Y2871,IF(U2871&lt;&gt;"",U2871,S2871))</f>
        <v/>
      </c>
      <c r="AE2871" s="21">
        <f>IF(AB2871&lt;&gt;"",AB2871,Z2871)</f>
        <v/>
      </c>
      <c r="AF2871" s="13" t="inlineStr">
        <is>
          <t>P-5 / LI 4213 / Item 3 - Air Launch &amp; Recovery</t>
        </is>
      </c>
      <c r="AG2871" s="7" t="inlineStr">
        <is>
          <t>119</t>
        </is>
      </c>
      <c r="AH2871" s="7" t="inlineStr">
        <is>
          <t>4213</t>
        </is>
      </c>
    </row>
    <row r="2872" ht="10" customHeight="1">
      <c r="A2872" s="7" t="inlineStr">
        <is>
          <t>OPN_BA3</t>
        </is>
      </c>
      <c r="B2872" s="7" t="inlineStr">
        <is>
          <t>Procurement</t>
        </is>
      </c>
      <c r="D2872" s="7" t="inlineStr">
        <is>
          <t>MADMS - MA NRE</t>
        </is>
      </c>
      <c r="E2872" s="13" t="inlineStr">
        <is>
          <t>[SUB]</t>
        </is>
      </c>
      <c r="F2872" s="7" t="inlineStr">
        <is>
          <t>115-I3 / Air Launch &amp; Recovery Equip</t>
        </is>
      </c>
      <c r="I2872" s="14" t="n">
        <v>4</v>
      </c>
      <c r="K2872" s="15" t="n"/>
      <c r="O2872" s="15" t="n"/>
      <c r="P2872" s="16" t="n">
        <v>10251</v>
      </c>
      <c r="Q2872" s="16" t="n">
        <v>2908</v>
      </c>
      <c r="AC2872" s="23">
        <f>IF(OR(E2872="",E2872="[PARENT]"),"ADD",IF(E2872="[ALT_VIEW]","ALT",""))</f>
        <v/>
      </c>
      <c r="AD2872" s="21">
        <f>IF(Y2872&lt;&gt;"",Y2872,IF(U2872&lt;&gt;"",U2872,S2872))</f>
        <v/>
      </c>
      <c r="AE2872" s="21">
        <f>IF(AB2872&lt;&gt;"",AB2872,Z2872)</f>
        <v/>
      </c>
      <c r="AF2872" s="13" t="inlineStr">
        <is>
          <t>P-5 / LI 4213 / Item 3 - Air Launch &amp; Recovery</t>
        </is>
      </c>
      <c r="AG2872" s="7" t="inlineStr">
        <is>
          <t>119</t>
        </is>
      </c>
      <c r="AH2872" s="7" t="inlineStr">
        <is>
          <t>4213</t>
        </is>
      </c>
    </row>
    <row r="2873" ht="10" customHeight="1">
      <c r="A2873" s="7" t="inlineStr">
        <is>
          <t>OPN_BA3</t>
        </is>
      </c>
      <c r="B2873" s="7" t="inlineStr">
        <is>
          <t>Procurement</t>
        </is>
      </c>
      <c r="D2873" s="7" t="inlineStr">
        <is>
          <t>ADMACS Software</t>
        </is>
      </c>
      <c r="E2873" s="13" t="inlineStr">
        <is>
          <t>[SUB]</t>
        </is>
      </c>
      <c r="F2873" s="7" t="inlineStr">
        <is>
          <t>115-I3 / Air Launch &amp; Recovery Equip</t>
        </is>
      </c>
      <c r="I2873" s="14" t="n">
        <v>4</v>
      </c>
      <c r="K2873" s="13" t="inlineStr">
        <is>
          <t>USN</t>
        </is>
      </c>
      <c r="L2873" s="7" t="inlineStr">
        <is>
          <t>Combatant Ships</t>
        </is>
      </c>
      <c r="M2873" s="7" t="inlineStr">
        <is>
          <t>Aircraft Carriers</t>
        </is>
      </c>
      <c r="N2873" s="7" t="inlineStr">
        <is>
          <t>CVN</t>
        </is>
      </c>
      <c r="O2873" s="15" t="n"/>
      <c r="P2873" s="16" t="n">
        <v>6998</v>
      </c>
      <c r="Q2873" s="16" t="n">
        <v>5709</v>
      </c>
      <c r="S2873" s="16" t="n">
        <v>2481</v>
      </c>
      <c r="U2873" s="16" t="n">
        <v>2481</v>
      </c>
      <c r="AC2873" s="23">
        <f>IF(OR(E2873="",E2873="[PARENT]"),"ADD",IF(E2873="[ALT_VIEW]","ALT",""))</f>
        <v/>
      </c>
      <c r="AD2873" s="21">
        <f>IF(Y2873&lt;&gt;"",Y2873,IF(U2873&lt;&gt;"",U2873,S2873))</f>
        <v/>
      </c>
      <c r="AE2873" s="21">
        <f>IF(AB2873&lt;&gt;"",AB2873,Z2873)</f>
        <v/>
      </c>
      <c r="AF2873" s="13" t="inlineStr">
        <is>
          <t>P-5 / LI 4213 / Item 3 - Air Launch &amp; Recovery</t>
        </is>
      </c>
      <c r="AG2873" s="7" t="inlineStr">
        <is>
          <t>119</t>
        </is>
      </c>
      <c r="AH2873" s="7" t="inlineStr">
        <is>
          <t>4213</t>
        </is>
      </c>
    </row>
    <row r="2874" ht="10" customHeight="1">
      <c r="A2874" s="7" t="inlineStr">
        <is>
          <t>OPN_BA3</t>
        </is>
      </c>
      <c r="B2874" s="7" t="inlineStr">
        <is>
          <t>Procurement</t>
        </is>
      </c>
      <c r="D2874" s="7" t="inlineStr">
        <is>
          <t>VLA Installation - FMP (CVN DDG ACS AAS)</t>
        </is>
      </c>
      <c r="E2874" s="13" t="inlineStr">
        <is>
          <t>[SUB]</t>
        </is>
      </c>
      <c r="F2874" s="7" t="inlineStr">
        <is>
          <t>115-I3 / Air Launch &amp; Recovery Equip</t>
        </is>
      </c>
      <c r="I2874" s="14" t="n">
        <v>4</v>
      </c>
      <c r="K2874" s="15" t="n"/>
      <c r="O2874" s="15" t="n"/>
      <c r="P2874" s="16" t="n">
        <v>3651</v>
      </c>
      <c r="Q2874" s="16" t="n">
        <v>5998</v>
      </c>
      <c r="S2874" s="16" t="n">
        <v>4869</v>
      </c>
      <c r="U2874" s="16" t="n">
        <v>4869</v>
      </c>
      <c r="AC2874" s="23">
        <f>IF(OR(E2874="",E2874="[PARENT]"),"ADD",IF(E2874="[ALT_VIEW]","ALT",""))</f>
        <v/>
      </c>
      <c r="AD2874" s="21">
        <f>IF(Y2874&lt;&gt;"",Y2874,IF(U2874&lt;&gt;"",U2874,S2874))</f>
        <v/>
      </c>
      <c r="AE2874" s="21">
        <f>IF(AB2874&lt;&gt;"",AB2874,Z2874)</f>
        <v/>
      </c>
      <c r="AF2874" s="13" t="inlineStr">
        <is>
          <t>P-5 / LI 4213 / Item 3 - Air Launch &amp; Recovery</t>
        </is>
      </c>
      <c r="AG2874" s="7" t="inlineStr">
        <is>
          <t>119</t>
        </is>
      </c>
      <c r="AH2874" s="7" t="inlineStr">
        <is>
          <t>4213</t>
        </is>
      </c>
    </row>
    <row r="2875" ht="10" customHeight="1">
      <c r="A2875" s="7" t="inlineStr">
        <is>
          <t>OPN_BA3</t>
        </is>
      </c>
      <c r="B2875" s="7" t="inlineStr">
        <is>
          <t>Procurement</t>
        </is>
      </c>
      <c r="D2875" s="7" t="inlineStr">
        <is>
          <t>Information Systems - MA Install (LPD LCC)</t>
        </is>
      </c>
      <c r="E2875" s="13" t="inlineStr">
        <is>
          <t>[SUB]</t>
        </is>
      </c>
      <c r="F2875" s="7" t="inlineStr">
        <is>
          <t>115-I3 / Air Launch &amp; Recovery Equip</t>
        </is>
      </c>
      <c r="I2875" s="14" t="n">
        <v>4</v>
      </c>
      <c r="K2875" s="15" t="n"/>
      <c r="O2875" s="15" t="n"/>
      <c r="P2875" s="16" t="n">
        <v>965</v>
      </c>
      <c r="Q2875" s="16" t="n">
        <v>2020</v>
      </c>
      <c r="S2875" s="16" t="n">
        <v>970</v>
      </c>
      <c r="U2875" s="16" t="n">
        <v>970</v>
      </c>
      <c r="AC2875" s="23">
        <f>IF(OR(E2875="",E2875="[PARENT]"),"ADD",IF(E2875="[ALT_VIEW]","ALT",""))</f>
        <v/>
      </c>
      <c r="AD2875" s="21">
        <f>IF(Y2875&lt;&gt;"",Y2875,IF(U2875&lt;&gt;"",U2875,S2875))</f>
        <v/>
      </c>
      <c r="AE2875" s="21">
        <f>IF(AB2875&lt;&gt;"",AB2875,Z2875)</f>
        <v/>
      </c>
      <c r="AF2875" s="13" t="inlineStr">
        <is>
          <t>P-5 / LI 4213 / Item 3 - Air Launch &amp; Recovery</t>
        </is>
      </c>
      <c r="AG2875" s="7" t="inlineStr">
        <is>
          <t>119</t>
        </is>
      </c>
      <c r="AH2875" s="7" t="inlineStr">
        <is>
          <t>4213</t>
        </is>
      </c>
    </row>
    <row r="2876" ht="10" customHeight="1">
      <c r="A2876" s="7" t="inlineStr">
        <is>
          <t>OPN_BA3</t>
        </is>
      </c>
      <c r="B2876" s="7" t="inlineStr">
        <is>
          <t>Procurement</t>
        </is>
      </c>
      <c r="D2876" s="7" t="inlineStr">
        <is>
          <t>Launcher Install - FMP (CVN JBD)</t>
        </is>
      </c>
      <c r="E2876" s="13" t="inlineStr">
        <is>
          <t>[SUB]</t>
        </is>
      </c>
      <c r="F2876" s="7" t="inlineStr">
        <is>
          <t>115-I3 / Air Launch &amp; Recovery Equip</t>
        </is>
      </c>
      <c r="I2876" s="14" t="n">
        <v>4</v>
      </c>
      <c r="K2876" s="13" t="inlineStr">
        <is>
          <t>USN</t>
        </is>
      </c>
      <c r="L2876" s="7" t="inlineStr">
        <is>
          <t>Combatant Ships</t>
        </is>
      </c>
      <c r="M2876" s="7" t="inlineStr">
        <is>
          <t>Aircraft Carriers</t>
        </is>
      </c>
      <c r="N2876" s="7" t="inlineStr">
        <is>
          <t>CVN</t>
        </is>
      </c>
      <c r="O2876" s="15" t="n"/>
      <c r="P2876" s="16" t="n">
        <v>800</v>
      </c>
      <c r="Q2876" s="16" t="n">
        <v>1691</v>
      </c>
      <c r="S2876" s="16" t="n">
        <v>474</v>
      </c>
      <c r="U2876" s="16" t="n">
        <v>474</v>
      </c>
      <c r="AC2876" s="23">
        <f>IF(OR(E2876="",E2876="[PARENT]"),"ADD",IF(E2876="[ALT_VIEW]","ALT",""))</f>
        <v/>
      </c>
      <c r="AD2876" s="21">
        <f>IF(Y2876&lt;&gt;"",Y2876,IF(U2876&lt;&gt;"",U2876,S2876))</f>
        <v/>
      </c>
      <c r="AE2876" s="21">
        <f>IF(AB2876&lt;&gt;"",AB2876,Z2876)</f>
        <v/>
      </c>
      <c r="AF2876" s="13" t="inlineStr">
        <is>
          <t>P-5 / LI 4213 / Item 3 - Air Launch &amp; Recovery</t>
        </is>
      </c>
      <c r="AG2876" s="7" t="inlineStr">
        <is>
          <t>119</t>
        </is>
      </c>
      <c r="AH2876" s="7" t="inlineStr">
        <is>
          <t>4213</t>
        </is>
      </c>
    </row>
    <row r="2877" ht="10" customHeight="1">
      <c r="A2877" s="7" t="inlineStr">
        <is>
          <t>OPN_BA3</t>
        </is>
      </c>
      <c r="B2877" s="7" t="inlineStr">
        <is>
          <t>Procurement</t>
        </is>
      </c>
      <c r="D2877" s="7" t="inlineStr">
        <is>
          <t>ADMACS Install - FMP (CVN)</t>
        </is>
      </c>
      <c r="E2877" s="13" t="inlineStr">
        <is>
          <t>[SUB]</t>
        </is>
      </c>
      <c r="F2877" s="7" t="inlineStr">
        <is>
          <t>115-I3 / Air Launch &amp; Recovery Equip</t>
        </is>
      </c>
      <c r="I2877" s="14" t="n">
        <v>4</v>
      </c>
      <c r="K2877" s="13" t="inlineStr">
        <is>
          <t>USN</t>
        </is>
      </c>
      <c r="L2877" s="7" t="inlineStr">
        <is>
          <t>Combatant Ships</t>
        </is>
      </c>
      <c r="M2877" s="7" t="inlineStr">
        <is>
          <t>Aircraft Carriers</t>
        </is>
      </c>
      <c r="N2877" s="7" t="inlineStr">
        <is>
          <t>CVN</t>
        </is>
      </c>
      <c r="O2877" s="15" t="n"/>
      <c r="P2877" s="16" t="n">
        <v>3062</v>
      </c>
      <c r="Q2877" s="16" t="n">
        <v>5176</v>
      </c>
      <c r="S2877" s="16" t="n">
        <v>2517</v>
      </c>
      <c r="U2877" s="16" t="n">
        <v>2517</v>
      </c>
      <c r="AC2877" s="23">
        <f>IF(OR(E2877="",E2877="[PARENT]"),"ADD",IF(E2877="[ALT_VIEW]","ALT",""))</f>
        <v/>
      </c>
      <c r="AD2877" s="21">
        <f>IF(Y2877&lt;&gt;"",Y2877,IF(U2877&lt;&gt;"",U2877,S2877))</f>
        <v/>
      </c>
      <c r="AE2877" s="21">
        <f>IF(AB2877&lt;&gt;"",AB2877,Z2877)</f>
        <v/>
      </c>
      <c r="AF2877" s="13" t="inlineStr">
        <is>
          <t>P-5 / LI 4213 / Item 3 - Air Launch &amp; Recovery</t>
        </is>
      </c>
      <c r="AG2877" s="7" t="inlineStr">
        <is>
          <t>119</t>
        </is>
      </c>
      <c r="AH2877" s="7" t="inlineStr">
        <is>
          <t>4213</t>
        </is>
      </c>
    </row>
    <row r="2878" ht="10" customHeight="1">
      <c r="A2878" s="7" t="inlineStr">
        <is>
          <t>OPN_BA3</t>
        </is>
      </c>
      <c r="B2878" s="7" t="inlineStr">
        <is>
          <t>Procurement</t>
        </is>
      </c>
      <c r="D2878" s="7" t="inlineStr">
        <is>
          <t>VLA N95 Install (LHA/LHD Spot 9)</t>
        </is>
      </c>
      <c r="E2878" s="13" t="inlineStr">
        <is>
          <t>[SUB]</t>
        </is>
      </c>
      <c r="F2878" s="7" t="inlineStr">
        <is>
          <t>115-I3 / Air Launch &amp; Recovery Equip</t>
        </is>
      </c>
      <c r="I2878" s="14" t="n">
        <v>4</v>
      </c>
      <c r="K2878" s="13" t="inlineStr">
        <is>
          <t>USN</t>
        </is>
      </c>
      <c r="L2878" s="7" t="inlineStr">
        <is>
          <t>Combatant Ships</t>
        </is>
      </c>
      <c r="M2878" s="7" t="inlineStr">
        <is>
          <t>Amphibious Warfare Ships</t>
        </is>
      </c>
      <c r="O2878" s="15" t="n"/>
      <c r="Q2878" s="16" t="n">
        <v>332</v>
      </c>
      <c r="S2878" s="16" t="n">
        <v>593</v>
      </c>
      <c r="U2878" s="16" t="n">
        <v>593</v>
      </c>
      <c r="AC2878" s="23">
        <f>IF(OR(E2878="",E2878="[PARENT]"),"ADD",IF(E2878="[ALT_VIEW]","ALT",""))</f>
        <v/>
      </c>
      <c r="AD2878" s="21">
        <f>IF(Y2878&lt;&gt;"",Y2878,IF(U2878&lt;&gt;"",U2878,S2878))</f>
        <v/>
      </c>
      <c r="AE2878" s="21">
        <f>IF(AB2878&lt;&gt;"",AB2878,Z2878)</f>
        <v/>
      </c>
      <c r="AF2878" s="13" t="inlineStr">
        <is>
          <t>P-5 / LI 4213 / Item 3 - Air Launch &amp; Recovery</t>
        </is>
      </c>
      <c r="AG2878" s="7" t="inlineStr">
        <is>
          <t>119</t>
        </is>
      </c>
      <c r="AH2878" s="7" t="inlineStr">
        <is>
          <t>4213</t>
        </is>
      </c>
    </row>
    <row r="2879" ht="10" customHeight="1">
      <c r="A2879" s="7" t="inlineStr">
        <is>
          <t>OPN_BA3</t>
        </is>
      </c>
      <c r="B2879" s="7" t="inlineStr">
        <is>
          <t>Procurement</t>
        </is>
      </c>
      <c r="D2879" s="7" t="inlineStr">
        <is>
          <t>Natural Disaster Recovery (Item 4 of LI 4213)</t>
        </is>
      </c>
      <c r="E2879" s="13" t="inlineStr">
        <is>
          <t>[SUB]</t>
        </is>
      </c>
      <c r="F2879" s="7" t="inlineStr">
        <is>
          <t>115 / Aircraft Support Equipment</t>
        </is>
      </c>
      <c r="I2879" s="14" t="n">
        <v>6</v>
      </c>
      <c r="K2879" s="15" t="n"/>
      <c r="O2879" s="15" t="n"/>
      <c r="P2879" s="16" t="n">
        <v>3850</v>
      </c>
      <c r="AC2879" s="23">
        <f>IF(OR(E2879="",E2879="[PARENT]"),"ADD",IF(E2879="[ALT_VIEW]","ALT",""))</f>
        <v/>
      </c>
      <c r="AD2879" s="21">
        <f>IF(Y2879&lt;&gt;"",Y2879,IF(U2879&lt;&gt;"",U2879,S2879))</f>
        <v/>
      </c>
      <c r="AE2879" s="21">
        <f>IF(AB2879&lt;&gt;"",AB2879,Z2879)</f>
        <v/>
      </c>
      <c r="AF2879" s="13" t="inlineStr">
        <is>
          <t>P-5 Cost Analysis / LI 4213 / Item 4 - Natural Disaster Recovery</t>
        </is>
      </c>
      <c r="AG2879" s="7" t="inlineStr">
        <is>
          <t>128</t>
        </is>
      </c>
      <c r="AH2879" s="7" t="inlineStr">
        <is>
          <t>4213</t>
        </is>
      </c>
      <c r="AI2879" s="7" t="inlineStr">
        <is>
          <t>Natural Disaster Recovery</t>
        </is>
      </c>
    </row>
    <row r="2880" ht="10" customHeight="1">
      <c r="A2880" s="7" t="inlineStr">
        <is>
          <t>OPN_BA3</t>
        </is>
      </c>
      <c r="B2880" s="7" t="inlineStr">
        <is>
          <t>Procurement</t>
        </is>
      </c>
      <c r="D2880" s="7" t="inlineStr">
        <is>
          <t>LAMPS MK III - SRQ(KU)-4 (S1010)</t>
        </is>
      </c>
      <c r="E2880" s="13" t="inlineStr">
        <is>
          <t>[SUB]</t>
        </is>
      </c>
      <c r="F2880" s="7" t="inlineStr">
        <is>
          <t>115 / Aircraft Support Equipment</t>
        </is>
      </c>
      <c r="I2880" s="14" t="n">
        <v>4</v>
      </c>
      <c r="K2880" s="13" t="inlineStr">
        <is>
          <t>USN</t>
        </is>
      </c>
      <c r="L2880" s="7" t="inlineStr">
        <is>
          <t>Combatant Ships</t>
        </is>
      </c>
      <c r="M2880" s="7" t="inlineStr">
        <is>
          <t>Surface Combatants</t>
        </is>
      </c>
      <c r="O2880" s="15" t="n"/>
      <c r="P2880" s="16" t="n">
        <v>14233</v>
      </c>
      <c r="Q2880" s="16" t="n">
        <v>14479</v>
      </c>
      <c r="AC2880" s="23">
        <f>IF(OR(E2880="",E2880="[PARENT]"),"ADD",IF(E2880="[ALT_VIEW]","ALT",""))</f>
        <v/>
      </c>
      <c r="AD2880" s="21">
        <f>IF(Y2880&lt;&gt;"",Y2880,IF(U2880&lt;&gt;"",U2880,S2880))</f>
        <v/>
      </c>
      <c r="AE2880" s="21">
        <f>IF(AB2880&lt;&gt;"",AB2880,Z2880)</f>
        <v/>
      </c>
      <c r="AF2880" s="13" t="inlineStr">
        <is>
          <t>P-3a / LI 4213 / Mod 1 - LAMPS MK III SRQ(KU)-4</t>
        </is>
      </c>
      <c r="AG2880" s="7" t="inlineStr">
        <is>
          <t>129</t>
        </is>
      </c>
      <c r="AH2880" s="7" t="inlineStr">
        <is>
          <t>4213</t>
        </is>
      </c>
      <c r="AJ2880" s="7" t="inlineStr">
        <is>
          <t>/ LI 4213 / Mod 1 - LAMPS MK III SRQ(KU)-4</t>
        </is>
      </c>
    </row>
    <row r="2881" ht="10" customHeight="1">
      <c r="A2881" s="7" t="inlineStr">
        <is>
          <t>OPN_BA3</t>
        </is>
      </c>
      <c r="B2881" s="7" t="inlineStr">
        <is>
          <t>Procurement</t>
        </is>
      </c>
      <c r="D2881" s="7" t="inlineStr">
        <is>
          <t>Data</t>
        </is>
      </c>
      <c r="E2881" s="13" t="inlineStr">
        <is>
          <t>[SUB]</t>
        </is>
      </c>
      <c r="F2881" s="7" t="inlineStr">
        <is>
          <t>115-P3a-1 / LAMPS MK III - SRQ(KU)-4 (S1010)</t>
        </is>
      </c>
      <c r="I2881" s="14" t="n">
        <v>4</v>
      </c>
      <c r="K2881" s="13" t="inlineStr">
        <is>
          <t>USN</t>
        </is>
      </c>
      <c r="L2881" s="7" t="inlineStr">
        <is>
          <t>Combatant Ships</t>
        </is>
      </c>
      <c r="M2881" s="7" t="inlineStr">
        <is>
          <t>Surface Combatants</t>
        </is>
      </c>
      <c r="O2881" s="15" t="n"/>
      <c r="P2881" s="16" t="n">
        <v>992</v>
      </c>
      <c r="Q2881" s="16" t="n">
        <v>1012</v>
      </c>
      <c r="AC2881" s="23">
        <f>IF(OR(E2881="",E2881="[PARENT]"),"ADD",IF(E2881="[ALT_VIEW]","ALT",""))</f>
        <v/>
      </c>
      <c r="AD2881" s="21">
        <f>IF(Y2881&lt;&gt;"",Y2881,IF(U2881&lt;&gt;"",U2881,S2881))</f>
        <v/>
      </c>
      <c r="AE2881" s="21">
        <f>IF(AB2881&lt;&gt;"",AB2881,Z2881)</f>
        <v/>
      </c>
      <c r="AF2881" s="13" t="inlineStr">
        <is>
          <t>P-3a / LI 4213 / Mod 1 - LAMPS</t>
        </is>
      </c>
      <c r="AG2881" s="7" t="inlineStr">
        <is>
          <t>129</t>
        </is>
      </c>
      <c r="AH2881" s="7" t="inlineStr">
        <is>
          <t>4213</t>
        </is>
      </c>
      <c r="AJ2881" s="7" t="inlineStr">
        <is>
          <t>/ LI 4213 / Mod 1 - LAMPS</t>
        </is>
      </c>
    </row>
    <row r="2882" ht="10" customHeight="1">
      <c r="A2882" s="7" t="inlineStr">
        <is>
          <t>OPN_BA3</t>
        </is>
      </c>
      <c r="B2882" s="7" t="inlineStr">
        <is>
          <t>Procurement</t>
        </is>
      </c>
      <c r="D2882" s="7" t="inlineStr">
        <is>
          <t>Support Equipment</t>
        </is>
      </c>
      <c r="E2882" s="13" t="inlineStr">
        <is>
          <t>[SUB]</t>
        </is>
      </c>
      <c r="F2882" s="7" t="inlineStr">
        <is>
          <t>115-P3a-1 / LAMPS MK III - SRQ(KU)-4 (S1010)</t>
        </is>
      </c>
      <c r="I2882" s="14" t="n">
        <v>4</v>
      </c>
      <c r="K2882" s="13" t="inlineStr">
        <is>
          <t>USN</t>
        </is>
      </c>
      <c r="L2882" s="7" t="inlineStr">
        <is>
          <t>Combatant Ships</t>
        </is>
      </c>
      <c r="M2882" s="7" t="inlineStr">
        <is>
          <t>Surface Combatants</t>
        </is>
      </c>
      <c r="O2882" s="15" t="n"/>
      <c r="P2882" s="16" t="n">
        <v>1156</v>
      </c>
      <c r="AC2882" s="23">
        <f>IF(OR(E2882="",E2882="[PARENT]"),"ADD",IF(E2882="[ALT_VIEW]","ALT",""))</f>
        <v/>
      </c>
      <c r="AD2882" s="21">
        <f>IF(Y2882&lt;&gt;"",Y2882,IF(U2882&lt;&gt;"",U2882,S2882))</f>
        <v/>
      </c>
      <c r="AE2882" s="21">
        <f>IF(AB2882&lt;&gt;"",AB2882,Z2882)</f>
        <v/>
      </c>
      <c r="AF2882" s="13" t="inlineStr">
        <is>
          <t>P-3a / LI 4213 / Mod 1 - LAMPS</t>
        </is>
      </c>
      <c r="AG2882" s="7" t="inlineStr">
        <is>
          <t>129</t>
        </is>
      </c>
      <c r="AH2882" s="7" t="inlineStr">
        <is>
          <t>4213</t>
        </is>
      </c>
      <c r="AJ2882" s="7" t="inlineStr">
        <is>
          <t>/ LI 4213 / Mod 1 - LAMPS</t>
        </is>
      </c>
    </row>
    <row r="2883" ht="10" customHeight="1">
      <c r="A2883" s="7" t="inlineStr">
        <is>
          <t>OPN_BA3</t>
        </is>
      </c>
      <c r="B2883" s="7" t="inlineStr">
        <is>
          <t>Procurement</t>
        </is>
      </c>
      <c r="D2883" s="7" t="inlineStr">
        <is>
          <t>ILS</t>
        </is>
      </c>
      <c r="E2883" s="13" t="inlineStr">
        <is>
          <t>[SUB]</t>
        </is>
      </c>
      <c r="F2883" s="7" t="inlineStr">
        <is>
          <t>115-P3a-1 / LAMPS MK III - SRQ(KU)-4 (S1010)</t>
        </is>
      </c>
      <c r="I2883" s="14" t="n">
        <v>4</v>
      </c>
      <c r="K2883" s="13" t="inlineStr">
        <is>
          <t>USN</t>
        </is>
      </c>
      <c r="L2883" s="7" t="inlineStr">
        <is>
          <t>Combatant Ships</t>
        </is>
      </c>
      <c r="M2883" s="7" t="inlineStr">
        <is>
          <t>Surface Combatants</t>
        </is>
      </c>
      <c r="O2883" s="15" t="n"/>
      <c r="P2883" s="16" t="n">
        <v>1725</v>
      </c>
      <c r="Q2883" s="16" t="n">
        <v>1759</v>
      </c>
      <c r="AC2883" s="23">
        <f>IF(OR(E2883="",E2883="[PARENT]"),"ADD",IF(E2883="[ALT_VIEW]","ALT",""))</f>
        <v/>
      </c>
      <c r="AD2883" s="21">
        <f>IF(Y2883&lt;&gt;"",Y2883,IF(U2883&lt;&gt;"",U2883,S2883))</f>
        <v/>
      </c>
      <c r="AE2883" s="21">
        <f>IF(AB2883&lt;&gt;"",AB2883,Z2883)</f>
        <v/>
      </c>
      <c r="AF2883" s="13" t="inlineStr">
        <is>
          <t>P-3a / LI 4213 / Mod 1 - LAMPS</t>
        </is>
      </c>
      <c r="AG2883" s="7" t="inlineStr">
        <is>
          <t>129</t>
        </is>
      </c>
      <c r="AH2883" s="7" t="inlineStr">
        <is>
          <t>4213</t>
        </is>
      </c>
      <c r="AJ2883" s="7" t="inlineStr">
        <is>
          <t>/ LI 4213 / Mod 1 - LAMPS</t>
        </is>
      </c>
    </row>
    <row r="2884" ht="10" customHeight="1">
      <c r="A2884" s="7" t="inlineStr">
        <is>
          <t>OPN_BA3</t>
        </is>
      </c>
      <c r="B2884" s="7" t="inlineStr">
        <is>
          <t>Procurement</t>
        </is>
      </c>
      <c r="D2884" s="7" t="inlineStr">
        <is>
          <t>Government Engineering</t>
        </is>
      </c>
      <c r="E2884" s="13" t="inlineStr">
        <is>
          <t>[SUB]</t>
        </is>
      </c>
      <c r="F2884" s="7" t="inlineStr">
        <is>
          <t>115-P3a-1 / LAMPS MK III - SRQ(KU)-4 (S1010)</t>
        </is>
      </c>
      <c r="I2884" s="14" t="n">
        <v>4</v>
      </c>
      <c r="K2884" s="13" t="inlineStr">
        <is>
          <t>USN</t>
        </is>
      </c>
      <c r="L2884" s="7" t="inlineStr">
        <is>
          <t>Combatant Ships</t>
        </is>
      </c>
      <c r="M2884" s="7" t="inlineStr">
        <is>
          <t>Surface Combatants</t>
        </is>
      </c>
      <c r="O2884" s="15" t="n"/>
      <c r="P2884" s="16" t="n">
        <v>3382</v>
      </c>
      <c r="Q2884" s="16" t="n">
        <v>4010</v>
      </c>
      <c r="AC2884" s="23">
        <f>IF(OR(E2884="",E2884="[PARENT]"),"ADD",IF(E2884="[ALT_VIEW]","ALT",""))</f>
        <v/>
      </c>
      <c r="AD2884" s="21">
        <f>IF(Y2884&lt;&gt;"",Y2884,IF(U2884&lt;&gt;"",U2884,S2884))</f>
        <v/>
      </c>
      <c r="AE2884" s="21">
        <f>IF(AB2884&lt;&gt;"",AB2884,Z2884)</f>
        <v/>
      </c>
      <c r="AF2884" s="13" t="inlineStr">
        <is>
          <t>P-3a / LI 4213 / Mod 1 - LAMPS</t>
        </is>
      </c>
      <c r="AG2884" s="7" t="inlineStr">
        <is>
          <t>129</t>
        </is>
      </c>
      <c r="AH2884" s="7" t="inlineStr">
        <is>
          <t>4213</t>
        </is>
      </c>
      <c r="AJ2884" s="7" t="inlineStr">
        <is>
          <t>/ LI 4213 / Mod 1 - LAMPS</t>
        </is>
      </c>
    </row>
    <row r="2885" ht="10" customHeight="1">
      <c r="A2885" s="7" t="inlineStr">
        <is>
          <t>OPN_BA3</t>
        </is>
      </c>
      <c r="B2885" s="7" t="inlineStr">
        <is>
          <t>Procurement</t>
        </is>
      </c>
      <c r="D2885" s="7" t="inlineStr">
        <is>
          <t>Acceptance Test &amp; Evaluation</t>
        </is>
      </c>
      <c r="E2885" s="13" t="inlineStr">
        <is>
          <t>[SUB]</t>
        </is>
      </c>
      <c r="F2885" s="7" t="inlineStr">
        <is>
          <t>115-P3a-1 / LAMPS MK III - SRQ(KU)-4 (S1010)</t>
        </is>
      </c>
      <c r="I2885" s="14" t="n">
        <v>4</v>
      </c>
      <c r="K2885" s="13" t="inlineStr">
        <is>
          <t>USN</t>
        </is>
      </c>
      <c r="L2885" s="7" t="inlineStr">
        <is>
          <t>Combatant Ships</t>
        </is>
      </c>
      <c r="M2885" s="7" t="inlineStr">
        <is>
          <t>Surface Combatants</t>
        </is>
      </c>
      <c r="O2885" s="15" t="n"/>
      <c r="P2885" s="16" t="n">
        <v>223</v>
      </c>
      <c r="Q2885" s="16" t="n">
        <v>227</v>
      </c>
      <c r="AC2885" s="23">
        <f>IF(OR(E2885="",E2885="[PARENT]"),"ADD",IF(E2885="[ALT_VIEW]","ALT",""))</f>
        <v/>
      </c>
      <c r="AD2885" s="21">
        <f>IF(Y2885&lt;&gt;"",Y2885,IF(U2885&lt;&gt;"",U2885,S2885))</f>
        <v/>
      </c>
      <c r="AE2885" s="21">
        <f>IF(AB2885&lt;&gt;"",AB2885,Z2885)</f>
        <v/>
      </c>
      <c r="AF2885" s="13" t="inlineStr">
        <is>
          <t>P-3a / LI 4213 / Mod 1 - LAMPS</t>
        </is>
      </c>
      <c r="AG2885" s="7" t="inlineStr">
        <is>
          <t>129</t>
        </is>
      </c>
      <c r="AH2885" s="7" t="inlineStr">
        <is>
          <t>4213</t>
        </is>
      </c>
      <c r="AJ2885" s="7" t="inlineStr">
        <is>
          <t>/ LI 4213 / Mod 1 - LAMPS</t>
        </is>
      </c>
    </row>
    <row r="2886" ht="10" customHeight="1">
      <c r="A2886" s="7" t="inlineStr">
        <is>
          <t>OPN_BA3</t>
        </is>
      </c>
      <c r="B2886" s="7" t="inlineStr">
        <is>
          <t>Procurement</t>
        </is>
      </c>
      <c r="D2886" s="7" t="inlineStr">
        <is>
          <t>GFE</t>
        </is>
      </c>
      <c r="E2886" s="13" t="inlineStr">
        <is>
          <t>[SUB]</t>
        </is>
      </c>
      <c r="F2886" s="7" t="inlineStr">
        <is>
          <t>115-P3a-1 / LAMPS MK III - SRQ(KU)-4 (S1010)</t>
        </is>
      </c>
      <c r="I2886" s="14" t="n">
        <v>4</v>
      </c>
      <c r="K2886" s="13" t="inlineStr">
        <is>
          <t>USN</t>
        </is>
      </c>
      <c r="L2886" s="7" t="inlineStr">
        <is>
          <t>Combatant Ships</t>
        </is>
      </c>
      <c r="M2886" s="7" t="inlineStr">
        <is>
          <t>Surface Combatants</t>
        </is>
      </c>
      <c r="O2886" s="15" t="n"/>
      <c r="P2886" s="16" t="n">
        <v>400</v>
      </c>
      <c r="Q2886" s="16" t="n">
        <v>287</v>
      </c>
      <c r="AC2886" s="23">
        <f>IF(OR(E2886="",E2886="[PARENT]"),"ADD",IF(E2886="[ALT_VIEW]","ALT",""))</f>
        <v/>
      </c>
      <c r="AD2886" s="21">
        <f>IF(Y2886&lt;&gt;"",Y2886,IF(U2886&lt;&gt;"",U2886,S2886))</f>
        <v/>
      </c>
      <c r="AE2886" s="21">
        <f>IF(AB2886&lt;&gt;"",AB2886,Z2886)</f>
        <v/>
      </c>
      <c r="AF2886" s="13" t="inlineStr">
        <is>
          <t>P-3a / LI 4213 / Mod 1 - LAMPS</t>
        </is>
      </c>
      <c r="AG2886" s="7" t="inlineStr">
        <is>
          <t>129</t>
        </is>
      </c>
      <c r="AH2886" s="7" t="inlineStr">
        <is>
          <t>4213</t>
        </is>
      </c>
      <c r="AJ2886" s="7" t="inlineStr">
        <is>
          <t>/ LI 4213 / Mod 1 - LAMPS</t>
        </is>
      </c>
    </row>
    <row r="2887" ht="10" customHeight="1">
      <c r="A2887" s="7" t="inlineStr">
        <is>
          <t>OPN_BA3</t>
        </is>
      </c>
      <c r="B2887" s="7" t="inlineStr">
        <is>
          <t>Procurement</t>
        </is>
      </c>
      <c r="D2887" s="7" t="inlineStr">
        <is>
          <t>Installation (SRQ(KU)-4 on DDG/CG)</t>
        </is>
      </c>
      <c r="E2887" s="13" t="inlineStr">
        <is>
          <t>[SUB]</t>
        </is>
      </c>
      <c r="F2887" s="7" t="inlineStr">
        <is>
          <t>115-P3a-1 / LAMPS MK III - SRQ(KU)-4 (S1010)</t>
        </is>
      </c>
      <c r="I2887" s="14" t="n">
        <v>4</v>
      </c>
      <c r="K2887" s="13" t="inlineStr">
        <is>
          <t>USN</t>
        </is>
      </c>
      <c r="L2887" s="7" t="inlineStr">
        <is>
          <t>Combatant Ships</t>
        </is>
      </c>
      <c r="M2887" s="7" t="inlineStr">
        <is>
          <t>Surface Combatants</t>
        </is>
      </c>
      <c r="O2887" s="15" t="n"/>
      <c r="P2887" s="16" t="n">
        <v>6163</v>
      </c>
      <c r="Q2887" s="16" t="n">
        <v>7184</v>
      </c>
      <c r="AC2887" s="23">
        <f>IF(OR(E2887="",E2887="[PARENT]"),"ADD",IF(E2887="[ALT_VIEW]","ALT",""))</f>
        <v/>
      </c>
      <c r="AD2887" s="21">
        <f>IF(Y2887&lt;&gt;"",Y2887,IF(U2887&lt;&gt;"",U2887,S2887))</f>
        <v/>
      </c>
      <c r="AE2887" s="21">
        <f>IF(AB2887&lt;&gt;"",AB2887,Z2887)</f>
        <v/>
      </c>
      <c r="AF2887" s="13" t="inlineStr">
        <is>
          <t>P-3a / LI 4213 / Mod 1 - LAMPS</t>
        </is>
      </c>
      <c r="AG2887" s="7" t="inlineStr">
        <is>
          <t>129</t>
        </is>
      </c>
      <c r="AH2887" s="7" t="inlineStr">
        <is>
          <t>4213</t>
        </is>
      </c>
      <c r="AJ2887" s="7" t="inlineStr">
        <is>
          <t>/ LI 4213 / Mod 1 - LAMPS</t>
        </is>
      </c>
    </row>
    <row r="2888" ht="10" customHeight="1">
      <c r="A2888" s="7" t="inlineStr">
        <is>
          <t>OPN_BA3</t>
        </is>
      </c>
      <c r="B2888" s="7" t="inlineStr">
        <is>
          <t>Procurement</t>
        </is>
      </c>
      <c r="D2888" s="7" t="inlineStr">
        <is>
          <t>CMV22 Ship Mods</t>
        </is>
      </c>
      <c r="E2888" s="13" t="inlineStr">
        <is>
          <t>[SUB]</t>
        </is>
      </c>
      <c r="F2888" s="7" t="inlineStr">
        <is>
          <t>115 / Aircraft Support Equipment</t>
        </is>
      </c>
      <c r="I2888" s="14" t="n">
        <v>4</v>
      </c>
      <c r="K2888" s="13" t="inlineStr">
        <is>
          <t>USN</t>
        </is>
      </c>
      <c r="L2888" s="7" t="inlineStr">
        <is>
          <t>Combatant Ships</t>
        </is>
      </c>
      <c r="M2888" s="7" t="inlineStr">
        <is>
          <t>Aircraft Carriers</t>
        </is>
      </c>
      <c r="N2888" s="7" t="inlineStr">
        <is>
          <t>CVN</t>
        </is>
      </c>
      <c r="O2888" s="15" t="n"/>
      <c r="P2888" s="16" t="n">
        <v>7833</v>
      </c>
      <c r="Q2888" s="16" t="n">
        <v>4210</v>
      </c>
      <c r="AC2888" s="23">
        <f>IF(OR(E2888="",E2888="[PARENT]"),"ADD",IF(E2888="[ALT_VIEW]","ALT",""))</f>
        <v/>
      </c>
      <c r="AD2888" s="21">
        <f>IF(Y2888&lt;&gt;"",Y2888,IF(U2888&lt;&gt;"",U2888,S2888))</f>
        <v/>
      </c>
      <c r="AE2888" s="21">
        <f>IF(AB2888&lt;&gt;"",AB2888,Z2888)</f>
        <v/>
      </c>
      <c r="AF2888" s="13" t="inlineStr">
        <is>
          <t>P-3a / LI 4213 / Mod 2 - CMV22</t>
        </is>
      </c>
      <c r="AG2888" s="7" t="inlineStr">
        <is>
          <t>133</t>
        </is>
      </c>
      <c r="AH2888" s="7" t="inlineStr">
        <is>
          <t>4213</t>
        </is>
      </c>
      <c r="AJ2888" s="7" t="inlineStr">
        <is>
          <t>/ LI 4213 / Mod 2 - CMV22</t>
        </is>
      </c>
    </row>
    <row r="2889" ht="10" customHeight="1">
      <c r="A2889" s="7" t="inlineStr">
        <is>
          <t>OPN_BA3</t>
        </is>
      </c>
      <c r="B2889" s="7" t="inlineStr">
        <is>
          <t>Procurement</t>
        </is>
      </c>
      <c r="D2889" s="7" t="inlineStr">
        <is>
          <t>CMV-22 SCD B Kits (Organic)</t>
        </is>
      </c>
      <c r="E2889" s="13" t="inlineStr">
        <is>
          <t>[SUB]</t>
        </is>
      </c>
      <c r="F2889" s="7" t="inlineStr">
        <is>
          <t>115-P3a-2 / CMV22 Ship Mods</t>
        </is>
      </c>
      <c r="I2889" s="14" t="n">
        <v>4</v>
      </c>
      <c r="K2889" s="13" t="inlineStr">
        <is>
          <t>USN</t>
        </is>
      </c>
      <c r="L2889" s="7" t="inlineStr">
        <is>
          <t>Combatant Ships</t>
        </is>
      </c>
      <c r="M2889" s="7" t="inlineStr">
        <is>
          <t>Aircraft Carriers</t>
        </is>
      </c>
      <c r="N2889" s="7" t="inlineStr">
        <is>
          <t>CVN</t>
        </is>
      </c>
      <c r="O2889" s="15" t="n"/>
      <c r="P2889" s="16" t="n">
        <v>3200</v>
      </c>
      <c r="Q2889" s="16" t="n">
        <v>1910</v>
      </c>
      <c r="AC2889" s="23">
        <f>IF(OR(E2889="",E2889="[PARENT]"),"ADD",IF(E2889="[ALT_VIEW]","ALT",""))</f>
        <v/>
      </c>
      <c r="AD2889" s="21">
        <f>IF(Y2889&lt;&gt;"",Y2889,IF(U2889&lt;&gt;"",U2889,S2889))</f>
        <v/>
      </c>
      <c r="AE2889" s="21">
        <f>IF(AB2889&lt;&gt;"",AB2889,Z2889)</f>
        <v/>
      </c>
      <c r="AF2889" s="13" t="inlineStr">
        <is>
          <t>P-3a / LI 4213 / Mod 2 - CMV22</t>
        </is>
      </c>
      <c r="AG2889" s="7" t="inlineStr">
        <is>
          <t>133</t>
        </is>
      </c>
      <c r="AH2889" s="7" t="inlineStr">
        <is>
          <t>4213</t>
        </is>
      </c>
      <c r="AJ2889" s="7" t="inlineStr">
        <is>
          <t>/ LI 4213 / Mod 2 - CMV22</t>
        </is>
      </c>
    </row>
    <row r="2890" ht="10" customHeight="1">
      <c r="A2890" s="7" t="inlineStr">
        <is>
          <t>OPN_BA3</t>
        </is>
      </c>
      <c r="B2890" s="7" t="inlineStr">
        <is>
          <t>Procurement</t>
        </is>
      </c>
      <c r="D2890" s="7" t="inlineStr">
        <is>
          <t>Other Support</t>
        </is>
      </c>
      <c r="E2890" s="13" t="inlineStr">
        <is>
          <t>[SUB]</t>
        </is>
      </c>
      <c r="F2890" s="7" t="inlineStr">
        <is>
          <t>115-P3a-2 / CMV22 Ship Mods</t>
        </is>
      </c>
      <c r="I2890" s="14" t="n">
        <v>4</v>
      </c>
      <c r="K2890" s="13" t="inlineStr">
        <is>
          <t>USN</t>
        </is>
      </c>
      <c r="L2890" s="7" t="inlineStr">
        <is>
          <t>Combatant Ships</t>
        </is>
      </c>
      <c r="M2890" s="7" t="inlineStr">
        <is>
          <t>Aircraft Carriers</t>
        </is>
      </c>
      <c r="N2890" s="7" t="inlineStr">
        <is>
          <t>CVN</t>
        </is>
      </c>
      <c r="O2890" s="15" t="n"/>
      <c r="P2890" s="16" t="n">
        <v>4633</v>
      </c>
      <c r="Q2890" s="16" t="n">
        <v>2300</v>
      </c>
      <c r="AC2890" s="23">
        <f>IF(OR(E2890="",E2890="[PARENT]"),"ADD",IF(E2890="[ALT_VIEW]","ALT",""))</f>
        <v/>
      </c>
      <c r="AD2890" s="21">
        <f>IF(Y2890&lt;&gt;"",Y2890,IF(U2890&lt;&gt;"",U2890,S2890))</f>
        <v/>
      </c>
      <c r="AE2890" s="21">
        <f>IF(AB2890&lt;&gt;"",AB2890,Z2890)</f>
        <v/>
      </c>
      <c r="AF2890" s="13" t="inlineStr">
        <is>
          <t>P-3a / LI 4213 / Mod 2 - CMV22</t>
        </is>
      </c>
      <c r="AG2890" s="7" t="inlineStr">
        <is>
          <t>133</t>
        </is>
      </c>
      <c r="AH2890" s="7" t="inlineStr">
        <is>
          <t>4213</t>
        </is>
      </c>
      <c r="AJ2890" s="7" t="inlineStr">
        <is>
          <t>/ LI 4213 / Mod 2 - CMV22</t>
        </is>
      </c>
    </row>
    <row r="2891" ht="10" customHeight="1">
      <c r="A2891" s="7" t="inlineStr">
        <is>
          <t>OPN_BA3</t>
        </is>
      </c>
      <c r="B2891" s="7" t="inlineStr">
        <is>
          <t>Procurement</t>
        </is>
      </c>
      <c r="C2891" s="7" t="inlineStr">
        <is>
          <t>116</t>
        </is>
      </c>
      <c r="D2891" s="7" t="inlineStr">
        <is>
          <t>Advanced Arresting Gear (AAG)</t>
        </is>
      </c>
      <c r="E2891" s="13" t="inlineStr">
        <is>
          <t>[PARENT]</t>
        </is>
      </c>
      <c r="I2891" s="14" t="n">
        <v>4</v>
      </c>
      <c r="K2891" s="13" t="inlineStr">
        <is>
          <t>USN</t>
        </is>
      </c>
      <c r="L2891" s="7" t="inlineStr">
        <is>
          <t>Combatant Ships</t>
        </is>
      </c>
      <c r="M2891" s="7" t="inlineStr">
        <is>
          <t>Aircraft Carriers</t>
        </is>
      </c>
      <c r="N2891" s="7" t="inlineStr">
        <is>
          <t>CVN</t>
        </is>
      </c>
      <c r="O2891" s="15" t="n"/>
      <c r="P2891" s="16" t="n">
        <v>12376</v>
      </c>
      <c r="Q2891" s="16" t="n">
        <v>2244</v>
      </c>
      <c r="S2891" s="16" t="n">
        <v>4484</v>
      </c>
      <c r="U2891" s="16" t="n">
        <v>4484</v>
      </c>
      <c r="X2891" s="16" t="n">
        <v>4484</v>
      </c>
      <c r="Y2891" s="16" t="n">
        <v>4484</v>
      </c>
      <c r="Z2891" s="16" t="n">
        <v>23551</v>
      </c>
      <c r="AB2891" s="16" t="n">
        <v>23551</v>
      </c>
      <c r="AC2891" s="23">
        <f>IF(OR(E2891="",E2891="[PARENT]"),"ADD",IF(E2891="[ALT_VIEW]","ALT",""))</f>
        <v/>
      </c>
      <c r="AD2891" s="21">
        <f>IF(Y2891&lt;&gt;"",Y2891,IF(U2891&lt;&gt;"",U2891,S2891))</f>
        <v/>
      </c>
      <c r="AE2891" s="21">
        <f>IF(AB2891&lt;&gt;"",AB2891,Z2891)</f>
        <v/>
      </c>
      <c r="AF2891" s="13" t="inlineStr">
        <is>
          <t>P-40 / BA03 / BSA03 Aircraft Support Equipment / LI 4217</t>
        </is>
      </c>
      <c r="AG2891" s="7" t="inlineStr">
        <is>
          <t>137</t>
        </is>
      </c>
      <c r="AH2891" s="7" t="inlineStr">
        <is>
          <t>4217</t>
        </is>
      </c>
      <c r="AI2891" s="7" t="inlineStr">
        <is>
          <t>Advanced Arresting Gear (AAG)</t>
        </is>
      </c>
    </row>
    <row r="2892" ht="10" customHeight="1">
      <c r="A2892" s="7" t="inlineStr">
        <is>
          <t>OPN_BA3</t>
        </is>
      </c>
      <c r="B2892" s="7" t="inlineStr">
        <is>
          <t>Procurement</t>
        </is>
      </c>
      <c r="D2892" s="7" t="inlineStr">
        <is>
          <t>Water Twister Mod II - ECP 0014</t>
        </is>
      </c>
      <c r="E2892" s="13" t="inlineStr">
        <is>
          <t>[SUB]</t>
        </is>
      </c>
      <c r="F2892" s="7" t="inlineStr">
        <is>
          <t>116 / Advanced Arresting Gear (AAG)</t>
        </is>
      </c>
      <c r="I2892" s="14" t="n">
        <v>4</v>
      </c>
      <c r="K2892" s="13" t="inlineStr">
        <is>
          <t>USN</t>
        </is>
      </c>
      <c r="L2892" s="7" t="inlineStr">
        <is>
          <t>Combatant Ships</t>
        </is>
      </c>
      <c r="M2892" s="7" t="inlineStr">
        <is>
          <t>Aircraft Carriers</t>
        </is>
      </c>
      <c r="N2892" s="7" t="inlineStr">
        <is>
          <t>CVN</t>
        </is>
      </c>
      <c r="O2892" s="15" t="n"/>
      <c r="P2892" s="16" t="n">
        <v>12321</v>
      </c>
      <c r="AC2892" s="23">
        <f>IF(OR(E2892="",E2892="[PARENT]"),"ADD",IF(E2892="[ALT_VIEW]","ALT",""))</f>
        <v/>
      </c>
      <c r="AD2892" s="21">
        <f>IF(Y2892&lt;&gt;"",Y2892,IF(U2892&lt;&gt;"",U2892,S2892))</f>
        <v/>
      </c>
      <c r="AE2892" s="21">
        <f>IF(AB2892&lt;&gt;"",AB2892,Z2892)</f>
        <v/>
      </c>
      <c r="AF2892" s="13" t="inlineStr">
        <is>
          <t>P-3a / LI 4217 / Procurement</t>
        </is>
      </c>
      <c r="AG2892" s="7" t="inlineStr">
        <is>
          <t>139</t>
        </is>
      </c>
      <c r="AH2892" s="7" t="inlineStr">
        <is>
          <t>4217</t>
        </is>
      </c>
      <c r="AI2892" s="7" t="inlineStr">
        <is>
          <t>Advanced Arresting Gear (AAG)</t>
        </is>
      </c>
      <c r="AJ2892" s="7" t="inlineStr">
        <is>
          <t>/ LI 4217 / Procurement</t>
        </is>
      </c>
    </row>
    <row r="2893" ht="10" customHeight="1">
      <c r="A2893" s="7" t="inlineStr">
        <is>
          <t>OPN_BA3</t>
        </is>
      </c>
      <c r="B2893" s="7" t="inlineStr">
        <is>
          <t>Procurement</t>
        </is>
      </c>
      <c r="D2893" s="7" t="inlineStr">
        <is>
          <t>CSA Vent Valve - preECP 0027</t>
        </is>
      </c>
      <c r="E2893" s="13" t="inlineStr">
        <is>
          <t>[SUB]</t>
        </is>
      </c>
      <c r="F2893" s="7" t="inlineStr">
        <is>
          <t>116 / Advanced Arresting Gear (AAG)</t>
        </is>
      </c>
      <c r="I2893" s="14" t="n">
        <v>4</v>
      </c>
      <c r="K2893" s="13" t="inlineStr">
        <is>
          <t>USN</t>
        </is>
      </c>
      <c r="L2893" s="7" t="inlineStr">
        <is>
          <t>Combatant Ships</t>
        </is>
      </c>
      <c r="M2893" s="7" t="inlineStr">
        <is>
          <t>Aircraft Carriers</t>
        </is>
      </c>
      <c r="N2893" s="7" t="inlineStr">
        <is>
          <t>CVN</t>
        </is>
      </c>
      <c r="O2893" s="15" t="n"/>
      <c r="S2893" s="16" t="n">
        <v>2</v>
      </c>
      <c r="U2893" s="16" t="n">
        <v>2</v>
      </c>
      <c r="AC2893" s="23">
        <f>IF(OR(E2893="",E2893="[PARENT]"),"ADD",IF(E2893="[ALT_VIEW]","ALT",""))</f>
        <v/>
      </c>
      <c r="AD2893" s="21">
        <f>IF(Y2893&lt;&gt;"",Y2893,IF(U2893&lt;&gt;"",U2893,S2893))</f>
        <v/>
      </c>
      <c r="AE2893" s="21">
        <f>IF(AB2893&lt;&gt;"",AB2893,Z2893)</f>
        <v/>
      </c>
      <c r="AF2893" s="13" t="inlineStr">
        <is>
          <t>P-3a / LI 4217 / Procurement</t>
        </is>
      </c>
      <c r="AG2893" s="7" t="inlineStr">
        <is>
          <t>139</t>
        </is>
      </c>
      <c r="AH2893" s="7" t="inlineStr">
        <is>
          <t>4217</t>
        </is>
      </c>
      <c r="AI2893" s="7" t="inlineStr">
        <is>
          <t>Advanced Arresting Gear (AAG)</t>
        </is>
      </c>
      <c r="AJ2893" s="7" t="inlineStr">
        <is>
          <t>/ LI 4217 / Procurement</t>
        </is>
      </c>
    </row>
    <row r="2894" ht="10" customHeight="1">
      <c r="A2894" s="7" t="inlineStr">
        <is>
          <t>OPN_BA3</t>
        </is>
      </c>
      <c r="B2894" s="7" t="inlineStr">
        <is>
          <t>Procurement</t>
        </is>
      </c>
      <c r="D2894" s="7" t="inlineStr">
        <is>
          <t>AAG Maintenance Laptop - ECP 0053</t>
        </is>
      </c>
      <c r="E2894" s="13" t="inlineStr">
        <is>
          <t>[SUB]</t>
        </is>
      </c>
      <c r="F2894" s="7" t="inlineStr">
        <is>
          <t>116 / Advanced Arresting Gear (AAG)</t>
        </is>
      </c>
      <c r="I2894" s="14" t="n">
        <v>4</v>
      </c>
      <c r="K2894" s="13" t="inlineStr">
        <is>
          <t>USN</t>
        </is>
      </c>
      <c r="L2894" s="7" t="inlineStr">
        <is>
          <t>Combatant Ships</t>
        </is>
      </c>
      <c r="M2894" s="7" t="inlineStr">
        <is>
          <t>Aircraft Carriers</t>
        </is>
      </c>
      <c r="N2894" s="7" t="inlineStr">
        <is>
          <t>CVN</t>
        </is>
      </c>
      <c r="O2894" s="15" t="n"/>
      <c r="Q2894" s="16" t="n">
        <v>1</v>
      </c>
      <c r="AC2894" s="23">
        <f>IF(OR(E2894="",E2894="[PARENT]"),"ADD",IF(E2894="[ALT_VIEW]","ALT",""))</f>
        <v/>
      </c>
      <c r="AD2894" s="21">
        <f>IF(Y2894&lt;&gt;"",Y2894,IF(U2894&lt;&gt;"",U2894,S2894))</f>
        <v/>
      </c>
      <c r="AE2894" s="21">
        <f>IF(AB2894&lt;&gt;"",AB2894,Z2894)</f>
        <v/>
      </c>
      <c r="AF2894" s="13" t="inlineStr">
        <is>
          <t>P-3a / LI 4217 / Procurement</t>
        </is>
      </c>
      <c r="AG2894" s="7" t="inlineStr">
        <is>
          <t>139</t>
        </is>
      </c>
      <c r="AH2894" s="7" t="inlineStr">
        <is>
          <t>4217</t>
        </is>
      </c>
      <c r="AI2894" s="7" t="inlineStr">
        <is>
          <t>Advanced Arresting Gear (AAG)</t>
        </is>
      </c>
      <c r="AJ2894" s="7" t="inlineStr">
        <is>
          <t>/ LI 4217 / Procurement</t>
        </is>
      </c>
    </row>
    <row r="2895" ht="10" customHeight="1">
      <c r="A2895" s="7" t="inlineStr">
        <is>
          <t>OPN_BA3</t>
        </is>
      </c>
      <c r="B2895" s="7" t="inlineStr">
        <is>
          <t>Procurement</t>
        </is>
      </c>
      <c r="D2895" s="7" t="inlineStr">
        <is>
          <t>Production Engineering Support</t>
        </is>
      </c>
      <c r="E2895" s="13" t="inlineStr">
        <is>
          <t>[SUB]</t>
        </is>
      </c>
      <c r="F2895" s="7" t="inlineStr">
        <is>
          <t>116 / Advanced Arresting Gear (AAG)</t>
        </is>
      </c>
      <c r="I2895" s="14" t="n">
        <v>4</v>
      </c>
      <c r="K2895" s="13" t="inlineStr">
        <is>
          <t>USN</t>
        </is>
      </c>
      <c r="L2895" s="7" t="inlineStr">
        <is>
          <t>Combatant Ships</t>
        </is>
      </c>
      <c r="M2895" s="7" t="inlineStr">
        <is>
          <t>Aircraft Carriers</t>
        </is>
      </c>
      <c r="N2895" s="7" t="inlineStr">
        <is>
          <t>CVN</t>
        </is>
      </c>
      <c r="O2895" s="15" t="n"/>
      <c r="Q2895" s="16" t="n">
        <v>251</v>
      </c>
      <c r="S2895" s="16" t="n">
        <v>256</v>
      </c>
      <c r="U2895" s="16" t="n">
        <v>256</v>
      </c>
      <c r="AC2895" s="23">
        <f>IF(OR(E2895="",E2895="[PARENT]"),"ADD",IF(E2895="[ALT_VIEW]","ALT",""))</f>
        <v/>
      </c>
      <c r="AD2895" s="21">
        <f>IF(Y2895&lt;&gt;"",Y2895,IF(U2895&lt;&gt;"",U2895,S2895))</f>
        <v/>
      </c>
      <c r="AE2895" s="21">
        <f>IF(AB2895&lt;&gt;"",AB2895,Z2895)</f>
        <v/>
      </c>
      <c r="AF2895" s="13" t="inlineStr">
        <is>
          <t>P-3a / LI 4217 / Support</t>
        </is>
      </c>
      <c r="AG2895" s="7" t="inlineStr">
        <is>
          <t>139</t>
        </is>
      </c>
      <c r="AH2895" s="7" t="inlineStr">
        <is>
          <t>4217</t>
        </is>
      </c>
      <c r="AI2895" s="7" t="inlineStr">
        <is>
          <t>Advanced Arresting Gear (AAG)</t>
        </is>
      </c>
      <c r="AJ2895" s="7" t="inlineStr">
        <is>
          <t>/ LI 4217 / Support</t>
        </is>
      </c>
    </row>
    <row r="2896" ht="10" customHeight="1">
      <c r="A2896" s="7" t="inlineStr">
        <is>
          <t>OPN_BA3</t>
        </is>
      </c>
      <c r="B2896" s="7" t="inlineStr">
        <is>
          <t>Procurement</t>
        </is>
      </c>
      <c r="D2896" s="7" t="inlineStr">
        <is>
          <t>Integrated Logistics Support</t>
        </is>
      </c>
      <c r="E2896" s="13" t="inlineStr">
        <is>
          <t>[SUB]</t>
        </is>
      </c>
      <c r="F2896" s="7" t="inlineStr">
        <is>
          <t>116 / Advanced Arresting Gear (AAG)</t>
        </is>
      </c>
      <c r="I2896" s="14" t="n">
        <v>4</v>
      </c>
      <c r="K2896" s="13" t="inlineStr">
        <is>
          <t>USN</t>
        </is>
      </c>
      <c r="L2896" s="7" t="inlineStr">
        <is>
          <t>Combatant Ships</t>
        </is>
      </c>
      <c r="M2896" s="7" t="inlineStr">
        <is>
          <t>Aircraft Carriers</t>
        </is>
      </c>
      <c r="N2896" s="7" t="inlineStr">
        <is>
          <t>CVN</t>
        </is>
      </c>
      <c r="O2896" s="15" t="n"/>
      <c r="P2896" s="16" t="n">
        <v>55</v>
      </c>
      <c r="Q2896" s="16" t="n">
        <v>230</v>
      </c>
      <c r="S2896" s="16" t="n">
        <v>234</v>
      </c>
      <c r="U2896" s="16" t="n">
        <v>234</v>
      </c>
      <c r="AC2896" s="23">
        <f>IF(OR(E2896="",E2896="[PARENT]"),"ADD",IF(E2896="[ALT_VIEW]","ALT",""))</f>
        <v/>
      </c>
      <c r="AD2896" s="21">
        <f>IF(Y2896&lt;&gt;"",Y2896,IF(U2896&lt;&gt;"",U2896,S2896))</f>
        <v/>
      </c>
      <c r="AE2896" s="21">
        <f>IF(AB2896&lt;&gt;"",AB2896,Z2896)</f>
        <v/>
      </c>
      <c r="AF2896" s="13" t="inlineStr">
        <is>
          <t>P-3a / LI 4217 / Support</t>
        </is>
      </c>
      <c r="AG2896" s="7" t="inlineStr">
        <is>
          <t>139</t>
        </is>
      </c>
      <c r="AH2896" s="7" t="inlineStr">
        <is>
          <t>4217</t>
        </is>
      </c>
      <c r="AI2896" s="7" t="inlineStr">
        <is>
          <t>Advanced Arresting Gear (AAG)</t>
        </is>
      </c>
      <c r="AJ2896" s="7" t="inlineStr">
        <is>
          <t>/ LI 4217 / Support</t>
        </is>
      </c>
    </row>
    <row r="2897" ht="10" customHeight="1">
      <c r="A2897" s="7" t="inlineStr">
        <is>
          <t>OPN_BA3</t>
        </is>
      </c>
      <c r="B2897" s="7" t="inlineStr">
        <is>
          <t>Procurement</t>
        </is>
      </c>
      <c r="D2897" s="7" t="inlineStr">
        <is>
          <t>Data</t>
        </is>
      </c>
      <c r="E2897" s="13" t="inlineStr">
        <is>
          <t>[SUB]</t>
        </is>
      </c>
      <c r="F2897" s="7" t="inlineStr">
        <is>
          <t>116 / Advanced Arresting Gear (AAG)</t>
        </is>
      </c>
      <c r="I2897" s="14" t="n">
        <v>4</v>
      </c>
      <c r="K2897" s="13" t="inlineStr">
        <is>
          <t>USN</t>
        </is>
      </c>
      <c r="L2897" s="7" t="inlineStr">
        <is>
          <t>Combatant Ships</t>
        </is>
      </c>
      <c r="M2897" s="7" t="inlineStr">
        <is>
          <t>Aircraft Carriers</t>
        </is>
      </c>
      <c r="N2897" s="7" t="inlineStr">
        <is>
          <t>CVN</t>
        </is>
      </c>
      <c r="O2897" s="15" t="n"/>
      <c r="Q2897" s="16" t="n">
        <v>757</v>
      </c>
      <c r="S2897" s="16" t="n">
        <v>350</v>
      </c>
      <c r="U2897" s="16" t="n">
        <v>350</v>
      </c>
      <c r="AC2897" s="23">
        <f>IF(OR(E2897="",E2897="[PARENT]"),"ADD",IF(E2897="[ALT_VIEW]","ALT",""))</f>
        <v/>
      </c>
      <c r="AD2897" s="21">
        <f>IF(Y2897&lt;&gt;"",Y2897,IF(U2897&lt;&gt;"",U2897,S2897))</f>
        <v/>
      </c>
      <c r="AE2897" s="21">
        <f>IF(AB2897&lt;&gt;"",AB2897,Z2897)</f>
        <v/>
      </c>
      <c r="AF2897" s="13" t="inlineStr">
        <is>
          <t>P-3a / LI 4217 / Support</t>
        </is>
      </c>
      <c r="AG2897" s="7" t="inlineStr">
        <is>
          <t>139</t>
        </is>
      </c>
      <c r="AH2897" s="7" t="inlineStr">
        <is>
          <t>4217</t>
        </is>
      </c>
      <c r="AI2897" s="7" t="inlineStr">
        <is>
          <t>Advanced Arresting Gear (AAG)</t>
        </is>
      </c>
      <c r="AJ2897" s="7" t="inlineStr">
        <is>
          <t>/ LI 4217 / Support</t>
        </is>
      </c>
    </row>
    <row r="2898" ht="10" customHeight="1">
      <c r="A2898" s="7" t="inlineStr">
        <is>
          <t>OPN_BA3</t>
        </is>
      </c>
      <c r="B2898" s="7" t="inlineStr">
        <is>
          <t>Procurement</t>
        </is>
      </c>
      <c r="D2898" s="7" t="inlineStr">
        <is>
          <t>Support Equipment</t>
        </is>
      </c>
      <c r="E2898" s="13" t="inlineStr">
        <is>
          <t>[SUB]</t>
        </is>
      </c>
      <c r="F2898" s="7" t="inlineStr">
        <is>
          <t>116 / Advanced Arresting Gear (AAG)</t>
        </is>
      </c>
      <c r="I2898" s="14" t="n">
        <v>4</v>
      </c>
      <c r="K2898" s="13" t="inlineStr">
        <is>
          <t>USN</t>
        </is>
      </c>
      <c r="L2898" s="7" t="inlineStr">
        <is>
          <t>Combatant Ships</t>
        </is>
      </c>
      <c r="M2898" s="7" t="inlineStr">
        <is>
          <t>Aircraft Carriers</t>
        </is>
      </c>
      <c r="N2898" s="7" t="inlineStr">
        <is>
          <t>CVN</t>
        </is>
      </c>
      <c r="O2898" s="15" t="n"/>
      <c r="S2898" s="16" t="n">
        <v>3637</v>
      </c>
      <c r="U2898" s="16" t="n">
        <v>3637</v>
      </c>
      <c r="AC2898" s="23">
        <f>IF(OR(E2898="",E2898="[PARENT]"),"ADD",IF(E2898="[ALT_VIEW]","ALT",""))</f>
        <v/>
      </c>
      <c r="AD2898" s="21">
        <f>IF(Y2898&lt;&gt;"",Y2898,IF(U2898&lt;&gt;"",U2898,S2898))</f>
        <v/>
      </c>
      <c r="AE2898" s="21">
        <f>IF(AB2898&lt;&gt;"",AB2898,Z2898)</f>
        <v/>
      </c>
      <c r="AF2898" s="13" t="inlineStr">
        <is>
          <t>P-3a / LI 4217 / Support</t>
        </is>
      </c>
      <c r="AG2898" s="7" t="inlineStr">
        <is>
          <t>139</t>
        </is>
      </c>
      <c r="AH2898" s="7" t="inlineStr">
        <is>
          <t>4217</t>
        </is>
      </c>
      <c r="AI2898" s="7" t="inlineStr">
        <is>
          <t>Advanced Arresting Gear (AAG)</t>
        </is>
      </c>
      <c r="AJ2898" s="7" t="inlineStr">
        <is>
          <t>/ LI 4217 / Support</t>
        </is>
      </c>
    </row>
    <row r="2899" ht="10" customHeight="1">
      <c r="A2899" s="7" t="inlineStr">
        <is>
          <t>OPN_BA3</t>
        </is>
      </c>
      <c r="B2899" s="7" t="inlineStr">
        <is>
          <t>Procurement</t>
        </is>
      </c>
      <c r="D2899" s="7" t="inlineStr">
        <is>
          <t>Installation: Water Twister Mod II - ECP 0014</t>
        </is>
      </c>
      <c r="E2899" s="13" t="inlineStr">
        <is>
          <t>[SUB]</t>
        </is>
      </c>
      <c r="F2899" s="7" t="inlineStr">
        <is>
          <t>116 / Advanced Arresting Gear (AAG)</t>
        </is>
      </c>
      <c r="I2899" s="14" t="n">
        <v>4</v>
      </c>
      <c r="K2899" s="13" t="inlineStr">
        <is>
          <t>USN</t>
        </is>
      </c>
      <c r="L2899" s="7" t="inlineStr">
        <is>
          <t>Combatant Ships</t>
        </is>
      </c>
      <c r="M2899" s="7" t="inlineStr">
        <is>
          <t>Aircraft Carriers</t>
        </is>
      </c>
      <c r="N2899" s="7" t="inlineStr">
        <is>
          <t>CVN</t>
        </is>
      </c>
      <c r="O2899" s="15" t="n"/>
      <c r="Q2899" s="16" t="n">
        <v>1000</v>
      </c>
      <c r="AC2899" s="23">
        <f>IF(OR(E2899="",E2899="[PARENT]"),"ADD",IF(E2899="[ALT_VIEW]","ALT",""))</f>
        <v/>
      </c>
      <c r="AD2899" s="21">
        <f>IF(Y2899&lt;&gt;"",Y2899,IF(U2899&lt;&gt;"",U2899,S2899))</f>
        <v/>
      </c>
      <c r="AE2899" s="21">
        <f>IF(AB2899&lt;&gt;"",AB2899,Z2899)</f>
        <v/>
      </c>
      <c r="AF2899" s="13" t="inlineStr">
        <is>
          <t>P-3a / LI 4217 / Installation</t>
        </is>
      </c>
      <c r="AG2899" s="7" t="inlineStr">
        <is>
          <t>139</t>
        </is>
      </c>
      <c r="AH2899" s="7" t="inlineStr">
        <is>
          <t>4217</t>
        </is>
      </c>
      <c r="AI2899" s="7" t="inlineStr">
        <is>
          <t>Advanced Arresting Gear (AAG)</t>
        </is>
      </c>
      <c r="AJ2899" s="7" t="inlineStr">
        <is>
          <t>/ LI 4217 / Installation</t>
        </is>
      </c>
    </row>
    <row r="2900" ht="10" customHeight="1">
      <c r="A2900" s="7" t="inlineStr">
        <is>
          <t>OPN_BA3</t>
        </is>
      </c>
      <c r="B2900" s="7" t="inlineStr">
        <is>
          <t>Procurement</t>
        </is>
      </c>
      <c r="D2900" s="7" t="inlineStr">
        <is>
          <t>Installation: CSA Vent Valve - preECP 0027</t>
        </is>
      </c>
      <c r="E2900" s="13" t="inlineStr">
        <is>
          <t>[SUB]</t>
        </is>
      </c>
      <c r="F2900" s="7" t="inlineStr">
        <is>
          <t>116 / Advanced Arresting Gear (AAG)</t>
        </is>
      </c>
      <c r="I2900" s="14" t="n">
        <v>4</v>
      </c>
      <c r="K2900" s="13" t="inlineStr">
        <is>
          <t>USN</t>
        </is>
      </c>
      <c r="L2900" s="7" t="inlineStr">
        <is>
          <t>Combatant Ships</t>
        </is>
      </c>
      <c r="M2900" s="7" t="inlineStr">
        <is>
          <t>Aircraft Carriers</t>
        </is>
      </c>
      <c r="N2900" s="7" t="inlineStr">
        <is>
          <t>CVN</t>
        </is>
      </c>
      <c r="O2900" s="15" t="n"/>
      <c r="S2900" s="16" t="n">
        <v>5</v>
      </c>
      <c r="U2900" s="16" t="n">
        <v>5</v>
      </c>
      <c r="AC2900" s="23">
        <f>IF(OR(E2900="",E2900="[PARENT]"),"ADD",IF(E2900="[ALT_VIEW]","ALT",""))</f>
        <v/>
      </c>
      <c r="AD2900" s="21">
        <f>IF(Y2900&lt;&gt;"",Y2900,IF(U2900&lt;&gt;"",U2900,S2900))</f>
        <v/>
      </c>
      <c r="AE2900" s="21">
        <f>IF(AB2900&lt;&gt;"",AB2900,Z2900)</f>
        <v/>
      </c>
      <c r="AF2900" s="13" t="inlineStr">
        <is>
          <t>P-3a / LI 4217 / Installation</t>
        </is>
      </c>
      <c r="AG2900" s="7" t="inlineStr">
        <is>
          <t>139</t>
        </is>
      </c>
      <c r="AH2900" s="7" t="inlineStr">
        <is>
          <t>4217</t>
        </is>
      </c>
      <c r="AI2900" s="7" t="inlineStr">
        <is>
          <t>Advanced Arresting Gear (AAG)</t>
        </is>
      </c>
      <c r="AJ2900" s="7" t="inlineStr">
        <is>
          <t>/ LI 4217 / Installation</t>
        </is>
      </c>
    </row>
    <row r="2901" ht="10" customHeight="1">
      <c r="A2901" s="7" t="inlineStr">
        <is>
          <t>OPN_BA3</t>
        </is>
      </c>
      <c r="B2901" s="7" t="inlineStr">
        <is>
          <t>Procurement</t>
        </is>
      </c>
      <c r="D2901" s="7" t="inlineStr">
        <is>
          <t>Installation: AAG Maintenance Laptop - ECP 0053</t>
        </is>
      </c>
      <c r="E2901" s="13" t="inlineStr">
        <is>
          <t>[SUB]</t>
        </is>
      </c>
      <c r="F2901" s="7" t="inlineStr">
        <is>
          <t>116 / Advanced Arresting Gear (AAG)</t>
        </is>
      </c>
      <c r="I2901" s="14" t="n">
        <v>4</v>
      </c>
      <c r="K2901" s="13" t="inlineStr">
        <is>
          <t>USN</t>
        </is>
      </c>
      <c r="L2901" s="7" t="inlineStr">
        <is>
          <t>Combatant Ships</t>
        </is>
      </c>
      <c r="M2901" s="7" t="inlineStr">
        <is>
          <t>Aircraft Carriers</t>
        </is>
      </c>
      <c r="N2901" s="7" t="inlineStr">
        <is>
          <t>CVN</t>
        </is>
      </c>
      <c r="O2901" s="15" t="n"/>
      <c r="Q2901" s="16" t="n">
        <v>5</v>
      </c>
      <c r="AC2901" s="23">
        <f>IF(OR(E2901="",E2901="[PARENT]"),"ADD",IF(E2901="[ALT_VIEW]","ALT",""))</f>
        <v/>
      </c>
      <c r="AD2901" s="21">
        <f>IF(Y2901&lt;&gt;"",Y2901,IF(U2901&lt;&gt;"",U2901,S2901))</f>
        <v/>
      </c>
      <c r="AE2901" s="21">
        <f>IF(AB2901&lt;&gt;"",AB2901,Z2901)</f>
        <v/>
      </c>
      <c r="AF2901" s="13" t="inlineStr">
        <is>
          <t>P-3a / LI 4217 / Installation</t>
        </is>
      </c>
      <c r="AG2901" s="7" t="inlineStr">
        <is>
          <t>139</t>
        </is>
      </c>
      <c r="AH2901" s="7" t="inlineStr">
        <is>
          <t>4217</t>
        </is>
      </c>
      <c r="AI2901" s="7" t="inlineStr">
        <is>
          <t>Advanced Arresting Gear (AAG)</t>
        </is>
      </c>
      <c r="AJ2901" s="7" t="inlineStr">
        <is>
          <t>/ LI 4217 / Installation</t>
        </is>
      </c>
    </row>
    <row r="2902" ht="10" customHeight="1">
      <c r="A2902" s="7" t="inlineStr">
        <is>
          <t>OPN_BA3</t>
        </is>
      </c>
      <c r="B2902" s="7" t="inlineStr">
        <is>
          <t>Procurement</t>
        </is>
      </c>
      <c r="C2902" s="7" t="inlineStr">
        <is>
          <t>117</t>
        </is>
      </c>
      <c r="D2902" s="7" t="inlineStr">
        <is>
          <t>Electromagnetic Aircraft Launch System (EMALS)</t>
        </is>
      </c>
      <c r="E2902" s="13" t="inlineStr">
        <is>
          <t>[PARENT]</t>
        </is>
      </c>
      <c r="I2902" s="14" t="n">
        <v>4</v>
      </c>
      <c r="K2902" s="13" t="inlineStr">
        <is>
          <t>USN</t>
        </is>
      </c>
      <c r="L2902" s="7" t="inlineStr">
        <is>
          <t>Combatant Ships</t>
        </is>
      </c>
      <c r="M2902" s="7" t="inlineStr">
        <is>
          <t>Aircraft Carriers</t>
        </is>
      </c>
      <c r="N2902" s="7" t="inlineStr">
        <is>
          <t>CVN</t>
        </is>
      </c>
      <c r="O2902" s="15" t="n"/>
      <c r="P2902" s="16" t="n">
        <v>17472</v>
      </c>
      <c r="Q2902" s="16" t="n">
        <v>14702</v>
      </c>
      <c r="S2902" s="16" t="n">
        <v>16294</v>
      </c>
      <c r="U2902" s="16" t="n">
        <v>16294</v>
      </c>
      <c r="X2902" s="16" t="n">
        <v>16294</v>
      </c>
      <c r="Y2902" s="16" t="n">
        <v>16294</v>
      </c>
      <c r="Z2902" s="16" t="n">
        <v>36908</v>
      </c>
      <c r="AB2902" s="16" t="n">
        <v>36908</v>
      </c>
      <c r="AC2902" s="23">
        <f>IF(OR(E2902="",E2902="[PARENT]"),"ADD",IF(E2902="[ALT_VIEW]","ALT",""))</f>
        <v/>
      </c>
      <c r="AD2902" s="21">
        <f>IF(Y2902&lt;&gt;"",Y2902,IF(U2902&lt;&gt;"",U2902,S2902))</f>
        <v/>
      </c>
      <c r="AE2902" s="21">
        <f>IF(AB2902&lt;&gt;"",AB2902,Z2902)</f>
        <v/>
      </c>
      <c r="AF2902" s="13" t="inlineStr">
        <is>
          <t>P-40 / BA03 / BSA03 Aircraft Support Equipment / LI 4219</t>
        </is>
      </c>
      <c r="AG2902" s="7" t="inlineStr">
        <is>
          <t>145</t>
        </is>
      </c>
      <c r="AH2902" s="7" t="inlineStr">
        <is>
          <t>4219</t>
        </is>
      </c>
      <c r="AI2902" s="7" t="inlineStr">
        <is>
          <t>Electromagnetic Aircraft Launch System (EMALS)</t>
        </is>
      </c>
    </row>
    <row r="2903" ht="10" customHeight="1">
      <c r="A2903" s="7" t="inlineStr">
        <is>
          <t>OPN_BA3</t>
        </is>
      </c>
      <c r="B2903" s="7" t="inlineStr">
        <is>
          <t>Procurement</t>
        </is>
      </c>
      <c r="D2903" s="7" t="inlineStr">
        <is>
          <t>T/R Fuse Detection - ECP 0025</t>
        </is>
      </c>
      <c r="E2903" s="13" t="inlineStr">
        <is>
          <t>[SUB]</t>
        </is>
      </c>
      <c r="F2903" s="7" t="inlineStr">
        <is>
          <t>117 / Electromagnetic Aircraft Launch System (EMALS)</t>
        </is>
      </c>
      <c r="I2903" s="14" t="n">
        <v>4</v>
      </c>
      <c r="K2903" s="13" t="inlineStr">
        <is>
          <t>USN</t>
        </is>
      </c>
      <c r="L2903" s="7" t="inlineStr">
        <is>
          <t>Combatant Ships</t>
        </is>
      </c>
      <c r="M2903" s="7" t="inlineStr">
        <is>
          <t>Aircraft Carriers</t>
        </is>
      </c>
      <c r="N2903" s="7" t="inlineStr">
        <is>
          <t>CVN</t>
        </is>
      </c>
      <c r="O2903" s="15" t="n"/>
      <c r="AC2903" s="23">
        <f>IF(OR(E2903="",E2903="[PARENT]"),"ADD",IF(E2903="[ALT_VIEW]","ALT",""))</f>
        <v/>
      </c>
      <c r="AD2903" s="21">
        <f>IF(Y2903&lt;&gt;"",Y2903,IF(U2903&lt;&gt;"",U2903,S2903))</f>
        <v/>
      </c>
      <c r="AE2903" s="21">
        <f>IF(AB2903&lt;&gt;"",AB2903,Z2903)</f>
        <v/>
      </c>
      <c r="AF2903" s="13" t="inlineStr">
        <is>
          <t>P-3a / LI 4219 / Procurement</t>
        </is>
      </c>
      <c r="AG2903" s="7" t="inlineStr">
        <is>
          <t>147</t>
        </is>
      </c>
      <c r="AH2903" s="7" t="inlineStr">
        <is>
          <t>4219</t>
        </is>
      </c>
      <c r="AI2903" s="7" t="inlineStr">
        <is>
          <t>Electromagnetic Aircraft Launch System (EMALS)</t>
        </is>
      </c>
      <c r="AJ2903" s="7" t="inlineStr">
        <is>
          <t>/ LI 4219 / Procurement</t>
        </is>
      </c>
    </row>
    <row r="2904" ht="10" customHeight="1">
      <c r="A2904" s="7" t="inlineStr">
        <is>
          <t>OPN_BA3</t>
        </is>
      </c>
      <c r="B2904" s="7" t="inlineStr">
        <is>
          <t>Procurement</t>
        </is>
      </c>
      <c r="D2904" s="7" t="inlineStr">
        <is>
          <t>Motor Controller - ECP 0015</t>
        </is>
      </c>
      <c r="E2904" s="13" t="inlineStr">
        <is>
          <t>[SUB]</t>
        </is>
      </c>
      <c r="F2904" s="7" t="inlineStr">
        <is>
          <t>117 / Electromagnetic Aircraft Launch System (EMALS)</t>
        </is>
      </c>
      <c r="I2904" s="14" t="n">
        <v>4</v>
      </c>
      <c r="K2904" s="13" t="inlineStr">
        <is>
          <t>USN</t>
        </is>
      </c>
      <c r="L2904" s="7" t="inlineStr">
        <is>
          <t>Combatant Ships</t>
        </is>
      </c>
      <c r="M2904" s="7" t="inlineStr">
        <is>
          <t>Aircraft Carriers</t>
        </is>
      </c>
      <c r="N2904" s="7" t="inlineStr">
        <is>
          <t>CVN</t>
        </is>
      </c>
      <c r="O2904" s="15" t="n"/>
      <c r="Q2904" s="16" t="n">
        <v>148</v>
      </c>
      <c r="AC2904" s="23">
        <f>IF(OR(E2904="",E2904="[PARENT]"),"ADD",IF(E2904="[ALT_VIEW]","ALT",""))</f>
        <v/>
      </c>
      <c r="AD2904" s="21">
        <f>IF(Y2904&lt;&gt;"",Y2904,IF(U2904&lt;&gt;"",U2904,S2904))</f>
        <v/>
      </c>
      <c r="AE2904" s="21">
        <f>IF(AB2904&lt;&gt;"",AB2904,Z2904)</f>
        <v/>
      </c>
      <c r="AF2904" s="13" t="inlineStr">
        <is>
          <t>P-3a / LI 4219 / Procurement</t>
        </is>
      </c>
      <c r="AG2904" s="7" t="inlineStr">
        <is>
          <t>147</t>
        </is>
      </c>
      <c r="AH2904" s="7" t="inlineStr">
        <is>
          <t>4219</t>
        </is>
      </c>
      <c r="AI2904" s="7" t="inlineStr">
        <is>
          <t>Electromagnetic Aircraft Launch System (EMALS)</t>
        </is>
      </c>
      <c r="AJ2904" s="7" t="inlineStr">
        <is>
          <t>/ LI 4219 / Procurement</t>
        </is>
      </c>
    </row>
    <row r="2905" ht="10" customHeight="1">
      <c r="A2905" s="7" t="inlineStr">
        <is>
          <t>OPN_BA3</t>
        </is>
      </c>
      <c r="B2905" s="7" t="inlineStr">
        <is>
          <t>Procurement</t>
        </is>
      </c>
      <c r="D2905" s="7" t="inlineStr">
        <is>
          <t>Non-Recurring Engineering - E22 Builds (NonOrganic)</t>
        </is>
      </c>
      <c r="E2905" s="13" t="inlineStr">
        <is>
          <t>[SUB]</t>
        </is>
      </c>
      <c r="F2905" s="7" t="inlineStr">
        <is>
          <t>117 / Electromagnetic Aircraft Launch System (EMALS)</t>
        </is>
      </c>
      <c r="I2905" s="14" t="n">
        <v>4</v>
      </c>
      <c r="K2905" s="13" t="inlineStr">
        <is>
          <t>USN</t>
        </is>
      </c>
      <c r="L2905" s="7" t="inlineStr">
        <is>
          <t>Combatant Ships</t>
        </is>
      </c>
      <c r="M2905" s="7" t="inlineStr">
        <is>
          <t>Aircraft Carriers</t>
        </is>
      </c>
      <c r="N2905" s="7" t="inlineStr">
        <is>
          <t>CVN</t>
        </is>
      </c>
      <c r="O2905" s="15" t="n"/>
      <c r="Q2905" s="16" t="n">
        <v>1361</v>
      </c>
      <c r="AC2905" s="23">
        <f>IF(OR(E2905="",E2905="[PARENT]"),"ADD",IF(E2905="[ALT_VIEW]","ALT",""))</f>
        <v/>
      </c>
      <c r="AD2905" s="21">
        <f>IF(Y2905&lt;&gt;"",Y2905,IF(U2905&lt;&gt;"",U2905,S2905))</f>
        <v/>
      </c>
      <c r="AE2905" s="21">
        <f>IF(AB2905&lt;&gt;"",AB2905,Z2905)</f>
        <v/>
      </c>
      <c r="AF2905" s="13" t="inlineStr">
        <is>
          <t>P-3a / LI 4219 / Procurement NRE</t>
        </is>
      </c>
      <c r="AG2905" s="7" t="inlineStr">
        <is>
          <t>147</t>
        </is>
      </c>
      <c r="AH2905" s="7" t="inlineStr">
        <is>
          <t>4219</t>
        </is>
      </c>
      <c r="AI2905" s="7" t="inlineStr">
        <is>
          <t>Electromagnetic Aircraft Launch System (EMALS)</t>
        </is>
      </c>
      <c r="AJ2905" s="7" t="inlineStr">
        <is>
          <t>/ LI 4219 / Procurement NRE</t>
        </is>
      </c>
    </row>
    <row r="2906" ht="10" customHeight="1">
      <c r="A2906" s="7" t="inlineStr">
        <is>
          <t>OPN_BA3</t>
        </is>
      </c>
      <c r="B2906" s="7" t="inlineStr">
        <is>
          <t>Procurement</t>
        </is>
      </c>
      <c r="D2906" s="7" t="inlineStr">
        <is>
          <t>Non-Recurring Engineering - E22 Build (Organic)</t>
        </is>
      </c>
      <c r="E2906" s="13" t="inlineStr">
        <is>
          <t>[SUB]</t>
        </is>
      </c>
      <c r="F2906" s="7" t="inlineStr">
        <is>
          <t>117 / Electromagnetic Aircraft Launch System (EMALS)</t>
        </is>
      </c>
      <c r="I2906" s="14" t="n">
        <v>4</v>
      </c>
      <c r="K2906" s="13" t="inlineStr">
        <is>
          <t>USN</t>
        </is>
      </c>
      <c r="L2906" s="7" t="inlineStr">
        <is>
          <t>Combatant Ships</t>
        </is>
      </c>
      <c r="M2906" s="7" t="inlineStr">
        <is>
          <t>Aircraft Carriers</t>
        </is>
      </c>
      <c r="N2906" s="7" t="inlineStr">
        <is>
          <t>CVN</t>
        </is>
      </c>
      <c r="O2906" s="15" t="n"/>
      <c r="P2906" s="16" t="n">
        <v>5772</v>
      </c>
      <c r="Q2906" s="16" t="n">
        <v>621</v>
      </c>
      <c r="AC2906" s="23">
        <f>IF(OR(E2906="",E2906="[PARENT]"),"ADD",IF(E2906="[ALT_VIEW]","ALT",""))</f>
        <v/>
      </c>
      <c r="AD2906" s="21">
        <f>IF(Y2906&lt;&gt;"",Y2906,IF(U2906&lt;&gt;"",U2906,S2906))</f>
        <v/>
      </c>
      <c r="AE2906" s="21">
        <f>IF(AB2906&lt;&gt;"",AB2906,Z2906)</f>
        <v/>
      </c>
      <c r="AF2906" s="13" t="inlineStr">
        <is>
          <t>P-3a / LI 4219 / Procurement NRE</t>
        </is>
      </c>
      <c r="AG2906" s="7" t="inlineStr">
        <is>
          <t>147</t>
        </is>
      </c>
      <c r="AH2906" s="7" t="inlineStr">
        <is>
          <t>4219</t>
        </is>
      </c>
      <c r="AI2906" s="7" t="inlineStr">
        <is>
          <t>Electromagnetic Aircraft Launch System (EMALS)</t>
        </is>
      </c>
      <c r="AJ2906" s="7" t="inlineStr">
        <is>
          <t>/ LI 4219 / Procurement NRE</t>
        </is>
      </c>
    </row>
    <row r="2907" ht="10" customHeight="1">
      <c r="A2907" s="7" t="inlineStr">
        <is>
          <t>OPN_BA3</t>
        </is>
      </c>
      <c r="B2907" s="7" t="inlineStr">
        <is>
          <t>Procurement</t>
        </is>
      </c>
      <c r="D2907" s="7" t="inlineStr">
        <is>
          <t>Other EMALS Obsolescence Modifications</t>
        </is>
      </c>
      <c r="E2907" s="13" t="inlineStr">
        <is>
          <t>[SUB]</t>
        </is>
      </c>
      <c r="F2907" s="7" t="inlineStr">
        <is>
          <t>117 / Electromagnetic Aircraft Launch System (EMALS)</t>
        </is>
      </c>
      <c r="I2907" s="14" t="n">
        <v>4</v>
      </c>
      <c r="K2907" s="13" t="inlineStr">
        <is>
          <t>USN</t>
        </is>
      </c>
      <c r="L2907" s="7" t="inlineStr">
        <is>
          <t>Combatant Ships</t>
        </is>
      </c>
      <c r="M2907" s="7" t="inlineStr">
        <is>
          <t>Aircraft Carriers</t>
        </is>
      </c>
      <c r="N2907" s="7" t="inlineStr">
        <is>
          <t>CVN</t>
        </is>
      </c>
      <c r="O2907" s="15" t="n"/>
      <c r="S2907" s="16" t="n">
        <v>260</v>
      </c>
      <c r="U2907" s="16" t="n">
        <v>260</v>
      </c>
      <c r="AC2907" s="23">
        <f>IF(OR(E2907="",E2907="[PARENT]"),"ADD",IF(E2907="[ALT_VIEW]","ALT",""))</f>
        <v/>
      </c>
      <c r="AD2907" s="21">
        <f>IF(Y2907&lt;&gt;"",Y2907,IF(U2907&lt;&gt;"",U2907,S2907))</f>
        <v/>
      </c>
      <c r="AE2907" s="21">
        <f>IF(AB2907&lt;&gt;"",AB2907,Z2907)</f>
        <v/>
      </c>
      <c r="AF2907" s="13" t="inlineStr">
        <is>
          <t>P-3a / LI 4219 / Procurement Obsolescence</t>
        </is>
      </c>
      <c r="AG2907" s="7" t="inlineStr">
        <is>
          <t>147</t>
        </is>
      </c>
      <c r="AH2907" s="7" t="inlineStr">
        <is>
          <t>4219</t>
        </is>
      </c>
      <c r="AI2907" s="7" t="inlineStr">
        <is>
          <t>Electromagnetic Aircraft Launch System (EMALS)</t>
        </is>
      </c>
      <c r="AJ2907" s="7" t="inlineStr">
        <is>
          <t>/ LI 4219 / Procurement Obsolescence</t>
        </is>
      </c>
    </row>
    <row r="2908" ht="10" customHeight="1">
      <c r="A2908" s="7" t="inlineStr">
        <is>
          <t>OPN_BA3</t>
        </is>
      </c>
      <c r="B2908" s="7" t="inlineStr">
        <is>
          <t>Procurement</t>
        </is>
      </c>
      <c r="D2908" s="7" t="inlineStr">
        <is>
          <t>Production Engineering Support</t>
        </is>
      </c>
      <c r="E2908" s="13" t="inlineStr">
        <is>
          <t>[SUB]</t>
        </is>
      </c>
      <c r="F2908" s="7" t="inlineStr">
        <is>
          <t>117 / Electromagnetic Aircraft Launch System (EMALS)</t>
        </is>
      </c>
      <c r="I2908" s="14" t="n">
        <v>4</v>
      </c>
      <c r="K2908" s="13" t="inlineStr">
        <is>
          <t>USN</t>
        </is>
      </c>
      <c r="L2908" s="7" t="inlineStr">
        <is>
          <t>Combatant Ships</t>
        </is>
      </c>
      <c r="M2908" s="7" t="inlineStr">
        <is>
          <t>Aircraft Carriers</t>
        </is>
      </c>
      <c r="N2908" s="7" t="inlineStr">
        <is>
          <t>CVN</t>
        </is>
      </c>
      <c r="O2908" s="15" t="n"/>
      <c r="P2908" s="16" t="n">
        <v>432</v>
      </c>
      <c r="Q2908" s="16" t="n">
        <v>1199</v>
      </c>
      <c r="S2908" s="16" t="n">
        <v>1223</v>
      </c>
      <c r="U2908" s="16" t="n">
        <v>1223</v>
      </c>
      <c r="AC2908" s="23">
        <f>IF(OR(E2908="",E2908="[PARENT]"),"ADD",IF(E2908="[ALT_VIEW]","ALT",""))</f>
        <v/>
      </c>
      <c r="AD2908" s="21">
        <f>IF(Y2908&lt;&gt;"",Y2908,IF(U2908&lt;&gt;"",U2908,S2908))</f>
        <v/>
      </c>
      <c r="AE2908" s="21">
        <f>IF(AB2908&lt;&gt;"",AB2908,Z2908)</f>
        <v/>
      </c>
      <c r="AF2908" s="13" t="inlineStr">
        <is>
          <t>P-3a / LI 4219 / Support</t>
        </is>
      </c>
      <c r="AG2908" s="7" t="inlineStr">
        <is>
          <t>147</t>
        </is>
      </c>
      <c r="AH2908" s="7" t="inlineStr">
        <is>
          <t>4219</t>
        </is>
      </c>
      <c r="AI2908" s="7" t="inlineStr">
        <is>
          <t>Electromagnetic Aircraft Launch System (EMALS)</t>
        </is>
      </c>
      <c r="AJ2908" s="7" t="inlineStr">
        <is>
          <t>/ LI 4219 / Support</t>
        </is>
      </c>
    </row>
    <row r="2909" ht="10" customHeight="1">
      <c r="A2909" s="7" t="inlineStr">
        <is>
          <t>OPN_BA3</t>
        </is>
      </c>
      <c r="B2909" s="7" t="inlineStr">
        <is>
          <t>Procurement</t>
        </is>
      </c>
      <c r="D2909" s="7" t="inlineStr">
        <is>
          <t>Integrated Logistics Support</t>
        </is>
      </c>
      <c r="E2909" s="13" t="inlineStr">
        <is>
          <t>[SUB]</t>
        </is>
      </c>
      <c r="F2909" s="7" t="inlineStr">
        <is>
          <t>117 / Electromagnetic Aircraft Launch System (EMALS)</t>
        </is>
      </c>
      <c r="I2909" s="14" t="n">
        <v>4</v>
      </c>
      <c r="K2909" s="13" t="inlineStr">
        <is>
          <t>USN</t>
        </is>
      </c>
      <c r="L2909" s="7" t="inlineStr">
        <is>
          <t>Combatant Ships</t>
        </is>
      </c>
      <c r="M2909" s="7" t="inlineStr">
        <is>
          <t>Aircraft Carriers</t>
        </is>
      </c>
      <c r="N2909" s="7" t="inlineStr">
        <is>
          <t>CVN</t>
        </is>
      </c>
      <c r="O2909" s="15" t="n"/>
      <c r="P2909" s="16" t="n">
        <v>810</v>
      </c>
      <c r="Q2909" s="16" t="n">
        <v>586</v>
      </c>
      <c r="S2909" s="16" t="n">
        <v>598</v>
      </c>
      <c r="U2909" s="16" t="n">
        <v>598</v>
      </c>
      <c r="AC2909" s="23">
        <f>IF(OR(E2909="",E2909="[PARENT]"),"ADD",IF(E2909="[ALT_VIEW]","ALT",""))</f>
        <v/>
      </c>
      <c r="AD2909" s="21">
        <f>IF(Y2909&lt;&gt;"",Y2909,IF(U2909&lt;&gt;"",U2909,S2909))</f>
        <v/>
      </c>
      <c r="AE2909" s="21">
        <f>IF(AB2909&lt;&gt;"",AB2909,Z2909)</f>
        <v/>
      </c>
      <c r="AF2909" s="13" t="inlineStr">
        <is>
          <t>P-3a / LI 4219 / Support</t>
        </is>
      </c>
      <c r="AG2909" s="7" t="inlineStr">
        <is>
          <t>147</t>
        </is>
      </c>
      <c r="AH2909" s="7" t="inlineStr">
        <is>
          <t>4219</t>
        </is>
      </c>
      <c r="AI2909" s="7" t="inlineStr">
        <is>
          <t>Electromagnetic Aircraft Launch System (EMALS)</t>
        </is>
      </c>
      <c r="AJ2909" s="7" t="inlineStr">
        <is>
          <t>/ LI 4219 / Support</t>
        </is>
      </c>
    </row>
    <row r="2910" ht="10" customHeight="1">
      <c r="A2910" s="7" t="inlineStr">
        <is>
          <t>OPN_BA3</t>
        </is>
      </c>
      <c r="B2910" s="7" t="inlineStr">
        <is>
          <t>Procurement</t>
        </is>
      </c>
      <c r="D2910" s="7" t="inlineStr">
        <is>
          <t>Support Equipment</t>
        </is>
      </c>
      <c r="E2910" s="13" t="inlineStr">
        <is>
          <t>[SUB]</t>
        </is>
      </c>
      <c r="F2910" s="7" t="inlineStr">
        <is>
          <t>117 / Electromagnetic Aircraft Launch System (EMALS)</t>
        </is>
      </c>
      <c r="I2910" s="14" t="n">
        <v>4</v>
      </c>
      <c r="K2910" s="13" t="inlineStr">
        <is>
          <t>USN</t>
        </is>
      </c>
      <c r="L2910" s="7" t="inlineStr">
        <is>
          <t>Combatant Ships</t>
        </is>
      </c>
      <c r="M2910" s="7" t="inlineStr">
        <is>
          <t>Aircraft Carriers</t>
        </is>
      </c>
      <c r="N2910" s="7" t="inlineStr">
        <is>
          <t>CVN</t>
        </is>
      </c>
      <c r="O2910" s="15" t="n"/>
      <c r="P2910" s="16" t="n">
        <v>10458</v>
      </c>
      <c r="Q2910" s="16" t="n">
        <v>10712</v>
      </c>
      <c r="S2910" s="16" t="n">
        <v>13872</v>
      </c>
      <c r="U2910" s="16" t="n">
        <v>13872</v>
      </c>
      <c r="AC2910" s="23">
        <f>IF(OR(E2910="",E2910="[PARENT]"),"ADD",IF(E2910="[ALT_VIEW]","ALT",""))</f>
        <v/>
      </c>
      <c r="AD2910" s="21">
        <f>IF(Y2910&lt;&gt;"",Y2910,IF(U2910&lt;&gt;"",U2910,S2910))</f>
        <v/>
      </c>
      <c r="AE2910" s="21">
        <f>IF(AB2910&lt;&gt;"",AB2910,Z2910)</f>
        <v/>
      </c>
      <c r="AF2910" s="13" t="inlineStr">
        <is>
          <t>P-3a / LI 4219 / Support</t>
        </is>
      </c>
      <c r="AG2910" s="7" t="inlineStr">
        <is>
          <t>147</t>
        </is>
      </c>
      <c r="AH2910" s="7" t="inlineStr">
        <is>
          <t>4219</t>
        </is>
      </c>
      <c r="AI2910" s="7" t="inlineStr">
        <is>
          <t>Electromagnetic Aircraft Launch System (EMALS)</t>
        </is>
      </c>
      <c r="AJ2910" s="7" t="inlineStr">
        <is>
          <t>/ LI 4219 / Support</t>
        </is>
      </c>
    </row>
    <row r="2911" ht="10" customHeight="1">
      <c r="A2911" s="7" t="inlineStr">
        <is>
          <t>OPN_BA3</t>
        </is>
      </c>
      <c r="B2911" s="7" t="inlineStr">
        <is>
          <t>Procurement</t>
        </is>
      </c>
      <c r="D2911" s="7" t="inlineStr">
        <is>
          <t>Installation: T/R Fuse Detection - ECP 0025</t>
        </is>
      </c>
      <c r="E2911" s="13" t="inlineStr">
        <is>
          <t>[SUB]</t>
        </is>
      </c>
      <c r="F2911" s="7" t="inlineStr">
        <is>
          <t>117 / Electromagnetic Aircraft Launch System (EMALS)</t>
        </is>
      </c>
      <c r="I2911" s="14" t="n">
        <v>4</v>
      </c>
      <c r="K2911" s="13" t="inlineStr">
        <is>
          <t>USN</t>
        </is>
      </c>
      <c r="L2911" s="7" t="inlineStr">
        <is>
          <t>Combatant Ships</t>
        </is>
      </c>
      <c r="M2911" s="7" t="inlineStr">
        <is>
          <t>Aircraft Carriers</t>
        </is>
      </c>
      <c r="N2911" s="7" t="inlineStr">
        <is>
          <t>CVN</t>
        </is>
      </c>
      <c r="O2911" s="15" t="n"/>
      <c r="S2911" s="16" t="n">
        <v>341</v>
      </c>
      <c r="U2911" s="16" t="n">
        <v>341</v>
      </c>
      <c r="AC2911" s="23">
        <f>IF(OR(E2911="",E2911="[PARENT]"),"ADD",IF(E2911="[ALT_VIEW]","ALT",""))</f>
        <v/>
      </c>
      <c r="AD2911" s="21">
        <f>IF(Y2911&lt;&gt;"",Y2911,IF(U2911&lt;&gt;"",U2911,S2911))</f>
        <v/>
      </c>
      <c r="AE2911" s="21">
        <f>IF(AB2911&lt;&gt;"",AB2911,Z2911)</f>
        <v/>
      </c>
      <c r="AF2911" s="13" t="inlineStr">
        <is>
          <t>P-3a / LI 4219 / Installation</t>
        </is>
      </c>
      <c r="AG2911" s="7" t="inlineStr">
        <is>
          <t>147</t>
        </is>
      </c>
      <c r="AH2911" s="7" t="inlineStr">
        <is>
          <t>4219</t>
        </is>
      </c>
      <c r="AI2911" s="7" t="inlineStr">
        <is>
          <t>Electromagnetic Aircraft Launch System (EMALS)</t>
        </is>
      </c>
      <c r="AJ2911" s="7" t="inlineStr">
        <is>
          <t>/ LI 4219 / Installation</t>
        </is>
      </c>
    </row>
    <row r="2912" ht="10" customHeight="1">
      <c r="A2912" s="7" t="inlineStr">
        <is>
          <t>OPN_BA3</t>
        </is>
      </c>
      <c r="B2912" s="7" t="inlineStr">
        <is>
          <t>Procurement</t>
        </is>
      </c>
      <c r="D2912" s="7" t="inlineStr">
        <is>
          <t>Installation: Motor Controller - ECP 0015</t>
        </is>
      </c>
      <c r="E2912" s="13" t="inlineStr">
        <is>
          <t>[SUB]</t>
        </is>
      </c>
      <c r="F2912" s="7" t="inlineStr">
        <is>
          <t>117 / Electromagnetic Aircraft Launch System (EMALS)</t>
        </is>
      </c>
      <c r="I2912" s="14" t="n">
        <v>4</v>
      </c>
      <c r="K2912" s="13" t="inlineStr">
        <is>
          <t>USN</t>
        </is>
      </c>
      <c r="L2912" s="7" t="inlineStr">
        <is>
          <t>Combatant Ships</t>
        </is>
      </c>
      <c r="M2912" s="7" t="inlineStr">
        <is>
          <t>Aircraft Carriers</t>
        </is>
      </c>
      <c r="N2912" s="7" t="inlineStr">
        <is>
          <t>CVN</t>
        </is>
      </c>
      <c r="O2912" s="15" t="n"/>
      <c r="Q2912" s="16" t="n">
        <v>75</v>
      </c>
      <c r="AC2912" s="23">
        <f>IF(OR(E2912="",E2912="[PARENT]"),"ADD",IF(E2912="[ALT_VIEW]","ALT",""))</f>
        <v/>
      </c>
      <c r="AD2912" s="21">
        <f>IF(Y2912&lt;&gt;"",Y2912,IF(U2912&lt;&gt;"",U2912,S2912))</f>
        <v/>
      </c>
      <c r="AE2912" s="21">
        <f>IF(AB2912&lt;&gt;"",AB2912,Z2912)</f>
        <v/>
      </c>
      <c r="AF2912" s="13" t="inlineStr">
        <is>
          <t>P-3a / LI 4219 / Installation</t>
        </is>
      </c>
      <c r="AG2912" s="7" t="inlineStr">
        <is>
          <t>147</t>
        </is>
      </c>
      <c r="AH2912" s="7" t="inlineStr">
        <is>
          <t>4219</t>
        </is>
      </c>
      <c r="AI2912" s="7" t="inlineStr">
        <is>
          <t>Electromagnetic Aircraft Launch System (EMALS)</t>
        </is>
      </c>
      <c r="AJ2912" s="7" t="inlineStr">
        <is>
          <t>/ LI 4219 / Installation</t>
        </is>
      </c>
    </row>
    <row r="2913" ht="10" customHeight="1">
      <c r="A2913" s="7" t="inlineStr">
        <is>
          <t>OPN_BA3</t>
        </is>
      </c>
      <c r="B2913" s="7" t="inlineStr">
        <is>
          <t>Procurement</t>
        </is>
      </c>
      <c r="C2913" s="7" t="inlineStr">
        <is>
          <t>118</t>
        </is>
      </c>
      <c r="D2913" s="7" t="inlineStr">
        <is>
          <t>Meteorological Equipment</t>
        </is>
      </c>
      <c r="E2913" s="13" t="inlineStr">
        <is>
          <t>[PARENT]</t>
        </is>
      </c>
      <c r="I2913" s="14" t="n">
        <v>4</v>
      </c>
      <c r="K2913" s="15" t="n"/>
      <c r="O2913" s="15" t="n"/>
      <c r="P2913" s="16" t="n">
        <v>19690</v>
      </c>
      <c r="Q2913" s="16" t="n">
        <v>17982</v>
      </c>
      <c r="S2913" s="16" t="n">
        <v>13806</v>
      </c>
      <c r="U2913" s="16" t="n">
        <v>13806</v>
      </c>
      <c r="X2913" s="16" t="n">
        <v>13806</v>
      </c>
      <c r="Y2913" s="16" t="n">
        <v>13806</v>
      </c>
      <c r="Z2913" s="16" t="n">
        <v>7477</v>
      </c>
      <c r="AB2913" s="16" t="n">
        <v>7477</v>
      </c>
      <c r="AC2913" s="23">
        <f>IF(OR(E2913="",E2913="[PARENT]"),"ADD",IF(E2913="[ALT_VIEW]","ALT",""))</f>
        <v/>
      </c>
      <c r="AD2913" s="21">
        <f>IF(Y2913&lt;&gt;"",Y2913,IF(U2913&lt;&gt;"",U2913,S2913))</f>
        <v/>
      </c>
      <c r="AE2913" s="21">
        <f>IF(AB2913&lt;&gt;"",AB2913,Z2913)</f>
        <v/>
      </c>
      <c r="AF2913" s="13" t="inlineStr">
        <is>
          <t>P-40a / BA03 / BSA03 Aircraft Support Equipment / LI 4226</t>
        </is>
      </c>
      <c r="AG2913" s="7" t="inlineStr">
        <is>
          <t>153</t>
        </is>
      </c>
      <c r="AH2913" s="7" t="inlineStr">
        <is>
          <t>4226</t>
        </is>
      </c>
    </row>
    <row r="2914" ht="10" customHeight="1">
      <c r="A2914" s="7" t="inlineStr">
        <is>
          <t>OPN_BA3</t>
        </is>
      </c>
      <c r="B2914" s="7" t="inlineStr">
        <is>
          <t>Procurement</t>
        </is>
      </c>
      <c r="D2914" s="7" t="inlineStr">
        <is>
          <t>SP051 ESRP AFLOAT Modernized System (Satellite Receiver)</t>
        </is>
      </c>
      <c r="E2914" s="13" t="inlineStr">
        <is>
          <t>[SUB]</t>
        </is>
      </c>
      <c r="F2914" s="7" t="inlineStr">
        <is>
          <t>118 / Meteorological Equipment</t>
        </is>
      </c>
      <c r="I2914" s="14" t="n">
        <v>4</v>
      </c>
      <c r="K2914" s="15" t="n"/>
      <c r="O2914" s="15" t="n"/>
      <c r="P2914" s="16" t="n">
        <v>5287</v>
      </c>
      <c r="Q2914" s="16" t="n">
        <v>4314</v>
      </c>
      <c r="S2914" s="16" t="n">
        <v>3301</v>
      </c>
      <c r="U2914" s="16" t="n">
        <v>3301</v>
      </c>
      <c r="AC2914" s="23">
        <f>IF(OR(E2914="",E2914="[PARENT]"),"ADD",IF(E2914="[ALT_VIEW]","ALT",""))</f>
        <v/>
      </c>
      <c r="AD2914" s="21">
        <f>IF(Y2914&lt;&gt;"",Y2914,IF(U2914&lt;&gt;"",U2914,S2914))</f>
        <v/>
      </c>
      <c r="AE2914" s="21">
        <f>IF(AB2914&lt;&gt;"",AB2914,Z2914)</f>
        <v/>
      </c>
      <c r="AF2914" s="13" t="inlineStr">
        <is>
          <t>P-40a / LI 4226 / SP051</t>
        </is>
      </c>
      <c r="AG2914" s="7" t="inlineStr">
        <is>
          <t>155</t>
        </is>
      </c>
      <c r="AH2914" s="7" t="inlineStr">
        <is>
          <t>4226</t>
        </is>
      </c>
      <c r="AI2914" s="7" t="inlineStr">
        <is>
          <t>SP051 Satellite Receiver Upgrades (Space)</t>
        </is>
      </c>
      <c r="AJ2914" s="7" t="inlineStr">
        <is>
          <t>SP051</t>
        </is>
      </c>
    </row>
    <row r="2915" ht="10" customHeight="1">
      <c r="A2915" s="7" t="inlineStr">
        <is>
          <t>OPN_BA3</t>
        </is>
      </c>
      <c r="B2915" s="7" t="inlineStr">
        <is>
          <t>Procurement</t>
        </is>
      </c>
      <c r="D2915" s="7" t="inlineStr">
        <is>
          <t>SP550 ASOS Upgrades</t>
        </is>
      </c>
      <c r="E2915" s="13" t="inlineStr">
        <is>
          <t>[SUB]</t>
        </is>
      </c>
      <c r="F2915" s="7" t="inlineStr">
        <is>
          <t>118 / Meteorological Equipment</t>
        </is>
      </c>
      <c r="I2915" s="14" t="n">
        <v>6</v>
      </c>
      <c r="K2915" s="15" t="n"/>
      <c r="O2915" s="15" t="n"/>
      <c r="P2915" s="16" t="n">
        <v>2943</v>
      </c>
      <c r="Q2915" s="16" t="n">
        <v>3118</v>
      </c>
      <c r="S2915" s="16" t="n">
        <v>2815</v>
      </c>
      <c r="U2915" s="16" t="n">
        <v>2815</v>
      </c>
      <c r="AC2915" s="23">
        <f>IF(OR(E2915="",E2915="[PARENT]"),"ADD",IF(E2915="[ALT_VIEW]","ALT",""))</f>
        <v/>
      </c>
      <c r="AD2915" s="21">
        <f>IF(Y2915&lt;&gt;"",Y2915,IF(U2915&lt;&gt;"",U2915,S2915))</f>
        <v/>
      </c>
      <c r="AE2915" s="21">
        <f>IF(AB2915&lt;&gt;"",AB2915,Z2915)</f>
        <v/>
      </c>
      <c r="AF2915" s="13" t="inlineStr">
        <is>
          <t>P-40a / LI 4226 / SP550</t>
        </is>
      </c>
      <c r="AG2915" s="7" t="inlineStr">
        <is>
          <t>155</t>
        </is>
      </c>
      <c r="AH2915" s="7" t="inlineStr">
        <is>
          <t>4226</t>
        </is>
      </c>
      <c r="AI2915" s="7" t="inlineStr">
        <is>
          <t>SP550 METOC SASC Upgrades</t>
        </is>
      </c>
      <c r="AJ2915" s="7" t="inlineStr">
        <is>
          <t>SP550</t>
        </is>
      </c>
    </row>
    <row r="2916" ht="10" customHeight="1">
      <c r="A2916" s="7" t="inlineStr">
        <is>
          <t>OPN_BA3</t>
        </is>
      </c>
      <c r="B2916" s="7" t="inlineStr">
        <is>
          <t>Procurement</t>
        </is>
      </c>
      <c r="D2916" s="7" t="inlineStr">
        <is>
          <t>SP550 Supplemental Weather Radar (SWR) Upgrades</t>
        </is>
      </c>
      <c r="E2916" s="13" t="inlineStr">
        <is>
          <t>[SUB]</t>
        </is>
      </c>
      <c r="F2916" s="7" t="inlineStr">
        <is>
          <t>118 / Meteorological Equipment</t>
        </is>
      </c>
      <c r="I2916" s="14" t="n">
        <v>6</v>
      </c>
      <c r="K2916" s="15" t="n"/>
      <c r="O2916" s="15" t="n"/>
      <c r="P2916" s="16" t="n">
        <v>1586</v>
      </c>
      <c r="Q2916" s="16" t="n">
        <v>1415</v>
      </c>
      <c r="S2916" s="16" t="n">
        <v>1475</v>
      </c>
      <c r="U2916" s="16" t="n">
        <v>1475</v>
      </c>
      <c r="AC2916" s="23">
        <f>IF(OR(E2916="",E2916="[PARENT]"),"ADD",IF(E2916="[ALT_VIEW]","ALT",""))</f>
        <v/>
      </c>
      <c r="AD2916" s="21">
        <f>IF(Y2916&lt;&gt;"",Y2916,IF(U2916&lt;&gt;"",U2916,S2916))</f>
        <v/>
      </c>
      <c r="AE2916" s="21">
        <f>IF(AB2916&lt;&gt;"",AB2916,Z2916)</f>
        <v/>
      </c>
      <c r="AF2916" s="13" t="inlineStr">
        <is>
          <t>P-40a / LI 4226 / SP550</t>
        </is>
      </c>
      <c r="AG2916" s="7" t="inlineStr">
        <is>
          <t>155</t>
        </is>
      </c>
      <c r="AH2916" s="7" t="inlineStr">
        <is>
          <t>4226</t>
        </is>
      </c>
      <c r="AI2916" s="7" t="inlineStr">
        <is>
          <t>SP550 METOC SASC Upgrades</t>
        </is>
      </c>
      <c r="AJ2916" s="7" t="inlineStr">
        <is>
          <t>SP550</t>
        </is>
      </c>
    </row>
    <row r="2917" ht="10" customHeight="1">
      <c r="A2917" s="7" t="inlineStr">
        <is>
          <t>OPN_BA3</t>
        </is>
      </c>
      <c r="B2917" s="7" t="inlineStr">
        <is>
          <t>Procurement</t>
        </is>
      </c>
      <c r="D2917" s="7" t="inlineStr">
        <is>
          <t>SP600 LBS-Gliders (LBS-G)</t>
        </is>
      </c>
      <c r="E2917" s="13" t="inlineStr">
        <is>
          <t>[SUB]</t>
        </is>
      </c>
      <c r="F2917" s="7" t="inlineStr">
        <is>
          <t>118 / Meteorological Equipment</t>
        </is>
      </c>
      <c r="I2917" s="14" t="n">
        <v>6</v>
      </c>
      <c r="K2917" s="13" t="inlineStr">
        <is>
          <t>USN</t>
        </is>
      </c>
      <c r="L2917" s="7" t="inlineStr">
        <is>
          <t>Unmanned Maritime Platforms</t>
        </is>
      </c>
      <c r="M2917" s="7" t="inlineStr">
        <is>
          <t>Unmanned Undersea Vehicles</t>
        </is>
      </c>
      <c r="O2917" s="15" t="n"/>
      <c r="P2917" s="16" t="n">
        <v>3616</v>
      </c>
      <c r="Q2917" s="16" t="n">
        <v>3688</v>
      </c>
      <c r="S2917" s="16" t="n">
        <v>3010</v>
      </c>
      <c r="U2917" s="16" t="n">
        <v>3010</v>
      </c>
      <c r="AC2917" s="23">
        <f>IF(OR(E2917="",E2917="[PARENT]"),"ADD",IF(E2917="[ALT_VIEW]","ALT",""))</f>
        <v/>
      </c>
      <c r="AD2917" s="21">
        <f>IF(Y2917&lt;&gt;"",Y2917,IF(U2917&lt;&gt;"",U2917,S2917))</f>
        <v/>
      </c>
      <c r="AE2917" s="21">
        <f>IF(AB2917&lt;&gt;"",AB2917,Z2917)</f>
        <v/>
      </c>
      <c r="AF2917" s="13" t="inlineStr">
        <is>
          <t>P-40a / LI 4226 / SP600</t>
        </is>
      </c>
      <c r="AG2917" s="7" t="inlineStr">
        <is>
          <t>155</t>
        </is>
      </c>
      <c r="AH2917" s="7" t="inlineStr">
        <is>
          <t>4226</t>
        </is>
      </c>
      <c r="AI2917" s="7" t="inlineStr">
        <is>
          <t>SP600 Littoral Battlespace Sensing - Unmanned Undersea Vehicles (LBS-UUV)</t>
        </is>
      </c>
      <c r="AJ2917" s="7" t="inlineStr">
        <is>
          <t>SP600</t>
        </is>
      </c>
    </row>
    <row r="2918" ht="10" customHeight="1">
      <c r="A2918" s="7" t="inlineStr">
        <is>
          <t>OPN_BA3</t>
        </is>
      </c>
      <c r="B2918" s="7" t="inlineStr">
        <is>
          <t>Procurement</t>
        </is>
      </c>
      <c r="D2918" s="7" t="inlineStr">
        <is>
          <t>SP600 LBS-UUV Upgrades/Backfits</t>
        </is>
      </c>
      <c r="E2918" s="13" t="inlineStr">
        <is>
          <t>[SUB]</t>
        </is>
      </c>
      <c r="F2918" s="7" t="inlineStr">
        <is>
          <t>118 / Meteorological Equipment</t>
        </is>
      </c>
      <c r="I2918" s="14" t="n">
        <v>6</v>
      </c>
      <c r="K2918" s="13" t="inlineStr">
        <is>
          <t>USN</t>
        </is>
      </c>
      <c r="L2918" s="7" t="inlineStr">
        <is>
          <t>Unmanned Maritime Platforms</t>
        </is>
      </c>
      <c r="M2918" s="7" t="inlineStr">
        <is>
          <t>Unmanned Undersea Vehicles</t>
        </is>
      </c>
      <c r="O2918" s="15" t="n"/>
      <c r="P2918" s="16" t="n">
        <v>831</v>
      </c>
      <c r="Q2918" s="16" t="n">
        <v>802</v>
      </c>
      <c r="S2918" s="16" t="n">
        <v>741</v>
      </c>
      <c r="U2918" s="16" t="n">
        <v>741</v>
      </c>
      <c r="AC2918" s="23">
        <f>IF(OR(E2918="",E2918="[PARENT]"),"ADD",IF(E2918="[ALT_VIEW]","ALT",""))</f>
        <v/>
      </c>
      <c r="AD2918" s="21">
        <f>IF(Y2918&lt;&gt;"",Y2918,IF(U2918&lt;&gt;"",U2918,S2918))</f>
        <v/>
      </c>
      <c r="AE2918" s="21">
        <f>IF(AB2918&lt;&gt;"",AB2918,Z2918)</f>
        <v/>
      </c>
      <c r="AF2918" s="13" t="inlineStr">
        <is>
          <t>P-40a / LI 4226 / SP600</t>
        </is>
      </c>
      <c r="AG2918" s="7" t="inlineStr">
        <is>
          <t>155</t>
        </is>
      </c>
      <c r="AH2918" s="7" t="inlineStr">
        <is>
          <t>4226</t>
        </is>
      </c>
      <c r="AI2918" s="7" t="inlineStr">
        <is>
          <t>SP600 Littoral Battlespace Sensing - Unmanned Undersea Vehicles (LBS-UUV)</t>
        </is>
      </c>
      <c r="AJ2918" s="7" t="inlineStr">
        <is>
          <t>SP600</t>
        </is>
      </c>
    </row>
    <row r="2919" ht="10" customHeight="1">
      <c r="A2919" s="7" t="inlineStr">
        <is>
          <t>OPN_BA3</t>
        </is>
      </c>
      <c r="B2919" s="7" t="inlineStr">
        <is>
          <t>Procurement</t>
        </is>
      </c>
      <c r="D2919" s="7" t="inlineStr">
        <is>
          <t>SP660 NIMS Sensors</t>
        </is>
      </c>
      <c r="E2919" s="13" t="inlineStr">
        <is>
          <t>[SUB]</t>
        </is>
      </c>
      <c r="F2919" s="7" t="inlineStr">
        <is>
          <t>118 / Meteorological Equipment</t>
        </is>
      </c>
      <c r="I2919" s="14" t="n">
        <v>6</v>
      </c>
      <c r="K2919" s="15" t="n"/>
      <c r="O2919" s="15" t="n"/>
      <c r="Q2919" s="16" t="n">
        <v>965</v>
      </c>
      <c r="S2919" s="16" t="n">
        <v>310</v>
      </c>
      <c r="U2919" s="16" t="n">
        <v>310</v>
      </c>
      <c r="AC2919" s="23">
        <f>IF(OR(E2919="",E2919="[PARENT]"),"ADD",IF(E2919="[ALT_VIEW]","ALT",""))</f>
        <v/>
      </c>
      <c r="AD2919" s="21">
        <f>IF(Y2919&lt;&gt;"",Y2919,IF(U2919&lt;&gt;"",U2919,S2919))</f>
        <v/>
      </c>
      <c r="AE2919" s="21">
        <f>IF(AB2919&lt;&gt;"",AB2919,Z2919)</f>
        <v/>
      </c>
      <c r="AF2919" s="13" t="inlineStr">
        <is>
          <t>P-40a / LI 4226 / SP660</t>
        </is>
      </c>
      <c r="AG2919" s="7" t="inlineStr">
        <is>
          <t>156</t>
        </is>
      </c>
      <c r="AH2919" s="7" t="inlineStr">
        <is>
          <t>4226</t>
        </is>
      </c>
      <c r="AI2919" s="7" t="inlineStr">
        <is>
          <t>SP660 Tactical METOC Applications</t>
        </is>
      </c>
      <c r="AJ2919" s="7" t="inlineStr">
        <is>
          <t>SP660</t>
        </is>
      </c>
    </row>
    <row r="2920" ht="10" customHeight="1">
      <c r="A2920" s="7" t="inlineStr">
        <is>
          <t>OPN_BA3</t>
        </is>
      </c>
      <c r="B2920" s="7" t="inlineStr">
        <is>
          <t>Procurement</t>
        </is>
      </c>
      <c r="D2920" s="7" t="inlineStr">
        <is>
          <t>SP220 HWDDC EASR (SW v4.0)</t>
        </is>
      </c>
      <c r="E2920" s="13" t="inlineStr">
        <is>
          <t>[SUB]</t>
        </is>
      </c>
      <c r="F2920" s="7" t="inlineStr">
        <is>
          <t>118 / Meteorological Equipment</t>
        </is>
      </c>
      <c r="I2920" s="14" t="n">
        <v>4</v>
      </c>
      <c r="K2920" s="15" t="n"/>
      <c r="O2920" s="15" t="n"/>
      <c r="P2920" s="16" t="n">
        <v>1043</v>
      </c>
      <c r="Q2920" s="16" t="n">
        <v>702</v>
      </c>
      <c r="S2920" s="16" t="n">
        <v>716</v>
      </c>
      <c r="U2920" s="16" t="n">
        <v>716</v>
      </c>
      <c r="AC2920" s="23">
        <f>IF(OR(E2920="",E2920="[PARENT]"),"ADD",IF(E2920="[ALT_VIEW]","ALT",""))</f>
        <v/>
      </c>
      <c r="AD2920" s="21">
        <f>IF(Y2920&lt;&gt;"",Y2920,IF(U2920&lt;&gt;"",U2920,S2920))</f>
        <v/>
      </c>
      <c r="AE2920" s="21">
        <f>IF(AB2920&lt;&gt;"",AB2920,Z2920)</f>
        <v/>
      </c>
      <c r="AF2920" s="13" t="inlineStr">
        <is>
          <t>P-40a / LI 4226 / SP220</t>
        </is>
      </c>
      <c r="AG2920" s="7" t="inlineStr">
        <is>
          <t>156</t>
        </is>
      </c>
      <c r="AH2920" s="7" t="inlineStr">
        <is>
          <t>4226</t>
        </is>
      </c>
      <c r="AI2920" s="7" t="inlineStr">
        <is>
          <t>SP220 Hazardous Weather Detection and Display Capability (HWDDC)</t>
        </is>
      </c>
      <c r="AJ2920" s="7" t="inlineStr">
        <is>
          <t>SP220</t>
        </is>
      </c>
    </row>
    <row r="2921" ht="10" customHeight="1">
      <c r="A2921" s="7" t="inlineStr">
        <is>
          <t>OPN_BA3</t>
        </is>
      </c>
      <c r="B2921" s="7" t="inlineStr">
        <is>
          <t>Procurement</t>
        </is>
      </c>
      <c r="D2921" s="7" t="inlineStr">
        <is>
          <t>SP555 Satellite Receiver Upgrades (Prod Support)</t>
        </is>
      </c>
      <c r="E2921" s="13" t="inlineStr">
        <is>
          <t>[SUB]</t>
        </is>
      </c>
      <c r="F2921" s="7" t="inlineStr">
        <is>
          <t>118 / Meteorological Equipment</t>
        </is>
      </c>
      <c r="I2921" s="14" t="n">
        <v>4</v>
      </c>
      <c r="K2921" s="15" t="n"/>
      <c r="O2921" s="15" t="n"/>
      <c r="P2921" s="16" t="n">
        <v>329</v>
      </c>
      <c r="Q2921" s="16" t="n">
        <v>259</v>
      </c>
      <c r="S2921" s="16" t="n">
        <v>217</v>
      </c>
      <c r="U2921" s="16" t="n">
        <v>217</v>
      </c>
      <c r="AC2921" s="23">
        <f>IF(OR(E2921="",E2921="[PARENT]"),"ADD",IF(E2921="[ALT_VIEW]","ALT",""))</f>
        <v/>
      </c>
      <c r="AD2921" s="21">
        <f>IF(Y2921&lt;&gt;"",Y2921,IF(U2921&lt;&gt;"",U2921,S2921))</f>
        <v/>
      </c>
      <c r="AE2921" s="21">
        <f>IF(AB2921&lt;&gt;"",AB2921,Z2921)</f>
        <v/>
      </c>
      <c r="AF2921" s="13" t="inlineStr">
        <is>
          <t>P-40a / LI 4226 / SP555</t>
        </is>
      </c>
      <c r="AG2921" s="7" t="inlineStr">
        <is>
          <t>157</t>
        </is>
      </c>
      <c r="AH2921" s="7" t="inlineStr">
        <is>
          <t>4226</t>
        </is>
      </c>
      <c r="AI2921" s="7" t="inlineStr">
        <is>
          <t>SP555 Production Support</t>
        </is>
      </c>
      <c r="AJ2921" s="7" t="inlineStr">
        <is>
          <t>SP555</t>
        </is>
      </c>
    </row>
    <row r="2922" ht="10" customHeight="1">
      <c r="A2922" s="7" t="inlineStr">
        <is>
          <t>OPN_BA3</t>
        </is>
      </c>
      <c r="B2922" s="7" t="inlineStr">
        <is>
          <t>Procurement</t>
        </is>
      </c>
      <c r="D2922" s="7" t="inlineStr">
        <is>
          <t>SP555 LBS-UUV (Prod Support)</t>
        </is>
      </c>
      <c r="E2922" s="13" t="inlineStr">
        <is>
          <t>[SUB]</t>
        </is>
      </c>
      <c r="F2922" s="7" t="inlineStr">
        <is>
          <t>118 / Meteorological Equipment</t>
        </is>
      </c>
      <c r="I2922" s="14" t="n">
        <v>6</v>
      </c>
      <c r="K2922" s="13" t="inlineStr">
        <is>
          <t>USN</t>
        </is>
      </c>
      <c r="L2922" s="7" t="inlineStr">
        <is>
          <t>Unmanned Maritime Platforms</t>
        </is>
      </c>
      <c r="M2922" s="7" t="inlineStr">
        <is>
          <t>Unmanned Undersea Vehicles</t>
        </is>
      </c>
      <c r="O2922" s="15" t="n"/>
      <c r="P2922" s="16" t="n">
        <v>263</v>
      </c>
      <c r="Q2922" s="16" t="n">
        <v>256</v>
      </c>
      <c r="S2922" s="16" t="n">
        <v>167</v>
      </c>
      <c r="U2922" s="16" t="n">
        <v>167</v>
      </c>
      <c r="AC2922" s="23">
        <f>IF(OR(E2922="",E2922="[PARENT]"),"ADD",IF(E2922="[ALT_VIEW]","ALT",""))</f>
        <v/>
      </c>
      <c r="AD2922" s="21">
        <f>IF(Y2922&lt;&gt;"",Y2922,IF(U2922&lt;&gt;"",U2922,S2922))</f>
        <v/>
      </c>
      <c r="AE2922" s="21">
        <f>IF(AB2922&lt;&gt;"",AB2922,Z2922)</f>
        <v/>
      </c>
      <c r="AF2922" s="13" t="inlineStr">
        <is>
          <t>P-40a / LI 4226 / SP555</t>
        </is>
      </c>
      <c r="AG2922" s="7" t="inlineStr">
        <is>
          <t>157</t>
        </is>
      </c>
      <c r="AH2922" s="7" t="inlineStr">
        <is>
          <t>4226</t>
        </is>
      </c>
      <c r="AI2922" s="7" t="inlineStr">
        <is>
          <t>SP555 Production Support</t>
        </is>
      </c>
      <c r="AJ2922" s="7" t="inlineStr">
        <is>
          <t>SP555</t>
        </is>
      </c>
    </row>
    <row r="2923" ht="10" customHeight="1">
      <c r="A2923" s="7" t="inlineStr">
        <is>
          <t>OPN_BA3</t>
        </is>
      </c>
      <c r="B2923" s="7" t="inlineStr">
        <is>
          <t>Procurement</t>
        </is>
      </c>
      <c r="D2923" s="7" t="inlineStr">
        <is>
          <t>SP777 Satellite Receiver Upgrades (Installation)</t>
        </is>
      </c>
      <c r="E2923" s="13" t="inlineStr">
        <is>
          <t>[SUB]</t>
        </is>
      </c>
      <c r="F2923" s="7" t="inlineStr">
        <is>
          <t>118 / Meteorological Equipment</t>
        </is>
      </c>
      <c r="I2923" s="14" t="n">
        <v>4</v>
      </c>
      <c r="K2923" s="15" t="n"/>
      <c r="O2923" s="15" t="n"/>
      <c r="P2923" s="16" t="n">
        <v>2305</v>
      </c>
      <c r="Q2923" s="16" t="n">
        <v>2148</v>
      </c>
      <c r="S2923" s="16" t="n">
        <v>725</v>
      </c>
      <c r="U2923" s="16" t="n">
        <v>725</v>
      </c>
      <c r="AC2923" s="23">
        <f>IF(OR(E2923="",E2923="[PARENT]"),"ADD",IF(E2923="[ALT_VIEW]","ALT",""))</f>
        <v/>
      </c>
      <c r="AD2923" s="21">
        <f>IF(Y2923&lt;&gt;"",Y2923,IF(U2923&lt;&gt;"",U2923,S2923))</f>
        <v/>
      </c>
      <c r="AE2923" s="21">
        <f>IF(AB2923&lt;&gt;"",AB2923,Z2923)</f>
        <v/>
      </c>
      <c r="AF2923" s="13" t="inlineStr">
        <is>
          <t>P-40a / LI 4226 / SP777</t>
        </is>
      </c>
      <c r="AG2923" s="7" t="inlineStr">
        <is>
          <t>157</t>
        </is>
      </c>
      <c r="AH2923" s="7" t="inlineStr">
        <is>
          <t>4226</t>
        </is>
      </c>
      <c r="AI2923" s="7" t="inlineStr">
        <is>
          <t>SP777 FMP</t>
        </is>
      </c>
      <c r="AJ2923" s="7" t="inlineStr">
        <is>
          <t>SP777</t>
        </is>
      </c>
    </row>
    <row r="2924" ht="10" customHeight="1">
      <c r="A2924" s="7" t="inlineStr">
        <is>
          <t>OPN_BA3</t>
        </is>
      </c>
      <c r="B2924" s="7" t="inlineStr">
        <is>
          <t>Procurement</t>
        </is>
      </c>
      <c r="D2924" s="7" t="inlineStr">
        <is>
          <t>SP777 HWDDC (Installation)</t>
        </is>
      </c>
      <c r="E2924" s="13" t="inlineStr">
        <is>
          <t>[SUB]</t>
        </is>
      </c>
      <c r="F2924" s="7" t="inlineStr">
        <is>
          <t>118 / Meteorological Equipment</t>
        </is>
      </c>
      <c r="I2924" s="14" t="n">
        <v>4</v>
      </c>
      <c r="K2924" s="15" t="n"/>
      <c r="O2924" s="15" t="n"/>
      <c r="P2924" s="16" t="n">
        <v>213</v>
      </c>
      <c r="Q2924" s="16" t="n">
        <v>154</v>
      </c>
      <c r="S2924" s="16" t="n">
        <v>165</v>
      </c>
      <c r="U2924" s="16" t="n">
        <v>165</v>
      </c>
      <c r="AC2924" s="23">
        <f>IF(OR(E2924="",E2924="[PARENT]"),"ADD",IF(E2924="[ALT_VIEW]","ALT",""))</f>
        <v/>
      </c>
      <c r="AD2924" s="21">
        <f>IF(Y2924&lt;&gt;"",Y2924,IF(U2924&lt;&gt;"",U2924,S2924))</f>
        <v/>
      </c>
      <c r="AE2924" s="21">
        <f>IF(AB2924&lt;&gt;"",AB2924,Z2924)</f>
        <v/>
      </c>
      <c r="AF2924" s="13" t="inlineStr">
        <is>
          <t>P-40a / LI 4226 / SP777</t>
        </is>
      </c>
      <c r="AG2924" s="7" t="inlineStr">
        <is>
          <t>157</t>
        </is>
      </c>
      <c r="AH2924" s="7" t="inlineStr">
        <is>
          <t>4226</t>
        </is>
      </c>
      <c r="AI2924" s="7" t="inlineStr">
        <is>
          <t>SP777 FMP</t>
        </is>
      </c>
      <c r="AJ2924" s="7" t="inlineStr">
        <is>
          <t>SP777</t>
        </is>
      </c>
    </row>
    <row r="2925" ht="10" customHeight="1">
      <c r="A2925" s="7" t="inlineStr">
        <is>
          <t>OPN_BA3</t>
        </is>
      </c>
      <c r="B2925" s="7" t="inlineStr">
        <is>
          <t>Procurement</t>
        </is>
      </c>
      <c r="D2925" s="7" t="inlineStr">
        <is>
          <t>DSA HWDDC</t>
        </is>
      </c>
      <c r="E2925" s="13" t="inlineStr">
        <is>
          <t>[SUB]</t>
        </is>
      </c>
      <c r="F2925" s="7" t="inlineStr">
        <is>
          <t>118 / Meteorological Equipment</t>
        </is>
      </c>
      <c r="I2925" s="14" t="n">
        <v>4</v>
      </c>
      <c r="K2925" s="15" t="n"/>
      <c r="O2925" s="15" t="n"/>
      <c r="P2925" s="16" t="n">
        <v>234</v>
      </c>
      <c r="Q2925" s="16" t="n">
        <v>161</v>
      </c>
      <c r="S2925" s="16" t="n">
        <v>164</v>
      </c>
      <c r="U2925" s="16" t="n">
        <v>164</v>
      </c>
      <c r="AC2925" s="23">
        <f>IF(OR(E2925="",E2925="[PARENT]"),"ADD",IF(E2925="[ALT_VIEW]","ALT",""))</f>
        <v/>
      </c>
      <c r="AD2925" s="21">
        <f>IF(Y2925&lt;&gt;"",Y2925,IF(U2925&lt;&gt;"",U2925,S2925))</f>
        <v/>
      </c>
      <c r="AE2925" s="21">
        <f>IF(AB2925&lt;&gt;"",AB2925,Z2925)</f>
        <v/>
      </c>
      <c r="AF2925" s="13" t="inlineStr">
        <is>
          <t>P-40a / LI 4226 / DSA</t>
        </is>
      </c>
      <c r="AG2925" s="7" t="inlineStr">
        <is>
          <t>157</t>
        </is>
      </c>
      <c r="AH2925" s="7" t="inlineStr">
        <is>
          <t>4226</t>
        </is>
      </c>
    </row>
    <row r="2926" ht="10" customHeight="1">
      <c r="A2926" s="7" t="inlineStr">
        <is>
          <t>OPN_BA3</t>
        </is>
      </c>
      <c r="B2926" s="7" t="inlineStr">
        <is>
          <t>Procurement</t>
        </is>
      </c>
      <c r="C2926" s="7" t="inlineStr">
        <is>
          <t>119</t>
        </is>
      </c>
      <c r="D2926" s="7" t="inlineStr">
        <is>
          <t>Airborne MCM</t>
        </is>
      </c>
      <c r="E2926" s="13" t="inlineStr">
        <is>
          <t>[PARENT]</t>
        </is>
      </c>
      <c r="I2926" s="14" t="n">
        <v>4</v>
      </c>
      <c r="K2926" s="13" t="inlineStr">
        <is>
          <t>USN</t>
        </is>
      </c>
      <c r="L2926" s="7" t="inlineStr">
        <is>
          <t>Combatant Ships</t>
        </is>
      </c>
      <c r="M2926" s="7" t="inlineStr">
        <is>
          <t>Surface Combatants</t>
        </is>
      </c>
      <c r="N2926" s="7" t="inlineStr">
        <is>
          <t>LCS</t>
        </is>
      </c>
      <c r="O2926" s="15" t="n"/>
      <c r="P2926" s="16" t="n">
        <v>8444</v>
      </c>
      <c r="Q2926" s="16" t="n">
        <v>10643</v>
      </c>
      <c r="S2926" s="16" t="n">
        <v>9643</v>
      </c>
      <c r="U2926" s="16" t="n">
        <v>9643</v>
      </c>
      <c r="X2926" s="16" t="n">
        <v>9643</v>
      </c>
      <c r="Y2926" s="16" t="n">
        <v>9643</v>
      </c>
      <c r="Z2926" s="16" t="n">
        <v>9507</v>
      </c>
      <c r="AB2926" s="16" t="n">
        <v>9507</v>
      </c>
      <c r="AC2926" s="23">
        <f>IF(OR(E2926="",E2926="[PARENT]"),"ADD",IF(E2926="[ALT_VIEW]","ALT",""))</f>
        <v/>
      </c>
      <c r="AD2926" s="21">
        <f>IF(Y2926&lt;&gt;"",Y2926,IF(U2926&lt;&gt;"",U2926,S2926))</f>
        <v/>
      </c>
      <c r="AE2926" s="21">
        <f>IF(AB2926&lt;&gt;"",AB2926,Z2926)</f>
        <v/>
      </c>
      <c r="AF2926" s="13" t="inlineStr">
        <is>
          <t>P-40 / BA03 / BSA03 Aircraft Support Equipment / LI 4248</t>
        </is>
      </c>
      <c r="AG2926" s="7" t="inlineStr">
        <is>
          <t>161</t>
        </is>
      </c>
      <c r="AH2926" s="7" t="inlineStr">
        <is>
          <t>4248</t>
        </is>
      </c>
    </row>
    <row r="2927" ht="10" customHeight="1">
      <c r="A2927" s="7" t="inlineStr">
        <is>
          <t>OPN_BA3</t>
        </is>
      </c>
      <c r="B2927" s="7" t="inlineStr">
        <is>
          <t>Procurement</t>
        </is>
      </c>
      <c r="D2927" s="7" t="inlineStr">
        <is>
          <t>S0020 - MODIFICATION</t>
        </is>
      </c>
      <c r="E2927" s="13" t="inlineStr">
        <is>
          <t>[SUB]</t>
        </is>
      </c>
      <c r="F2927" s="7" t="inlineStr">
        <is>
          <t>119 / Airborne MCM</t>
        </is>
      </c>
      <c r="I2927" s="14" t="n">
        <v>4</v>
      </c>
      <c r="K2927" s="15" t="n"/>
      <c r="O2927" s="15" t="n"/>
      <c r="P2927" s="16" t="n">
        <v>7643</v>
      </c>
      <c r="Q2927" s="16" t="n">
        <v>9903</v>
      </c>
      <c r="S2927" s="16" t="n">
        <v>6882</v>
      </c>
      <c r="U2927" s="16" t="n">
        <v>6882</v>
      </c>
      <c r="AC2927" s="23">
        <f>IF(OR(E2927="",E2927="[PARENT]"),"ADD",IF(E2927="[ALT_VIEW]","ALT",""))</f>
        <v/>
      </c>
      <c r="AD2927" s="21">
        <f>IF(Y2927&lt;&gt;"",Y2927,IF(U2927&lt;&gt;"",U2927,S2927))</f>
        <v/>
      </c>
      <c r="AE2927" s="21">
        <f>IF(AB2927&lt;&gt;"",AB2927,Z2927)</f>
        <v/>
      </c>
      <c r="AF2927" s="13" t="inlineStr">
        <is>
          <t>P-5 / LI 4248 / Hardware</t>
        </is>
      </c>
      <c r="AG2927" s="7" t="inlineStr">
        <is>
          <t>163</t>
        </is>
      </c>
      <c r="AH2927" s="7" t="inlineStr">
        <is>
          <t>4248</t>
        </is>
      </c>
      <c r="AI2927" s="7" t="inlineStr">
        <is>
          <t>MODIFICATIONS</t>
        </is>
      </c>
    </row>
    <row r="2928" ht="10" customHeight="1">
      <c r="A2928" s="7" t="inlineStr">
        <is>
          <t>OPN_BA3</t>
        </is>
      </c>
      <c r="B2928" s="7" t="inlineStr">
        <is>
          <t>Procurement</t>
        </is>
      </c>
      <c r="D2928" s="7" t="inlineStr">
        <is>
          <t>NSAM</t>
        </is>
      </c>
      <c r="E2928" s="13" t="inlineStr">
        <is>
          <t>[SUB]</t>
        </is>
      </c>
      <c r="F2928" s="7" t="inlineStr">
        <is>
          <t>119 / Airborne MCM</t>
        </is>
      </c>
      <c r="I2928" s="14" t="n">
        <v>4</v>
      </c>
      <c r="K2928" s="15" t="n"/>
      <c r="O2928" s="15" t="n"/>
      <c r="P2928" s="16" t="n">
        <v>801</v>
      </c>
      <c r="Q2928" s="16" t="n">
        <v>740</v>
      </c>
      <c r="S2928" s="16" t="n">
        <v>589</v>
      </c>
      <c r="U2928" s="16" t="n">
        <v>589</v>
      </c>
      <c r="AC2928" s="23">
        <f>IF(OR(E2928="",E2928="[PARENT]"),"ADD",IF(E2928="[ALT_VIEW]","ALT",""))</f>
        <v/>
      </c>
      <c r="AD2928" s="21">
        <f>IF(Y2928&lt;&gt;"",Y2928,IF(U2928&lt;&gt;"",U2928,S2928))</f>
        <v/>
      </c>
      <c r="AE2928" s="21">
        <f>IF(AB2928&lt;&gt;"",AB2928,Z2928)</f>
        <v/>
      </c>
      <c r="AF2928" s="13" t="inlineStr">
        <is>
          <t>P-5 / LI 4248 / Hardware</t>
        </is>
      </c>
      <c r="AG2928" s="7" t="inlineStr">
        <is>
          <t>163</t>
        </is>
      </c>
      <c r="AH2928" s="7" t="inlineStr">
        <is>
          <t>4248</t>
        </is>
      </c>
      <c r="AI2928" s="7" t="inlineStr">
        <is>
          <t>NSAM</t>
        </is>
      </c>
    </row>
    <row r="2929" ht="10" customHeight="1">
      <c r="A2929" s="7" t="inlineStr">
        <is>
          <t>OPN_BA3</t>
        </is>
      </c>
      <c r="B2929" s="7" t="inlineStr">
        <is>
          <t>Procurement</t>
        </is>
      </c>
      <c r="D2929" s="7" t="inlineStr">
        <is>
          <t>MINEnet Tactical (MNT)</t>
        </is>
      </c>
      <c r="E2929" s="13" t="inlineStr">
        <is>
          <t>[SUB]</t>
        </is>
      </c>
      <c r="F2929" s="7" t="inlineStr">
        <is>
          <t>119 / Airborne MCM</t>
        </is>
      </c>
      <c r="I2929" s="14" t="n">
        <v>4</v>
      </c>
      <c r="K2929" s="15" t="n"/>
      <c r="O2929" s="15" t="n"/>
      <c r="S2929" s="16" t="n">
        <v>1808</v>
      </c>
      <c r="U2929" s="16" t="n">
        <v>1808</v>
      </c>
      <c r="AC2929" s="23">
        <f>IF(OR(E2929="",E2929="[PARENT]"),"ADD",IF(E2929="[ALT_VIEW]","ALT",""))</f>
        <v/>
      </c>
      <c r="AD2929" s="21">
        <f>IF(Y2929&lt;&gt;"",Y2929,IF(U2929&lt;&gt;"",U2929,S2929))</f>
        <v/>
      </c>
      <c r="AE2929" s="21">
        <f>IF(AB2929&lt;&gt;"",AB2929,Z2929)</f>
        <v/>
      </c>
      <c r="AF2929" s="13" t="inlineStr">
        <is>
          <t>P-5 / LI 4248 / Hardware</t>
        </is>
      </c>
      <c r="AG2929" s="7" t="inlineStr">
        <is>
          <t>163</t>
        </is>
      </c>
      <c r="AH2929" s="7" t="inlineStr">
        <is>
          <t>4248</t>
        </is>
      </c>
      <c r="AI2929" s="7" t="inlineStr">
        <is>
          <t>MINEnet Tactical (MNT)</t>
        </is>
      </c>
    </row>
    <row r="2930" ht="10" customHeight="1">
      <c r="A2930" s="7" t="inlineStr">
        <is>
          <t>OPN_BA3</t>
        </is>
      </c>
      <c r="B2930" s="7" t="inlineStr">
        <is>
          <t>Procurement</t>
        </is>
      </c>
      <c r="D2930" s="7" t="inlineStr">
        <is>
          <t>Minefield Planning (MFP)</t>
        </is>
      </c>
      <c r="E2930" s="13" t="inlineStr">
        <is>
          <t>[SUB]</t>
        </is>
      </c>
      <c r="F2930" s="7" t="inlineStr">
        <is>
          <t>119 / Airborne MCM</t>
        </is>
      </c>
      <c r="I2930" s="14" t="n">
        <v>4</v>
      </c>
      <c r="K2930" s="15" t="n"/>
      <c r="O2930" s="15" t="n"/>
      <c r="S2930" s="16" t="n">
        <v>364</v>
      </c>
      <c r="U2930" s="16" t="n">
        <v>364</v>
      </c>
      <c r="AC2930" s="23">
        <f>IF(OR(E2930="",E2930="[PARENT]"),"ADD",IF(E2930="[ALT_VIEW]","ALT",""))</f>
        <v/>
      </c>
      <c r="AD2930" s="21">
        <f>IF(Y2930&lt;&gt;"",Y2930,IF(U2930&lt;&gt;"",U2930,S2930))</f>
        <v/>
      </c>
      <c r="AE2930" s="21">
        <f>IF(AB2930&lt;&gt;"",AB2930,Z2930)</f>
        <v/>
      </c>
      <c r="AF2930" s="13" t="inlineStr">
        <is>
          <t>P-5 / LI 4248 / Hardware</t>
        </is>
      </c>
      <c r="AG2930" s="7" t="inlineStr">
        <is>
          <t>163</t>
        </is>
      </c>
      <c r="AH2930" s="7" t="inlineStr">
        <is>
          <t>4248</t>
        </is>
      </c>
      <c r="AI2930" s="7" t="inlineStr">
        <is>
          <t>Minefield Planning (MFP)</t>
        </is>
      </c>
    </row>
    <row r="2931" ht="10" customHeight="1">
      <c r="A2931" s="7" t="inlineStr">
        <is>
          <t>OPN_BA3</t>
        </is>
      </c>
      <c r="B2931" s="7" t="inlineStr">
        <is>
          <t>Procurement</t>
        </is>
      </c>
      <c r="C2931" s="7" t="inlineStr">
        <is>
          <t>121</t>
        </is>
      </c>
      <c r="D2931" s="7" t="inlineStr">
        <is>
          <t>Aviation Support Equipment</t>
        </is>
      </c>
      <c r="E2931" s="13" t="inlineStr">
        <is>
          <t>[PARENT]</t>
        </is>
      </c>
      <c r="I2931" s="14" t="n">
        <v>4</v>
      </c>
      <c r="K2931" s="15" t="n"/>
      <c r="O2931" s="15" t="n"/>
      <c r="P2931" s="16" t="n">
        <v>82061</v>
      </c>
      <c r="Q2931" s="16" t="n">
        <v>105981</v>
      </c>
      <c r="S2931" s="16" t="n">
        <v>111334</v>
      </c>
      <c r="U2931" s="16" t="n">
        <v>111334</v>
      </c>
      <c r="X2931" s="16" t="n">
        <v>111334</v>
      </c>
      <c r="Y2931" s="16" t="n">
        <v>111334</v>
      </c>
      <c r="Z2931" s="16" t="n">
        <v>116873</v>
      </c>
      <c r="AB2931" s="16" t="n">
        <v>116873</v>
      </c>
      <c r="AC2931" s="23">
        <f>IF(OR(E2931="",E2931="[PARENT]"),"ADD",IF(E2931="[ALT_VIEW]","ALT",""))</f>
        <v/>
      </c>
      <c r="AD2931" s="21">
        <f>IF(Y2931&lt;&gt;"",Y2931,IF(U2931&lt;&gt;"",U2931,S2931))</f>
        <v/>
      </c>
      <c r="AE2931" s="21">
        <f>IF(AB2931&lt;&gt;"",AB2931,Z2931)</f>
        <v/>
      </c>
      <c r="AF2931" s="13" t="inlineStr">
        <is>
          <t>P-40 / BA03 / BSA03 Aircraft Support Equipment / LI 4268</t>
        </is>
      </c>
      <c r="AG2931" s="7" t="inlineStr">
        <is>
          <t>169</t>
        </is>
      </c>
      <c r="AH2931" s="7" t="inlineStr">
        <is>
          <t>4268</t>
        </is>
      </c>
      <c r="AI2931" s="7" t="inlineStr">
        <is>
          <t>Aviation Life Support</t>
        </is>
      </c>
    </row>
    <row r="2932" ht="10" customHeight="1">
      <c r="A2932" s="7" t="inlineStr">
        <is>
          <t>OPN_BA3</t>
        </is>
      </c>
      <c r="B2932" s="7" t="inlineStr">
        <is>
          <t>Procurement</t>
        </is>
      </c>
      <c r="D2932" s="7" t="inlineStr">
        <is>
          <t>Aviation Life Support (Item 1 of LI 4268)</t>
        </is>
      </c>
      <c r="E2932" s="13" t="inlineStr">
        <is>
          <t>[SUB]</t>
        </is>
      </c>
      <c r="F2932" s="7" t="inlineStr">
        <is>
          <t>121 / Aviation Support Equipment</t>
        </is>
      </c>
      <c r="I2932" s="14" t="n">
        <v>6</v>
      </c>
      <c r="K2932" s="15" t="n"/>
      <c r="O2932" s="15" t="n"/>
      <c r="P2932" s="16" t="n">
        <v>45916</v>
      </c>
      <c r="Q2932" s="16" t="n">
        <v>63956</v>
      </c>
      <c r="S2932" s="16" t="n">
        <v>70200</v>
      </c>
      <c r="U2932" s="16" t="n">
        <v>70200</v>
      </c>
      <c r="AC2932" s="23">
        <f>IF(OR(E2932="",E2932="[PARENT]"),"ADD",IF(E2932="[ALT_VIEW]","ALT",""))</f>
        <v/>
      </c>
      <c r="AD2932" s="21">
        <f>IF(Y2932&lt;&gt;"",Y2932,IF(U2932&lt;&gt;"",U2932,S2932))</f>
        <v/>
      </c>
      <c r="AE2932" s="21">
        <f>IF(AB2932&lt;&gt;"",AB2932,Z2932)</f>
        <v/>
      </c>
      <c r="AF2932" s="13" t="inlineStr">
        <is>
          <t>P-5 / LI 4268 / Item 1 - Aviation Life Support</t>
        </is>
      </c>
      <c r="AG2932" s="7" t="inlineStr">
        <is>
          <t>174</t>
        </is>
      </c>
      <c r="AH2932" s="7" t="inlineStr">
        <is>
          <t>4268</t>
        </is>
      </c>
      <c r="AI2932" s="7" t="inlineStr">
        <is>
          <t>Aviation Life Support</t>
        </is>
      </c>
    </row>
    <row r="2933" ht="10" customHeight="1">
      <c r="A2933" s="7" t="inlineStr">
        <is>
          <t>OPN_BA3</t>
        </is>
      </c>
      <c r="B2933" s="7" t="inlineStr">
        <is>
          <t>Procurement</t>
        </is>
      </c>
      <c r="D2933" s="7" t="inlineStr">
        <is>
          <t>IJHMCS - SY215 (Integrated Joint Helmet Mounted Cueing System)</t>
        </is>
      </c>
      <c r="E2933" s="13" t="inlineStr">
        <is>
          <t>[SUB]</t>
        </is>
      </c>
      <c r="F2933" s="7" t="inlineStr">
        <is>
          <t>121-I1 / Aviation Life Support</t>
        </is>
      </c>
      <c r="I2933" s="14" t="n">
        <v>6</v>
      </c>
      <c r="K2933" s="15" t="n"/>
      <c r="O2933" s="15" t="n"/>
      <c r="Q2933" s="16" t="n">
        <v>12119</v>
      </c>
      <c r="S2933" s="16" t="n">
        <v>19105</v>
      </c>
      <c r="U2933" s="16" t="n">
        <v>19105</v>
      </c>
      <c r="AC2933" s="23">
        <f>IF(OR(E2933="",E2933="[PARENT]"),"ADD",IF(E2933="[ALT_VIEW]","ALT",""))</f>
        <v/>
      </c>
      <c r="AD2933" s="21">
        <f>IF(Y2933&lt;&gt;"",Y2933,IF(U2933&lt;&gt;"",U2933,S2933))</f>
        <v/>
      </c>
      <c r="AE2933" s="21">
        <f>IF(AB2933&lt;&gt;"",AB2933,Z2933)</f>
        <v/>
      </c>
      <c r="AF2933" s="13" t="inlineStr">
        <is>
          <t>P-5 / LI 4268 / Item 1 - Aviation Life Support</t>
        </is>
      </c>
      <c r="AG2933" s="7" t="inlineStr">
        <is>
          <t>174</t>
        </is>
      </c>
      <c r="AH2933" s="7" t="inlineStr">
        <is>
          <t>4268</t>
        </is>
      </c>
      <c r="AJ2933" s="7" t="inlineStr">
        <is>
          <t>SY215</t>
        </is>
      </c>
    </row>
    <row r="2934" ht="10" customHeight="1">
      <c r="A2934" s="7" t="inlineStr">
        <is>
          <t>OPN_BA3</t>
        </is>
      </c>
      <c r="B2934" s="7" t="inlineStr">
        <is>
          <t>Procurement</t>
        </is>
      </c>
      <c r="D2934" s="7" t="inlineStr">
        <is>
          <t>HPH - SY505 (Helo Pilot Helmet)</t>
        </is>
      </c>
      <c r="E2934" s="13" t="inlineStr">
        <is>
          <t>[SUB]</t>
        </is>
      </c>
      <c r="F2934" s="7" t="inlineStr">
        <is>
          <t>121-I1 / Aviation Life Support</t>
        </is>
      </c>
      <c r="I2934" s="14" t="n">
        <v>6</v>
      </c>
      <c r="K2934" s="15" t="n"/>
      <c r="O2934" s="15" t="n"/>
      <c r="P2934" s="16" t="n">
        <v>12928</v>
      </c>
      <c r="Q2934" s="16" t="n">
        <v>8501</v>
      </c>
      <c r="S2934" s="16" t="n">
        <v>13556</v>
      </c>
      <c r="U2934" s="16" t="n">
        <v>13556</v>
      </c>
      <c r="AC2934" s="23">
        <f>IF(OR(E2934="",E2934="[PARENT]"),"ADD",IF(E2934="[ALT_VIEW]","ALT",""))</f>
        <v/>
      </c>
      <c r="AD2934" s="21">
        <f>IF(Y2934&lt;&gt;"",Y2934,IF(U2934&lt;&gt;"",U2934,S2934))</f>
        <v/>
      </c>
      <c r="AE2934" s="21">
        <f>IF(AB2934&lt;&gt;"",AB2934,Z2934)</f>
        <v/>
      </c>
      <c r="AF2934" s="13" t="inlineStr">
        <is>
          <t>P-5 / LI 4268 / Item 1 - Aviation Life Support</t>
        </is>
      </c>
      <c r="AG2934" s="7" t="inlineStr">
        <is>
          <t>174</t>
        </is>
      </c>
      <c r="AH2934" s="7" t="inlineStr">
        <is>
          <t>4268</t>
        </is>
      </c>
      <c r="AJ2934" s="7" t="inlineStr">
        <is>
          <t>SY505</t>
        </is>
      </c>
    </row>
    <row r="2935" ht="10" customHeight="1">
      <c r="A2935" s="7" t="inlineStr">
        <is>
          <t>OPN_BA3</t>
        </is>
      </c>
      <c r="B2935" s="7" t="inlineStr">
        <is>
          <t>Procurement</t>
        </is>
      </c>
      <c r="D2935" s="7" t="inlineStr">
        <is>
          <t>HMR - SY141 (Helmet Mounted Recorder)</t>
        </is>
      </c>
      <c r="E2935" s="13" t="inlineStr">
        <is>
          <t>[SUB]</t>
        </is>
      </c>
      <c r="F2935" s="7" t="inlineStr">
        <is>
          <t>121-I1 / Aviation Life Support</t>
        </is>
      </c>
      <c r="I2935" s="14" t="n">
        <v>6</v>
      </c>
      <c r="K2935" s="15" t="n"/>
      <c r="O2935" s="15" t="n"/>
      <c r="S2935" s="16" t="n">
        <v>7500</v>
      </c>
      <c r="U2935" s="16" t="n">
        <v>7500</v>
      </c>
      <c r="AC2935" s="23">
        <f>IF(OR(E2935="",E2935="[PARENT]"),"ADD",IF(E2935="[ALT_VIEW]","ALT",""))</f>
        <v/>
      </c>
      <c r="AD2935" s="21">
        <f>IF(Y2935&lt;&gt;"",Y2935,IF(U2935&lt;&gt;"",U2935,S2935))</f>
        <v/>
      </c>
      <c r="AE2935" s="21">
        <f>IF(AB2935&lt;&gt;"",AB2935,Z2935)</f>
        <v/>
      </c>
      <c r="AF2935" s="13" t="inlineStr">
        <is>
          <t>P-5 / LI 4268 / Item 1 - Aviation Life Support</t>
        </is>
      </c>
      <c r="AG2935" s="7" t="inlineStr">
        <is>
          <t>174</t>
        </is>
      </c>
      <c r="AH2935" s="7" t="inlineStr">
        <is>
          <t>4268</t>
        </is>
      </c>
      <c r="AJ2935" s="7" t="inlineStr">
        <is>
          <t>SY141</t>
        </is>
      </c>
    </row>
    <row r="2936" ht="10" customHeight="1">
      <c r="A2936" s="7" t="inlineStr">
        <is>
          <t>OPN_BA3</t>
        </is>
      </c>
      <c r="B2936" s="7" t="inlineStr">
        <is>
          <t>Procurement</t>
        </is>
      </c>
      <c r="D2936" s="7" t="inlineStr">
        <is>
          <t>HNIM - SY139</t>
        </is>
      </c>
      <c r="E2936" s="13" t="inlineStr">
        <is>
          <t>[SUB]</t>
        </is>
      </c>
      <c r="F2936" s="7" t="inlineStr">
        <is>
          <t>121-I1 / Aviation Life Support</t>
        </is>
      </c>
      <c r="I2936" s="14" t="n">
        <v>6</v>
      </c>
      <c r="K2936" s="15" t="n"/>
      <c r="O2936" s="15" t="n"/>
      <c r="Q2936" s="16" t="n">
        <v>700</v>
      </c>
      <c r="S2936" s="16" t="n">
        <v>3600</v>
      </c>
      <c r="U2936" s="16" t="n">
        <v>3600</v>
      </c>
      <c r="AC2936" s="23">
        <f>IF(OR(E2936="",E2936="[PARENT]"),"ADD",IF(E2936="[ALT_VIEW]","ALT",""))</f>
        <v/>
      </c>
      <c r="AD2936" s="21">
        <f>IF(Y2936&lt;&gt;"",Y2936,IF(U2936&lt;&gt;"",U2936,S2936))</f>
        <v/>
      </c>
      <c r="AE2936" s="21">
        <f>IF(AB2936&lt;&gt;"",AB2936,Z2936)</f>
        <v/>
      </c>
      <c r="AF2936" s="13" t="inlineStr">
        <is>
          <t>P-5 / LI 4268 / Item 1 - Aviation Life Support</t>
        </is>
      </c>
      <c r="AG2936" s="7" t="inlineStr">
        <is>
          <t>174</t>
        </is>
      </c>
      <c r="AH2936" s="7" t="inlineStr">
        <is>
          <t>4268</t>
        </is>
      </c>
      <c r="AJ2936" s="7" t="inlineStr">
        <is>
          <t>SY139</t>
        </is>
      </c>
    </row>
    <row r="2937" ht="10" customHeight="1">
      <c r="A2937" s="7" t="inlineStr">
        <is>
          <t>OPN_BA3</t>
        </is>
      </c>
      <c r="B2937" s="7" t="inlineStr">
        <is>
          <t>Procurement</t>
        </is>
      </c>
      <c r="D2937" s="7" t="inlineStr">
        <is>
          <t>ISEA - SY143</t>
        </is>
      </c>
      <c r="E2937" s="13" t="inlineStr">
        <is>
          <t>[SUB]</t>
        </is>
      </c>
      <c r="F2937" s="7" t="inlineStr">
        <is>
          <t>121-I1 / Aviation Life Support</t>
        </is>
      </c>
      <c r="I2937" s="14" t="n">
        <v>6</v>
      </c>
      <c r="K2937" s="15" t="n"/>
      <c r="O2937" s="15" t="n"/>
      <c r="S2937" s="16" t="n">
        <v>9000</v>
      </c>
      <c r="U2937" s="16" t="n">
        <v>9000</v>
      </c>
      <c r="AC2937" s="23">
        <f>IF(OR(E2937="",E2937="[PARENT]"),"ADD",IF(E2937="[ALT_VIEW]","ALT",""))</f>
        <v/>
      </c>
      <c r="AD2937" s="21">
        <f>IF(Y2937&lt;&gt;"",Y2937,IF(U2937&lt;&gt;"",U2937,S2937))</f>
        <v/>
      </c>
      <c r="AE2937" s="21">
        <f>IF(AB2937&lt;&gt;"",AB2937,Z2937)</f>
        <v/>
      </c>
      <c r="AF2937" s="13" t="inlineStr">
        <is>
          <t>P-5 / LI 4268 / Item 1 - Aviation Life Support</t>
        </is>
      </c>
      <c r="AG2937" s="7" t="inlineStr">
        <is>
          <t>174</t>
        </is>
      </c>
      <c r="AH2937" s="7" t="inlineStr">
        <is>
          <t>4268</t>
        </is>
      </c>
      <c r="AJ2937" s="7" t="inlineStr">
        <is>
          <t>SY143</t>
        </is>
      </c>
    </row>
    <row r="2938" ht="10" customHeight="1">
      <c r="A2938" s="7" t="inlineStr">
        <is>
          <t>OPN_BA3</t>
        </is>
      </c>
      <c r="B2938" s="7" t="inlineStr">
        <is>
          <t>Procurement</t>
        </is>
      </c>
      <c r="D2938" s="7" t="inlineStr">
        <is>
          <t>Phys Mon - SY127 (Physiological Monitor)</t>
        </is>
      </c>
      <c r="E2938" s="13" t="inlineStr">
        <is>
          <t>[SUB]</t>
        </is>
      </c>
      <c r="F2938" s="7" t="inlineStr">
        <is>
          <t>121-I1 / Aviation Life Support</t>
        </is>
      </c>
      <c r="I2938" s="14" t="n">
        <v>6</v>
      </c>
      <c r="K2938" s="15" t="n"/>
      <c r="O2938" s="15" t="n"/>
      <c r="P2938" s="16" t="n">
        <v>9000</v>
      </c>
      <c r="Q2938" s="16" t="n">
        <v>5796</v>
      </c>
      <c r="S2938" s="16" t="n">
        <v>5792</v>
      </c>
      <c r="U2938" s="16" t="n">
        <v>5792</v>
      </c>
      <c r="AC2938" s="23">
        <f>IF(OR(E2938="",E2938="[PARENT]"),"ADD",IF(E2938="[ALT_VIEW]","ALT",""))</f>
        <v/>
      </c>
      <c r="AD2938" s="21">
        <f>IF(Y2938&lt;&gt;"",Y2938,IF(U2938&lt;&gt;"",U2938,S2938))</f>
        <v/>
      </c>
      <c r="AE2938" s="21">
        <f>IF(AB2938&lt;&gt;"",AB2938,Z2938)</f>
        <v/>
      </c>
      <c r="AF2938" s="13" t="inlineStr">
        <is>
          <t>P-5 / LI 4268 / Item 1 - Aviation Life Support</t>
        </is>
      </c>
      <c r="AG2938" s="7" t="inlineStr">
        <is>
          <t>174</t>
        </is>
      </c>
      <c r="AH2938" s="7" t="inlineStr">
        <is>
          <t>4268</t>
        </is>
      </c>
      <c r="AJ2938" s="7" t="inlineStr">
        <is>
          <t>SY127</t>
        </is>
      </c>
    </row>
    <row r="2939" ht="10" customHeight="1">
      <c r="A2939" s="7" t="inlineStr">
        <is>
          <t>OPN_BA3</t>
        </is>
      </c>
      <c r="B2939" s="7" t="inlineStr">
        <is>
          <t>Procurement</t>
        </is>
      </c>
      <c r="D2939" s="7" t="inlineStr">
        <is>
          <t>ASIP - SY126</t>
        </is>
      </c>
      <c r="E2939" s="13" t="inlineStr">
        <is>
          <t>[SUB]</t>
        </is>
      </c>
      <c r="F2939" s="7" t="inlineStr">
        <is>
          <t>121-I1 / Aviation Life Support</t>
        </is>
      </c>
      <c r="I2939" s="14" t="n">
        <v>6</v>
      </c>
      <c r="K2939" s="15" t="n"/>
      <c r="O2939" s="15" t="n"/>
      <c r="P2939" s="16" t="n">
        <v>9896</v>
      </c>
      <c r="Q2939" s="16" t="n">
        <v>4771</v>
      </c>
      <c r="S2939" s="16" t="n">
        <v>6557</v>
      </c>
      <c r="U2939" s="16" t="n">
        <v>6557</v>
      </c>
      <c r="AC2939" s="23">
        <f>IF(OR(E2939="",E2939="[PARENT]"),"ADD",IF(E2939="[ALT_VIEW]","ALT",""))</f>
        <v/>
      </c>
      <c r="AD2939" s="21">
        <f>IF(Y2939&lt;&gt;"",Y2939,IF(U2939&lt;&gt;"",U2939,S2939))</f>
        <v/>
      </c>
      <c r="AE2939" s="21">
        <f>IF(AB2939&lt;&gt;"",AB2939,Z2939)</f>
        <v/>
      </c>
      <c r="AF2939" s="13" t="inlineStr">
        <is>
          <t>P-5 / LI 4268 / Item 1 - Aviation Life Support</t>
        </is>
      </c>
      <c r="AG2939" s="7" t="inlineStr">
        <is>
          <t>174</t>
        </is>
      </c>
      <c r="AH2939" s="7" t="inlineStr">
        <is>
          <t>4268</t>
        </is>
      </c>
      <c r="AJ2939" s="7" t="inlineStr">
        <is>
          <t>SY126</t>
        </is>
      </c>
    </row>
    <row r="2940" ht="10" customHeight="1">
      <c r="A2940" s="7" t="inlineStr">
        <is>
          <t>OPN_BA3</t>
        </is>
      </c>
      <c r="B2940" s="7" t="inlineStr">
        <is>
          <t>Procurement</t>
        </is>
      </c>
      <c r="D2940" s="7" t="inlineStr">
        <is>
          <t>Aviation Maintenance Advancement Solutions (AMAS) (Item 2 of LI 4268)</t>
        </is>
      </c>
      <c r="E2940" s="13" t="inlineStr">
        <is>
          <t>[SUB]</t>
        </is>
      </c>
      <c r="F2940" s="7" t="inlineStr">
        <is>
          <t>121 / Aviation Support Equipment</t>
        </is>
      </c>
      <c r="I2940" s="14" t="n">
        <v>6</v>
      </c>
      <c r="K2940" s="15" t="n"/>
      <c r="O2940" s="15" t="n"/>
      <c r="P2940" s="16" t="n">
        <v>17014</v>
      </c>
      <c r="Q2940" s="16" t="n">
        <v>17372</v>
      </c>
      <c r="S2940" s="16" t="n">
        <v>17577</v>
      </c>
      <c r="U2940" s="16" t="n">
        <v>17577</v>
      </c>
      <c r="AC2940" s="23">
        <f>IF(OR(E2940="",E2940="[PARENT]"),"ADD",IF(E2940="[ALT_VIEW]","ALT",""))</f>
        <v/>
      </c>
      <c r="AD2940" s="21">
        <f>IF(Y2940&lt;&gt;"",Y2940,IF(U2940&lt;&gt;"",U2940,S2940))</f>
        <v/>
      </c>
      <c r="AE2940" s="21">
        <f>IF(AB2940&lt;&gt;"",AB2940,Z2940)</f>
        <v/>
      </c>
      <c r="AF2940" s="13" t="inlineStr">
        <is>
          <t>P-5 / LI 4268 / Item 2 - AMAS</t>
        </is>
      </c>
      <c r="AG2940" s="7" t="inlineStr">
        <is>
          <t>184</t>
        </is>
      </c>
      <c r="AH2940" s="7" t="inlineStr">
        <is>
          <t>4268</t>
        </is>
      </c>
      <c r="AI2940" s="7" t="inlineStr">
        <is>
          <t>Aviation Maintenance Advancement Solutions (AMAS)</t>
        </is>
      </c>
    </row>
    <row r="2941" ht="10" customHeight="1">
      <c r="A2941" s="7" t="inlineStr">
        <is>
          <t>OPN_BA3</t>
        </is>
      </c>
      <c r="B2941" s="7" t="inlineStr">
        <is>
          <t>Procurement</t>
        </is>
      </c>
      <c r="D2941" s="7" t="inlineStr">
        <is>
          <t>S6003 Aviation Maintenance Advancement Solution Hardware</t>
        </is>
      </c>
      <c r="E2941" s="13" t="inlineStr">
        <is>
          <t>[SUB]</t>
        </is>
      </c>
      <c r="F2941" s="7" t="inlineStr">
        <is>
          <t>121-I2 / AMAS</t>
        </is>
      </c>
      <c r="I2941" s="14" t="n">
        <v>6</v>
      </c>
      <c r="K2941" s="15" t="n"/>
      <c r="O2941" s="15" t="n"/>
      <c r="P2941" s="16" t="n">
        <v>12955</v>
      </c>
      <c r="Q2941" s="16" t="n">
        <v>13172</v>
      </c>
      <c r="S2941" s="16" t="n">
        <v>13610</v>
      </c>
      <c r="U2941" s="16" t="n">
        <v>13610</v>
      </c>
      <c r="AC2941" s="23">
        <f>IF(OR(E2941="",E2941="[PARENT]"),"ADD",IF(E2941="[ALT_VIEW]","ALT",""))</f>
        <v/>
      </c>
      <c r="AD2941" s="21">
        <f>IF(Y2941&lt;&gt;"",Y2941,IF(U2941&lt;&gt;"",U2941,S2941))</f>
        <v/>
      </c>
      <c r="AE2941" s="21">
        <f>IF(AB2941&lt;&gt;"",AB2941,Z2941)</f>
        <v/>
      </c>
      <c r="AF2941" s="13" t="inlineStr">
        <is>
          <t>P-5 / LI 4268 / Item 2 - AMAS</t>
        </is>
      </c>
      <c r="AG2941" s="7" t="inlineStr">
        <is>
          <t>184</t>
        </is>
      </c>
      <c r="AH2941" s="7" t="inlineStr">
        <is>
          <t>4268</t>
        </is>
      </c>
      <c r="AI2941" s="7" t="inlineStr">
        <is>
          <t>Aviation Maintenance Advancement Solutions (AMAS)</t>
        </is>
      </c>
    </row>
    <row r="2942" ht="10" customHeight="1">
      <c r="A2942" s="7" t="inlineStr">
        <is>
          <t>OPN_BA3</t>
        </is>
      </c>
      <c r="B2942" s="7" t="inlineStr">
        <is>
          <t>Procurement</t>
        </is>
      </c>
      <c r="D2942" s="7" t="inlineStr">
        <is>
          <t>S6840 AMAS Production Support</t>
        </is>
      </c>
      <c r="E2942" s="13" t="inlineStr">
        <is>
          <t>[SUB]</t>
        </is>
      </c>
      <c r="F2942" s="7" t="inlineStr">
        <is>
          <t>121-I2 / AMAS</t>
        </is>
      </c>
      <c r="I2942" s="14" t="n">
        <v>6</v>
      </c>
      <c r="K2942" s="15" t="n"/>
      <c r="O2942" s="15" t="n"/>
      <c r="P2942" s="16" t="n">
        <v>4059</v>
      </c>
      <c r="Q2942" s="16" t="n">
        <v>4200</v>
      </c>
      <c r="S2942" s="16" t="n">
        <v>3967</v>
      </c>
      <c r="U2942" s="16" t="n">
        <v>3967</v>
      </c>
      <c r="AC2942" s="23">
        <f>IF(OR(E2942="",E2942="[PARENT]"),"ADD",IF(E2942="[ALT_VIEW]","ALT",""))</f>
        <v/>
      </c>
      <c r="AD2942" s="21">
        <f>IF(Y2942&lt;&gt;"",Y2942,IF(U2942&lt;&gt;"",U2942,S2942))</f>
        <v/>
      </c>
      <c r="AE2942" s="21">
        <f>IF(AB2942&lt;&gt;"",AB2942,Z2942)</f>
        <v/>
      </c>
      <c r="AF2942" s="13" t="inlineStr">
        <is>
          <t>P-5 / LI 4268 / Item 2 - AMAS</t>
        </is>
      </c>
      <c r="AG2942" s="7" t="inlineStr">
        <is>
          <t>184</t>
        </is>
      </c>
      <c r="AH2942" s="7" t="inlineStr">
        <is>
          <t>4268</t>
        </is>
      </c>
      <c r="AI2942" s="7" t="inlineStr">
        <is>
          <t>Production Engineering Support</t>
        </is>
      </c>
    </row>
    <row r="2943" ht="10" customHeight="1">
      <c r="A2943" s="7" t="inlineStr">
        <is>
          <t>OPN_BA3</t>
        </is>
      </c>
      <c r="B2943" s="7" t="inlineStr">
        <is>
          <t>Procurement</t>
        </is>
      </c>
      <c r="D2943" s="7" t="inlineStr">
        <is>
          <t>ALIS SHIP INSTALLATION (P-3a of LI 4268)</t>
        </is>
      </c>
      <c r="E2943" s="13" t="inlineStr">
        <is>
          <t>[SUB]</t>
        </is>
      </c>
      <c r="F2943" s="7" t="inlineStr">
        <is>
          <t>121 / Aviation Support Equipment</t>
        </is>
      </c>
      <c r="I2943" s="14" t="n">
        <v>4</v>
      </c>
      <c r="K2943" s="15" t="n"/>
      <c r="O2943" s="15" t="n"/>
      <c r="P2943" s="16" t="n">
        <v>4030</v>
      </c>
      <c r="Q2943" s="16" t="n">
        <v>4087</v>
      </c>
      <c r="S2943" s="16" t="n">
        <v>4122</v>
      </c>
      <c r="U2943" s="16" t="n">
        <v>4122</v>
      </c>
      <c r="AC2943" s="23">
        <f>IF(OR(E2943="",E2943="[PARENT]"),"ADD",IF(E2943="[ALT_VIEW]","ALT",""))</f>
        <v/>
      </c>
      <c r="AD2943" s="21">
        <f>IF(Y2943&lt;&gt;"",Y2943,IF(U2943&lt;&gt;"",U2943,S2943))</f>
        <v/>
      </c>
      <c r="AE2943" s="21">
        <f>IF(AB2943&lt;&gt;"",AB2943,Z2943)</f>
        <v/>
      </c>
      <c r="AF2943" s="13" t="inlineStr">
        <is>
          <t>P-3a / LI 4268 / Mod 1 - ALIS SHIP INSTALLATION</t>
        </is>
      </c>
      <c r="AG2943" s="7" t="inlineStr">
        <is>
          <t>189</t>
        </is>
      </c>
      <c r="AH2943" s="7" t="inlineStr">
        <is>
          <t>4268</t>
        </is>
      </c>
      <c r="AJ2943" s="7" t="inlineStr">
        <is>
          <t>/ LI 4268 / Mod 1 - ALIS SHIP INSTALLATION</t>
        </is>
      </c>
    </row>
    <row r="2944" ht="10" customHeight="1">
      <c r="A2944" s="7" t="inlineStr">
        <is>
          <t>OPN_BA3</t>
        </is>
      </c>
      <c r="B2944" s="7" t="inlineStr">
        <is>
          <t>Procurement</t>
        </is>
      </c>
      <c r="D2944" s="7" t="inlineStr">
        <is>
          <t>Installation Material - B Kits</t>
        </is>
      </c>
      <c r="E2944" s="13" t="inlineStr">
        <is>
          <t>[SUB]</t>
        </is>
      </c>
      <c r="F2944" s="7" t="inlineStr">
        <is>
          <t>121-P3a-1 / ALIS SHIP INSTALLATION</t>
        </is>
      </c>
      <c r="I2944" s="14" t="n">
        <v>4</v>
      </c>
      <c r="K2944" s="15" t="n"/>
      <c r="O2944" s="15" t="n"/>
      <c r="P2944" s="16" t="n">
        <v>80</v>
      </c>
      <c r="Q2944" s="16" t="n">
        <v>80</v>
      </c>
      <c r="S2944" s="16" t="n">
        <v>80</v>
      </c>
      <c r="U2944" s="16" t="n">
        <v>80</v>
      </c>
      <c r="AC2944" s="23">
        <f>IF(OR(E2944="",E2944="[PARENT]"),"ADD",IF(E2944="[ALT_VIEW]","ALT",""))</f>
        <v/>
      </c>
      <c r="AD2944" s="21">
        <f>IF(Y2944&lt;&gt;"",Y2944,IF(U2944&lt;&gt;"",U2944,S2944))</f>
        <v/>
      </c>
      <c r="AE2944" s="21">
        <f>IF(AB2944&lt;&gt;"",AB2944,Z2944)</f>
        <v/>
      </c>
      <c r="AF2944" s="13" t="inlineStr">
        <is>
          <t>P-3a / LI 4268 / ALIS Ship Installation</t>
        </is>
      </c>
      <c r="AG2944" s="7" t="inlineStr">
        <is>
          <t>189</t>
        </is>
      </c>
      <c r="AH2944" s="7" t="inlineStr">
        <is>
          <t>4268</t>
        </is>
      </c>
      <c r="AJ2944" s="7" t="inlineStr">
        <is>
          <t>/ LI 4268 / ALIS Ship Installation</t>
        </is>
      </c>
    </row>
    <row r="2945" ht="10" customHeight="1">
      <c r="A2945" s="7" t="inlineStr">
        <is>
          <t>OPN_BA3</t>
        </is>
      </c>
      <c r="B2945" s="7" t="inlineStr">
        <is>
          <t>Procurement</t>
        </is>
      </c>
      <c r="D2945" s="7" t="inlineStr">
        <is>
          <t>ALIS - Program Support</t>
        </is>
      </c>
      <c r="E2945" s="13" t="inlineStr">
        <is>
          <t>[SUB]</t>
        </is>
      </c>
      <c r="F2945" s="7" t="inlineStr">
        <is>
          <t>121-P3a-1 / ALIS SHIP INSTALLATION</t>
        </is>
      </c>
      <c r="I2945" s="14" t="n">
        <v>4</v>
      </c>
      <c r="K2945" s="15" t="n"/>
      <c r="O2945" s="15" t="n"/>
      <c r="P2945" s="16" t="n">
        <v>825</v>
      </c>
      <c r="Q2945" s="16" t="n">
        <v>882</v>
      </c>
      <c r="S2945" s="16" t="n">
        <v>894</v>
      </c>
      <c r="U2945" s="16" t="n">
        <v>894</v>
      </c>
      <c r="AC2945" s="23">
        <f>IF(OR(E2945="",E2945="[PARENT]"),"ADD",IF(E2945="[ALT_VIEW]","ALT",""))</f>
        <v/>
      </c>
      <c r="AD2945" s="21">
        <f>IF(Y2945&lt;&gt;"",Y2945,IF(U2945&lt;&gt;"",U2945,S2945))</f>
        <v/>
      </c>
      <c r="AE2945" s="21">
        <f>IF(AB2945&lt;&gt;"",AB2945,Z2945)</f>
        <v/>
      </c>
      <c r="AF2945" s="13" t="inlineStr">
        <is>
          <t>P-3a / LI 4268 / ALIS Ship Installation</t>
        </is>
      </c>
      <c r="AG2945" s="7" t="inlineStr">
        <is>
          <t>189</t>
        </is>
      </c>
      <c r="AH2945" s="7" t="inlineStr">
        <is>
          <t>4268</t>
        </is>
      </c>
      <c r="AJ2945" s="7" t="inlineStr">
        <is>
          <t>/ LI 4268 / ALIS Ship Installation</t>
        </is>
      </c>
    </row>
    <row r="2946" ht="10" customHeight="1">
      <c r="A2946" s="7" t="inlineStr">
        <is>
          <t>OPN_BA3</t>
        </is>
      </c>
      <c r="B2946" s="7" t="inlineStr">
        <is>
          <t>Procurement</t>
        </is>
      </c>
      <c r="D2946" s="7" t="inlineStr">
        <is>
          <t>ALIS - Production Engineering Support</t>
        </is>
      </c>
      <c r="E2946" s="13" t="inlineStr">
        <is>
          <t>[SUB]</t>
        </is>
      </c>
      <c r="F2946" s="7" t="inlineStr">
        <is>
          <t>121-P3a-1 / ALIS SHIP INSTALLATION</t>
        </is>
      </c>
      <c r="I2946" s="14" t="n">
        <v>4</v>
      </c>
      <c r="K2946" s="15" t="n"/>
      <c r="O2946" s="15" t="n"/>
      <c r="P2946" s="16" t="n">
        <v>825</v>
      </c>
      <c r="Q2946" s="16" t="n">
        <v>824</v>
      </c>
      <c r="S2946" s="16" t="n">
        <v>833</v>
      </c>
      <c r="U2946" s="16" t="n">
        <v>833</v>
      </c>
      <c r="AC2946" s="23">
        <f>IF(OR(E2946="",E2946="[PARENT]"),"ADD",IF(E2946="[ALT_VIEW]","ALT",""))</f>
        <v/>
      </c>
      <c r="AD2946" s="21">
        <f>IF(Y2946&lt;&gt;"",Y2946,IF(U2946&lt;&gt;"",U2946,S2946))</f>
        <v/>
      </c>
      <c r="AE2946" s="21">
        <f>IF(AB2946&lt;&gt;"",AB2946,Z2946)</f>
        <v/>
      </c>
      <c r="AF2946" s="13" t="inlineStr">
        <is>
          <t>P-3a / LI 4268 / ALIS Ship Installation</t>
        </is>
      </c>
      <c r="AG2946" s="7" t="inlineStr">
        <is>
          <t>189</t>
        </is>
      </c>
      <c r="AH2946" s="7" t="inlineStr">
        <is>
          <t>4268</t>
        </is>
      </c>
      <c r="AJ2946" s="7" t="inlineStr">
        <is>
          <t>/ LI 4268 / ALIS Ship Installation</t>
        </is>
      </c>
    </row>
    <row r="2947" ht="10" customHeight="1">
      <c r="A2947" s="7" t="inlineStr">
        <is>
          <t>OPN_BA3</t>
        </is>
      </c>
      <c r="B2947" s="7" t="inlineStr">
        <is>
          <t>Procurement</t>
        </is>
      </c>
      <c r="D2947" s="7" t="inlineStr">
        <is>
          <t>ALIS Ship Installation (labor)</t>
        </is>
      </c>
      <c r="E2947" s="13" t="inlineStr">
        <is>
          <t>[SUB]</t>
        </is>
      </c>
      <c r="F2947" s="7" t="inlineStr">
        <is>
          <t>121-P3a-1 / ALIS SHIP INSTALLATION</t>
        </is>
      </c>
      <c r="I2947" s="14" t="n">
        <v>4</v>
      </c>
      <c r="K2947" s="15" t="n"/>
      <c r="O2947" s="15" t="n"/>
      <c r="P2947" s="16" t="n">
        <v>2300</v>
      </c>
      <c r="Q2947" s="16" t="n">
        <v>2301</v>
      </c>
      <c r="S2947" s="16" t="n">
        <v>2315</v>
      </c>
      <c r="U2947" s="16" t="n">
        <v>2315</v>
      </c>
      <c r="AC2947" s="23">
        <f>IF(OR(E2947="",E2947="[PARENT]"),"ADD",IF(E2947="[ALT_VIEW]","ALT",""))</f>
        <v/>
      </c>
      <c r="AD2947" s="21">
        <f>IF(Y2947&lt;&gt;"",Y2947,IF(U2947&lt;&gt;"",U2947,S2947))</f>
        <v/>
      </c>
      <c r="AE2947" s="21">
        <f>IF(AB2947&lt;&gt;"",AB2947,Z2947)</f>
        <v/>
      </c>
      <c r="AF2947" s="13" t="inlineStr">
        <is>
          <t>P-3a / LI 4268 / ALIS Ship Installation</t>
        </is>
      </c>
      <c r="AG2947" s="7" t="inlineStr">
        <is>
          <t>189</t>
        </is>
      </c>
      <c r="AH2947" s="7" t="inlineStr">
        <is>
          <t>4268</t>
        </is>
      </c>
      <c r="AJ2947" s="7" t="inlineStr">
        <is>
          <t>/ LI 4268 / ALIS Ship Installation</t>
        </is>
      </c>
    </row>
    <row r="2948" ht="10" customHeight="1">
      <c r="A2948" s="7" t="inlineStr">
        <is>
          <t>OPN_BA3</t>
        </is>
      </c>
      <c r="B2948" s="7" t="inlineStr">
        <is>
          <t>Procurement</t>
        </is>
      </c>
      <c r="C2948" s="7" t="inlineStr">
        <is>
          <t>122</t>
        </is>
      </c>
      <c r="D2948" s="7" t="inlineStr">
        <is>
          <t>UMCS-Unman Carrier Aviation(UCA)Mission Cntrl Stn</t>
        </is>
      </c>
      <c r="E2948" s="13" t="inlineStr">
        <is>
          <t>[PARENT]</t>
        </is>
      </c>
      <c r="I2948" s="14" t="n">
        <v>4</v>
      </c>
      <c r="K2948" s="13" t="inlineStr">
        <is>
          <t>USN</t>
        </is>
      </c>
      <c r="L2948" s="7" t="inlineStr">
        <is>
          <t>Combatant Ships</t>
        </is>
      </c>
      <c r="M2948" s="7" t="inlineStr">
        <is>
          <t>Aircraft Carriers</t>
        </is>
      </c>
      <c r="N2948" s="7" t="inlineStr">
        <is>
          <t>CVN</t>
        </is>
      </c>
      <c r="O2948" s="15" t="n"/>
      <c r="P2948" s="16" t="n">
        <v>143612</v>
      </c>
      <c r="Q2948" s="16" t="n">
        <v>119561</v>
      </c>
      <c r="S2948" s="16" t="n">
        <v>189553</v>
      </c>
      <c r="U2948" s="16" t="n">
        <v>189553</v>
      </c>
      <c r="X2948" s="16" t="n">
        <v>186909</v>
      </c>
      <c r="Y2948" s="16" t="n">
        <v>186909</v>
      </c>
      <c r="Z2948" s="16" t="n">
        <v>211216</v>
      </c>
      <c r="AB2948" s="16" t="n">
        <v>211216</v>
      </c>
      <c r="AC2948" s="23">
        <f>IF(OR(E2948="",E2948="[PARENT]"),"ADD",IF(E2948="[ALT_VIEW]","ALT",""))</f>
        <v/>
      </c>
      <c r="AD2948" s="21">
        <f>IF(Y2948&lt;&gt;"",Y2948,IF(U2948&lt;&gt;"",U2948,S2948))</f>
        <v/>
      </c>
      <c r="AE2948" s="21">
        <f>IF(AB2948&lt;&gt;"",AB2948,Z2948)</f>
        <v/>
      </c>
      <c r="AF2948" s="13" t="inlineStr">
        <is>
          <t>P-40 / BA03 / BSA03 Aircraft Support Equipment / LI 4269</t>
        </is>
      </c>
      <c r="AG2948" s="7" t="inlineStr">
        <is>
          <t>197</t>
        </is>
      </c>
      <c r="AH2948" s="7" t="inlineStr">
        <is>
          <t>4269</t>
        </is>
      </c>
      <c r="AI2948" s="7" t="inlineStr">
        <is>
          <t>UMCS-Unman Carrier Aviation(UCA)Mission Cntrl Stn</t>
        </is>
      </c>
    </row>
    <row r="2949" ht="10" customHeight="1">
      <c r="A2949" s="7" t="inlineStr">
        <is>
          <t>OPN_BA3</t>
        </is>
      </c>
      <c r="B2949" s="7" t="inlineStr">
        <is>
          <t>Procurement</t>
        </is>
      </c>
      <c r="D2949" s="7" t="inlineStr">
        <is>
          <t>MD-5C CVN Based GCS</t>
        </is>
      </c>
      <c r="E2949" s="13" t="inlineStr">
        <is>
          <t>[SUB]</t>
        </is>
      </c>
      <c r="F2949" s="7" t="inlineStr">
        <is>
          <t>122 / UMCS-Unman Carrier Aviation(UCA)Mission Cntrl Stn</t>
        </is>
      </c>
      <c r="I2949" s="14" t="n">
        <v>4</v>
      </c>
      <c r="K2949" s="13" t="inlineStr">
        <is>
          <t>USN</t>
        </is>
      </c>
      <c r="L2949" s="7" t="inlineStr">
        <is>
          <t>Combatant Ships</t>
        </is>
      </c>
      <c r="M2949" s="7" t="inlineStr">
        <is>
          <t>Aircraft Carriers</t>
        </is>
      </c>
      <c r="N2949" s="7" t="inlineStr">
        <is>
          <t>CVN</t>
        </is>
      </c>
      <c r="O2949" s="15" t="n"/>
      <c r="P2949" s="16" t="n">
        <v>5406</v>
      </c>
      <c r="AC2949" s="23">
        <f>IF(OR(E2949="",E2949="[PARENT]"),"ADD",IF(E2949="[ALT_VIEW]","ALT",""))</f>
        <v/>
      </c>
      <c r="AD2949" s="21">
        <f>IF(Y2949&lt;&gt;"",Y2949,IF(U2949&lt;&gt;"",U2949,S2949))</f>
        <v/>
      </c>
      <c r="AE2949" s="21">
        <f>IF(AB2949&lt;&gt;"",AB2949,Z2949)</f>
        <v/>
      </c>
      <c r="AF2949" s="13" t="inlineStr">
        <is>
          <t>P-5 / LI 4269 / Hardware Recurring</t>
        </is>
      </c>
      <c r="AG2949" s="7" t="inlineStr">
        <is>
          <t>200</t>
        </is>
      </c>
      <c r="AH2949" s="7" t="inlineStr">
        <is>
          <t>4269</t>
        </is>
      </c>
      <c r="AI2949" s="7" t="inlineStr">
        <is>
          <t>UMCS-Unman Carrier Aviation(UCA)Mission Cntrl Stn</t>
        </is>
      </c>
    </row>
    <row r="2950" ht="10" customHeight="1">
      <c r="A2950" s="7" t="inlineStr">
        <is>
          <t>OPN_BA3</t>
        </is>
      </c>
      <c r="B2950" s="7" t="inlineStr">
        <is>
          <t>Procurement</t>
        </is>
      </c>
      <c r="D2950" s="7" t="inlineStr">
        <is>
          <t>MD-5D Shore Based GCS</t>
        </is>
      </c>
      <c r="E2950" s="13" t="inlineStr">
        <is>
          <t>[SUB]</t>
        </is>
      </c>
      <c r="F2950" s="7" t="inlineStr">
        <is>
          <t>122 / UMCS-Unman Carrier Aviation(UCA)Mission Cntrl Stn</t>
        </is>
      </c>
      <c r="I2950" s="14" t="n">
        <v>4</v>
      </c>
      <c r="K2950" s="15" t="n"/>
      <c r="O2950" s="15" t="n"/>
      <c r="S2950" s="16" t="n">
        <v>5306</v>
      </c>
      <c r="U2950" s="16" t="n">
        <v>5306</v>
      </c>
      <c r="AC2950" s="23">
        <f>IF(OR(E2950="",E2950="[PARENT]"),"ADD",IF(E2950="[ALT_VIEW]","ALT",""))</f>
        <v/>
      </c>
      <c r="AD2950" s="21">
        <f>IF(Y2950&lt;&gt;"",Y2950,IF(U2950&lt;&gt;"",U2950,S2950))</f>
        <v/>
      </c>
      <c r="AE2950" s="21">
        <f>IF(AB2950&lt;&gt;"",AB2950,Z2950)</f>
        <v/>
      </c>
      <c r="AF2950" s="13" t="inlineStr">
        <is>
          <t>P-5 / LI 4269 / Hardware Recurring</t>
        </is>
      </c>
      <c r="AG2950" s="7" t="inlineStr">
        <is>
          <t>200</t>
        </is>
      </c>
      <c r="AH2950" s="7" t="inlineStr">
        <is>
          <t>4269</t>
        </is>
      </c>
      <c r="AI2950" s="7" t="inlineStr">
        <is>
          <t>UMCS-Unman Carrier Aviation(UCA)Mission Cntrl Stn</t>
        </is>
      </c>
    </row>
    <row r="2951" ht="10" customHeight="1">
      <c r="A2951" s="7" t="inlineStr">
        <is>
          <t>OPN_BA3</t>
        </is>
      </c>
      <c r="B2951" s="7" t="inlineStr">
        <is>
          <t>Procurement</t>
        </is>
      </c>
      <c r="D2951" s="7" t="inlineStr">
        <is>
          <t>Video Management System (VidMS)</t>
        </is>
      </c>
      <c r="E2951" s="13" t="inlineStr">
        <is>
          <t>[SUB]</t>
        </is>
      </c>
      <c r="F2951" s="7" t="inlineStr">
        <is>
          <t>122 / UMCS-Unman Carrier Aviation(UCA)Mission Cntrl Stn</t>
        </is>
      </c>
      <c r="I2951" s="14" t="n">
        <v>4</v>
      </c>
      <c r="K2951" s="13" t="inlineStr">
        <is>
          <t>USN</t>
        </is>
      </c>
      <c r="L2951" s="7" t="inlineStr">
        <is>
          <t>Combatant Ships</t>
        </is>
      </c>
      <c r="M2951" s="7" t="inlineStr">
        <is>
          <t>Aircraft Carriers</t>
        </is>
      </c>
      <c r="N2951" s="7" t="inlineStr">
        <is>
          <t>CVN</t>
        </is>
      </c>
      <c r="O2951" s="15" t="n"/>
      <c r="P2951" s="16" t="n">
        <v>3354</v>
      </c>
      <c r="S2951" s="16" t="n">
        <v>1163</v>
      </c>
      <c r="U2951" s="16" t="n">
        <v>1163</v>
      </c>
      <c r="AC2951" s="23">
        <f>IF(OR(E2951="",E2951="[PARENT]"),"ADD",IF(E2951="[ALT_VIEW]","ALT",""))</f>
        <v/>
      </c>
      <c r="AD2951" s="21">
        <f>IF(Y2951&lt;&gt;"",Y2951,IF(U2951&lt;&gt;"",U2951,S2951))</f>
        <v/>
      </c>
      <c r="AE2951" s="21">
        <f>IF(AB2951&lt;&gt;"",AB2951,Z2951)</f>
        <v/>
      </c>
      <c r="AF2951" s="13" t="inlineStr">
        <is>
          <t>P-5 / LI 4269 / Hardware Recurring</t>
        </is>
      </c>
      <c r="AG2951" s="7" t="inlineStr">
        <is>
          <t>200</t>
        </is>
      </c>
      <c r="AH2951" s="7" t="inlineStr">
        <is>
          <t>4269</t>
        </is>
      </c>
      <c r="AI2951" s="7" t="inlineStr">
        <is>
          <t>UMCS-Unman Carrier Aviation(UCA)Mission Cntrl Stn</t>
        </is>
      </c>
    </row>
    <row r="2952" ht="10" customHeight="1">
      <c r="A2952" s="7" t="inlineStr">
        <is>
          <t>OPN_BA3</t>
        </is>
      </c>
      <c r="B2952" s="7" t="inlineStr">
        <is>
          <t>Procurement</t>
        </is>
      </c>
      <c r="D2952" s="7" t="inlineStr">
        <is>
          <t>ARC-210 Radio Communication System (RCS) Ship</t>
        </is>
      </c>
      <c r="E2952" s="13" t="inlineStr">
        <is>
          <t>[SUB]</t>
        </is>
      </c>
      <c r="F2952" s="7" t="inlineStr">
        <is>
          <t>122 / UMCS-Unman Carrier Aviation(UCA)Mission Cntrl Stn</t>
        </is>
      </c>
      <c r="I2952" s="14" t="n">
        <v>4</v>
      </c>
      <c r="K2952" s="13" t="inlineStr">
        <is>
          <t>USN</t>
        </is>
      </c>
      <c r="L2952" s="7" t="inlineStr">
        <is>
          <t>Combatant Ships</t>
        </is>
      </c>
      <c r="M2952" s="7" t="inlineStr">
        <is>
          <t>Aircraft Carriers</t>
        </is>
      </c>
      <c r="N2952" s="7" t="inlineStr">
        <is>
          <t>CVN</t>
        </is>
      </c>
      <c r="O2952" s="15" t="n"/>
      <c r="P2952" s="16" t="n">
        <v>5144</v>
      </c>
      <c r="S2952" s="16" t="n">
        <v>2725</v>
      </c>
      <c r="U2952" s="16" t="n">
        <v>2725</v>
      </c>
      <c r="AC2952" s="23">
        <f>IF(OR(E2952="",E2952="[PARENT]"),"ADD",IF(E2952="[ALT_VIEW]","ALT",""))</f>
        <v/>
      </c>
      <c r="AD2952" s="21">
        <f>IF(Y2952&lt;&gt;"",Y2952,IF(U2952&lt;&gt;"",U2952,S2952))</f>
        <v/>
      </c>
      <c r="AE2952" s="21">
        <f>IF(AB2952&lt;&gt;"",AB2952,Z2952)</f>
        <v/>
      </c>
      <c r="AF2952" s="13" t="inlineStr">
        <is>
          <t>P-5 / LI 4269 / Hardware Recurring</t>
        </is>
      </c>
      <c r="AG2952" s="7" t="inlineStr">
        <is>
          <t>200</t>
        </is>
      </c>
      <c r="AH2952" s="7" t="inlineStr">
        <is>
          <t>4269</t>
        </is>
      </c>
      <c r="AI2952" s="7" t="inlineStr">
        <is>
          <t>UMCS-Unman Carrier Aviation(UCA)Mission Cntrl Stn</t>
        </is>
      </c>
    </row>
    <row r="2953" ht="10" customHeight="1">
      <c r="A2953" s="7" t="inlineStr">
        <is>
          <t>OPN_BA3</t>
        </is>
      </c>
      <c r="B2953" s="7" t="inlineStr">
        <is>
          <t>Procurement</t>
        </is>
      </c>
      <c r="D2953" s="7" t="inlineStr">
        <is>
          <t>MUOS DMR Communication System Ship</t>
        </is>
      </c>
      <c r="E2953" s="13" t="inlineStr">
        <is>
          <t>[SUB]</t>
        </is>
      </c>
      <c r="F2953" s="7" t="inlineStr">
        <is>
          <t>122 / UMCS-Unman Carrier Aviation(UCA)Mission Cntrl Stn</t>
        </is>
      </c>
      <c r="I2953" s="14" t="n">
        <v>4</v>
      </c>
      <c r="K2953" s="13" t="inlineStr">
        <is>
          <t>USN</t>
        </is>
      </c>
      <c r="L2953" s="7" t="inlineStr">
        <is>
          <t>Combatant Ships</t>
        </is>
      </c>
      <c r="M2953" s="7" t="inlineStr">
        <is>
          <t>Aircraft Carriers</t>
        </is>
      </c>
      <c r="N2953" s="7" t="inlineStr">
        <is>
          <t>CVN</t>
        </is>
      </c>
      <c r="O2953" s="15" t="n"/>
      <c r="P2953" s="16" t="n">
        <v>525</v>
      </c>
      <c r="Q2953" s="16" t="n">
        <v>536</v>
      </c>
      <c r="AC2953" s="23">
        <f>IF(OR(E2953="",E2953="[PARENT]"),"ADD",IF(E2953="[ALT_VIEW]","ALT",""))</f>
        <v/>
      </c>
      <c r="AD2953" s="21">
        <f>IF(Y2953&lt;&gt;"",Y2953,IF(U2953&lt;&gt;"",U2953,S2953))</f>
        <v/>
      </c>
      <c r="AE2953" s="21">
        <f>IF(AB2953&lt;&gt;"",AB2953,Z2953)</f>
        <v/>
      </c>
      <c r="AF2953" s="13" t="inlineStr">
        <is>
          <t>P-5 / LI 4269 / Hardware Recurring</t>
        </is>
      </c>
      <c r="AG2953" s="7" t="inlineStr">
        <is>
          <t>200</t>
        </is>
      </c>
      <c r="AH2953" s="7" t="inlineStr">
        <is>
          <t>4269</t>
        </is>
      </c>
      <c r="AI2953" s="7" t="inlineStr">
        <is>
          <t>UMCS-Unman Carrier Aviation(UCA)Mission Cntrl Stn</t>
        </is>
      </c>
    </row>
    <row r="2954" ht="10" customHeight="1">
      <c r="A2954" s="7" t="inlineStr">
        <is>
          <t>OPN_BA3</t>
        </is>
      </c>
      <c r="B2954" s="7" t="inlineStr">
        <is>
          <t>Procurement</t>
        </is>
      </c>
      <c r="D2954" s="7" t="inlineStr">
        <is>
          <t>Shore Common Data Link (CDL)</t>
        </is>
      </c>
      <c r="E2954" s="13" t="inlineStr">
        <is>
          <t>[SUB]</t>
        </is>
      </c>
      <c r="F2954" s="7" t="inlineStr">
        <is>
          <t>122 / UMCS-Unman Carrier Aviation(UCA)Mission Cntrl Stn</t>
        </is>
      </c>
      <c r="I2954" s="14" t="n">
        <v>4</v>
      </c>
      <c r="K2954" s="15" t="n"/>
      <c r="O2954" s="15" t="n"/>
      <c r="S2954" s="16" t="n">
        <v>2644</v>
      </c>
      <c r="U2954" s="16" t="n">
        <v>2644</v>
      </c>
      <c r="AC2954" s="23">
        <f>IF(OR(E2954="",E2954="[PARENT]"),"ADD",IF(E2954="[ALT_VIEW]","ALT",""))</f>
        <v/>
      </c>
      <c r="AD2954" s="21">
        <f>IF(Y2954&lt;&gt;"",Y2954,IF(U2954&lt;&gt;"",U2954,S2954))</f>
        <v/>
      </c>
      <c r="AE2954" s="21">
        <f>IF(AB2954&lt;&gt;"",AB2954,Z2954)</f>
        <v/>
      </c>
      <c r="AF2954" s="13" t="inlineStr">
        <is>
          <t>P-5 / LI 4269 / Hardware Recurring</t>
        </is>
      </c>
      <c r="AG2954" s="7" t="inlineStr">
        <is>
          <t>200</t>
        </is>
      </c>
      <c r="AH2954" s="7" t="inlineStr">
        <is>
          <t>4269</t>
        </is>
      </c>
      <c r="AI2954" s="7" t="inlineStr">
        <is>
          <t>UMCS-Unman Carrier Aviation(UCA)Mission Cntrl Stn</t>
        </is>
      </c>
    </row>
    <row r="2955" ht="10" customHeight="1">
      <c r="A2955" s="7" t="inlineStr">
        <is>
          <t>OPN_BA3</t>
        </is>
      </c>
      <c r="B2955" s="7" t="inlineStr">
        <is>
          <t>Procurement</t>
        </is>
      </c>
      <c r="D2955" s="7" t="inlineStr">
        <is>
          <t>Ashore Routing Communication System (ARCS)</t>
        </is>
      </c>
      <c r="E2955" s="13" t="inlineStr">
        <is>
          <t>[SUB]</t>
        </is>
      </c>
      <c r="F2955" s="7" t="inlineStr">
        <is>
          <t>122 / UMCS-Unman Carrier Aviation(UCA)Mission Cntrl Stn</t>
        </is>
      </c>
      <c r="I2955" s="14" t="n">
        <v>4</v>
      </c>
      <c r="K2955" s="15" t="n"/>
      <c r="O2955" s="15" t="n"/>
      <c r="P2955" s="16" t="n">
        <v>656</v>
      </c>
      <c r="S2955" s="16" t="n">
        <v>343</v>
      </c>
      <c r="U2955" s="16" t="n">
        <v>343</v>
      </c>
      <c r="AC2955" s="23">
        <f>IF(OR(E2955="",E2955="[PARENT]"),"ADD",IF(E2955="[ALT_VIEW]","ALT",""))</f>
        <v/>
      </c>
      <c r="AD2955" s="21">
        <f>IF(Y2955&lt;&gt;"",Y2955,IF(U2955&lt;&gt;"",U2955,S2955))</f>
        <v/>
      </c>
      <c r="AE2955" s="21">
        <f>IF(AB2955&lt;&gt;"",AB2955,Z2955)</f>
        <v/>
      </c>
      <c r="AF2955" s="13" t="inlineStr">
        <is>
          <t>P-5 / LI 4269 / Hardware Recurring</t>
        </is>
      </c>
      <c r="AG2955" s="7" t="inlineStr">
        <is>
          <t>200</t>
        </is>
      </c>
      <c r="AH2955" s="7" t="inlineStr">
        <is>
          <t>4269</t>
        </is>
      </c>
      <c r="AI2955" s="7" t="inlineStr">
        <is>
          <t>UMCS-Unman Carrier Aviation(UCA)Mission Cntrl Stn</t>
        </is>
      </c>
    </row>
    <row r="2956" ht="10" customHeight="1">
      <c r="A2956" s="7" t="inlineStr">
        <is>
          <t>OPN_BA3</t>
        </is>
      </c>
      <c r="B2956" s="7" t="inlineStr">
        <is>
          <t>Procurement</t>
        </is>
      </c>
      <c r="D2956" s="7" t="inlineStr">
        <is>
          <t>Tech Refresh</t>
        </is>
      </c>
      <c r="E2956" s="13" t="inlineStr">
        <is>
          <t>[SUB]</t>
        </is>
      </c>
      <c r="F2956" s="7" t="inlineStr">
        <is>
          <t>122 / UMCS-Unman Carrier Aviation(UCA)Mission Cntrl Stn</t>
        </is>
      </c>
      <c r="I2956" s="14" t="n">
        <v>4</v>
      </c>
      <c r="K2956" s="13" t="inlineStr">
        <is>
          <t>USN</t>
        </is>
      </c>
      <c r="L2956" s="7" t="inlineStr">
        <is>
          <t>Combatant Ships</t>
        </is>
      </c>
      <c r="M2956" s="7" t="inlineStr">
        <is>
          <t>Aircraft Carriers</t>
        </is>
      </c>
      <c r="N2956" s="7" t="inlineStr">
        <is>
          <t>CVN</t>
        </is>
      </c>
      <c r="O2956" s="15" t="n"/>
      <c r="P2956" s="16" t="n">
        <v>1938</v>
      </c>
      <c r="Q2956" s="16" t="n">
        <v>1978</v>
      </c>
      <c r="S2956" s="16" t="n">
        <v>16341</v>
      </c>
      <c r="U2956" s="16" t="n">
        <v>16341</v>
      </c>
      <c r="AC2956" s="23">
        <f>IF(OR(E2956="",E2956="[PARENT]"),"ADD",IF(E2956="[ALT_VIEW]","ALT",""))</f>
        <v/>
      </c>
      <c r="AD2956" s="21">
        <f>IF(Y2956&lt;&gt;"",Y2956,IF(U2956&lt;&gt;"",U2956,S2956))</f>
        <v/>
      </c>
      <c r="AE2956" s="21">
        <f>IF(AB2956&lt;&gt;"",AB2956,Z2956)</f>
        <v/>
      </c>
      <c r="AF2956" s="13" t="inlineStr">
        <is>
          <t>P-5 / LI 4269 / Hardware Recurring</t>
        </is>
      </c>
      <c r="AG2956" s="7" t="inlineStr">
        <is>
          <t>200</t>
        </is>
      </c>
      <c r="AH2956" s="7" t="inlineStr">
        <is>
          <t>4269</t>
        </is>
      </c>
      <c r="AI2956" s="7" t="inlineStr">
        <is>
          <t>UMCS-Unman Carrier Aviation(UCA)Mission Cntrl Stn</t>
        </is>
      </c>
    </row>
    <row r="2957" ht="10" customHeight="1">
      <c r="A2957" s="7" t="inlineStr">
        <is>
          <t>OPN_BA3</t>
        </is>
      </c>
      <c r="B2957" s="7" t="inlineStr">
        <is>
          <t>Procurement</t>
        </is>
      </c>
      <c r="D2957" s="7" t="inlineStr">
        <is>
          <t>ARC-210 RCS Shore</t>
        </is>
      </c>
      <c r="E2957" s="13" t="inlineStr">
        <is>
          <t>[SUB]</t>
        </is>
      </c>
      <c r="F2957" s="7" t="inlineStr">
        <is>
          <t>122 / UMCS-Unman Carrier Aviation(UCA)Mission Cntrl Stn</t>
        </is>
      </c>
      <c r="I2957" s="14" t="n">
        <v>4</v>
      </c>
      <c r="K2957" s="15" t="n"/>
      <c r="O2957" s="15" t="n"/>
      <c r="P2957" s="16" t="n">
        <v>1626</v>
      </c>
      <c r="S2957" s="16" t="n">
        <v>1252</v>
      </c>
      <c r="U2957" s="16" t="n">
        <v>1252</v>
      </c>
      <c r="AC2957" s="23">
        <f>IF(OR(E2957="",E2957="[PARENT]"),"ADD",IF(E2957="[ALT_VIEW]","ALT",""))</f>
        <v/>
      </c>
      <c r="AD2957" s="21">
        <f>IF(Y2957&lt;&gt;"",Y2957,IF(U2957&lt;&gt;"",U2957,S2957))</f>
        <v/>
      </c>
      <c r="AE2957" s="21">
        <f>IF(AB2957&lt;&gt;"",AB2957,Z2957)</f>
        <v/>
      </c>
      <c r="AF2957" s="13" t="inlineStr">
        <is>
          <t>P-5 / LI 4269 / Hardware Recurring</t>
        </is>
      </c>
      <c r="AG2957" s="7" t="inlineStr">
        <is>
          <t>200</t>
        </is>
      </c>
      <c r="AH2957" s="7" t="inlineStr">
        <is>
          <t>4269</t>
        </is>
      </c>
      <c r="AI2957" s="7" t="inlineStr">
        <is>
          <t>UMCS-Unman Carrier Aviation(UCA)Mission Cntrl Stn</t>
        </is>
      </c>
    </row>
    <row r="2958" ht="10" customHeight="1">
      <c r="A2958" s="7" t="inlineStr">
        <is>
          <t>OPN_BA3</t>
        </is>
      </c>
      <c r="B2958" s="7" t="inlineStr">
        <is>
          <t>Procurement</t>
        </is>
      </c>
      <c r="D2958" s="7" t="inlineStr">
        <is>
          <t>MUOS DMR Communication System Shore</t>
        </is>
      </c>
      <c r="E2958" s="13" t="inlineStr">
        <is>
          <t>[SUB]</t>
        </is>
      </c>
      <c r="F2958" s="7" t="inlineStr">
        <is>
          <t>122 / UMCS-Unman Carrier Aviation(UCA)Mission Cntrl Stn</t>
        </is>
      </c>
      <c r="I2958" s="14" t="n">
        <v>4</v>
      </c>
      <c r="K2958" s="15" t="n"/>
      <c r="O2958" s="15" t="n"/>
      <c r="Q2958" s="16" t="n">
        <v>1871</v>
      </c>
      <c r="S2958" s="16" t="n">
        <v>1908</v>
      </c>
      <c r="U2958" s="16" t="n">
        <v>1908</v>
      </c>
      <c r="AC2958" s="23">
        <f>IF(OR(E2958="",E2958="[PARENT]"),"ADD",IF(E2958="[ALT_VIEW]","ALT",""))</f>
        <v/>
      </c>
      <c r="AD2958" s="21">
        <f>IF(Y2958&lt;&gt;"",Y2958,IF(U2958&lt;&gt;"",U2958,S2958))</f>
        <v/>
      </c>
      <c r="AE2958" s="21">
        <f>IF(AB2958&lt;&gt;"",AB2958,Z2958)</f>
        <v/>
      </c>
      <c r="AF2958" s="13" t="inlineStr">
        <is>
          <t>P-5 / LI 4269 / Hardware Recurring</t>
        </is>
      </c>
      <c r="AG2958" s="7" t="inlineStr">
        <is>
          <t>200</t>
        </is>
      </c>
      <c r="AH2958" s="7" t="inlineStr">
        <is>
          <t>4269</t>
        </is>
      </c>
      <c r="AI2958" s="7" t="inlineStr">
        <is>
          <t>UMCS-Unman Carrier Aviation(UCA)Mission Cntrl Stn</t>
        </is>
      </c>
    </row>
    <row r="2959" ht="10" customHeight="1">
      <c r="A2959" s="7" t="inlineStr">
        <is>
          <t>OPN_BA3</t>
        </is>
      </c>
      <c r="B2959" s="7" t="inlineStr">
        <is>
          <t>Procurement</t>
        </is>
      </c>
      <c r="D2959" s="7" t="inlineStr">
        <is>
          <t>UCA Transport System (UTS)</t>
        </is>
      </c>
      <c r="E2959" s="13" t="inlineStr">
        <is>
          <t>[SUB]</t>
        </is>
      </c>
      <c r="F2959" s="7" t="inlineStr">
        <is>
          <t>122 / UMCS-Unman Carrier Aviation(UCA)Mission Cntrl Stn</t>
        </is>
      </c>
      <c r="I2959" s="14" t="n">
        <v>4</v>
      </c>
      <c r="K2959" s="13" t="inlineStr">
        <is>
          <t>USN</t>
        </is>
      </c>
      <c r="L2959" s="7" t="inlineStr">
        <is>
          <t>Combatant Ships</t>
        </is>
      </c>
      <c r="M2959" s="7" t="inlineStr">
        <is>
          <t>Aircraft Carriers</t>
        </is>
      </c>
      <c r="N2959" s="7" t="inlineStr">
        <is>
          <t>CVN</t>
        </is>
      </c>
      <c r="O2959" s="15" t="n"/>
      <c r="P2959" s="16" t="n">
        <v>1974</v>
      </c>
      <c r="S2959" s="16" t="n">
        <v>1160</v>
      </c>
      <c r="U2959" s="16" t="n">
        <v>1160</v>
      </c>
      <c r="AC2959" s="23">
        <f>IF(OR(E2959="",E2959="[PARENT]"),"ADD",IF(E2959="[ALT_VIEW]","ALT",""))</f>
        <v/>
      </c>
      <c r="AD2959" s="21">
        <f>IF(Y2959&lt;&gt;"",Y2959,IF(U2959&lt;&gt;"",U2959,S2959))</f>
        <v/>
      </c>
      <c r="AE2959" s="21">
        <f>IF(AB2959&lt;&gt;"",AB2959,Z2959)</f>
        <v/>
      </c>
      <c r="AF2959" s="13" t="inlineStr">
        <is>
          <t>P-5 / LI 4269 / Hardware Recurring</t>
        </is>
      </c>
      <c r="AG2959" s="7" t="inlineStr">
        <is>
          <t>200</t>
        </is>
      </c>
      <c r="AH2959" s="7" t="inlineStr">
        <is>
          <t>4269</t>
        </is>
      </c>
      <c r="AI2959" s="7" t="inlineStr">
        <is>
          <t>UMCS-Unman Carrier Aviation(UCA)Mission Cntrl Stn</t>
        </is>
      </c>
    </row>
    <row r="2960" ht="10" customHeight="1">
      <c r="A2960" s="7" t="inlineStr">
        <is>
          <t>OPN_BA3</t>
        </is>
      </c>
      <c r="B2960" s="7" t="inlineStr">
        <is>
          <t>Procurement</t>
        </is>
      </c>
      <c r="D2960" s="7" t="inlineStr">
        <is>
          <t>Air Traffic Control (ATC) Picture (UYY-1)</t>
        </is>
      </c>
      <c r="E2960" s="13" t="inlineStr">
        <is>
          <t>[SUB]</t>
        </is>
      </c>
      <c r="F2960" s="7" t="inlineStr">
        <is>
          <t>122 / UMCS-Unman Carrier Aviation(UCA)Mission Cntrl Stn</t>
        </is>
      </c>
      <c r="I2960" s="14" t="n">
        <v>4</v>
      </c>
      <c r="K2960" s="13" t="inlineStr">
        <is>
          <t>USN</t>
        </is>
      </c>
      <c r="L2960" s="7" t="inlineStr">
        <is>
          <t>Combatant Ships</t>
        </is>
      </c>
      <c r="M2960" s="7" t="inlineStr">
        <is>
          <t>Aircraft Carriers</t>
        </is>
      </c>
      <c r="N2960" s="7" t="inlineStr">
        <is>
          <t>CVN</t>
        </is>
      </c>
      <c r="O2960" s="15" t="n"/>
      <c r="Q2960" s="16" t="n">
        <v>88</v>
      </c>
      <c r="S2960" s="16" t="n">
        <v>70</v>
      </c>
      <c r="U2960" s="16" t="n">
        <v>70</v>
      </c>
      <c r="AC2960" s="23">
        <f>IF(OR(E2960="",E2960="[PARENT]"),"ADD",IF(E2960="[ALT_VIEW]","ALT",""))</f>
        <v/>
      </c>
      <c r="AD2960" s="21">
        <f>IF(Y2960&lt;&gt;"",Y2960,IF(U2960&lt;&gt;"",U2960,S2960))</f>
        <v/>
      </c>
      <c r="AE2960" s="21">
        <f>IF(AB2960&lt;&gt;"",AB2960,Z2960)</f>
        <v/>
      </c>
      <c r="AF2960" s="13" t="inlineStr">
        <is>
          <t>P-5 / LI 4269 / Hardware Recurring</t>
        </is>
      </c>
      <c r="AG2960" s="7" t="inlineStr">
        <is>
          <t>200</t>
        </is>
      </c>
      <c r="AH2960" s="7" t="inlineStr">
        <is>
          <t>4269</t>
        </is>
      </c>
      <c r="AI2960" s="7" t="inlineStr">
        <is>
          <t>UMCS-Unman Carrier Aviation(UCA)Mission Cntrl Stn</t>
        </is>
      </c>
    </row>
    <row r="2961" ht="10" customHeight="1">
      <c r="A2961" s="7" t="inlineStr">
        <is>
          <t>OPN_BA3</t>
        </is>
      </c>
      <c r="B2961" s="7" t="inlineStr">
        <is>
          <t>Procurement</t>
        </is>
      </c>
      <c r="D2961" s="7" t="inlineStr">
        <is>
          <t>ARC-210 Shore Voice Communication System</t>
        </is>
      </c>
      <c r="E2961" s="13" t="inlineStr">
        <is>
          <t>[SUB]</t>
        </is>
      </c>
      <c r="F2961" s="7" t="inlineStr">
        <is>
          <t>122 / UMCS-Unman Carrier Aviation(UCA)Mission Cntrl Stn</t>
        </is>
      </c>
      <c r="I2961" s="14" t="n">
        <v>4</v>
      </c>
      <c r="K2961" s="15" t="n"/>
      <c r="O2961" s="15" t="n"/>
      <c r="P2961" s="16" t="n">
        <v>652</v>
      </c>
      <c r="S2961" s="16" t="n">
        <v>1945</v>
      </c>
      <c r="U2961" s="16" t="n">
        <v>1945</v>
      </c>
      <c r="AC2961" s="23">
        <f>IF(OR(E2961="",E2961="[PARENT]"),"ADD",IF(E2961="[ALT_VIEW]","ALT",""))</f>
        <v/>
      </c>
      <c r="AD2961" s="21">
        <f>IF(Y2961&lt;&gt;"",Y2961,IF(U2961&lt;&gt;"",U2961,S2961))</f>
        <v/>
      </c>
      <c r="AE2961" s="21">
        <f>IF(AB2961&lt;&gt;"",AB2961,Z2961)</f>
        <v/>
      </c>
      <c r="AF2961" s="13" t="inlineStr">
        <is>
          <t>P-5 / LI 4269 / Hardware Recurring</t>
        </is>
      </c>
      <c r="AG2961" s="7" t="inlineStr">
        <is>
          <t>200</t>
        </is>
      </c>
      <c r="AH2961" s="7" t="inlineStr">
        <is>
          <t>4269</t>
        </is>
      </c>
      <c r="AI2961" s="7" t="inlineStr">
        <is>
          <t>UMCS-Unman Carrier Aviation(UCA)Mission Cntrl Stn</t>
        </is>
      </c>
    </row>
    <row r="2962" ht="10" customHeight="1">
      <c r="A2962" s="7" t="inlineStr">
        <is>
          <t>OPN_BA3</t>
        </is>
      </c>
      <c r="B2962" s="7" t="inlineStr">
        <is>
          <t>Procurement</t>
        </is>
      </c>
      <c r="D2962" s="7" t="inlineStr">
        <is>
          <t>Ancillaries (Shore Only)</t>
        </is>
      </c>
      <c r="E2962" s="13" t="inlineStr">
        <is>
          <t>[SUB]</t>
        </is>
      </c>
      <c r="F2962" s="7" t="inlineStr">
        <is>
          <t>122 / UMCS-Unman Carrier Aviation(UCA)Mission Cntrl Stn</t>
        </is>
      </c>
      <c r="I2962" s="14" t="n">
        <v>4</v>
      </c>
      <c r="K2962" s="15" t="n"/>
      <c r="O2962" s="15" t="n"/>
      <c r="S2962" s="16" t="n">
        <v>200</v>
      </c>
      <c r="U2962" s="16" t="n">
        <v>200</v>
      </c>
      <c r="AC2962" s="23">
        <f>IF(OR(E2962="",E2962="[PARENT]"),"ADD",IF(E2962="[ALT_VIEW]","ALT",""))</f>
        <v/>
      </c>
      <c r="AD2962" s="21">
        <f>IF(Y2962&lt;&gt;"",Y2962,IF(U2962&lt;&gt;"",U2962,S2962))</f>
        <v/>
      </c>
      <c r="AE2962" s="21">
        <f>IF(AB2962&lt;&gt;"",AB2962,Z2962)</f>
        <v/>
      </c>
      <c r="AF2962" s="13" t="inlineStr">
        <is>
          <t>P-5 / LI 4269 / Hardware Recurring</t>
        </is>
      </c>
      <c r="AG2962" s="7" t="inlineStr">
        <is>
          <t>200</t>
        </is>
      </c>
      <c r="AH2962" s="7" t="inlineStr">
        <is>
          <t>4269</t>
        </is>
      </c>
      <c r="AI2962" s="7" t="inlineStr">
        <is>
          <t>UMCS-Unman Carrier Aviation(UCA)Mission Cntrl Stn</t>
        </is>
      </c>
    </row>
    <row r="2963" ht="10" customHeight="1">
      <c r="A2963" s="7" t="inlineStr">
        <is>
          <t>OPN_BA3</t>
        </is>
      </c>
      <c r="B2963" s="7" t="inlineStr">
        <is>
          <t>Procurement</t>
        </is>
      </c>
      <c r="D2963" s="7" t="inlineStr">
        <is>
          <t>CVN Installation and Shipyard Services</t>
        </is>
      </c>
      <c r="E2963" s="13" t="inlineStr">
        <is>
          <t>[SUB]</t>
        </is>
      </c>
      <c r="F2963" s="7" t="inlineStr">
        <is>
          <t>122 / UMCS-Unman Carrier Aviation(UCA)Mission Cntrl Stn</t>
        </is>
      </c>
      <c r="I2963" s="14" t="n">
        <v>4</v>
      </c>
      <c r="K2963" s="13" t="inlineStr">
        <is>
          <t>USN</t>
        </is>
      </c>
      <c r="L2963" s="7" t="inlineStr">
        <is>
          <t>Combatant Ships</t>
        </is>
      </c>
      <c r="M2963" s="7" t="inlineStr">
        <is>
          <t>Aircraft Carriers</t>
        </is>
      </c>
      <c r="N2963" s="7" t="inlineStr">
        <is>
          <t>CVN</t>
        </is>
      </c>
      <c r="O2963" s="15" t="n"/>
      <c r="P2963" s="16" t="n">
        <v>48716</v>
      </c>
      <c r="Q2963" s="16" t="n">
        <v>47393</v>
      </c>
      <c r="S2963" s="16" t="n">
        <v>48596</v>
      </c>
      <c r="U2963" s="16" t="n">
        <v>48596</v>
      </c>
      <c r="AC2963" s="23">
        <f>IF(OR(E2963="",E2963="[PARENT]"),"ADD",IF(E2963="[ALT_VIEW]","ALT",""))</f>
        <v/>
      </c>
      <c r="AD2963" s="21">
        <f>IF(Y2963&lt;&gt;"",Y2963,IF(U2963&lt;&gt;"",U2963,S2963))</f>
        <v/>
      </c>
      <c r="AE2963" s="21">
        <f>IF(AB2963&lt;&gt;"",AB2963,Z2963)</f>
        <v/>
      </c>
      <c r="AF2963" s="13" t="inlineStr">
        <is>
          <t>P-5 / LI 4269 / Hardware Non-Recurring</t>
        </is>
      </c>
      <c r="AG2963" s="7" t="inlineStr">
        <is>
          <t>200</t>
        </is>
      </c>
      <c r="AH2963" s="7" t="inlineStr">
        <is>
          <t>4269</t>
        </is>
      </c>
      <c r="AI2963" s="7" t="inlineStr">
        <is>
          <t>UMCS-Unman Carrier Aviation(UCA)Mission Cntrl Stn</t>
        </is>
      </c>
    </row>
    <row r="2964" ht="10" customHeight="1">
      <c r="A2964" s="7" t="inlineStr">
        <is>
          <t>OPN_BA3</t>
        </is>
      </c>
      <c r="B2964" s="7" t="inlineStr">
        <is>
          <t>Procurement</t>
        </is>
      </c>
      <c r="D2964" s="7" t="inlineStr">
        <is>
          <t>Launch and Recovery</t>
        </is>
      </c>
      <c r="E2964" s="13" t="inlineStr">
        <is>
          <t>[SUB]</t>
        </is>
      </c>
      <c r="F2964" s="7" t="inlineStr">
        <is>
          <t>122 / UMCS-Unman Carrier Aviation(UCA)Mission Cntrl Stn</t>
        </is>
      </c>
      <c r="I2964" s="14" t="n">
        <v>4</v>
      </c>
      <c r="K2964" s="13" t="inlineStr">
        <is>
          <t>USN</t>
        </is>
      </c>
      <c r="L2964" s="7" t="inlineStr">
        <is>
          <t>Combatant Ships</t>
        </is>
      </c>
      <c r="M2964" s="7" t="inlineStr">
        <is>
          <t>Aircraft Carriers</t>
        </is>
      </c>
      <c r="N2964" s="7" t="inlineStr">
        <is>
          <t>CVN</t>
        </is>
      </c>
      <c r="O2964" s="15" t="n"/>
      <c r="P2964" s="16" t="n">
        <v>6191</v>
      </c>
      <c r="Q2964" s="16" t="n">
        <v>6418</v>
      </c>
      <c r="S2964" s="16" t="n">
        <v>4756</v>
      </c>
      <c r="U2964" s="16" t="n">
        <v>4756</v>
      </c>
      <c r="AC2964" s="23">
        <f>IF(OR(E2964="",E2964="[PARENT]"),"ADD",IF(E2964="[ALT_VIEW]","ALT",""))</f>
        <v/>
      </c>
      <c r="AD2964" s="21">
        <f>IF(Y2964&lt;&gt;"",Y2964,IF(U2964&lt;&gt;"",U2964,S2964))</f>
        <v/>
      </c>
      <c r="AE2964" s="21">
        <f>IF(AB2964&lt;&gt;"",AB2964,Z2964)</f>
        <v/>
      </c>
      <c r="AF2964" s="13" t="inlineStr">
        <is>
          <t>P-5 / LI 4269 / Hardware Non-Recurring</t>
        </is>
      </c>
      <c r="AG2964" s="7" t="inlineStr">
        <is>
          <t>200</t>
        </is>
      </c>
      <c r="AH2964" s="7" t="inlineStr">
        <is>
          <t>4269</t>
        </is>
      </c>
      <c r="AI2964" s="7" t="inlineStr">
        <is>
          <t>UMCS-Unman Carrier Aviation(UCA)Mission Cntrl Stn</t>
        </is>
      </c>
    </row>
    <row r="2965" ht="10" customHeight="1">
      <c r="A2965" s="7" t="inlineStr">
        <is>
          <t>OPN_BA3</t>
        </is>
      </c>
      <c r="B2965" s="7" t="inlineStr">
        <is>
          <t>Procurement</t>
        </is>
      </c>
      <c r="D2965" s="7" t="inlineStr">
        <is>
          <t>C4I Integration</t>
        </is>
      </c>
      <c r="E2965" s="13" t="inlineStr">
        <is>
          <t>[SUB]</t>
        </is>
      </c>
      <c r="F2965" s="7" t="inlineStr">
        <is>
          <t>122 / UMCS-Unman Carrier Aviation(UCA)Mission Cntrl Stn</t>
        </is>
      </c>
      <c r="I2965" s="14" t="n">
        <v>4</v>
      </c>
      <c r="K2965" s="13" t="inlineStr">
        <is>
          <t>USN</t>
        </is>
      </c>
      <c r="L2965" s="7" t="inlineStr">
        <is>
          <t>Combatant Ships</t>
        </is>
      </c>
      <c r="M2965" s="7" t="inlineStr">
        <is>
          <t>Aircraft Carriers</t>
        </is>
      </c>
      <c r="N2965" s="7" t="inlineStr">
        <is>
          <t>CVN</t>
        </is>
      </c>
      <c r="O2965" s="15" t="n"/>
      <c r="P2965" s="16" t="n">
        <v>17008</v>
      </c>
      <c r="Q2965" s="16" t="n">
        <v>17348</v>
      </c>
      <c r="S2965" s="16" t="n">
        <v>16670</v>
      </c>
      <c r="U2965" s="16" t="n">
        <v>16670</v>
      </c>
      <c r="AC2965" s="23">
        <f>IF(OR(E2965="",E2965="[PARENT]"),"ADD",IF(E2965="[ALT_VIEW]","ALT",""))</f>
        <v/>
      </c>
      <c r="AD2965" s="21">
        <f>IF(Y2965&lt;&gt;"",Y2965,IF(U2965&lt;&gt;"",U2965,S2965))</f>
        <v/>
      </c>
      <c r="AE2965" s="21">
        <f>IF(AB2965&lt;&gt;"",AB2965,Z2965)</f>
        <v/>
      </c>
      <c r="AF2965" s="13" t="inlineStr">
        <is>
          <t>P-5 / LI 4269 / Hardware Non-Recurring</t>
        </is>
      </c>
      <c r="AG2965" s="7" t="inlineStr">
        <is>
          <t>200</t>
        </is>
      </c>
      <c r="AH2965" s="7" t="inlineStr">
        <is>
          <t>4269</t>
        </is>
      </c>
      <c r="AI2965" s="7" t="inlineStr">
        <is>
          <t>UMCS-Unman Carrier Aviation(UCA)Mission Cntrl Stn</t>
        </is>
      </c>
    </row>
    <row r="2966" ht="10" customHeight="1">
      <c r="A2966" s="7" t="inlineStr">
        <is>
          <t>OPN_BA3</t>
        </is>
      </c>
      <c r="B2966" s="7" t="inlineStr">
        <is>
          <t>Procurement</t>
        </is>
      </c>
      <c r="D2966" s="7" t="inlineStr">
        <is>
          <t>CVN Modification Planning and Integration</t>
        </is>
      </c>
      <c r="E2966" s="13" t="inlineStr">
        <is>
          <t>[SUB]</t>
        </is>
      </c>
      <c r="F2966" s="7" t="inlineStr">
        <is>
          <t>122 / UMCS-Unman Carrier Aviation(UCA)Mission Cntrl Stn</t>
        </is>
      </c>
      <c r="I2966" s="14" t="n">
        <v>4</v>
      </c>
      <c r="K2966" s="13" t="inlineStr">
        <is>
          <t>USN</t>
        </is>
      </c>
      <c r="L2966" s="7" t="inlineStr">
        <is>
          <t>Combatant Ships</t>
        </is>
      </c>
      <c r="M2966" s="7" t="inlineStr">
        <is>
          <t>Aircraft Carriers</t>
        </is>
      </c>
      <c r="N2966" s="7" t="inlineStr">
        <is>
          <t>CVN</t>
        </is>
      </c>
      <c r="O2966" s="15" t="n"/>
      <c r="P2966" s="16" t="n">
        <v>5539</v>
      </c>
      <c r="Q2966" s="16" t="n">
        <v>4342</v>
      </c>
      <c r="S2966" s="16" t="n">
        <v>10735</v>
      </c>
      <c r="U2966" s="16" t="n">
        <v>10735</v>
      </c>
      <c r="AC2966" s="23">
        <f>IF(OR(E2966="",E2966="[PARENT]"),"ADD",IF(E2966="[ALT_VIEW]","ALT",""))</f>
        <v/>
      </c>
      <c r="AD2966" s="21">
        <f>IF(Y2966&lt;&gt;"",Y2966,IF(U2966&lt;&gt;"",U2966,S2966))</f>
        <v/>
      </c>
      <c r="AE2966" s="21">
        <f>IF(AB2966&lt;&gt;"",AB2966,Z2966)</f>
        <v/>
      </c>
      <c r="AF2966" s="13" t="inlineStr">
        <is>
          <t>P-5 / LI 4269 / Hardware Non-Recurring</t>
        </is>
      </c>
      <c r="AG2966" s="7" t="inlineStr">
        <is>
          <t>200</t>
        </is>
      </c>
      <c r="AH2966" s="7" t="inlineStr">
        <is>
          <t>4269</t>
        </is>
      </c>
      <c r="AI2966" s="7" t="inlineStr">
        <is>
          <t>UMCS-Unman Carrier Aviation(UCA)Mission Cntrl Stn</t>
        </is>
      </c>
    </row>
    <row r="2967" ht="10" customHeight="1">
      <c r="A2967" s="7" t="inlineStr">
        <is>
          <t>OPN_BA3</t>
        </is>
      </c>
      <c r="B2967" s="7" t="inlineStr">
        <is>
          <t>Procurement</t>
        </is>
      </c>
      <c r="D2967" s="7" t="inlineStr">
        <is>
          <t>Product Support and Assembly</t>
        </is>
      </c>
      <c r="E2967" s="13" t="inlineStr">
        <is>
          <t>[SUB]</t>
        </is>
      </c>
      <c r="F2967" s="7" t="inlineStr">
        <is>
          <t>122 / UMCS-Unman Carrier Aviation(UCA)Mission Cntrl Stn</t>
        </is>
      </c>
      <c r="I2967" s="14" t="n">
        <v>4</v>
      </c>
      <c r="K2967" s="15" t="n"/>
      <c r="O2967" s="15" t="n"/>
      <c r="P2967" s="16" t="n">
        <v>18009</v>
      </c>
      <c r="Q2967" s="16" t="n">
        <v>15073</v>
      </c>
      <c r="S2967" s="16" t="n">
        <v>26321</v>
      </c>
      <c r="U2967" s="16" t="n">
        <v>26321</v>
      </c>
      <c r="AC2967" s="23">
        <f>IF(OR(E2967="",E2967="[PARENT]"),"ADD",IF(E2967="[ALT_VIEW]","ALT",""))</f>
        <v/>
      </c>
      <c r="AD2967" s="21">
        <f>IF(Y2967&lt;&gt;"",Y2967,IF(U2967&lt;&gt;"",U2967,S2967))</f>
        <v/>
      </c>
      <c r="AE2967" s="21">
        <f>IF(AB2967&lt;&gt;"",AB2967,Z2967)</f>
        <v/>
      </c>
      <c r="AF2967" s="13" t="inlineStr">
        <is>
          <t>P-5 / LI 4269 / Hardware Non-Recurring</t>
        </is>
      </c>
      <c r="AG2967" s="7" t="inlineStr">
        <is>
          <t>200</t>
        </is>
      </c>
      <c r="AH2967" s="7" t="inlineStr">
        <is>
          <t>4269</t>
        </is>
      </c>
      <c r="AI2967" s="7" t="inlineStr">
        <is>
          <t>UMCS-Unman Carrier Aviation(UCA)Mission Cntrl Stn</t>
        </is>
      </c>
    </row>
    <row r="2968" ht="10" customHeight="1">
      <c r="A2968" s="7" t="inlineStr">
        <is>
          <t>OPN_BA3</t>
        </is>
      </c>
      <c r="B2968" s="7" t="inlineStr">
        <is>
          <t>Procurement</t>
        </is>
      </c>
      <c r="D2968" s="7" t="inlineStr">
        <is>
          <t>Shore Integration</t>
        </is>
      </c>
      <c r="E2968" s="13" t="inlineStr">
        <is>
          <t>[SUB]</t>
        </is>
      </c>
      <c r="F2968" s="7" t="inlineStr">
        <is>
          <t>122 / UMCS-Unman Carrier Aviation(UCA)Mission Cntrl Stn</t>
        </is>
      </c>
      <c r="I2968" s="14" t="n">
        <v>4</v>
      </c>
      <c r="K2968" s="15" t="n"/>
      <c r="O2968" s="15" t="n"/>
      <c r="P2968" s="16" t="n">
        <v>2859</v>
      </c>
      <c r="Q2968" s="16" t="n">
        <v>5375</v>
      </c>
      <c r="S2968" s="16" t="n">
        <v>6438</v>
      </c>
      <c r="U2968" s="16" t="n">
        <v>6438</v>
      </c>
      <c r="AC2968" s="23">
        <f>IF(OR(E2968="",E2968="[PARENT]"),"ADD",IF(E2968="[ALT_VIEW]","ALT",""))</f>
        <v/>
      </c>
      <c r="AD2968" s="21">
        <f>IF(Y2968&lt;&gt;"",Y2968,IF(U2968&lt;&gt;"",U2968,S2968))</f>
        <v/>
      </c>
      <c r="AE2968" s="21">
        <f>IF(AB2968&lt;&gt;"",AB2968,Z2968)</f>
        <v/>
      </c>
      <c r="AF2968" s="13" t="inlineStr">
        <is>
          <t>P-5 / LI 4269 / Hardware Non-Recurring</t>
        </is>
      </c>
      <c r="AG2968" s="7" t="inlineStr">
        <is>
          <t>200</t>
        </is>
      </c>
      <c r="AH2968" s="7" t="inlineStr">
        <is>
          <t>4269</t>
        </is>
      </c>
      <c r="AI2968" s="7" t="inlineStr">
        <is>
          <t>UMCS-Unman Carrier Aviation(UCA)Mission Cntrl Stn</t>
        </is>
      </c>
    </row>
    <row r="2969" ht="10" customHeight="1">
      <c r="A2969" s="7" t="inlineStr">
        <is>
          <t>OPN_BA3</t>
        </is>
      </c>
      <c r="B2969" s="7" t="inlineStr">
        <is>
          <t>Procurement</t>
        </is>
      </c>
      <c r="D2969" s="7" t="inlineStr">
        <is>
          <t>Ground Control Station (GCS)</t>
        </is>
      </c>
      <c r="E2969" s="13" t="inlineStr">
        <is>
          <t>[SUB]</t>
        </is>
      </c>
      <c r="F2969" s="7" t="inlineStr">
        <is>
          <t>122 / UMCS-Unman Carrier Aviation(UCA)Mission Cntrl Stn</t>
        </is>
      </c>
      <c r="I2969" s="14" t="n">
        <v>4</v>
      </c>
      <c r="K2969" s="13" t="inlineStr">
        <is>
          <t>USN</t>
        </is>
      </c>
      <c r="L2969" s="7" t="inlineStr">
        <is>
          <t>Combatant Ships</t>
        </is>
      </c>
      <c r="M2969" s="7" t="inlineStr">
        <is>
          <t>Aircraft Carriers</t>
        </is>
      </c>
      <c r="N2969" s="7" t="inlineStr">
        <is>
          <t>CVN</t>
        </is>
      </c>
      <c r="O2969" s="15" t="n"/>
      <c r="P2969" s="16" t="n">
        <v>13693</v>
      </c>
      <c r="Q2969" s="16" t="n">
        <v>8100</v>
      </c>
      <c r="S2969" s="16" t="n">
        <v>19298</v>
      </c>
      <c r="U2969" s="16" t="n">
        <v>19298</v>
      </c>
      <c r="AC2969" s="23">
        <f>IF(OR(E2969="",E2969="[PARENT]"),"ADD",IF(E2969="[ALT_VIEW]","ALT",""))</f>
        <v/>
      </c>
      <c r="AD2969" s="21">
        <f>IF(Y2969&lt;&gt;"",Y2969,IF(U2969&lt;&gt;"",U2969,S2969))</f>
        <v/>
      </c>
      <c r="AE2969" s="21">
        <f>IF(AB2969&lt;&gt;"",AB2969,Z2969)</f>
        <v/>
      </c>
      <c r="AF2969" s="13" t="inlineStr">
        <is>
          <t>P-5 / LI 4269 / Hardware Non-Recurring</t>
        </is>
      </c>
      <c r="AG2969" s="7" t="inlineStr">
        <is>
          <t>200</t>
        </is>
      </c>
      <c r="AH2969" s="7" t="inlineStr">
        <is>
          <t>4269</t>
        </is>
      </c>
      <c r="AI2969" s="7" t="inlineStr">
        <is>
          <t>UMCS-Unman Carrier Aviation(UCA)Mission Cntrl Stn</t>
        </is>
      </c>
    </row>
    <row r="2970" ht="10" customHeight="1">
      <c r="A2970" s="7" t="inlineStr">
        <is>
          <t>OPN_BA3</t>
        </is>
      </c>
      <c r="B2970" s="7" t="inlineStr">
        <is>
          <t>Procurement</t>
        </is>
      </c>
      <c r="D2970" s="7" t="inlineStr">
        <is>
          <t>Software</t>
        </is>
      </c>
      <c r="E2970" s="13" t="inlineStr">
        <is>
          <t>[SUB]</t>
        </is>
      </c>
      <c r="F2970" s="7" t="inlineStr">
        <is>
          <t>122 / UMCS-Unman Carrier Aviation(UCA)Mission Cntrl Stn</t>
        </is>
      </c>
      <c r="I2970" s="14" t="n">
        <v>4</v>
      </c>
      <c r="K2970" s="15" t="n"/>
      <c r="O2970" s="15" t="n"/>
      <c r="P2970" s="16" t="n">
        <v>2843</v>
      </c>
      <c r="Q2970" s="16" t="n">
        <v>3790</v>
      </c>
      <c r="S2970" s="16" t="n">
        <v>6267</v>
      </c>
      <c r="U2970" s="16" t="n">
        <v>6267</v>
      </c>
      <c r="AC2970" s="23">
        <f>IF(OR(E2970="",E2970="[PARENT]"),"ADD",IF(E2970="[ALT_VIEW]","ALT",""))</f>
        <v/>
      </c>
      <c r="AD2970" s="21">
        <f>IF(Y2970&lt;&gt;"",Y2970,IF(U2970&lt;&gt;"",U2970,S2970))</f>
        <v/>
      </c>
      <c r="AE2970" s="21">
        <f>IF(AB2970&lt;&gt;"",AB2970,Z2970)</f>
        <v/>
      </c>
      <c r="AF2970" s="13" t="inlineStr">
        <is>
          <t>P-5 / LI 4269 / Software Recurring</t>
        </is>
      </c>
      <c r="AG2970" s="7" t="inlineStr">
        <is>
          <t>200</t>
        </is>
      </c>
      <c r="AH2970" s="7" t="inlineStr">
        <is>
          <t>4269</t>
        </is>
      </c>
      <c r="AI2970" s="7" t="inlineStr">
        <is>
          <t>UMCS-Unman Carrier Aviation(UCA)Mission Cntrl Stn</t>
        </is>
      </c>
    </row>
    <row r="2971" ht="10" customHeight="1">
      <c r="A2971" s="7" t="inlineStr">
        <is>
          <t>OPN_BA3</t>
        </is>
      </c>
      <c r="B2971" s="7" t="inlineStr">
        <is>
          <t>Procurement</t>
        </is>
      </c>
      <c r="D2971" s="7" t="inlineStr">
        <is>
          <t>Production Engineering Support (PES)</t>
        </is>
      </c>
      <c r="E2971" s="13" t="inlineStr">
        <is>
          <t>[SUB]</t>
        </is>
      </c>
      <c r="F2971" s="7" t="inlineStr">
        <is>
          <t>122 / UMCS-Unman Carrier Aviation(UCA)Mission Cntrl Stn</t>
        </is>
      </c>
      <c r="I2971" s="14" t="n">
        <v>4</v>
      </c>
      <c r="K2971" s="15" t="n"/>
      <c r="O2971" s="15" t="n"/>
      <c r="P2971" s="16" t="n">
        <v>3488</v>
      </c>
      <c r="Q2971" s="16" t="n">
        <v>3561</v>
      </c>
      <c r="S2971" s="16" t="n">
        <v>7135</v>
      </c>
      <c r="U2971" s="16" t="n">
        <v>7135</v>
      </c>
      <c r="AC2971" s="23">
        <f>IF(OR(E2971="",E2971="[PARENT]"),"ADD",IF(E2971="[ALT_VIEW]","ALT",""))</f>
        <v/>
      </c>
      <c r="AD2971" s="21">
        <f>IF(Y2971&lt;&gt;"",Y2971,IF(U2971&lt;&gt;"",U2971,S2971))</f>
        <v/>
      </c>
      <c r="AE2971" s="21">
        <f>IF(AB2971&lt;&gt;"",AB2971,Z2971)</f>
        <v/>
      </c>
      <c r="AF2971" s="13" t="inlineStr">
        <is>
          <t>P-5 / LI 4269 / Support</t>
        </is>
      </c>
      <c r="AG2971" s="7" t="inlineStr">
        <is>
          <t>200</t>
        </is>
      </c>
      <c r="AH2971" s="7" t="inlineStr">
        <is>
          <t>4269</t>
        </is>
      </c>
      <c r="AI2971" s="7" t="inlineStr">
        <is>
          <t>UMCS-Unman Carrier Aviation(UCA)Mission Cntrl Stn</t>
        </is>
      </c>
    </row>
    <row r="2972" ht="10" customHeight="1">
      <c r="A2972" s="7" t="inlineStr">
        <is>
          <t>OPN_BA3</t>
        </is>
      </c>
      <c r="B2972" s="7" t="inlineStr">
        <is>
          <t>Procurement</t>
        </is>
      </c>
      <c r="D2972" s="7" t="inlineStr">
        <is>
          <t>Integrated Logistics Support (ILS)</t>
        </is>
      </c>
      <c r="E2972" s="13" t="inlineStr">
        <is>
          <t>[SUB]</t>
        </is>
      </c>
      <c r="F2972" s="7" t="inlineStr">
        <is>
          <t>122 / UMCS-Unman Carrier Aviation(UCA)Mission Cntrl Stn</t>
        </is>
      </c>
      <c r="I2972" s="14" t="n">
        <v>4</v>
      </c>
      <c r="K2972" s="15" t="n"/>
      <c r="O2972" s="15" t="n"/>
      <c r="P2972" s="16" t="n">
        <v>3616</v>
      </c>
      <c r="Q2972" s="16" t="n">
        <v>3688</v>
      </c>
      <c r="S2972" s="16" t="n">
        <v>8280</v>
      </c>
      <c r="U2972" s="16" t="n">
        <v>8280</v>
      </c>
      <c r="AC2972" s="23">
        <f>IF(OR(E2972="",E2972="[PARENT]"),"ADD",IF(E2972="[ALT_VIEW]","ALT",""))</f>
        <v/>
      </c>
      <c r="AD2972" s="21">
        <f>IF(Y2972&lt;&gt;"",Y2972,IF(U2972&lt;&gt;"",U2972,S2972))</f>
        <v/>
      </c>
      <c r="AE2972" s="21">
        <f>IF(AB2972&lt;&gt;"",AB2972,Z2972)</f>
        <v/>
      </c>
      <c r="AF2972" s="13" t="inlineStr">
        <is>
          <t>P-5 / LI 4269 / Support</t>
        </is>
      </c>
      <c r="AG2972" s="7" t="inlineStr">
        <is>
          <t>200</t>
        </is>
      </c>
      <c r="AH2972" s="7" t="inlineStr">
        <is>
          <t>4269</t>
        </is>
      </c>
      <c r="AI2972" s="7" t="inlineStr">
        <is>
          <t>UMCS-Unman Carrier Aviation(UCA)Mission Cntrl Stn</t>
        </is>
      </c>
    </row>
    <row r="2973" ht="10" customHeight="1">
      <c r="A2973" s="7" t="inlineStr">
        <is>
          <t>OPN_BA3</t>
        </is>
      </c>
      <c r="B2973" s="7" t="inlineStr">
        <is>
          <t>Procurement</t>
        </is>
      </c>
      <c r="C2973" s="7" t="inlineStr">
        <is>
          <t>123</t>
        </is>
      </c>
      <c r="D2973" s="7" t="inlineStr">
        <is>
          <t>Architect &amp; Cap for Autonomy in Nav Enter (ARCANE)</t>
        </is>
      </c>
      <c r="E2973" s="15" t="n"/>
      <c r="I2973" s="14" t="n">
        <v>6</v>
      </c>
      <c r="K2973" s="15" t="n"/>
      <c r="O2973" s="15" t="n"/>
      <c r="P2973" s="16" t="n">
        <v>1611</v>
      </c>
      <c r="AC2973" s="23">
        <f>IF(OR(E2973="",E2973="[PARENT]"),"ADD",IF(E2973="[ALT_VIEW]","ALT",""))</f>
        <v/>
      </c>
      <c r="AD2973" s="21">
        <f>IF(Y2973&lt;&gt;"",Y2973,IF(U2973&lt;&gt;"",U2973,S2973))</f>
        <v/>
      </c>
      <c r="AE2973" s="21">
        <f>IF(AB2973&lt;&gt;"",AB2973,Z2973)</f>
        <v/>
      </c>
      <c r="AF2973" s="13" t="inlineStr">
        <is>
          <t>P-40a / BA03 / BSA03 Aircraft Support Equipment / LI 4604</t>
        </is>
      </c>
      <c r="AG2973" s="7" t="inlineStr">
        <is>
          <t>217</t>
        </is>
      </c>
      <c r="AH2973" s="7" t="inlineStr">
        <is>
          <t>4604</t>
        </is>
      </c>
      <c r="AI2973" s="7" t="inlineStr">
        <is>
          <t>ARCANE</t>
        </is>
      </c>
    </row>
    <row r="2974" ht="10" customHeight="1">
      <c r="A2974" s="7" t="inlineStr">
        <is>
          <t>OPN_BA3</t>
        </is>
      </c>
      <c r="B2974" s="7" t="inlineStr">
        <is>
          <t>Procurement</t>
        </is>
      </c>
      <c r="C2974" s="7" t="inlineStr">
        <is>
          <t>176</t>
        </is>
      </c>
      <c r="D2974" s="7" t="inlineStr">
        <is>
          <t>Spares and Repair Parts</t>
        </is>
      </c>
      <c r="E2974" s="15" t="n"/>
      <c r="I2974" s="14" t="n">
        <v>6</v>
      </c>
      <c r="K2974" s="15" t="n"/>
      <c r="O2974" s="15" t="n"/>
      <c r="P2974" s="16" t="n">
        <v>736770</v>
      </c>
      <c r="Q2974" s="16" t="n">
        <v>705144</v>
      </c>
      <c r="S2974" s="16" t="n">
        <v>585865</v>
      </c>
      <c r="T2974" s="16" t="n">
        <v>297765</v>
      </c>
      <c r="U2974" s="16" t="n">
        <v>883630</v>
      </c>
      <c r="W2974" s="16" t="n">
        <v>569051</v>
      </c>
      <c r="X2974" s="16" t="n">
        <v>159138</v>
      </c>
      <c r="Y2974" s="16" t="n">
        <v>728189</v>
      </c>
      <c r="Z2974" s="16" t="n">
        <v>765711</v>
      </c>
      <c r="AB2974" s="16" t="n">
        <v>765711</v>
      </c>
      <c r="AC2974" s="23">
        <f>IF(OR(E2974="",E2974="[PARENT]"),"ADD",IF(E2974="[ALT_VIEW]","ALT",""))</f>
        <v/>
      </c>
      <c r="AD2974" s="21">
        <f>IF(Y2974&lt;&gt;"",Y2974,IF(U2974&lt;&gt;"",U2974,S2974))</f>
        <v/>
      </c>
      <c r="AE2974" s="21">
        <f>IF(AB2974&lt;&gt;"",AB2974,Z2974)</f>
        <v/>
      </c>
      <c r="AF2974" s="13" t="inlineStr">
        <is>
          <t>P-1 Detail / BA08 / BSA01 Spares and Repair Parts</t>
        </is>
      </c>
      <c r="AG2974" s="7" t="inlineStr">
        <is>
          <t>32</t>
        </is>
      </c>
      <c r="AH2974" s="7" t="inlineStr">
        <is>
          <t>9020</t>
        </is>
      </c>
    </row>
    <row r="2975" ht="10" customHeight="1">
      <c r="A2975" s="7" t="inlineStr">
        <is>
          <t>OPN_BA3</t>
        </is>
      </c>
      <c r="B2975" s="7" t="inlineStr">
        <is>
          <t>Procurement</t>
        </is>
      </c>
      <c r="C2975" s="7" t="inlineStr">
        <is>
          <t>177</t>
        </is>
      </c>
      <c r="D2975" s="7" t="inlineStr">
        <is>
          <t>VIRGINIA Class (VACL) Spares and Repair parts</t>
        </is>
      </c>
      <c r="E2975" s="15" t="n"/>
      <c r="I2975" s="14" t="n">
        <v>6</v>
      </c>
      <c r="K2975" s="13" t="inlineStr">
        <is>
          <t>USN</t>
        </is>
      </c>
      <c r="L2975" s="7" t="inlineStr">
        <is>
          <t>Combatant Ships</t>
        </is>
      </c>
      <c r="M2975" s="7" t="inlineStr">
        <is>
          <t>Submarines</t>
        </is>
      </c>
      <c r="N2975" s="7" t="inlineStr">
        <is>
          <t>SSN</t>
        </is>
      </c>
      <c r="O2975" s="15" t="n"/>
      <c r="P2975" s="16" t="n">
        <v>478691</v>
      </c>
      <c r="AC2975" s="23">
        <f>IF(OR(E2975="",E2975="[PARENT]"),"ADD",IF(E2975="[ALT_VIEW]","ALT",""))</f>
        <v/>
      </c>
      <c r="AD2975" s="21">
        <f>IF(Y2975&lt;&gt;"",Y2975,IF(U2975&lt;&gt;"",U2975,S2975))</f>
        <v/>
      </c>
      <c r="AE2975" s="21">
        <f>IF(AB2975&lt;&gt;"",AB2975,Z2975)</f>
        <v/>
      </c>
      <c r="AF2975" s="13" t="inlineStr">
        <is>
          <t>P-1 Detail / BA08 / BSA01 Spares and Repair Parts</t>
        </is>
      </c>
      <c r="AG2975" s="7" t="inlineStr">
        <is>
          <t>32</t>
        </is>
      </c>
      <c r="AH2975" s="7" t="inlineStr">
        <is>
          <t>9021</t>
        </is>
      </c>
    </row>
    <row r="2976" ht="10" customHeight="1">
      <c r="A2976" s="7" t="inlineStr">
        <is>
          <t>OPN_BA4</t>
        </is>
      </c>
      <c r="B2976" s="7" t="inlineStr">
        <is>
          <t>Procurement</t>
        </is>
      </c>
      <c r="C2976" s="7" t="inlineStr">
        <is>
          <t>5111</t>
        </is>
      </c>
      <c r="D2976" s="7" t="inlineStr">
        <is>
          <t>Ship Gun Systems Equipment</t>
        </is>
      </c>
      <c r="E2976" s="13" t="inlineStr">
        <is>
          <t>[PARENT]</t>
        </is>
      </c>
      <c r="I2976" s="14" t="n">
        <v>4</v>
      </c>
      <c r="K2976" s="13" t="inlineStr">
        <is>
          <t>USN</t>
        </is>
      </c>
      <c r="L2976" s="7" t="inlineStr">
        <is>
          <t>Combatant Ships</t>
        </is>
      </c>
      <c r="M2976" s="7" t="inlineStr">
        <is>
          <t>Surface Combatants</t>
        </is>
      </c>
      <c r="N2976" s="7" t="inlineStr">
        <is>
          <t>DDG</t>
        </is>
      </c>
      <c r="O2976" s="17" t="n">
        <v>49861</v>
      </c>
      <c r="P2976" s="16" t="n">
        <v>16250</v>
      </c>
      <c r="Q2976" s="16" t="n">
        <v>6416</v>
      </c>
      <c r="S2976" s="16" t="n">
        <v>7358</v>
      </c>
      <c r="T2976" s="16" t="n">
        <v>0</v>
      </c>
      <c r="U2976" s="16" t="n">
        <v>7358</v>
      </c>
      <c r="Z2976" s="16" t="n">
        <v>6962</v>
      </c>
      <c r="AB2976" s="16" t="n">
        <v>6962</v>
      </c>
      <c r="AC2976" s="23">
        <f>IF(OR(E2976="",E2976="[PARENT]"),"ADD",IF(E2976="[ALT_VIEW]","ALT",""))</f>
        <v/>
      </c>
      <c r="AD2976" s="21">
        <f>IF(Y2976&lt;&gt;"",Y2976,IF(U2976&lt;&gt;"",U2976,S2976))</f>
        <v/>
      </c>
      <c r="AE2976" s="21">
        <f>IF(AB2976&lt;&gt;"",AB2976,Z2976)</f>
        <v/>
      </c>
      <c r="AF2976" s="13" t="inlineStr">
        <is>
          <t>OPN BA4 / BSA 2: Ship Gun System Equipment / Ship Gun Systems Equipment</t>
        </is>
      </c>
      <c r="AG2976" s="7" t="inlineStr">
        <is>
          <t>57</t>
        </is>
      </c>
      <c r="AH2976" s="7" t="inlineStr">
        <is>
          <t>5111</t>
        </is>
      </c>
    </row>
    <row r="2977" ht="10" customHeight="1">
      <c r="A2977" s="7" t="inlineStr">
        <is>
          <t>OPN_BA4</t>
        </is>
      </c>
      <c r="B2977" s="7" t="inlineStr">
        <is>
          <t>Procurement</t>
        </is>
      </c>
      <c r="D2977" s="7" t="inlineStr">
        <is>
          <t>Naval Fires Control Sys</t>
        </is>
      </c>
      <c r="E2977" s="13" t="inlineStr">
        <is>
          <t>[SUB]</t>
        </is>
      </c>
      <c r="F2977" s="7" t="inlineStr">
        <is>
          <t>5111 / Ship Gun Systems Equipment</t>
        </is>
      </c>
      <c r="I2977" s="14" t="n">
        <v>4</v>
      </c>
      <c r="K2977" s="15" t="n"/>
      <c r="O2977" s="17" t="n">
        <v>4112</v>
      </c>
      <c r="P2977" s="16" t="n">
        <v>488</v>
      </c>
      <c r="Q2977" s="16" t="n">
        <v>421</v>
      </c>
      <c r="S2977" s="16" t="n">
        <v>417</v>
      </c>
      <c r="T2977" s="16" t="n">
        <v>0</v>
      </c>
      <c r="U2977" s="16" t="n">
        <v>417</v>
      </c>
      <c r="AC2977" s="23">
        <f>IF(OR(E2977="",E2977="[PARENT]"),"ADD",IF(E2977="[ALT_VIEW]","ALT",""))</f>
        <v/>
      </c>
      <c r="AD2977" s="21">
        <f>IF(Y2977&lt;&gt;"",Y2977,IF(U2977&lt;&gt;"",U2977,S2977))</f>
        <v/>
      </c>
      <c r="AE2977" s="21">
        <f>IF(AB2977&lt;&gt;"",AB2977,Z2977)</f>
        <v/>
      </c>
      <c r="AF2977" s="13" t="inlineStr">
        <is>
          <t>OPN BA4 / BSA 2 / Ship Gun Systems Equipment / Naval Fires Control Sys</t>
        </is>
      </c>
      <c r="AG2977" s="7" t="inlineStr">
        <is>
          <t>58</t>
        </is>
      </c>
      <c r="AH2977" s="7" t="inlineStr">
        <is>
          <t>5111</t>
        </is>
      </c>
    </row>
    <row r="2978" ht="10" customHeight="1">
      <c r="A2978" s="7" t="inlineStr">
        <is>
          <t>OPN_BA4</t>
        </is>
      </c>
      <c r="B2978" s="7" t="inlineStr">
        <is>
          <t>Procurement</t>
        </is>
      </c>
      <c r="C2978" s="7" t="inlineStr">
        <is>
          <t>FC010</t>
        </is>
      </c>
      <c r="D2978" s="7" t="inlineStr">
        <is>
          <t>FC010 Product Improvement/ORDALT</t>
        </is>
      </c>
      <c r="E2978" s="13" t="inlineStr">
        <is>
          <t>[SUB]</t>
        </is>
      </c>
      <c r="F2978" s="7" t="inlineStr">
        <is>
          <t>Naval Fires Control Sys</t>
        </is>
      </c>
      <c r="I2978" s="14" t="n">
        <v>4</v>
      </c>
      <c r="K2978" s="15" t="n"/>
      <c r="O2978" s="17" t="n">
        <v>2011</v>
      </c>
      <c r="P2978" s="16" t="n">
        <v>225</v>
      </c>
      <c r="Q2978" s="16" t="n">
        <v>195</v>
      </c>
      <c r="S2978" s="16" t="n">
        <v>193</v>
      </c>
      <c r="U2978" s="16" t="n">
        <v>193</v>
      </c>
      <c r="AC2978" s="23">
        <f>IF(OR(E2978="",E2978="[PARENT]"),"ADD",IF(E2978="[ALT_VIEW]","ALT",""))</f>
        <v/>
      </c>
      <c r="AD2978" s="21">
        <f>IF(Y2978&lt;&gt;"",Y2978,IF(U2978&lt;&gt;"",U2978,S2978))</f>
        <v/>
      </c>
      <c r="AE2978" s="21">
        <f>IF(AB2978&lt;&gt;"",AB2978,Z2978)</f>
        <v/>
      </c>
      <c r="AF2978" s="13" t="inlineStr">
        <is>
          <t>OPN BA4 / BSA 2 / Ship Gun Systems Equipment / Naval Fires Control Sys / Product Improvement</t>
        </is>
      </c>
      <c r="AG2978" s="7" t="inlineStr">
        <is>
          <t>58</t>
        </is>
      </c>
      <c r="AH2978" s="7" t="inlineStr">
        <is>
          <t>5111</t>
        </is>
      </c>
      <c r="AJ2978" s="7" t="inlineStr">
        <is>
          <t>FC010</t>
        </is>
      </c>
    </row>
    <row r="2979" ht="10" customHeight="1">
      <c r="A2979" s="7" t="inlineStr">
        <is>
          <t>OPN_BA4</t>
        </is>
      </c>
      <c r="B2979" s="7" t="inlineStr">
        <is>
          <t>Procurement</t>
        </is>
      </c>
      <c r="C2979" s="7" t="inlineStr">
        <is>
          <t>FC011</t>
        </is>
      </c>
      <c r="D2979" s="7" t="inlineStr">
        <is>
          <t>FC011 Installation of ORDALT</t>
        </is>
      </c>
      <c r="E2979" s="13" t="inlineStr">
        <is>
          <t>[SUB]</t>
        </is>
      </c>
      <c r="F2979" s="7" t="inlineStr">
        <is>
          <t>Naval Fires Control Sys</t>
        </is>
      </c>
      <c r="I2979" s="14" t="n">
        <v>4</v>
      </c>
      <c r="K2979" s="15" t="n"/>
      <c r="O2979" s="17" t="n">
        <v>926</v>
      </c>
      <c r="P2979" s="16" t="n">
        <v>123</v>
      </c>
      <c r="Q2979" s="16" t="n">
        <v>106</v>
      </c>
      <c r="S2979" s="16" t="n">
        <v>105</v>
      </c>
      <c r="U2979" s="16" t="n">
        <v>105</v>
      </c>
      <c r="AC2979" s="23">
        <f>IF(OR(E2979="",E2979="[PARENT]"),"ADD",IF(E2979="[ALT_VIEW]","ALT",""))</f>
        <v/>
      </c>
      <c r="AD2979" s="21">
        <f>IF(Y2979&lt;&gt;"",Y2979,IF(U2979&lt;&gt;"",U2979,S2979))</f>
        <v/>
      </c>
      <c r="AE2979" s="21">
        <f>IF(AB2979&lt;&gt;"",AB2979,Z2979)</f>
        <v/>
      </c>
      <c r="AF2979" s="13" t="inlineStr">
        <is>
          <t>OPN BA4 / BSA 2 / Ship Gun Systems Equipment / Naval Fires Control Sys / Installation</t>
        </is>
      </c>
      <c r="AG2979" s="7" t="inlineStr">
        <is>
          <t>58</t>
        </is>
      </c>
      <c r="AH2979" s="7" t="inlineStr">
        <is>
          <t>5111</t>
        </is>
      </c>
      <c r="AJ2979" s="7" t="inlineStr">
        <is>
          <t>FC011</t>
        </is>
      </c>
    </row>
    <row r="2980" ht="10" customHeight="1">
      <c r="A2980" s="7" t="inlineStr">
        <is>
          <t>OPN_BA4</t>
        </is>
      </c>
      <c r="B2980" s="7" t="inlineStr">
        <is>
          <t>Procurement</t>
        </is>
      </c>
      <c r="C2980" s="7" t="inlineStr">
        <is>
          <t>FC830</t>
        </is>
      </c>
      <c r="D2980" s="7" t="inlineStr">
        <is>
          <t>FC830 Production Engineering Support (NFCS)</t>
        </is>
      </c>
      <c r="E2980" s="13" t="inlineStr">
        <is>
          <t>[SUB]</t>
        </is>
      </c>
      <c r="F2980" s="7" t="inlineStr">
        <is>
          <t>Naval Fires Control Sys</t>
        </is>
      </c>
      <c r="I2980" s="14" t="n">
        <v>6</v>
      </c>
      <c r="K2980" s="15" t="n"/>
      <c r="O2980" s="17" t="n">
        <v>1175</v>
      </c>
      <c r="P2980" s="16" t="n">
        <v>140</v>
      </c>
      <c r="Q2980" s="16" t="n">
        <v>120</v>
      </c>
      <c r="S2980" s="16" t="n">
        <v>119</v>
      </c>
      <c r="U2980" s="16" t="n">
        <v>119</v>
      </c>
      <c r="AC2980" s="23">
        <f>IF(OR(E2980="",E2980="[PARENT]"),"ADD",IF(E2980="[ALT_VIEW]","ALT",""))</f>
        <v/>
      </c>
      <c r="AD2980" s="21">
        <f>IF(Y2980&lt;&gt;"",Y2980,IF(U2980&lt;&gt;"",U2980,S2980))</f>
        <v/>
      </c>
      <c r="AE2980" s="21">
        <f>IF(AB2980&lt;&gt;"",AB2980,Z2980)</f>
        <v/>
      </c>
      <c r="AF2980" s="13" t="inlineStr">
        <is>
          <t>OPN BA4 / BSA 2 / Ship Gun Systems Equipment / Naval Fires Control Sys / Prod Eng</t>
        </is>
      </c>
      <c r="AG2980" s="7" t="inlineStr">
        <is>
          <t>59</t>
        </is>
      </c>
      <c r="AH2980" s="7" t="inlineStr">
        <is>
          <t>5111</t>
        </is>
      </c>
      <c r="AJ2980" s="7" t="inlineStr">
        <is>
          <t>FC830</t>
        </is>
      </c>
    </row>
    <row r="2981" ht="10" customHeight="1">
      <c r="A2981" s="7" t="inlineStr">
        <is>
          <t>OPN_BA4</t>
        </is>
      </c>
      <c r="B2981" s="7" t="inlineStr">
        <is>
          <t>Procurement</t>
        </is>
      </c>
      <c r="D2981" s="7" t="inlineStr">
        <is>
          <t>Gun Fire Control Equipment</t>
        </is>
      </c>
      <c r="E2981" s="13" t="inlineStr">
        <is>
          <t>[SUB]</t>
        </is>
      </c>
      <c r="F2981" s="7" t="inlineStr">
        <is>
          <t>5111 / Ship Gun Systems Equipment</t>
        </is>
      </c>
      <c r="I2981" s="14" t="n">
        <v>4</v>
      </c>
      <c r="K2981" s="13" t="inlineStr">
        <is>
          <t>USN</t>
        </is>
      </c>
      <c r="L2981" s="7" t="inlineStr">
        <is>
          <t>Combatant Ships</t>
        </is>
      </c>
      <c r="M2981" s="7" t="inlineStr">
        <is>
          <t>Surface Combatants</t>
        </is>
      </c>
      <c r="O2981" s="17" t="n">
        <v>45749</v>
      </c>
      <c r="P2981" s="16" t="n">
        <v>15762</v>
      </c>
      <c r="Q2981" s="16" t="n">
        <v>5995</v>
      </c>
      <c r="S2981" s="16" t="n">
        <v>6941</v>
      </c>
      <c r="T2981" s="16" t="n">
        <v>0</v>
      </c>
      <c r="U2981" s="16" t="n">
        <v>6941</v>
      </c>
      <c r="AC2981" s="23">
        <f>IF(OR(E2981="",E2981="[PARENT]"),"ADD",IF(E2981="[ALT_VIEW]","ALT",""))</f>
        <v/>
      </c>
      <c r="AD2981" s="21">
        <f>IF(Y2981&lt;&gt;"",Y2981,IF(U2981&lt;&gt;"",U2981,S2981))</f>
        <v/>
      </c>
      <c r="AE2981" s="21">
        <f>IF(AB2981&lt;&gt;"",AB2981,Z2981)</f>
        <v/>
      </c>
      <c r="AF2981" s="13" t="inlineStr">
        <is>
          <t>OPN BA4 / BSA 2 / Ship Gun Systems Equipment / Gun Fire Control Equipment</t>
        </is>
      </c>
      <c r="AG2981" s="7" t="inlineStr">
        <is>
          <t>59</t>
        </is>
      </c>
      <c r="AH2981" s="7" t="inlineStr">
        <is>
          <t>5111</t>
        </is>
      </c>
    </row>
    <row r="2982" ht="10" customHeight="1">
      <c r="A2982" s="7" t="inlineStr">
        <is>
          <t>OPN_BA4</t>
        </is>
      </c>
      <c r="B2982" s="7" t="inlineStr">
        <is>
          <t>Procurement</t>
        </is>
      </c>
      <c r="C2982" s="7" t="inlineStr">
        <is>
          <t>NV051</t>
        </is>
      </c>
      <c r="D2982" s="7" t="inlineStr">
        <is>
          <t>NV051 Optical Sight Systems Production Improvement</t>
        </is>
      </c>
      <c r="E2982" s="13" t="inlineStr">
        <is>
          <t>[SUB]</t>
        </is>
      </c>
      <c r="F2982" s="7" t="inlineStr">
        <is>
          <t>Gun Fire Control Equipment</t>
        </is>
      </c>
      <c r="I2982" s="14" t="n">
        <v>4</v>
      </c>
      <c r="K2982" s="13" t="inlineStr">
        <is>
          <t>USN</t>
        </is>
      </c>
      <c r="L2982" s="7" t="inlineStr">
        <is>
          <t>Combatant Ships</t>
        </is>
      </c>
      <c r="M2982" s="7" t="inlineStr">
        <is>
          <t>Surface Combatants</t>
        </is>
      </c>
      <c r="O2982" s="17" t="n">
        <v>24513</v>
      </c>
      <c r="P2982" s="16" t="n">
        <v>2898</v>
      </c>
      <c r="Q2982" s="16" t="n">
        <v>2954</v>
      </c>
      <c r="S2982" s="16" t="n">
        <v>2931</v>
      </c>
      <c r="U2982" s="16" t="n">
        <v>2931</v>
      </c>
      <c r="AC2982" s="23">
        <f>IF(OR(E2982="",E2982="[PARENT]"),"ADD",IF(E2982="[ALT_VIEW]","ALT",""))</f>
        <v/>
      </c>
      <c r="AD2982" s="21">
        <f>IF(Y2982&lt;&gt;"",Y2982,IF(U2982&lt;&gt;"",U2982,S2982))</f>
        <v/>
      </c>
      <c r="AE2982" s="21">
        <f>IF(AB2982&lt;&gt;"",AB2982,Z2982)</f>
        <v/>
      </c>
      <c r="AF2982" s="13" t="inlineStr">
        <is>
          <t>OPN BA4 / BSA 2 / Ship Gun Systems Equipment / Gun Fire Control / OSS</t>
        </is>
      </c>
      <c r="AG2982" s="7" t="inlineStr">
        <is>
          <t>60</t>
        </is>
      </c>
      <c r="AH2982" s="7" t="inlineStr">
        <is>
          <t>5111</t>
        </is>
      </c>
      <c r="AJ2982" s="7" t="inlineStr">
        <is>
          <t>NV051</t>
        </is>
      </c>
    </row>
    <row r="2983" ht="10" customHeight="1">
      <c r="A2983" s="7" t="inlineStr">
        <is>
          <t>OPN_BA4</t>
        </is>
      </c>
      <c r="B2983" s="7" t="inlineStr">
        <is>
          <t>Procurement</t>
        </is>
      </c>
      <c r="D2983" s="7" t="inlineStr">
        <is>
          <t>Night Vision Individual (AN/PVS-31B)</t>
        </is>
      </c>
      <c r="E2983" s="13" t="inlineStr">
        <is>
          <t>[SUB]</t>
        </is>
      </c>
      <c r="F2983" s="7" t="inlineStr">
        <is>
          <t>Gun Fire Control Equipment</t>
        </is>
      </c>
      <c r="I2983" s="14" t="n">
        <v>4</v>
      </c>
      <c r="K2983" s="15" t="n"/>
      <c r="O2983" s="17" t="n">
        <v>6734</v>
      </c>
      <c r="P2983" s="16" t="n">
        <v>12744</v>
      </c>
      <c r="Q2983" s="16" t="n">
        <v>2904</v>
      </c>
      <c r="S2983" s="16" t="n">
        <v>3857</v>
      </c>
      <c r="U2983" s="16" t="n">
        <v>3857</v>
      </c>
      <c r="AC2983" s="23">
        <f>IF(OR(E2983="",E2983="[PARENT]"),"ADD",IF(E2983="[ALT_VIEW]","ALT",""))</f>
        <v/>
      </c>
      <c r="AD2983" s="21">
        <f>IF(Y2983&lt;&gt;"",Y2983,IF(U2983&lt;&gt;"",U2983,S2983))</f>
        <v/>
      </c>
      <c r="AE2983" s="21">
        <f>IF(AB2983&lt;&gt;"",AB2983,Z2983)</f>
        <v/>
      </c>
      <c r="AF2983" s="13" t="inlineStr">
        <is>
          <t>OPN BA4 / BSA 2 / Ship Gun Systems Equipment / Gun Fire Control / NVD</t>
        </is>
      </c>
      <c r="AG2983" s="7" t="inlineStr">
        <is>
          <t>61</t>
        </is>
      </c>
      <c r="AH2983" s="7" t="inlineStr">
        <is>
          <t>5111</t>
        </is>
      </c>
    </row>
    <row r="2984" ht="10" customHeight="1">
      <c r="A2984" s="7" t="inlineStr">
        <is>
          <t>OPN_BA4</t>
        </is>
      </c>
      <c r="B2984" s="7" t="inlineStr">
        <is>
          <t>Procurement</t>
        </is>
      </c>
      <c r="D2984" s="7" t="inlineStr">
        <is>
          <t>NVD Helmet Mount</t>
        </is>
      </c>
      <c r="E2984" s="13" t="inlineStr">
        <is>
          <t>[SUB]</t>
        </is>
      </c>
      <c r="F2984" s="7" t="inlineStr">
        <is>
          <t>Gun Fire Control Equipment</t>
        </is>
      </c>
      <c r="I2984" s="14" t="n">
        <v>4</v>
      </c>
      <c r="K2984" s="15" t="n"/>
      <c r="O2984" s="17" t="n">
        <v>476</v>
      </c>
      <c r="P2984" s="16" t="n">
        <v>94</v>
      </c>
      <c r="Q2984" s="16" t="n">
        <v>108</v>
      </c>
      <c r="S2984" s="16" t="n">
        <v>117</v>
      </c>
      <c r="U2984" s="16" t="n">
        <v>117</v>
      </c>
      <c r="AC2984" s="23">
        <f>IF(OR(E2984="",E2984="[PARENT]"),"ADD",IF(E2984="[ALT_VIEW]","ALT",""))</f>
        <v/>
      </c>
      <c r="AD2984" s="21">
        <f>IF(Y2984&lt;&gt;"",Y2984,IF(U2984&lt;&gt;"",U2984,S2984))</f>
        <v/>
      </c>
      <c r="AE2984" s="21">
        <f>IF(AB2984&lt;&gt;"",AB2984,Z2984)</f>
        <v/>
      </c>
      <c r="AF2984" s="13" t="inlineStr">
        <is>
          <t>OPN BA4 / BSA 2 / Ship Gun Systems Equipment / Gun Fire Control / NVD Helmet</t>
        </is>
      </c>
      <c r="AG2984" s="7" t="inlineStr">
        <is>
          <t>61</t>
        </is>
      </c>
      <c r="AH2984" s="7" t="inlineStr">
        <is>
          <t>5111</t>
        </is>
      </c>
    </row>
    <row r="2985" ht="10" customHeight="1">
      <c r="A2985" s="7" t="inlineStr">
        <is>
          <t>OPN_BA4</t>
        </is>
      </c>
      <c r="B2985" s="7" t="inlineStr">
        <is>
          <t>Procurement</t>
        </is>
      </c>
      <c r="D2985" s="7" t="inlineStr">
        <is>
          <t>NVD Helmet Shroud</t>
        </is>
      </c>
      <c r="E2985" s="13" t="inlineStr">
        <is>
          <t>[SUB]</t>
        </is>
      </c>
      <c r="F2985" s="7" t="inlineStr">
        <is>
          <t>Gun Fire Control Equipment</t>
        </is>
      </c>
      <c r="I2985" s="14" t="n">
        <v>4</v>
      </c>
      <c r="K2985" s="15" t="n"/>
      <c r="O2985" s="17" t="n">
        <v>83</v>
      </c>
      <c r="P2985" s="16" t="n">
        <v>26</v>
      </c>
      <c r="Q2985" s="16" t="n">
        <v>29</v>
      </c>
      <c r="S2985" s="16" t="n">
        <v>36</v>
      </c>
      <c r="U2985" s="16" t="n">
        <v>36</v>
      </c>
      <c r="AC2985" s="23">
        <f>IF(OR(E2985="",E2985="[PARENT]"),"ADD",IF(E2985="[ALT_VIEW]","ALT",""))</f>
        <v/>
      </c>
      <c r="AD2985" s="21">
        <f>IF(Y2985&lt;&gt;"",Y2985,IF(U2985&lt;&gt;"",U2985,S2985))</f>
        <v/>
      </c>
      <c r="AE2985" s="21">
        <f>IF(AB2985&lt;&gt;"",AB2985,Z2985)</f>
        <v/>
      </c>
      <c r="AF2985" s="13" t="inlineStr">
        <is>
          <t>OPN BA4 / BSA 2 / Ship Gun Systems Equipment / Gun Fire Control / NVD Shroud</t>
        </is>
      </c>
      <c r="AG2985" s="7" t="inlineStr">
        <is>
          <t>61</t>
        </is>
      </c>
      <c r="AH2985" s="7" t="inlineStr">
        <is>
          <t>5111</t>
        </is>
      </c>
    </row>
    <row r="2986" ht="10" customHeight="1">
      <c r="A2986" s="7" t="inlineStr">
        <is>
          <t>OPN_BA4</t>
        </is>
      </c>
      <c r="B2986" s="7" t="inlineStr">
        <is>
          <t>Procurement</t>
        </is>
      </c>
      <c r="C2986" s="7" t="inlineStr">
        <is>
          <t>5227</t>
        </is>
      </c>
      <c r="D2986" s="7" t="inlineStr">
        <is>
          <t>HARPOON Support Equipment</t>
        </is>
      </c>
      <c r="E2986" s="13" t="inlineStr">
        <is>
          <t>[PARENT]</t>
        </is>
      </c>
      <c r="I2986" s="14" t="n">
        <v>6</v>
      </c>
      <c r="K2986" s="13" t="inlineStr">
        <is>
          <t>USN</t>
        </is>
      </c>
      <c r="L2986" s="7" t="inlineStr">
        <is>
          <t>Combatant Ships</t>
        </is>
      </c>
      <c r="M2986" s="7" t="inlineStr">
        <is>
          <t>Submarines</t>
        </is>
      </c>
      <c r="N2986" s="7" t="inlineStr">
        <is>
          <t>SSN</t>
        </is>
      </c>
      <c r="O2986" s="17" t="n">
        <v>421</v>
      </c>
      <c r="P2986" s="16" t="n">
        <v>227</v>
      </c>
      <c r="Q2986" s="16" t="n">
        <v>226</v>
      </c>
      <c r="S2986" s="16" t="n">
        <v>209</v>
      </c>
      <c r="T2986" s="16" t="n">
        <v>0</v>
      </c>
      <c r="U2986" s="16" t="n">
        <v>209</v>
      </c>
      <c r="Z2986" s="16" t="n">
        <v>195</v>
      </c>
      <c r="AB2986" s="16" t="n">
        <v>195</v>
      </c>
      <c r="AC2986" s="23">
        <f>IF(OR(E2986="",E2986="[PARENT]"),"ADD",IF(E2986="[ALT_VIEW]","ALT",""))</f>
        <v/>
      </c>
      <c r="AD2986" s="21">
        <f>IF(Y2986&lt;&gt;"",Y2986,IF(U2986&lt;&gt;"",U2986,S2986))</f>
        <v/>
      </c>
      <c r="AE2986" s="21">
        <f>IF(AB2986&lt;&gt;"",AB2986,Z2986)</f>
        <v/>
      </c>
      <c r="AF2986" s="13" t="inlineStr">
        <is>
          <t>OPN BA4 / BSA 3: Ship Missile Systems Equipment / HARPOON Support Equipment</t>
        </is>
      </c>
      <c r="AG2986" s="7" t="inlineStr">
        <is>
          <t>63</t>
        </is>
      </c>
      <c r="AH2986" s="7" t="inlineStr">
        <is>
          <t>5227</t>
        </is>
      </c>
      <c r="AI2986" s="7" t="inlineStr">
        <is>
          <t>Harpoon Support Equipment</t>
        </is>
      </c>
    </row>
    <row r="2987" ht="10" customHeight="1">
      <c r="A2987" s="7" t="inlineStr">
        <is>
          <t>OPN_BA4</t>
        </is>
      </c>
      <c r="B2987" s="7" t="inlineStr">
        <is>
          <t>Procurement</t>
        </is>
      </c>
      <c r="D2987" s="7" t="inlineStr">
        <is>
          <t>ILS (Harpoon)</t>
        </is>
      </c>
      <c r="E2987" s="13" t="inlineStr">
        <is>
          <t>[SUB]</t>
        </is>
      </c>
      <c r="F2987" s="7" t="inlineStr">
        <is>
          <t>5227 / HARPOON Support Equipment</t>
        </is>
      </c>
      <c r="I2987" s="14" t="n">
        <v>6</v>
      </c>
      <c r="K2987" s="13" t="inlineStr">
        <is>
          <t>USN</t>
        </is>
      </c>
      <c r="L2987" s="7" t="inlineStr">
        <is>
          <t>Combatant Ships</t>
        </is>
      </c>
      <c r="M2987" s="7" t="inlineStr">
        <is>
          <t>Submarines</t>
        </is>
      </c>
      <c r="N2987" s="7" t="inlineStr">
        <is>
          <t>SSN</t>
        </is>
      </c>
      <c r="O2987" s="17" t="n">
        <v>421</v>
      </c>
      <c r="P2987" s="16" t="n">
        <v>227</v>
      </c>
      <c r="Q2987" s="16" t="n">
        <v>226</v>
      </c>
      <c r="S2987" s="16" t="n">
        <v>209</v>
      </c>
      <c r="U2987" s="16" t="n">
        <v>209</v>
      </c>
      <c r="AC2987" s="23">
        <f>IF(OR(E2987="",E2987="[PARENT]"),"ADD",IF(E2987="[ALT_VIEW]","ALT",""))</f>
        <v/>
      </c>
      <c r="AD2987" s="21">
        <f>IF(Y2987&lt;&gt;"",Y2987,IF(U2987&lt;&gt;"",U2987,S2987))</f>
        <v/>
      </c>
      <c r="AE2987" s="21">
        <f>IF(AB2987&lt;&gt;"",AB2987,Z2987)</f>
        <v/>
      </c>
      <c r="AF2987" s="13" t="inlineStr">
        <is>
          <t>OPN BA4 / BSA 3 / HARPOON Support Equipment / ILS</t>
        </is>
      </c>
      <c r="AG2987" s="7" t="inlineStr">
        <is>
          <t>64</t>
        </is>
      </c>
      <c r="AH2987" s="7" t="inlineStr">
        <is>
          <t>5227</t>
        </is>
      </c>
      <c r="AI2987" s="7" t="inlineStr">
        <is>
          <t>Harpoon Support Equipment</t>
        </is>
      </c>
    </row>
    <row r="2988" ht="10" customHeight="1">
      <c r="A2988" s="7" t="inlineStr">
        <is>
          <t>OPN_BA4</t>
        </is>
      </c>
      <c r="B2988" s="7" t="inlineStr">
        <is>
          <t>Procurement</t>
        </is>
      </c>
      <c r="C2988" s="7" t="inlineStr">
        <is>
          <t>5231</t>
        </is>
      </c>
      <c r="D2988" s="7" t="inlineStr">
        <is>
          <t>Ship Missile Support Equipment</t>
        </is>
      </c>
      <c r="E2988" s="13" t="inlineStr">
        <is>
          <t>[PARENT]</t>
        </is>
      </c>
      <c r="I2988" s="14" t="n">
        <v>4</v>
      </c>
      <c r="K2988" s="15" t="n"/>
      <c r="O2988" s="17" t="n">
        <v>1851886</v>
      </c>
      <c r="P2988" s="16" t="n">
        <v>283972</v>
      </c>
      <c r="Q2988" s="16" t="n">
        <v>376830</v>
      </c>
      <c r="S2988" s="16" t="n">
        <v>455822</v>
      </c>
      <c r="T2988" s="16" t="n">
        <v>0</v>
      </c>
      <c r="U2988" s="16" t="n">
        <v>455822</v>
      </c>
      <c r="Z2988" s="16" t="n">
        <v>431069</v>
      </c>
      <c r="AB2988" s="16" t="n">
        <v>431069</v>
      </c>
      <c r="AC2988" s="23">
        <f>IF(OR(E2988="",E2988="[PARENT]"),"ADD",IF(E2988="[ALT_VIEW]","ALT",""))</f>
        <v/>
      </c>
      <c r="AD2988" s="21">
        <f>IF(Y2988&lt;&gt;"",Y2988,IF(U2988&lt;&gt;"",U2988,S2988))</f>
        <v/>
      </c>
      <c r="AE2988" s="21">
        <f>IF(AB2988&lt;&gt;"",AB2988,Z2988)</f>
        <v/>
      </c>
      <c r="AF2988" s="13" t="inlineStr">
        <is>
          <t>OPN BA4 / BSA 3: Ship Missile Systems Equipment / Ship Missile Support Equipment</t>
        </is>
      </c>
      <c r="AG2988" s="7" t="inlineStr">
        <is>
          <t>67</t>
        </is>
      </c>
      <c r="AH2988" s="7" t="inlineStr">
        <is>
          <t>5231</t>
        </is>
      </c>
    </row>
    <row r="2989" ht="10" customHeight="1">
      <c r="A2989" s="7" t="inlineStr">
        <is>
          <t>OPN_BA4</t>
        </is>
      </c>
      <c r="B2989" s="7" t="inlineStr">
        <is>
          <t>Procurement</t>
        </is>
      </c>
      <c r="D2989" s="7" t="inlineStr">
        <is>
          <t>NATO SEASPARROW</t>
        </is>
      </c>
      <c r="E2989" s="13" t="inlineStr">
        <is>
          <t>[SUB]</t>
        </is>
      </c>
      <c r="F2989" s="7" t="inlineStr">
        <is>
          <t>5231 / Ship Missile Support Equipment</t>
        </is>
      </c>
      <c r="I2989" s="14" t="n">
        <v>4</v>
      </c>
      <c r="K2989" s="15" t="n"/>
      <c r="O2989" s="17" t="n">
        <v>77785</v>
      </c>
      <c r="P2989" s="16" t="n">
        <v>14200</v>
      </c>
      <c r="Q2989" s="16" t="n">
        <v>20556</v>
      </c>
      <c r="S2989" s="16" t="n">
        <v>50282</v>
      </c>
      <c r="U2989" s="16" t="n">
        <v>50282</v>
      </c>
      <c r="AC2989" s="23">
        <f>IF(OR(E2989="",E2989="[PARENT]"),"ADD",IF(E2989="[ALT_VIEW]","ALT",""))</f>
        <v/>
      </c>
      <c r="AD2989" s="21">
        <f>IF(Y2989&lt;&gt;"",Y2989,IF(U2989&lt;&gt;"",U2989,S2989))</f>
        <v/>
      </c>
      <c r="AE2989" s="21">
        <f>IF(AB2989&lt;&gt;"",AB2989,Z2989)</f>
        <v/>
      </c>
      <c r="AF2989" s="13" t="inlineStr">
        <is>
          <t>OPN BA4 / BSA 3 / Ship Missile Support / NATO SEASPARROW</t>
        </is>
      </c>
      <c r="AG2989" s="7" t="inlineStr">
        <is>
          <t>74</t>
        </is>
      </c>
      <c r="AH2989" s="7" t="inlineStr">
        <is>
          <t>5231</t>
        </is>
      </c>
    </row>
    <row r="2990" ht="10" customHeight="1">
      <c r="A2990" s="7" t="inlineStr">
        <is>
          <t>OPN_BA4</t>
        </is>
      </c>
      <c r="B2990" s="7" t="inlineStr">
        <is>
          <t>Procurement</t>
        </is>
      </c>
      <c r="D2990" s="7" t="inlineStr">
        <is>
          <t>MK57 Mod 14-19 Launcher Min-Mod BLK 2 Capability Upgrade</t>
        </is>
      </c>
      <c r="E2990" s="13" t="inlineStr">
        <is>
          <t>[SUB]</t>
        </is>
      </c>
      <c r="F2990" s="7" t="inlineStr">
        <is>
          <t>NATO SEASPARROW</t>
        </is>
      </c>
      <c r="I2990" s="14" t="n">
        <v>4</v>
      </c>
      <c r="K2990" s="15" t="n"/>
      <c r="O2990" s="17" t="n">
        <v>13448</v>
      </c>
      <c r="P2990" s="16" t="n">
        <v>3364</v>
      </c>
      <c r="Q2990" s="16" t="n">
        <v>4067</v>
      </c>
      <c r="S2990" s="16" t="n">
        <v>3236</v>
      </c>
      <c r="U2990" s="16" t="n">
        <v>3236</v>
      </c>
      <c r="AC2990" s="23">
        <f>IF(OR(E2990="",E2990="[PARENT]"),"ADD",IF(E2990="[ALT_VIEW]","ALT",""))</f>
        <v/>
      </c>
      <c r="AD2990" s="21">
        <f>IF(Y2990&lt;&gt;"",Y2990,IF(U2990&lt;&gt;"",U2990,S2990))</f>
        <v/>
      </c>
      <c r="AE2990" s="21">
        <f>IF(AB2990&lt;&gt;"",AB2990,Z2990)</f>
        <v/>
      </c>
      <c r="AF2990" s="13" t="inlineStr">
        <is>
          <t>OPN BA4 / BSA 3 / Ship Missile Support / NATO SEASPARROW / BLK 2</t>
        </is>
      </c>
      <c r="AG2990" s="7" t="inlineStr">
        <is>
          <t>74</t>
        </is>
      </c>
      <c r="AH2990" s="7" t="inlineStr">
        <is>
          <t>5231</t>
        </is>
      </c>
    </row>
    <row r="2991" ht="10" customHeight="1">
      <c r="A2991" s="7" t="inlineStr">
        <is>
          <t>OPN_BA4</t>
        </is>
      </c>
      <c r="B2991" s="7" t="inlineStr">
        <is>
          <t>Procurement</t>
        </is>
      </c>
      <c r="D2991" s="7" t="inlineStr">
        <is>
          <t>MK57 Mod 14-19 Engineering</t>
        </is>
      </c>
      <c r="E2991" s="13" t="inlineStr">
        <is>
          <t>[SUB]</t>
        </is>
      </c>
      <c r="F2991" s="7" t="inlineStr">
        <is>
          <t>NATO SEASPARROW</t>
        </is>
      </c>
      <c r="I2991" s="14" t="n">
        <v>6</v>
      </c>
      <c r="K2991" s="15" t="n"/>
      <c r="O2991" s="15" t="n"/>
      <c r="S2991" s="16" t="n">
        <v>33035</v>
      </c>
      <c r="U2991" s="16" t="n">
        <v>33035</v>
      </c>
      <c r="AC2991" s="23">
        <f>IF(OR(E2991="",E2991="[PARENT]"),"ADD",IF(E2991="[ALT_VIEW]","ALT",""))</f>
        <v/>
      </c>
      <c r="AD2991" s="21">
        <f>IF(Y2991&lt;&gt;"",Y2991,IF(U2991&lt;&gt;"",U2991,S2991))</f>
        <v/>
      </c>
      <c r="AE2991" s="21">
        <f>IF(AB2991&lt;&gt;"",AB2991,Z2991)</f>
        <v/>
      </c>
      <c r="AF2991" s="13" t="inlineStr">
        <is>
          <t>OPN BA4 / BSA 3 / Ship Missile Support / NATO SEASPARROW / Engineering</t>
        </is>
      </c>
      <c r="AG2991" s="7" t="inlineStr">
        <is>
          <t>75</t>
        </is>
      </c>
      <c r="AH2991" s="7" t="inlineStr">
        <is>
          <t>5231</t>
        </is>
      </c>
      <c r="AI2991" s="7" t="inlineStr">
        <is>
          <t>MK57 MOD 14-19 Modernization</t>
        </is>
      </c>
    </row>
    <row r="2992" ht="10" customHeight="1">
      <c r="A2992" s="7" t="inlineStr">
        <is>
          <t>OPN_BA4</t>
        </is>
      </c>
      <c r="B2992" s="7" t="inlineStr">
        <is>
          <t>Procurement</t>
        </is>
      </c>
      <c r="D2992" s="7" t="inlineStr">
        <is>
          <t>MK57 Mod 14-19 Logistics</t>
        </is>
      </c>
      <c r="E2992" s="13" t="inlineStr">
        <is>
          <t>[SUB]</t>
        </is>
      </c>
      <c r="F2992" s="7" t="inlineStr">
        <is>
          <t>NATO SEASPARROW</t>
        </is>
      </c>
      <c r="I2992" s="14" t="n">
        <v>6</v>
      </c>
      <c r="K2992" s="15" t="n"/>
      <c r="O2992" s="15" t="n"/>
      <c r="S2992" s="16" t="n">
        <v>3154</v>
      </c>
      <c r="U2992" s="16" t="n">
        <v>3154</v>
      </c>
      <c r="AC2992" s="23">
        <f>IF(OR(E2992="",E2992="[PARENT]"),"ADD",IF(E2992="[ALT_VIEW]","ALT",""))</f>
        <v/>
      </c>
      <c r="AD2992" s="21">
        <f>IF(Y2992&lt;&gt;"",Y2992,IF(U2992&lt;&gt;"",U2992,S2992))</f>
        <v/>
      </c>
      <c r="AE2992" s="21">
        <f>IF(AB2992&lt;&gt;"",AB2992,Z2992)</f>
        <v/>
      </c>
      <c r="AF2992" s="13" t="inlineStr">
        <is>
          <t>OPN BA4 / BSA 3 / Ship Missile Support / NATO SEASPARROW / Logistics</t>
        </is>
      </c>
      <c r="AG2992" s="7" t="inlineStr">
        <is>
          <t>75</t>
        </is>
      </c>
      <c r="AH2992" s="7" t="inlineStr">
        <is>
          <t>5231</t>
        </is>
      </c>
      <c r="AI2992" s="7" t="inlineStr">
        <is>
          <t>MK57 MOD 14-19 Modernization</t>
        </is>
      </c>
    </row>
    <row r="2993" ht="10" customHeight="1">
      <c r="A2993" s="7" t="inlineStr">
        <is>
          <t>OPN_BA4</t>
        </is>
      </c>
      <c r="B2993" s="7" t="inlineStr">
        <is>
          <t>Procurement</t>
        </is>
      </c>
      <c r="D2993" s="7" t="inlineStr">
        <is>
          <t>MK57 Mod 14-19 Depot</t>
        </is>
      </c>
      <c r="E2993" s="13" t="inlineStr">
        <is>
          <t>[SUB]</t>
        </is>
      </c>
      <c r="F2993" s="7" t="inlineStr">
        <is>
          <t>NATO SEASPARROW</t>
        </is>
      </c>
      <c r="I2993" s="14" t="n">
        <v>6</v>
      </c>
      <c r="K2993" s="15" t="n"/>
      <c r="O2993" s="15" t="n"/>
      <c r="S2993" s="16" t="n">
        <v>5236</v>
      </c>
      <c r="U2993" s="16" t="n">
        <v>5236</v>
      </c>
      <c r="AC2993" s="23">
        <f>IF(OR(E2993="",E2993="[PARENT]"),"ADD",IF(E2993="[ALT_VIEW]","ALT",""))</f>
        <v/>
      </c>
      <c r="AD2993" s="21">
        <f>IF(Y2993&lt;&gt;"",Y2993,IF(U2993&lt;&gt;"",U2993,S2993))</f>
        <v/>
      </c>
      <c r="AE2993" s="21">
        <f>IF(AB2993&lt;&gt;"",AB2993,Z2993)</f>
        <v/>
      </c>
      <c r="AF2993" s="13" t="inlineStr">
        <is>
          <t>OPN BA4 / BSA 3 / Ship Missile Support / NATO SEASPARROW / Depot</t>
        </is>
      </c>
      <c r="AG2993" s="7" t="inlineStr">
        <is>
          <t>75</t>
        </is>
      </c>
      <c r="AH2993" s="7" t="inlineStr">
        <is>
          <t>5231</t>
        </is>
      </c>
      <c r="AI2993" s="7" t="inlineStr">
        <is>
          <t>MK57 MOD 14-19 Modernization</t>
        </is>
      </c>
    </row>
    <row r="2994" ht="10" customHeight="1">
      <c r="A2994" s="7" t="inlineStr">
        <is>
          <t>OPN_BA4</t>
        </is>
      </c>
      <c r="B2994" s="7" t="inlineStr">
        <is>
          <t>Procurement</t>
        </is>
      </c>
      <c r="D2994" s="7" t="inlineStr">
        <is>
          <t>MK57 Mod 14-19 Cyber</t>
        </is>
      </c>
      <c r="E2994" s="13" t="inlineStr">
        <is>
          <t>[SUB]</t>
        </is>
      </c>
      <c r="F2994" s="7" t="inlineStr">
        <is>
          <t>NATO SEASPARROW</t>
        </is>
      </c>
      <c r="I2994" s="14" t="n">
        <v>4</v>
      </c>
      <c r="K2994" s="15" t="n"/>
      <c r="O2994" s="15" t="n"/>
      <c r="S2994" s="16" t="n">
        <v>4791</v>
      </c>
      <c r="U2994" s="16" t="n">
        <v>4791</v>
      </c>
      <c r="AC2994" s="23">
        <f>IF(OR(E2994="",E2994="[PARENT]"),"ADD",IF(E2994="[ALT_VIEW]","ALT",""))</f>
        <v/>
      </c>
      <c r="AD2994" s="21">
        <f>IF(Y2994&lt;&gt;"",Y2994,IF(U2994&lt;&gt;"",U2994,S2994))</f>
        <v/>
      </c>
      <c r="AE2994" s="21">
        <f>IF(AB2994&lt;&gt;"",AB2994,Z2994)</f>
        <v/>
      </c>
      <c r="AF2994" s="13" t="inlineStr">
        <is>
          <t>OPN BA4 / BSA 3 / Ship Missile Support / NATO SEASPARROW / Cyber</t>
        </is>
      </c>
      <c r="AG2994" s="7" t="inlineStr">
        <is>
          <t>75</t>
        </is>
      </c>
      <c r="AH2994" s="7" t="inlineStr">
        <is>
          <t>5231</t>
        </is>
      </c>
      <c r="AI2994" s="7" t="inlineStr">
        <is>
          <t>MK57 MOD 14-19 Modernization</t>
        </is>
      </c>
    </row>
    <row r="2995" ht="10" customHeight="1">
      <c r="A2995" s="7" t="inlineStr">
        <is>
          <t>OPN_BA4</t>
        </is>
      </c>
      <c r="B2995" s="7" t="inlineStr">
        <is>
          <t>Procurement</t>
        </is>
      </c>
      <c r="D2995" s="7" t="inlineStr">
        <is>
          <t>MK57 Mod 14-19 Safety</t>
        </is>
      </c>
      <c r="E2995" s="13" t="inlineStr">
        <is>
          <t>[SUB]</t>
        </is>
      </c>
      <c r="F2995" s="7" t="inlineStr">
        <is>
          <t>NATO SEASPARROW</t>
        </is>
      </c>
      <c r="I2995" s="14" t="n">
        <v>6</v>
      </c>
      <c r="K2995" s="15" t="n"/>
      <c r="O2995" s="15" t="n"/>
      <c r="S2995" s="16" t="n">
        <v>830</v>
      </c>
      <c r="U2995" s="16" t="n">
        <v>830</v>
      </c>
      <c r="AC2995" s="23">
        <f>IF(OR(E2995="",E2995="[PARENT]"),"ADD",IF(E2995="[ALT_VIEW]","ALT",""))</f>
        <v/>
      </c>
      <c r="AD2995" s="21">
        <f>IF(Y2995&lt;&gt;"",Y2995,IF(U2995&lt;&gt;"",U2995,S2995))</f>
        <v/>
      </c>
      <c r="AE2995" s="21">
        <f>IF(AB2995&lt;&gt;"",AB2995,Z2995)</f>
        <v/>
      </c>
      <c r="AF2995" s="13" t="inlineStr">
        <is>
          <t>OPN BA4 / BSA 3 / Ship Missile Support / NATO SEASPARROW / Safety</t>
        </is>
      </c>
      <c r="AG2995" s="7" t="inlineStr">
        <is>
          <t>75</t>
        </is>
      </c>
      <c r="AH2995" s="7" t="inlineStr">
        <is>
          <t>5231</t>
        </is>
      </c>
      <c r="AI2995" s="7" t="inlineStr">
        <is>
          <t>MK57 MOD 14-19 Modernization</t>
        </is>
      </c>
    </row>
    <row r="2996" ht="10" customHeight="1">
      <c r="A2996" s="7" t="inlineStr">
        <is>
          <t>OPN_BA4</t>
        </is>
      </c>
      <c r="B2996" s="7" t="inlineStr">
        <is>
          <t>Procurement</t>
        </is>
      </c>
      <c r="D2996" s="7" t="inlineStr">
        <is>
          <t>Afloat Counter-Unmanned Aerial Systems (Afloat C-UAS)</t>
        </is>
      </c>
      <c r="E2996" s="13" t="inlineStr">
        <is>
          <t>[SUB]</t>
        </is>
      </c>
      <c r="F2996" s="7" t="inlineStr">
        <is>
          <t>5231 / Ship Missile Support Equipment</t>
        </is>
      </c>
      <c r="I2996" s="14" t="n">
        <v>4</v>
      </c>
      <c r="K2996" s="15" t="n"/>
      <c r="O2996" s="17" t="n">
        <v>0</v>
      </c>
      <c r="P2996" s="16" t="n">
        <v>9085</v>
      </c>
      <c r="AC2996" s="23">
        <f>IF(OR(E2996="",E2996="[PARENT]"),"ADD",IF(E2996="[ALT_VIEW]","ALT",""))</f>
        <v/>
      </c>
      <c r="AD2996" s="21">
        <f>IF(Y2996&lt;&gt;"",Y2996,IF(U2996&lt;&gt;"",U2996,S2996))</f>
        <v/>
      </c>
      <c r="AE2996" s="21">
        <f>IF(AB2996&lt;&gt;"",AB2996,Z2996)</f>
        <v/>
      </c>
      <c r="AF2996" s="13" t="inlineStr">
        <is>
          <t>OPN BA4 / BSA 3 / Ship Missile Support / Afloat C-UAS</t>
        </is>
      </c>
      <c r="AG2996" s="7" t="inlineStr">
        <is>
          <t>75</t>
        </is>
      </c>
      <c r="AH2996" s="7" t="inlineStr">
        <is>
          <t>5231</t>
        </is>
      </c>
    </row>
    <row r="2997" ht="10" customHeight="1">
      <c r="A2997" s="7" t="inlineStr">
        <is>
          <t>OPN_BA4</t>
        </is>
      </c>
      <c r="B2997" s="7" t="inlineStr">
        <is>
          <t>Procurement</t>
        </is>
      </c>
      <c r="D2997" s="7" t="inlineStr">
        <is>
          <t>RAM Launchers</t>
        </is>
      </c>
      <c r="E2997" s="13" t="inlineStr">
        <is>
          <t>[SUB]</t>
        </is>
      </c>
      <c r="F2997" s="7" t="inlineStr">
        <is>
          <t>5231 / Ship Missile Support Equipment</t>
        </is>
      </c>
      <c r="I2997" s="14" t="n">
        <v>4</v>
      </c>
      <c r="K2997" s="15" t="n"/>
      <c r="O2997" s="17" t="n">
        <v>25311</v>
      </c>
      <c r="P2997" s="16" t="n">
        <v>559</v>
      </c>
      <c r="Q2997" s="16" t="n">
        <v>2000</v>
      </c>
      <c r="S2997" s="16" t="n">
        <v>2042</v>
      </c>
      <c r="U2997" s="16" t="n">
        <v>2042</v>
      </c>
      <c r="AC2997" s="23">
        <f>IF(OR(E2997="",E2997="[PARENT]"),"ADD",IF(E2997="[ALT_VIEW]","ALT",""))</f>
        <v/>
      </c>
      <c r="AD2997" s="21">
        <f>IF(Y2997&lt;&gt;"",Y2997,IF(U2997&lt;&gt;"",U2997,S2997))</f>
        <v/>
      </c>
      <c r="AE2997" s="21">
        <f>IF(AB2997&lt;&gt;"",AB2997,Z2997)</f>
        <v/>
      </c>
      <c r="AF2997" s="13" t="inlineStr">
        <is>
          <t>OPN BA4 / BSA 3 / Ship Missile Support / RAM Launchers</t>
        </is>
      </c>
      <c r="AG2997" s="7" t="inlineStr">
        <is>
          <t>79</t>
        </is>
      </c>
      <c r="AH2997" s="7" t="inlineStr">
        <is>
          <t>5231</t>
        </is>
      </c>
    </row>
    <row r="2998" ht="10" customHeight="1">
      <c r="A2998" s="7" t="inlineStr">
        <is>
          <t>OPN_BA4</t>
        </is>
      </c>
      <c r="B2998" s="7" t="inlineStr">
        <is>
          <t>Procurement</t>
        </is>
      </c>
      <c r="C2998" s="7" t="inlineStr">
        <is>
          <t>UR006</t>
        </is>
      </c>
      <c r="D2998" s="7" t="inlineStr">
        <is>
          <t>UR006 RAM Launchers Production Support</t>
        </is>
      </c>
      <c r="E2998" s="13" t="inlineStr">
        <is>
          <t>[SUB]</t>
        </is>
      </c>
      <c r="F2998" s="7" t="inlineStr">
        <is>
          <t>RAM Launchers</t>
        </is>
      </c>
      <c r="I2998" s="14" t="n">
        <v>6</v>
      </c>
      <c r="K2998" s="15" t="n"/>
      <c r="O2998" s="17" t="n">
        <v>19472</v>
      </c>
      <c r="P2998" s="16" t="n">
        <v>559</v>
      </c>
      <c r="Q2998" s="16" t="n">
        <v>2000</v>
      </c>
      <c r="S2998" s="16" t="n">
        <v>2042</v>
      </c>
      <c r="U2998" s="16" t="n">
        <v>2042</v>
      </c>
      <c r="AC2998" s="23">
        <f>IF(OR(E2998="",E2998="[PARENT]"),"ADD",IF(E2998="[ALT_VIEW]","ALT",""))</f>
        <v/>
      </c>
      <c r="AD2998" s="21">
        <f>IF(Y2998&lt;&gt;"",Y2998,IF(U2998&lt;&gt;"",U2998,S2998))</f>
        <v/>
      </c>
      <c r="AE2998" s="21">
        <f>IF(AB2998&lt;&gt;"",AB2998,Z2998)</f>
        <v/>
      </c>
      <c r="AF2998" s="13" t="inlineStr">
        <is>
          <t>OPN BA4 / BSA 3 / Ship Missile Support / RAM Launchers / Prod Support</t>
        </is>
      </c>
      <c r="AG2998" s="7" t="inlineStr">
        <is>
          <t>79</t>
        </is>
      </c>
      <c r="AH2998" s="7" t="inlineStr">
        <is>
          <t>5231</t>
        </is>
      </c>
      <c r="AI2998" s="7" t="inlineStr">
        <is>
          <t>UR006 RAM Launchers Production Support</t>
        </is>
      </c>
      <c r="AJ2998" s="7" t="inlineStr">
        <is>
          <t>UR006</t>
        </is>
      </c>
    </row>
    <row r="2999" ht="10" customHeight="1">
      <c r="A2999" s="7" t="inlineStr">
        <is>
          <t>OPN_BA4</t>
        </is>
      </c>
      <c r="B2999" s="7" t="inlineStr">
        <is>
          <t>Procurement</t>
        </is>
      </c>
      <c r="D2999" s="7" t="inlineStr">
        <is>
          <t>Ship Self Defense System</t>
        </is>
      </c>
      <c r="E2999" s="13" t="inlineStr">
        <is>
          <t>[SUB]</t>
        </is>
      </c>
      <c r="F2999" s="7" t="inlineStr">
        <is>
          <t>5231 / Ship Missile Support Equipment</t>
        </is>
      </c>
      <c r="I2999" s="14" t="n">
        <v>4</v>
      </c>
      <c r="K2999" s="15" t="n"/>
      <c r="O2999" s="17" t="n">
        <v>146274</v>
      </c>
      <c r="P2999" s="16" t="n">
        <v>30150</v>
      </c>
      <c r="Q2999" s="16" t="n">
        <v>24151</v>
      </c>
      <c r="S2999" s="16" t="n">
        <v>28336</v>
      </c>
      <c r="U2999" s="16" t="n">
        <v>28336</v>
      </c>
      <c r="AC2999" s="23">
        <f>IF(OR(E2999="",E2999="[PARENT]"),"ADD",IF(E2999="[ALT_VIEW]","ALT",""))</f>
        <v/>
      </c>
      <c r="AD2999" s="21">
        <f>IF(Y2999&lt;&gt;"",Y2999,IF(U2999&lt;&gt;"",U2999,S2999))</f>
        <v/>
      </c>
      <c r="AE2999" s="21">
        <f>IF(AB2999&lt;&gt;"",AB2999,Z2999)</f>
        <v/>
      </c>
      <c r="AF2999" s="13" t="inlineStr">
        <is>
          <t>OPN BA4 / BSA 3 / Ship Missile Support / Ship Self Defense System</t>
        </is>
      </c>
      <c r="AG2999" s="7" t="inlineStr">
        <is>
          <t>80</t>
        </is>
      </c>
      <c r="AH2999" s="7" t="inlineStr">
        <is>
          <t>5231</t>
        </is>
      </c>
    </row>
    <row r="3000" ht="10" customHeight="1">
      <c r="A3000" s="7" t="inlineStr">
        <is>
          <t>OPN_BA4</t>
        </is>
      </c>
      <c r="B3000" s="7" t="inlineStr">
        <is>
          <t>Procurement</t>
        </is>
      </c>
      <c r="C3000" s="7" t="inlineStr">
        <is>
          <t>UQ002</t>
        </is>
      </c>
      <c r="D3000" s="7" t="inlineStr">
        <is>
          <t>UQ002 - SSDS Production Support</t>
        </is>
      </c>
      <c r="E3000" s="13" t="inlineStr">
        <is>
          <t>[SUB]</t>
        </is>
      </c>
      <c r="F3000" s="7" t="inlineStr">
        <is>
          <t>Ship Self Defense System</t>
        </is>
      </c>
      <c r="I3000" s="14" t="n">
        <v>6</v>
      </c>
      <c r="K3000" s="15" t="n"/>
      <c r="O3000" s="17" t="n">
        <v>24347</v>
      </c>
      <c r="P3000" s="16" t="n">
        <v>8774</v>
      </c>
      <c r="Q3000" s="16" t="n">
        <v>8786</v>
      </c>
      <c r="S3000" s="16" t="n">
        <v>8769</v>
      </c>
      <c r="U3000" s="16" t="n">
        <v>8769</v>
      </c>
      <c r="AC3000" s="23">
        <f>IF(OR(E3000="",E3000="[PARENT]"),"ADD",IF(E3000="[ALT_VIEW]","ALT",""))</f>
        <v/>
      </c>
      <c r="AD3000" s="21">
        <f>IF(Y3000&lt;&gt;"",Y3000,IF(U3000&lt;&gt;"",U3000,S3000))</f>
        <v/>
      </c>
      <c r="AE3000" s="21">
        <f>IF(AB3000&lt;&gt;"",AB3000,Z3000)</f>
        <v/>
      </c>
      <c r="AF3000" s="13" t="inlineStr">
        <is>
          <t>OPN BA4 / BSA 3 / Ship Missile Support / SSDS / Production Support</t>
        </is>
      </c>
      <c r="AG3000" s="7" t="inlineStr">
        <is>
          <t>80</t>
        </is>
      </c>
      <c r="AH3000" s="7" t="inlineStr">
        <is>
          <t>5231</t>
        </is>
      </c>
      <c r="AJ3000" s="7" t="inlineStr">
        <is>
          <t>UQ002</t>
        </is>
      </c>
    </row>
    <row r="3001" ht="10" customHeight="1">
      <c r="A3001" s="7" t="inlineStr">
        <is>
          <t>OPN_BA4</t>
        </is>
      </c>
      <c r="B3001" s="7" t="inlineStr">
        <is>
          <t>Procurement</t>
        </is>
      </c>
      <c r="C3001" s="7" t="inlineStr">
        <is>
          <t>UQ003</t>
        </is>
      </c>
      <c r="D3001" s="7" t="inlineStr">
        <is>
          <t>UQ003 - SSDS ECP / SCD</t>
        </is>
      </c>
      <c r="E3001" s="13" t="inlineStr">
        <is>
          <t>[SUB]</t>
        </is>
      </c>
      <c r="F3001" s="7" t="inlineStr">
        <is>
          <t>Ship Self Defense System</t>
        </is>
      </c>
      <c r="I3001" s="14" t="n">
        <v>4</v>
      </c>
      <c r="K3001" s="15" t="n"/>
      <c r="O3001" s="17" t="n">
        <v>3468</v>
      </c>
      <c r="P3001" s="16" t="n">
        <v>1299</v>
      </c>
      <c r="Q3001" s="16" t="n">
        <v>1027</v>
      </c>
      <c r="S3001" s="16" t="n">
        <v>1191</v>
      </c>
      <c r="U3001" s="16" t="n">
        <v>1191</v>
      </c>
      <c r="AC3001" s="23">
        <f>IF(OR(E3001="",E3001="[PARENT]"),"ADD",IF(E3001="[ALT_VIEW]","ALT",""))</f>
        <v/>
      </c>
      <c r="AD3001" s="21">
        <f>IF(Y3001&lt;&gt;"",Y3001,IF(U3001&lt;&gt;"",U3001,S3001))</f>
        <v/>
      </c>
      <c r="AE3001" s="21">
        <f>IF(AB3001&lt;&gt;"",AB3001,Z3001)</f>
        <v/>
      </c>
      <c r="AF3001" s="13" t="inlineStr">
        <is>
          <t>OPN BA4 / BSA 3 / Ship Missile Support / SSDS / ECP</t>
        </is>
      </c>
      <c r="AG3001" s="7" t="inlineStr">
        <is>
          <t>80</t>
        </is>
      </c>
      <c r="AH3001" s="7" t="inlineStr">
        <is>
          <t>5231</t>
        </is>
      </c>
      <c r="AJ3001" s="7" t="inlineStr">
        <is>
          <t>UQ003</t>
        </is>
      </c>
    </row>
    <row r="3002" ht="10" customHeight="1">
      <c r="A3002" s="7" t="inlineStr">
        <is>
          <t>OPN_BA4</t>
        </is>
      </c>
      <c r="B3002" s="7" t="inlineStr">
        <is>
          <t>Procurement</t>
        </is>
      </c>
      <c r="C3002" s="7" t="inlineStr">
        <is>
          <t>UQ004</t>
        </is>
      </c>
      <c r="D3002" s="7" t="inlineStr">
        <is>
          <t>UQ004 - SSDS Training</t>
        </is>
      </c>
      <c r="E3002" s="13" t="inlineStr">
        <is>
          <t>[SUB]</t>
        </is>
      </c>
      <c r="F3002" s="7" t="inlineStr">
        <is>
          <t>Ship Self Defense System</t>
        </is>
      </c>
      <c r="I3002" s="14" t="n">
        <v>6</v>
      </c>
      <c r="K3002" s="15" t="n"/>
      <c r="O3002" s="17" t="n">
        <v>7522</v>
      </c>
      <c r="P3002" s="16" t="n">
        <v>1573</v>
      </c>
      <c r="Q3002" s="16" t="n">
        <v>1159</v>
      </c>
      <c r="S3002" s="16" t="n">
        <v>1449</v>
      </c>
      <c r="U3002" s="16" t="n">
        <v>1449</v>
      </c>
      <c r="AC3002" s="23">
        <f>IF(OR(E3002="",E3002="[PARENT]"),"ADD",IF(E3002="[ALT_VIEW]","ALT",""))</f>
        <v/>
      </c>
      <c r="AD3002" s="21">
        <f>IF(Y3002&lt;&gt;"",Y3002,IF(U3002&lt;&gt;"",U3002,S3002))</f>
        <v/>
      </c>
      <c r="AE3002" s="21">
        <f>IF(AB3002&lt;&gt;"",AB3002,Z3002)</f>
        <v/>
      </c>
      <c r="AF3002" s="13" t="inlineStr">
        <is>
          <t>OPN BA4 / BSA 3 / Ship Missile Support / SSDS / Training</t>
        </is>
      </c>
      <c r="AG3002" s="7" t="inlineStr">
        <is>
          <t>80</t>
        </is>
      </c>
      <c r="AH3002" s="7" t="inlineStr">
        <is>
          <t>5231</t>
        </is>
      </c>
      <c r="AJ3002" s="7" t="inlineStr">
        <is>
          <t>UQ004</t>
        </is>
      </c>
    </row>
    <row r="3003" ht="10" customHeight="1">
      <c r="A3003" s="7" t="inlineStr">
        <is>
          <t>OPN_BA4</t>
        </is>
      </c>
      <c r="B3003" s="7" t="inlineStr">
        <is>
          <t>Procurement</t>
        </is>
      </c>
      <c r="C3003" s="7" t="inlineStr">
        <is>
          <t>UQ005A</t>
        </is>
      </c>
      <c r="D3003" s="7" t="inlineStr">
        <is>
          <t>UQ005A - SSDS COTS Eng/Obsolescence Kits</t>
        </is>
      </c>
      <c r="E3003" s="13" t="inlineStr">
        <is>
          <t>[SUB]</t>
        </is>
      </c>
      <c r="F3003" s="7" t="inlineStr">
        <is>
          <t>Ship Self Defense System</t>
        </is>
      </c>
      <c r="I3003" s="14" t="n">
        <v>4</v>
      </c>
      <c r="K3003" s="15" t="n"/>
      <c r="O3003" s="17" t="n">
        <v>20591</v>
      </c>
      <c r="P3003" s="16" t="n">
        <v>911</v>
      </c>
      <c r="Q3003" s="16" t="n">
        <v>840</v>
      </c>
      <c r="S3003" s="16" t="n">
        <v>817</v>
      </c>
      <c r="U3003" s="16" t="n">
        <v>817</v>
      </c>
      <c r="AC3003" s="23">
        <f>IF(OR(E3003="",E3003="[PARENT]"),"ADD",IF(E3003="[ALT_VIEW]","ALT",""))</f>
        <v/>
      </c>
      <c r="AD3003" s="21">
        <f>IF(Y3003&lt;&gt;"",Y3003,IF(U3003&lt;&gt;"",U3003,S3003))</f>
        <v/>
      </c>
      <c r="AE3003" s="21">
        <f>IF(AB3003&lt;&gt;"",AB3003,Z3003)</f>
        <v/>
      </c>
      <c r="AF3003" s="13" t="inlineStr">
        <is>
          <t>OPN BA4 / BSA 3 / Ship Missile Support / SSDS / COTS Obsolescence</t>
        </is>
      </c>
      <c r="AG3003" s="7" t="inlineStr">
        <is>
          <t>80</t>
        </is>
      </c>
      <c r="AH3003" s="7" t="inlineStr">
        <is>
          <t>5231</t>
        </is>
      </c>
      <c r="AJ3003" s="7" t="inlineStr">
        <is>
          <t>UQ005A</t>
        </is>
      </c>
    </row>
    <row r="3004" ht="10" customHeight="1">
      <c r="A3004" s="7" t="inlineStr">
        <is>
          <t>OPN_BA4</t>
        </is>
      </c>
      <c r="B3004" s="7" t="inlineStr">
        <is>
          <t>Procurement</t>
        </is>
      </c>
      <c r="C3004" s="7" t="inlineStr">
        <is>
          <t>UQ007</t>
        </is>
      </c>
      <c r="D3004" s="7" t="inlineStr">
        <is>
          <t>UQ007 - Combat System Ship Qualification Trial (CSSQT)</t>
        </is>
      </c>
      <c r="E3004" s="13" t="inlineStr">
        <is>
          <t>[SUB]</t>
        </is>
      </c>
      <c r="F3004" s="7" t="inlineStr">
        <is>
          <t>Ship Self Defense System</t>
        </is>
      </c>
      <c r="I3004" s="14" t="n">
        <v>6</v>
      </c>
      <c r="K3004" s="13" t="inlineStr">
        <is>
          <t>USN</t>
        </is>
      </c>
      <c r="L3004" s="7" t="inlineStr">
        <is>
          <t>Combatant Ships</t>
        </is>
      </c>
      <c r="M3004" s="7" t="inlineStr">
        <is>
          <t>Amphibious Warfare Ships</t>
        </is>
      </c>
      <c r="O3004" s="17" t="n">
        <v>64643</v>
      </c>
      <c r="P3004" s="16" t="n">
        <v>12426</v>
      </c>
      <c r="Q3004" s="16" t="n">
        <v>7095</v>
      </c>
      <c r="S3004" s="16" t="n">
        <v>11284</v>
      </c>
      <c r="U3004" s="16" t="n">
        <v>11284</v>
      </c>
      <c r="AC3004" s="23">
        <f>IF(OR(E3004="",E3004="[PARENT]"),"ADD",IF(E3004="[ALT_VIEW]","ALT",""))</f>
        <v/>
      </c>
      <c r="AD3004" s="21">
        <f>IF(Y3004&lt;&gt;"",Y3004,IF(U3004&lt;&gt;"",U3004,S3004))</f>
        <v/>
      </c>
      <c r="AE3004" s="21">
        <f>IF(AB3004&lt;&gt;"",AB3004,Z3004)</f>
        <v/>
      </c>
      <c r="AF3004" s="13" t="inlineStr">
        <is>
          <t>OPN BA4 / BSA 3 / Ship Missile Support / SSDS / CSSQT</t>
        </is>
      </c>
      <c r="AG3004" s="7" t="inlineStr">
        <is>
          <t>80</t>
        </is>
      </c>
      <c r="AH3004" s="7" t="inlineStr">
        <is>
          <t>5231</t>
        </is>
      </c>
      <c r="AJ3004" s="7" t="inlineStr">
        <is>
          <t>UQ007</t>
        </is>
      </c>
    </row>
    <row r="3005" ht="10" customHeight="1">
      <c r="A3005" s="7" t="inlineStr">
        <is>
          <t>OPN_BA4</t>
        </is>
      </c>
      <c r="B3005" s="7" t="inlineStr">
        <is>
          <t>Procurement</t>
        </is>
      </c>
      <c r="C3005" s="7" t="inlineStr">
        <is>
          <t>UQ008</t>
        </is>
      </c>
      <c r="D3005" s="7" t="inlineStr">
        <is>
          <t>UQ008 - Combat System Documentation &amp; Support</t>
        </is>
      </c>
      <c r="E3005" s="13" t="inlineStr">
        <is>
          <t>[SUB]</t>
        </is>
      </c>
      <c r="F3005" s="7" t="inlineStr">
        <is>
          <t>Ship Self Defense System</t>
        </is>
      </c>
      <c r="I3005" s="14" t="n">
        <v>6</v>
      </c>
      <c r="K3005" s="15" t="n"/>
      <c r="O3005" s="17" t="n">
        <v>25703</v>
      </c>
      <c r="P3005" s="16" t="n">
        <v>5167</v>
      </c>
      <c r="Q3005" s="16" t="n">
        <v>5244</v>
      </c>
      <c r="S3005" s="16" t="n">
        <v>4826</v>
      </c>
      <c r="U3005" s="16" t="n">
        <v>4826</v>
      </c>
      <c r="AC3005" s="23">
        <f>IF(OR(E3005="",E3005="[PARENT]"),"ADD",IF(E3005="[ALT_VIEW]","ALT",""))</f>
        <v/>
      </c>
      <c r="AD3005" s="21">
        <f>IF(Y3005&lt;&gt;"",Y3005,IF(U3005&lt;&gt;"",U3005,S3005))</f>
        <v/>
      </c>
      <c r="AE3005" s="21">
        <f>IF(AB3005&lt;&gt;"",AB3005,Z3005)</f>
        <v/>
      </c>
      <c r="AF3005" s="13" t="inlineStr">
        <is>
          <t>OPN BA4 / BSA 3 / Ship Missile Support / SSDS / Doc Support</t>
        </is>
      </c>
      <c r="AG3005" s="7" t="inlineStr">
        <is>
          <t>81</t>
        </is>
      </c>
      <c r="AH3005" s="7" t="inlineStr">
        <is>
          <t>5231</t>
        </is>
      </c>
      <c r="AJ3005" s="7" t="inlineStr">
        <is>
          <t>UQ008</t>
        </is>
      </c>
    </row>
    <row r="3006" ht="10" customHeight="1">
      <c r="A3006" s="7" t="inlineStr">
        <is>
          <t>OPN_BA4</t>
        </is>
      </c>
      <c r="B3006" s="7" t="inlineStr">
        <is>
          <t>Procurement</t>
        </is>
      </c>
      <c r="D3006" s="7" t="inlineStr">
        <is>
          <t>AEGIS Support Equipment</t>
        </is>
      </c>
      <c r="E3006" s="13" t="inlineStr">
        <is>
          <t>[SUB]</t>
        </is>
      </c>
      <c r="F3006" s="7" t="inlineStr">
        <is>
          <t>5231 / Ship Missile Support Equipment</t>
        </is>
      </c>
      <c r="I3006" s="14" t="n">
        <v>4</v>
      </c>
      <c r="K3006" s="13" t="inlineStr">
        <is>
          <t>USN</t>
        </is>
      </c>
      <c r="L3006" s="7" t="inlineStr">
        <is>
          <t>Combatant Ships</t>
        </is>
      </c>
      <c r="M3006" s="7" t="inlineStr">
        <is>
          <t>Surface Combatants</t>
        </is>
      </c>
      <c r="O3006" s="17" t="n">
        <v>746742</v>
      </c>
      <c r="P3006" s="16" t="n">
        <v>106795</v>
      </c>
      <c r="Q3006" s="16" t="n">
        <v>123988</v>
      </c>
      <c r="S3006" s="16" t="n">
        <v>187988</v>
      </c>
      <c r="U3006" s="16" t="n">
        <v>187988</v>
      </c>
      <c r="AC3006" s="23">
        <f>IF(OR(E3006="",E3006="[PARENT]"),"ADD",IF(E3006="[ALT_VIEW]","ALT",""))</f>
        <v/>
      </c>
      <c r="AD3006" s="21">
        <f>IF(Y3006&lt;&gt;"",Y3006,IF(U3006&lt;&gt;"",U3006,S3006))</f>
        <v/>
      </c>
      <c r="AE3006" s="21">
        <f>IF(AB3006&lt;&gt;"",AB3006,Z3006)</f>
        <v/>
      </c>
      <c r="AF3006" s="13" t="inlineStr">
        <is>
          <t>OPN BA4 / BSA 3 / Ship Missile Support / AEGIS Support Equipment</t>
        </is>
      </c>
      <c r="AG3006" s="7" t="inlineStr">
        <is>
          <t>81</t>
        </is>
      </c>
      <c r="AH3006" s="7" t="inlineStr">
        <is>
          <t>5231</t>
        </is>
      </c>
    </row>
    <row r="3007" ht="10" customHeight="1">
      <c r="A3007" s="7" t="inlineStr">
        <is>
          <t>OPN_BA4</t>
        </is>
      </c>
      <c r="B3007" s="7" t="inlineStr">
        <is>
          <t>Procurement</t>
        </is>
      </c>
      <c r="C3007" s="7" t="inlineStr">
        <is>
          <t>L7001</t>
        </is>
      </c>
      <c r="D3007" s="7" t="inlineStr">
        <is>
          <t>L7001 - Depot Special Tooling/Test Equipment</t>
        </is>
      </c>
      <c r="E3007" s="13" t="inlineStr">
        <is>
          <t>[SUB]</t>
        </is>
      </c>
      <c r="F3007" s="7" t="inlineStr">
        <is>
          <t>AEGIS Support Equipment</t>
        </is>
      </c>
      <c r="I3007" s="14" t="n">
        <v>6</v>
      </c>
      <c r="K3007" s="13" t="inlineStr">
        <is>
          <t>USN</t>
        </is>
      </c>
      <c r="L3007" s="7" t="inlineStr">
        <is>
          <t>Combatant Ships</t>
        </is>
      </c>
      <c r="M3007" s="7" t="inlineStr">
        <is>
          <t>Surface Combatants</t>
        </is>
      </c>
      <c r="O3007" s="17" t="n">
        <v>43929</v>
      </c>
      <c r="P3007" s="16" t="n">
        <v>7061</v>
      </c>
      <c r="Q3007" s="16" t="n">
        <v>10934</v>
      </c>
      <c r="S3007" s="16" t="n">
        <v>9023</v>
      </c>
      <c r="U3007" s="16" t="n">
        <v>9023</v>
      </c>
      <c r="AC3007" s="23">
        <f>IF(OR(E3007="",E3007="[PARENT]"),"ADD",IF(E3007="[ALT_VIEW]","ALT",""))</f>
        <v/>
      </c>
      <c r="AD3007" s="21">
        <f>IF(Y3007&lt;&gt;"",Y3007,IF(U3007&lt;&gt;"",U3007,S3007))</f>
        <v/>
      </c>
      <c r="AE3007" s="21">
        <f>IF(AB3007&lt;&gt;"",AB3007,Z3007)</f>
        <v/>
      </c>
      <c r="AF3007" s="13" t="inlineStr">
        <is>
          <t>OPN BA4 / BSA 3 / Ship Missile Support / AEGIS / Depot Tooling</t>
        </is>
      </c>
      <c r="AG3007" s="7" t="inlineStr">
        <is>
          <t>81</t>
        </is>
      </c>
      <c r="AH3007" s="7" t="inlineStr">
        <is>
          <t>5231</t>
        </is>
      </c>
    </row>
    <row r="3008" ht="10" customHeight="1">
      <c r="A3008" s="7" t="inlineStr">
        <is>
          <t>OPN_BA4</t>
        </is>
      </c>
      <c r="B3008" s="7" t="inlineStr">
        <is>
          <t>Procurement</t>
        </is>
      </c>
      <c r="C3008" s="7" t="inlineStr">
        <is>
          <t>L7006</t>
        </is>
      </c>
      <c r="D3008" s="7" t="inlineStr">
        <is>
          <t>L7006 - Surface Combat Systems Center Equipment</t>
        </is>
      </c>
      <c r="E3008" s="13" t="inlineStr">
        <is>
          <t>[SUB]</t>
        </is>
      </c>
      <c r="F3008" s="7" t="inlineStr">
        <is>
          <t>AEGIS Support Equipment</t>
        </is>
      </c>
      <c r="I3008" s="14" t="n">
        <v>6</v>
      </c>
      <c r="K3008" s="15" t="n"/>
      <c r="O3008" s="17" t="n">
        <v>131396</v>
      </c>
      <c r="P3008" s="16" t="n">
        <v>3664</v>
      </c>
      <c r="Q3008" s="16" t="n">
        <v>15419</v>
      </c>
      <c r="S3008" s="16" t="n">
        <v>8294</v>
      </c>
      <c r="U3008" s="16" t="n">
        <v>8294</v>
      </c>
      <c r="AC3008" s="23">
        <f>IF(OR(E3008="",E3008="[PARENT]"),"ADD",IF(E3008="[ALT_VIEW]","ALT",""))</f>
        <v/>
      </c>
      <c r="AD3008" s="21">
        <f>IF(Y3008&lt;&gt;"",Y3008,IF(U3008&lt;&gt;"",U3008,S3008))</f>
        <v/>
      </c>
      <c r="AE3008" s="21">
        <f>IF(AB3008&lt;&gt;"",AB3008,Z3008)</f>
        <v/>
      </c>
      <c r="AF3008" s="13" t="inlineStr">
        <is>
          <t>OPN BA4 / BSA 3 / Ship Missile Support / AEGIS / SCSC Equipment</t>
        </is>
      </c>
      <c r="AG3008" s="7" t="inlineStr">
        <is>
          <t>82</t>
        </is>
      </c>
      <c r="AH3008" s="7" t="inlineStr">
        <is>
          <t>5231</t>
        </is>
      </c>
    </row>
    <row r="3009" ht="10" customHeight="1">
      <c r="A3009" s="7" t="inlineStr">
        <is>
          <t>OPN_BA4</t>
        </is>
      </c>
      <c r="B3009" s="7" t="inlineStr">
        <is>
          <t>Procurement</t>
        </is>
      </c>
      <c r="C3009" s="7" t="inlineStr">
        <is>
          <t>L7007</t>
        </is>
      </c>
      <c r="D3009" s="7" t="inlineStr">
        <is>
          <t>L7007 - Aegis Training and Readiness Center Upgrade</t>
        </is>
      </c>
      <c r="E3009" s="13" t="inlineStr">
        <is>
          <t>[SUB]</t>
        </is>
      </c>
      <c r="F3009" s="7" t="inlineStr">
        <is>
          <t>AEGIS Support Equipment</t>
        </is>
      </c>
      <c r="I3009" s="14" t="n">
        <v>6</v>
      </c>
      <c r="K3009" s="15" t="n"/>
      <c r="O3009" s="17" t="n">
        <v>76909</v>
      </c>
      <c r="P3009" s="16" t="n">
        <v>3247</v>
      </c>
      <c r="Q3009" s="16" t="n">
        <v>4896</v>
      </c>
      <c r="S3009" s="16" t="n">
        <v>5032</v>
      </c>
      <c r="U3009" s="16" t="n">
        <v>5032</v>
      </c>
      <c r="AC3009" s="23">
        <f>IF(OR(E3009="",E3009="[PARENT]"),"ADD",IF(E3009="[ALT_VIEW]","ALT",""))</f>
        <v/>
      </c>
      <c r="AD3009" s="21">
        <f>IF(Y3009&lt;&gt;"",Y3009,IF(U3009&lt;&gt;"",U3009,S3009))</f>
        <v/>
      </c>
      <c r="AE3009" s="21">
        <f>IF(AB3009&lt;&gt;"",AB3009,Z3009)</f>
        <v/>
      </c>
      <c r="AF3009" s="13" t="inlineStr">
        <is>
          <t>OPN BA4 / BSA 3 / Ship Missile Support / AEGIS / ATRC</t>
        </is>
      </c>
      <c r="AG3009" s="7" t="inlineStr">
        <is>
          <t>82</t>
        </is>
      </c>
      <c r="AH3009" s="7" t="inlineStr">
        <is>
          <t>5231</t>
        </is>
      </c>
    </row>
    <row r="3010" ht="10" customHeight="1">
      <c r="A3010" s="7" t="inlineStr">
        <is>
          <t>OPN_BA4</t>
        </is>
      </c>
      <c r="B3010" s="7" t="inlineStr">
        <is>
          <t>Procurement</t>
        </is>
      </c>
      <c r="C3010" s="7" t="inlineStr">
        <is>
          <t>L7008</t>
        </is>
      </c>
      <c r="D3010" s="7" t="inlineStr">
        <is>
          <t>L7008 - Combat System Engineering Development Site (CSEDS)</t>
        </is>
      </c>
      <c r="E3010" s="13" t="inlineStr">
        <is>
          <t>[SUB]</t>
        </is>
      </c>
      <c r="F3010" s="7" t="inlineStr">
        <is>
          <t>AEGIS Support Equipment</t>
        </is>
      </c>
      <c r="I3010" s="14" t="n">
        <v>6</v>
      </c>
      <c r="K3010" s="15" t="n"/>
      <c r="O3010" s="15" t="n"/>
      <c r="S3010" s="16" t="n">
        <v>1450</v>
      </c>
      <c r="U3010" s="16" t="n">
        <v>1450</v>
      </c>
      <c r="AC3010" s="23">
        <f>IF(OR(E3010="",E3010="[PARENT]"),"ADD",IF(E3010="[ALT_VIEW]","ALT",""))</f>
        <v/>
      </c>
      <c r="AD3010" s="21">
        <f>IF(Y3010&lt;&gt;"",Y3010,IF(U3010&lt;&gt;"",U3010,S3010))</f>
        <v/>
      </c>
      <c r="AE3010" s="21">
        <f>IF(AB3010&lt;&gt;"",AB3010,Z3010)</f>
        <v/>
      </c>
      <c r="AF3010" s="13" t="inlineStr">
        <is>
          <t>OPN BA4 / BSA 3 / Ship Missile Support / AEGIS / CSEDS</t>
        </is>
      </c>
      <c r="AG3010" s="7" t="inlineStr">
        <is>
          <t>82</t>
        </is>
      </c>
      <c r="AH3010" s="7" t="inlineStr">
        <is>
          <t>5231</t>
        </is>
      </c>
    </row>
    <row r="3011" ht="10" customHeight="1">
      <c r="A3011" s="7" t="inlineStr">
        <is>
          <t>OPN_BA4</t>
        </is>
      </c>
      <c r="B3011" s="7" t="inlineStr">
        <is>
          <t>Procurement</t>
        </is>
      </c>
      <c r="C3011" s="7" t="inlineStr">
        <is>
          <t>L7011</t>
        </is>
      </c>
      <c r="D3011" s="7" t="inlineStr">
        <is>
          <t>L7011 - Aegis Weapon System Ship Change Procurement</t>
        </is>
      </c>
      <c r="E3011" s="13" t="inlineStr">
        <is>
          <t>[SUB]</t>
        </is>
      </c>
      <c r="F3011" s="7" t="inlineStr">
        <is>
          <t>AEGIS Support Equipment</t>
        </is>
      </c>
      <c r="I3011" s="14" t="n">
        <v>4</v>
      </c>
      <c r="K3011" s="13" t="inlineStr">
        <is>
          <t>USN</t>
        </is>
      </c>
      <c r="L3011" s="7" t="inlineStr">
        <is>
          <t>Combatant Ships</t>
        </is>
      </c>
      <c r="M3011" s="7" t="inlineStr">
        <is>
          <t>Surface Combatants</t>
        </is>
      </c>
      <c r="N3011" s="7" t="inlineStr">
        <is>
          <t>DDG</t>
        </is>
      </c>
      <c r="O3011" s="17" t="n">
        <v>95851</v>
      </c>
      <c r="P3011" s="16" t="n">
        <v>6823</v>
      </c>
      <c r="Q3011" s="16" t="n">
        <v>6107</v>
      </c>
      <c r="S3011" s="16" t="n">
        <v>14217</v>
      </c>
      <c r="U3011" s="16" t="n">
        <v>14217</v>
      </c>
      <c r="AC3011" s="23">
        <f>IF(OR(E3011="",E3011="[PARENT]"),"ADD",IF(E3011="[ALT_VIEW]","ALT",""))</f>
        <v/>
      </c>
      <c r="AD3011" s="21">
        <f>IF(Y3011&lt;&gt;"",Y3011,IF(U3011&lt;&gt;"",U3011,S3011))</f>
        <v/>
      </c>
      <c r="AE3011" s="21">
        <f>IF(AB3011&lt;&gt;"",AB3011,Z3011)</f>
        <v/>
      </c>
      <c r="AF3011" s="13" t="inlineStr">
        <is>
          <t>OPN BA4 / BSA 3 / Ship Missile Support / AEGIS / Ship Change Procurement</t>
        </is>
      </c>
      <c r="AG3011" s="7" t="inlineStr">
        <is>
          <t>82</t>
        </is>
      </c>
      <c r="AH3011" s="7" t="inlineStr">
        <is>
          <t>5231</t>
        </is>
      </c>
    </row>
    <row r="3012" ht="10" customHeight="1">
      <c r="A3012" s="7" t="inlineStr">
        <is>
          <t>OPN_BA4</t>
        </is>
      </c>
      <c r="B3012" s="7" t="inlineStr">
        <is>
          <t>Procurement</t>
        </is>
      </c>
      <c r="C3012" s="7" t="inlineStr">
        <is>
          <t>L7012</t>
        </is>
      </c>
      <c r="D3012" s="7" t="inlineStr">
        <is>
          <t>L7012 - SPY 1D/DV Radar Enhancements (ALPS)</t>
        </is>
      </c>
      <c r="E3012" s="13" t="inlineStr">
        <is>
          <t>[SUB]</t>
        </is>
      </c>
      <c r="F3012" s="7" t="inlineStr">
        <is>
          <t>AEGIS Support Equipment</t>
        </is>
      </c>
      <c r="I3012" s="14" t="n">
        <v>4</v>
      </c>
      <c r="K3012" s="13" t="inlineStr">
        <is>
          <t>USN</t>
        </is>
      </c>
      <c r="L3012" s="7" t="inlineStr">
        <is>
          <t>Combatant Ships</t>
        </is>
      </c>
      <c r="M3012" s="7" t="inlineStr">
        <is>
          <t>Surface Combatants</t>
        </is>
      </c>
      <c r="N3012" s="7" t="inlineStr">
        <is>
          <t>DDG</t>
        </is>
      </c>
      <c r="O3012" s="17" t="n">
        <v>93833</v>
      </c>
      <c r="P3012" s="16" t="n">
        <v>21200</v>
      </c>
      <c r="Q3012" s="16" t="n">
        <v>21524</v>
      </c>
      <c r="S3012" s="16" t="n">
        <v>96370</v>
      </c>
      <c r="U3012" s="16" t="n">
        <v>96370</v>
      </c>
      <c r="AC3012" s="23">
        <f>IF(OR(E3012="",E3012="[PARENT]"),"ADD",IF(E3012="[ALT_VIEW]","ALT",""))</f>
        <v/>
      </c>
      <c r="AD3012" s="21">
        <f>IF(Y3012&lt;&gt;"",Y3012,IF(U3012&lt;&gt;"",U3012,S3012))</f>
        <v/>
      </c>
      <c r="AE3012" s="21">
        <f>IF(AB3012&lt;&gt;"",AB3012,Z3012)</f>
        <v/>
      </c>
      <c r="AF3012" s="13" t="inlineStr">
        <is>
          <t>OPN BA4 / BSA 3 / Ship Missile Support / AEGIS / SPY ALPS</t>
        </is>
      </c>
      <c r="AG3012" s="7" t="inlineStr">
        <is>
          <t>82</t>
        </is>
      </c>
      <c r="AH3012" s="7" t="inlineStr">
        <is>
          <t>5231</t>
        </is>
      </c>
    </row>
    <row r="3013" ht="10" customHeight="1">
      <c r="A3013" s="7" t="inlineStr">
        <is>
          <t>OPN_BA4</t>
        </is>
      </c>
      <c r="B3013" s="7" t="inlineStr">
        <is>
          <t>Procurement</t>
        </is>
      </c>
      <c r="C3013" s="7" t="inlineStr">
        <is>
          <t>L7014</t>
        </is>
      </c>
      <c r="D3013" s="7" t="inlineStr">
        <is>
          <t>L7014 - SPY Wholeness</t>
        </is>
      </c>
      <c r="E3013" s="13" t="inlineStr">
        <is>
          <t>[SUB]</t>
        </is>
      </c>
      <c r="F3013" s="7" t="inlineStr">
        <is>
          <t>AEGIS Support Equipment</t>
        </is>
      </c>
      <c r="I3013" s="14" t="n">
        <v>4</v>
      </c>
      <c r="K3013" s="13" t="inlineStr">
        <is>
          <t>USN</t>
        </is>
      </c>
      <c r="L3013" s="7" t="inlineStr">
        <is>
          <t>Combatant Ships</t>
        </is>
      </c>
      <c r="M3013" s="7" t="inlineStr">
        <is>
          <t>Surface Combatants</t>
        </is>
      </c>
      <c r="N3013" s="7" t="inlineStr">
        <is>
          <t>DDG</t>
        </is>
      </c>
      <c r="O3013" s="17" t="n">
        <v>147388</v>
      </c>
      <c r="P3013" s="16" t="n">
        <v>56484</v>
      </c>
      <c r="Q3013" s="16" t="n">
        <v>25771</v>
      </c>
      <c r="S3013" s="16" t="n">
        <v>8020</v>
      </c>
      <c r="U3013" s="16" t="n">
        <v>8020</v>
      </c>
      <c r="AC3013" s="23">
        <f>IF(OR(E3013="",E3013="[PARENT]"),"ADD",IF(E3013="[ALT_VIEW]","ALT",""))</f>
        <v/>
      </c>
      <c r="AD3013" s="21">
        <f>IF(Y3013&lt;&gt;"",Y3013,IF(U3013&lt;&gt;"",U3013,S3013))</f>
        <v/>
      </c>
      <c r="AE3013" s="21">
        <f>IF(AB3013&lt;&gt;"",AB3013,Z3013)</f>
        <v/>
      </c>
      <c r="AF3013" s="13" t="inlineStr">
        <is>
          <t>OPN BA4 / BSA 3 / Ship Missile Support / AEGIS / SPY Wholeness</t>
        </is>
      </c>
      <c r="AG3013" s="7" t="inlineStr">
        <is>
          <t>82</t>
        </is>
      </c>
      <c r="AH3013" s="7" t="inlineStr">
        <is>
          <t>5231</t>
        </is>
      </c>
    </row>
    <row r="3014" ht="10" customHeight="1">
      <c r="A3014" s="7" t="inlineStr">
        <is>
          <t>OPN_BA4</t>
        </is>
      </c>
      <c r="B3014" s="7" t="inlineStr">
        <is>
          <t>Procurement</t>
        </is>
      </c>
      <c r="C3014" s="7" t="inlineStr">
        <is>
          <t>L7018</t>
        </is>
      </c>
      <c r="D3014" s="7" t="inlineStr">
        <is>
          <t>L7018 - Enhanced Collection System (ECS) Proc &amp; Install Support</t>
        </is>
      </c>
      <c r="E3014" s="13" t="inlineStr">
        <is>
          <t>[SUB]</t>
        </is>
      </c>
      <c r="F3014" s="7" t="inlineStr">
        <is>
          <t>AEGIS Support Equipment</t>
        </is>
      </c>
      <c r="I3014" s="14" t="n">
        <v>4</v>
      </c>
      <c r="K3014" s="13" t="inlineStr">
        <is>
          <t>USN</t>
        </is>
      </c>
      <c r="L3014" s="7" t="inlineStr">
        <is>
          <t>Combatant Ships</t>
        </is>
      </c>
      <c r="M3014" s="7" t="inlineStr">
        <is>
          <t>Surface Combatants</t>
        </is>
      </c>
      <c r="O3014" s="15" t="n"/>
      <c r="S3014" s="16" t="n">
        <v>8500</v>
      </c>
      <c r="U3014" s="16" t="n">
        <v>8500</v>
      </c>
      <c r="AC3014" s="23">
        <f>IF(OR(E3014="",E3014="[PARENT]"),"ADD",IF(E3014="[ALT_VIEW]","ALT",""))</f>
        <v/>
      </c>
      <c r="AD3014" s="21">
        <f>IF(Y3014&lt;&gt;"",Y3014,IF(U3014&lt;&gt;"",U3014,S3014))</f>
        <v/>
      </c>
      <c r="AE3014" s="21">
        <f>IF(AB3014&lt;&gt;"",AB3014,Z3014)</f>
        <v/>
      </c>
      <c r="AF3014" s="13" t="inlineStr">
        <is>
          <t>OPN BA4 / BSA 3 / Ship Missile Support / AEGIS / ECS</t>
        </is>
      </c>
      <c r="AG3014" s="7" t="inlineStr">
        <is>
          <t>82</t>
        </is>
      </c>
      <c r="AH3014" s="7" t="inlineStr">
        <is>
          <t>5231</t>
        </is>
      </c>
    </row>
    <row r="3015" ht="10" customHeight="1">
      <c r="A3015" s="7" t="inlineStr">
        <is>
          <t>OPN_BA4</t>
        </is>
      </c>
      <c r="B3015" s="7" t="inlineStr">
        <is>
          <t>Procurement</t>
        </is>
      </c>
      <c r="C3015" s="7" t="inlineStr">
        <is>
          <t>L7019</t>
        </is>
      </c>
      <c r="D3015" s="7" t="inlineStr">
        <is>
          <t>L7019 - AEGIS Depot Maintenance Support</t>
        </is>
      </c>
      <c r="E3015" s="13" t="inlineStr">
        <is>
          <t>[SUB]</t>
        </is>
      </c>
      <c r="F3015" s="7" t="inlineStr">
        <is>
          <t>AEGIS Support Equipment</t>
        </is>
      </c>
      <c r="I3015" s="14" t="n">
        <v>2</v>
      </c>
      <c r="K3015" s="13" t="inlineStr">
        <is>
          <t>USN</t>
        </is>
      </c>
      <c r="L3015" s="7" t="inlineStr">
        <is>
          <t>Combatant Ships</t>
        </is>
      </c>
      <c r="M3015" s="7" t="inlineStr">
        <is>
          <t>Surface Combatants</t>
        </is>
      </c>
      <c r="O3015" s="15" t="n"/>
      <c r="S3015" s="16" t="n">
        <v>19996</v>
      </c>
      <c r="U3015" s="16" t="n">
        <v>19996</v>
      </c>
      <c r="AC3015" s="23">
        <f>IF(OR(E3015="",E3015="[PARENT]"),"ADD",IF(E3015="[ALT_VIEW]","ALT",""))</f>
        <v/>
      </c>
      <c r="AD3015" s="21">
        <f>IF(Y3015&lt;&gt;"",Y3015,IF(U3015&lt;&gt;"",U3015,S3015))</f>
        <v/>
      </c>
      <c r="AE3015" s="21">
        <f>IF(AB3015&lt;&gt;"",AB3015,Z3015)</f>
        <v/>
      </c>
      <c r="AF3015" s="13" t="inlineStr">
        <is>
          <t>OPN BA4 / BSA 3 / Ship Missile Support / AEGIS / Depot Maint</t>
        </is>
      </c>
      <c r="AG3015" s="7" t="inlineStr">
        <is>
          <t>82</t>
        </is>
      </c>
      <c r="AH3015" s="7" t="inlineStr">
        <is>
          <t>5231</t>
        </is>
      </c>
    </row>
    <row r="3016" ht="10" customHeight="1">
      <c r="A3016" s="7" t="inlineStr">
        <is>
          <t>OPN_BA4</t>
        </is>
      </c>
      <c r="B3016" s="7" t="inlineStr">
        <is>
          <t>Procurement</t>
        </is>
      </c>
      <c r="C3016" s="7" t="inlineStr">
        <is>
          <t>L7600</t>
        </is>
      </c>
      <c r="D3016" s="7" t="inlineStr">
        <is>
          <t>L7600 - Aegis Support Equipment Installation</t>
        </is>
      </c>
      <c r="E3016" s="13" t="inlineStr">
        <is>
          <t>[SUB]</t>
        </is>
      </c>
      <c r="F3016" s="7" t="inlineStr">
        <is>
          <t>AEGIS Support Equipment</t>
        </is>
      </c>
      <c r="I3016" s="14" t="n">
        <v>4</v>
      </c>
      <c r="K3016" s="13" t="inlineStr">
        <is>
          <t>USN</t>
        </is>
      </c>
      <c r="L3016" s="7" t="inlineStr">
        <is>
          <t>Combatant Ships</t>
        </is>
      </c>
      <c r="M3016" s="7" t="inlineStr">
        <is>
          <t>Surface Combatants</t>
        </is>
      </c>
      <c r="O3016" s="17" t="n">
        <v>75263</v>
      </c>
      <c r="P3016" s="16" t="n">
        <v>8316</v>
      </c>
      <c r="Q3016" s="16" t="n">
        <v>14578</v>
      </c>
      <c r="S3016" s="16" t="n">
        <v>17086</v>
      </c>
      <c r="U3016" s="16" t="n">
        <v>17086</v>
      </c>
      <c r="AC3016" s="23">
        <f>IF(OR(E3016="",E3016="[PARENT]"),"ADD",IF(E3016="[ALT_VIEW]","ALT",""))</f>
        <v/>
      </c>
      <c r="AD3016" s="21">
        <f>IF(Y3016&lt;&gt;"",Y3016,IF(U3016&lt;&gt;"",U3016,S3016))</f>
        <v/>
      </c>
      <c r="AE3016" s="21">
        <f>IF(AB3016&lt;&gt;"",AB3016,Z3016)</f>
        <v/>
      </c>
      <c r="AF3016" s="13" t="inlineStr">
        <is>
          <t>OPN BA4 / BSA 3 / Ship Missile Support / AEGIS / Installation</t>
        </is>
      </c>
      <c r="AG3016" s="7" t="inlineStr">
        <is>
          <t>82</t>
        </is>
      </c>
      <c r="AH3016" s="7" t="inlineStr">
        <is>
          <t>5231</t>
        </is>
      </c>
    </row>
    <row r="3017" ht="10" customHeight="1">
      <c r="A3017" s="7" t="inlineStr">
        <is>
          <t>OPN_BA4</t>
        </is>
      </c>
      <c r="B3017" s="7" t="inlineStr">
        <is>
          <t>Procurement</t>
        </is>
      </c>
      <c r="D3017" s="7" t="inlineStr">
        <is>
          <t>Integrated Combat System (ICS) Equipment</t>
        </is>
      </c>
      <c r="E3017" s="13" t="inlineStr">
        <is>
          <t>[SUB]</t>
        </is>
      </c>
      <c r="F3017" s="7" t="inlineStr">
        <is>
          <t>5231 / Ship Missile Support Equipment</t>
        </is>
      </c>
      <c r="I3017" s="14" t="n">
        <v>4</v>
      </c>
      <c r="K3017" s="13" t="inlineStr">
        <is>
          <t>USN</t>
        </is>
      </c>
      <c r="L3017" s="7" t="inlineStr">
        <is>
          <t>Combatant Ships</t>
        </is>
      </c>
      <c r="M3017" s="7" t="inlineStr">
        <is>
          <t>Surface Combatants</t>
        </is>
      </c>
      <c r="O3017" s="17" t="n">
        <v>0</v>
      </c>
      <c r="P3017" s="16" t="n">
        <v>20134</v>
      </c>
      <c r="Q3017" s="16" t="n">
        <v>24134</v>
      </c>
      <c r="S3017" s="16" t="n">
        <v>27333</v>
      </c>
      <c r="U3017" s="16" t="n">
        <v>27333</v>
      </c>
      <c r="AC3017" s="23">
        <f>IF(OR(E3017="",E3017="[PARENT]"),"ADD",IF(E3017="[ALT_VIEW]","ALT",""))</f>
        <v/>
      </c>
      <c r="AD3017" s="21">
        <f>IF(Y3017&lt;&gt;"",Y3017,IF(U3017&lt;&gt;"",U3017,S3017))</f>
        <v/>
      </c>
      <c r="AE3017" s="21">
        <f>IF(AB3017&lt;&gt;"",AB3017,Z3017)</f>
        <v/>
      </c>
      <c r="AF3017" s="13" t="inlineStr">
        <is>
          <t>OPN BA4 / BSA 3 / Ship Missile Support / ICS Equipment</t>
        </is>
      </c>
      <c r="AG3017" s="7" t="inlineStr">
        <is>
          <t>83</t>
        </is>
      </c>
      <c r="AH3017" s="7" t="inlineStr">
        <is>
          <t>5231</t>
        </is>
      </c>
    </row>
    <row r="3018" ht="10" customHeight="1">
      <c r="A3018" s="7" t="inlineStr">
        <is>
          <t>OPN_BA4</t>
        </is>
      </c>
      <c r="B3018" s="7" t="inlineStr">
        <is>
          <t>Procurement</t>
        </is>
      </c>
      <c r="D3018" s="7" t="inlineStr">
        <is>
          <t>MK57 SUPPORT EQUIPMENT</t>
        </is>
      </c>
      <c r="E3018" s="13" t="inlineStr">
        <is>
          <t>[SUB]</t>
        </is>
      </c>
      <c r="F3018" s="7" t="inlineStr">
        <is>
          <t>5231 / Ship Missile Support Equipment</t>
        </is>
      </c>
      <c r="I3018" s="14" t="n">
        <v>4</v>
      </c>
      <c r="K3018" s="13" t="inlineStr">
        <is>
          <t>USN</t>
        </is>
      </c>
      <c r="L3018" s="7" t="inlineStr">
        <is>
          <t>Combatant Ships</t>
        </is>
      </c>
      <c r="M3018" s="7" t="inlineStr">
        <is>
          <t>Surface Combatants</t>
        </is>
      </c>
      <c r="N3018" s="7" t="inlineStr">
        <is>
          <t>DDG</t>
        </is>
      </c>
      <c r="O3018" s="17" t="n">
        <v>40477</v>
      </c>
      <c r="P3018" s="16" t="n">
        <v>184</v>
      </c>
      <c r="Q3018" s="16" t="n">
        <v>235</v>
      </c>
      <c r="S3018" s="16" t="n">
        <v>223</v>
      </c>
      <c r="U3018" s="16" t="n">
        <v>223</v>
      </c>
      <c r="AC3018" s="23">
        <f>IF(OR(E3018="",E3018="[PARENT]"),"ADD",IF(E3018="[ALT_VIEW]","ALT",""))</f>
        <v/>
      </c>
      <c r="AD3018" s="21">
        <f>IF(Y3018&lt;&gt;"",Y3018,IF(U3018&lt;&gt;"",U3018,S3018))</f>
        <v/>
      </c>
      <c r="AE3018" s="21">
        <f>IF(AB3018&lt;&gt;"",AB3018,Z3018)</f>
        <v/>
      </c>
      <c r="AF3018" s="13" t="inlineStr">
        <is>
          <t>OPN BA4 / BSA 3 / Ship Missile Support / MK57 Support</t>
        </is>
      </c>
      <c r="AG3018" s="7" t="inlineStr">
        <is>
          <t>84</t>
        </is>
      </c>
      <c r="AH3018" s="7" t="inlineStr">
        <is>
          <t>5231</t>
        </is>
      </c>
    </row>
    <row r="3019" ht="10" customHeight="1">
      <c r="A3019" s="7" t="inlineStr">
        <is>
          <t>OPN_BA4</t>
        </is>
      </c>
      <c r="B3019" s="7" t="inlineStr">
        <is>
          <t>Procurement</t>
        </is>
      </c>
      <c r="D3019" s="7" t="inlineStr">
        <is>
          <t>MK57 UCEU Production Engineering and Logistics Support</t>
        </is>
      </c>
      <c r="E3019" s="13" t="inlineStr">
        <is>
          <t>[SUB]</t>
        </is>
      </c>
      <c r="F3019" s="7" t="inlineStr">
        <is>
          <t>MK57 Support Equipment</t>
        </is>
      </c>
      <c r="I3019" s="14" t="n">
        <v>6</v>
      </c>
      <c r="K3019" s="13" t="inlineStr">
        <is>
          <t>USN</t>
        </is>
      </c>
      <c r="L3019" s="7" t="inlineStr">
        <is>
          <t>Combatant Ships</t>
        </is>
      </c>
      <c r="M3019" s="7" t="inlineStr">
        <is>
          <t>Surface Combatants</t>
        </is>
      </c>
      <c r="N3019" s="7" t="inlineStr">
        <is>
          <t>DDG</t>
        </is>
      </c>
      <c r="O3019" s="17" t="n">
        <v>6243</v>
      </c>
      <c r="P3019" s="16" t="n">
        <v>184</v>
      </c>
      <c r="Q3019" s="16" t="n">
        <v>235</v>
      </c>
      <c r="S3019" s="16" t="n">
        <v>223</v>
      </c>
      <c r="U3019" s="16" t="n">
        <v>223</v>
      </c>
      <c r="AC3019" s="23">
        <f>IF(OR(E3019="",E3019="[PARENT]"),"ADD",IF(E3019="[ALT_VIEW]","ALT",""))</f>
        <v/>
      </c>
      <c r="AD3019" s="21">
        <f>IF(Y3019&lt;&gt;"",Y3019,IF(U3019&lt;&gt;"",U3019,S3019))</f>
        <v/>
      </c>
      <c r="AE3019" s="21">
        <f>IF(AB3019&lt;&gt;"",AB3019,Z3019)</f>
        <v/>
      </c>
      <c r="AF3019" s="13" t="inlineStr">
        <is>
          <t>OPN BA4 / BSA 3 / Ship Missile Support / MK57 / Prod Eng</t>
        </is>
      </c>
      <c r="AG3019" s="7" t="inlineStr">
        <is>
          <t>84</t>
        </is>
      </c>
      <c r="AH3019" s="7" t="inlineStr">
        <is>
          <t>5231</t>
        </is>
      </c>
    </row>
    <row r="3020" ht="10" customHeight="1">
      <c r="A3020" s="7" t="inlineStr">
        <is>
          <t>OPN_BA4</t>
        </is>
      </c>
      <c r="B3020" s="7" t="inlineStr">
        <is>
          <t>Procurement</t>
        </is>
      </c>
      <c r="D3020" s="7" t="inlineStr">
        <is>
          <t>Vertical Launch Systems</t>
        </is>
      </c>
      <c r="E3020" s="13" t="inlineStr">
        <is>
          <t>[SUB]</t>
        </is>
      </c>
      <c r="F3020" s="7" t="inlineStr">
        <is>
          <t>5231 / Ship Missile Support Equipment</t>
        </is>
      </c>
      <c r="I3020" s="14" t="n">
        <v>4</v>
      </c>
      <c r="K3020" s="13" t="inlineStr">
        <is>
          <t>USN</t>
        </is>
      </c>
      <c r="L3020" s="7" t="inlineStr">
        <is>
          <t>Combatant Ships</t>
        </is>
      </c>
      <c r="M3020" s="7" t="inlineStr">
        <is>
          <t>Surface Combatants</t>
        </is>
      </c>
      <c r="O3020" s="17" t="n">
        <v>6151</v>
      </c>
      <c r="P3020" s="16" t="n">
        <v>762</v>
      </c>
      <c r="Q3020" s="16" t="n">
        <v>1209</v>
      </c>
      <c r="S3020" s="16" t="n">
        <v>1568</v>
      </c>
      <c r="U3020" s="16" t="n">
        <v>1568</v>
      </c>
      <c r="AC3020" s="23">
        <f>IF(OR(E3020="",E3020="[PARENT]"),"ADD",IF(E3020="[ALT_VIEW]","ALT",""))</f>
        <v/>
      </c>
      <c r="AD3020" s="21">
        <f>IF(Y3020&lt;&gt;"",Y3020,IF(U3020&lt;&gt;"",U3020,S3020))</f>
        <v/>
      </c>
      <c r="AE3020" s="21">
        <f>IF(AB3020&lt;&gt;"",AB3020,Z3020)</f>
        <v/>
      </c>
      <c r="AF3020" s="13" t="inlineStr">
        <is>
          <t>OPN BA4 / BSA 3 / Ship Missile Support / VLS</t>
        </is>
      </c>
      <c r="AG3020" s="7" t="inlineStr">
        <is>
          <t>89</t>
        </is>
      </c>
      <c r="AH3020" s="7" t="inlineStr">
        <is>
          <t>5231</t>
        </is>
      </c>
    </row>
    <row r="3021" ht="10" customHeight="1">
      <c r="A3021" s="7" t="inlineStr">
        <is>
          <t>OPN_BA4</t>
        </is>
      </c>
      <c r="B3021" s="7" t="inlineStr">
        <is>
          <t>Procurement</t>
        </is>
      </c>
      <c r="D3021" s="7" t="inlineStr">
        <is>
          <t>VLS ORDALTS</t>
        </is>
      </c>
      <c r="E3021" s="13" t="inlineStr">
        <is>
          <t>[SUB]</t>
        </is>
      </c>
      <c r="F3021" s="7" t="inlineStr">
        <is>
          <t>Vertical Launch Systems</t>
        </is>
      </c>
      <c r="I3021" s="14" t="n">
        <v>4</v>
      </c>
      <c r="K3021" s="13" t="inlineStr">
        <is>
          <t>USN</t>
        </is>
      </c>
      <c r="L3021" s="7" t="inlineStr">
        <is>
          <t>Combatant Ships</t>
        </is>
      </c>
      <c r="M3021" s="7" t="inlineStr">
        <is>
          <t>Surface Combatants</t>
        </is>
      </c>
      <c r="O3021" s="17" t="n">
        <v>4009</v>
      </c>
      <c r="P3021" s="16" t="n">
        <v>484</v>
      </c>
      <c r="Q3021" s="16" t="n">
        <v>967</v>
      </c>
      <c r="S3021" s="16" t="n">
        <v>1333</v>
      </c>
      <c r="U3021" s="16" t="n">
        <v>1333</v>
      </c>
      <c r="AC3021" s="23">
        <f>IF(OR(E3021="",E3021="[PARENT]"),"ADD",IF(E3021="[ALT_VIEW]","ALT",""))</f>
        <v/>
      </c>
      <c r="AD3021" s="21">
        <f>IF(Y3021&lt;&gt;"",Y3021,IF(U3021&lt;&gt;"",U3021,S3021))</f>
        <v/>
      </c>
      <c r="AE3021" s="21">
        <f>IF(AB3021&lt;&gt;"",AB3021,Z3021)</f>
        <v/>
      </c>
      <c r="AF3021" s="13" t="inlineStr">
        <is>
          <t>OPN BA4 / BSA 3 / Ship Missile Support / VLS / ORDALTs</t>
        </is>
      </c>
      <c r="AG3021" s="7" t="inlineStr">
        <is>
          <t>89</t>
        </is>
      </c>
      <c r="AH3021" s="7" t="inlineStr">
        <is>
          <t>5231</t>
        </is>
      </c>
    </row>
    <row r="3022" ht="10" customHeight="1">
      <c r="A3022" s="7" t="inlineStr">
        <is>
          <t>OPN_BA4</t>
        </is>
      </c>
      <c r="B3022" s="7" t="inlineStr">
        <is>
          <t>Procurement</t>
        </is>
      </c>
      <c r="D3022" s="7" t="inlineStr">
        <is>
          <t>VLS Production Engineering</t>
        </is>
      </c>
      <c r="E3022" s="13" t="inlineStr">
        <is>
          <t>[SUB]</t>
        </is>
      </c>
      <c r="F3022" s="7" t="inlineStr">
        <is>
          <t>Vertical Launch Systems</t>
        </is>
      </c>
      <c r="I3022" s="14" t="n">
        <v>6</v>
      </c>
      <c r="K3022" s="15" t="n"/>
      <c r="O3022" s="17" t="n">
        <v>1635</v>
      </c>
      <c r="P3022" s="16" t="n">
        <v>219</v>
      </c>
      <c r="Q3022" s="16" t="n">
        <v>179</v>
      </c>
      <c r="S3022" s="16" t="n">
        <v>171</v>
      </c>
      <c r="U3022" s="16" t="n">
        <v>171</v>
      </c>
      <c r="AC3022" s="23">
        <f>IF(OR(E3022="",E3022="[PARENT]"),"ADD",IF(E3022="[ALT_VIEW]","ALT",""))</f>
        <v/>
      </c>
      <c r="AD3022" s="21">
        <f>IF(Y3022&lt;&gt;"",Y3022,IF(U3022&lt;&gt;"",U3022,S3022))</f>
        <v/>
      </c>
      <c r="AE3022" s="21">
        <f>IF(AB3022&lt;&gt;"",AB3022,Z3022)</f>
        <v/>
      </c>
      <c r="AF3022" s="13" t="inlineStr">
        <is>
          <t>OPN BA4 / BSA 3 / Ship Missile Support / VLS / Prod Eng</t>
        </is>
      </c>
      <c r="AG3022" s="7" t="inlineStr">
        <is>
          <t>89</t>
        </is>
      </c>
      <c r="AH3022" s="7" t="inlineStr">
        <is>
          <t>5231</t>
        </is>
      </c>
    </row>
    <row r="3023" ht="10" customHeight="1">
      <c r="A3023" s="7" t="inlineStr">
        <is>
          <t>OPN_BA4</t>
        </is>
      </c>
      <c r="B3023" s="7" t="inlineStr">
        <is>
          <t>Procurement</t>
        </is>
      </c>
      <c r="D3023" s="7" t="inlineStr">
        <is>
          <t>5A5IN Install Equipment N86</t>
        </is>
      </c>
      <c r="E3023" s="13" t="inlineStr">
        <is>
          <t>[SUB]</t>
        </is>
      </c>
      <c r="F3023" s="7" t="inlineStr">
        <is>
          <t>Vertical Launch Systems</t>
        </is>
      </c>
      <c r="I3023" s="14" t="n">
        <v>4</v>
      </c>
      <c r="K3023" s="15" t="n"/>
      <c r="O3023" s="17" t="n">
        <v>507</v>
      </c>
      <c r="P3023" s="16" t="n">
        <v>59</v>
      </c>
      <c r="Q3023" s="16" t="n">
        <v>63</v>
      </c>
      <c r="S3023" s="16" t="n">
        <v>64</v>
      </c>
      <c r="U3023" s="16" t="n">
        <v>64</v>
      </c>
      <c r="AC3023" s="23">
        <f>IF(OR(E3023="",E3023="[PARENT]"),"ADD",IF(E3023="[ALT_VIEW]","ALT",""))</f>
        <v/>
      </c>
      <c r="AD3023" s="21">
        <f>IF(Y3023&lt;&gt;"",Y3023,IF(U3023&lt;&gt;"",U3023,S3023))</f>
        <v/>
      </c>
      <c r="AE3023" s="21">
        <f>IF(AB3023&lt;&gt;"",AB3023,Z3023)</f>
        <v/>
      </c>
      <c r="AF3023" s="13" t="inlineStr">
        <is>
          <t>OPN BA4 / BSA 3 / Ship Missile Support / VLS / Install</t>
        </is>
      </c>
      <c r="AG3023" s="7" t="inlineStr">
        <is>
          <t>89</t>
        </is>
      </c>
      <c r="AH3023" s="7" t="inlineStr">
        <is>
          <t>5231</t>
        </is>
      </c>
    </row>
    <row r="3024" ht="10" customHeight="1">
      <c r="A3024" s="7" t="inlineStr">
        <is>
          <t>OPN_BA4</t>
        </is>
      </c>
      <c r="B3024" s="7" t="inlineStr">
        <is>
          <t>Procurement</t>
        </is>
      </c>
      <c r="D3024" s="7" t="inlineStr">
        <is>
          <t>OTH Weapon System</t>
        </is>
      </c>
      <c r="E3024" s="13" t="inlineStr">
        <is>
          <t>[SUB]</t>
        </is>
      </c>
      <c r="F3024" s="7" t="inlineStr">
        <is>
          <t>5231 / Ship Missile Support Equipment</t>
        </is>
      </c>
      <c r="I3024" s="14" t="n">
        <v>4</v>
      </c>
      <c r="K3024" s="13" t="inlineStr">
        <is>
          <t>USN</t>
        </is>
      </c>
      <c r="L3024" s="7" t="inlineStr">
        <is>
          <t>Combatant Ships</t>
        </is>
      </c>
      <c r="M3024" s="7" t="inlineStr">
        <is>
          <t>Surface Combatants</t>
        </is>
      </c>
      <c r="N3024" s="7" t="inlineStr">
        <is>
          <t>LCS</t>
        </is>
      </c>
      <c r="O3024" s="17" t="n">
        <v>40936</v>
      </c>
      <c r="P3024" s="16" t="n">
        <v>11955</v>
      </c>
      <c r="Q3024" s="16" t="n">
        <v>7476</v>
      </c>
      <c r="S3024" s="16" t="n">
        <v>22415</v>
      </c>
      <c r="U3024" s="16" t="n">
        <v>22415</v>
      </c>
      <c r="AC3024" s="23">
        <f>IF(OR(E3024="",E3024="[PARENT]"),"ADD",IF(E3024="[ALT_VIEW]","ALT",""))</f>
        <v/>
      </c>
      <c r="AD3024" s="21">
        <f>IF(Y3024&lt;&gt;"",Y3024,IF(U3024&lt;&gt;"",U3024,S3024))</f>
        <v/>
      </c>
      <c r="AE3024" s="21">
        <f>IF(AB3024&lt;&gt;"",AB3024,Z3024)</f>
        <v/>
      </c>
      <c r="AF3024" s="13" t="inlineStr">
        <is>
          <t>OPN BA4 / BSA 3 / Ship Missile Support / OTH Weapon System</t>
        </is>
      </c>
      <c r="AG3024" s="7" t="inlineStr">
        <is>
          <t>96</t>
        </is>
      </c>
      <c r="AH3024" s="7" t="inlineStr">
        <is>
          <t>5231</t>
        </is>
      </c>
    </row>
    <row r="3025" ht="10" customHeight="1">
      <c r="A3025" s="7" t="inlineStr">
        <is>
          <t>OPN_BA4</t>
        </is>
      </c>
      <c r="B3025" s="7" t="inlineStr">
        <is>
          <t>Procurement</t>
        </is>
      </c>
      <c r="D3025" s="7" t="inlineStr">
        <is>
          <t>OTH Procurement</t>
        </is>
      </c>
      <c r="E3025" s="13" t="inlineStr">
        <is>
          <t>[SUB]</t>
        </is>
      </c>
      <c r="F3025" s="7" t="inlineStr">
        <is>
          <t>OTH Weapon System</t>
        </is>
      </c>
      <c r="I3025" s="14" t="n">
        <v>4</v>
      </c>
      <c r="K3025" s="13" t="inlineStr">
        <is>
          <t>USN</t>
        </is>
      </c>
      <c r="L3025" s="7" t="inlineStr">
        <is>
          <t>Combatant Ships</t>
        </is>
      </c>
      <c r="M3025" s="7" t="inlineStr">
        <is>
          <t>Surface Combatants</t>
        </is>
      </c>
      <c r="N3025" s="7" t="inlineStr">
        <is>
          <t>LCS</t>
        </is>
      </c>
      <c r="O3025" s="17" t="n">
        <v>13186</v>
      </c>
      <c r="AC3025" s="23">
        <f>IF(OR(E3025="",E3025="[PARENT]"),"ADD",IF(E3025="[ALT_VIEW]","ALT",""))</f>
        <v/>
      </c>
      <c r="AD3025" s="21">
        <f>IF(Y3025&lt;&gt;"",Y3025,IF(U3025&lt;&gt;"",U3025,S3025))</f>
        <v/>
      </c>
      <c r="AE3025" s="21">
        <f>IF(AB3025&lt;&gt;"",AB3025,Z3025)</f>
        <v/>
      </c>
      <c r="AF3025" s="13" t="inlineStr">
        <is>
          <t>OPN BA4 / BSA 3 / Ship Missile Support / OTH / Procurement</t>
        </is>
      </c>
      <c r="AG3025" s="7" t="inlineStr">
        <is>
          <t>96</t>
        </is>
      </c>
      <c r="AH3025" s="7" t="inlineStr">
        <is>
          <t>5231</t>
        </is>
      </c>
    </row>
    <row r="3026" ht="10" customHeight="1">
      <c r="A3026" s="7" t="inlineStr">
        <is>
          <t>OPN_BA4</t>
        </is>
      </c>
      <c r="B3026" s="7" t="inlineStr">
        <is>
          <t>Procurement</t>
        </is>
      </c>
      <c r="D3026" s="7" t="inlineStr">
        <is>
          <t>OTH WS Installation</t>
        </is>
      </c>
      <c r="E3026" s="13" t="inlineStr">
        <is>
          <t>[SUB]</t>
        </is>
      </c>
      <c r="F3026" s="7" t="inlineStr">
        <is>
          <t>OTH Weapon System</t>
        </is>
      </c>
      <c r="I3026" s="14" t="n">
        <v>4</v>
      </c>
      <c r="K3026" s="13" t="inlineStr">
        <is>
          <t>USN</t>
        </is>
      </c>
      <c r="L3026" s="7" t="inlineStr">
        <is>
          <t>Combatant Ships</t>
        </is>
      </c>
      <c r="M3026" s="7" t="inlineStr">
        <is>
          <t>Surface Combatants</t>
        </is>
      </c>
      <c r="N3026" s="7" t="inlineStr">
        <is>
          <t>LCS</t>
        </is>
      </c>
      <c r="O3026" s="17" t="n">
        <v>24576</v>
      </c>
      <c r="P3026" s="16" t="n">
        <v>11955</v>
      </c>
      <c r="Q3026" s="16" t="n">
        <v>7476</v>
      </c>
      <c r="S3026" s="16" t="n">
        <v>18415</v>
      </c>
      <c r="U3026" s="16" t="n">
        <v>18415</v>
      </c>
      <c r="AC3026" s="23">
        <f>IF(OR(E3026="",E3026="[PARENT]"),"ADD",IF(E3026="[ALT_VIEW]","ALT",""))</f>
        <v/>
      </c>
      <c r="AD3026" s="21">
        <f>IF(Y3026&lt;&gt;"",Y3026,IF(U3026&lt;&gt;"",U3026,S3026))</f>
        <v/>
      </c>
      <c r="AE3026" s="21">
        <f>IF(AB3026&lt;&gt;"",AB3026,Z3026)</f>
        <v/>
      </c>
      <c r="AF3026" s="13" t="inlineStr">
        <is>
          <t>OPN BA4 / BSA 3 / Ship Missile Support / OTH / Installation</t>
        </is>
      </c>
      <c r="AG3026" s="7" t="inlineStr">
        <is>
          <t>97</t>
        </is>
      </c>
      <c r="AH3026" s="7" t="inlineStr">
        <is>
          <t>5231</t>
        </is>
      </c>
    </row>
    <row r="3027" ht="10" customHeight="1">
      <c r="A3027" s="7" t="inlineStr">
        <is>
          <t>OPN_BA4</t>
        </is>
      </c>
      <c r="B3027" s="7" t="inlineStr">
        <is>
          <t>Procurement</t>
        </is>
      </c>
      <c r="D3027" s="7" t="inlineStr">
        <is>
          <t>DRAKE</t>
        </is>
      </c>
      <c r="E3027" s="13" t="inlineStr">
        <is>
          <t>[SUB]</t>
        </is>
      </c>
      <c r="F3027" s="7" t="inlineStr">
        <is>
          <t>5231 / Ship Missile Support Equipment</t>
        </is>
      </c>
      <c r="I3027" s="14" t="n">
        <v>4</v>
      </c>
      <c r="K3027" s="13" t="inlineStr">
        <is>
          <t>USN</t>
        </is>
      </c>
      <c r="L3027" s="7" t="inlineStr">
        <is>
          <t>Combatant Ships</t>
        </is>
      </c>
      <c r="M3027" s="7" t="inlineStr">
        <is>
          <t>Submarines</t>
        </is>
      </c>
      <c r="O3027" s="17" t="n">
        <v>0</v>
      </c>
      <c r="P3027" s="16" t="n">
        <v>154</v>
      </c>
      <c r="Q3027" s="16" t="n">
        <v>151</v>
      </c>
      <c r="S3027" s="16" t="n">
        <v>130</v>
      </c>
      <c r="U3027" s="16" t="n">
        <v>130</v>
      </c>
      <c r="AC3027" s="23">
        <f>IF(OR(E3027="",E3027="[PARENT]"),"ADD",IF(E3027="[ALT_VIEW]","ALT",""))</f>
        <v/>
      </c>
      <c r="AD3027" s="21">
        <f>IF(Y3027&lt;&gt;"",Y3027,IF(U3027&lt;&gt;"",U3027,S3027))</f>
        <v/>
      </c>
      <c r="AE3027" s="21">
        <f>IF(AB3027&lt;&gt;"",AB3027,Z3027)</f>
        <v/>
      </c>
      <c r="AF3027" s="13" t="inlineStr">
        <is>
          <t>OPN BA4 / BSA 3 / Ship Missile Support / DRAKE</t>
        </is>
      </c>
      <c r="AG3027" s="7" t="inlineStr">
        <is>
          <t>98</t>
        </is>
      </c>
      <c r="AH3027" s="7" t="inlineStr">
        <is>
          <t>5231</t>
        </is>
      </c>
    </row>
    <row r="3028" ht="10" customHeight="1">
      <c r="A3028" s="7" t="inlineStr">
        <is>
          <t>OPN_BA4</t>
        </is>
      </c>
      <c r="B3028" s="7" t="inlineStr">
        <is>
          <t>Procurement</t>
        </is>
      </c>
      <c r="D3028" s="7" t="inlineStr">
        <is>
          <t>NATO SEASPARROW (NSSMS Mk 57) [P-3a Mod 1]</t>
        </is>
      </c>
      <c r="E3028" s="13" t="inlineStr">
        <is>
          <t>[SUB]</t>
        </is>
      </c>
      <c r="F3028" s="7" t="inlineStr">
        <is>
          <t>5231 / Ship Missile Support Equipment</t>
        </is>
      </c>
      <c r="I3028" s="14" t="n">
        <v>4</v>
      </c>
      <c r="K3028" s="15" t="n"/>
      <c r="O3028" s="17" t="n">
        <v>70866</v>
      </c>
      <c r="P3028" s="16" t="n">
        <v>16477</v>
      </c>
      <c r="Q3028" s="16" t="n">
        <v>14840</v>
      </c>
      <c r="S3028" s="16" t="n">
        <v>15743</v>
      </c>
      <c r="U3028" s="16" t="n">
        <v>15743</v>
      </c>
      <c r="AC3028" s="23">
        <f>IF(OR(E3028="",E3028="[PARENT]"),"ADD",IF(E3028="[ALT_VIEW]","ALT",""))</f>
        <v/>
      </c>
      <c r="AD3028" s="21">
        <f>IF(Y3028&lt;&gt;"",Y3028,IF(U3028&lt;&gt;"",U3028,S3028))</f>
        <v/>
      </c>
      <c r="AE3028" s="21">
        <f>IF(AB3028&lt;&gt;"",AB3028,Z3028)</f>
        <v/>
      </c>
      <c r="AF3028" s="13" t="inlineStr">
        <is>
          <t>OPN BA4 / BSA 3 / Ship Missile Support / P-3a NATO SEASPARROW</t>
        </is>
      </c>
      <c r="AG3028" s="7" t="inlineStr">
        <is>
          <t>99</t>
        </is>
      </c>
      <c r="AH3028" s="7" t="inlineStr">
        <is>
          <t>5231</t>
        </is>
      </c>
      <c r="AJ3028" s="7" t="inlineStr">
        <is>
          <t>NATO SEASPARROW</t>
        </is>
      </c>
    </row>
    <row r="3029" ht="10" customHeight="1">
      <c r="A3029" s="7" t="inlineStr">
        <is>
          <t>OPN_BA4</t>
        </is>
      </c>
      <c r="B3029" s="7" t="inlineStr">
        <is>
          <t>Procurement</t>
        </is>
      </c>
      <c r="D3029" s="7" t="inlineStr">
        <is>
          <t>Objective Configuration H/W (LHA/LHD/CVN) Backfit</t>
        </is>
      </c>
      <c r="E3029" s="13" t="inlineStr">
        <is>
          <t>[SUB]</t>
        </is>
      </c>
      <c r="F3029" s="7" t="inlineStr">
        <is>
          <t>NATO SEASPARROW P-3a</t>
        </is>
      </c>
      <c r="I3029" s="14" t="n">
        <v>4</v>
      </c>
      <c r="K3029" s="15" t="n"/>
      <c r="O3029" s="17" t="n">
        <v>1034</v>
      </c>
      <c r="Q3029" s="16" t="n">
        <v>218</v>
      </c>
      <c r="S3029" s="16" t="n">
        <v>225</v>
      </c>
      <c r="U3029" s="16" t="n">
        <v>225</v>
      </c>
      <c r="AC3029" s="23">
        <f>IF(OR(E3029="",E3029="[PARENT]"),"ADD",IF(E3029="[ALT_VIEW]","ALT",""))</f>
        <v/>
      </c>
      <c r="AD3029" s="21">
        <f>IF(Y3029&lt;&gt;"",Y3029,IF(U3029&lt;&gt;"",U3029,S3029))</f>
        <v/>
      </c>
      <c r="AE3029" s="21">
        <f>IF(AB3029&lt;&gt;"",AB3029,Z3029)</f>
        <v/>
      </c>
      <c r="AF3029" s="13" t="inlineStr">
        <is>
          <t>OPN BA4 / BSA 3 / Ship Missile Support / P-3a NSSMS / Obj Config Backfit</t>
        </is>
      </c>
      <c r="AG3029" s="7" t="inlineStr">
        <is>
          <t>100</t>
        </is>
      </c>
      <c r="AH3029" s="7" t="inlineStr">
        <is>
          <t>5231</t>
        </is>
      </c>
      <c r="AJ3029" s="7" t="inlineStr">
        <is>
          <t>NSSMS / Obj Config Backfit</t>
        </is>
      </c>
    </row>
    <row r="3030" ht="10" customHeight="1">
      <c r="A3030" s="7" t="inlineStr">
        <is>
          <t>OPN_BA4</t>
        </is>
      </c>
      <c r="B3030" s="7" t="inlineStr">
        <is>
          <t>Procurement</t>
        </is>
      </c>
      <c r="D3030" s="7" t="inlineStr">
        <is>
          <t>Launcher Min-Mod Blk 2 Capability H/W</t>
        </is>
      </c>
      <c r="E3030" s="13" t="inlineStr">
        <is>
          <t>[SUB]</t>
        </is>
      </c>
      <c r="F3030" s="7" t="inlineStr">
        <is>
          <t>NATO SEASPARROW P-3a</t>
        </is>
      </c>
      <c r="I3030" s="14" t="n">
        <v>4</v>
      </c>
      <c r="K3030" s="15" t="n"/>
      <c r="O3030" s="15" t="n"/>
      <c r="P3030" s="16" t="n">
        <v>1134</v>
      </c>
      <c r="Q3030" s="16" t="n">
        <v>302</v>
      </c>
      <c r="S3030" s="16" t="n">
        <v>256</v>
      </c>
      <c r="U3030" s="16" t="n">
        <v>256</v>
      </c>
      <c r="AC3030" s="23">
        <f>IF(OR(E3030="",E3030="[PARENT]"),"ADD",IF(E3030="[ALT_VIEW]","ALT",""))</f>
        <v/>
      </c>
      <c r="AD3030" s="21">
        <f>IF(Y3030&lt;&gt;"",Y3030,IF(U3030&lt;&gt;"",U3030,S3030))</f>
        <v/>
      </c>
      <c r="AE3030" s="21">
        <f>IF(AB3030&lt;&gt;"",AB3030,Z3030)</f>
        <v/>
      </c>
      <c r="AF3030" s="13" t="inlineStr">
        <is>
          <t>OPN BA4 / BSA 3 / Ship Missile Support / P-3a NSSMS / BLK2 HW</t>
        </is>
      </c>
      <c r="AG3030" s="7" t="inlineStr">
        <is>
          <t>100</t>
        </is>
      </c>
      <c r="AH3030" s="7" t="inlineStr">
        <is>
          <t>5231</t>
        </is>
      </c>
      <c r="AJ3030" s="7" t="inlineStr">
        <is>
          <t>NSSMS / BLK2 HW</t>
        </is>
      </c>
    </row>
    <row r="3031" ht="10" customHeight="1">
      <c r="A3031" s="7" t="inlineStr">
        <is>
          <t>OPN_BA4</t>
        </is>
      </c>
      <c r="B3031" s="7" t="inlineStr">
        <is>
          <t>Procurement</t>
        </is>
      </c>
      <c r="D3031" s="7" t="inlineStr">
        <is>
          <t>MK 9 Mod 2 CWTI Enhancement H/W</t>
        </is>
      </c>
      <c r="E3031" s="13" t="inlineStr">
        <is>
          <t>[SUB]</t>
        </is>
      </c>
      <c r="F3031" s="7" t="inlineStr">
        <is>
          <t>NATO SEASPARROW P-3a</t>
        </is>
      </c>
      <c r="I3031" s="14" t="n">
        <v>4</v>
      </c>
      <c r="K3031" s="15" t="n"/>
      <c r="O3031" s="17" t="n">
        <v>9114</v>
      </c>
      <c r="P3031" s="16" t="n">
        <v>9250</v>
      </c>
      <c r="Q3031" s="16" t="n">
        <v>10703</v>
      </c>
      <c r="S3031" s="16" t="n">
        <v>11326</v>
      </c>
      <c r="U3031" s="16" t="n">
        <v>11326</v>
      </c>
      <c r="AC3031" s="23">
        <f>IF(OR(E3031="",E3031="[PARENT]"),"ADD",IF(E3031="[ALT_VIEW]","ALT",""))</f>
        <v/>
      </c>
      <c r="AD3031" s="21">
        <f>IF(Y3031&lt;&gt;"",Y3031,IF(U3031&lt;&gt;"",U3031,S3031))</f>
        <v/>
      </c>
      <c r="AE3031" s="21">
        <f>IF(AB3031&lt;&gt;"",AB3031,Z3031)</f>
        <v/>
      </c>
      <c r="AF3031" s="13" t="inlineStr">
        <is>
          <t>OPN BA4 / BSA 3 / Ship Missile Support / P-3a NSSMS / CWTI</t>
        </is>
      </c>
      <c r="AG3031" s="7" t="inlineStr">
        <is>
          <t>101</t>
        </is>
      </c>
      <c r="AH3031" s="7" t="inlineStr">
        <is>
          <t>5231</t>
        </is>
      </c>
      <c r="AJ3031" s="7" t="inlineStr">
        <is>
          <t>NSSMS / CWTI</t>
        </is>
      </c>
    </row>
    <row r="3032" ht="10" customHeight="1">
      <c r="A3032" s="7" t="inlineStr">
        <is>
          <t>OPN_BA4</t>
        </is>
      </c>
      <c r="B3032" s="7" t="inlineStr">
        <is>
          <t>Procurement</t>
        </is>
      </c>
      <c r="D3032" s="7" t="inlineStr">
        <is>
          <t>NATO SEASPARROW Installation (all mods combined)</t>
        </is>
      </c>
      <c r="E3032" s="13" t="inlineStr">
        <is>
          <t>[SUB]</t>
        </is>
      </c>
      <c r="F3032" s="7" t="inlineStr">
        <is>
          <t>NATO SEASPARROW P-3a</t>
        </is>
      </c>
      <c r="I3032" s="14" t="n">
        <v>4</v>
      </c>
      <c r="K3032" s="15" t="n"/>
      <c r="O3032" s="17" t="n">
        <v>20265</v>
      </c>
      <c r="P3032" s="16" t="n">
        <v>6093</v>
      </c>
      <c r="Q3032" s="16" t="n">
        <v>3617</v>
      </c>
      <c r="S3032" s="16" t="n">
        <v>3936</v>
      </c>
      <c r="U3032" s="16" t="n">
        <v>3936</v>
      </c>
      <c r="AC3032" s="23">
        <f>IF(OR(E3032="",E3032="[PARENT]"),"ADD",IF(E3032="[ALT_VIEW]","ALT",""))</f>
        <v/>
      </c>
      <c r="AD3032" s="21">
        <f>IF(Y3032&lt;&gt;"",Y3032,IF(U3032&lt;&gt;"",U3032,S3032))</f>
        <v/>
      </c>
      <c r="AE3032" s="21">
        <f>IF(AB3032&lt;&gt;"",AB3032,Z3032)</f>
        <v/>
      </c>
      <c r="AF3032" s="13" t="inlineStr">
        <is>
          <t>OPN BA4 / BSA 3 / Ship Missile Support / P-3a NSSMS / Installation</t>
        </is>
      </c>
      <c r="AG3032" s="7" t="inlineStr">
        <is>
          <t>102</t>
        </is>
      </c>
      <c r="AH3032" s="7" t="inlineStr">
        <is>
          <t>5231</t>
        </is>
      </c>
      <c r="AJ3032" s="7" t="inlineStr">
        <is>
          <t>NSSMS / Installation</t>
        </is>
      </c>
    </row>
    <row r="3033" ht="10" customHeight="1">
      <c r="A3033" s="7" t="inlineStr">
        <is>
          <t>OPN_BA4</t>
        </is>
      </c>
      <c r="B3033" s="7" t="inlineStr">
        <is>
          <t>Procurement</t>
        </is>
      </c>
      <c r="C3033" s="7" t="inlineStr">
        <is>
          <t>UR006</t>
        </is>
      </c>
      <c r="D3033" s="7" t="inlineStr">
        <is>
          <t>UR006 RAM LAUNCHERS (NON-FMP Install) [P-3a Mod 2]</t>
        </is>
      </c>
      <c r="E3033" s="13" t="inlineStr">
        <is>
          <t>[SUB]</t>
        </is>
      </c>
      <c r="F3033" s="7" t="inlineStr">
        <is>
          <t>5231 / Ship Missile Support Equipment</t>
        </is>
      </c>
      <c r="I3033" s="14" t="n">
        <v>4</v>
      </c>
      <c r="K3033" s="15" t="n"/>
      <c r="O3033" s="17" t="n">
        <v>47339</v>
      </c>
      <c r="P3033" s="16" t="n">
        <v>6895</v>
      </c>
      <c r="Q3033" s="16" t="n">
        <v>84792</v>
      </c>
      <c r="S3033" s="16" t="n">
        <v>55986</v>
      </c>
      <c r="U3033" s="16" t="n">
        <v>55986</v>
      </c>
      <c r="AC3033" s="23">
        <f>IF(OR(E3033="",E3033="[PARENT]"),"ADD",IF(E3033="[ALT_VIEW]","ALT",""))</f>
        <v/>
      </c>
      <c r="AD3033" s="21">
        <f>IF(Y3033&lt;&gt;"",Y3033,IF(U3033&lt;&gt;"",U3033,S3033))</f>
        <v/>
      </c>
      <c r="AE3033" s="21">
        <f>IF(AB3033&lt;&gt;"",AB3033,Z3033)</f>
        <v/>
      </c>
      <c r="AF3033" s="13" t="inlineStr">
        <is>
          <t>OPN BA4 / BSA 3 / Ship Missile Support / P-3a RAM Launchers</t>
        </is>
      </c>
      <c r="AG3033" s="7" t="inlineStr">
        <is>
          <t>105</t>
        </is>
      </c>
      <c r="AH3033" s="7" t="inlineStr">
        <is>
          <t>5231</t>
        </is>
      </c>
      <c r="AI3033" s="7" t="inlineStr">
        <is>
          <t>UR006 RAM Launchers Production Support</t>
        </is>
      </c>
      <c r="AJ3033" s="7" t="inlineStr">
        <is>
          <t>UR006</t>
        </is>
      </c>
    </row>
    <row r="3034" ht="10" customHeight="1">
      <c r="A3034" s="7" t="inlineStr">
        <is>
          <t>OPN_BA4</t>
        </is>
      </c>
      <c r="B3034" s="7" t="inlineStr">
        <is>
          <t>Procurement</t>
        </is>
      </c>
      <c r="D3034" s="7" t="inlineStr">
        <is>
          <t>MK-49 GMLS Firepower ORDALT</t>
        </is>
      </c>
      <c r="E3034" s="13" t="inlineStr">
        <is>
          <t>[SUB]</t>
        </is>
      </c>
      <c r="F3034" s="7" t="inlineStr">
        <is>
          <t>UR006 / RAM Launchers P-3a</t>
        </is>
      </c>
      <c r="I3034" s="14" t="n">
        <v>4</v>
      </c>
      <c r="K3034" s="13" t="inlineStr">
        <is>
          <t>USN</t>
        </is>
      </c>
      <c r="L3034" s="7" t="inlineStr">
        <is>
          <t>Combatant Ships</t>
        </is>
      </c>
      <c r="M3034" s="7" t="inlineStr">
        <is>
          <t>Surface Combatants</t>
        </is>
      </c>
      <c r="N3034" s="7" t="inlineStr">
        <is>
          <t>DDG</t>
        </is>
      </c>
      <c r="O3034" s="17" t="n">
        <v>18422</v>
      </c>
      <c r="P3034" s="16" t="n">
        <v>2667</v>
      </c>
      <c r="Q3034" s="16" t="n">
        <v>4800</v>
      </c>
      <c r="S3034" s="16" t="n">
        <v>4901</v>
      </c>
      <c r="U3034" s="16" t="n">
        <v>4901</v>
      </c>
      <c r="AC3034" s="23">
        <f>IF(OR(E3034="",E3034="[PARENT]"),"ADD",IF(E3034="[ALT_VIEW]","ALT",""))</f>
        <v/>
      </c>
      <c r="AD3034" s="21">
        <f>IF(Y3034&lt;&gt;"",Y3034,IF(U3034&lt;&gt;"",U3034,S3034))</f>
        <v/>
      </c>
      <c r="AE3034" s="21">
        <f>IF(AB3034&lt;&gt;"",AB3034,Z3034)</f>
        <v/>
      </c>
      <c r="AF3034" s="13" t="inlineStr">
        <is>
          <t>OPN BA4 / BSA 3 / Ship Missile Support / P-3a RAM / Firepower ORDALT</t>
        </is>
      </c>
      <c r="AG3034" s="7" t="inlineStr">
        <is>
          <t>106</t>
        </is>
      </c>
      <c r="AH3034" s="7" t="inlineStr">
        <is>
          <t>5231</t>
        </is>
      </c>
      <c r="AJ3034" s="7" t="inlineStr">
        <is>
          <t>RAM / Firepower ORDALT</t>
        </is>
      </c>
    </row>
    <row r="3035" ht="10" customHeight="1">
      <c r="A3035" s="7" t="inlineStr">
        <is>
          <t>OPN_BA4</t>
        </is>
      </c>
      <c r="B3035" s="7" t="inlineStr">
        <is>
          <t>Procurement</t>
        </is>
      </c>
      <c r="D3035" s="7" t="inlineStr">
        <is>
          <t>MK-49 GMLS Shock Hardening ORDALT</t>
        </is>
      </c>
      <c r="E3035" s="13" t="inlineStr">
        <is>
          <t>[SUB]</t>
        </is>
      </c>
      <c r="F3035" s="7" t="inlineStr">
        <is>
          <t>UR006 / RAM Launchers P-3a</t>
        </is>
      </c>
      <c r="I3035" s="14" t="n">
        <v>4</v>
      </c>
      <c r="K3035" s="13" t="inlineStr">
        <is>
          <t>USN</t>
        </is>
      </c>
      <c r="L3035" s="7" t="inlineStr">
        <is>
          <t>Combatant Ships</t>
        </is>
      </c>
      <c r="M3035" s="7" t="inlineStr">
        <is>
          <t>Surface Combatants</t>
        </is>
      </c>
      <c r="N3035" s="7" t="inlineStr">
        <is>
          <t>DDG</t>
        </is>
      </c>
      <c r="O3035" s="17" t="n">
        <v>1000</v>
      </c>
      <c r="P3035" s="16" t="n">
        <v>2667</v>
      </c>
      <c r="Q3035" s="16" t="n">
        <v>4800</v>
      </c>
      <c r="S3035" s="16" t="n">
        <v>4901</v>
      </c>
      <c r="U3035" s="16" t="n">
        <v>4901</v>
      </c>
      <c r="AC3035" s="23">
        <f>IF(OR(E3035="",E3035="[PARENT]"),"ADD",IF(E3035="[ALT_VIEW]","ALT",""))</f>
        <v/>
      </c>
      <c r="AD3035" s="21">
        <f>IF(Y3035&lt;&gt;"",Y3035,IF(U3035&lt;&gt;"",U3035,S3035))</f>
        <v/>
      </c>
      <c r="AE3035" s="21">
        <f>IF(AB3035&lt;&gt;"",AB3035,Z3035)</f>
        <v/>
      </c>
      <c r="AF3035" s="13" t="inlineStr">
        <is>
          <t>OPN BA4 / BSA 3 / Ship Missile Support / P-3a RAM / Shock ORDALT</t>
        </is>
      </c>
      <c r="AG3035" s="7" t="inlineStr">
        <is>
          <t>106</t>
        </is>
      </c>
      <c r="AH3035" s="7" t="inlineStr">
        <is>
          <t>5231</t>
        </is>
      </c>
      <c r="AJ3035" s="7" t="inlineStr">
        <is>
          <t>RAM / Shock ORDALT</t>
        </is>
      </c>
    </row>
    <row r="3036" ht="10" customHeight="1">
      <c r="A3036" s="7" t="inlineStr">
        <is>
          <t>OPN_BA4</t>
        </is>
      </c>
      <c r="B3036" s="7" t="inlineStr">
        <is>
          <t>Procurement</t>
        </is>
      </c>
      <c r="D3036" s="7" t="inlineStr">
        <is>
          <t>Replace Phalanx with MK-49 RAM ORDALT</t>
        </is>
      </c>
      <c r="E3036" s="13" t="inlineStr">
        <is>
          <t>[SUB]</t>
        </is>
      </c>
      <c r="F3036" s="7" t="inlineStr">
        <is>
          <t>UR006 / RAM Launchers P-3a</t>
        </is>
      </c>
      <c r="I3036" s="14" t="n">
        <v>4</v>
      </c>
      <c r="K3036" s="13" t="inlineStr">
        <is>
          <t>USN</t>
        </is>
      </c>
      <c r="L3036" s="7" t="inlineStr">
        <is>
          <t>Combatant Ships</t>
        </is>
      </c>
      <c r="M3036" s="7" t="inlineStr">
        <is>
          <t>Surface Combatants</t>
        </is>
      </c>
      <c r="N3036" s="7" t="inlineStr">
        <is>
          <t>DDG</t>
        </is>
      </c>
      <c r="O3036" s="15" t="n"/>
      <c r="S3036" s="16" t="n">
        <v>29567</v>
      </c>
      <c r="U3036" s="16" t="n">
        <v>29567</v>
      </c>
      <c r="AC3036" s="23">
        <f>IF(OR(E3036="",E3036="[PARENT]"),"ADD",IF(E3036="[ALT_VIEW]","ALT",""))</f>
        <v/>
      </c>
      <c r="AD3036" s="21">
        <f>IF(Y3036&lt;&gt;"",Y3036,IF(U3036&lt;&gt;"",U3036,S3036))</f>
        <v/>
      </c>
      <c r="AE3036" s="21">
        <f>IF(AB3036&lt;&gt;"",AB3036,Z3036)</f>
        <v/>
      </c>
      <c r="AF3036" s="13" t="inlineStr">
        <is>
          <t>OPN BA4 / BSA 3 / Ship Missile Support / P-3a RAM / Phalanx Replacement</t>
        </is>
      </c>
      <c r="AG3036" s="7" t="inlineStr">
        <is>
          <t>107</t>
        </is>
      </c>
      <c r="AH3036" s="7" t="inlineStr">
        <is>
          <t>5231</t>
        </is>
      </c>
      <c r="AJ3036" s="7" t="inlineStr">
        <is>
          <t>RAM / Phalanx Replacement</t>
        </is>
      </c>
    </row>
    <row r="3037" ht="10" customHeight="1">
      <c r="A3037" s="7" t="inlineStr">
        <is>
          <t>OPN_BA4</t>
        </is>
      </c>
      <c r="B3037" s="7" t="inlineStr">
        <is>
          <t>Procurement</t>
        </is>
      </c>
      <c r="D3037" s="7" t="inlineStr">
        <is>
          <t>RAM Launcher Installation (all mods combined)</t>
        </is>
      </c>
      <c r="E3037" s="13" t="inlineStr">
        <is>
          <t>[SUB]</t>
        </is>
      </c>
      <c r="F3037" s="7" t="inlineStr">
        <is>
          <t>UR006 / RAM Launchers P-3a</t>
        </is>
      </c>
      <c r="I3037" s="14" t="n">
        <v>4</v>
      </c>
      <c r="K3037" s="13" t="inlineStr">
        <is>
          <t>USN</t>
        </is>
      </c>
      <c r="L3037" s="7" t="inlineStr">
        <is>
          <t>Combatant Ships</t>
        </is>
      </c>
      <c r="M3037" s="7" t="inlineStr">
        <is>
          <t>Surface Combatants</t>
        </is>
      </c>
      <c r="N3037" s="7" t="inlineStr">
        <is>
          <t>DDG</t>
        </is>
      </c>
      <c r="O3037" s="17" t="n">
        <v>13444</v>
      </c>
      <c r="P3037" s="16" t="n">
        <v>1561</v>
      </c>
      <c r="Q3037" s="16" t="n">
        <v>11594</v>
      </c>
      <c r="S3037" s="16" t="n">
        <v>16617</v>
      </c>
      <c r="U3037" s="16" t="n">
        <v>16617</v>
      </c>
      <c r="AC3037" s="23">
        <f>IF(OR(E3037="",E3037="[PARENT]"),"ADD",IF(E3037="[ALT_VIEW]","ALT",""))</f>
        <v/>
      </c>
      <c r="AD3037" s="21">
        <f>IF(Y3037&lt;&gt;"",Y3037,IF(U3037&lt;&gt;"",U3037,S3037))</f>
        <v/>
      </c>
      <c r="AE3037" s="21">
        <f>IF(AB3037&lt;&gt;"",AB3037,Z3037)</f>
        <v/>
      </c>
      <c r="AF3037" s="13" t="inlineStr">
        <is>
          <t>OPN BA4 / BSA 3 / Ship Missile Support / P-3a RAM / Installation</t>
        </is>
      </c>
      <c r="AG3037" s="7" t="inlineStr">
        <is>
          <t>109</t>
        </is>
      </c>
      <c r="AH3037" s="7" t="inlineStr">
        <is>
          <t>5231</t>
        </is>
      </c>
      <c r="AJ3037" s="7" t="inlineStr">
        <is>
          <t>RAM / Installation</t>
        </is>
      </c>
    </row>
    <row r="3038" ht="10" customHeight="1">
      <c r="A3038" s="7" t="inlineStr">
        <is>
          <t>OPN_BA4</t>
        </is>
      </c>
      <c r="B3038" s="7" t="inlineStr">
        <is>
          <t>Procurement</t>
        </is>
      </c>
      <c r="C3038" s="7" t="inlineStr">
        <is>
          <t>UQ005B</t>
        </is>
      </c>
      <c r="D3038" s="7" t="inlineStr">
        <is>
          <t>UQ005B - SSDS COTS CONVERSION KITS [P-3a Mod 3]</t>
        </is>
      </c>
      <c r="E3038" s="13" t="inlineStr">
        <is>
          <t>[SUB]</t>
        </is>
      </c>
      <c r="F3038" s="7" t="inlineStr">
        <is>
          <t>5231 / Ship Missile Support Equipment</t>
        </is>
      </c>
      <c r="I3038" s="14" t="n">
        <v>4</v>
      </c>
      <c r="K3038" s="15" t="n"/>
      <c r="O3038" s="17" t="n">
        <v>480926</v>
      </c>
      <c r="P3038" s="16" t="n">
        <v>66622</v>
      </c>
      <c r="Q3038" s="16" t="n">
        <v>73298</v>
      </c>
      <c r="S3038" s="16" t="n">
        <v>63776</v>
      </c>
      <c r="U3038" s="16" t="n">
        <v>63776</v>
      </c>
      <c r="AC3038" s="23">
        <f>IF(OR(E3038="",E3038="[PARENT]"),"ADD",IF(E3038="[ALT_VIEW]","ALT",""))</f>
        <v/>
      </c>
      <c r="AD3038" s="21">
        <f>IF(Y3038&lt;&gt;"",Y3038,IF(U3038&lt;&gt;"",U3038,S3038))</f>
        <v/>
      </c>
      <c r="AE3038" s="21">
        <f>IF(AB3038&lt;&gt;"",AB3038,Z3038)</f>
        <v/>
      </c>
      <c r="AF3038" s="13" t="inlineStr">
        <is>
          <t>OPN BA4 / BSA 3 / Ship Missile Support / P-3a SSDS COTS</t>
        </is>
      </c>
      <c r="AG3038" s="7" t="inlineStr">
        <is>
          <t>111</t>
        </is>
      </c>
      <c r="AH3038" s="7" t="inlineStr">
        <is>
          <t>5231</t>
        </is>
      </c>
      <c r="AI3038" s="7" t="inlineStr">
        <is>
          <t>UQ005B - SSDS COTS CONVERSION KITS</t>
        </is>
      </c>
      <c r="AJ3038" s="7" t="inlineStr">
        <is>
          <t>UQ005B</t>
        </is>
      </c>
    </row>
    <row r="3039" ht="10" customHeight="1">
      <c r="A3039" s="7" t="inlineStr">
        <is>
          <t>OPN_BA4</t>
        </is>
      </c>
      <c r="B3039" s="7" t="inlineStr">
        <is>
          <t>Procurement</t>
        </is>
      </c>
      <c r="C3039" s="7" t="inlineStr">
        <is>
          <t>UQ5IN</t>
        </is>
      </c>
      <c r="D3039" s="7" t="inlineStr">
        <is>
          <t>UQ5IN FMP Ship Units</t>
        </is>
      </c>
      <c r="E3039" s="13" t="inlineStr">
        <is>
          <t>[SUB]</t>
        </is>
      </c>
      <c r="F3039" s="7" t="inlineStr">
        <is>
          <t>UQ005B / SSDS COTS P-3a</t>
        </is>
      </c>
      <c r="I3039" s="14" t="n">
        <v>4</v>
      </c>
      <c r="K3039" s="15" t="n"/>
      <c r="O3039" s="17" t="n">
        <v>169203</v>
      </c>
      <c r="P3039" s="16" t="n">
        <v>42796</v>
      </c>
      <c r="Q3039" s="16" t="n">
        <v>33690</v>
      </c>
      <c r="S3039" s="16" t="n">
        <v>29788</v>
      </c>
      <c r="U3039" s="16" t="n">
        <v>29788</v>
      </c>
      <c r="AC3039" s="23">
        <f>IF(OR(E3039="",E3039="[PARENT]"),"ADD",IF(E3039="[ALT_VIEW]","ALT",""))</f>
        <v/>
      </c>
      <c r="AD3039" s="21">
        <f>IF(Y3039&lt;&gt;"",Y3039,IF(U3039&lt;&gt;"",U3039,S3039))</f>
        <v/>
      </c>
      <c r="AE3039" s="21">
        <f>IF(AB3039&lt;&gt;"",AB3039,Z3039)</f>
        <v/>
      </c>
      <c r="AF3039" s="13" t="inlineStr">
        <is>
          <t>OPN BA4 / BSA 3 / Ship Missile Support / P-3a SSDS COTS / FMP Ships</t>
        </is>
      </c>
      <c r="AG3039" s="7" t="inlineStr">
        <is>
          <t>112</t>
        </is>
      </c>
      <c r="AH3039" s="7" t="inlineStr">
        <is>
          <t>5231</t>
        </is>
      </c>
      <c r="AJ3039" s="7" t="inlineStr">
        <is>
          <t>SSDS COTS / FMP Ships</t>
        </is>
      </c>
    </row>
    <row r="3040" ht="10" customHeight="1">
      <c r="A3040" s="7" t="inlineStr">
        <is>
          <t>OPN_BA4</t>
        </is>
      </c>
      <c r="B3040" s="7" t="inlineStr">
        <is>
          <t>Procurement</t>
        </is>
      </c>
      <c r="C3040" s="7" t="inlineStr">
        <is>
          <t>UQ6IN</t>
        </is>
      </c>
      <c r="D3040" s="7" t="inlineStr">
        <is>
          <t>UQ6IN NON FMP Shore Sites</t>
        </is>
      </c>
      <c r="E3040" s="13" t="inlineStr">
        <is>
          <t>[SUB]</t>
        </is>
      </c>
      <c r="F3040" s="7" t="inlineStr">
        <is>
          <t>UQ005B / SSDS COTS P-3a</t>
        </is>
      </c>
      <c r="I3040" s="14" t="n">
        <v>6</v>
      </c>
      <c r="K3040" s="15" t="n"/>
      <c r="O3040" s="17" t="n">
        <v>133293</v>
      </c>
      <c r="P3040" s="16" t="n">
        <v>11207</v>
      </c>
      <c r="Q3040" s="16" t="n">
        <v>22179</v>
      </c>
      <c r="S3040" s="16" t="n">
        <v>3793</v>
      </c>
      <c r="U3040" s="16" t="n">
        <v>3793</v>
      </c>
      <c r="AC3040" s="23">
        <f>IF(OR(E3040="",E3040="[PARENT]"),"ADD",IF(E3040="[ALT_VIEW]","ALT",""))</f>
        <v/>
      </c>
      <c r="AD3040" s="21">
        <f>IF(Y3040&lt;&gt;"",Y3040,IF(U3040&lt;&gt;"",U3040,S3040))</f>
        <v/>
      </c>
      <c r="AE3040" s="21">
        <f>IF(AB3040&lt;&gt;"",AB3040,Z3040)</f>
        <v/>
      </c>
      <c r="AF3040" s="13" t="inlineStr">
        <is>
          <t>OPN BA4 / BSA 3 / Ship Missile Support / P-3a SSDS COTS / Shore Sites</t>
        </is>
      </c>
      <c r="AG3040" s="7" t="inlineStr">
        <is>
          <t>112</t>
        </is>
      </c>
      <c r="AH3040" s="7" t="inlineStr">
        <is>
          <t>5231</t>
        </is>
      </c>
      <c r="AJ3040" s="7" t="inlineStr">
        <is>
          <t>SSDS COTS / Shore Sites</t>
        </is>
      </c>
    </row>
    <row r="3041" ht="10" customHeight="1">
      <c r="A3041" s="7" t="inlineStr">
        <is>
          <t>OPN_BA4</t>
        </is>
      </c>
      <c r="B3041" s="7" t="inlineStr">
        <is>
          <t>Procurement</t>
        </is>
      </c>
      <c r="D3041" s="7" t="inlineStr">
        <is>
          <t>SSDS COTS Installation</t>
        </is>
      </c>
      <c r="E3041" s="13" t="inlineStr">
        <is>
          <t>[SUB]</t>
        </is>
      </c>
      <c r="F3041" s="7" t="inlineStr">
        <is>
          <t>UQ005B / SSDS COTS P-3a</t>
        </is>
      </c>
      <c r="I3041" s="14" t="n">
        <v>4</v>
      </c>
      <c r="K3041" s="15" t="n"/>
      <c r="O3041" s="17" t="n">
        <v>178430</v>
      </c>
      <c r="P3041" s="16" t="n">
        <v>12619</v>
      </c>
      <c r="Q3041" s="16" t="n">
        <v>17429</v>
      </c>
      <c r="S3041" s="16" t="n">
        <v>30195</v>
      </c>
      <c r="U3041" s="16" t="n">
        <v>30195</v>
      </c>
      <c r="AC3041" s="23">
        <f>IF(OR(E3041="",E3041="[PARENT]"),"ADD",IF(E3041="[ALT_VIEW]","ALT",""))</f>
        <v/>
      </c>
      <c r="AD3041" s="21">
        <f>IF(Y3041&lt;&gt;"",Y3041,IF(U3041&lt;&gt;"",U3041,S3041))</f>
        <v/>
      </c>
      <c r="AE3041" s="21">
        <f>IF(AB3041&lt;&gt;"",AB3041,Z3041)</f>
        <v/>
      </c>
      <c r="AF3041" s="13" t="inlineStr">
        <is>
          <t>OPN BA4 / BSA 3 / Ship Missile Support / P-3a SSDS COTS / Installation</t>
        </is>
      </c>
      <c r="AG3041" s="7" t="inlineStr">
        <is>
          <t>114</t>
        </is>
      </c>
      <c r="AH3041" s="7" t="inlineStr">
        <is>
          <t>5231</t>
        </is>
      </c>
      <c r="AJ3041" s="7" t="inlineStr">
        <is>
          <t>SSDS COTS / Installation</t>
        </is>
      </c>
    </row>
    <row r="3042" ht="10" customHeight="1">
      <c r="A3042" s="7" t="inlineStr">
        <is>
          <t>OPN_BA4</t>
        </is>
      </c>
      <c r="B3042" s="7" t="inlineStr">
        <is>
          <t>Procurement</t>
        </is>
      </c>
      <c r="C3042" s="7" t="inlineStr">
        <is>
          <t>5253</t>
        </is>
      </c>
      <c r="D3042" s="7" t="inlineStr">
        <is>
          <t>Tomahawk Support Equipment</t>
        </is>
      </c>
      <c r="E3042" s="13" t="inlineStr">
        <is>
          <t>[PARENT]</t>
        </is>
      </c>
      <c r="I3042" s="14" t="n">
        <v>4</v>
      </c>
      <c r="K3042" s="15" t="n"/>
      <c r="O3042" s="17" t="n">
        <v>1155567</v>
      </c>
      <c r="P3042" s="16" t="n">
        <v>92371</v>
      </c>
      <c r="Q3042" s="16" t="n">
        <v>98921</v>
      </c>
      <c r="S3042" s="16" t="n">
        <v>107709</v>
      </c>
      <c r="T3042" s="16" t="n">
        <v>0</v>
      </c>
      <c r="U3042" s="16" t="n">
        <v>107709</v>
      </c>
      <c r="Z3042" s="16" t="n">
        <v>116208</v>
      </c>
      <c r="AB3042" s="16" t="n">
        <v>116208</v>
      </c>
      <c r="AC3042" s="23">
        <f>IF(OR(E3042="",E3042="[PARENT]"),"ADD",IF(E3042="[ALT_VIEW]","ALT",""))</f>
        <v/>
      </c>
      <c r="AD3042" s="21">
        <f>IF(Y3042&lt;&gt;"",Y3042,IF(U3042&lt;&gt;"",U3042,S3042))</f>
        <v/>
      </c>
      <c r="AE3042" s="21">
        <f>IF(AB3042&lt;&gt;"",AB3042,Z3042)</f>
        <v/>
      </c>
      <c r="AF3042" s="13" t="inlineStr">
        <is>
          <t>OPN BA4 / BSA 3: Ship Missile Systems Equipment / Tomahawk Support Equipment</t>
        </is>
      </c>
      <c r="AG3042" s="7" t="inlineStr">
        <is>
          <t>119</t>
        </is>
      </c>
      <c r="AH3042" s="7" t="inlineStr">
        <is>
          <t>5253</t>
        </is>
      </c>
      <c r="AI3042" s="7" t="inlineStr">
        <is>
          <t>525300, TOMAHAWK Support Equipment</t>
        </is>
      </c>
    </row>
    <row r="3043" ht="10" customHeight="1">
      <c r="A3043" s="7" t="inlineStr">
        <is>
          <t>OPN_BA4</t>
        </is>
      </c>
      <c r="B3043" s="7" t="inlineStr">
        <is>
          <t>Procurement</t>
        </is>
      </c>
      <c r="D3043" s="7" t="inlineStr">
        <is>
          <t>TTWCS Hardware</t>
        </is>
      </c>
      <c r="E3043" s="13" t="inlineStr">
        <is>
          <t>[SUB]</t>
        </is>
      </c>
      <c r="F3043" s="7" t="inlineStr">
        <is>
          <t>5253 / Tomahawk Support Equipment</t>
        </is>
      </c>
      <c r="I3043" s="14" t="n">
        <v>4</v>
      </c>
      <c r="K3043" s="13" t="inlineStr">
        <is>
          <t>USN</t>
        </is>
      </c>
      <c r="L3043" s="7" t="inlineStr">
        <is>
          <t>Combatant Ships</t>
        </is>
      </c>
      <c r="M3043" s="7" t="inlineStr">
        <is>
          <t>Surface Combatants</t>
        </is>
      </c>
      <c r="O3043" s="17" t="n">
        <v>41959</v>
      </c>
      <c r="P3043" s="16" t="n">
        <v>4735</v>
      </c>
      <c r="Q3043" s="16" t="n">
        <v>4904</v>
      </c>
      <c r="S3043" s="16" t="n">
        <v>4993</v>
      </c>
      <c r="U3043" s="16" t="n">
        <v>4993</v>
      </c>
      <c r="AC3043" s="23">
        <f>IF(OR(E3043="",E3043="[PARENT]"),"ADD",IF(E3043="[ALT_VIEW]","ALT",""))</f>
        <v/>
      </c>
      <c r="AD3043" s="21">
        <f>IF(Y3043&lt;&gt;"",Y3043,IF(U3043&lt;&gt;"",U3043,S3043))</f>
        <v/>
      </c>
      <c r="AE3043" s="21">
        <f>IF(AB3043&lt;&gt;"",AB3043,Z3043)</f>
        <v/>
      </c>
      <c r="AF3043" s="13" t="inlineStr">
        <is>
          <t>OPN BA4 / BSA 3 / Tomahawk Support / TTWCS Hardware</t>
        </is>
      </c>
      <c r="AG3043" s="7" t="inlineStr">
        <is>
          <t>122</t>
        </is>
      </c>
      <c r="AH3043" s="7" t="inlineStr">
        <is>
          <t>5253</t>
        </is>
      </c>
      <c r="AI3043" s="7" t="inlineStr">
        <is>
          <t>525300, TOMAHAWK Support Equipment</t>
        </is>
      </c>
    </row>
    <row r="3044" ht="10" customHeight="1">
      <c r="A3044" s="7" t="inlineStr">
        <is>
          <t>OPN_BA4</t>
        </is>
      </c>
      <c r="B3044" s="7" t="inlineStr">
        <is>
          <t>Procurement</t>
        </is>
      </c>
      <c r="D3044" s="7" t="inlineStr">
        <is>
          <t>TTWCS Product Improvement</t>
        </is>
      </c>
      <c r="E3044" s="13" t="inlineStr">
        <is>
          <t>[SUB]</t>
        </is>
      </c>
      <c r="F3044" s="7" t="inlineStr">
        <is>
          <t>5253 / Tomahawk Support Equipment</t>
        </is>
      </c>
      <c r="I3044" s="14" t="n">
        <v>4</v>
      </c>
      <c r="K3044" s="15" t="n"/>
      <c r="O3044" s="17" t="n">
        <v>254068</v>
      </c>
      <c r="P3044" s="16" t="n">
        <v>17041</v>
      </c>
      <c r="Q3044" s="16" t="n">
        <v>17095</v>
      </c>
      <c r="S3044" s="16" t="n">
        <v>23885</v>
      </c>
      <c r="U3044" s="16" t="n">
        <v>23885</v>
      </c>
      <c r="AC3044" s="23">
        <f>IF(OR(E3044="",E3044="[PARENT]"),"ADD",IF(E3044="[ALT_VIEW]","ALT",""))</f>
        <v/>
      </c>
      <c r="AD3044" s="21">
        <f>IF(Y3044&lt;&gt;"",Y3044,IF(U3044&lt;&gt;"",U3044,S3044))</f>
        <v/>
      </c>
      <c r="AE3044" s="21">
        <f>IF(AB3044&lt;&gt;"",AB3044,Z3044)</f>
        <v/>
      </c>
      <c r="AF3044" s="13" t="inlineStr">
        <is>
          <t>OPN BA4 / BSA 3 / Tomahawk Support / TTWCS Product Improvement</t>
        </is>
      </c>
      <c r="AG3044" s="7" t="inlineStr">
        <is>
          <t>122</t>
        </is>
      </c>
      <c r="AH3044" s="7" t="inlineStr">
        <is>
          <t>5253</t>
        </is>
      </c>
      <c r="AI3044" s="7" t="inlineStr">
        <is>
          <t>525300, TOMAHAWK Support Equipment</t>
        </is>
      </c>
    </row>
    <row r="3045" ht="10" customHeight="1">
      <c r="A3045" s="7" t="inlineStr">
        <is>
          <t>OPN_BA4</t>
        </is>
      </c>
      <c r="B3045" s="7" t="inlineStr">
        <is>
          <t>Procurement</t>
        </is>
      </c>
      <c r="D3045" s="7" t="inlineStr">
        <is>
          <t>Tomahawk Mission Planning Center (TMPC) Hardware</t>
        </is>
      </c>
      <c r="E3045" s="13" t="inlineStr">
        <is>
          <t>[SUB]</t>
        </is>
      </c>
      <c r="F3045" s="7" t="inlineStr">
        <is>
          <t>5253 / Tomahawk Support Equipment</t>
        </is>
      </c>
      <c r="I3045" s="14" t="n">
        <v>4</v>
      </c>
      <c r="K3045" s="13" t="inlineStr">
        <is>
          <t>USN</t>
        </is>
      </c>
      <c r="L3045" s="7" t="inlineStr">
        <is>
          <t>Combatant Ships</t>
        </is>
      </c>
      <c r="M3045" s="7" t="inlineStr">
        <is>
          <t>Aircraft Carriers</t>
        </is>
      </c>
      <c r="O3045" s="17" t="n">
        <v>40894</v>
      </c>
      <c r="P3045" s="16" t="n">
        <v>4121</v>
      </c>
      <c r="Q3045" s="16" t="n">
        <v>3682</v>
      </c>
      <c r="S3045" s="16" t="n">
        <v>3486</v>
      </c>
      <c r="U3045" s="16" t="n">
        <v>3486</v>
      </c>
      <c r="AC3045" s="23">
        <f>IF(OR(E3045="",E3045="[PARENT]"),"ADD",IF(E3045="[ALT_VIEW]","ALT",""))</f>
        <v/>
      </c>
      <c r="AD3045" s="21">
        <f>IF(Y3045&lt;&gt;"",Y3045,IF(U3045&lt;&gt;"",U3045,S3045))</f>
        <v/>
      </c>
      <c r="AE3045" s="21">
        <f>IF(AB3045&lt;&gt;"",AB3045,Z3045)</f>
        <v/>
      </c>
      <c r="AF3045" s="13" t="inlineStr">
        <is>
          <t>OPN BA4 / BSA 3 / Tomahawk Support / TMPC Hardware</t>
        </is>
      </c>
      <c r="AG3045" s="7" t="inlineStr">
        <is>
          <t>123</t>
        </is>
      </c>
      <c r="AH3045" s="7" t="inlineStr">
        <is>
          <t>5253</t>
        </is>
      </c>
      <c r="AI3045" s="7" t="inlineStr">
        <is>
          <t>525300, TOMAHAWK Support Equipment</t>
        </is>
      </c>
    </row>
    <row r="3046" ht="10" customHeight="1">
      <c r="A3046" s="7" t="inlineStr">
        <is>
          <t>OPN_BA4</t>
        </is>
      </c>
      <c r="B3046" s="7" t="inlineStr">
        <is>
          <t>Procurement</t>
        </is>
      </c>
      <c r="D3046" s="7" t="inlineStr">
        <is>
          <t>TMPC Product Improvements</t>
        </is>
      </c>
      <c r="E3046" s="13" t="inlineStr">
        <is>
          <t>[SUB]</t>
        </is>
      </c>
      <c r="F3046" s="7" t="inlineStr">
        <is>
          <t>5253 / Tomahawk Support Equipment</t>
        </is>
      </c>
      <c r="I3046" s="14" t="n">
        <v>4</v>
      </c>
      <c r="K3046" s="15" t="n"/>
      <c r="O3046" s="17" t="n">
        <v>284560</v>
      </c>
      <c r="P3046" s="16" t="n">
        <v>26302</v>
      </c>
      <c r="Q3046" s="16" t="n">
        <v>31913</v>
      </c>
      <c r="S3046" s="16" t="n">
        <v>35687</v>
      </c>
      <c r="U3046" s="16" t="n">
        <v>35687</v>
      </c>
      <c r="AC3046" s="23">
        <f>IF(OR(E3046="",E3046="[PARENT]"),"ADD",IF(E3046="[ALT_VIEW]","ALT",""))</f>
        <v/>
      </c>
      <c r="AD3046" s="21">
        <f>IF(Y3046&lt;&gt;"",Y3046,IF(U3046&lt;&gt;"",U3046,S3046))</f>
        <v/>
      </c>
      <c r="AE3046" s="21">
        <f>IF(AB3046&lt;&gt;"",AB3046,Z3046)</f>
        <v/>
      </c>
      <c r="AF3046" s="13" t="inlineStr">
        <is>
          <t>OPN BA4 / BSA 3 / Tomahawk Support / TMPC Product Improvements</t>
        </is>
      </c>
      <c r="AG3046" s="7" t="inlineStr">
        <is>
          <t>123</t>
        </is>
      </c>
      <c r="AH3046" s="7" t="inlineStr">
        <is>
          <t>5253</t>
        </is>
      </c>
      <c r="AI3046" s="7" t="inlineStr">
        <is>
          <t>525300, TOMAHAWK Support Equipment</t>
        </is>
      </c>
    </row>
    <row r="3047" ht="10" customHeight="1">
      <c r="A3047" s="7" t="inlineStr">
        <is>
          <t>OPN_BA4</t>
        </is>
      </c>
      <c r="B3047" s="7" t="inlineStr">
        <is>
          <t>Procurement</t>
        </is>
      </c>
      <c r="D3047" s="7" t="inlineStr">
        <is>
          <t>TTWCS Production Engineering</t>
        </is>
      </c>
      <c r="E3047" s="13" t="inlineStr">
        <is>
          <t>[SUB]</t>
        </is>
      </c>
      <c r="F3047" s="7" t="inlineStr">
        <is>
          <t>5253 / Tomahawk Support Equipment</t>
        </is>
      </c>
      <c r="I3047" s="14" t="n">
        <v>6</v>
      </c>
      <c r="K3047" s="15" t="n"/>
      <c r="O3047" s="17" t="n">
        <v>30909</v>
      </c>
      <c r="P3047" s="16" t="n">
        <v>1581</v>
      </c>
      <c r="Q3047" s="16" t="n">
        <v>1868</v>
      </c>
      <c r="S3047" s="16" t="n">
        <v>1880</v>
      </c>
      <c r="U3047" s="16" t="n">
        <v>1880</v>
      </c>
      <c r="AC3047" s="23">
        <f>IF(OR(E3047="",E3047="[PARENT]"),"ADD",IF(E3047="[ALT_VIEW]","ALT",""))</f>
        <v/>
      </c>
      <c r="AD3047" s="21">
        <f>IF(Y3047&lt;&gt;"",Y3047,IF(U3047&lt;&gt;"",U3047,S3047))</f>
        <v/>
      </c>
      <c r="AE3047" s="21">
        <f>IF(AB3047&lt;&gt;"",AB3047,Z3047)</f>
        <v/>
      </c>
      <c r="AF3047" s="13" t="inlineStr">
        <is>
          <t>OPN BA4 / BSA 3 / Tomahawk Support / TTWCS Prod Eng</t>
        </is>
      </c>
      <c r="AG3047" s="7" t="inlineStr">
        <is>
          <t>123</t>
        </is>
      </c>
      <c r="AH3047" s="7" t="inlineStr">
        <is>
          <t>5253</t>
        </is>
      </c>
      <c r="AI3047" s="7" t="inlineStr">
        <is>
          <t>525300, TOMAHAWK Support Equipment</t>
        </is>
      </c>
    </row>
    <row r="3048" ht="10" customHeight="1">
      <c r="A3048" s="7" t="inlineStr">
        <is>
          <t>OPN_BA4</t>
        </is>
      </c>
      <c r="B3048" s="7" t="inlineStr">
        <is>
          <t>Procurement</t>
        </is>
      </c>
      <c r="D3048" s="7" t="inlineStr">
        <is>
          <t>TTWCS Integrated Logistic Support</t>
        </is>
      </c>
      <c r="E3048" s="13" t="inlineStr">
        <is>
          <t>[SUB]</t>
        </is>
      </c>
      <c r="F3048" s="7" t="inlineStr">
        <is>
          <t>5253 / Tomahawk Support Equipment</t>
        </is>
      </c>
      <c r="I3048" s="14" t="n">
        <v>6</v>
      </c>
      <c r="K3048" s="15" t="n"/>
      <c r="O3048" s="17" t="n">
        <v>177207</v>
      </c>
      <c r="P3048" s="16" t="n">
        <v>11938</v>
      </c>
      <c r="Q3048" s="16" t="n">
        <v>12534</v>
      </c>
      <c r="S3048" s="16" t="n">
        <v>12685</v>
      </c>
      <c r="U3048" s="16" t="n">
        <v>12685</v>
      </c>
      <c r="AC3048" s="23">
        <f>IF(OR(E3048="",E3048="[PARENT]"),"ADD",IF(E3048="[ALT_VIEW]","ALT",""))</f>
        <v/>
      </c>
      <c r="AD3048" s="21">
        <f>IF(Y3048&lt;&gt;"",Y3048,IF(U3048&lt;&gt;"",U3048,S3048))</f>
        <v/>
      </c>
      <c r="AE3048" s="21">
        <f>IF(AB3048&lt;&gt;"",AB3048,Z3048)</f>
        <v/>
      </c>
      <c r="AF3048" s="13" t="inlineStr">
        <is>
          <t>OPN BA4 / BSA 3 / Tomahawk Support / TTWCS ILS</t>
        </is>
      </c>
      <c r="AG3048" s="7" t="inlineStr">
        <is>
          <t>123</t>
        </is>
      </c>
      <c r="AH3048" s="7" t="inlineStr">
        <is>
          <t>5253</t>
        </is>
      </c>
      <c r="AI3048" s="7" t="inlineStr">
        <is>
          <t>525300, TOMAHAWK Support Equipment</t>
        </is>
      </c>
    </row>
    <row r="3049" ht="10" customHeight="1">
      <c r="A3049" s="7" t="inlineStr">
        <is>
          <t>OPN_BA4</t>
        </is>
      </c>
      <c r="B3049" s="7" t="inlineStr">
        <is>
          <t>Procurement</t>
        </is>
      </c>
      <c r="D3049" s="7" t="inlineStr">
        <is>
          <t>TMPC Production Engineering</t>
        </is>
      </c>
      <c r="E3049" s="13" t="inlineStr">
        <is>
          <t>[SUB]</t>
        </is>
      </c>
      <c r="F3049" s="7" t="inlineStr">
        <is>
          <t>5253 / Tomahawk Support Equipment</t>
        </is>
      </c>
      <c r="I3049" s="14" t="n">
        <v>6</v>
      </c>
      <c r="K3049" s="15" t="n"/>
      <c r="O3049" s="17" t="n">
        <v>66276</v>
      </c>
      <c r="P3049" s="16" t="n">
        <v>5323</v>
      </c>
      <c r="Q3049" s="16" t="n">
        <v>5324</v>
      </c>
      <c r="S3049" s="16" t="n">
        <v>4927</v>
      </c>
      <c r="U3049" s="16" t="n">
        <v>4927</v>
      </c>
      <c r="AC3049" s="23">
        <f>IF(OR(E3049="",E3049="[PARENT]"),"ADD",IF(E3049="[ALT_VIEW]","ALT",""))</f>
        <v/>
      </c>
      <c r="AD3049" s="21">
        <f>IF(Y3049&lt;&gt;"",Y3049,IF(U3049&lt;&gt;"",U3049,S3049))</f>
        <v/>
      </c>
      <c r="AE3049" s="21">
        <f>IF(AB3049&lt;&gt;"",AB3049,Z3049)</f>
        <v/>
      </c>
      <c r="AF3049" s="13" t="inlineStr">
        <is>
          <t>OPN BA4 / BSA 3 / Tomahawk Support / TMPC Prod Eng</t>
        </is>
      </c>
      <c r="AG3049" s="7" t="inlineStr">
        <is>
          <t>124</t>
        </is>
      </c>
      <c r="AH3049" s="7" t="inlineStr">
        <is>
          <t>5253</t>
        </is>
      </c>
      <c r="AI3049" s="7" t="inlineStr">
        <is>
          <t>525300, TOMAHAWK Support Equipment</t>
        </is>
      </c>
    </row>
    <row r="3050" ht="10" customHeight="1">
      <c r="A3050" s="7" t="inlineStr">
        <is>
          <t>OPN_BA4</t>
        </is>
      </c>
      <c r="B3050" s="7" t="inlineStr">
        <is>
          <t>Procurement</t>
        </is>
      </c>
      <c r="D3050" s="7" t="inlineStr">
        <is>
          <t>TMPC Production Support</t>
        </is>
      </c>
      <c r="E3050" s="13" t="inlineStr">
        <is>
          <t>[SUB]</t>
        </is>
      </c>
      <c r="F3050" s="7" t="inlineStr">
        <is>
          <t>5253 / Tomahawk Support Equipment</t>
        </is>
      </c>
      <c r="I3050" s="14" t="n">
        <v>6</v>
      </c>
      <c r="K3050" s="15" t="n"/>
      <c r="O3050" s="17" t="n">
        <v>62028</v>
      </c>
      <c r="P3050" s="16" t="n">
        <v>5043</v>
      </c>
      <c r="Q3050" s="16" t="n">
        <v>5044</v>
      </c>
      <c r="S3050" s="16" t="n">
        <v>4783</v>
      </c>
      <c r="U3050" s="16" t="n">
        <v>4783</v>
      </c>
      <c r="AC3050" s="23">
        <f>IF(OR(E3050="",E3050="[PARENT]"),"ADD",IF(E3050="[ALT_VIEW]","ALT",""))</f>
        <v/>
      </c>
      <c r="AD3050" s="21">
        <f>IF(Y3050&lt;&gt;"",Y3050,IF(U3050&lt;&gt;"",U3050,S3050))</f>
        <v/>
      </c>
      <c r="AE3050" s="21">
        <f>IF(AB3050&lt;&gt;"",AB3050,Z3050)</f>
        <v/>
      </c>
      <c r="AF3050" s="13" t="inlineStr">
        <is>
          <t>OPN BA4 / BSA 3 / Tomahawk Support / TMPC Prod Support</t>
        </is>
      </c>
      <c r="AG3050" s="7" t="inlineStr">
        <is>
          <t>124</t>
        </is>
      </c>
      <c r="AH3050" s="7" t="inlineStr">
        <is>
          <t>5253</t>
        </is>
      </c>
      <c r="AI3050" s="7" t="inlineStr">
        <is>
          <t>525300, TOMAHAWK Support Equipment</t>
        </is>
      </c>
    </row>
    <row r="3051" ht="10" customHeight="1">
      <c r="A3051" s="7" t="inlineStr">
        <is>
          <t>OPN_BA4</t>
        </is>
      </c>
      <c r="B3051" s="7" t="inlineStr">
        <is>
          <t>Procurement</t>
        </is>
      </c>
      <c r="D3051" s="7" t="inlineStr">
        <is>
          <t>TMPC Integrated Logistic Support</t>
        </is>
      </c>
      <c r="E3051" s="13" t="inlineStr">
        <is>
          <t>[SUB]</t>
        </is>
      </c>
      <c r="F3051" s="7" t="inlineStr">
        <is>
          <t>5253 / Tomahawk Support Equipment</t>
        </is>
      </c>
      <c r="I3051" s="14" t="n">
        <v>6</v>
      </c>
      <c r="K3051" s="15" t="n"/>
      <c r="O3051" s="17" t="n">
        <v>173638</v>
      </c>
      <c r="P3051" s="16" t="n">
        <v>16287</v>
      </c>
      <c r="Q3051" s="16" t="n">
        <v>16557</v>
      </c>
      <c r="S3051" s="16" t="n">
        <v>15383</v>
      </c>
      <c r="U3051" s="16" t="n">
        <v>15383</v>
      </c>
      <c r="AC3051" s="23">
        <f>IF(OR(E3051="",E3051="[PARENT]"),"ADD",IF(E3051="[ALT_VIEW]","ALT",""))</f>
        <v/>
      </c>
      <c r="AD3051" s="21">
        <f>IF(Y3051&lt;&gt;"",Y3051,IF(U3051&lt;&gt;"",U3051,S3051))</f>
        <v/>
      </c>
      <c r="AE3051" s="21">
        <f>IF(AB3051&lt;&gt;"",AB3051,Z3051)</f>
        <v/>
      </c>
      <c r="AF3051" s="13" t="inlineStr">
        <is>
          <t>OPN BA4 / BSA 3 / Tomahawk Support / TMPC ILS</t>
        </is>
      </c>
      <c r="AG3051" s="7" t="inlineStr">
        <is>
          <t>124</t>
        </is>
      </c>
      <c r="AH3051" s="7" t="inlineStr">
        <is>
          <t>5253</t>
        </is>
      </c>
      <c r="AI3051" s="7" t="inlineStr">
        <is>
          <t>525300, TOMAHAWK Support Equipment</t>
        </is>
      </c>
    </row>
    <row r="3052" ht="10" customHeight="1">
      <c r="A3052" s="7" t="inlineStr">
        <is>
          <t>OPN_BA4</t>
        </is>
      </c>
      <c r="B3052" s="7" t="inlineStr">
        <is>
          <t>Procurement</t>
        </is>
      </c>
      <c r="C3052" s="7" t="inlineStr">
        <is>
          <t>5353</t>
        </is>
      </c>
      <c r="D3052" s="7" t="inlineStr">
        <is>
          <t>CPS Support Equipment</t>
        </is>
      </c>
      <c r="E3052" s="13" t="inlineStr">
        <is>
          <t>[PARENT]</t>
        </is>
      </c>
      <c r="I3052" s="14" t="n">
        <v>4</v>
      </c>
      <c r="J3052" s="7" t="inlineStr">
        <is>
          <t>GFE / combat systems for newbuild</t>
        </is>
      </c>
      <c r="K3052" s="13" t="inlineStr">
        <is>
          <t>USN</t>
        </is>
      </c>
      <c r="L3052" s="7" t="inlineStr">
        <is>
          <t>Combatant Ships</t>
        </is>
      </c>
      <c r="M3052" s="7" t="inlineStr">
        <is>
          <t>Submarines</t>
        </is>
      </c>
      <c r="N3052" s="7" t="inlineStr">
        <is>
          <t>SSN</t>
        </is>
      </c>
      <c r="O3052" s="17" t="n">
        <v>0</v>
      </c>
      <c r="P3052" s="16" t="n">
        <v>0</v>
      </c>
      <c r="Q3052" s="16" t="n">
        <v>0</v>
      </c>
      <c r="S3052" s="16" t="n">
        <v>67264</v>
      </c>
      <c r="T3052" s="16" t="n">
        <v>0</v>
      </c>
      <c r="U3052" s="16" t="n">
        <v>67264</v>
      </c>
      <c r="Z3052" s="16" t="n">
        <v>188430</v>
      </c>
      <c r="AB3052" s="16" t="n">
        <v>188430</v>
      </c>
      <c r="AC3052" s="23">
        <f>IF(OR(E3052="",E3052="[PARENT]"),"ADD",IF(E3052="[ALT_VIEW]","ALT",""))</f>
        <v/>
      </c>
      <c r="AD3052" s="21">
        <f>IF(Y3052&lt;&gt;"",Y3052,IF(U3052&lt;&gt;"",U3052,S3052))</f>
        <v/>
      </c>
      <c r="AE3052" s="21">
        <f>IF(AB3052&lt;&gt;"",AB3052,Z3052)</f>
        <v/>
      </c>
      <c r="AF3052" s="13" t="inlineStr">
        <is>
          <t>OPN BA4 / BSA 4: FBM Support Equipment / CPS Support Equipment</t>
        </is>
      </c>
      <c r="AG3052" s="7" t="inlineStr">
        <is>
          <t>127</t>
        </is>
      </c>
      <c r="AH3052" s="7" t="inlineStr">
        <is>
          <t>5353</t>
        </is>
      </c>
      <c r="AI3052" s="7" t="inlineStr">
        <is>
          <t>CPS SSN Support Equipment</t>
        </is>
      </c>
    </row>
    <row r="3053" ht="10" customHeight="1">
      <c r="A3053" s="7" t="inlineStr">
        <is>
          <t>OPN_BA4</t>
        </is>
      </c>
      <c r="B3053" s="7" t="inlineStr">
        <is>
          <t>Procurement</t>
        </is>
      </c>
      <c r="D3053" s="7" t="inlineStr">
        <is>
          <t>CPS SSN Advanced Payload Module (APM)</t>
        </is>
      </c>
      <c r="E3053" s="13" t="inlineStr">
        <is>
          <t>[SUB]</t>
        </is>
      </c>
      <c r="F3053" s="7" t="inlineStr">
        <is>
          <t>5353 / CPS Support Equipment</t>
        </is>
      </c>
      <c r="I3053" s="14" t="n">
        <v>4</v>
      </c>
      <c r="J3053" s="7" t="inlineStr">
        <is>
          <t>GFE / combat systems for newbuild</t>
        </is>
      </c>
      <c r="K3053" s="13" t="inlineStr">
        <is>
          <t>USN</t>
        </is>
      </c>
      <c r="L3053" s="7" t="inlineStr">
        <is>
          <t>Combatant Ships</t>
        </is>
      </c>
      <c r="M3053" s="7" t="inlineStr">
        <is>
          <t>Submarines</t>
        </is>
      </c>
      <c r="N3053" s="7" t="inlineStr">
        <is>
          <t>SSN</t>
        </is>
      </c>
      <c r="O3053" s="15" t="n"/>
      <c r="S3053" s="16" t="n">
        <v>67264</v>
      </c>
      <c r="U3053" s="16" t="n">
        <v>67264</v>
      </c>
      <c r="AC3053" s="23">
        <f>IF(OR(E3053="",E3053="[PARENT]"),"ADD",IF(E3053="[ALT_VIEW]","ALT",""))</f>
        <v/>
      </c>
      <c r="AD3053" s="21">
        <f>IF(Y3053&lt;&gt;"",Y3053,IF(U3053&lt;&gt;"",U3053,S3053))</f>
        <v/>
      </c>
      <c r="AE3053" s="21">
        <f>IF(AB3053&lt;&gt;"",AB3053,Z3053)</f>
        <v/>
      </c>
      <c r="AF3053" s="13" t="inlineStr">
        <is>
          <t>OPN BA4 / BSA 4 / CPS Support / APM</t>
        </is>
      </c>
      <c r="AG3053" s="7" t="inlineStr">
        <is>
          <t>129</t>
        </is>
      </c>
      <c r="AH3053" s="7" t="inlineStr">
        <is>
          <t>5353</t>
        </is>
      </c>
      <c r="AI3053" s="7" t="inlineStr">
        <is>
          <t>CPS SSN Support Equipment</t>
        </is>
      </c>
    </row>
    <row r="3054" ht="10" customHeight="1">
      <c r="A3054" s="7" t="inlineStr">
        <is>
          <t>OPN_BA4</t>
        </is>
      </c>
      <c r="B3054" s="7" t="inlineStr">
        <is>
          <t>Procurement</t>
        </is>
      </c>
      <c r="C3054" s="7" t="inlineStr">
        <is>
          <t>5358</t>
        </is>
      </c>
      <c r="D3054" s="7" t="inlineStr">
        <is>
          <t>Strategic Missile Systems Equip</t>
        </is>
      </c>
      <c r="E3054" s="13" t="inlineStr">
        <is>
          <t>[PARENT]</t>
        </is>
      </c>
      <c r="I3054" s="14" t="n">
        <v>4</v>
      </c>
      <c r="K3054" s="13" t="inlineStr">
        <is>
          <t>USN</t>
        </is>
      </c>
      <c r="L3054" s="7" t="inlineStr">
        <is>
          <t>Combatant Ships</t>
        </is>
      </c>
      <c r="M3054" s="7" t="inlineStr">
        <is>
          <t>Submarines</t>
        </is>
      </c>
      <c r="N3054" s="7" t="inlineStr">
        <is>
          <t>SSBN</t>
        </is>
      </c>
      <c r="O3054" s="17" t="n">
        <v>2389096</v>
      </c>
      <c r="P3054" s="16" t="n">
        <v>322524</v>
      </c>
      <c r="Q3054" s="16" t="n">
        <v>320691</v>
      </c>
      <c r="S3054" s="16" t="n">
        <v>491179</v>
      </c>
      <c r="T3054" s="16" t="n">
        <v>0</v>
      </c>
      <c r="U3054" s="16" t="n">
        <v>491179</v>
      </c>
      <c r="W3054" s="16" t="n">
        <v>1820</v>
      </c>
      <c r="X3054" s="16" t="n">
        <v>491179</v>
      </c>
      <c r="Y3054" s="16" t="n">
        <v>492999</v>
      </c>
      <c r="Z3054" s="16" t="n">
        <v>327941</v>
      </c>
      <c r="AB3054" s="16" t="n">
        <v>327941</v>
      </c>
      <c r="AC3054" s="23">
        <f>IF(OR(E3054="",E3054="[PARENT]"),"ADD",IF(E3054="[ALT_VIEW]","ALT",""))</f>
        <v/>
      </c>
      <c r="AD3054" s="21">
        <f>IF(Y3054&lt;&gt;"",Y3054,IF(U3054&lt;&gt;"",U3054,S3054))</f>
        <v/>
      </c>
      <c r="AE3054" s="21">
        <f>IF(AB3054&lt;&gt;"",AB3054,Z3054)</f>
        <v/>
      </c>
      <c r="AF3054" s="13" t="inlineStr">
        <is>
          <t>OPN BA4 / BSA 4: FBM Support Equipment / Strategic Missile Systems Equip</t>
        </is>
      </c>
      <c r="AG3054" s="7" t="inlineStr">
        <is>
          <t>135</t>
        </is>
      </c>
      <c r="AH3054" s="7" t="inlineStr">
        <is>
          <t>5358</t>
        </is>
      </c>
    </row>
    <row r="3055" ht="10" customHeight="1">
      <c r="A3055" s="7" t="inlineStr">
        <is>
          <t>OPN_BA4</t>
        </is>
      </c>
      <c r="B3055" s="7" t="inlineStr">
        <is>
          <t>Procurement</t>
        </is>
      </c>
      <c r="D3055" s="7" t="inlineStr">
        <is>
          <t>Launcher &amp; Handling Equipment</t>
        </is>
      </c>
      <c r="E3055" s="13" t="inlineStr">
        <is>
          <t>[SUB]</t>
        </is>
      </c>
      <c r="F3055" s="7" t="inlineStr">
        <is>
          <t>5358 / Strategic Missile Systems Equip</t>
        </is>
      </c>
      <c r="I3055" s="14" t="n">
        <v>4</v>
      </c>
      <c r="K3055" s="13" t="inlineStr">
        <is>
          <t>USN</t>
        </is>
      </c>
      <c r="L3055" s="7" t="inlineStr">
        <is>
          <t>Combatant Ships</t>
        </is>
      </c>
      <c r="M3055" s="7" t="inlineStr">
        <is>
          <t>Submarines</t>
        </is>
      </c>
      <c r="N3055" s="7" t="inlineStr">
        <is>
          <t>SSBN</t>
        </is>
      </c>
      <c r="O3055" s="17" t="n">
        <v>110597</v>
      </c>
      <c r="P3055" s="16" t="n">
        <v>4086</v>
      </c>
      <c r="Q3055" s="16" t="n">
        <v>4159</v>
      </c>
      <c r="S3055" s="16" t="n">
        <v>8598</v>
      </c>
      <c r="U3055" s="16" t="n">
        <v>8598</v>
      </c>
      <c r="AC3055" s="23">
        <f>IF(OR(E3055="",E3055="[PARENT]"),"ADD",IF(E3055="[ALT_VIEW]","ALT",""))</f>
        <v/>
      </c>
      <c r="AD3055" s="21">
        <f>IF(Y3055&lt;&gt;"",Y3055,IF(U3055&lt;&gt;"",U3055,S3055))</f>
        <v/>
      </c>
      <c r="AE3055" s="21">
        <f>IF(AB3055&lt;&gt;"",AB3055,Z3055)</f>
        <v/>
      </c>
      <c r="AF3055" s="13" t="inlineStr">
        <is>
          <t>OPN BA4 / BSA 4 / Strategic Missile / Launcher &amp; Handling</t>
        </is>
      </c>
      <c r="AG3055" s="7" t="inlineStr">
        <is>
          <t>140</t>
        </is>
      </c>
      <c r="AH3055" s="7" t="inlineStr">
        <is>
          <t>5358</t>
        </is>
      </c>
      <c r="AI3055" s="7" t="inlineStr">
        <is>
          <t>Alterations-Launcher and Handling Equipment</t>
        </is>
      </c>
    </row>
    <row r="3056" ht="10" customHeight="1">
      <c r="A3056" s="7" t="inlineStr">
        <is>
          <t>OPN_BA4</t>
        </is>
      </c>
      <c r="B3056" s="7" t="inlineStr">
        <is>
          <t>Procurement</t>
        </is>
      </c>
      <c r="D3056" s="7" t="inlineStr">
        <is>
          <t>Gas Generator Case Hardware</t>
        </is>
      </c>
      <c r="E3056" s="13" t="inlineStr">
        <is>
          <t>[SUB]</t>
        </is>
      </c>
      <c r="F3056" s="7" t="inlineStr">
        <is>
          <t>Launcher &amp; Handling Equipment</t>
        </is>
      </c>
      <c r="I3056" s="14" t="n">
        <v>4</v>
      </c>
      <c r="K3056" s="15" t="n"/>
      <c r="O3056" s="17" t="n">
        <v>6076</v>
      </c>
      <c r="P3056" s="16" t="n">
        <v>4086</v>
      </c>
      <c r="S3056" s="16" t="n">
        <v>4885</v>
      </c>
      <c r="U3056" s="16" t="n">
        <v>4885</v>
      </c>
      <c r="AC3056" s="23">
        <f>IF(OR(E3056="",E3056="[PARENT]"),"ADD",IF(E3056="[ALT_VIEW]","ALT",""))</f>
        <v/>
      </c>
      <c r="AD3056" s="21">
        <f>IF(Y3056&lt;&gt;"",Y3056,IF(U3056&lt;&gt;"",U3056,S3056))</f>
        <v/>
      </c>
      <c r="AE3056" s="21">
        <f>IF(AB3056&lt;&gt;"",AB3056,Z3056)</f>
        <v/>
      </c>
      <c r="AF3056" s="13" t="inlineStr">
        <is>
          <t>OPN BA4 / BSA 4 / Strategic Missile / Launcher &amp; Handling / Gas Gen</t>
        </is>
      </c>
      <c r="AG3056" s="7" t="inlineStr">
        <is>
          <t>140</t>
        </is>
      </c>
      <c r="AH3056" s="7" t="inlineStr">
        <is>
          <t>5358</t>
        </is>
      </c>
    </row>
    <row r="3057" ht="10" customHeight="1">
      <c r="A3057" s="7" t="inlineStr">
        <is>
          <t>OPN_BA4</t>
        </is>
      </c>
      <c r="B3057" s="7" t="inlineStr">
        <is>
          <t>Procurement</t>
        </is>
      </c>
      <c r="D3057" s="7" t="inlineStr">
        <is>
          <t>Ballast Support Equipment</t>
        </is>
      </c>
      <c r="E3057" s="13" t="inlineStr">
        <is>
          <t>[SUB]</t>
        </is>
      </c>
      <c r="F3057" s="7" t="inlineStr">
        <is>
          <t>Launcher &amp; Handling Equipment</t>
        </is>
      </c>
      <c r="I3057" s="14" t="n">
        <v>4</v>
      </c>
      <c r="K3057" s="15" t="n"/>
      <c r="O3057" s="15" t="n"/>
      <c r="S3057" s="16" t="n">
        <v>3713</v>
      </c>
      <c r="U3057" s="16" t="n">
        <v>3713</v>
      </c>
      <c r="AC3057" s="23">
        <f>IF(OR(E3057="",E3057="[PARENT]"),"ADD",IF(E3057="[ALT_VIEW]","ALT",""))</f>
        <v/>
      </c>
      <c r="AD3057" s="21">
        <f>IF(Y3057&lt;&gt;"",Y3057,IF(U3057&lt;&gt;"",U3057,S3057))</f>
        <v/>
      </c>
      <c r="AE3057" s="21">
        <f>IF(AB3057&lt;&gt;"",AB3057,Z3057)</f>
        <v/>
      </c>
      <c r="AF3057" s="13" t="inlineStr">
        <is>
          <t>OPN BA4 / BSA 4 / Strategic Missile / Launcher &amp; Handling / Ballast Supt</t>
        </is>
      </c>
      <c r="AG3057" s="7" t="inlineStr">
        <is>
          <t>140</t>
        </is>
      </c>
      <c r="AH3057" s="7" t="inlineStr">
        <is>
          <t>5358</t>
        </is>
      </c>
      <c r="AI3057" s="7" t="inlineStr">
        <is>
          <t>Training Support Equipment</t>
        </is>
      </c>
    </row>
    <row r="3058" ht="10" customHeight="1">
      <c r="A3058" s="7" t="inlineStr">
        <is>
          <t>OPN_BA4</t>
        </is>
      </c>
      <c r="B3058" s="7" t="inlineStr">
        <is>
          <t>Procurement</t>
        </is>
      </c>
      <c r="D3058" s="7" t="inlineStr">
        <is>
          <t>Fire Control Equipment</t>
        </is>
      </c>
      <c r="E3058" s="13" t="inlineStr">
        <is>
          <t>[SUB]</t>
        </is>
      </c>
      <c r="F3058" s="7" t="inlineStr">
        <is>
          <t>5358 / Strategic Missile Systems Equip</t>
        </is>
      </c>
      <c r="I3058" s="14" t="n">
        <v>6</v>
      </c>
      <c r="K3058" s="13" t="inlineStr">
        <is>
          <t>USN</t>
        </is>
      </c>
      <c r="L3058" s="7" t="inlineStr">
        <is>
          <t>Combatant Ships</t>
        </is>
      </c>
      <c r="M3058" s="7" t="inlineStr">
        <is>
          <t>Submarines</t>
        </is>
      </c>
      <c r="N3058" s="7" t="inlineStr">
        <is>
          <t>SSBN</t>
        </is>
      </c>
      <c r="O3058" s="17" t="n">
        <v>278585</v>
      </c>
      <c r="P3058" s="16" t="n">
        <v>38198</v>
      </c>
      <c r="Q3058" s="16" t="n">
        <v>34492</v>
      </c>
      <c r="S3058" s="16" t="n">
        <v>32100</v>
      </c>
      <c r="U3058" s="16" t="n">
        <v>32100</v>
      </c>
      <c r="AC3058" s="23">
        <f>IF(OR(E3058="",E3058="[PARENT]"),"ADD",IF(E3058="[ALT_VIEW]","ALT",""))</f>
        <v/>
      </c>
      <c r="AD3058" s="21">
        <f>IF(Y3058&lt;&gt;"",Y3058,IF(U3058&lt;&gt;"",U3058,S3058))</f>
        <v/>
      </c>
      <c r="AE3058" s="21">
        <f>IF(AB3058&lt;&gt;"",AB3058,Z3058)</f>
        <v/>
      </c>
      <c r="AF3058" s="13" t="inlineStr">
        <is>
          <t>OPN BA4 / BSA 4 / Strategic Missile / Fire Control</t>
        </is>
      </c>
      <c r="AG3058" s="7" t="inlineStr">
        <is>
          <t>141</t>
        </is>
      </c>
      <c r="AH3058" s="7" t="inlineStr">
        <is>
          <t>5358</t>
        </is>
      </c>
      <c r="AI3058" s="7" t="inlineStr">
        <is>
          <t>Alterations-Fire Control Equipment</t>
        </is>
      </c>
    </row>
    <row r="3059" ht="10" customHeight="1">
      <c r="A3059" s="7" t="inlineStr">
        <is>
          <t>OPN_BA4</t>
        </is>
      </c>
      <c r="B3059" s="7" t="inlineStr">
        <is>
          <t>Procurement</t>
        </is>
      </c>
      <c r="D3059" s="7" t="inlineStr">
        <is>
          <t>NIROP Capital Maintenance</t>
        </is>
      </c>
      <c r="E3059" s="13" t="inlineStr">
        <is>
          <t>[SUB]</t>
        </is>
      </c>
      <c r="F3059" s="7" t="inlineStr">
        <is>
          <t>Fire Control Equipment</t>
        </is>
      </c>
      <c r="I3059" s="14" t="n">
        <v>6</v>
      </c>
      <c r="K3059" s="15" t="n"/>
      <c r="O3059" s="17" t="n">
        <v>68516</v>
      </c>
      <c r="P3059" s="16" t="n">
        <v>12047</v>
      </c>
      <c r="Q3059" s="16" t="n">
        <v>8143</v>
      </c>
      <c r="S3059" s="16" t="n">
        <v>7850</v>
      </c>
      <c r="U3059" s="16" t="n">
        <v>7850</v>
      </c>
      <c r="AC3059" s="23">
        <f>IF(OR(E3059="",E3059="[PARENT]"),"ADD",IF(E3059="[ALT_VIEW]","ALT",""))</f>
        <v/>
      </c>
      <c r="AD3059" s="21">
        <f>IF(Y3059&lt;&gt;"",Y3059,IF(U3059&lt;&gt;"",U3059,S3059))</f>
        <v/>
      </c>
      <c r="AE3059" s="21">
        <f>IF(AB3059&lt;&gt;"",AB3059,Z3059)</f>
        <v/>
      </c>
      <c r="AF3059" s="13" t="inlineStr">
        <is>
          <t>OPN BA4 / BSA 4 / Strategic Missile / Fire Control / NIROP</t>
        </is>
      </c>
      <c r="AG3059" s="7" t="inlineStr">
        <is>
          <t>141</t>
        </is>
      </c>
      <c r="AH3059" s="7" t="inlineStr">
        <is>
          <t>5358</t>
        </is>
      </c>
    </row>
    <row r="3060" ht="10" customHeight="1">
      <c r="A3060" s="7" t="inlineStr">
        <is>
          <t>OPN_BA4</t>
        </is>
      </c>
      <c r="B3060" s="7" t="inlineStr">
        <is>
          <t>Procurement</t>
        </is>
      </c>
      <c r="D3060" s="7" t="inlineStr">
        <is>
          <t>Fire Control Auxiliary Support Equipment</t>
        </is>
      </c>
      <c r="E3060" s="13" t="inlineStr">
        <is>
          <t>[SUB]</t>
        </is>
      </c>
      <c r="F3060" s="7" t="inlineStr">
        <is>
          <t>Fire Control Equipment</t>
        </is>
      </c>
      <c r="I3060" s="14" t="n">
        <v>6</v>
      </c>
      <c r="K3060" s="15" t="n"/>
      <c r="O3060" s="17" t="n">
        <v>39280</v>
      </c>
      <c r="P3060" s="16" t="n">
        <v>8473</v>
      </c>
      <c r="Q3060" s="16" t="n">
        <v>8319</v>
      </c>
      <c r="S3060" s="16" t="n">
        <v>3634</v>
      </c>
      <c r="U3060" s="16" t="n">
        <v>3634</v>
      </c>
      <c r="AC3060" s="23">
        <f>IF(OR(E3060="",E3060="[PARENT]"),"ADD",IF(E3060="[ALT_VIEW]","ALT",""))</f>
        <v/>
      </c>
      <c r="AD3060" s="21">
        <f>IF(Y3060&lt;&gt;"",Y3060,IF(U3060&lt;&gt;"",U3060,S3060))</f>
        <v/>
      </c>
      <c r="AE3060" s="21">
        <f>IF(AB3060&lt;&gt;"",AB3060,Z3060)</f>
        <v/>
      </c>
      <c r="AF3060" s="13" t="inlineStr">
        <is>
          <t>OPN BA4 / BSA 4 / Strategic Missile / Fire Control / Aux Support</t>
        </is>
      </c>
      <c r="AG3060" s="7" t="inlineStr">
        <is>
          <t>141</t>
        </is>
      </c>
      <c r="AH3060" s="7" t="inlineStr">
        <is>
          <t>5358</t>
        </is>
      </c>
      <c r="AI3060" s="7" t="inlineStr">
        <is>
          <t>Training Support Equipment</t>
        </is>
      </c>
    </row>
    <row r="3061" ht="10" customHeight="1">
      <c r="A3061" s="7" t="inlineStr">
        <is>
          <t>OPN_BA4</t>
        </is>
      </c>
      <c r="B3061" s="7" t="inlineStr">
        <is>
          <t>Procurement</t>
        </is>
      </c>
      <c r="D3061" s="7" t="inlineStr">
        <is>
          <t>D5 Targeting Hardware</t>
        </is>
      </c>
      <c r="E3061" s="13" t="inlineStr">
        <is>
          <t>[SUB]</t>
        </is>
      </c>
      <c r="F3061" s="7" t="inlineStr">
        <is>
          <t>Fire Control Equipment</t>
        </is>
      </c>
      <c r="I3061" s="14" t="n">
        <v>4</v>
      </c>
      <c r="K3061" s="15" t="n"/>
      <c r="O3061" s="17" t="n">
        <v>8046</v>
      </c>
      <c r="P3061" s="16" t="n">
        <v>983</v>
      </c>
      <c r="Q3061" s="16" t="n">
        <v>1002</v>
      </c>
      <c r="S3061" s="16" t="n">
        <v>1022</v>
      </c>
      <c r="U3061" s="16" t="n">
        <v>1022</v>
      </c>
      <c r="AC3061" s="23">
        <f>IF(OR(E3061="",E3061="[PARENT]"),"ADD",IF(E3061="[ALT_VIEW]","ALT",""))</f>
        <v/>
      </c>
      <c r="AD3061" s="21">
        <f>IF(Y3061&lt;&gt;"",Y3061,IF(U3061&lt;&gt;"",U3061,S3061))</f>
        <v/>
      </c>
      <c r="AE3061" s="21">
        <f>IF(AB3061&lt;&gt;"",AB3061,Z3061)</f>
        <v/>
      </c>
      <c r="AF3061" s="13" t="inlineStr">
        <is>
          <t>OPN BA4 / BSA 4 / Strategic Missile / Fire Control / Targeting HW</t>
        </is>
      </c>
      <c r="AG3061" s="7" t="inlineStr">
        <is>
          <t>141</t>
        </is>
      </c>
      <c r="AH3061" s="7" t="inlineStr">
        <is>
          <t>5358</t>
        </is>
      </c>
    </row>
    <row r="3062" ht="10" customHeight="1">
      <c r="A3062" s="7" t="inlineStr">
        <is>
          <t>OPN_BA4</t>
        </is>
      </c>
      <c r="B3062" s="7" t="inlineStr">
        <is>
          <t>Procurement</t>
        </is>
      </c>
      <c r="D3062" s="7" t="inlineStr">
        <is>
          <t>Advanced Inventory Logistics (SAIL)</t>
        </is>
      </c>
      <c r="E3062" s="13" t="inlineStr">
        <is>
          <t>[SUB]</t>
        </is>
      </c>
      <c r="F3062" s="7" t="inlineStr">
        <is>
          <t>Fire Control Equipment</t>
        </is>
      </c>
      <c r="I3062" s="14" t="n">
        <v>6</v>
      </c>
      <c r="K3062" s="15" t="n"/>
      <c r="O3062" s="17" t="n">
        <v>16797</v>
      </c>
      <c r="P3062" s="16" t="n">
        <v>3216</v>
      </c>
      <c r="Q3062" s="16" t="n">
        <v>3280</v>
      </c>
      <c r="S3062" s="16" t="n">
        <v>5297</v>
      </c>
      <c r="U3062" s="16" t="n">
        <v>5297</v>
      </c>
      <c r="AC3062" s="23">
        <f>IF(OR(E3062="",E3062="[PARENT]"),"ADD",IF(E3062="[ALT_VIEW]","ALT",""))</f>
        <v/>
      </c>
      <c r="AD3062" s="21">
        <f>IF(Y3062&lt;&gt;"",Y3062,IF(U3062&lt;&gt;"",U3062,S3062))</f>
        <v/>
      </c>
      <c r="AE3062" s="21">
        <f>IF(AB3062&lt;&gt;"",AB3062,Z3062)</f>
        <v/>
      </c>
      <c r="AF3062" s="13" t="inlineStr">
        <is>
          <t>OPN BA4 / BSA 4 / Strategic Missile / Fire Control / SAIL</t>
        </is>
      </c>
      <c r="AG3062" s="7" t="inlineStr">
        <is>
          <t>141</t>
        </is>
      </c>
      <c r="AH3062" s="7" t="inlineStr">
        <is>
          <t>5358</t>
        </is>
      </c>
    </row>
    <row r="3063" ht="10" customHeight="1">
      <c r="A3063" s="7" t="inlineStr">
        <is>
          <t>OPN_BA4</t>
        </is>
      </c>
      <c r="B3063" s="7" t="inlineStr">
        <is>
          <t>Procurement</t>
        </is>
      </c>
      <c r="D3063" s="7" t="inlineStr">
        <is>
          <t>Targeting Software Refresh</t>
        </is>
      </c>
      <c r="E3063" s="13" t="inlineStr">
        <is>
          <t>[SUB]</t>
        </is>
      </c>
      <c r="F3063" s="7" t="inlineStr">
        <is>
          <t>Fire Control Equipment</t>
        </is>
      </c>
      <c r="I3063" s="14" t="n">
        <v>4</v>
      </c>
      <c r="K3063" s="15" t="n"/>
      <c r="O3063" s="17" t="n">
        <v>93659</v>
      </c>
      <c r="P3063" s="16" t="n">
        <v>13479</v>
      </c>
      <c r="Q3063" s="16" t="n">
        <v>13748</v>
      </c>
      <c r="S3063" s="16" t="n">
        <v>14297</v>
      </c>
      <c r="U3063" s="16" t="n">
        <v>14297</v>
      </c>
      <c r="AC3063" s="23">
        <f>IF(OR(E3063="",E3063="[PARENT]"),"ADD",IF(E3063="[ALT_VIEW]","ALT",""))</f>
        <v/>
      </c>
      <c r="AD3063" s="21">
        <f>IF(Y3063&lt;&gt;"",Y3063,IF(U3063&lt;&gt;"",U3063,S3063))</f>
        <v/>
      </c>
      <c r="AE3063" s="21">
        <f>IF(AB3063&lt;&gt;"",AB3063,Z3063)</f>
        <v/>
      </c>
      <c r="AF3063" s="13" t="inlineStr">
        <is>
          <t>OPN BA4 / BSA 4 / Strategic Missile / Fire Control / SW Refresh</t>
        </is>
      </c>
      <c r="AG3063" s="7" t="inlineStr">
        <is>
          <t>141</t>
        </is>
      </c>
      <c r="AH3063" s="7" t="inlineStr">
        <is>
          <t>5358</t>
        </is>
      </c>
    </row>
    <row r="3064" ht="10" customHeight="1">
      <c r="A3064" s="7" t="inlineStr">
        <is>
          <t>OPN_BA4</t>
        </is>
      </c>
      <c r="B3064" s="7" t="inlineStr">
        <is>
          <t>Procurement</t>
        </is>
      </c>
      <c r="D3064" s="7" t="inlineStr">
        <is>
          <t>Navigation Equipment</t>
        </is>
      </c>
      <c r="E3064" s="13" t="inlineStr">
        <is>
          <t>[SUB]</t>
        </is>
      </c>
      <c r="F3064" s="7" t="inlineStr">
        <is>
          <t>5358 / Strategic Missile Systems Equip</t>
        </is>
      </c>
      <c r="I3064" s="14" t="n">
        <v>4</v>
      </c>
      <c r="K3064" s="13" t="inlineStr">
        <is>
          <t>USN</t>
        </is>
      </c>
      <c r="L3064" s="7" t="inlineStr">
        <is>
          <t>Combatant Ships</t>
        </is>
      </c>
      <c r="M3064" s="7" t="inlineStr">
        <is>
          <t>Submarines</t>
        </is>
      </c>
      <c r="N3064" s="7" t="inlineStr">
        <is>
          <t>SSBN</t>
        </is>
      </c>
      <c r="O3064" s="17" t="n">
        <v>49861</v>
      </c>
      <c r="P3064" s="16" t="n">
        <v>7500</v>
      </c>
      <c r="Q3064" s="16" t="n">
        <v>7650</v>
      </c>
      <c r="S3064" s="16" t="n">
        <v>7599</v>
      </c>
      <c r="U3064" s="16" t="n">
        <v>7599</v>
      </c>
      <c r="AC3064" s="23">
        <f>IF(OR(E3064="",E3064="[PARENT]"),"ADD",IF(E3064="[ALT_VIEW]","ALT",""))</f>
        <v/>
      </c>
      <c r="AD3064" s="21">
        <f>IF(Y3064&lt;&gt;"",Y3064,IF(U3064&lt;&gt;"",U3064,S3064))</f>
        <v/>
      </c>
      <c r="AE3064" s="21">
        <f>IF(AB3064&lt;&gt;"",AB3064,Z3064)</f>
        <v/>
      </c>
      <c r="AF3064" s="13" t="inlineStr">
        <is>
          <t>OPN BA4 / BSA 4 / Strategic Missile / Navigation</t>
        </is>
      </c>
      <c r="AG3064" s="7" t="inlineStr">
        <is>
          <t>142</t>
        </is>
      </c>
      <c r="AH3064" s="7" t="inlineStr">
        <is>
          <t>5358</t>
        </is>
      </c>
      <c r="AI3064" s="7" t="inlineStr">
        <is>
          <t>Alterations-Navigation Equipment</t>
        </is>
      </c>
    </row>
    <row r="3065" ht="10" customHeight="1">
      <c r="A3065" s="7" t="inlineStr">
        <is>
          <t>OPN_BA4</t>
        </is>
      </c>
      <c r="B3065" s="7" t="inlineStr">
        <is>
          <t>Procurement</t>
        </is>
      </c>
      <c r="D3065" s="7" t="inlineStr">
        <is>
          <t>ESGN(R) Stable Platform &amp; Housing Mat. &amp; SIS Kits</t>
        </is>
      </c>
      <c r="E3065" s="13" t="inlineStr">
        <is>
          <t>[SUB]</t>
        </is>
      </c>
      <c r="F3065" s="7" t="inlineStr">
        <is>
          <t>Navigation Equipment</t>
        </is>
      </c>
      <c r="I3065" s="14" t="n">
        <v>4</v>
      </c>
      <c r="K3065" s="15" t="n"/>
      <c r="O3065" s="15" t="n"/>
      <c r="P3065" s="16" t="n">
        <v>7500</v>
      </c>
      <c r="Q3065" s="16" t="n">
        <v>7650</v>
      </c>
      <c r="S3065" s="16" t="n">
        <v>7599</v>
      </c>
      <c r="U3065" s="16" t="n">
        <v>7599</v>
      </c>
      <c r="AC3065" s="23">
        <f>IF(OR(E3065="",E3065="[PARENT]"),"ADD",IF(E3065="[ALT_VIEW]","ALT",""))</f>
        <v/>
      </c>
      <c r="AD3065" s="21">
        <f>IF(Y3065&lt;&gt;"",Y3065,IF(U3065&lt;&gt;"",U3065,S3065))</f>
        <v/>
      </c>
      <c r="AE3065" s="21">
        <f>IF(AB3065&lt;&gt;"",AB3065,Z3065)</f>
        <v/>
      </c>
      <c r="AF3065" s="13" t="inlineStr">
        <is>
          <t>OPN BA4 / BSA 4 / Strategic Missile / Navigation / ESGN</t>
        </is>
      </c>
      <c r="AG3065" s="7" t="inlineStr">
        <is>
          <t>142</t>
        </is>
      </c>
      <c r="AH3065" s="7" t="inlineStr">
        <is>
          <t>5358</t>
        </is>
      </c>
    </row>
    <row r="3066" ht="10" customHeight="1">
      <c r="A3066" s="7" t="inlineStr">
        <is>
          <t>OPN_BA4</t>
        </is>
      </c>
      <c r="B3066" s="7" t="inlineStr">
        <is>
          <t>Procurement</t>
        </is>
      </c>
      <c r="D3066" s="7" t="inlineStr">
        <is>
          <t>Instrumentation/Missile Checkout Equipment</t>
        </is>
      </c>
      <c r="E3066" s="13" t="inlineStr">
        <is>
          <t>[SUB]</t>
        </is>
      </c>
      <c r="F3066" s="7" t="inlineStr">
        <is>
          <t>5358 / Strategic Missile Systems Equip</t>
        </is>
      </c>
      <c r="I3066" s="14" t="n">
        <v>4</v>
      </c>
      <c r="K3066" s="13" t="inlineStr">
        <is>
          <t>USN</t>
        </is>
      </c>
      <c r="L3066" s="7" t="inlineStr">
        <is>
          <t>Combatant Ships</t>
        </is>
      </c>
      <c r="M3066" s="7" t="inlineStr">
        <is>
          <t>Submarines</t>
        </is>
      </c>
      <c r="N3066" s="7" t="inlineStr">
        <is>
          <t>SSBN</t>
        </is>
      </c>
      <c r="O3066" s="17" t="n">
        <v>112257</v>
      </c>
      <c r="P3066" s="16" t="n">
        <v>10459</v>
      </c>
      <c r="Q3066" s="16" t="n">
        <v>38592</v>
      </c>
      <c r="S3066" s="16" t="n">
        <v>29356</v>
      </c>
      <c r="U3066" s="16" t="n">
        <v>29356</v>
      </c>
      <c r="AC3066" s="23">
        <f>IF(OR(E3066="",E3066="[PARENT]"),"ADD",IF(E3066="[ALT_VIEW]","ALT",""))</f>
        <v/>
      </c>
      <c r="AD3066" s="21">
        <f>IF(Y3066&lt;&gt;"",Y3066,IF(U3066&lt;&gt;"",U3066,S3066))</f>
        <v/>
      </c>
      <c r="AE3066" s="21">
        <f>IF(AB3066&lt;&gt;"",AB3066,Z3066)</f>
        <v/>
      </c>
      <c r="AF3066" s="13" t="inlineStr">
        <is>
          <t>OPN BA4 / BSA 4 / Strategic Missile / Instrumentation</t>
        </is>
      </c>
      <c r="AG3066" s="7" t="inlineStr">
        <is>
          <t>143</t>
        </is>
      </c>
      <c r="AH3066" s="7" t="inlineStr">
        <is>
          <t>5358</t>
        </is>
      </c>
      <c r="AI3066" s="7" t="inlineStr">
        <is>
          <t>Alterations-Instrumentation/Missle Checkout Equipment</t>
        </is>
      </c>
    </row>
    <row r="3067" ht="10" customHeight="1">
      <c r="A3067" s="7" t="inlineStr">
        <is>
          <t>OPN_BA4</t>
        </is>
      </c>
      <c r="B3067" s="7" t="inlineStr">
        <is>
          <t>Procurement</t>
        </is>
      </c>
      <c r="D3067" s="7" t="inlineStr">
        <is>
          <t>Umbilical Sets/Kits</t>
        </is>
      </c>
      <c r="E3067" s="13" t="inlineStr">
        <is>
          <t>[SUB]</t>
        </is>
      </c>
      <c r="F3067" s="7" t="inlineStr">
        <is>
          <t>Instrumentation Equipment</t>
        </is>
      </c>
      <c r="I3067" s="14" t="n">
        <v>4</v>
      </c>
      <c r="K3067" s="15" t="n"/>
      <c r="O3067" s="17" t="n">
        <v>19240</v>
      </c>
      <c r="P3067" s="16" t="n">
        <v>1791</v>
      </c>
      <c r="Q3067" s="16" t="n">
        <v>1826</v>
      </c>
      <c r="S3067" s="16" t="n">
        <v>1631</v>
      </c>
      <c r="U3067" s="16" t="n">
        <v>1631</v>
      </c>
      <c r="AC3067" s="23">
        <f>IF(OR(E3067="",E3067="[PARENT]"),"ADD",IF(E3067="[ALT_VIEW]","ALT",""))</f>
        <v/>
      </c>
      <c r="AD3067" s="21">
        <f>IF(Y3067&lt;&gt;"",Y3067,IF(U3067&lt;&gt;"",U3067,S3067))</f>
        <v/>
      </c>
      <c r="AE3067" s="21">
        <f>IF(AB3067&lt;&gt;"",AB3067,Z3067)</f>
        <v/>
      </c>
      <c r="AF3067" s="13" t="inlineStr">
        <is>
          <t>OPN BA4 / BSA 4 / Strategic Missile / Instrumentation / Umbilicals</t>
        </is>
      </c>
      <c r="AG3067" s="7" t="inlineStr">
        <is>
          <t>143</t>
        </is>
      </c>
      <c r="AH3067" s="7" t="inlineStr">
        <is>
          <t>5358</t>
        </is>
      </c>
    </row>
    <row r="3068" ht="10" customHeight="1">
      <c r="A3068" s="7" t="inlineStr">
        <is>
          <t>OPN_BA4</t>
        </is>
      </c>
      <c r="B3068" s="7" t="inlineStr">
        <is>
          <t>Procurement</t>
        </is>
      </c>
      <c r="D3068" s="7" t="inlineStr">
        <is>
          <t>Flight Test Instrumentation (FTI) Refresh</t>
        </is>
      </c>
      <c r="E3068" s="13" t="inlineStr">
        <is>
          <t>[SUB]</t>
        </is>
      </c>
      <c r="F3068" s="7" t="inlineStr">
        <is>
          <t>Instrumentation Equipment</t>
        </is>
      </c>
      <c r="I3068" s="14" t="n">
        <v>4</v>
      </c>
      <c r="K3068" s="15" t="n"/>
      <c r="O3068" s="17" t="n">
        <v>86179</v>
      </c>
      <c r="P3068" s="16" t="n">
        <v>8668</v>
      </c>
      <c r="Q3068" s="16" t="n">
        <v>36766</v>
      </c>
      <c r="S3068" s="16" t="n">
        <v>27725</v>
      </c>
      <c r="U3068" s="16" t="n">
        <v>27725</v>
      </c>
      <c r="AC3068" s="23">
        <f>IF(OR(E3068="",E3068="[PARENT]"),"ADD",IF(E3068="[ALT_VIEW]","ALT",""))</f>
        <v/>
      </c>
      <c r="AD3068" s="21">
        <f>IF(Y3068&lt;&gt;"",Y3068,IF(U3068&lt;&gt;"",U3068,S3068))</f>
        <v/>
      </c>
      <c r="AE3068" s="21">
        <f>IF(AB3068&lt;&gt;"",AB3068,Z3068)</f>
        <v/>
      </c>
      <c r="AF3068" s="13" t="inlineStr">
        <is>
          <t>OPN BA4 / BSA 4 / Strategic Missile / Instrumentation / FTI</t>
        </is>
      </c>
      <c r="AG3068" s="7" t="inlineStr">
        <is>
          <t>143</t>
        </is>
      </c>
      <c r="AH3068" s="7" t="inlineStr">
        <is>
          <t>5358</t>
        </is>
      </c>
    </row>
    <row r="3069" ht="10" customHeight="1">
      <c r="A3069" s="7" t="inlineStr">
        <is>
          <t>OPN_BA4</t>
        </is>
      </c>
      <c r="B3069" s="7" t="inlineStr">
        <is>
          <t>Procurement</t>
        </is>
      </c>
      <c r="D3069" s="7" t="inlineStr">
        <is>
          <t>Information Technology</t>
        </is>
      </c>
      <c r="E3069" s="13" t="inlineStr">
        <is>
          <t>[SUB]</t>
        </is>
      </c>
      <c r="F3069" s="7" t="inlineStr">
        <is>
          <t>5358 / Strategic Missile Systems Equip</t>
        </is>
      </c>
      <c r="I3069" s="14" t="n">
        <v>6</v>
      </c>
      <c r="K3069" s="15" t="n"/>
      <c r="O3069" s="17" t="n">
        <v>49766</v>
      </c>
      <c r="P3069" s="16" t="n">
        <v>4660</v>
      </c>
      <c r="Q3069" s="16" t="n">
        <v>5061</v>
      </c>
      <c r="S3069" s="16" t="n">
        <v>7938</v>
      </c>
      <c r="U3069" s="16" t="n">
        <v>7938</v>
      </c>
      <c r="AC3069" s="23">
        <f>IF(OR(E3069="",E3069="[PARENT]"),"ADD",IF(E3069="[ALT_VIEW]","ALT",""))</f>
        <v/>
      </c>
      <c r="AD3069" s="21">
        <f>IF(Y3069&lt;&gt;"",Y3069,IF(U3069&lt;&gt;"",U3069,S3069))</f>
        <v/>
      </c>
      <c r="AE3069" s="21">
        <f>IF(AB3069&lt;&gt;"",AB3069,Z3069)</f>
        <v/>
      </c>
      <c r="AF3069" s="13" t="inlineStr">
        <is>
          <t>OPN BA4 / BSA 4 / Strategic Missile / IT</t>
        </is>
      </c>
      <c r="AG3069" s="7" t="inlineStr">
        <is>
          <t>144</t>
        </is>
      </c>
      <c r="AH3069" s="7" t="inlineStr">
        <is>
          <t>5358</t>
        </is>
      </c>
      <c r="AI3069" s="7" t="inlineStr">
        <is>
          <t>Other Material Support- Information Technology</t>
        </is>
      </c>
    </row>
    <row r="3070" ht="10" customHeight="1">
      <c r="A3070" s="7" t="inlineStr">
        <is>
          <t>OPN_BA4</t>
        </is>
      </c>
      <c r="B3070" s="7" t="inlineStr">
        <is>
          <t>Procurement</t>
        </is>
      </c>
      <c r="D3070" s="7" t="inlineStr">
        <is>
          <t>Alterations - Launcher &amp; Handling Equipment</t>
        </is>
      </c>
      <c r="E3070" s="13" t="inlineStr">
        <is>
          <t>[SUB]</t>
        </is>
      </c>
      <c r="F3070" s="7" t="inlineStr">
        <is>
          <t>5358 / Strategic Missile Systems Equip</t>
        </is>
      </c>
      <c r="I3070" s="14" t="n">
        <v>4</v>
      </c>
      <c r="K3070" s="13" t="inlineStr">
        <is>
          <t>USN</t>
        </is>
      </c>
      <c r="L3070" s="7" t="inlineStr">
        <is>
          <t>Combatant Ships</t>
        </is>
      </c>
      <c r="M3070" s="7" t="inlineStr">
        <is>
          <t>Submarines</t>
        </is>
      </c>
      <c r="N3070" s="7" t="inlineStr">
        <is>
          <t>SSBN</t>
        </is>
      </c>
      <c r="O3070" s="17" t="n">
        <v>129034</v>
      </c>
      <c r="P3070" s="16" t="n">
        <v>10667</v>
      </c>
      <c r="Q3070" s="16" t="n">
        <v>14646</v>
      </c>
      <c r="S3070" s="16" t="n">
        <v>13851</v>
      </c>
      <c r="U3070" s="16" t="n">
        <v>13851</v>
      </c>
      <c r="AC3070" s="23">
        <f>IF(OR(E3070="",E3070="[PARENT]"),"ADD",IF(E3070="[ALT_VIEW]","ALT",""))</f>
        <v/>
      </c>
      <c r="AD3070" s="21">
        <f>IF(Y3070&lt;&gt;"",Y3070,IF(U3070&lt;&gt;"",U3070,S3070))</f>
        <v/>
      </c>
      <c r="AE3070" s="21">
        <f>IF(AB3070&lt;&gt;"",AB3070,Z3070)</f>
        <v/>
      </c>
      <c r="AF3070" s="13" t="inlineStr">
        <is>
          <t>OPN BA4 / BSA 4 / Strategic Missile / Launcher Alterations</t>
        </is>
      </c>
      <c r="AG3070" s="7" t="inlineStr">
        <is>
          <t>145</t>
        </is>
      </c>
      <c r="AH3070" s="7" t="inlineStr">
        <is>
          <t>5358</t>
        </is>
      </c>
      <c r="AI3070" s="7" t="inlineStr">
        <is>
          <t>Alterations-Launcher and Handling Equipment</t>
        </is>
      </c>
    </row>
    <row r="3071" ht="10" customHeight="1">
      <c r="A3071" s="7" t="inlineStr">
        <is>
          <t>OPN_BA4</t>
        </is>
      </c>
      <c r="B3071" s="7" t="inlineStr">
        <is>
          <t>Procurement</t>
        </is>
      </c>
      <c r="D3071" s="7" t="inlineStr">
        <is>
          <t>D5 Hoist</t>
        </is>
      </c>
      <c r="E3071" s="13" t="inlineStr">
        <is>
          <t>[SUB]</t>
        </is>
      </c>
      <c r="F3071" s="7" t="inlineStr">
        <is>
          <t>Launcher Alterations</t>
        </is>
      </c>
      <c r="I3071" s="14" t="n">
        <v>4</v>
      </c>
      <c r="K3071" s="15" t="n"/>
      <c r="O3071" s="15" t="n"/>
      <c r="S3071" s="16" t="n">
        <v>2934</v>
      </c>
      <c r="U3071" s="16" t="n">
        <v>2934</v>
      </c>
      <c r="AC3071" s="23">
        <f>IF(OR(E3071="",E3071="[PARENT]"),"ADD",IF(E3071="[ALT_VIEW]","ALT",""))</f>
        <v/>
      </c>
      <c r="AD3071" s="21">
        <f>IF(Y3071&lt;&gt;"",Y3071,IF(U3071&lt;&gt;"",U3071,S3071))</f>
        <v/>
      </c>
      <c r="AE3071" s="21">
        <f>IF(AB3071&lt;&gt;"",AB3071,Z3071)</f>
        <v/>
      </c>
      <c r="AF3071" s="13" t="inlineStr">
        <is>
          <t>OPN BA4 / BSA 4 / Strategic Missile / Launcher Alterations / Hoist</t>
        </is>
      </c>
      <c r="AG3071" s="7" t="inlineStr">
        <is>
          <t>145</t>
        </is>
      </c>
      <c r="AH3071" s="7" t="inlineStr">
        <is>
          <t>5358</t>
        </is>
      </c>
    </row>
    <row r="3072" ht="10" customHeight="1">
      <c r="A3072" s="7" t="inlineStr">
        <is>
          <t>OPN_BA4</t>
        </is>
      </c>
      <c r="B3072" s="7" t="inlineStr">
        <is>
          <t>Procurement</t>
        </is>
      </c>
      <c r="D3072" s="7" t="inlineStr">
        <is>
          <t>Launcher SPALTs</t>
        </is>
      </c>
      <c r="E3072" s="13" t="inlineStr">
        <is>
          <t>[SUB]</t>
        </is>
      </c>
      <c r="F3072" s="7" t="inlineStr">
        <is>
          <t>Launcher Alterations</t>
        </is>
      </c>
      <c r="I3072" s="14" t="n">
        <v>4</v>
      </c>
      <c r="K3072" s="15" t="n"/>
      <c r="O3072" s="17" t="n">
        <v>106685</v>
      </c>
      <c r="P3072" s="16" t="n">
        <v>10667</v>
      </c>
      <c r="Q3072" s="16" t="n">
        <v>12153</v>
      </c>
      <c r="S3072" s="16" t="n">
        <v>10917</v>
      </c>
      <c r="U3072" s="16" t="n">
        <v>10917</v>
      </c>
      <c r="AC3072" s="23">
        <f>IF(OR(E3072="",E3072="[PARENT]"),"ADD",IF(E3072="[ALT_VIEW]","ALT",""))</f>
        <v/>
      </c>
      <c r="AD3072" s="21">
        <f>IF(Y3072&lt;&gt;"",Y3072,IF(U3072&lt;&gt;"",U3072,S3072))</f>
        <v/>
      </c>
      <c r="AE3072" s="21">
        <f>IF(AB3072&lt;&gt;"",AB3072,Z3072)</f>
        <v/>
      </c>
      <c r="AF3072" s="13" t="inlineStr">
        <is>
          <t>OPN BA4 / BSA 4 / Strategic Missile / Launcher Alterations / SPALTs</t>
        </is>
      </c>
      <c r="AG3072" s="7" t="inlineStr">
        <is>
          <t>145</t>
        </is>
      </c>
      <c r="AH3072" s="7" t="inlineStr">
        <is>
          <t>5358</t>
        </is>
      </c>
    </row>
    <row r="3073" ht="10" customHeight="1">
      <c r="A3073" s="7" t="inlineStr">
        <is>
          <t>OPN_BA4</t>
        </is>
      </c>
      <c r="B3073" s="7" t="inlineStr">
        <is>
          <t>Procurement</t>
        </is>
      </c>
      <c r="D3073" s="7" t="inlineStr">
        <is>
          <t>Alterations - Fire Control Equipment</t>
        </is>
      </c>
      <c r="E3073" s="13" t="inlineStr">
        <is>
          <t>[SUB]</t>
        </is>
      </c>
      <c r="F3073" s="7" t="inlineStr">
        <is>
          <t>5358 / Strategic Missile Systems Equip</t>
        </is>
      </c>
      <c r="I3073" s="14" t="n">
        <v>4</v>
      </c>
      <c r="K3073" s="13" t="inlineStr">
        <is>
          <t>USN</t>
        </is>
      </c>
      <c r="L3073" s="7" t="inlineStr">
        <is>
          <t>Combatant Ships</t>
        </is>
      </c>
      <c r="M3073" s="7" t="inlineStr">
        <is>
          <t>Submarines</t>
        </is>
      </c>
      <c r="N3073" s="7" t="inlineStr">
        <is>
          <t>SSBN</t>
        </is>
      </c>
      <c r="O3073" s="17" t="n">
        <v>91096</v>
      </c>
      <c r="P3073" s="16" t="n">
        <v>17412</v>
      </c>
      <c r="Q3073" s="16" t="n">
        <v>17760</v>
      </c>
      <c r="S3073" s="16" t="n">
        <v>21442</v>
      </c>
      <c r="U3073" s="16" t="n">
        <v>21442</v>
      </c>
      <c r="AC3073" s="23">
        <f>IF(OR(E3073="",E3073="[PARENT]"),"ADD",IF(E3073="[ALT_VIEW]","ALT",""))</f>
        <v/>
      </c>
      <c r="AD3073" s="21">
        <f>IF(Y3073&lt;&gt;"",Y3073,IF(U3073&lt;&gt;"",U3073,S3073))</f>
        <v/>
      </c>
      <c r="AE3073" s="21">
        <f>IF(AB3073&lt;&gt;"",AB3073,Z3073)</f>
        <v/>
      </c>
      <c r="AF3073" s="13" t="inlineStr">
        <is>
          <t>OPN BA4 / BSA 4 / Strategic Missile / FC Alterations</t>
        </is>
      </c>
      <c r="AG3073" s="7" t="inlineStr">
        <is>
          <t>146</t>
        </is>
      </c>
      <c r="AH3073" s="7" t="inlineStr">
        <is>
          <t>5358</t>
        </is>
      </c>
      <c r="AI3073" s="7" t="inlineStr">
        <is>
          <t>Alterations-Fire Control Equipment</t>
        </is>
      </c>
    </row>
    <row r="3074" ht="10" customHeight="1">
      <c r="A3074" s="7" t="inlineStr">
        <is>
          <t>OPN_BA4</t>
        </is>
      </c>
      <c r="B3074" s="7" t="inlineStr">
        <is>
          <t>Procurement</t>
        </is>
      </c>
      <c r="D3074" s="7" t="inlineStr">
        <is>
          <t>Portable Computing Devices (PCD) Refresh SPALT</t>
        </is>
      </c>
      <c r="E3074" s="13" t="inlineStr">
        <is>
          <t>[SUB]</t>
        </is>
      </c>
      <c r="F3074" s="7" t="inlineStr">
        <is>
          <t>FC Alterations</t>
        </is>
      </c>
      <c r="I3074" s="14" t="n">
        <v>4</v>
      </c>
      <c r="K3074" s="15" t="n"/>
      <c r="O3074" s="17" t="n">
        <v>4034</v>
      </c>
      <c r="S3074" s="16" t="n">
        <v>731</v>
      </c>
      <c r="U3074" s="16" t="n">
        <v>731</v>
      </c>
      <c r="AC3074" s="23">
        <f>IF(OR(E3074="",E3074="[PARENT]"),"ADD",IF(E3074="[ALT_VIEW]","ALT",""))</f>
        <v/>
      </c>
      <c r="AD3074" s="21">
        <f>IF(Y3074&lt;&gt;"",Y3074,IF(U3074&lt;&gt;"",U3074,S3074))</f>
        <v/>
      </c>
      <c r="AE3074" s="21">
        <f>IF(AB3074&lt;&gt;"",AB3074,Z3074)</f>
        <v/>
      </c>
      <c r="AF3074" s="13" t="inlineStr">
        <is>
          <t>OPN BA4 / BSA 4 / Strategic Missile / FC Alterations / PCD</t>
        </is>
      </c>
      <c r="AG3074" s="7" t="inlineStr">
        <is>
          <t>146</t>
        </is>
      </c>
      <c r="AH3074" s="7" t="inlineStr">
        <is>
          <t>5358</t>
        </is>
      </c>
    </row>
    <row r="3075" ht="10" customHeight="1">
      <c r="A3075" s="7" t="inlineStr">
        <is>
          <t>OPN_BA4</t>
        </is>
      </c>
      <c r="B3075" s="7" t="inlineStr">
        <is>
          <t>Procurement</t>
        </is>
      </c>
      <c r="D3075" s="7" t="inlineStr">
        <is>
          <t>Minor SPALTs</t>
        </is>
      </c>
      <c r="E3075" s="13" t="inlineStr">
        <is>
          <t>[SUB]</t>
        </is>
      </c>
      <c r="F3075" s="7" t="inlineStr">
        <is>
          <t>FC Alterations</t>
        </is>
      </c>
      <c r="I3075" s="14" t="n">
        <v>4</v>
      </c>
      <c r="K3075" s="15" t="n"/>
      <c r="O3075" s="17" t="n">
        <v>87062</v>
      </c>
      <c r="P3075" s="16" t="n">
        <v>17412</v>
      </c>
      <c r="Q3075" s="16" t="n">
        <v>17760</v>
      </c>
      <c r="S3075" s="16" t="n">
        <v>20711</v>
      </c>
      <c r="U3075" s="16" t="n">
        <v>20711</v>
      </c>
      <c r="AC3075" s="23">
        <f>IF(OR(E3075="",E3075="[PARENT]"),"ADD",IF(E3075="[ALT_VIEW]","ALT",""))</f>
        <v/>
      </c>
      <c r="AD3075" s="21">
        <f>IF(Y3075&lt;&gt;"",Y3075,IF(U3075&lt;&gt;"",U3075,S3075))</f>
        <v/>
      </c>
      <c r="AE3075" s="21">
        <f>IF(AB3075&lt;&gt;"",AB3075,Z3075)</f>
        <v/>
      </c>
      <c r="AF3075" s="13" t="inlineStr">
        <is>
          <t>OPN BA4 / BSA 4 / Strategic Missile / FC Alterations / Minor SPALTs</t>
        </is>
      </c>
      <c r="AG3075" s="7" t="inlineStr">
        <is>
          <t>146</t>
        </is>
      </c>
      <c r="AH3075" s="7" t="inlineStr">
        <is>
          <t>5358</t>
        </is>
      </c>
    </row>
    <row r="3076" ht="10" customHeight="1">
      <c r="A3076" s="7" t="inlineStr">
        <is>
          <t>OPN_BA4</t>
        </is>
      </c>
      <c r="B3076" s="7" t="inlineStr">
        <is>
          <t>Procurement</t>
        </is>
      </c>
      <c r="D3076" s="7" t="inlineStr">
        <is>
          <t>Alterations - Navigation Equipment</t>
        </is>
      </c>
      <c r="E3076" s="13" t="inlineStr">
        <is>
          <t>[SUB]</t>
        </is>
      </c>
      <c r="F3076" s="7" t="inlineStr">
        <is>
          <t>5358 / Strategic Missile Systems Equip</t>
        </is>
      </c>
      <c r="I3076" s="14" t="n">
        <v>4</v>
      </c>
      <c r="K3076" s="13" t="inlineStr">
        <is>
          <t>USN</t>
        </is>
      </c>
      <c r="L3076" s="7" t="inlineStr">
        <is>
          <t>Combatant Ships</t>
        </is>
      </c>
      <c r="M3076" s="7" t="inlineStr">
        <is>
          <t>Submarines</t>
        </is>
      </c>
      <c r="N3076" s="7" t="inlineStr">
        <is>
          <t>SSBN</t>
        </is>
      </c>
      <c r="O3076" s="17" t="n">
        <v>100677</v>
      </c>
      <c r="P3076" s="16" t="n">
        <v>20335</v>
      </c>
      <c r="Q3076" s="16" t="n">
        <v>11908</v>
      </c>
      <c r="S3076" s="16" t="n">
        <v>12188</v>
      </c>
      <c r="U3076" s="16" t="n">
        <v>12188</v>
      </c>
      <c r="AC3076" s="23">
        <f>IF(OR(E3076="",E3076="[PARENT]"),"ADD",IF(E3076="[ALT_VIEW]","ALT",""))</f>
        <v/>
      </c>
      <c r="AD3076" s="21">
        <f>IF(Y3076&lt;&gt;"",Y3076,IF(U3076&lt;&gt;"",U3076,S3076))</f>
        <v/>
      </c>
      <c r="AE3076" s="21">
        <f>IF(AB3076&lt;&gt;"",AB3076,Z3076)</f>
        <v/>
      </c>
      <c r="AF3076" s="13" t="inlineStr">
        <is>
          <t>OPN BA4 / BSA 4 / Strategic Missile / Nav Alterations</t>
        </is>
      </c>
      <c r="AG3076" s="7" t="inlineStr">
        <is>
          <t>147</t>
        </is>
      </c>
      <c r="AH3076" s="7" t="inlineStr">
        <is>
          <t>5358</t>
        </is>
      </c>
      <c r="AI3076" s="7" t="inlineStr">
        <is>
          <t>Alterations-Navigation Equipment</t>
        </is>
      </c>
    </row>
    <row r="3077" ht="10" customHeight="1">
      <c r="A3077" s="7" t="inlineStr">
        <is>
          <t>OPN_BA4</t>
        </is>
      </c>
      <c r="B3077" s="7" t="inlineStr">
        <is>
          <t>Procurement</t>
        </is>
      </c>
      <c r="D3077" s="7" t="inlineStr">
        <is>
          <t>Legacy ESGN SPALTs</t>
        </is>
      </c>
      <c r="E3077" s="13" t="inlineStr">
        <is>
          <t>[SUB]</t>
        </is>
      </c>
      <c r="F3077" s="7" t="inlineStr">
        <is>
          <t>Nav Alterations</t>
        </is>
      </c>
      <c r="I3077" s="14" t="n">
        <v>4</v>
      </c>
      <c r="K3077" s="15" t="n"/>
      <c r="O3077" s="17" t="n">
        <v>20500</v>
      </c>
      <c r="P3077" s="16" t="n">
        <v>2122</v>
      </c>
      <c r="Q3077" s="16" t="n">
        <v>2164</v>
      </c>
      <c r="S3077" s="16" t="n">
        <v>2252</v>
      </c>
      <c r="U3077" s="16" t="n">
        <v>2252</v>
      </c>
      <c r="AC3077" s="23">
        <f>IF(OR(E3077="",E3077="[PARENT]"),"ADD",IF(E3077="[ALT_VIEW]","ALT",""))</f>
        <v/>
      </c>
      <c r="AD3077" s="21">
        <f>IF(Y3077&lt;&gt;"",Y3077,IF(U3077&lt;&gt;"",U3077,S3077))</f>
        <v/>
      </c>
      <c r="AE3077" s="21">
        <f>IF(AB3077&lt;&gt;"",AB3077,Z3077)</f>
        <v/>
      </c>
      <c r="AF3077" s="13" t="inlineStr">
        <is>
          <t>OPN BA4 / BSA 4 / Strategic Missile / Nav Alterations / ESGN SPALTs</t>
        </is>
      </c>
      <c r="AG3077" s="7" t="inlineStr">
        <is>
          <t>147</t>
        </is>
      </c>
      <c r="AH3077" s="7" t="inlineStr">
        <is>
          <t>5358</t>
        </is>
      </c>
    </row>
    <row r="3078" ht="10" customHeight="1">
      <c r="A3078" s="7" t="inlineStr">
        <is>
          <t>OPN_BA4</t>
        </is>
      </c>
      <c r="B3078" s="7" t="inlineStr">
        <is>
          <t>Procurement</t>
        </is>
      </c>
      <c r="D3078" s="7" t="inlineStr">
        <is>
          <t>Transducer SPALTs</t>
        </is>
      </c>
      <c r="E3078" s="13" t="inlineStr">
        <is>
          <t>[SUB]</t>
        </is>
      </c>
      <c r="F3078" s="7" t="inlineStr">
        <is>
          <t>Nav Alterations</t>
        </is>
      </c>
      <c r="I3078" s="14" t="n">
        <v>4</v>
      </c>
      <c r="K3078" s="15" t="n"/>
      <c r="O3078" s="17" t="n">
        <v>18801</v>
      </c>
      <c r="P3078" s="16" t="n">
        <v>10856</v>
      </c>
      <c r="Q3078" s="16" t="n">
        <v>7794</v>
      </c>
      <c r="S3078" s="16" t="n">
        <v>8444</v>
      </c>
      <c r="U3078" s="16" t="n">
        <v>8444</v>
      </c>
      <c r="AC3078" s="23">
        <f>IF(OR(E3078="",E3078="[PARENT]"),"ADD",IF(E3078="[ALT_VIEW]","ALT",""))</f>
        <v/>
      </c>
      <c r="AD3078" s="21">
        <f>IF(Y3078&lt;&gt;"",Y3078,IF(U3078&lt;&gt;"",U3078,S3078))</f>
        <v/>
      </c>
      <c r="AE3078" s="21">
        <f>IF(AB3078&lt;&gt;"",AB3078,Z3078)</f>
        <v/>
      </c>
      <c r="AF3078" s="13" t="inlineStr">
        <is>
          <t>OPN BA4 / BSA 4 / Strategic Missile / Nav Alterations / Transducer SPALTs</t>
        </is>
      </c>
      <c r="AG3078" s="7" t="inlineStr">
        <is>
          <t>147</t>
        </is>
      </c>
      <c r="AH3078" s="7" t="inlineStr">
        <is>
          <t>5358</t>
        </is>
      </c>
    </row>
    <row r="3079" ht="10" customHeight="1">
      <c r="A3079" s="7" t="inlineStr">
        <is>
          <t>OPN_BA4</t>
        </is>
      </c>
      <c r="B3079" s="7" t="inlineStr">
        <is>
          <t>Procurement</t>
        </is>
      </c>
      <c r="D3079" s="7" t="inlineStr">
        <is>
          <t>Broadband Navigation SONAR System</t>
        </is>
      </c>
      <c r="E3079" s="13" t="inlineStr">
        <is>
          <t>[SUB]</t>
        </is>
      </c>
      <c r="F3079" s="7" t="inlineStr">
        <is>
          <t>Nav Alterations</t>
        </is>
      </c>
      <c r="I3079" s="14" t="n">
        <v>4</v>
      </c>
      <c r="K3079" s="15" t="n"/>
      <c r="O3079" s="17" t="n">
        <v>5710</v>
      </c>
      <c r="P3079" s="16" t="n">
        <v>2142</v>
      </c>
      <c r="Q3079" s="16" t="n">
        <v>1950</v>
      </c>
      <c r="S3079" s="16" t="n">
        <v>1492</v>
      </c>
      <c r="U3079" s="16" t="n">
        <v>1492</v>
      </c>
      <c r="AC3079" s="23">
        <f>IF(OR(E3079="",E3079="[PARENT]"),"ADD",IF(E3079="[ALT_VIEW]","ALT",""))</f>
        <v/>
      </c>
      <c r="AD3079" s="21">
        <f>IF(Y3079&lt;&gt;"",Y3079,IF(U3079&lt;&gt;"",U3079,S3079))</f>
        <v/>
      </c>
      <c r="AE3079" s="21">
        <f>IF(AB3079&lt;&gt;"",AB3079,Z3079)</f>
        <v/>
      </c>
      <c r="AF3079" s="13" t="inlineStr">
        <is>
          <t>OPN BA4 / BSA 4 / Strategic Missile / Nav Alterations / BB Nav Sonar</t>
        </is>
      </c>
      <c r="AG3079" s="7" t="inlineStr">
        <is>
          <t>147</t>
        </is>
      </c>
      <c r="AH3079" s="7" t="inlineStr">
        <is>
          <t>5358</t>
        </is>
      </c>
    </row>
    <row r="3080" ht="10" customHeight="1">
      <c r="A3080" s="7" t="inlineStr">
        <is>
          <t>OPN_BA4</t>
        </is>
      </c>
      <c r="B3080" s="7" t="inlineStr">
        <is>
          <t>Procurement</t>
        </is>
      </c>
      <c r="D3080" s="7" t="inlineStr">
        <is>
          <t>Alterations - Instrumentation/Missile Checkout</t>
        </is>
      </c>
      <c r="E3080" s="13" t="inlineStr">
        <is>
          <t>[SUB]</t>
        </is>
      </c>
      <c r="F3080" s="7" t="inlineStr">
        <is>
          <t>5358 / Strategic Missile Systems Equip</t>
        </is>
      </c>
      <c r="I3080" s="14" t="n">
        <v>4</v>
      </c>
      <c r="K3080" s="15" t="n"/>
      <c r="O3080" s="17" t="n">
        <v>12315</v>
      </c>
      <c r="P3080" s="16" t="n">
        <v>3060</v>
      </c>
      <c r="Q3080" s="16" t="n">
        <v>3121</v>
      </c>
      <c r="S3080" s="16" t="n">
        <v>3183</v>
      </c>
      <c r="U3080" s="16" t="n">
        <v>3183</v>
      </c>
      <c r="AC3080" s="23">
        <f>IF(OR(E3080="",E3080="[PARENT]"),"ADD",IF(E3080="[ALT_VIEW]","ALT",""))</f>
        <v/>
      </c>
      <c r="AD3080" s="21">
        <f>IF(Y3080&lt;&gt;"",Y3080,IF(U3080&lt;&gt;"",U3080,S3080))</f>
        <v/>
      </c>
      <c r="AE3080" s="21">
        <f>IF(AB3080&lt;&gt;"",AB3080,Z3080)</f>
        <v/>
      </c>
      <c r="AF3080" s="13" t="inlineStr">
        <is>
          <t>OPN BA4 / BSA 4 / Strategic Missile / Instrumentation Alterations</t>
        </is>
      </c>
      <c r="AG3080" s="7" t="inlineStr">
        <is>
          <t>148</t>
        </is>
      </c>
      <c r="AH3080" s="7" t="inlineStr">
        <is>
          <t>5358</t>
        </is>
      </c>
      <c r="AI3080" s="7" t="inlineStr">
        <is>
          <t>Alterations-Instrumentation/Missle Checkout Equipment</t>
        </is>
      </c>
    </row>
    <row r="3081" ht="10" customHeight="1">
      <c r="A3081" s="7" t="inlineStr">
        <is>
          <t>OPN_BA4</t>
        </is>
      </c>
      <c r="B3081" s="7" t="inlineStr">
        <is>
          <t>Procurement</t>
        </is>
      </c>
      <c r="D3081" s="7" t="inlineStr">
        <is>
          <t>SSI Increment 8</t>
        </is>
      </c>
      <c r="E3081" s="13" t="inlineStr">
        <is>
          <t>[SUB]</t>
        </is>
      </c>
      <c r="F3081" s="7" t="inlineStr">
        <is>
          <t>5358 / Strategic Missile Systems Equip</t>
        </is>
      </c>
      <c r="I3081" s="14" t="n">
        <v>4</v>
      </c>
      <c r="K3081" s="13" t="inlineStr">
        <is>
          <t>USN</t>
        </is>
      </c>
      <c r="L3081" s="7" t="inlineStr">
        <is>
          <t>Combatant Ships</t>
        </is>
      </c>
      <c r="M3081" s="7" t="inlineStr">
        <is>
          <t>Submarines</t>
        </is>
      </c>
      <c r="N3081" s="7" t="inlineStr">
        <is>
          <t>SSBN</t>
        </is>
      </c>
      <c r="O3081" s="17" t="n">
        <v>742476</v>
      </c>
      <c r="P3081" s="16" t="n">
        <v>27782</v>
      </c>
      <c r="Q3081" s="16" t="n">
        <v>14951</v>
      </c>
      <c r="S3081" s="16" t="n">
        <v>6377</v>
      </c>
      <c r="U3081" s="16" t="n">
        <v>6377</v>
      </c>
      <c r="AC3081" s="23">
        <f>IF(OR(E3081="",E3081="[PARENT]"),"ADD",IF(E3081="[ALT_VIEW]","ALT",""))</f>
        <v/>
      </c>
      <c r="AD3081" s="21">
        <f>IF(Y3081&lt;&gt;"",Y3081,IF(U3081&lt;&gt;"",U3081,S3081))</f>
        <v/>
      </c>
      <c r="AE3081" s="21">
        <f>IF(AB3081&lt;&gt;"",AB3081,Z3081)</f>
        <v/>
      </c>
      <c r="AF3081" s="13" t="inlineStr">
        <is>
          <t>OPN BA4 / BSA 4 / Strategic Missile / SSI Inc 8</t>
        </is>
      </c>
      <c r="AG3081" s="7" t="inlineStr">
        <is>
          <t>149</t>
        </is>
      </c>
      <c r="AH3081" s="7" t="inlineStr">
        <is>
          <t>5358</t>
        </is>
      </c>
      <c r="AI3081" s="7" t="inlineStr">
        <is>
          <t>SSI Increment 8</t>
        </is>
      </c>
    </row>
    <row r="3082" ht="10" customHeight="1">
      <c r="A3082" s="7" t="inlineStr">
        <is>
          <t>OPN_BA4</t>
        </is>
      </c>
      <c r="B3082" s="7" t="inlineStr">
        <is>
          <t>Procurement</t>
        </is>
      </c>
      <c r="D3082" s="7" t="inlineStr">
        <is>
          <t>Navigation SSI Inc 8 SHIPALT/Integration</t>
        </is>
      </c>
      <c r="E3082" s="13" t="inlineStr">
        <is>
          <t>[SUB]</t>
        </is>
      </c>
      <c r="F3082" s="7" t="inlineStr">
        <is>
          <t>SSI Inc 8</t>
        </is>
      </c>
      <c r="I3082" s="14" t="n">
        <v>4</v>
      </c>
      <c r="K3082" s="15" t="n"/>
      <c r="O3082" s="17" t="n">
        <v>32722</v>
      </c>
      <c r="P3082" s="16" t="n">
        <v>8583</v>
      </c>
      <c r="Q3082" s="16" t="n">
        <v>5376</v>
      </c>
      <c r="S3082" s="16" t="n">
        <v>3544</v>
      </c>
      <c r="U3082" s="16" t="n">
        <v>3544</v>
      </c>
      <c r="AC3082" s="23">
        <f>IF(OR(E3082="",E3082="[PARENT]"),"ADD",IF(E3082="[ALT_VIEW]","ALT",""))</f>
        <v/>
      </c>
      <c r="AD3082" s="21">
        <f>IF(Y3082&lt;&gt;"",Y3082,IF(U3082&lt;&gt;"",U3082,S3082))</f>
        <v/>
      </c>
      <c r="AE3082" s="21">
        <f>IF(AB3082&lt;&gt;"",AB3082,Z3082)</f>
        <v/>
      </c>
      <c r="AF3082" s="13" t="inlineStr">
        <is>
          <t>OPN BA4 / BSA 4 / Strategic Missile / SSI Inc 8 / SHIPALT</t>
        </is>
      </c>
      <c r="AG3082" s="7" t="inlineStr">
        <is>
          <t>149</t>
        </is>
      </c>
      <c r="AH3082" s="7" t="inlineStr">
        <is>
          <t>5358</t>
        </is>
      </c>
    </row>
    <row r="3083" ht="10" customHeight="1">
      <c r="A3083" s="7" t="inlineStr">
        <is>
          <t>OPN_BA4</t>
        </is>
      </c>
      <c r="B3083" s="7" t="inlineStr">
        <is>
          <t>Procurement</t>
        </is>
      </c>
      <c r="D3083" s="7" t="inlineStr">
        <is>
          <t>Gyroscope Fault Isolation Capability</t>
        </is>
      </c>
      <c r="E3083" s="13" t="inlineStr">
        <is>
          <t>[SUB]</t>
        </is>
      </c>
      <c r="F3083" s="7" t="inlineStr">
        <is>
          <t>SSI Inc 8</t>
        </is>
      </c>
      <c r="I3083" s="14" t="n">
        <v>4</v>
      </c>
      <c r="K3083" s="15" t="n"/>
      <c r="O3083" s="17" t="n">
        <v>2740</v>
      </c>
      <c r="P3083" s="16" t="n">
        <v>2830</v>
      </c>
      <c r="Q3083" s="16" t="n">
        <v>2901</v>
      </c>
      <c r="S3083" s="16" t="n">
        <v>2833</v>
      </c>
      <c r="U3083" s="16" t="n">
        <v>2833</v>
      </c>
      <c r="AC3083" s="23">
        <f>IF(OR(E3083="",E3083="[PARENT]"),"ADD",IF(E3083="[ALT_VIEW]","ALT",""))</f>
        <v/>
      </c>
      <c r="AD3083" s="21">
        <f>IF(Y3083&lt;&gt;"",Y3083,IF(U3083&lt;&gt;"",U3083,S3083))</f>
        <v/>
      </c>
      <c r="AE3083" s="21">
        <f>IF(AB3083&lt;&gt;"",AB3083,Z3083)</f>
        <v/>
      </c>
      <c r="AF3083" s="13" t="inlineStr">
        <is>
          <t>OPN BA4 / BSA 4 / Strategic Missile / SSI Inc 8 / Gyro Fault Iso</t>
        </is>
      </c>
      <c r="AG3083" s="7" t="inlineStr">
        <is>
          <t>149</t>
        </is>
      </c>
      <c r="AH3083" s="7" t="inlineStr">
        <is>
          <t>5358</t>
        </is>
      </c>
    </row>
    <row r="3084" ht="10" customHeight="1">
      <c r="A3084" s="7" t="inlineStr">
        <is>
          <t>OPN_BA4</t>
        </is>
      </c>
      <c r="B3084" s="7" t="inlineStr">
        <is>
          <t>Procurement</t>
        </is>
      </c>
      <c r="D3084" s="7" t="inlineStr">
        <is>
          <t>SSI Increment 15</t>
        </is>
      </c>
      <c r="E3084" s="13" t="inlineStr">
        <is>
          <t>[SUB]</t>
        </is>
      </c>
      <c r="F3084" s="7" t="inlineStr">
        <is>
          <t>5358 / Strategic Missile Systems Equip</t>
        </is>
      </c>
      <c r="I3084" s="14" t="n">
        <v>4</v>
      </c>
      <c r="K3084" s="13" t="inlineStr">
        <is>
          <t>USN</t>
        </is>
      </c>
      <c r="L3084" s="7" t="inlineStr">
        <is>
          <t>Combatant Ships</t>
        </is>
      </c>
      <c r="M3084" s="7" t="inlineStr">
        <is>
          <t>Submarines</t>
        </is>
      </c>
      <c r="N3084" s="7" t="inlineStr">
        <is>
          <t>SSBN</t>
        </is>
      </c>
      <c r="O3084" s="17" t="n">
        <v>133245</v>
      </c>
      <c r="P3084" s="16" t="n">
        <v>17309</v>
      </c>
      <c r="Q3084" s="16" t="n">
        <v>11113</v>
      </c>
      <c r="S3084" s="16" t="n">
        <v>8507</v>
      </c>
      <c r="U3084" s="16" t="n">
        <v>8507</v>
      </c>
      <c r="AC3084" s="23">
        <f>IF(OR(E3084="",E3084="[PARENT]"),"ADD",IF(E3084="[ALT_VIEW]","ALT",""))</f>
        <v/>
      </c>
      <c r="AD3084" s="21">
        <f>IF(Y3084&lt;&gt;"",Y3084,IF(U3084&lt;&gt;"",U3084,S3084))</f>
        <v/>
      </c>
      <c r="AE3084" s="21">
        <f>IF(AB3084&lt;&gt;"",AB3084,Z3084)</f>
        <v/>
      </c>
      <c r="AF3084" s="13" t="inlineStr">
        <is>
          <t>OPN BA4 / BSA 4 / Strategic Missile / SSI Inc 15</t>
        </is>
      </c>
      <c r="AG3084" s="7" t="inlineStr">
        <is>
          <t>152</t>
        </is>
      </c>
      <c r="AH3084" s="7" t="inlineStr">
        <is>
          <t>5358</t>
        </is>
      </c>
      <c r="AI3084" s="7" t="inlineStr">
        <is>
          <t>SSI Increment 15</t>
        </is>
      </c>
    </row>
    <row r="3085" ht="10" customHeight="1">
      <c r="A3085" s="7" t="inlineStr">
        <is>
          <t>OPN_BA4</t>
        </is>
      </c>
      <c r="B3085" s="7" t="inlineStr">
        <is>
          <t>Procurement</t>
        </is>
      </c>
      <c r="D3085" s="7" t="inlineStr">
        <is>
          <t>Fire Control SSI Inc 15 Production</t>
        </is>
      </c>
      <c r="E3085" s="13" t="inlineStr">
        <is>
          <t>[SUB]</t>
        </is>
      </c>
      <c r="F3085" s="7" t="inlineStr">
        <is>
          <t>SSI Inc 15</t>
        </is>
      </c>
      <c r="I3085" s="14" t="n">
        <v>4</v>
      </c>
      <c r="K3085" s="15" t="n"/>
      <c r="O3085" s="17" t="n">
        <v>18812</v>
      </c>
      <c r="P3085" s="16" t="n">
        <v>3934</v>
      </c>
      <c r="Q3085" s="16" t="n">
        <v>3611</v>
      </c>
      <c r="S3085" s="16" t="n">
        <v>3875</v>
      </c>
      <c r="U3085" s="16" t="n">
        <v>3875</v>
      </c>
      <c r="AC3085" s="23">
        <f>IF(OR(E3085="",E3085="[PARENT]"),"ADD",IF(E3085="[ALT_VIEW]","ALT",""))</f>
        <v/>
      </c>
      <c r="AD3085" s="21">
        <f>IF(Y3085&lt;&gt;"",Y3085,IF(U3085&lt;&gt;"",U3085,S3085))</f>
        <v/>
      </c>
      <c r="AE3085" s="21">
        <f>IF(AB3085&lt;&gt;"",AB3085,Z3085)</f>
        <v/>
      </c>
      <c r="AF3085" s="13" t="inlineStr">
        <is>
          <t>OPN BA4 / BSA 4 / Strategic Missile / SSI Inc 15 / FC Production</t>
        </is>
      </c>
      <c r="AG3085" s="7" t="inlineStr">
        <is>
          <t>152</t>
        </is>
      </c>
      <c r="AH3085" s="7" t="inlineStr">
        <is>
          <t>5358</t>
        </is>
      </c>
    </row>
    <row r="3086" ht="10" customHeight="1">
      <c r="A3086" s="7" t="inlineStr">
        <is>
          <t>OPN_BA4</t>
        </is>
      </c>
      <c r="B3086" s="7" t="inlineStr">
        <is>
          <t>Procurement</t>
        </is>
      </c>
      <c r="D3086" s="7" t="inlineStr">
        <is>
          <t>Increment 15 Fire Control Installation</t>
        </is>
      </c>
      <c r="E3086" s="13" t="inlineStr">
        <is>
          <t>[SUB]</t>
        </is>
      </c>
      <c r="F3086" s="7" t="inlineStr">
        <is>
          <t>SSI Inc 15</t>
        </is>
      </c>
      <c r="I3086" s="14" t="n">
        <v>4</v>
      </c>
      <c r="K3086" s="15" t="n"/>
      <c r="O3086" s="15" t="n"/>
      <c r="P3086" s="16" t="n">
        <v>5112</v>
      </c>
      <c r="Q3086" s="16" t="n">
        <v>7502</v>
      </c>
      <c r="S3086" s="16" t="n">
        <v>4632</v>
      </c>
      <c r="U3086" s="16" t="n">
        <v>4632</v>
      </c>
      <c r="AC3086" s="23">
        <f>IF(OR(E3086="",E3086="[PARENT]"),"ADD",IF(E3086="[ALT_VIEW]","ALT",""))</f>
        <v/>
      </c>
      <c r="AD3086" s="21">
        <f>IF(Y3086&lt;&gt;"",Y3086,IF(U3086&lt;&gt;"",U3086,S3086))</f>
        <v/>
      </c>
      <c r="AE3086" s="21">
        <f>IF(AB3086&lt;&gt;"",AB3086,Z3086)</f>
        <v/>
      </c>
      <c r="AF3086" s="13" t="inlineStr">
        <is>
          <t>OPN BA4 / BSA 4 / Strategic Missile / SSI Inc 15 / FC Installation</t>
        </is>
      </c>
      <c r="AG3086" s="7" t="inlineStr">
        <is>
          <t>152</t>
        </is>
      </c>
      <c r="AH3086" s="7" t="inlineStr">
        <is>
          <t>5358</t>
        </is>
      </c>
    </row>
    <row r="3087" ht="10" customHeight="1">
      <c r="A3087" s="7" t="inlineStr">
        <is>
          <t>OPN_BA4</t>
        </is>
      </c>
      <c r="B3087" s="7" t="inlineStr">
        <is>
          <t>Procurement</t>
        </is>
      </c>
      <c r="D3087" s="7" t="inlineStr">
        <is>
          <t>Shipboard Systems Modernization Portfolio (SSMP)</t>
        </is>
      </c>
      <c r="E3087" s="13" t="inlineStr">
        <is>
          <t>[SUB]</t>
        </is>
      </c>
      <c r="F3087" s="7" t="inlineStr">
        <is>
          <t>5358 / Strategic Missile Systems Equip</t>
        </is>
      </c>
      <c r="I3087" s="14" t="n">
        <v>4</v>
      </c>
      <c r="K3087" s="13" t="inlineStr">
        <is>
          <t>USN</t>
        </is>
      </c>
      <c r="L3087" s="7" t="inlineStr">
        <is>
          <t>Combatant Ships</t>
        </is>
      </c>
      <c r="M3087" s="7" t="inlineStr">
        <is>
          <t>Submarines</t>
        </is>
      </c>
      <c r="N3087" s="7" t="inlineStr">
        <is>
          <t>SSBN</t>
        </is>
      </c>
      <c r="O3087" s="17" t="n">
        <v>34137</v>
      </c>
      <c r="P3087" s="16" t="n">
        <v>82497</v>
      </c>
      <c r="Q3087" s="16" t="n">
        <v>85079</v>
      </c>
      <c r="S3087" s="16" t="n">
        <v>127209</v>
      </c>
      <c r="U3087" s="16" t="n">
        <v>127209</v>
      </c>
      <c r="AC3087" s="23">
        <f>IF(OR(E3087="",E3087="[PARENT]"),"ADD",IF(E3087="[ALT_VIEW]","ALT",""))</f>
        <v/>
      </c>
      <c r="AD3087" s="21">
        <f>IF(Y3087&lt;&gt;"",Y3087,IF(U3087&lt;&gt;"",U3087,S3087))</f>
        <v/>
      </c>
      <c r="AE3087" s="21">
        <f>IF(AB3087&lt;&gt;"",AB3087,Z3087)</f>
        <v/>
      </c>
      <c r="AF3087" s="13" t="inlineStr">
        <is>
          <t>OPN BA4 / BSA 4 / Strategic Missile / SSMP</t>
        </is>
      </c>
      <c r="AG3087" s="7" t="inlineStr">
        <is>
          <t>153</t>
        </is>
      </c>
      <c r="AH3087" s="7" t="inlineStr">
        <is>
          <t>5358</t>
        </is>
      </c>
      <c r="AI3087" s="7" t="inlineStr">
        <is>
          <t>Shipboard Systems Modernization Portfolio (SSMP)</t>
        </is>
      </c>
    </row>
    <row r="3088" ht="10" customHeight="1">
      <c r="A3088" s="7" t="inlineStr">
        <is>
          <t>OPN_BA4</t>
        </is>
      </c>
      <c r="B3088" s="7" t="inlineStr">
        <is>
          <t>Procurement</t>
        </is>
      </c>
      <c r="D3088" s="7" t="inlineStr">
        <is>
          <t>SSMP Advanced Development &amp; Tech Maturation</t>
        </is>
      </c>
      <c r="E3088" s="13" t="inlineStr">
        <is>
          <t>[SUB]</t>
        </is>
      </c>
      <c r="F3088" s="7" t="inlineStr">
        <is>
          <t>SSMP</t>
        </is>
      </c>
      <c r="I3088" s="14" t="n">
        <v>4</v>
      </c>
      <c r="K3088" s="15" t="n"/>
      <c r="O3088" s="17" t="n">
        <v>21023</v>
      </c>
      <c r="P3088" s="16" t="n">
        <v>18822</v>
      </c>
      <c r="Q3088" s="16" t="n">
        <v>19198</v>
      </c>
      <c r="S3088" s="16" t="n">
        <v>19581</v>
      </c>
      <c r="U3088" s="16" t="n">
        <v>19581</v>
      </c>
      <c r="AC3088" s="23">
        <f>IF(OR(E3088="",E3088="[PARENT]"),"ADD",IF(E3088="[ALT_VIEW]","ALT",""))</f>
        <v/>
      </c>
      <c r="AD3088" s="21">
        <f>IF(Y3088&lt;&gt;"",Y3088,IF(U3088&lt;&gt;"",U3088,S3088))</f>
        <v/>
      </c>
      <c r="AE3088" s="21">
        <f>IF(AB3088&lt;&gt;"",AB3088,Z3088)</f>
        <v/>
      </c>
      <c r="AF3088" s="13" t="inlineStr">
        <is>
          <t>OPN BA4 / BSA 4 / Strategic Missile / SSMP / Adv Dev</t>
        </is>
      </c>
      <c r="AG3088" s="7" t="inlineStr">
        <is>
          <t>153</t>
        </is>
      </c>
      <c r="AH3088" s="7" t="inlineStr">
        <is>
          <t>5358</t>
        </is>
      </c>
    </row>
    <row r="3089" ht="10" customHeight="1">
      <c r="A3089" s="7" t="inlineStr">
        <is>
          <t>OPN_BA4</t>
        </is>
      </c>
      <c r="B3089" s="7" t="inlineStr">
        <is>
          <t>Procurement</t>
        </is>
      </c>
      <c r="D3089" s="7" t="inlineStr">
        <is>
          <t>SSMP Shipboard Re-Architecture</t>
        </is>
      </c>
      <c r="E3089" s="13" t="inlineStr">
        <is>
          <t>[SUB]</t>
        </is>
      </c>
      <c r="F3089" s="7" t="inlineStr">
        <is>
          <t>SSMP</t>
        </is>
      </c>
      <c r="I3089" s="14" t="n">
        <v>4</v>
      </c>
      <c r="K3089" s="15" t="n"/>
      <c r="O3089" s="17" t="n">
        <v>8957</v>
      </c>
      <c r="P3089" s="16" t="n">
        <v>24552</v>
      </c>
      <c r="Q3089" s="16" t="n">
        <v>26392</v>
      </c>
      <c r="S3089" s="16" t="n">
        <v>32077</v>
      </c>
      <c r="U3089" s="16" t="n">
        <v>32077</v>
      </c>
      <c r="AC3089" s="23">
        <f>IF(OR(E3089="",E3089="[PARENT]"),"ADD",IF(E3089="[ALT_VIEW]","ALT",""))</f>
        <v/>
      </c>
      <c r="AD3089" s="21">
        <f>IF(Y3089&lt;&gt;"",Y3089,IF(U3089&lt;&gt;"",U3089,S3089))</f>
        <v/>
      </c>
      <c r="AE3089" s="21">
        <f>IF(AB3089&lt;&gt;"",AB3089,Z3089)</f>
        <v/>
      </c>
      <c r="AF3089" s="13" t="inlineStr">
        <is>
          <t>OPN BA4 / BSA 4 / Strategic Missile / SSMP / Re-Arch</t>
        </is>
      </c>
      <c r="AG3089" s="7" t="inlineStr">
        <is>
          <t>153</t>
        </is>
      </c>
      <c r="AH3089" s="7" t="inlineStr">
        <is>
          <t>5358</t>
        </is>
      </c>
    </row>
    <row r="3090" ht="10" customHeight="1">
      <c r="A3090" s="7" t="inlineStr">
        <is>
          <t>OPN_BA4</t>
        </is>
      </c>
      <c r="B3090" s="7" t="inlineStr">
        <is>
          <t>Procurement</t>
        </is>
      </c>
      <c r="D3090" s="7" t="inlineStr">
        <is>
          <t>SSMP Obsolescence Management</t>
        </is>
      </c>
      <c r="E3090" s="13" t="inlineStr">
        <is>
          <t>[SUB]</t>
        </is>
      </c>
      <c r="F3090" s="7" t="inlineStr">
        <is>
          <t>SSMP</t>
        </is>
      </c>
      <c r="I3090" s="14" t="n">
        <v>6</v>
      </c>
      <c r="K3090" s="15" t="n"/>
      <c r="O3090" s="17" t="n">
        <v>2682</v>
      </c>
      <c r="P3090" s="16" t="n">
        <v>20802</v>
      </c>
      <c r="Q3090" s="16" t="n">
        <v>20802</v>
      </c>
      <c r="S3090" s="16" t="n">
        <v>21218</v>
      </c>
      <c r="U3090" s="16" t="n">
        <v>21218</v>
      </c>
      <c r="AC3090" s="23">
        <f>IF(OR(E3090="",E3090="[PARENT]"),"ADD",IF(E3090="[ALT_VIEW]","ALT",""))</f>
        <v/>
      </c>
      <c r="AD3090" s="21">
        <f>IF(Y3090&lt;&gt;"",Y3090,IF(U3090&lt;&gt;"",U3090,S3090))</f>
        <v/>
      </c>
      <c r="AE3090" s="21">
        <f>IF(AB3090&lt;&gt;"",AB3090,Z3090)</f>
        <v/>
      </c>
      <c r="AF3090" s="13" t="inlineStr">
        <is>
          <t>OPN BA4 / BSA 4 / Strategic Missile / SSMP / Obsolescence</t>
        </is>
      </c>
      <c r="AG3090" s="7" t="inlineStr">
        <is>
          <t>153</t>
        </is>
      </c>
      <c r="AH3090" s="7" t="inlineStr">
        <is>
          <t>5358</t>
        </is>
      </c>
    </row>
    <row r="3091" ht="10" customHeight="1">
      <c r="A3091" s="7" t="inlineStr">
        <is>
          <t>OPN_BA4</t>
        </is>
      </c>
      <c r="B3091" s="7" t="inlineStr">
        <is>
          <t>Procurement</t>
        </is>
      </c>
      <c r="D3091" s="7" t="inlineStr">
        <is>
          <t>SSMP Capability Insertion</t>
        </is>
      </c>
      <c r="E3091" s="13" t="inlineStr">
        <is>
          <t>[SUB]</t>
        </is>
      </c>
      <c r="F3091" s="7" t="inlineStr">
        <is>
          <t>SSMP</t>
        </is>
      </c>
      <c r="I3091" s="14" t="n">
        <v>4</v>
      </c>
      <c r="K3091" s="15" t="n"/>
      <c r="O3091" s="17" t="n">
        <v>1475</v>
      </c>
      <c r="P3091" s="16" t="n">
        <v>18321</v>
      </c>
      <c r="Q3091" s="16" t="n">
        <v>18687</v>
      </c>
      <c r="S3091" s="16" t="n">
        <v>18493</v>
      </c>
      <c r="U3091" s="16" t="n">
        <v>18493</v>
      </c>
      <c r="AC3091" s="23">
        <f>IF(OR(E3091="",E3091="[PARENT]"),"ADD",IF(E3091="[ALT_VIEW]","ALT",""))</f>
        <v/>
      </c>
      <c r="AD3091" s="21">
        <f>IF(Y3091&lt;&gt;"",Y3091,IF(U3091&lt;&gt;"",U3091,S3091))</f>
        <v/>
      </c>
      <c r="AE3091" s="21">
        <f>IF(AB3091&lt;&gt;"",AB3091,Z3091)</f>
        <v/>
      </c>
      <c r="AF3091" s="13" t="inlineStr">
        <is>
          <t>OPN BA4 / BSA 4 / Strategic Missile / SSMP / Capability Insertion</t>
        </is>
      </c>
      <c r="AG3091" s="7" t="inlineStr">
        <is>
          <t>153</t>
        </is>
      </c>
      <c r="AH3091" s="7" t="inlineStr">
        <is>
          <t>5358</t>
        </is>
      </c>
    </row>
    <row r="3092" ht="10" customHeight="1">
      <c r="A3092" s="7" t="inlineStr">
        <is>
          <t>OPN_BA4</t>
        </is>
      </c>
      <c r="B3092" s="7" t="inlineStr">
        <is>
          <t>Procurement</t>
        </is>
      </c>
      <c r="D3092" s="7" t="inlineStr">
        <is>
          <t>SSMP Production Hardware</t>
        </is>
      </c>
      <c r="E3092" s="13" t="inlineStr">
        <is>
          <t>[SUB]</t>
        </is>
      </c>
      <c r="F3092" s="7" t="inlineStr">
        <is>
          <t>SSMP</t>
        </is>
      </c>
      <c r="I3092" s="14" t="n">
        <v>4</v>
      </c>
      <c r="K3092" s="15" t="n"/>
      <c r="O3092" s="15" t="n"/>
      <c r="S3092" s="16" t="n">
        <v>35840</v>
      </c>
      <c r="U3092" s="16" t="n">
        <v>35840</v>
      </c>
      <c r="AC3092" s="23">
        <f>IF(OR(E3092="",E3092="[PARENT]"),"ADD",IF(E3092="[ALT_VIEW]","ALT",""))</f>
        <v/>
      </c>
      <c r="AD3092" s="21">
        <f>IF(Y3092&lt;&gt;"",Y3092,IF(U3092&lt;&gt;"",U3092,S3092))</f>
        <v/>
      </c>
      <c r="AE3092" s="21">
        <f>IF(AB3092&lt;&gt;"",AB3092,Z3092)</f>
        <v/>
      </c>
      <c r="AF3092" s="13" t="inlineStr">
        <is>
          <t>OPN BA4 / BSA 4 / Strategic Missile / SSMP / Prod HW</t>
        </is>
      </c>
      <c r="AG3092" s="7" t="inlineStr">
        <is>
          <t>153</t>
        </is>
      </c>
      <c r="AH3092" s="7" t="inlineStr">
        <is>
          <t>5358</t>
        </is>
      </c>
    </row>
    <row r="3093" ht="10" customHeight="1">
      <c r="A3093" s="7" t="inlineStr">
        <is>
          <t>OPN_BA4</t>
        </is>
      </c>
      <c r="B3093" s="7" t="inlineStr">
        <is>
          <t>Procurement</t>
        </is>
      </c>
      <c r="D3093" s="7" t="inlineStr">
        <is>
          <t>Training Support Equipment</t>
        </is>
      </c>
      <c r="E3093" s="13" t="inlineStr">
        <is>
          <t>[SUB]</t>
        </is>
      </c>
      <c r="F3093" s="7" t="inlineStr">
        <is>
          <t>5358 / Strategic Missile Systems Equip</t>
        </is>
      </c>
      <c r="I3093" s="14" t="n">
        <v>6</v>
      </c>
      <c r="K3093" s="15" t="n"/>
      <c r="O3093" s="17" t="n">
        <v>164476</v>
      </c>
      <c r="P3093" s="16" t="n">
        <v>12029</v>
      </c>
      <c r="Q3093" s="16" t="n">
        <v>12269</v>
      </c>
      <c r="S3093" s="16" t="n">
        <v>12514</v>
      </c>
      <c r="U3093" s="16" t="n">
        <v>12514</v>
      </c>
      <c r="AC3093" s="23">
        <f>IF(OR(E3093="",E3093="[PARENT]"),"ADD",IF(E3093="[ALT_VIEW]","ALT",""))</f>
        <v/>
      </c>
      <c r="AD3093" s="21">
        <f>IF(Y3093&lt;&gt;"",Y3093,IF(U3093&lt;&gt;"",U3093,S3093))</f>
        <v/>
      </c>
      <c r="AE3093" s="21">
        <f>IF(AB3093&lt;&gt;"",AB3093,Z3093)</f>
        <v/>
      </c>
      <c r="AF3093" s="13" t="inlineStr">
        <is>
          <t>OPN BA4 / BSA 4 / Strategic Missile / Training Support</t>
        </is>
      </c>
      <c r="AG3093" s="7" t="inlineStr">
        <is>
          <t>154</t>
        </is>
      </c>
      <c r="AH3093" s="7" t="inlineStr">
        <is>
          <t>5358</t>
        </is>
      </c>
      <c r="AI3093" s="7" t="inlineStr">
        <is>
          <t>Training Support Equipment</t>
        </is>
      </c>
    </row>
    <row r="3094" ht="10" customHeight="1">
      <c r="A3094" s="7" t="inlineStr">
        <is>
          <t>OPN_BA4</t>
        </is>
      </c>
      <c r="B3094" s="7" t="inlineStr">
        <is>
          <t>Procurement</t>
        </is>
      </c>
      <c r="D3094" s="7" t="inlineStr">
        <is>
          <t>Columbia Class</t>
        </is>
      </c>
      <c r="E3094" s="13" t="inlineStr">
        <is>
          <t>[SUB]</t>
        </is>
      </c>
      <c r="F3094" s="7" t="inlineStr">
        <is>
          <t>5358 / Strategic Missile Systems Equip</t>
        </is>
      </c>
      <c r="I3094" s="14" t="n">
        <v>1</v>
      </c>
      <c r="J3094" s="7" t="inlineStr">
        <is>
          <t>GFE / combat systems for newbuild</t>
        </is>
      </c>
      <c r="K3094" s="13" t="inlineStr">
        <is>
          <t>USN</t>
        </is>
      </c>
      <c r="L3094" s="7" t="inlineStr">
        <is>
          <t>Combatant Ships</t>
        </is>
      </c>
      <c r="M3094" s="7" t="inlineStr">
        <is>
          <t>Submarines</t>
        </is>
      </c>
      <c r="N3094" s="7" t="inlineStr">
        <is>
          <t>SSBN</t>
        </is>
      </c>
      <c r="O3094" s="17" t="n">
        <v>38054</v>
      </c>
      <c r="P3094" s="16" t="n">
        <v>61393</v>
      </c>
      <c r="Q3094" s="16" t="n">
        <v>56790</v>
      </c>
      <c r="S3094" s="16" t="n">
        <v>200317</v>
      </c>
      <c r="U3094" s="16" t="n">
        <v>200317</v>
      </c>
      <c r="AC3094" s="23">
        <f>IF(OR(E3094="",E3094="[PARENT]"),"ADD",IF(E3094="[ALT_VIEW]","ALT",""))</f>
        <v/>
      </c>
      <c r="AD3094" s="21">
        <f>IF(Y3094&lt;&gt;"",Y3094,IF(U3094&lt;&gt;"",U3094,S3094))</f>
        <v/>
      </c>
      <c r="AE3094" s="21">
        <f>IF(AB3094&lt;&gt;"",AB3094,Z3094)</f>
        <v/>
      </c>
      <c r="AF3094" s="13" t="inlineStr">
        <is>
          <t>OPN BA4 / BSA 4 / Strategic Missile / Columbia Class</t>
        </is>
      </c>
      <c r="AG3094" s="7" t="inlineStr">
        <is>
          <t>155</t>
        </is>
      </c>
      <c r="AH3094" s="7" t="inlineStr">
        <is>
          <t>5358</t>
        </is>
      </c>
      <c r="AI3094" s="7" t="inlineStr">
        <is>
          <t>Columbia Class</t>
        </is>
      </c>
    </row>
    <row r="3095" ht="10" customHeight="1">
      <c r="A3095" s="7" t="inlineStr">
        <is>
          <t>OPN_BA4</t>
        </is>
      </c>
      <c r="B3095" s="7" t="inlineStr">
        <is>
          <t>Procurement</t>
        </is>
      </c>
      <c r="D3095" s="7" t="inlineStr">
        <is>
          <t>Columbia TRIPER spares</t>
        </is>
      </c>
      <c r="E3095" s="13" t="inlineStr">
        <is>
          <t>[SUB]</t>
        </is>
      </c>
      <c r="F3095" s="7" t="inlineStr">
        <is>
          <t>Columbia Class</t>
        </is>
      </c>
      <c r="I3095" s="14" t="n">
        <v>1</v>
      </c>
      <c r="J3095" s="7" t="inlineStr">
        <is>
          <t>GFE / combat systems for newbuild</t>
        </is>
      </c>
      <c r="K3095" s="13" t="inlineStr">
        <is>
          <t>USN</t>
        </is>
      </c>
      <c r="L3095" s="7" t="inlineStr">
        <is>
          <t>Combatant Ships</t>
        </is>
      </c>
      <c r="M3095" s="7" t="inlineStr">
        <is>
          <t>Submarines</t>
        </is>
      </c>
      <c r="N3095" s="7" t="inlineStr">
        <is>
          <t>SSBN</t>
        </is>
      </c>
      <c r="O3095" s="17" t="n">
        <v>17119</v>
      </c>
      <c r="P3095" s="16" t="n">
        <v>54451</v>
      </c>
      <c r="Q3095" s="16" t="n">
        <v>45524</v>
      </c>
      <c r="S3095" s="16" t="n">
        <v>198119</v>
      </c>
      <c r="U3095" s="16" t="n">
        <v>198119</v>
      </c>
      <c r="AC3095" s="23">
        <f>IF(OR(E3095="",E3095="[PARENT]"),"ADD",IF(E3095="[ALT_VIEW]","ALT",""))</f>
        <v/>
      </c>
      <c r="AD3095" s="21">
        <f>IF(Y3095&lt;&gt;"",Y3095,IF(U3095&lt;&gt;"",U3095,S3095))</f>
        <v/>
      </c>
      <c r="AE3095" s="21">
        <f>IF(AB3095&lt;&gt;"",AB3095,Z3095)</f>
        <v/>
      </c>
      <c r="AF3095" s="13" t="inlineStr">
        <is>
          <t>OPN BA4 / BSA 4 / Strategic Missile / Columbia / TRIPER spares</t>
        </is>
      </c>
      <c r="AG3095" s="7" t="inlineStr">
        <is>
          <t>155</t>
        </is>
      </c>
      <c r="AH3095" s="7" t="inlineStr">
        <is>
          <t>5358</t>
        </is>
      </c>
      <c r="AI3095" s="7" t="inlineStr">
        <is>
          <t>Columbia Class</t>
        </is>
      </c>
    </row>
    <row r="3096" ht="10" customHeight="1">
      <c r="A3096" s="7" t="inlineStr">
        <is>
          <t>OPN_BA4</t>
        </is>
      </c>
      <c r="B3096" s="7" t="inlineStr">
        <is>
          <t>Procurement</t>
        </is>
      </c>
      <c r="D3096" s="7" t="inlineStr">
        <is>
          <t>SWSS Trainer Equipment</t>
        </is>
      </c>
      <c r="E3096" s="13" t="inlineStr">
        <is>
          <t>[SUB]</t>
        </is>
      </c>
      <c r="F3096" s="7" t="inlineStr">
        <is>
          <t>Columbia Class</t>
        </is>
      </c>
      <c r="I3096" s="14" t="n">
        <v>6</v>
      </c>
      <c r="K3096" s="13" t="inlineStr">
        <is>
          <t>USN</t>
        </is>
      </c>
      <c r="L3096" s="7" t="inlineStr">
        <is>
          <t>Combatant Ships</t>
        </is>
      </c>
      <c r="M3096" s="7" t="inlineStr">
        <is>
          <t>Submarines</t>
        </is>
      </c>
      <c r="N3096" s="7" t="inlineStr">
        <is>
          <t>SSBN</t>
        </is>
      </c>
      <c r="O3096" s="17" t="n">
        <v>20935</v>
      </c>
      <c r="P3096" s="16" t="n">
        <v>6942</v>
      </c>
      <c r="Q3096" s="16" t="n">
        <v>11266</v>
      </c>
      <c r="S3096" s="16" t="n">
        <v>2198</v>
      </c>
      <c r="U3096" s="16" t="n">
        <v>2198</v>
      </c>
      <c r="AC3096" s="23">
        <f>IF(OR(E3096="",E3096="[PARENT]"),"ADD",IF(E3096="[ALT_VIEW]","ALT",""))</f>
        <v/>
      </c>
      <c r="AD3096" s="21">
        <f>IF(Y3096&lt;&gt;"",Y3096,IF(U3096&lt;&gt;"",U3096,S3096))</f>
        <v/>
      </c>
      <c r="AE3096" s="21">
        <f>IF(AB3096&lt;&gt;"",AB3096,Z3096)</f>
        <v/>
      </c>
      <c r="AF3096" s="13" t="inlineStr">
        <is>
          <t>OPN BA4 / BSA 4 / Strategic Missile / Columbia / SWSS Trainer</t>
        </is>
      </c>
      <c r="AG3096" s="7" t="inlineStr">
        <is>
          <t>155</t>
        </is>
      </c>
      <c r="AH3096" s="7" t="inlineStr">
        <is>
          <t>5358</t>
        </is>
      </c>
      <c r="AI3096" s="7" t="inlineStr">
        <is>
          <t>Training Support Equipment</t>
        </is>
      </c>
    </row>
    <row r="3097" ht="10" customHeight="1">
      <c r="A3097" s="7" t="inlineStr">
        <is>
          <t>OPN_BA4</t>
        </is>
      </c>
      <c r="B3097" s="7" t="inlineStr">
        <is>
          <t>Procurement</t>
        </is>
      </c>
      <c r="C3097" s="7" t="inlineStr">
        <is>
          <t>5420</t>
        </is>
      </c>
      <c r="D3097" s="7" t="inlineStr">
        <is>
          <t>SSN Combat Control Systems</t>
        </is>
      </c>
      <c r="E3097" s="13" t="inlineStr">
        <is>
          <t>[PARENT]</t>
        </is>
      </c>
      <c r="I3097" s="14" t="n">
        <v>4</v>
      </c>
      <c r="K3097" s="13" t="inlineStr">
        <is>
          <t>USN</t>
        </is>
      </c>
      <c r="L3097" s="7" t="inlineStr">
        <is>
          <t>Combatant Ships</t>
        </is>
      </c>
      <c r="M3097" s="7" t="inlineStr">
        <is>
          <t>Submarines</t>
        </is>
      </c>
      <c r="N3097" s="7" t="inlineStr">
        <is>
          <t>SSN</t>
        </is>
      </c>
      <c r="O3097" s="17" t="n">
        <v>1296814</v>
      </c>
      <c r="P3097" s="16" t="n">
        <v>143975</v>
      </c>
      <c r="Q3097" s="16" t="n">
        <v>153237</v>
      </c>
      <c r="S3097" s="16" t="n">
        <v>102954</v>
      </c>
      <c r="T3097" s="16" t="n">
        <v>0</v>
      </c>
      <c r="U3097" s="16" t="n">
        <v>102954</v>
      </c>
      <c r="Z3097" s="16" t="n">
        <v>165416</v>
      </c>
      <c r="AB3097" s="16" t="n">
        <v>165416</v>
      </c>
      <c r="AC3097" s="23">
        <f>IF(OR(E3097="",E3097="[PARENT]"),"ADD",IF(E3097="[ALT_VIEW]","ALT",""))</f>
        <v/>
      </c>
      <c r="AD3097" s="21">
        <f>IF(Y3097&lt;&gt;"",Y3097,IF(U3097&lt;&gt;"",U3097,S3097))</f>
        <v/>
      </c>
      <c r="AE3097" s="21">
        <f>IF(AB3097&lt;&gt;"",AB3097,Z3097)</f>
        <v/>
      </c>
      <c r="AF3097" s="13" t="inlineStr">
        <is>
          <t>OPN BA4 / BSA 5: ASW Support Equipment / SSN Combat Control Systems</t>
        </is>
      </c>
      <c r="AG3097" s="7" t="inlineStr">
        <is>
          <t>163</t>
        </is>
      </c>
      <c r="AH3097" s="7" t="inlineStr">
        <is>
          <t>5420</t>
        </is>
      </c>
    </row>
    <row r="3098" ht="10" customHeight="1">
      <c r="A3098" s="7" t="inlineStr">
        <is>
          <t>OPN_BA4</t>
        </is>
      </c>
      <c r="B3098" s="7" t="inlineStr">
        <is>
          <t>Procurement</t>
        </is>
      </c>
      <c r="C3098" s="7" t="inlineStr">
        <is>
          <t>VB011</t>
        </is>
      </c>
      <c r="D3098" s="7" t="inlineStr">
        <is>
          <t>VB011: Combat System Tech Refresh/Legacy Integration</t>
        </is>
      </c>
      <c r="E3098" s="13" t="inlineStr">
        <is>
          <t>[SUB]</t>
        </is>
      </c>
      <c r="F3098" s="7" t="inlineStr">
        <is>
          <t>5420 / SSN Combat Control Systems</t>
        </is>
      </c>
      <c r="I3098" s="14" t="n">
        <v>4</v>
      </c>
      <c r="K3098" s="13" t="inlineStr">
        <is>
          <t>USN</t>
        </is>
      </c>
      <c r="L3098" s="7" t="inlineStr">
        <is>
          <t>Combatant Ships</t>
        </is>
      </c>
      <c r="M3098" s="7" t="inlineStr">
        <is>
          <t>Submarines</t>
        </is>
      </c>
      <c r="O3098" s="17" t="n">
        <v>475193</v>
      </c>
      <c r="P3098" s="16" t="n">
        <v>52110</v>
      </c>
      <c r="Q3098" s="16" t="n">
        <v>62224</v>
      </c>
      <c r="S3098" s="16" t="n">
        <v>33321</v>
      </c>
      <c r="U3098" s="16" t="n">
        <v>33321</v>
      </c>
      <c r="AC3098" s="23">
        <f>IF(OR(E3098="",E3098="[PARENT]"),"ADD",IF(E3098="[ALT_VIEW]","ALT",""))</f>
        <v/>
      </c>
      <c r="AD3098" s="21">
        <f>IF(Y3098&lt;&gt;"",Y3098,IF(U3098&lt;&gt;"",U3098,S3098))</f>
        <v/>
      </c>
      <c r="AE3098" s="21">
        <f>IF(AB3098&lt;&gt;"",AB3098,Z3098)</f>
        <v/>
      </c>
      <c r="AF3098" s="13" t="inlineStr">
        <is>
          <t>OPN BA4 / BSA 5 / SSN Combat Control / Tech Refresh</t>
        </is>
      </c>
      <c r="AG3098" s="7" t="inlineStr">
        <is>
          <t>169</t>
        </is>
      </c>
      <c r="AH3098" s="7" t="inlineStr">
        <is>
          <t>5420</t>
        </is>
      </c>
      <c r="AI3098" s="7" t="inlineStr">
        <is>
          <t>VB011: COMBAT SYSTEM TECH REFRESH/LEGACY INTEGRATION</t>
        </is>
      </c>
      <c r="AJ3098" s="7" t="inlineStr">
        <is>
          <t>VB011</t>
        </is>
      </c>
    </row>
    <row r="3099" ht="10" customHeight="1">
      <c r="A3099" s="7" t="inlineStr">
        <is>
          <t>OPN_BA4</t>
        </is>
      </c>
      <c r="B3099" s="7" t="inlineStr">
        <is>
          <t>Procurement</t>
        </is>
      </c>
      <c r="C3099" s="7" t="inlineStr">
        <is>
          <t>VB011</t>
        </is>
      </c>
      <c r="D3099" s="7" t="inlineStr">
        <is>
          <t>VB011: Weapon Launch Systems Tech Insertion</t>
        </is>
      </c>
      <c r="E3099" s="13" t="inlineStr">
        <is>
          <t>[SUB]</t>
        </is>
      </c>
      <c r="F3099" s="7" t="inlineStr">
        <is>
          <t>VB011 / Tech Refresh</t>
        </is>
      </c>
      <c r="I3099" s="14" t="n">
        <v>4</v>
      </c>
      <c r="K3099" s="13" t="inlineStr">
        <is>
          <t>USN</t>
        </is>
      </c>
      <c r="L3099" s="7" t="inlineStr">
        <is>
          <t>Combatant Ships</t>
        </is>
      </c>
      <c r="M3099" s="7" t="inlineStr">
        <is>
          <t>Submarines</t>
        </is>
      </c>
      <c r="O3099" s="17" t="n">
        <v>141231</v>
      </c>
      <c r="P3099" s="16" t="n">
        <v>22994</v>
      </c>
      <c r="Q3099" s="16" t="n">
        <v>28484</v>
      </c>
      <c r="S3099" s="16" t="n">
        <v>22202</v>
      </c>
      <c r="U3099" s="16" t="n">
        <v>22202</v>
      </c>
      <c r="AC3099" s="23">
        <f>IF(OR(E3099="",E3099="[PARENT]"),"ADD",IF(E3099="[ALT_VIEW]","ALT",""))</f>
        <v/>
      </c>
      <c r="AD3099" s="21">
        <f>IF(Y3099&lt;&gt;"",Y3099,IF(U3099&lt;&gt;"",U3099,S3099))</f>
        <v/>
      </c>
      <c r="AE3099" s="21">
        <f>IF(AB3099&lt;&gt;"",AB3099,Z3099)</f>
        <v/>
      </c>
      <c r="AF3099" s="13" t="inlineStr">
        <is>
          <t>OPN BA4 / BSA 5 / SSN Combat Control / Tech Refresh / WLS</t>
        </is>
      </c>
      <c r="AG3099" s="7" t="inlineStr">
        <is>
          <t>169</t>
        </is>
      </c>
      <c r="AH3099" s="7" t="inlineStr">
        <is>
          <t>5420</t>
        </is>
      </c>
      <c r="AI3099" s="7" t="inlineStr">
        <is>
          <t>VB011: COMBAT SYSTEM TECH REFRESH/LEGACY INTEGRATION</t>
        </is>
      </c>
      <c r="AJ3099" s="7" t="inlineStr">
        <is>
          <t>VB011</t>
        </is>
      </c>
    </row>
    <row r="3100" ht="10" customHeight="1">
      <c r="A3100" s="7" t="inlineStr">
        <is>
          <t>OPN_BA4</t>
        </is>
      </c>
      <c r="B3100" s="7" t="inlineStr">
        <is>
          <t>Procurement</t>
        </is>
      </c>
      <c r="C3100" s="7" t="inlineStr">
        <is>
          <t>VB011</t>
        </is>
      </c>
      <c r="D3100" s="7" t="inlineStr">
        <is>
          <t>VB011: Infrastructure COTS Hardware</t>
        </is>
      </c>
      <c r="E3100" s="13" t="inlineStr">
        <is>
          <t>[SUB]</t>
        </is>
      </c>
      <c r="F3100" s="7" t="inlineStr">
        <is>
          <t>VB011 / Tech Refresh</t>
        </is>
      </c>
      <c r="I3100" s="14" t="n">
        <v>4</v>
      </c>
      <c r="K3100" s="15" t="n"/>
      <c r="O3100" s="17" t="n">
        <v>32727</v>
      </c>
      <c r="Q3100" s="16" t="n">
        <v>2097</v>
      </c>
      <c r="S3100" s="16" t="n">
        <v>2732</v>
      </c>
      <c r="U3100" s="16" t="n">
        <v>2732</v>
      </c>
      <c r="AC3100" s="23">
        <f>IF(OR(E3100="",E3100="[PARENT]"),"ADD",IF(E3100="[ALT_VIEW]","ALT",""))</f>
        <v/>
      </c>
      <c r="AD3100" s="21">
        <f>IF(Y3100&lt;&gt;"",Y3100,IF(U3100&lt;&gt;"",U3100,S3100))</f>
        <v/>
      </c>
      <c r="AE3100" s="21">
        <f>IF(AB3100&lt;&gt;"",AB3100,Z3100)</f>
        <v/>
      </c>
      <c r="AF3100" s="13" t="inlineStr">
        <is>
          <t>OPN BA4 / BSA 5 / SSN Combat Control / Tech Refresh / COTS HW</t>
        </is>
      </c>
      <c r="AG3100" s="7" t="inlineStr">
        <is>
          <t>169</t>
        </is>
      </c>
      <c r="AH3100" s="7" t="inlineStr">
        <is>
          <t>5420</t>
        </is>
      </c>
      <c r="AI3100" s="7" t="inlineStr">
        <is>
          <t>VB011: COMBAT SYSTEM TECH REFRESH/LEGACY INTEGRATION</t>
        </is>
      </c>
      <c r="AJ3100" s="7" t="inlineStr">
        <is>
          <t>VB011</t>
        </is>
      </c>
    </row>
    <row r="3101" ht="10" customHeight="1">
      <c r="A3101" s="7" t="inlineStr">
        <is>
          <t>OPN_BA4</t>
        </is>
      </c>
      <c r="B3101" s="7" t="inlineStr">
        <is>
          <t>Procurement</t>
        </is>
      </c>
      <c r="C3101" s="7" t="inlineStr">
        <is>
          <t>VB011</t>
        </is>
      </c>
      <c r="D3101" s="7" t="inlineStr">
        <is>
          <t>VB011: TIH Modernization</t>
        </is>
      </c>
      <c r="E3101" s="13" t="inlineStr">
        <is>
          <t>[SUB]</t>
        </is>
      </c>
      <c r="F3101" s="7" t="inlineStr">
        <is>
          <t>VB011 / Tech Refresh</t>
        </is>
      </c>
      <c r="I3101" s="14" t="n">
        <v>4</v>
      </c>
      <c r="K3101" s="15" t="n"/>
      <c r="O3101" s="17" t="n">
        <v>60228</v>
      </c>
      <c r="P3101" s="16" t="n">
        <v>12379</v>
      </c>
      <c r="Q3101" s="16" t="n">
        <v>14573</v>
      </c>
      <c r="S3101" s="16" t="n">
        <v>8387</v>
      </c>
      <c r="U3101" s="16" t="n">
        <v>8387</v>
      </c>
      <c r="AC3101" s="23">
        <f>IF(OR(E3101="",E3101="[PARENT]"),"ADD",IF(E3101="[ALT_VIEW]","ALT",""))</f>
        <v/>
      </c>
      <c r="AD3101" s="21">
        <f>IF(Y3101&lt;&gt;"",Y3101,IF(U3101&lt;&gt;"",U3101,S3101))</f>
        <v/>
      </c>
      <c r="AE3101" s="21">
        <f>IF(AB3101&lt;&gt;"",AB3101,Z3101)</f>
        <v/>
      </c>
      <c r="AF3101" s="13" t="inlineStr">
        <is>
          <t>OPN BA4 / BSA 5 / SSN Combat Control / Tech Refresh / TIH Mod</t>
        </is>
      </c>
      <c r="AG3101" s="7" t="inlineStr">
        <is>
          <t>169</t>
        </is>
      </c>
      <c r="AH3101" s="7" t="inlineStr">
        <is>
          <t>5420</t>
        </is>
      </c>
      <c r="AI3101" s="7" t="inlineStr">
        <is>
          <t>VB011: COMBAT SYSTEM TECH REFRESH/LEGACY INTEGRATION</t>
        </is>
      </c>
      <c r="AJ3101" s="7" t="inlineStr">
        <is>
          <t>VB011</t>
        </is>
      </c>
    </row>
    <row r="3102" ht="10" customHeight="1">
      <c r="A3102" s="7" t="inlineStr">
        <is>
          <t>OPN_BA4</t>
        </is>
      </c>
      <c r="B3102" s="7" t="inlineStr">
        <is>
          <t>Procurement</t>
        </is>
      </c>
      <c r="C3102" s="7" t="inlineStr">
        <is>
          <t>VB995</t>
        </is>
      </c>
      <c r="D3102" s="7" t="inlineStr">
        <is>
          <t>VB995: Production Engineering and Initial Training</t>
        </is>
      </c>
      <c r="E3102" s="13" t="inlineStr">
        <is>
          <t>[SUB]</t>
        </is>
      </c>
      <c r="F3102" s="7" t="inlineStr">
        <is>
          <t>5420 / SSN Combat Control Systems</t>
        </is>
      </c>
      <c r="I3102" s="14" t="n">
        <v>6</v>
      </c>
      <c r="K3102" s="15" t="n"/>
      <c r="O3102" s="17" t="n">
        <v>72788</v>
      </c>
      <c r="P3102" s="16" t="n">
        <v>1939</v>
      </c>
      <c r="Q3102" s="16" t="n">
        <v>1977</v>
      </c>
      <c r="S3102" s="16" t="n">
        <v>1431</v>
      </c>
      <c r="U3102" s="16" t="n">
        <v>1431</v>
      </c>
      <c r="AC3102" s="23">
        <f>IF(OR(E3102="",E3102="[PARENT]"),"ADD",IF(E3102="[ALT_VIEW]","ALT",""))</f>
        <v/>
      </c>
      <c r="AD3102" s="21">
        <f>IF(Y3102&lt;&gt;"",Y3102,IF(U3102&lt;&gt;"",U3102,S3102))</f>
        <v/>
      </c>
      <c r="AE3102" s="21">
        <f>IF(AB3102&lt;&gt;"",AB3102,Z3102)</f>
        <v/>
      </c>
      <c r="AF3102" s="13" t="inlineStr">
        <is>
          <t>OPN BA4 / BSA 5 / SSN Combat Control / Prod Eng &amp; Training</t>
        </is>
      </c>
      <c r="AG3102" s="7" t="inlineStr">
        <is>
          <t>171</t>
        </is>
      </c>
      <c r="AH3102" s="7" t="inlineStr">
        <is>
          <t>5420</t>
        </is>
      </c>
      <c r="AI3102" s="7" t="inlineStr">
        <is>
          <t>VB995: PRODUCTION ENGINEERING AND INITIAL TRAINING</t>
        </is>
      </c>
      <c r="AJ3102" s="7" t="inlineStr">
        <is>
          <t>VB995</t>
        </is>
      </c>
    </row>
    <row r="3103" ht="10" customHeight="1">
      <c r="A3103" s="7" t="inlineStr">
        <is>
          <t>OPN_BA4</t>
        </is>
      </c>
      <c r="B3103" s="7" t="inlineStr">
        <is>
          <t>Procurement</t>
        </is>
      </c>
      <c r="C3103" s="7" t="inlineStr">
        <is>
          <t>VB034</t>
        </is>
      </c>
      <c r="D3103" s="7" t="inlineStr">
        <is>
          <t>VB034 SSBN Modernization Tech Insertion OHIO Class [P-3a Mod 1]</t>
        </is>
      </c>
      <c r="E3103" s="13" t="inlineStr">
        <is>
          <t>[SUB]</t>
        </is>
      </c>
      <c r="F3103" s="7" t="inlineStr">
        <is>
          <t>5420 / SSN Combat Control Systems</t>
        </is>
      </c>
      <c r="I3103" s="14" t="n">
        <v>4</v>
      </c>
      <c r="K3103" s="13" t="inlineStr">
        <is>
          <t>USN</t>
        </is>
      </c>
      <c r="L3103" s="7" t="inlineStr">
        <is>
          <t>Combatant Ships</t>
        </is>
      </c>
      <c r="M3103" s="7" t="inlineStr">
        <is>
          <t>Submarines</t>
        </is>
      </c>
      <c r="N3103" s="7" t="inlineStr">
        <is>
          <t>SSBN</t>
        </is>
      </c>
      <c r="O3103" s="17" t="n">
        <v>0</v>
      </c>
      <c r="P3103" s="16" t="n">
        <v>9680</v>
      </c>
      <c r="Q3103" s="16" t="n">
        <v>16735</v>
      </c>
      <c r="S3103" s="16" t="n">
        <v>13870</v>
      </c>
      <c r="U3103" s="16" t="n">
        <v>13870</v>
      </c>
      <c r="AC3103" s="23">
        <f>IF(OR(E3103="",E3103="[PARENT]"),"ADD",IF(E3103="[ALT_VIEW]","ALT",""))</f>
        <v/>
      </c>
      <c r="AD3103" s="21">
        <f>IF(Y3103&lt;&gt;"",Y3103,IF(U3103&lt;&gt;"",U3103,S3103))</f>
        <v/>
      </c>
      <c r="AE3103" s="21">
        <f>IF(AB3103&lt;&gt;"",AB3103,Z3103)</f>
        <v/>
      </c>
      <c r="AF3103" s="13" t="inlineStr">
        <is>
          <t>OPN BA4 / BSA 5 / SSN Combat Control / P-3a SSBN OHIO TI</t>
        </is>
      </c>
      <c r="AG3103" s="7" t="inlineStr">
        <is>
          <t>175</t>
        </is>
      </c>
      <c r="AH3103" s="7" t="inlineStr">
        <is>
          <t>5420</t>
        </is>
      </c>
      <c r="AI3103" s="7" t="inlineStr">
        <is>
          <t>VB034 SSN774 BLK V AND OUT W/ CWL TECH INSERT- PSA INSTALL</t>
        </is>
      </c>
      <c r="AJ3103" s="7" t="inlineStr">
        <is>
          <t>VB034</t>
        </is>
      </c>
    </row>
    <row r="3104" ht="10" customHeight="1">
      <c r="A3104" s="7" t="inlineStr">
        <is>
          <t>OPN_BA4</t>
        </is>
      </c>
      <c r="B3104" s="7" t="inlineStr">
        <is>
          <t>Procurement</t>
        </is>
      </c>
      <c r="C3104" s="7" t="inlineStr">
        <is>
          <t>VB034</t>
        </is>
      </c>
      <c r="D3104" s="7" t="inlineStr">
        <is>
          <t>VB034 Upgrades TI04+ SSN21 Class [P-3a Mod 2]</t>
        </is>
      </c>
      <c r="E3104" s="13" t="inlineStr">
        <is>
          <t>[SUB]</t>
        </is>
      </c>
      <c r="F3104" s="7" t="inlineStr">
        <is>
          <t>5420 / SSN Combat Control Systems</t>
        </is>
      </c>
      <c r="I3104" s="14" t="n">
        <v>4</v>
      </c>
      <c r="K3104" s="13" t="inlineStr">
        <is>
          <t>USN</t>
        </is>
      </c>
      <c r="L3104" s="7" t="inlineStr">
        <is>
          <t>Combatant Ships</t>
        </is>
      </c>
      <c r="M3104" s="7" t="inlineStr">
        <is>
          <t>Submarines</t>
        </is>
      </c>
      <c r="N3104" s="7" t="inlineStr">
        <is>
          <t>SSN</t>
        </is>
      </c>
      <c r="O3104" s="17" t="n">
        <v>46057</v>
      </c>
      <c r="P3104" s="16" t="n">
        <v>8101</v>
      </c>
      <c r="Q3104" s="16" t="n">
        <v>6238</v>
      </c>
      <c r="S3104" s="16" t="n">
        <v>0</v>
      </c>
      <c r="U3104" s="16" t="n">
        <v>0</v>
      </c>
      <c r="AC3104" s="23">
        <f>IF(OR(E3104="",E3104="[PARENT]"),"ADD",IF(E3104="[ALT_VIEW]","ALT",""))</f>
        <v/>
      </c>
      <c r="AD3104" s="21">
        <f>IF(Y3104&lt;&gt;"",Y3104,IF(U3104&lt;&gt;"",U3104,S3104))</f>
        <v/>
      </c>
      <c r="AE3104" s="21">
        <f>IF(AB3104&lt;&gt;"",AB3104,Z3104)</f>
        <v/>
      </c>
      <c r="AF3104" s="13" t="inlineStr">
        <is>
          <t>OPN BA4 / BSA 5 / SSN Combat Control / P-3a SSN21 TI</t>
        </is>
      </c>
      <c r="AG3104" s="7" t="inlineStr">
        <is>
          <t>177</t>
        </is>
      </c>
      <c r="AH3104" s="7" t="inlineStr">
        <is>
          <t>5420</t>
        </is>
      </c>
      <c r="AI3104" s="7" t="inlineStr">
        <is>
          <t>VB034 SSN774 BLK V AND OUT W/ CWL TECH INSERT- PSA INSTALL</t>
        </is>
      </c>
      <c r="AJ3104" s="7" t="inlineStr">
        <is>
          <t>VB034</t>
        </is>
      </c>
    </row>
    <row r="3105" ht="10" customHeight="1">
      <c r="A3105" s="7" t="inlineStr">
        <is>
          <t>OPN_BA4</t>
        </is>
      </c>
      <c r="B3105" s="7" t="inlineStr">
        <is>
          <t>Procurement</t>
        </is>
      </c>
      <c r="C3105" s="7" t="inlineStr">
        <is>
          <t>VB034</t>
        </is>
      </c>
      <c r="D3105" s="7" t="inlineStr">
        <is>
          <t>VB034 Upgrades TI04+ SSN688 Class [P-3a Mod 3]</t>
        </is>
      </c>
      <c r="E3105" s="13" t="inlineStr">
        <is>
          <t>[SUB]</t>
        </is>
      </c>
      <c r="F3105" s="7" t="inlineStr">
        <is>
          <t>5420 / SSN Combat Control Systems</t>
        </is>
      </c>
      <c r="I3105" s="14" t="n">
        <v>4</v>
      </c>
      <c r="K3105" s="13" t="inlineStr">
        <is>
          <t>USN</t>
        </is>
      </c>
      <c r="L3105" s="7" t="inlineStr">
        <is>
          <t>Combatant Ships</t>
        </is>
      </c>
      <c r="M3105" s="7" t="inlineStr">
        <is>
          <t>Submarines</t>
        </is>
      </c>
      <c r="N3105" s="7" t="inlineStr">
        <is>
          <t>SSN</t>
        </is>
      </c>
      <c r="O3105" s="17" t="n">
        <v>337082</v>
      </c>
      <c r="P3105" s="16" t="n">
        <v>31059</v>
      </c>
      <c r="Q3105" s="16" t="n">
        <v>4465</v>
      </c>
      <c r="S3105" s="16" t="n">
        <v>0</v>
      </c>
      <c r="U3105" s="16" t="n">
        <v>0</v>
      </c>
      <c r="AC3105" s="23">
        <f>IF(OR(E3105="",E3105="[PARENT]"),"ADD",IF(E3105="[ALT_VIEW]","ALT",""))</f>
        <v/>
      </c>
      <c r="AD3105" s="21">
        <f>IF(Y3105&lt;&gt;"",Y3105,IF(U3105&lt;&gt;"",U3105,S3105))</f>
        <v/>
      </c>
      <c r="AE3105" s="21">
        <f>IF(AB3105&lt;&gt;"",AB3105,Z3105)</f>
        <v/>
      </c>
      <c r="AF3105" s="13" t="inlineStr">
        <is>
          <t>OPN BA4 / BSA 5 / SSN Combat Control / P-3a SSN688 TI</t>
        </is>
      </c>
      <c r="AG3105" s="7" t="inlineStr">
        <is>
          <t>179</t>
        </is>
      </c>
      <c r="AH3105" s="7" t="inlineStr">
        <is>
          <t>5420</t>
        </is>
      </c>
      <c r="AI3105" s="7" t="inlineStr">
        <is>
          <t>VB034 SSN774 BLK V AND OUT W/ CWL TECH INSERT- PSA INSTALL</t>
        </is>
      </c>
      <c r="AJ3105" s="7" t="inlineStr">
        <is>
          <t>VB034</t>
        </is>
      </c>
    </row>
    <row r="3106" ht="10" customHeight="1">
      <c r="A3106" s="7" t="inlineStr">
        <is>
          <t>OPN_BA4</t>
        </is>
      </c>
      <c r="B3106" s="7" t="inlineStr">
        <is>
          <t>Procurement</t>
        </is>
      </c>
      <c r="C3106" s="7" t="inlineStr">
        <is>
          <t>VB034</t>
        </is>
      </c>
      <c r="D3106" s="7" t="inlineStr">
        <is>
          <t>VB034 Upgrades TI04+ SSN774 Class [P-3a Mod 4]</t>
        </is>
      </c>
      <c r="E3106" s="13" t="inlineStr">
        <is>
          <t>[SUB]</t>
        </is>
      </c>
      <c r="F3106" s="7" t="inlineStr">
        <is>
          <t>5420 / SSN Combat Control Systems</t>
        </is>
      </c>
      <c r="I3106" s="14" t="n">
        <v>4</v>
      </c>
      <c r="K3106" s="13" t="inlineStr">
        <is>
          <t>USN</t>
        </is>
      </c>
      <c r="L3106" s="7" t="inlineStr">
        <is>
          <t>Combatant Ships</t>
        </is>
      </c>
      <c r="M3106" s="7" t="inlineStr">
        <is>
          <t>Submarines</t>
        </is>
      </c>
      <c r="N3106" s="7" t="inlineStr">
        <is>
          <t>SSN</t>
        </is>
      </c>
      <c r="O3106" s="17" t="n">
        <v>151568</v>
      </c>
      <c r="P3106" s="16" t="n">
        <v>10095</v>
      </c>
      <c r="Q3106" s="16" t="n">
        <v>10656</v>
      </c>
      <c r="S3106" s="16" t="n">
        <v>12787</v>
      </c>
      <c r="U3106" s="16" t="n">
        <v>12787</v>
      </c>
      <c r="AC3106" s="23">
        <f>IF(OR(E3106="",E3106="[PARENT]"),"ADD",IF(E3106="[ALT_VIEW]","ALT",""))</f>
        <v/>
      </c>
      <c r="AD3106" s="21">
        <f>IF(Y3106&lt;&gt;"",Y3106,IF(U3106&lt;&gt;"",U3106,S3106))</f>
        <v/>
      </c>
      <c r="AE3106" s="21">
        <f>IF(AB3106&lt;&gt;"",AB3106,Z3106)</f>
        <v/>
      </c>
      <c r="AF3106" s="13" t="inlineStr">
        <is>
          <t>OPN BA4 / BSA 5 / SSN Combat Control / P-3a SSN774 TI</t>
        </is>
      </c>
      <c r="AG3106" s="7" t="inlineStr">
        <is>
          <t>181</t>
        </is>
      </c>
      <c r="AH3106" s="7" t="inlineStr">
        <is>
          <t>5420</t>
        </is>
      </c>
      <c r="AI3106" s="7" t="inlineStr">
        <is>
          <t>VB034 SSN774 BLK V AND OUT W/ CWL TECH INSERT- PSA INSTALL</t>
        </is>
      </c>
      <c r="AJ3106" s="7" t="inlineStr">
        <is>
          <t>VB034</t>
        </is>
      </c>
    </row>
    <row r="3107" ht="10" customHeight="1">
      <c r="A3107" s="7" t="inlineStr">
        <is>
          <t>OPN_BA4</t>
        </is>
      </c>
      <c r="B3107" s="7" t="inlineStr">
        <is>
          <t>Procurement</t>
        </is>
      </c>
      <c r="C3107" s="7" t="inlineStr">
        <is>
          <t>VB034</t>
        </is>
      </c>
      <c r="D3107" s="7" t="inlineStr">
        <is>
          <t>VB034 Upgrades TI04+ SSN774 Class w/CWL [P-3a Mod 5]</t>
        </is>
      </c>
      <c r="E3107" s="13" t="inlineStr">
        <is>
          <t>[SUB]</t>
        </is>
      </c>
      <c r="F3107" s="7" t="inlineStr">
        <is>
          <t>5420 / SSN Combat Control Systems</t>
        </is>
      </c>
      <c r="I3107" s="14" t="n">
        <v>4</v>
      </c>
      <c r="K3107" s="13" t="inlineStr">
        <is>
          <t>USN</t>
        </is>
      </c>
      <c r="L3107" s="7" t="inlineStr">
        <is>
          <t>Combatant Ships</t>
        </is>
      </c>
      <c r="M3107" s="7" t="inlineStr">
        <is>
          <t>Submarines</t>
        </is>
      </c>
      <c r="N3107" s="7" t="inlineStr">
        <is>
          <t>SSN</t>
        </is>
      </c>
      <c r="O3107" s="17" t="n">
        <v>58734</v>
      </c>
      <c r="P3107" s="16" t="n">
        <v>20391</v>
      </c>
      <c r="Q3107" s="16" t="n">
        <v>38394</v>
      </c>
      <c r="S3107" s="16" t="n">
        <v>27173</v>
      </c>
      <c r="U3107" s="16" t="n">
        <v>27173</v>
      </c>
      <c r="AC3107" s="23">
        <f>IF(OR(E3107="",E3107="[PARENT]"),"ADD",IF(E3107="[ALT_VIEW]","ALT",""))</f>
        <v/>
      </c>
      <c r="AD3107" s="21">
        <f>IF(Y3107&lt;&gt;"",Y3107,IF(U3107&lt;&gt;"",U3107,S3107))</f>
        <v/>
      </c>
      <c r="AE3107" s="21">
        <f>IF(AB3107&lt;&gt;"",AB3107,Z3107)</f>
        <v/>
      </c>
      <c r="AF3107" s="13" t="inlineStr">
        <is>
          <t>OPN BA4 / BSA 5 / SSN Combat Control / P-3a SSN774 CWL TI</t>
        </is>
      </c>
      <c r="AG3107" s="7" t="inlineStr">
        <is>
          <t>183</t>
        </is>
      </c>
      <c r="AH3107" s="7" t="inlineStr">
        <is>
          <t>5420</t>
        </is>
      </c>
      <c r="AI3107" s="7" t="inlineStr">
        <is>
          <t>VB034 SSN774 BLK V AND OUT W/ CWL TECH INSERT- PSA INSTALL</t>
        </is>
      </c>
      <c r="AJ3107" s="7" t="inlineStr">
        <is>
          <t>VB034</t>
        </is>
      </c>
    </row>
    <row r="3108" ht="10" customHeight="1">
      <c r="A3108" s="7" t="inlineStr">
        <is>
          <t>OPN_BA4</t>
        </is>
      </c>
      <c r="B3108" s="7" t="inlineStr">
        <is>
          <t>Procurement</t>
        </is>
      </c>
      <c r="C3108" s="7" t="inlineStr">
        <is>
          <t>VB034</t>
        </is>
      </c>
      <c r="D3108" s="7" t="inlineStr">
        <is>
          <t>VB034 SSBN Modernization Tech Insertion COLUMBIA Class [P-3a Mod 6]</t>
        </is>
      </c>
      <c r="E3108" s="13" t="inlineStr">
        <is>
          <t>[SUB]</t>
        </is>
      </c>
      <c r="F3108" s="7" t="inlineStr">
        <is>
          <t>5420 / SSN Combat Control Systems</t>
        </is>
      </c>
      <c r="I3108" s="14" t="n">
        <v>1</v>
      </c>
      <c r="J3108" s="7" t="inlineStr">
        <is>
          <t>GFE / combat systems for newbuild</t>
        </is>
      </c>
      <c r="K3108" s="13" t="inlineStr">
        <is>
          <t>USN</t>
        </is>
      </c>
      <c r="L3108" s="7" t="inlineStr">
        <is>
          <t>Combatant Ships</t>
        </is>
      </c>
      <c r="M3108" s="7" t="inlineStr">
        <is>
          <t>Submarines</t>
        </is>
      </c>
      <c r="N3108" s="7" t="inlineStr">
        <is>
          <t>SSBN</t>
        </is>
      </c>
      <c r="O3108" s="17" t="n">
        <v>0</v>
      </c>
      <c r="P3108" s="16" t="n">
        <v>0</v>
      </c>
      <c r="Q3108" s="16" t="n">
        <v>0</v>
      </c>
      <c r="S3108" s="16" t="n">
        <v>8610</v>
      </c>
      <c r="U3108" s="16" t="n">
        <v>8610</v>
      </c>
      <c r="AC3108" s="23">
        <f>IF(OR(E3108="",E3108="[PARENT]"),"ADD",IF(E3108="[ALT_VIEW]","ALT",""))</f>
        <v/>
      </c>
      <c r="AD3108" s="21">
        <f>IF(Y3108&lt;&gt;"",Y3108,IF(U3108&lt;&gt;"",U3108,S3108))</f>
        <v/>
      </c>
      <c r="AE3108" s="21">
        <f>IF(AB3108&lt;&gt;"",AB3108,Z3108)</f>
        <v/>
      </c>
      <c r="AF3108" s="13" t="inlineStr">
        <is>
          <t>OPN BA4 / BSA 5 / SSN Combat Control / P-3a COLUMBIA TI</t>
        </is>
      </c>
      <c r="AG3108" s="7" t="inlineStr">
        <is>
          <t>185</t>
        </is>
      </c>
      <c r="AH3108" s="7" t="inlineStr">
        <is>
          <t>5420</t>
        </is>
      </c>
      <c r="AI3108" s="7" t="inlineStr">
        <is>
          <t>VB034 SSN774 BLK V AND OUT W/ CWL TECH INSERT- PSA INSTALL</t>
        </is>
      </c>
      <c r="AJ3108" s="7" t="inlineStr">
        <is>
          <t>VB034</t>
        </is>
      </c>
    </row>
    <row r="3109" ht="10" customHeight="1">
      <c r="A3109" s="7" t="inlineStr">
        <is>
          <t>OPN_BA4</t>
        </is>
      </c>
      <c r="B3109" s="7" t="inlineStr">
        <is>
          <t>Procurement</t>
        </is>
      </c>
      <c r="C3109" s="7" t="inlineStr">
        <is>
          <t>VB034</t>
        </is>
      </c>
      <c r="D3109" s="7" t="inlineStr">
        <is>
          <t>VB034 SSN774 BLK V+ w/CWL Tech Insert - PSA Install [P-3a Mod 7]</t>
        </is>
      </c>
      <c r="E3109" s="13" t="inlineStr">
        <is>
          <t>[SUB]</t>
        </is>
      </c>
      <c r="F3109" s="7" t="inlineStr">
        <is>
          <t>5420 / SSN Combat Control Systems</t>
        </is>
      </c>
      <c r="I3109" s="14" t="n">
        <v>4</v>
      </c>
      <c r="K3109" s="13" t="inlineStr">
        <is>
          <t>USN</t>
        </is>
      </c>
      <c r="L3109" s="7" t="inlineStr">
        <is>
          <t>Combatant Ships</t>
        </is>
      </c>
      <c r="M3109" s="7" t="inlineStr">
        <is>
          <t>Submarines</t>
        </is>
      </c>
      <c r="N3109" s="7" t="inlineStr">
        <is>
          <t>SSN</t>
        </is>
      </c>
      <c r="O3109" s="17" t="n">
        <v>0</v>
      </c>
      <c r="P3109" s="16" t="n">
        <v>0</v>
      </c>
      <c r="Q3109" s="16" t="n">
        <v>8397</v>
      </c>
      <c r="S3109" s="16" t="n">
        <v>5762</v>
      </c>
      <c r="U3109" s="16" t="n">
        <v>5762</v>
      </c>
      <c r="AC3109" s="23">
        <f>IF(OR(E3109="",E3109="[PARENT]"),"ADD",IF(E3109="[ALT_VIEW]","ALT",""))</f>
        <v/>
      </c>
      <c r="AD3109" s="21">
        <f>IF(Y3109&lt;&gt;"",Y3109,IF(U3109&lt;&gt;"",U3109,S3109))</f>
        <v/>
      </c>
      <c r="AE3109" s="21">
        <f>IF(AB3109&lt;&gt;"",AB3109,Z3109)</f>
        <v/>
      </c>
      <c r="AF3109" s="13" t="inlineStr">
        <is>
          <t>OPN BA4 / BSA 5 / SSN Combat Control / P-3a SSN774 PSA</t>
        </is>
      </c>
      <c r="AG3109" s="7" t="inlineStr">
        <is>
          <t>187</t>
        </is>
      </c>
      <c r="AH3109" s="7" t="inlineStr">
        <is>
          <t>5420</t>
        </is>
      </c>
      <c r="AI3109" s="7" t="inlineStr">
        <is>
          <t>VB034 SSN774 BLK V AND OUT W/ CWL TECH INSERT- PSA INSTALL</t>
        </is>
      </c>
      <c r="AJ3109" s="7" t="inlineStr">
        <is>
          <t>VB034</t>
        </is>
      </c>
    </row>
    <row r="3110" ht="10" customHeight="1">
      <c r="A3110" s="7" t="inlineStr">
        <is>
          <t>OPN_BA4</t>
        </is>
      </c>
      <c r="B3110" s="7" t="inlineStr">
        <is>
          <t>Procurement</t>
        </is>
      </c>
      <c r="C3110" s="7" t="inlineStr">
        <is>
          <t>5429</t>
        </is>
      </c>
      <c r="D3110" s="7" t="inlineStr">
        <is>
          <t>ASW Support Equipment</t>
        </is>
      </c>
      <c r="E3110" s="13" t="inlineStr">
        <is>
          <t>[PARENT]</t>
        </is>
      </c>
      <c r="I3110" s="14" t="n">
        <v>4</v>
      </c>
      <c r="K3110" s="15" t="n"/>
      <c r="O3110" s="17" t="n">
        <v>219227</v>
      </c>
      <c r="P3110" s="16" t="n">
        <v>37301</v>
      </c>
      <c r="Q3110" s="16" t="n">
        <v>25362</v>
      </c>
      <c r="S3110" s="16" t="n">
        <v>25721</v>
      </c>
      <c r="T3110" s="16" t="n">
        <v>0</v>
      </c>
      <c r="U3110" s="16" t="n">
        <v>25721</v>
      </c>
      <c r="Z3110" s="16" t="n">
        <v>25105</v>
      </c>
      <c r="AB3110" s="16" t="n">
        <v>25105</v>
      </c>
      <c r="AC3110" s="23">
        <f>IF(OR(E3110="",E3110="[PARENT]"),"ADD",IF(E3110="[ALT_VIEW]","ALT",""))</f>
        <v/>
      </c>
      <c r="AD3110" s="21">
        <f>IF(Y3110&lt;&gt;"",Y3110,IF(U3110&lt;&gt;"",U3110,S3110))</f>
        <v/>
      </c>
      <c r="AE3110" s="21">
        <f>IF(AB3110&lt;&gt;"",AB3110,Z3110)</f>
        <v/>
      </c>
      <c r="AF3110" s="13" t="inlineStr">
        <is>
          <t>OPN BA4 / BSA 5: ASW Support Equipment / ASW Support Equipment</t>
        </is>
      </c>
      <c r="AG3110" s="7" t="inlineStr">
        <is>
          <t>191</t>
        </is>
      </c>
      <c r="AH3110" s="7" t="inlineStr">
        <is>
          <t>5429</t>
        </is>
      </c>
    </row>
    <row r="3111" ht="10" customHeight="1">
      <c r="A3111" s="7" t="inlineStr">
        <is>
          <t>OPN_BA4</t>
        </is>
      </c>
      <c r="B3111" s="7" t="inlineStr">
        <is>
          <t>Procurement</t>
        </is>
      </c>
      <c r="D3111" s="7" t="inlineStr">
        <is>
          <t>Surface ASW Support Equipment</t>
        </is>
      </c>
      <c r="E3111" s="13" t="inlineStr">
        <is>
          <t>[SUB]</t>
        </is>
      </c>
      <c r="F3111" s="7" t="inlineStr">
        <is>
          <t>5429 / ASW Support Equipment</t>
        </is>
      </c>
      <c r="I3111" s="14" t="n">
        <v>4</v>
      </c>
      <c r="K3111" s="13" t="inlineStr">
        <is>
          <t>USN</t>
        </is>
      </c>
      <c r="L3111" s="7" t="inlineStr">
        <is>
          <t>Combatant Ships</t>
        </is>
      </c>
      <c r="M3111" s="7" t="inlineStr">
        <is>
          <t>Surface Combatants</t>
        </is>
      </c>
      <c r="O3111" s="17" t="n">
        <v>33769</v>
      </c>
      <c r="P3111" s="16" t="n">
        <v>7017</v>
      </c>
      <c r="Q3111" s="16" t="n">
        <v>5664</v>
      </c>
      <c r="S3111" s="16" t="n">
        <v>5773</v>
      </c>
      <c r="U3111" s="16" t="n">
        <v>5773</v>
      </c>
      <c r="AC3111" s="23">
        <f>IF(OR(E3111="",E3111="[PARENT]"),"ADD",IF(E3111="[ALT_VIEW]","ALT",""))</f>
        <v/>
      </c>
      <c r="AD3111" s="21">
        <f>IF(Y3111&lt;&gt;"",Y3111,IF(U3111&lt;&gt;"",U3111,S3111))</f>
        <v/>
      </c>
      <c r="AE3111" s="21">
        <f>IF(AB3111&lt;&gt;"",AB3111,Z3111)</f>
        <v/>
      </c>
      <c r="AF3111" s="13" t="inlineStr">
        <is>
          <t>OPN BA4 / BSA 5 / ASW Support / Surface ASW Support</t>
        </is>
      </c>
      <c r="AG3111" s="7" t="inlineStr">
        <is>
          <t>196</t>
        </is>
      </c>
      <c r="AH3111" s="7" t="inlineStr">
        <is>
          <t>5429</t>
        </is>
      </c>
    </row>
    <row r="3112" ht="10" customHeight="1">
      <c r="A3112" s="7" t="inlineStr">
        <is>
          <t>OPN_BA4</t>
        </is>
      </c>
      <c r="B3112" s="7" t="inlineStr">
        <is>
          <t>Procurement</t>
        </is>
      </c>
      <c r="C3112" s="7" t="inlineStr">
        <is>
          <t>VC008</t>
        </is>
      </c>
      <c r="D3112" s="7" t="inlineStr">
        <is>
          <t>VC008 - ASWCS Fire Control ORDALTs</t>
        </is>
      </c>
      <c r="E3112" s="13" t="inlineStr">
        <is>
          <t>[SUB]</t>
        </is>
      </c>
      <c r="F3112" s="7" t="inlineStr">
        <is>
          <t>Surface ASW Support</t>
        </is>
      </c>
      <c r="I3112" s="14" t="n">
        <v>4</v>
      </c>
      <c r="K3112" s="13" t="inlineStr">
        <is>
          <t>USN</t>
        </is>
      </c>
      <c r="L3112" s="7" t="inlineStr">
        <is>
          <t>Combatant Ships</t>
        </is>
      </c>
      <c r="M3112" s="7" t="inlineStr">
        <is>
          <t>Surface Combatants</t>
        </is>
      </c>
      <c r="O3112" s="17" t="n">
        <v>16696</v>
      </c>
      <c r="P3112" s="16" t="n">
        <v>2007</v>
      </c>
      <c r="Q3112" s="16" t="n">
        <v>2047</v>
      </c>
      <c r="S3112" s="16" t="n">
        <v>2088</v>
      </c>
      <c r="U3112" s="16" t="n">
        <v>2088</v>
      </c>
      <c r="AC3112" s="23">
        <f>IF(OR(E3112="",E3112="[PARENT]"),"ADD",IF(E3112="[ALT_VIEW]","ALT",""))</f>
        <v/>
      </c>
      <c r="AD3112" s="21">
        <f>IF(Y3112&lt;&gt;"",Y3112,IF(U3112&lt;&gt;"",U3112,S3112))</f>
        <v/>
      </c>
      <c r="AE3112" s="21">
        <f>IF(AB3112&lt;&gt;"",AB3112,Z3112)</f>
        <v/>
      </c>
      <c r="AF3112" s="13" t="inlineStr">
        <is>
          <t>OPN BA4 / BSA 5 / ASW Support / Surface / ASWCS ORDALTs</t>
        </is>
      </c>
      <c r="AG3112" s="7" t="inlineStr">
        <is>
          <t>197</t>
        </is>
      </c>
      <c r="AH3112" s="7" t="inlineStr">
        <is>
          <t>5429</t>
        </is>
      </c>
      <c r="AJ3112" s="7" t="inlineStr">
        <is>
          <t>VC008</t>
        </is>
      </c>
    </row>
    <row r="3113" ht="10" customHeight="1">
      <c r="A3113" s="7" t="inlineStr">
        <is>
          <t>OPN_BA4</t>
        </is>
      </c>
      <c r="B3113" s="7" t="inlineStr">
        <is>
          <t>Procurement</t>
        </is>
      </c>
      <c r="C3113" s="7" t="inlineStr">
        <is>
          <t>VC009</t>
        </is>
      </c>
      <c r="D3113" s="7" t="inlineStr">
        <is>
          <t>VC009 - Torpedo Tube ORDALTs</t>
        </is>
      </c>
      <c r="E3113" s="13" t="inlineStr">
        <is>
          <t>[SUB]</t>
        </is>
      </c>
      <c r="F3113" s="7" t="inlineStr">
        <is>
          <t>Surface ASW Support</t>
        </is>
      </c>
      <c r="I3113" s="14" t="n">
        <v>4</v>
      </c>
      <c r="K3113" s="13" t="inlineStr">
        <is>
          <t>USN</t>
        </is>
      </c>
      <c r="L3113" s="7" t="inlineStr">
        <is>
          <t>Combatant Ships</t>
        </is>
      </c>
      <c r="M3113" s="7" t="inlineStr">
        <is>
          <t>Surface Combatants</t>
        </is>
      </c>
      <c r="O3113" s="17" t="n">
        <v>14266</v>
      </c>
      <c r="P3113" s="16" t="n">
        <v>4678</v>
      </c>
      <c r="Q3113" s="16" t="n">
        <v>3279</v>
      </c>
      <c r="S3113" s="16" t="n">
        <v>3341</v>
      </c>
      <c r="U3113" s="16" t="n">
        <v>3341</v>
      </c>
      <c r="AC3113" s="23">
        <f>IF(OR(E3113="",E3113="[PARENT]"),"ADD",IF(E3113="[ALT_VIEW]","ALT",""))</f>
        <v/>
      </c>
      <c r="AD3113" s="21">
        <f>IF(Y3113&lt;&gt;"",Y3113,IF(U3113&lt;&gt;"",U3113,S3113))</f>
        <v/>
      </c>
      <c r="AE3113" s="21">
        <f>IF(AB3113&lt;&gt;"",AB3113,Z3113)</f>
        <v/>
      </c>
      <c r="AF3113" s="13" t="inlineStr">
        <is>
          <t>OPN BA4 / BSA 5 / ASW Support / Surface / Torpedo Tube ORDALTs</t>
        </is>
      </c>
      <c r="AG3113" s="7" t="inlineStr">
        <is>
          <t>197</t>
        </is>
      </c>
      <c r="AH3113" s="7" t="inlineStr">
        <is>
          <t>5429</t>
        </is>
      </c>
      <c r="AJ3113" s="7" t="inlineStr">
        <is>
          <t>VC009</t>
        </is>
      </c>
    </row>
    <row r="3114" ht="10" customHeight="1">
      <c r="A3114" s="7" t="inlineStr">
        <is>
          <t>OPN_BA4</t>
        </is>
      </c>
      <c r="B3114" s="7" t="inlineStr">
        <is>
          <t>Procurement</t>
        </is>
      </c>
      <c r="C3114" s="7" t="inlineStr">
        <is>
          <t>VC900</t>
        </is>
      </c>
      <c r="D3114" s="7" t="inlineStr">
        <is>
          <t>VC900 - Consulting Services</t>
        </is>
      </c>
      <c r="E3114" s="13" t="inlineStr">
        <is>
          <t>[SUB]</t>
        </is>
      </c>
      <c r="F3114" s="7" t="inlineStr">
        <is>
          <t>Surface ASW Support</t>
        </is>
      </c>
      <c r="I3114" s="14" t="n">
        <v>6</v>
      </c>
      <c r="K3114" s="15" t="n"/>
      <c r="O3114" s="17" t="n">
        <v>869</v>
      </c>
      <c r="P3114" s="16" t="n">
        <v>100</v>
      </c>
      <c r="Q3114" s="16" t="n">
        <v>102</v>
      </c>
      <c r="S3114" s="16" t="n">
        <v>104</v>
      </c>
      <c r="U3114" s="16" t="n">
        <v>104</v>
      </c>
      <c r="AC3114" s="23">
        <f>IF(OR(E3114="",E3114="[PARENT]"),"ADD",IF(E3114="[ALT_VIEW]","ALT",""))</f>
        <v/>
      </c>
      <c r="AD3114" s="21">
        <f>IF(Y3114&lt;&gt;"",Y3114,IF(U3114&lt;&gt;"",U3114,S3114))</f>
        <v/>
      </c>
      <c r="AE3114" s="21">
        <f>IF(AB3114&lt;&gt;"",AB3114,Z3114)</f>
        <v/>
      </c>
      <c r="AF3114" s="13" t="inlineStr">
        <is>
          <t>OPN BA4 / BSA 5 / ASW Support / Surface / Consulting</t>
        </is>
      </c>
      <c r="AG3114" s="7" t="inlineStr">
        <is>
          <t>198</t>
        </is>
      </c>
      <c r="AH3114" s="7" t="inlineStr">
        <is>
          <t>5429</t>
        </is>
      </c>
      <c r="AJ3114" s="7" t="inlineStr">
        <is>
          <t>VC900</t>
        </is>
      </c>
    </row>
    <row r="3115" ht="10" customHeight="1">
      <c r="A3115" s="7" t="inlineStr">
        <is>
          <t>OPN_BA4</t>
        </is>
      </c>
      <c r="B3115" s="7" t="inlineStr">
        <is>
          <t>Procurement</t>
        </is>
      </c>
      <c r="C3115" s="7" t="inlineStr">
        <is>
          <t>VC6IN</t>
        </is>
      </c>
      <c r="D3115" s="7" t="inlineStr">
        <is>
          <t>VC6IN - Installation of Equipment</t>
        </is>
      </c>
      <c r="E3115" s="13" t="inlineStr">
        <is>
          <t>[SUB]</t>
        </is>
      </c>
      <c r="F3115" s="7" t="inlineStr">
        <is>
          <t>Surface ASW Support</t>
        </is>
      </c>
      <c r="I3115" s="14" t="n">
        <v>4</v>
      </c>
      <c r="K3115" s="15" t="n"/>
      <c r="O3115" s="17" t="n">
        <v>1938</v>
      </c>
      <c r="P3115" s="16" t="n">
        <v>232</v>
      </c>
      <c r="Q3115" s="16" t="n">
        <v>236</v>
      </c>
      <c r="S3115" s="16" t="n">
        <v>240</v>
      </c>
      <c r="U3115" s="16" t="n">
        <v>240</v>
      </c>
      <c r="AC3115" s="23">
        <f>IF(OR(E3115="",E3115="[PARENT]"),"ADD",IF(E3115="[ALT_VIEW]","ALT",""))</f>
        <v/>
      </c>
      <c r="AD3115" s="21">
        <f>IF(Y3115&lt;&gt;"",Y3115,IF(U3115&lt;&gt;"",U3115,S3115))</f>
        <v/>
      </c>
      <c r="AE3115" s="21">
        <f>IF(AB3115&lt;&gt;"",AB3115,Z3115)</f>
        <v/>
      </c>
      <c r="AF3115" s="13" t="inlineStr">
        <is>
          <t>OPN BA4 / BSA 5 / ASW Support / Surface / Installation</t>
        </is>
      </c>
      <c r="AG3115" s="7" t="inlineStr">
        <is>
          <t>198</t>
        </is>
      </c>
      <c r="AH3115" s="7" t="inlineStr">
        <is>
          <t>5429</t>
        </is>
      </c>
      <c r="AI3115" s="7" t="inlineStr">
        <is>
          <t>VC5IN - ORDALT INSTALLATION</t>
        </is>
      </c>
    </row>
    <row r="3116" ht="10" customHeight="1">
      <c r="A3116" s="7" t="inlineStr">
        <is>
          <t>OPN_BA4</t>
        </is>
      </c>
      <c r="B3116" s="7" t="inlineStr">
        <is>
          <t>Procurement</t>
        </is>
      </c>
      <c r="D3116" s="7" t="inlineStr">
        <is>
          <t>ASW Range Support Equipment</t>
        </is>
      </c>
      <c r="E3116" s="13" t="inlineStr">
        <is>
          <t>[SUB]</t>
        </is>
      </c>
      <c r="F3116" s="7" t="inlineStr">
        <is>
          <t>5429 / ASW Support Equipment</t>
        </is>
      </c>
      <c r="I3116" s="14" t="n">
        <v>6</v>
      </c>
      <c r="K3116" s="15" t="n"/>
      <c r="O3116" s="17" t="n">
        <v>153555</v>
      </c>
      <c r="P3116" s="16" t="n">
        <v>26918</v>
      </c>
      <c r="Q3116" s="16" t="n">
        <v>18095</v>
      </c>
      <c r="S3116" s="16" t="n">
        <v>18317</v>
      </c>
      <c r="U3116" s="16" t="n">
        <v>18317</v>
      </c>
      <c r="AC3116" s="23">
        <f>IF(OR(E3116="",E3116="[PARENT]"),"ADD",IF(E3116="[ALT_VIEW]","ALT",""))</f>
        <v/>
      </c>
      <c r="AD3116" s="21">
        <f>IF(Y3116&lt;&gt;"",Y3116,IF(U3116&lt;&gt;"",U3116,S3116))</f>
        <v/>
      </c>
      <c r="AE3116" s="21">
        <f>IF(AB3116&lt;&gt;"",AB3116,Z3116)</f>
        <v/>
      </c>
      <c r="AF3116" s="13" t="inlineStr">
        <is>
          <t>OPN BA4 / BSA 5 / ASW Support / ASW Range Support</t>
        </is>
      </c>
      <c r="AG3116" s="7" t="inlineStr">
        <is>
          <t>199</t>
        </is>
      </c>
      <c r="AH3116" s="7" t="inlineStr">
        <is>
          <t>5429</t>
        </is>
      </c>
    </row>
    <row r="3117" ht="10" customHeight="1">
      <c r="A3117" s="7" t="inlineStr">
        <is>
          <t>OPN_BA4</t>
        </is>
      </c>
      <c r="B3117" s="7" t="inlineStr">
        <is>
          <t>Procurement</t>
        </is>
      </c>
      <c r="C3117" s="7" t="inlineStr">
        <is>
          <t>VC001</t>
        </is>
      </c>
      <c r="D3117" s="7" t="inlineStr">
        <is>
          <t>VC001 - SSRNM/US FORACS (S05)</t>
        </is>
      </c>
      <c r="E3117" s="13" t="inlineStr">
        <is>
          <t>[SUB]</t>
        </is>
      </c>
      <c r="F3117" s="7" t="inlineStr">
        <is>
          <t>ASW Range Support</t>
        </is>
      </c>
      <c r="I3117" s="14" t="n">
        <v>6</v>
      </c>
      <c r="K3117" s="15" t="n"/>
      <c r="O3117" s="17" t="n">
        <v>23759</v>
      </c>
      <c r="P3117" s="16" t="n">
        <v>3124</v>
      </c>
      <c r="Q3117" s="16" t="n">
        <v>3181</v>
      </c>
      <c r="S3117" s="16" t="n">
        <v>3241</v>
      </c>
      <c r="U3117" s="16" t="n">
        <v>3241</v>
      </c>
      <c r="AC3117" s="23">
        <f>IF(OR(E3117="",E3117="[PARENT]"),"ADD",IF(E3117="[ALT_VIEW]","ALT",""))</f>
        <v/>
      </c>
      <c r="AD3117" s="21">
        <f>IF(Y3117&lt;&gt;"",Y3117,IF(U3117&lt;&gt;"",U3117,S3117))</f>
        <v/>
      </c>
      <c r="AE3117" s="21">
        <f>IF(AB3117&lt;&gt;"",AB3117,Z3117)</f>
        <v/>
      </c>
      <c r="AF3117" s="13" t="inlineStr">
        <is>
          <t>OPN BA4 / BSA 5 / ASW Support / Range / SSRNM FORACS</t>
        </is>
      </c>
      <c r="AG3117" s="7" t="inlineStr">
        <is>
          <t>199</t>
        </is>
      </c>
      <c r="AH3117" s="7" t="inlineStr">
        <is>
          <t>5429</t>
        </is>
      </c>
      <c r="AJ3117" s="7" t="inlineStr">
        <is>
          <t>VC001</t>
        </is>
      </c>
    </row>
    <row r="3118" ht="10" customHeight="1">
      <c r="A3118" s="7" t="inlineStr">
        <is>
          <t>OPN_BA4</t>
        </is>
      </c>
      <c r="B3118" s="7" t="inlineStr">
        <is>
          <t>Procurement</t>
        </is>
      </c>
      <c r="C3118" s="7" t="inlineStr">
        <is>
          <t>VC002</t>
        </is>
      </c>
      <c r="D3118" s="7" t="inlineStr">
        <is>
          <t>VC002 - UTRE (S05)</t>
        </is>
      </c>
      <c r="E3118" s="13" t="inlineStr">
        <is>
          <t>[SUB]</t>
        </is>
      </c>
      <c r="F3118" s="7" t="inlineStr">
        <is>
          <t>ASW Range Support</t>
        </is>
      </c>
      <c r="I3118" s="14" t="n">
        <v>6</v>
      </c>
      <c r="K3118" s="15" t="n"/>
      <c r="O3118" s="17" t="n">
        <v>26345</v>
      </c>
      <c r="P3118" s="16" t="n">
        <v>11915</v>
      </c>
      <c r="Q3118" s="16" t="n">
        <v>2817</v>
      </c>
      <c r="S3118" s="16" t="n">
        <v>2647</v>
      </c>
      <c r="U3118" s="16" t="n">
        <v>2647</v>
      </c>
      <c r="AC3118" s="23">
        <f>IF(OR(E3118="",E3118="[PARENT]"),"ADD",IF(E3118="[ALT_VIEW]","ALT",""))</f>
        <v/>
      </c>
      <c r="AD3118" s="21">
        <f>IF(Y3118&lt;&gt;"",Y3118,IF(U3118&lt;&gt;"",U3118,S3118))</f>
        <v/>
      </c>
      <c r="AE3118" s="21">
        <f>IF(AB3118&lt;&gt;"",AB3118,Z3118)</f>
        <v/>
      </c>
      <c r="AF3118" s="13" t="inlineStr">
        <is>
          <t>OPN BA4 / BSA 5 / ASW Support / Range / UTRE</t>
        </is>
      </c>
      <c r="AG3118" s="7" t="inlineStr">
        <is>
          <t>199</t>
        </is>
      </c>
      <c r="AH3118" s="7" t="inlineStr">
        <is>
          <t>5429</t>
        </is>
      </c>
      <c r="AJ3118" s="7" t="inlineStr">
        <is>
          <t>VC002</t>
        </is>
      </c>
    </row>
    <row r="3119" ht="10" customHeight="1">
      <c r="A3119" s="7" t="inlineStr">
        <is>
          <t>OPN_BA4</t>
        </is>
      </c>
      <c r="B3119" s="7" t="inlineStr">
        <is>
          <t>Procurement</t>
        </is>
      </c>
      <c r="C3119" s="7" t="inlineStr">
        <is>
          <t>VC003</t>
        </is>
      </c>
      <c r="D3119" s="7" t="inlineStr">
        <is>
          <t>VC003 - Towed Targets (USC)</t>
        </is>
      </c>
      <c r="E3119" s="13" t="inlineStr">
        <is>
          <t>[SUB]</t>
        </is>
      </c>
      <c r="F3119" s="7" t="inlineStr">
        <is>
          <t>ASW Range Support</t>
        </is>
      </c>
      <c r="I3119" s="14" t="n">
        <v>6</v>
      </c>
      <c r="K3119" s="15" t="n"/>
      <c r="O3119" s="17" t="n">
        <v>9024</v>
      </c>
      <c r="P3119" s="16" t="n">
        <v>1037</v>
      </c>
      <c r="Q3119" s="16" t="n">
        <v>1064</v>
      </c>
      <c r="S3119" s="16" t="n">
        <v>1098</v>
      </c>
      <c r="U3119" s="16" t="n">
        <v>1098</v>
      </c>
      <c r="AC3119" s="23">
        <f>IF(OR(E3119="",E3119="[PARENT]"),"ADD",IF(E3119="[ALT_VIEW]","ALT",""))</f>
        <v/>
      </c>
      <c r="AD3119" s="21">
        <f>IF(Y3119&lt;&gt;"",Y3119,IF(U3119&lt;&gt;"",U3119,S3119))</f>
        <v/>
      </c>
      <c r="AE3119" s="21">
        <f>IF(AB3119&lt;&gt;"",AB3119,Z3119)</f>
        <v/>
      </c>
      <c r="AF3119" s="13" t="inlineStr">
        <is>
          <t>OPN BA4 / BSA 5 / ASW Support / Range / Towed Targets</t>
        </is>
      </c>
      <c r="AG3119" s="7" t="inlineStr">
        <is>
          <t>199</t>
        </is>
      </c>
      <c r="AH3119" s="7" t="inlineStr">
        <is>
          <t>5429</t>
        </is>
      </c>
      <c r="AJ3119" s="7" t="inlineStr">
        <is>
          <t>VC003</t>
        </is>
      </c>
    </row>
    <row r="3120" ht="10" customHeight="1">
      <c r="A3120" s="7" t="inlineStr">
        <is>
          <t>OPN_BA4</t>
        </is>
      </c>
      <c r="B3120" s="7" t="inlineStr">
        <is>
          <t>Procurement</t>
        </is>
      </c>
      <c r="C3120" s="7" t="inlineStr">
        <is>
          <t>VC004</t>
        </is>
      </c>
      <c r="D3120" s="7" t="inlineStr">
        <is>
          <t>VC004 - Instrumentation (USC)</t>
        </is>
      </c>
      <c r="E3120" s="13" t="inlineStr">
        <is>
          <t>[SUB]</t>
        </is>
      </c>
      <c r="F3120" s="7" t="inlineStr">
        <is>
          <t>ASW Range Support</t>
        </is>
      </c>
      <c r="I3120" s="14" t="n">
        <v>6</v>
      </c>
      <c r="K3120" s="15" t="n"/>
      <c r="O3120" s="17" t="n">
        <v>1511</v>
      </c>
      <c r="P3120" s="16" t="n">
        <v>194</v>
      </c>
      <c r="Q3120" s="16" t="n">
        <v>200</v>
      </c>
      <c r="S3120" s="16" t="n">
        <v>201</v>
      </c>
      <c r="U3120" s="16" t="n">
        <v>201</v>
      </c>
      <c r="AC3120" s="23">
        <f>IF(OR(E3120="",E3120="[PARENT]"),"ADD",IF(E3120="[ALT_VIEW]","ALT",""))</f>
        <v/>
      </c>
      <c r="AD3120" s="21">
        <f>IF(Y3120&lt;&gt;"",Y3120,IF(U3120&lt;&gt;"",U3120,S3120))</f>
        <v/>
      </c>
      <c r="AE3120" s="21">
        <f>IF(AB3120&lt;&gt;"",AB3120,Z3120)</f>
        <v/>
      </c>
      <c r="AF3120" s="13" t="inlineStr">
        <is>
          <t>OPN BA4 / BSA 5 / ASW Support / Range / Instrumentation</t>
        </is>
      </c>
      <c r="AG3120" s="7" t="inlineStr">
        <is>
          <t>199</t>
        </is>
      </c>
      <c r="AH3120" s="7" t="inlineStr">
        <is>
          <t>5429</t>
        </is>
      </c>
      <c r="AJ3120" s="7" t="inlineStr">
        <is>
          <t>VC004</t>
        </is>
      </c>
    </row>
    <row r="3121" ht="10" customHeight="1">
      <c r="A3121" s="7" t="inlineStr">
        <is>
          <t>OPN_BA4</t>
        </is>
      </c>
      <c r="B3121" s="7" t="inlineStr">
        <is>
          <t>Procurement</t>
        </is>
      </c>
      <c r="C3121" s="7" t="inlineStr">
        <is>
          <t>VC005</t>
        </is>
      </c>
      <c r="D3121" s="7" t="inlineStr">
        <is>
          <t>VC005 - HSMST (USC)</t>
        </is>
      </c>
      <c r="E3121" s="13" t="inlineStr">
        <is>
          <t>[SUB]</t>
        </is>
      </c>
      <c r="F3121" s="7" t="inlineStr">
        <is>
          <t>ASW Range Support</t>
        </is>
      </c>
      <c r="I3121" s="14" t="n">
        <v>6</v>
      </c>
      <c r="K3121" s="15" t="n"/>
      <c r="O3121" s="17" t="n">
        <v>81379</v>
      </c>
      <c r="P3121" s="16" t="n">
        <v>9273</v>
      </c>
      <c r="Q3121" s="16" t="n">
        <v>10100</v>
      </c>
      <c r="S3121" s="16" t="n">
        <v>10397</v>
      </c>
      <c r="U3121" s="16" t="n">
        <v>10397</v>
      </c>
      <c r="AC3121" s="23">
        <f>IF(OR(E3121="",E3121="[PARENT]"),"ADD",IF(E3121="[ALT_VIEW]","ALT",""))</f>
        <v/>
      </c>
      <c r="AD3121" s="21">
        <f>IF(Y3121&lt;&gt;"",Y3121,IF(U3121&lt;&gt;"",U3121,S3121))</f>
        <v/>
      </c>
      <c r="AE3121" s="21">
        <f>IF(AB3121&lt;&gt;"",AB3121,Z3121)</f>
        <v/>
      </c>
      <c r="AF3121" s="13" t="inlineStr">
        <is>
          <t>OPN BA4 / BSA 5 / ASW Support / Range / HSMST</t>
        </is>
      </c>
      <c r="AG3121" s="7" t="inlineStr">
        <is>
          <t>199</t>
        </is>
      </c>
      <c r="AH3121" s="7" t="inlineStr">
        <is>
          <t>5429</t>
        </is>
      </c>
      <c r="AJ3121" s="7" t="inlineStr">
        <is>
          <t>VC005</t>
        </is>
      </c>
    </row>
    <row r="3122" ht="10" customHeight="1">
      <c r="A3122" s="7" t="inlineStr">
        <is>
          <t>OPN_BA4</t>
        </is>
      </c>
      <c r="B3122" s="7" t="inlineStr">
        <is>
          <t>Procurement</t>
        </is>
      </c>
      <c r="C3122" s="7" t="inlineStr">
        <is>
          <t>VC831</t>
        </is>
      </c>
      <c r="D3122" s="7" t="inlineStr">
        <is>
          <t>VC831/2 - Production Engineering</t>
        </is>
      </c>
      <c r="E3122" s="13" t="inlineStr">
        <is>
          <t>[SUB]</t>
        </is>
      </c>
      <c r="F3122" s="7" t="inlineStr">
        <is>
          <t>ASW Range Support</t>
        </is>
      </c>
      <c r="I3122" s="14" t="n">
        <v>6</v>
      </c>
      <c r="K3122" s="15" t="n"/>
      <c r="O3122" s="17" t="n">
        <v>7170</v>
      </c>
      <c r="P3122" s="16" t="n">
        <v>883</v>
      </c>
      <c r="Q3122" s="16" t="n">
        <v>537</v>
      </c>
      <c r="S3122" s="16" t="n">
        <v>533</v>
      </c>
      <c r="U3122" s="16" t="n">
        <v>533</v>
      </c>
      <c r="AC3122" s="23">
        <f>IF(OR(E3122="",E3122="[PARENT]"),"ADD",IF(E3122="[ALT_VIEW]","ALT",""))</f>
        <v/>
      </c>
      <c r="AD3122" s="21">
        <f>IF(Y3122&lt;&gt;"",Y3122,IF(U3122&lt;&gt;"",U3122,S3122))</f>
        <v/>
      </c>
      <c r="AE3122" s="21">
        <f>IF(AB3122&lt;&gt;"",AB3122,Z3122)</f>
        <v/>
      </c>
      <c r="AF3122" s="13" t="inlineStr">
        <is>
          <t>OPN BA4 / BSA 5 / ASW Support / Range / Prod Eng</t>
        </is>
      </c>
      <c r="AG3122" s="7" t="inlineStr">
        <is>
          <t>199</t>
        </is>
      </c>
      <c r="AH3122" s="7" t="inlineStr">
        <is>
          <t>5429</t>
        </is>
      </c>
      <c r="AI3122" s="7" t="inlineStr">
        <is>
          <t>VC831/2 - PRODUCTION ENGINEERING</t>
        </is>
      </c>
      <c r="AJ3122" s="7" t="inlineStr">
        <is>
          <t>VC831</t>
        </is>
      </c>
    </row>
    <row r="3123" ht="10" customHeight="1">
      <c r="A3123" s="7" t="inlineStr">
        <is>
          <t>OPN_BA4</t>
        </is>
      </c>
      <c r="B3123" s="7" t="inlineStr">
        <is>
          <t>Procurement</t>
        </is>
      </c>
      <c r="C3123" s="7" t="inlineStr">
        <is>
          <t>VC970</t>
        </is>
      </c>
      <c r="D3123" s="7" t="inlineStr">
        <is>
          <t>VC970 - Integrated Logistics Support (USC)</t>
        </is>
      </c>
      <c r="E3123" s="13" t="inlineStr">
        <is>
          <t>[SUB]</t>
        </is>
      </c>
      <c r="F3123" s="7" t="inlineStr">
        <is>
          <t>ASW Range Support</t>
        </is>
      </c>
      <c r="I3123" s="14" t="n">
        <v>6</v>
      </c>
      <c r="K3123" s="15" t="n"/>
      <c r="O3123" s="17" t="n">
        <v>1365</v>
      </c>
      <c r="P3123" s="16" t="n">
        <v>144</v>
      </c>
      <c r="Q3123" s="16" t="n">
        <v>196</v>
      </c>
      <c r="S3123" s="16" t="n">
        <v>200</v>
      </c>
      <c r="U3123" s="16" t="n">
        <v>200</v>
      </c>
      <c r="AC3123" s="23">
        <f>IF(OR(E3123="",E3123="[PARENT]"),"ADD",IF(E3123="[ALT_VIEW]","ALT",""))</f>
        <v/>
      </c>
      <c r="AD3123" s="21">
        <f>IF(Y3123&lt;&gt;"",Y3123,IF(U3123&lt;&gt;"",U3123,S3123))</f>
        <v/>
      </c>
      <c r="AE3123" s="21">
        <f>IF(AB3123&lt;&gt;"",AB3123,Z3123)</f>
        <v/>
      </c>
      <c r="AF3123" s="13" t="inlineStr">
        <is>
          <t>OPN BA4 / BSA 5 / ASW Support / Range / ILS</t>
        </is>
      </c>
      <c r="AG3123" s="7" t="inlineStr">
        <is>
          <t>199</t>
        </is>
      </c>
      <c r="AH3123" s="7" t="inlineStr">
        <is>
          <t>5429</t>
        </is>
      </c>
      <c r="AI3123" s="7" t="inlineStr">
        <is>
          <t>VC970 - INTEGRATED LOGISTICS SUPPORT</t>
        </is>
      </c>
      <c r="AJ3123" s="7" t="inlineStr">
        <is>
          <t>VC970</t>
        </is>
      </c>
    </row>
    <row r="3124" ht="10" customHeight="1">
      <c r="A3124" s="7" t="inlineStr">
        <is>
          <t>OPN_BA4</t>
        </is>
      </c>
      <c r="B3124" s="7" t="inlineStr">
        <is>
          <t>Procurement</t>
        </is>
      </c>
      <c r="C3124" s="7" t="inlineStr">
        <is>
          <t>VC010</t>
        </is>
      </c>
      <c r="D3124" s="7" t="inlineStr">
        <is>
          <t>VC010 - AN/UQN-10 Sonar Sounding Set Fathometer [P-3a Mod 1]</t>
        </is>
      </c>
      <c r="E3124" s="13" t="inlineStr">
        <is>
          <t>[SUB]</t>
        </is>
      </c>
      <c r="F3124" s="7" t="inlineStr">
        <is>
          <t>5429 / ASW Support Equipment</t>
        </is>
      </c>
      <c r="I3124" s="14" t="n">
        <v>4</v>
      </c>
      <c r="K3124" s="15" t="n"/>
      <c r="O3124" s="17" t="n">
        <v>11600</v>
      </c>
      <c r="P3124" s="16" t="n">
        <v>3366</v>
      </c>
      <c r="Q3124" s="16" t="n">
        <v>1603</v>
      </c>
      <c r="S3124" s="16" t="n">
        <v>1631</v>
      </c>
      <c r="U3124" s="16" t="n">
        <v>1631</v>
      </c>
      <c r="AC3124" s="23">
        <f>IF(OR(E3124="",E3124="[PARENT]"),"ADD",IF(E3124="[ALT_VIEW]","ALT",""))</f>
        <v/>
      </c>
      <c r="AD3124" s="21">
        <f>IF(Y3124&lt;&gt;"",Y3124,IF(U3124&lt;&gt;"",U3124,S3124))</f>
        <v/>
      </c>
      <c r="AE3124" s="21">
        <f>IF(AB3124&lt;&gt;"",AB3124,Z3124)</f>
        <v/>
      </c>
      <c r="AF3124" s="13" t="inlineStr">
        <is>
          <t>OPN BA4 / BSA 5 / ASW Support / P-3a AN/UQN-10 Fathometer</t>
        </is>
      </c>
      <c r="AG3124" s="7" t="inlineStr">
        <is>
          <t>201</t>
        </is>
      </c>
      <c r="AH3124" s="7" t="inlineStr">
        <is>
          <t>5429</t>
        </is>
      </c>
      <c r="AI3124" s="7" t="inlineStr">
        <is>
          <t>VC010 - AN/UQN-10 SONAR SOUNDING SET FATHOMETER</t>
        </is>
      </c>
      <c r="AJ3124" s="7" t="inlineStr">
        <is>
          <t>VC010</t>
        </is>
      </c>
    </row>
    <row r="3125" ht="10" customHeight="1">
      <c r="A3125" s="7" t="inlineStr">
        <is>
          <t>OPN_BA4</t>
        </is>
      </c>
      <c r="B3125" s="7" t="inlineStr">
        <is>
          <t>Procurement</t>
        </is>
      </c>
      <c r="C3125" s="7" t="inlineStr">
        <is>
          <t>5509</t>
        </is>
      </c>
      <c r="D3125" s="7" t="inlineStr">
        <is>
          <t>EOD Equipment</t>
        </is>
      </c>
      <c r="E3125" s="13" t="inlineStr">
        <is>
          <t>[PARENT]</t>
        </is>
      </c>
      <c r="I3125" s="14" t="n">
        <v>4</v>
      </c>
      <c r="K3125" s="15" t="n"/>
      <c r="O3125" s="17" t="n">
        <v>813164</v>
      </c>
      <c r="P3125" s="16" t="n">
        <v>25573</v>
      </c>
      <c r="Q3125" s="16" t="n">
        <v>26725</v>
      </c>
      <c r="S3125" s="16" t="n">
        <v>24822</v>
      </c>
      <c r="T3125" s="16" t="n">
        <v>0</v>
      </c>
      <c r="U3125" s="16" t="n">
        <v>24822</v>
      </c>
      <c r="Z3125" s="16" t="n">
        <v>20575</v>
      </c>
      <c r="AB3125" s="16" t="n">
        <v>20575</v>
      </c>
      <c r="AC3125" s="23">
        <f>IF(OR(E3125="",E3125="[PARENT]"),"ADD",IF(E3125="[ALT_VIEW]","ALT",""))</f>
        <v/>
      </c>
      <c r="AD3125" s="21">
        <f>IF(Y3125&lt;&gt;"",Y3125,IF(U3125&lt;&gt;"",U3125,S3125))</f>
        <v/>
      </c>
      <c r="AE3125" s="21">
        <f>IF(AB3125&lt;&gt;"",AB3125,Z3125)</f>
        <v/>
      </c>
      <c r="AF3125" s="13" t="inlineStr">
        <is>
          <t>OPN BA4 / BSA 6: Other Ordnance Support Equipment / EOD Equipment</t>
        </is>
      </c>
      <c r="AG3125" s="7" t="inlineStr">
        <is>
          <t>205</t>
        </is>
      </c>
      <c r="AH3125" s="7" t="inlineStr">
        <is>
          <t>5509</t>
        </is>
      </c>
      <c r="AI3125" s="7" t="inlineStr">
        <is>
          <t>EOD - CREW Equipment</t>
        </is>
      </c>
    </row>
    <row r="3126" ht="10" customHeight="1">
      <c r="A3126" s="7" t="inlineStr">
        <is>
          <t>OPN_BA4</t>
        </is>
      </c>
      <c r="B3126" s="7" t="inlineStr">
        <is>
          <t>Procurement</t>
        </is>
      </c>
      <c r="C3126" s="7" t="inlineStr">
        <is>
          <t>VN077</t>
        </is>
      </c>
      <c r="D3126" s="7" t="inlineStr">
        <is>
          <t>VN077 - Navy EOD Equipment</t>
        </is>
      </c>
      <c r="E3126" s="13" t="inlineStr">
        <is>
          <t>[SUB]</t>
        </is>
      </c>
      <c r="F3126" s="7" t="inlineStr">
        <is>
          <t>5509 / EOD Equipment</t>
        </is>
      </c>
      <c r="I3126" s="14" t="n">
        <v>4</v>
      </c>
      <c r="K3126" s="15" t="n"/>
      <c r="O3126" s="17" t="n">
        <v>54955</v>
      </c>
      <c r="P3126" s="16" t="n">
        <v>1774</v>
      </c>
      <c r="Q3126" s="16" t="n">
        <v>5032</v>
      </c>
      <c r="S3126" s="16" t="n">
        <v>4586</v>
      </c>
      <c r="U3126" s="16" t="n">
        <v>4586</v>
      </c>
      <c r="AC3126" s="23">
        <f>IF(OR(E3126="",E3126="[PARENT]"),"ADD",IF(E3126="[ALT_VIEW]","ALT",""))</f>
        <v/>
      </c>
      <c r="AD3126" s="21">
        <f>IF(Y3126&lt;&gt;"",Y3126,IF(U3126&lt;&gt;"",U3126,S3126))</f>
        <v/>
      </c>
      <c r="AE3126" s="21">
        <f>IF(AB3126&lt;&gt;"",AB3126,Z3126)</f>
        <v/>
      </c>
      <c r="AF3126" s="13" t="inlineStr">
        <is>
          <t>OPN BA4 / BSA 6 / EOD Equipment / Navy EOD Equipment</t>
        </is>
      </c>
      <c r="AG3126" s="7" t="inlineStr">
        <is>
          <t>209</t>
        </is>
      </c>
      <c r="AH3126" s="7" t="inlineStr">
        <is>
          <t>5509</t>
        </is>
      </c>
      <c r="AI3126" s="7" t="inlineStr">
        <is>
          <t>EOD - CREW Equipment</t>
        </is>
      </c>
      <c r="AJ3126" s="7" t="inlineStr">
        <is>
          <t>VN077</t>
        </is>
      </c>
    </row>
    <row r="3127" ht="10" customHeight="1">
      <c r="A3127" s="7" t="inlineStr">
        <is>
          <t>OPN_BA4</t>
        </is>
      </c>
      <c r="B3127" s="7" t="inlineStr">
        <is>
          <t>Procurement</t>
        </is>
      </c>
      <c r="C3127" s="7" t="inlineStr">
        <is>
          <t>VN870</t>
        </is>
      </c>
      <c r="D3127" s="7" t="inlineStr">
        <is>
          <t>VN870 - Tech Insertion and Refresh (JCREW)</t>
        </is>
      </c>
      <c r="E3127" s="13" t="inlineStr">
        <is>
          <t>[SUB]</t>
        </is>
      </c>
      <c r="F3127" s="7" t="inlineStr">
        <is>
          <t>5509 / EOD Equipment</t>
        </is>
      </c>
      <c r="I3127" s="14" t="n">
        <v>4</v>
      </c>
      <c r="K3127" s="15" t="n"/>
      <c r="O3127" s="17" t="n">
        <v>8137</v>
      </c>
      <c r="P3127" s="16" t="n">
        <v>3489</v>
      </c>
      <c r="Q3127" s="16" t="n">
        <v>963</v>
      </c>
      <c r="S3127" s="16" t="n">
        <v>988</v>
      </c>
      <c r="U3127" s="16" t="n">
        <v>988</v>
      </c>
      <c r="AC3127" s="23">
        <f>IF(OR(E3127="",E3127="[PARENT]"),"ADD",IF(E3127="[ALT_VIEW]","ALT",""))</f>
        <v/>
      </c>
      <c r="AD3127" s="21">
        <f>IF(Y3127&lt;&gt;"",Y3127,IF(U3127&lt;&gt;"",U3127,S3127))</f>
        <v/>
      </c>
      <c r="AE3127" s="21">
        <f>IF(AB3127&lt;&gt;"",AB3127,Z3127)</f>
        <v/>
      </c>
      <c r="AF3127" s="13" t="inlineStr">
        <is>
          <t>OPN BA4 / BSA 6 / EOD Equipment / JCREW Tech Insertion</t>
        </is>
      </c>
      <c r="AG3127" s="7" t="inlineStr">
        <is>
          <t>210</t>
        </is>
      </c>
      <c r="AH3127" s="7" t="inlineStr">
        <is>
          <t>5509</t>
        </is>
      </c>
      <c r="AI3127" s="7" t="inlineStr">
        <is>
          <t>EOD - CREW Equipment</t>
        </is>
      </c>
      <c r="AJ3127" s="7" t="inlineStr">
        <is>
          <t>VN870</t>
        </is>
      </c>
    </row>
    <row r="3128" ht="10" customHeight="1">
      <c r="A3128" s="7" t="inlineStr">
        <is>
          <t>OPN_BA4</t>
        </is>
      </c>
      <c r="B3128" s="7" t="inlineStr">
        <is>
          <t>Procurement</t>
        </is>
      </c>
      <c r="D3128" s="7" t="inlineStr">
        <is>
          <t>Counter Unmanned Aircraft Systems (CUAS/DRAKE)</t>
        </is>
      </c>
      <c r="E3128" s="13" t="inlineStr">
        <is>
          <t>[SUB]</t>
        </is>
      </c>
      <c r="F3128" s="7" t="inlineStr">
        <is>
          <t>5509 / EOD Equipment</t>
        </is>
      </c>
      <c r="I3128" s="14" t="n">
        <v>4</v>
      </c>
      <c r="K3128" s="15" t="n"/>
      <c r="O3128" s="17" t="n">
        <v>64350</v>
      </c>
      <c r="Q3128" s="16" t="n">
        <v>14460</v>
      </c>
      <c r="S3128" s="16" t="n">
        <v>19248</v>
      </c>
      <c r="U3128" s="16" t="n">
        <v>19248</v>
      </c>
      <c r="AC3128" s="23">
        <f>IF(OR(E3128="",E3128="[PARENT]"),"ADD",IF(E3128="[ALT_VIEW]","ALT",""))</f>
        <v/>
      </c>
      <c r="AD3128" s="21">
        <f>IF(Y3128&lt;&gt;"",Y3128,IF(U3128&lt;&gt;"",U3128,S3128))</f>
        <v/>
      </c>
      <c r="AE3128" s="21">
        <f>IF(AB3128&lt;&gt;"",AB3128,Z3128)</f>
        <v/>
      </c>
      <c r="AF3128" s="13" t="inlineStr">
        <is>
          <t>OPN BA4 / BSA 6 / EOD Equipment / CUAS DRAKE</t>
        </is>
      </c>
      <c r="AG3128" s="7" t="inlineStr">
        <is>
          <t>212</t>
        </is>
      </c>
      <c r="AH3128" s="7" t="inlineStr">
        <is>
          <t>5509</t>
        </is>
      </c>
      <c r="AI3128" s="7" t="inlineStr">
        <is>
          <t>EOD - CREW Equipment</t>
        </is>
      </c>
    </row>
    <row r="3129" ht="10" customHeight="1">
      <c r="A3129" s="7" t="inlineStr">
        <is>
          <t>OPN_BA4</t>
        </is>
      </c>
      <c r="B3129" s="7" t="inlineStr">
        <is>
          <t>Procurement</t>
        </is>
      </c>
      <c r="D3129" s="7" t="inlineStr">
        <is>
          <t>DRAKE Systems/Tech Insertion Undersea Enterprise</t>
        </is>
      </c>
      <c r="E3129" s="13" t="inlineStr">
        <is>
          <t>[SUB]</t>
        </is>
      </c>
      <c r="F3129" s="7" t="inlineStr">
        <is>
          <t>5509 / EOD Equipment</t>
        </is>
      </c>
      <c r="I3129" s="14" t="n">
        <v>4</v>
      </c>
      <c r="K3129" s="13" t="inlineStr">
        <is>
          <t>USN</t>
        </is>
      </c>
      <c r="L3129" s="7" t="inlineStr">
        <is>
          <t>Combatant Ships</t>
        </is>
      </c>
      <c r="M3129" s="7" t="inlineStr">
        <is>
          <t>Submarines</t>
        </is>
      </c>
      <c r="O3129" s="15" t="n"/>
      <c r="P3129" s="16" t="n">
        <v>3258</v>
      </c>
      <c r="AC3129" s="23">
        <f>IF(OR(E3129="",E3129="[PARENT]"),"ADD",IF(E3129="[ALT_VIEW]","ALT",""))</f>
        <v/>
      </c>
      <c r="AD3129" s="21">
        <f>IF(Y3129&lt;&gt;"",Y3129,IF(U3129&lt;&gt;"",U3129,S3129))</f>
        <v/>
      </c>
      <c r="AE3129" s="21">
        <f>IF(AB3129&lt;&gt;"",AB3129,Z3129)</f>
        <v/>
      </c>
      <c r="AF3129" s="13" t="inlineStr">
        <is>
          <t>OPN BA4 / BSA 6 / EOD Equipment / DRAKE Undersea</t>
        </is>
      </c>
      <c r="AG3129" s="7" t="inlineStr">
        <is>
          <t>212</t>
        </is>
      </c>
      <c r="AH3129" s="7" t="inlineStr">
        <is>
          <t>5509</t>
        </is>
      </c>
      <c r="AI3129" s="7" t="inlineStr">
        <is>
          <t>EOD - CREW Equipment</t>
        </is>
      </c>
    </row>
    <row r="3130" ht="10" customHeight="1">
      <c r="A3130" s="7" t="inlineStr">
        <is>
          <t>OPN_BA4</t>
        </is>
      </c>
      <c r="B3130" s="7" t="inlineStr">
        <is>
          <t>Procurement</t>
        </is>
      </c>
      <c r="D3130" s="7" t="inlineStr">
        <is>
          <t>DRAKE Systems/Tech Insertion Air Enterprise</t>
        </is>
      </c>
      <c r="E3130" s="13" t="inlineStr">
        <is>
          <t>[SUB]</t>
        </is>
      </c>
      <c r="F3130" s="7" t="inlineStr">
        <is>
          <t>5509 / EOD Equipment</t>
        </is>
      </c>
      <c r="I3130" s="14" t="n">
        <v>4</v>
      </c>
      <c r="K3130" s="13" t="inlineStr">
        <is>
          <t>USN</t>
        </is>
      </c>
      <c r="L3130" s="7" t="inlineStr">
        <is>
          <t>Combatant Ships</t>
        </is>
      </c>
      <c r="M3130" s="7" t="inlineStr">
        <is>
          <t>Aircraft Carriers</t>
        </is>
      </c>
      <c r="O3130" s="15" t="n"/>
      <c r="P3130" s="16" t="n">
        <v>2528</v>
      </c>
      <c r="AC3130" s="23">
        <f>IF(OR(E3130="",E3130="[PARENT]"),"ADD",IF(E3130="[ALT_VIEW]","ALT",""))</f>
        <v/>
      </c>
      <c r="AD3130" s="21">
        <f>IF(Y3130&lt;&gt;"",Y3130,IF(U3130&lt;&gt;"",U3130,S3130))</f>
        <v/>
      </c>
      <c r="AE3130" s="21">
        <f>IF(AB3130&lt;&gt;"",AB3130,Z3130)</f>
        <v/>
      </c>
      <c r="AF3130" s="13" t="inlineStr">
        <is>
          <t>OPN BA4 / BSA 6 / EOD Equipment / DRAKE Air Enterprise</t>
        </is>
      </c>
      <c r="AG3130" s="7" t="inlineStr">
        <is>
          <t>212</t>
        </is>
      </c>
      <c r="AH3130" s="7" t="inlineStr">
        <is>
          <t>5509</t>
        </is>
      </c>
      <c r="AI3130" s="7" t="inlineStr">
        <is>
          <t>EOD - CREW Equipment</t>
        </is>
      </c>
    </row>
    <row r="3131" ht="10" customHeight="1">
      <c r="A3131" s="7" t="inlineStr">
        <is>
          <t>OPN_BA4</t>
        </is>
      </c>
      <c r="B3131" s="7" t="inlineStr">
        <is>
          <t>Procurement</t>
        </is>
      </c>
      <c r="C3131" s="7" t="inlineStr">
        <is>
          <t>5510</t>
        </is>
      </c>
      <c r="D3131" s="7" t="inlineStr">
        <is>
          <t>Directed Energy Systems</t>
        </is>
      </c>
      <c r="E3131" s="13" t="inlineStr">
        <is>
          <t>[PARENT]</t>
        </is>
      </c>
      <c r="I3131" s="14" t="n">
        <v>4</v>
      </c>
      <c r="K3131" s="13" t="inlineStr">
        <is>
          <t>USN</t>
        </is>
      </c>
      <c r="L3131" s="7" t="inlineStr">
        <is>
          <t>Combatant Ships</t>
        </is>
      </c>
      <c r="M3131" s="7" t="inlineStr">
        <is>
          <t>Surface Combatants</t>
        </is>
      </c>
      <c r="N3131" s="7" t="inlineStr">
        <is>
          <t>DDG</t>
        </is>
      </c>
      <c r="O3131" s="17" t="n">
        <v>0</v>
      </c>
      <c r="P3131" s="16" t="n">
        <v>0</v>
      </c>
      <c r="Q3131" s="16" t="n">
        <v>3817</v>
      </c>
      <c r="S3131" s="16" t="n">
        <v>2976</v>
      </c>
      <c r="T3131" s="16" t="n">
        <v>0</v>
      </c>
      <c r="U3131" s="16" t="n">
        <v>2976</v>
      </c>
      <c r="AC3131" s="23">
        <f>IF(OR(E3131="",E3131="[PARENT]"),"ADD",IF(E3131="[ALT_VIEW]","ALT",""))</f>
        <v/>
      </c>
      <c r="AD3131" s="21">
        <f>IF(Y3131&lt;&gt;"",Y3131,IF(U3131&lt;&gt;"",U3131,S3131))</f>
        <v/>
      </c>
      <c r="AE3131" s="21">
        <f>IF(AB3131&lt;&gt;"",AB3131,Z3131)</f>
        <v/>
      </c>
      <c r="AF3131" s="13" t="inlineStr">
        <is>
          <t>OPN BA4 / BSA 6: Other Ordnance Support Equipment / Directed Energy Systems</t>
        </is>
      </c>
      <c r="AG3131" s="7" t="inlineStr">
        <is>
          <t>219</t>
        </is>
      </c>
      <c r="AH3131" s="7" t="inlineStr">
        <is>
          <t>5510</t>
        </is>
      </c>
      <c r="AI3131" s="7" t="inlineStr">
        <is>
          <t>DE001 - DIRECTED ENERGY SYSTEMS</t>
        </is>
      </c>
    </row>
    <row r="3132" ht="10" customHeight="1">
      <c r="A3132" s="7" t="inlineStr">
        <is>
          <t>OPN_BA4</t>
        </is>
      </c>
      <c r="B3132" s="7" t="inlineStr">
        <is>
          <t>Procurement</t>
        </is>
      </c>
      <c r="C3132" s="7" t="inlineStr">
        <is>
          <t>DE001</t>
        </is>
      </c>
      <c r="D3132" s="7" t="inlineStr">
        <is>
          <t>DE001 ILS/Production Support</t>
        </is>
      </c>
      <c r="E3132" s="13" t="inlineStr">
        <is>
          <t>[SUB]</t>
        </is>
      </c>
      <c r="F3132" s="7" t="inlineStr">
        <is>
          <t>5510 / Directed Energy Systems</t>
        </is>
      </c>
      <c r="I3132" s="14" t="n">
        <v>6</v>
      </c>
      <c r="K3132" s="13" t="inlineStr">
        <is>
          <t>USN</t>
        </is>
      </c>
      <c r="L3132" s="7" t="inlineStr">
        <is>
          <t>Combatant Ships</t>
        </is>
      </c>
      <c r="M3132" s="7" t="inlineStr">
        <is>
          <t>Surface Combatants</t>
        </is>
      </c>
      <c r="N3132" s="7" t="inlineStr">
        <is>
          <t>DDG</t>
        </is>
      </c>
      <c r="O3132" s="15" t="n"/>
      <c r="S3132" s="16" t="n">
        <v>500</v>
      </c>
      <c r="U3132" s="16" t="n">
        <v>500</v>
      </c>
      <c r="AC3132" s="23">
        <f>IF(OR(E3132="",E3132="[PARENT]"),"ADD",IF(E3132="[ALT_VIEW]","ALT",""))</f>
        <v/>
      </c>
      <c r="AD3132" s="21">
        <f>IF(Y3132&lt;&gt;"",Y3132,IF(U3132&lt;&gt;"",U3132,S3132))</f>
        <v/>
      </c>
      <c r="AE3132" s="21">
        <f>IF(AB3132&lt;&gt;"",AB3132,Z3132)</f>
        <v/>
      </c>
      <c r="AF3132" s="13" t="inlineStr">
        <is>
          <t>OPN BA4 / BSA 6 / Directed Energy / ILS Prod Support</t>
        </is>
      </c>
      <c r="AG3132" s="7" t="inlineStr">
        <is>
          <t>220</t>
        </is>
      </c>
      <c r="AH3132" s="7" t="inlineStr">
        <is>
          <t>5510</t>
        </is>
      </c>
      <c r="AI3132" s="7" t="inlineStr">
        <is>
          <t>DE001 - DIRECTED ENERGY SYSTEMS</t>
        </is>
      </c>
      <c r="AJ3132" s="7" t="inlineStr">
        <is>
          <t>DE001</t>
        </is>
      </c>
    </row>
    <row r="3133" ht="10" customHeight="1">
      <c r="A3133" s="7" t="inlineStr">
        <is>
          <t>OPN_BA4</t>
        </is>
      </c>
      <c r="B3133" s="7" t="inlineStr">
        <is>
          <t>Procurement</t>
        </is>
      </c>
      <c r="C3133" s="7" t="inlineStr">
        <is>
          <t>DE001</t>
        </is>
      </c>
      <c r="D3133" s="7" t="inlineStr">
        <is>
          <t>DE001 Engineering Change Proposals (ECPs)</t>
        </is>
      </c>
      <c r="E3133" s="13" t="inlineStr">
        <is>
          <t>[SUB]</t>
        </is>
      </c>
      <c r="F3133" s="7" t="inlineStr">
        <is>
          <t>5510 / Directed Energy Systems</t>
        </is>
      </c>
      <c r="I3133" s="14" t="n">
        <v>4</v>
      </c>
      <c r="K3133" s="13" t="inlineStr">
        <is>
          <t>USN</t>
        </is>
      </c>
      <c r="L3133" s="7" t="inlineStr">
        <is>
          <t>Combatant Ships</t>
        </is>
      </c>
      <c r="M3133" s="7" t="inlineStr">
        <is>
          <t>Surface Combatants</t>
        </is>
      </c>
      <c r="N3133" s="7" t="inlineStr">
        <is>
          <t>DDG</t>
        </is>
      </c>
      <c r="O3133" s="15" t="n"/>
      <c r="S3133" s="16" t="n">
        <v>800</v>
      </c>
      <c r="U3133" s="16" t="n">
        <v>800</v>
      </c>
      <c r="AC3133" s="23">
        <f>IF(OR(E3133="",E3133="[PARENT]"),"ADD",IF(E3133="[ALT_VIEW]","ALT",""))</f>
        <v/>
      </c>
      <c r="AD3133" s="21">
        <f>IF(Y3133&lt;&gt;"",Y3133,IF(U3133&lt;&gt;"",U3133,S3133))</f>
        <v/>
      </c>
      <c r="AE3133" s="21">
        <f>IF(AB3133&lt;&gt;"",AB3133,Z3133)</f>
        <v/>
      </c>
      <c r="AF3133" s="13" t="inlineStr">
        <is>
          <t>OPN BA4 / BSA 6 / Directed Energy / ECPs</t>
        </is>
      </c>
      <c r="AG3133" s="7" t="inlineStr">
        <is>
          <t>220</t>
        </is>
      </c>
      <c r="AH3133" s="7" t="inlineStr">
        <is>
          <t>5510</t>
        </is>
      </c>
      <c r="AI3133" s="7" t="inlineStr">
        <is>
          <t>DE001 - DIRECTED ENERGY SYSTEMS</t>
        </is>
      </c>
      <c r="AJ3133" s="7" t="inlineStr">
        <is>
          <t>DE001</t>
        </is>
      </c>
    </row>
    <row r="3134" ht="10" customHeight="1">
      <c r="A3134" s="7" t="inlineStr">
        <is>
          <t>OPN_BA4</t>
        </is>
      </c>
      <c r="B3134" s="7" t="inlineStr">
        <is>
          <t>Procurement</t>
        </is>
      </c>
      <c r="C3134" s="7" t="inlineStr">
        <is>
          <t>DE001</t>
        </is>
      </c>
      <c r="D3134" s="7" t="inlineStr">
        <is>
          <t>DE001 Spares</t>
        </is>
      </c>
      <c r="E3134" s="13" t="inlineStr">
        <is>
          <t>[SUB]</t>
        </is>
      </c>
      <c r="F3134" s="7" t="inlineStr">
        <is>
          <t>5510 / Directed Energy Systems</t>
        </is>
      </c>
      <c r="I3134" s="14" t="n">
        <v>6</v>
      </c>
      <c r="K3134" s="15" t="n"/>
      <c r="O3134" s="15" t="n"/>
      <c r="S3134" s="16" t="n">
        <v>1576</v>
      </c>
      <c r="U3134" s="16" t="n">
        <v>1576</v>
      </c>
      <c r="AC3134" s="23">
        <f>IF(OR(E3134="",E3134="[PARENT]"),"ADD",IF(E3134="[ALT_VIEW]","ALT",""))</f>
        <v/>
      </c>
      <c r="AD3134" s="21">
        <f>IF(Y3134&lt;&gt;"",Y3134,IF(U3134&lt;&gt;"",U3134,S3134))</f>
        <v/>
      </c>
      <c r="AE3134" s="21">
        <f>IF(AB3134&lt;&gt;"",AB3134,Z3134)</f>
        <v/>
      </c>
      <c r="AF3134" s="13" t="inlineStr">
        <is>
          <t>OPN BA4 / BSA 6 / Directed Energy / Spares</t>
        </is>
      </c>
      <c r="AG3134" s="7" t="inlineStr">
        <is>
          <t>220</t>
        </is>
      </c>
      <c r="AH3134" s="7" t="inlineStr">
        <is>
          <t>5510</t>
        </is>
      </c>
      <c r="AI3134" s="7" t="inlineStr">
        <is>
          <t>DE001 - DIRECTED ENERGY SYSTEMS</t>
        </is>
      </c>
      <c r="AJ3134" s="7" t="inlineStr">
        <is>
          <t>DE001</t>
        </is>
      </c>
    </row>
    <row r="3135" ht="10" customHeight="1">
      <c r="A3135" s="7" t="inlineStr">
        <is>
          <t>OPN_BA4</t>
        </is>
      </c>
      <c r="B3135" s="7" t="inlineStr">
        <is>
          <t>Procurement</t>
        </is>
      </c>
      <c r="C3135" s="7" t="inlineStr">
        <is>
          <t>DE001</t>
        </is>
      </c>
      <c r="D3135" s="7" t="inlineStr">
        <is>
          <t>DE001 Tech Refresh</t>
        </is>
      </c>
      <c r="E3135" s="13" t="inlineStr">
        <is>
          <t>[SUB]</t>
        </is>
      </c>
      <c r="F3135" s="7" t="inlineStr">
        <is>
          <t>5510 / Directed Energy Systems</t>
        </is>
      </c>
      <c r="I3135" s="14" t="n">
        <v>4</v>
      </c>
      <c r="K3135" s="15" t="n"/>
      <c r="O3135" s="15" t="n"/>
      <c r="S3135" s="16" t="n">
        <v>100</v>
      </c>
      <c r="U3135" s="16" t="n">
        <v>100</v>
      </c>
      <c r="AC3135" s="23">
        <f>IF(OR(E3135="",E3135="[PARENT]"),"ADD",IF(E3135="[ALT_VIEW]","ALT",""))</f>
        <v/>
      </c>
      <c r="AD3135" s="21">
        <f>IF(Y3135&lt;&gt;"",Y3135,IF(U3135&lt;&gt;"",U3135,S3135))</f>
        <v/>
      </c>
      <c r="AE3135" s="21">
        <f>IF(AB3135&lt;&gt;"",AB3135,Z3135)</f>
        <v/>
      </c>
      <c r="AF3135" s="13" t="inlineStr">
        <is>
          <t>OPN BA4 / BSA 6 / Directed Energy / Tech Refresh</t>
        </is>
      </c>
      <c r="AG3135" s="7" t="inlineStr">
        <is>
          <t>220</t>
        </is>
      </c>
      <c r="AH3135" s="7" t="inlineStr">
        <is>
          <t>5510</t>
        </is>
      </c>
      <c r="AI3135" s="7" t="inlineStr">
        <is>
          <t>DE001 - DIRECTED ENERGY SYSTEMS</t>
        </is>
      </c>
      <c r="AJ3135" s="7" t="inlineStr">
        <is>
          <t>DE001</t>
        </is>
      </c>
    </row>
    <row r="3136" ht="10" customHeight="1">
      <c r="A3136" s="7" t="inlineStr">
        <is>
          <t>OPN_BA4</t>
        </is>
      </c>
      <c r="B3136" s="7" t="inlineStr">
        <is>
          <t>Procurement</t>
        </is>
      </c>
      <c r="C3136" s="7" t="inlineStr">
        <is>
          <t>5543</t>
        </is>
      </c>
      <c r="D3136" s="7" t="inlineStr">
        <is>
          <t>Items Less Than $5 Million</t>
        </is>
      </c>
      <c r="E3136" s="13" t="inlineStr">
        <is>
          <t>[PARENT]</t>
        </is>
      </c>
      <c r="I3136" s="14" t="n">
        <v>4</v>
      </c>
      <c r="K3136" s="15" t="n"/>
      <c r="O3136" s="17" t="n">
        <v>106809</v>
      </c>
      <c r="P3136" s="16" t="n">
        <v>4767</v>
      </c>
      <c r="Q3136" s="16" t="n">
        <v>3193</v>
      </c>
      <c r="S3136" s="16" t="n">
        <v>3635</v>
      </c>
      <c r="T3136" s="16" t="n">
        <v>0</v>
      </c>
      <c r="U3136" s="16" t="n">
        <v>3635</v>
      </c>
      <c r="Z3136" s="16" t="n">
        <v>69425</v>
      </c>
      <c r="AB3136" s="16" t="n">
        <v>69425</v>
      </c>
      <c r="AC3136" s="23">
        <f>IF(OR(E3136="",E3136="[PARENT]"),"ADD",IF(E3136="[ALT_VIEW]","ALT",""))</f>
        <v/>
      </c>
      <c r="AD3136" s="21">
        <f>IF(Y3136&lt;&gt;"",Y3136,IF(U3136&lt;&gt;"",U3136,S3136))</f>
        <v/>
      </c>
      <c r="AE3136" s="21">
        <f>IF(AB3136&lt;&gt;"",AB3136,Z3136)</f>
        <v/>
      </c>
      <c r="AF3136" s="13" t="inlineStr">
        <is>
          <t>OPN BA4 / BSA 6: Other Ordnance Support Equipment / Items Less Than $5 Million</t>
        </is>
      </c>
      <c r="AG3136" s="7" t="inlineStr">
        <is>
          <t>223</t>
        </is>
      </c>
      <c r="AH3136" s="7" t="inlineStr">
        <is>
          <t>5543</t>
        </is>
      </c>
    </row>
    <row r="3137" ht="10" customHeight="1">
      <c r="A3137" s="7" t="inlineStr">
        <is>
          <t>OPN_BA4</t>
        </is>
      </c>
      <c r="B3137" s="7" t="inlineStr">
        <is>
          <t>Procurement</t>
        </is>
      </c>
      <c r="C3137" s="7" t="inlineStr">
        <is>
          <t>RA005</t>
        </is>
      </c>
      <c r="D3137" s="7" t="inlineStr">
        <is>
          <t>RA005 - Fleet Mine Support Equipment</t>
        </is>
      </c>
      <c r="E3137" s="13" t="inlineStr">
        <is>
          <t>[SUB]</t>
        </is>
      </c>
      <c r="F3137" s="7" t="inlineStr">
        <is>
          <t>5543 / Items Less Than $5 Million</t>
        </is>
      </c>
      <c r="I3137" s="14" t="n">
        <v>6</v>
      </c>
      <c r="K3137" s="13" t="inlineStr">
        <is>
          <t>USN</t>
        </is>
      </c>
      <c r="L3137" s="7" t="inlineStr">
        <is>
          <t>Combatant Ships</t>
        </is>
      </c>
      <c r="M3137" s="7" t="inlineStr">
        <is>
          <t>Mine Warfare</t>
        </is>
      </c>
      <c r="O3137" s="17" t="n">
        <v>25310</v>
      </c>
      <c r="P3137" s="16" t="n">
        <v>2805</v>
      </c>
      <c r="Q3137" s="16" t="n">
        <v>2646</v>
      </c>
      <c r="S3137" s="16" t="n">
        <v>3074</v>
      </c>
      <c r="U3137" s="16" t="n">
        <v>3074</v>
      </c>
      <c r="AC3137" s="23">
        <f>IF(OR(E3137="",E3137="[PARENT]"),"ADD",IF(E3137="[ALT_VIEW]","ALT",""))</f>
        <v/>
      </c>
      <c r="AD3137" s="21">
        <f>IF(Y3137&lt;&gt;"",Y3137,IF(U3137&lt;&gt;"",U3137,S3137))</f>
        <v/>
      </c>
      <c r="AE3137" s="21">
        <f>IF(AB3137&lt;&gt;"",AB3137,Z3137)</f>
        <v/>
      </c>
      <c r="AF3137" s="13" t="inlineStr">
        <is>
          <t>OPN BA4 / BSA 6 / Items &lt;$5M / Fleet Mine Support</t>
        </is>
      </c>
      <c r="AG3137" s="7" t="inlineStr">
        <is>
          <t>224</t>
        </is>
      </c>
      <c r="AH3137" s="7" t="inlineStr">
        <is>
          <t>5543</t>
        </is>
      </c>
      <c r="AJ3137" s="7" t="inlineStr">
        <is>
          <t>RA005</t>
        </is>
      </c>
    </row>
    <row r="3138" ht="10" customHeight="1">
      <c r="A3138" s="7" t="inlineStr">
        <is>
          <t>OPN_BA4</t>
        </is>
      </c>
      <c r="B3138" s="7" t="inlineStr">
        <is>
          <t>Procurement</t>
        </is>
      </c>
      <c r="C3138" s="7" t="inlineStr">
        <is>
          <t>RA003</t>
        </is>
      </c>
      <c r="D3138" s="7" t="inlineStr">
        <is>
          <t>RA003 - Industrial Facilities (NIROP ABL)</t>
        </is>
      </c>
      <c r="E3138" s="13" t="inlineStr">
        <is>
          <t>[SUB]</t>
        </is>
      </c>
      <c r="F3138" s="7" t="inlineStr">
        <is>
          <t>5543 / Items Less Than $5 Million</t>
        </is>
      </c>
      <c r="I3138" s="14" t="n">
        <v>6</v>
      </c>
      <c r="K3138" s="15" t="n"/>
      <c r="O3138" s="17" t="n">
        <v>11731</v>
      </c>
      <c r="P3138" s="16" t="n">
        <v>541</v>
      </c>
      <c r="Q3138" s="16" t="n">
        <v>547</v>
      </c>
      <c r="S3138" s="16" t="n">
        <v>561</v>
      </c>
      <c r="U3138" s="16" t="n">
        <v>561</v>
      </c>
      <c r="AC3138" s="23">
        <f>IF(OR(E3138="",E3138="[PARENT]"),"ADD",IF(E3138="[ALT_VIEW]","ALT",""))</f>
        <v/>
      </c>
      <c r="AD3138" s="21">
        <f>IF(Y3138&lt;&gt;"",Y3138,IF(U3138&lt;&gt;"",U3138,S3138))</f>
        <v/>
      </c>
      <c r="AE3138" s="21">
        <f>IF(AB3138&lt;&gt;"",AB3138,Z3138)</f>
        <v/>
      </c>
      <c r="AF3138" s="13" t="inlineStr">
        <is>
          <t>OPN BA4 / BSA 6 / Items &lt;$5M / NIROP ABL</t>
        </is>
      </c>
      <c r="AG3138" s="7" t="inlineStr">
        <is>
          <t>225</t>
        </is>
      </c>
      <c r="AH3138" s="7" t="inlineStr">
        <is>
          <t>5543</t>
        </is>
      </c>
      <c r="AJ3138" s="7" t="inlineStr">
        <is>
          <t>RA003</t>
        </is>
      </c>
    </row>
    <row r="3139" ht="10" customHeight="1">
      <c r="A3139" s="7" t="inlineStr">
        <is>
          <t>OPN_BA4</t>
        </is>
      </c>
      <c r="B3139" s="7" t="inlineStr">
        <is>
          <t>Procurement</t>
        </is>
      </c>
      <c r="C3139" s="7" t="inlineStr">
        <is>
          <t>5530</t>
        </is>
      </c>
      <c r="D3139" s="7" t="inlineStr">
        <is>
          <t>Anti-ship Missile Decoy System</t>
        </is>
      </c>
      <c r="E3139" s="13" t="inlineStr">
        <is>
          <t>[PARENT]</t>
        </is>
      </c>
      <c r="I3139" s="14" t="n">
        <v>4</v>
      </c>
      <c r="K3139" s="15" t="n"/>
      <c r="O3139" s="17" t="n">
        <v>247010</v>
      </c>
      <c r="P3139" s="16" t="n">
        <v>51100</v>
      </c>
      <c r="Q3139" s="16" t="n">
        <v>75614</v>
      </c>
      <c r="S3139" s="16" t="n">
        <v>19129</v>
      </c>
      <c r="T3139" s="16" t="n">
        <v>0</v>
      </c>
      <c r="U3139" s="16" t="n">
        <v>19129</v>
      </c>
      <c r="Z3139" s="16" t="n">
        <v>606241</v>
      </c>
      <c r="AB3139" s="16" t="n">
        <v>606241</v>
      </c>
      <c r="AC3139" s="23">
        <f>IF(OR(E3139="",E3139="[PARENT]"),"ADD",IF(E3139="[ALT_VIEW]","ALT",""))</f>
        <v/>
      </c>
      <c r="AD3139" s="21">
        <f>IF(Y3139&lt;&gt;"",Y3139,IF(U3139&lt;&gt;"",U3139,S3139))</f>
        <v/>
      </c>
      <c r="AE3139" s="21">
        <f>IF(AB3139&lt;&gt;"",AB3139,Z3139)</f>
        <v/>
      </c>
      <c r="AF3139" s="13" t="inlineStr">
        <is>
          <t>OPN BA4 / BSA 7: Other Expendable Ordnance / Anti-ship Missile Decoy System</t>
        </is>
      </c>
      <c r="AG3139" s="7" t="inlineStr">
        <is>
          <t>227</t>
        </is>
      </c>
      <c r="AH3139" s="7" t="inlineStr">
        <is>
          <t>5530</t>
        </is>
      </c>
    </row>
    <row r="3140" ht="10" customHeight="1">
      <c r="A3140" s="7" t="inlineStr">
        <is>
          <t>OPN_BA4</t>
        </is>
      </c>
      <c r="B3140" s="7" t="inlineStr">
        <is>
          <t>Procurement</t>
        </is>
      </c>
      <c r="C3140" s="7" t="inlineStr">
        <is>
          <t>VV003</t>
        </is>
      </c>
      <c r="D3140" s="7" t="inlineStr">
        <is>
          <t>VV003 - Engineering Change Proposals</t>
        </is>
      </c>
      <c r="E3140" s="13" t="inlineStr">
        <is>
          <t>[SUB]</t>
        </is>
      </c>
      <c r="F3140" s="7" t="inlineStr">
        <is>
          <t>5530 / Anti-ship Missile Decoy System</t>
        </is>
      </c>
      <c r="I3140" s="14" t="n">
        <v>4</v>
      </c>
      <c r="K3140" s="15" t="n"/>
      <c r="O3140" s="17" t="n">
        <v>8981</v>
      </c>
      <c r="P3140" s="16" t="n">
        <v>5550</v>
      </c>
      <c r="Q3140" s="16" t="n">
        <v>1583</v>
      </c>
      <c r="S3140" s="16" t="n">
        <v>1613</v>
      </c>
      <c r="U3140" s="16" t="n">
        <v>1613</v>
      </c>
      <c r="AC3140" s="23">
        <f>IF(OR(E3140="",E3140="[PARENT]"),"ADD",IF(E3140="[ALT_VIEW]","ALT",""))</f>
        <v/>
      </c>
      <c r="AD3140" s="21">
        <f>IF(Y3140&lt;&gt;"",Y3140,IF(U3140&lt;&gt;"",U3140,S3140))</f>
        <v/>
      </c>
      <c r="AE3140" s="21">
        <f>IF(AB3140&lt;&gt;"",AB3140,Z3140)</f>
        <v/>
      </c>
      <c r="AF3140" s="13" t="inlineStr">
        <is>
          <t>OPN BA4 / BSA 7 / Anti-ship Missile Decoy / ECPs</t>
        </is>
      </c>
      <c r="AG3140" s="7" t="inlineStr">
        <is>
          <t>229</t>
        </is>
      </c>
      <c r="AH3140" s="7" t="inlineStr">
        <is>
          <t>5530</t>
        </is>
      </c>
      <c r="AI3140" s="7" t="inlineStr">
        <is>
          <t>VV003 - ENG CHANGE PROPOSALS (ECPs)/ILS SUPPORT</t>
        </is>
      </c>
      <c r="AJ3140" s="7" t="inlineStr">
        <is>
          <t>VV003</t>
        </is>
      </c>
    </row>
    <row r="3141" ht="10" customHeight="1">
      <c r="A3141" s="7" t="inlineStr">
        <is>
          <t>OPN_BA4</t>
        </is>
      </c>
      <c r="B3141" s="7" t="inlineStr">
        <is>
          <t>Procurement</t>
        </is>
      </c>
      <c r="C3141" s="7" t="inlineStr">
        <is>
          <t>VV003</t>
        </is>
      </c>
      <c r="D3141" s="7" t="inlineStr">
        <is>
          <t>VV003 - Logistics/Production Support</t>
        </is>
      </c>
      <c r="E3141" s="13" t="inlineStr">
        <is>
          <t>[SUB]</t>
        </is>
      </c>
      <c r="F3141" s="7" t="inlineStr">
        <is>
          <t>5530 / Anti-ship Missile Decoy System</t>
        </is>
      </c>
      <c r="I3141" s="14" t="n">
        <v>6</v>
      </c>
      <c r="K3141" s="15" t="n"/>
      <c r="O3141" s="17" t="n">
        <v>17695</v>
      </c>
      <c r="P3141" s="16" t="n">
        <v>9006</v>
      </c>
      <c r="Q3141" s="16" t="n">
        <v>3255</v>
      </c>
      <c r="S3141" s="16" t="n">
        <v>3312</v>
      </c>
      <c r="U3141" s="16" t="n">
        <v>3312</v>
      </c>
      <c r="AC3141" s="23">
        <f>IF(OR(E3141="",E3141="[PARENT]"),"ADD",IF(E3141="[ALT_VIEW]","ALT",""))</f>
        <v/>
      </c>
      <c r="AD3141" s="21">
        <f>IF(Y3141&lt;&gt;"",Y3141,IF(U3141&lt;&gt;"",U3141,S3141))</f>
        <v/>
      </c>
      <c r="AE3141" s="21">
        <f>IF(AB3141&lt;&gt;"",AB3141,Z3141)</f>
        <v/>
      </c>
      <c r="AF3141" s="13" t="inlineStr">
        <is>
          <t>OPN BA4 / BSA 7 / Anti-ship Missile Decoy / Logistics</t>
        </is>
      </c>
      <c r="AG3141" s="7" t="inlineStr">
        <is>
          <t>229</t>
        </is>
      </c>
      <c r="AH3141" s="7" t="inlineStr">
        <is>
          <t>5530</t>
        </is>
      </c>
      <c r="AI3141" s="7" t="inlineStr">
        <is>
          <t>VV003 - ENG CHANGE PROPOSALS (ECPs)/ILS SUPPORT</t>
        </is>
      </c>
      <c r="AJ3141" s="7" t="inlineStr">
        <is>
          <t>VV003</t>
        </is>
      </c>
    </row>
    <row r="3142" ht="10" customHeight="1">
      <c r="A3142" s="7" t="inlineStr">
        <is>
          <t>OPN_BA4</t>
        </is>
      </c>
      <c r="B3142" s="7" t="inlineStr">
        <is>
          <t>Procurement</t>
        </is>
      </c>
      <c r="C3142" s="7" t="inlineStr">
        <is>
          <t>VV830</t>
        </is>
      </c>
      <c r="D3142" s="7" t="inlineStr">
        <is>
          <t>VV830 - Production Engineering</t>
        </is>
      </c>
      <c r="E3142" s="13" t="inlineStr">
        <is>
          <t>[SUB]</t>
        </is>
      </c>
      <c r="F3142" s="7" t="inlineStr">
        <is>
          <t>5530 / Anti-ship Missile Decoy System</t>
        </is>
      </c>
      <c r="I3142" s="14" t="n">
        <v>6</v>
      </c>
      <c r="K3142" s="15" t="n"/>
      <c r="O3142" s="17" t="n">
        <v>10489</v>
      </c>
      <c r="P3142" s="16" t="n">
        <v>2006</v>
      </c>
      <c r="Q3142" s="16" t="n">
        <v>4348</v>
      </c>
      <c r="S3142" s="16" t="n">
        <v>1451</v>
      </c>
      <c r="U3142" s="16" t="n">
        <v>1451</v>
      </c>
      <c r="AC3142" s="23">
        <f>IF(OR(E3142="",E3142="[PARENT]"),"ADD",IF(E3142="[ALT_VIEW]","ALT",""))</f>
        <v/>
      </c>
      <c r="AD3142" s="21">
        <f>IF(Y3142&lt;&gt;"",Y3142,IF(U3142&lt;&gt;"",U3142,S3142))</f>
        <v/>
      </c>
      <c r="AE3142" s="21">
        <f>IF(AB3142&lt;&gt;"",AB3142,Z3142)</f>
        <v/>
      </c>
      <c r="AF3142" s="13" t="inlineStr">
        <is>
          <t>OPN BA4 / BSA 7 / Anti-ship Missile Decoy / Prod Eng</t>
        </is>
      </c>
      <c r="AG3142" s="7" t="inlineStr">
        <is>
          <t>230</t>
        </is>
      </c>
      <c r="AH3142" s="7" t="inlineStr">
        <is>
          <t>5530</t>
        </is>
      </c>
      <c r="AI3142" s="7" t="inlineStr">
        <is>
          <t>VV830 - PRODUCTION ENGINEERING</t>
        </is>
      </c>
      <c r="AJ3142" s="7" t="inlineStr">
        <is>
          <t>VV830</t>
        </is>
      </c>
    </row>
    <row r="3143" ht="10" customHeight="1">
      <c r="A3143" s="7" t="inlineStr">
        <is>
          <t>OPN_BA4</t>
        </is>
      </c>
      <c r="B3143" s="7" t="inlineStr">
        <is>
          <t>Procurement</t>
        </is>
      </c>
      <c r="C3143" s="7" t="inlineStr">
        <is>
          <t>VV500</t>
        </is>
      </c>
      <c r="D3143" s="7" t="inlineStr">
        <is>
          <t>VV500 - AOEW (Advanced Offboard/EW)</t>
        </is>
      </c>
      <c r="E3143" s="13" t="inlineStr">
        <is>
          <t>[SUB]</t>
        </is>
      </c>
      <c r="F3143" s="7" t="inlineStr">
        <is>
          <t>5530 / Anti-ship Missile Decoy System</t>
        </is>
      </c>
      <c r="I3143" s="14" t="n">
        <v>4</v>
      </c>
      <c r="K3143" s="15" t="n"/>
      <c r="O3143" s="17" t="n">
        <v>49986</v>
      </c>
      <c r="P3143" s="16" t="n">
        <v>1296</v>
      </c>
      <c r="Q3143" s="16" t="n">
        <v>13666</v>
      </c>
      <c r="S3143" s="16" t="n">
        <v>0</v>
      </c>
      <c r="U3143" s="16" t="n">
        <v>0</v>
      </c>
      <c r="AC3143" s="23">
        <f>IF(OR(E3143="",E3143="[PARENT]"),"ADD",IF(E3143="[ALT_VIEW]","ALT",""))</f>
        <v/>
      </c>
      <c r="AD3143" s="21">
        <f>IF(Y3143&lt;&gt;"",Y3143,IF(U3143&lt;&gt;"",U3143,S3143))</f>
        <v/>
      </c>
      <c r="AE3143" s="21">
        <f>IF(AB3143&lt;&gt;"",AB3143,Z3143)</f>
        <v/>
      </c>
      <c r="AF3143" s="13" t="inlineStr">
        <is>
          <t>OPN BA4 / BSA 7 / Anti-ship Missile Decoy / AOEW</t>
        </is>
      </c>
      <c r="AG3143" s="7" t="inlineStr">
        <is>
          <t>230</t>
        </is>
      </c>
      <c r="AH3143" s="7" t="inlineStr">
        <is>
          <t>5530</t>
        </is>
      </c>
      <c r="AI3143" s="7" t="inlineStr">
        <is>
          <t>VV500 - ADVANCED OFFBOARD/EW</t>
        </is>
      </c>
      <c r="AJ3143" s="7" t="inlineStr">
        <is>
          <t>VV500</t>
        </is>
      </c>
    </row>
    <row r="3144" ht="10" customHeight="1">
      <c r="A3144" s="7" t="inlineStr">
        <is>
          <t>OPN_BA4</t>
        </is>
      </c>
      <c r="B3144" s="7" t="inlineStr">
        <is>
          <t>Procurement</t>
        </is>
      </c>
      <c r="C3144" s="7" t="inlineStr">
        <is>
          <t>VV200</t>
        </is>
      </c>
      <c r="D3144" s="7" t="inlineStr">
        <is>
          <t>VV200 - Nulka Kit Assemblies</t>
        </is>
      </c>
      <c r="E3144" s="13" t="inlineStr">
        <is>
          <t>[SUB]</t>
        </is>
      </c>
      <c r="F3144" s="7" t="inlineStr">
        <is>
          <t>5530 / Anti-ship Missile Decoy System</t>
        </is>
      </c>
      <c r="I3144" s="14" t="n">
        <v>4</v>
      </c>
      <c r="K3144" s="13" t="inlineStr">
        <is>
          <t>USN</t>
        </is>
      </c>
      <c r="L3144" s="7" t="inlineStr">
        <is>
          <t>Combatant Ships</t>
        </is>
      </c>
      <c r="M3144" s="7" t="inlineStr">
        <is>
          <t>Surface Combatants</t>
        </is>
      </c>
      <c r="O3144" s="17" t="n">
        <v>48623</v>
      </c>
      <c r="P3144" s="16" t="n">
        <v>28828</v>
      </c>
      <c r="Q3144" s="16" t="n">
        <v>10511</v>
      </c>
      <c r="S3144" s="16" t="n">
        <v>0</v>
      </c>
      <c r="U3144" s="16" t="n">
        <v>0</v>
      </c>
      <c r="AC3144" s="23">
        <f>IF(OR(E3144="",E3144="[PARENT]"),"ADD",IF(E3144="[ALT_VIEW]","ALT",""))</f>
        <v/>
      </c>
      <c r="AD3144" s="21">
        <f>IF(Y3144&lt;&gt;"",Y3144,IF(U3144&lt;&gt;"",U3144,S3144))</f>
        <v/>
      </c>
      <c r="AE3144" s="21">
        <f>IF(AB3144&lt;&gt;"",AB3144,Z3144)</f>
        <v/>
      </c>
      <c r="AF3144" s="13" t="inlineStr">
        <is>
          <t>OPN BA4 / BSA 7 / Anti-ship Missile Decoy / Nulka Kits</t>
        </is>
      </c>
      <c r="AG3144" s="7" t="inlineStr">
        <is>
          <t>231</t>
        </is>
      </c>
      <c r="AH3144" s="7" t="inlineStr">
        <is>
          <t>5530</t>
        </is>
      </c>
      <c r="AI3144" s="7" t="inlineStr">
        <is>
          <t>VV200 - NULKA KIT ASSEMBLIES</t>
        </is>
      </c>
      <c r="AJ3144" s="7" t="inlineStr">
        <is>
          <t>VV200</t>
        </is>
      </c>
    </row>
    <row r="3145" ht="10" customHeight="1">
      <c r="A3145" s="7" t="inlineStr">
        <is>
          <t>OPN_BA4</t>
        </is>
      </c>
      <c r="B3145" s="7" t="inlineStr">
        <is>
          <t>Procurement</t>
        </is>
      </c>
      <c r="C3145" s="7" t="inlineStr">
        <is>
          <t>VV201</t>
        </is>
      </c>
      <c r="D3145" s="7" t="inlineStr">
        <is>
          <t>VV201 - Rocket Motor Assembly (RMA)</t>
        </is>
      </c>
      <c r="E3145" s="13" t="inlineStr">
        <is>
          <t>[SUB]</t>
        </is>
      </c>
      <c r="F3145" s="7" t="inlineStr">
        <is>
          <t>5530 / Anti-ship Missile Decoy System</t>
        </is>
      </c>
      <c r="I3145" s="14" t="n">
        <v>4</v>
      </c>
      <c r="K3145" s="15" t="n"/>
      <c r="O3145" s="17" t="n">
        <v>37557</v>
      </c>
      <c r="Q3145" s="16" t="n">
        <v>7000</v>
      </c>
      <c r="S3145" s="16" t="n">
        <v>0</v>
      </c>
      <c r="U3145" s="16" t="n">
        <v>0</v>
      </c>
      <c r="AC3145" s="23">
        <f>IF(OR(E3145="",E3145="[PARENT]"),"ADD",IF(E3145="[ALT_VIEW]","ALT",""))</f>
        <v/>
      </c>
      <c r="AD3145" s="21">
        <f>IF(Y3145&lt;&gt;"",Y3145,IF(U3145&lt;&gt;"",U3145,S3145))</f>
        <v/>
      </c>
      <c r="AE3145" s="21">
        <f>IF(AB3145&lt;&gt;"",AB3145,Z3145)</f>
        <v/>
      </c>
      <c r="AF3145" s="13" t="inlineStr">
        <is>
          <t>OPN BA4 / BSA 7 / Anti-ship Missile Decoy / RMA</t>
        </is>
      </c>
      <c r="AG3145" s="7" t="inlineStr">
        <is>
          <t>231</t>
        </is>
      </c>
      <c r="AH3145" s="7" t="inlineStr">
        <is>
          <t>5530</t>
        </is>
      </c>
      <c r="AI3145" s="7" t="inlineStr">
        <is>
          <t>VV201 - ROCKET MOTOR ASSEMBLY (RMA)</t>
        </is>
      </c>
      <c r="AJ3145" s="7" t="inlineStr">
        <is>
          <t>VV201</t>
        </is>
      </c>
    </row>
    <row r="3146" ht="10" customHeight="1">
      <c r="A3146" s="7" t="inlineStr">
        <is>
          <t>OPN_BA4</t>
        </is>
      </c>
      <c r="B3146" s="7" t="inlineStr">
        <is>
          <t>Procurement</t>
        </is>
      </c>
      <c r="C3146" s="7" t="inlineStr">
        <is>
          <t>VV600</t>
        </is>
      </c>
      <c r="D3146" s="7" t="inlineStr">
        <is>
          <t>VV600 - MK 59</t>
        </is>
      </c>
      <c r="E3146" s="13" t="inlineStr">
        <is>
          <t>[SUB]</t>
        </is>
      </c>
      <c r="F3146" s="7" t="inlineStr">
        <is>
          <t>5530 / Anti-ship Missile Decoy System</t>
        </is>
      </c>
      <c r="I3146" s="14" t="n">
        <v>4</v>
      </c>
      <c r="K3146" s="13" t="inlineStr">
        <is>
          <t>USN</t>
        </is>
      </c>
      <c r="L3146" s="7" t="inlineStr">
        <is>
          <t>Combatant Ships</t>
        </is>
      </c>
      <c r="M3146" s="7" t="inlineStr">
        <is>
          <t>Surface Combatants</t>
        </is>
      </c>
      <c r="N3146" s="7" t="inlineStr">
        <is>
          <t>DDG</t>
        </is>
      </c>
      <c r="O3146" s="17" t="n">
        <v>0</v>
      </c>
      <c r="Q3146" s="16" t="n">
        <v>35251</v>
      </c>
      <c r="S3146" s="16" t="n">
        <v>6377</v>
      </c>
      <c r="U3146" s="16" t="n">
        <v>6377</v>
      </c>
      <c r="AC3146" s="23">
        <f>IF(OR(E3146="",E3146="[PARENT]"),"ADD",IF(E3146="[ALT_VIEW]","ALT",""))</f>
        <v/>
      </c>
      <c r="AD3146" s="21">
        <f>IF(Y3146&lt;&gt;"",Y3146,IF(U3146&lt;&gt;"",U3146,S3146))</f>
        <v/>
      </c>
      <c r="AE3146" s="21">
        <f>IF(AB3146&lt;&gt;"",AB3146,Z3146)</f>
        <v/>
      </c>
      <c r="AF3146" s="13" t="inlineStr">
        <is>
          <t>OPN BA4 / BSA 7 / Anti-ship Missile Decoy / MK 59</t>
        </is>
      </c>
      <c r="AG3146" s="7" t="inlineStr">
        <is>
          <t>232</t>
        </is>
      </c>
      <c r="AH3146" s="7" t="inlineStr">
        <is>
          <t>5530</t>
        </is>
      </c>
      <c r="AI3146" s="7" t="inlineStr">
        <is>
          <t>VV600 - MK 59</t>
        </is>
      </c>
      <c r="AJ3146" s="7" t="inlineStr">
        <is>
          <t>VV600</t>
        </is>
      </c>
    </row>
    <row r="3147" ht="10" customHeight="1">
      <c r="A3147" s="7" t="inlineStr">
        <is>
          <t>OPN_BA4</t>
        </is>
      </c>
      <c r="B3147" s="7" t="inlineStr">
        <is>
          <t>Procurement</t>
        </is>
      </c>
      <c r="D3147" s="7" t="inlineStr">
        <is>
          <t>MK-59 Decoy and Launcher</t>
        </is>
      </c>
      <c r="E3147" s="13" t="inlineStr">
        <is>
          <t>[SUB]</t>
        </is>
      </c>
      <c r="F3147" s="7" t="inlineStr">
        <is>
          <t>VV600 / MK 59</t>
        </is>
      </c>
      <c r="I3147" s="14" t="n">
        <v>4</v>
      </c>
      <c r="K3147" s="13" t="inlineStr">
        <is>
          <t>USN</t>
        </is>
      </c>
      <c r="L3147" s="7" t="inlineStr">
        <is>
          <t>Combatant Ships</t>
        </is>
      </c>
      <c r="M3147" s="7" t="inlineStr">
        <is>
          <t>Surface Combatants</t>
        </is>
      </c>
      <c r="N3147" s="7" t="inlineStr">
        <is>
          <t>DDG</t>
        </is>
      </c>
      <c r="O3147" s="15" t="n"/>
      <c r="Q3147" s="16" t="n">
        <v>23000</v>
      </c>
      <c r="S3147" s="16" t="n">
        <v>2615</v>
      </c>
      <c r="U3147" s="16" t="n">
        <v>2615</v>
      </c>
      <c r="AC3147" s="23">
        <f>IF(OR(E3147="",E3147="[PARENT]"),"ADD",IF(E3147="[ALT_VIEW]","ALT",""))</f>
        <v/>
      </c>
      <c r="AD3147" s="21">
        <f>IF(Y3147&lt;&gt;"",Y3147,IF(U3147&lt;&gt;"",U3147,S3147))</f>
        <v/>
      </c>
      <c r="AE3147" s="21">
        <f>IF(AB3147&lt;&gt;"",AB3147,Z3147)</f>
        <v/>
      </c>
      <c r="AF3147" s="13" t="inlineStr">
        <is>
          <t>OPN BA4 / BSA 7 / Anti-ship Missile Decoy / MK 59 / Procurement</t>
        </is>
      </c>
      <c r="AG3147" s="7" t="inlineStr">
        <is>
          <t>232</t>
        </is>
      </c>
      <c r="AH3147" s="7" t="inlineStr">
        <is>
          <t>5530</t>
        </is>
      </c>
    </row>
    <row r="3148" ht="10" customHeight="1">
      <c r="A3148" s="7" t="inlineStr">
        <is>
          <t>OPN_BA4</t>
        </is>
      </c>
      <c r="B3148" s="7" t="inlineStr">
        <is>
          <t>Procurement</t>
        </is>
      </c>
      <c r="D3148" s="7" t="inlineStr">
        <is>
          <t>MK-59 Installations</t>
        </is>
      </c>
      <c r="E3148" s="13" t="inlineStr">
        <is>
          <t>[SUB]</t>
        </is>
      </c>
      <c r="F3148" s="7" t="inlineStr">
        <is>
          <t>VV600 / MK 59</t>
        </is>
      </c>
      <c r="I3148" s="14" t="n">
        <v>4</v>
      </c>
      <c r="K3148" s="13" t="inlineStr">
        <is>
          <t>USN</t>
        </is>
      </c>
      <c r="L3148" s="7" t="inlineStr">
        <is>
          <t>Combatant Ships</t>
        </is>
      </c>
      <c r="M3148" s="7" t="inlineStr">
        <is>
          <t>Surface Combatants</t>
        </is>
      </c>
      <c r="N3148" s="7" t="inlineStr">
        <is>
          <t>DDG</t>
        </is>
      </c>
      <c r="O3148" s="15" t="n"/>
      <c r="Q3148" s="16" t="n">
        <v>9551</v>
      </c>
      <c r="S3148" s="16" t="n">
        <v>3762</v>
      </c>
      <c r="U3148" s="16" t="n">
        <v>3762</v>
      </c>
      <c r="AC3148" s="23">
        <f>IF(OR(E3148="",E3148="[PARENT]"),"ADD",IF(E3148="[ALT_VIEW]","ALT",""))</f>
        <v/>
      </c>
      <c r="AD3148" s="21">
        <f>IF(Y3148&lt;&gt;"",Y3148,IF(U3148&lt;&gt;"",U3148,S3148))</f>
        <v/>
      </c>
      <c r="AE3148" s="21">
        <f>IF(AB3148&lt;&gt;"",AB3148,Z3148)</f>
        <v/>
      </c>
      <c r="AF3148" s="13" t="inlineStr">
        <is>
          <t>OPN BA4 / BSA 7 / Anti-ship Missile Decoy / MK 59 / Installation</t>
        </is>
      </c>
      <c r="AG3148" s="7" t="inlineStr">
        <is>
          <t>232</t>
        </is>
      </c>
      <c r="AH3148" s="7" t="inlineStr">
        <is>
          <t>5530</t>
        </is>
      </c>
    </row>
    <row r="3149" ht="10" customHeight="1">
      <c r="A3149" s="7" t="inlineStr">
        <is>
          <t>OPN_BA4</t>
        </is>
      </c>
      <c r="B3149" s="7" t="inlineStr">
        <is>
          <t>Procurement</t>
        </is>
      </c>
      <c r="C3149" s="7" t="inlineStr">
        <is>
          <t>VV700</t>
        </is>
      </c>
      <c r="D3149" s="7" t="inlineStr">
        <is>
          <t>VV700 - Long Endurance Electronic Decoy (LEED)</t>
        </is>
      </c>
      <c r="E3149" s="13" t="inlineStr">
        <is>
          <t>[SUB]</t>
        </is>
      </c>
      <c r="F3149" s="7" t="inlineStr">
        <is>
          <t>5530 / Anti-ship Missile Decoy System</t>
        </is>
      </c>
      <c r="I3149" s="14" t="n">
        <v>4</v>
      </c>
      <c r="K3149" s="15" t="n"/>
      <c r="O3149" s="17" t="n">
        <v>0</v>
      </c>
      <c r="S3149" s="16" t="n">
        <v>6376</v>
      </c>
      <c r="U3149" s="16" t="n">
        <v>6376</v>
      </c>
      <c r="AC3149" s="23">
        <f>IF(OR(E3149="",E3149="[PARENT]"),"ADD",IF(E3149="[ALT_VIEW]","ALT",""))</f>
        <v/>
      </c>
      <c r="AD3149" s="21">
        <f>IF(Y3149&lt;&gt;"",Y3149,IF(U3149&lt;&gt;"",U3149,S3149))</f>
        <v/>
      </c>
      <c r="AE3149" s="21">
        <f>IF(AB3149&lt;&gt;"",AB3149,Z3149)</f>
        <v/>
      </c>
      <c r="AF3149" s="13" t="inlineStr">
        <is>
          <t>OPN BA4 / BSA 7 / Anti-ship Missile Decoy / LEED</t>
        </is>
      </c>
      <c r="AG3149" s="7" t="inlineStr">
        <is>
          <t>233</t>
        </is>
      </c>
      <c r="AH3149" s="7" t="inlineStr">
        <is>
          <t>5530</t>
        </is>
      </c>
      <c r="AI3149" s="7" t="inlineStr">
        <is>
          <t>VV700 - Long Endurance Electronic Decoy (LEED)</t>
        </is>
      </c>
      <c r="AJ3149" s="7" t="inlineStr">
        <is>
          <t>VV700</t>
        </is>
      </c>
    </row>
    <row r="3150" ht="10" customHeight="1">
      <c r="A3150" s="7" t="inlineStr">
        <is>
          <t>OPN_BA4</t>
        </is>
      </c>
      <c r="B3150" s="7" t="inlineStr">
        <is>
          <t>Procurement</t>
        </is>
      </c>
      <c r="D3150" s="7" t="inlineStr">
        <is>
          <t>LEED Production Support</t>
        </is>
      </c>
      <c r="E3150" s="13" t="inlineStr">
        <is>
          <t>[SUB]</t>
        </is>
      </c>
      <c r="F3150" s="7" t="inlineStr">
        <is>
          <t>VV700 / LEED</t>
        </is>
      </c>
      <c r="I3150" s="14" t="n">
        <v>6</v>
      </c>
      <c r="K3150" s="15" t="n"/>
      <c r="O3150" s="15" t="n"/>
      <c r="S3150" s="16" t="n">
        <v>1865</v>
      </c>
      <c r="U3150" s="16" t="n">
        <v>1865</v>
      </c>
      <c r="AC3150" s="23">
        <f>IF(OR(E3150="",E3150="[PARENT]"),"ADD",IF(E3150="[ALT_VIEW]","ALT",""))</f>
        <v/>
      </c>
      <c r="AD3150" s="21">
        <f>IF(Y3150&lt;&gt;"",Y3150,IF(U3150&lt;&gt;"",U3150,S3150))</f>
        <v/>
      </c>
      <c r="AE3150" s="21">
        <f>IF(AB3150&lt;&gt;"",AB3150,Z3150)</f>
        <v/>
      </c>
      <c r="AF3150" s="13" t="inlineStr">
        <is>
          <t>OPN BA4 / BSA 7 / Anti-ship Missile Decoy / LEED / Prod Support</t>
        </is>
      </c>
      <c r="AG3150" s="7" t="inlineStr">
        <is>
          <t>233</t>
        </is>
      </c>
      <c r="AH3150" s="7" t="inlineStr">
        <is>
          <t>5530</t>
        </is>
      </c>
    </row>
    <row r="3151" ht="10" customHeight="1">
      <c r="A3151" s="7" t="inlineStr">
        <is>
          <t>OPN_BA4</t>
        </is>
      </c>
      <c r="B3151" s="7" t="inlineStr">
        <is>
          <t>Procurement</t>
        </is>
      </c>
      <c r="D3151" s="7" t="inlineStr">
        <is>
          <t>LEED Ship Integration Planning and Installation</t>
        </is>
      </c>
      <c r="E3151" s="13" t="inlineStr">
        <is>
          <t>[SUB]</t>
        </is>
      </c>
      <c r="F3151" s="7" t="inlineStr">
        <is>
          <t>VV700 / LEED</t>
        </is>
      </c>
      <c r="I3151" s="14" t="n">
        <v>4</v>
      </c>
      <c r="K3151" s="15" t="n"/>
      <c r="O3151" s="15" t="n"/>
      <c r="S3151" s="16" t="n">
        <v>1250</v>
      </c>
      <c r="U3151" s="16" t="n">
        <v>1250</v>
      </c>
      <c r="AC3151" s="23">
        <f>IF(OR(E3151="",E3151="[PARENT]"),"ADD",IF(E3151="[ALT_VIEW]","ALT",""))</f>
        <v/>
      </c>
      <c r="AD3151" s="21">
        <f>IF(Y3151&lt;&gt;"",Y3151,IF(U3151&lt;&gt;"",U3151,S3151))</f>
        <v/>
      </c>
      <c r="AE3151" s="21">
        <f>IF(AB3151&lt;&gt;"",AB3151,Z3151)</f>
        <v/>
      </c>
      <c r="AF3151" s="13" t="inlineStr">
        <is>
          <t>OPN BA4 / BSA 7 / Anti-ship Missile Decoy / LEED / Installation</t>
        </is>
      </c>
      <c r="AG3151" s="7" t="inlineStr">
        <is>
          <t>233</t>
        </is>
      </c>
      <c r="AH3151" s="7" t="inlineStr">
        <is>
          <t>5530</t>
        </is>
      </c>
    </row>
    <row r="3152" ht="10" customHeight="1">
      <c r="A3152" s="7" t="inlineStr">
        <is>
          <t>OPN_BA4</t>
        </is>
      </c>
      <c r="B3152" s="7" t="inlineStr">
        <is>
          <t>Procurement</t>
        </is>
      </c>
      <c r="D3152" s="7" t="inlineStr">
        <is>
          <t>LEED Engineering Services</t>
        </is>
      </c>
      <c r="E3152" s="13" t="inlineStr">
        <is>
          <t>[SUB]</t>
        </is>
      </c>
      <c r="F3152" s="7" t="inlineStr">
        <is>
          <t>VV700 / LEED</t>
        </is>
      </c>
      <c r="I3152" s="14" t="n">
        <v>6</v>
      </c>
      <c r="K3152" s="15" t="n"/>
      <c r="O3152" s="15" t="n"/>
      <c r="S3152" s="16" t="n">
        <v>3261</v>
      </c>
      <c r="U3152" s="16" t="n">
        <v>3261</v>
      </c>
      <c r="AC3152" s="23">
        <f>IF(OR(E3152="",E3152="[PARENT]"),"ADD",IF(E3152="[ALT_VIEW]","ALT",""))</f>
        <v/>
      </c>
      <c r="AD3152" s="21">
        <f>IF(Y3152&lt;&gt;"",Y3152,IF(U3152&lt;&gt;"",U3152,S3152))</f>
        <v/>
      </c>
      <c r="AE3152" s="21">
        <f>IF(AB3152&lt;&gt;"",AB3152,Z3152)</f>
        <v/>
      </c>
      <c r="AF3152" s="13" t="inlineStr">
        <is>
          <t>OPN BA4 / BSA 7 / Anti-ship Missile Decoy / LEED / Engineering</t>
        </is>
      </c>
      <c r="AG3152" s="7" t="inlineStr">
        <is>
          <t>233</t>
        </is>
      </c>
      <c r="AH3152" s="7" t="inlineStr">
        <is>
          <t>5530</t>
        </is>
      </c>
    </row>
    <row r="3153" ht="10" customHeight="1">
      <c r="A3153" s="7" t="inlineStr">
        <is>
          <t>OPN_BA4</t>
        </is>
      </c>
      <c r="B3153" s="7" t="inlineStr">
        <is>
          <t>Procurement</t>
        </is>
      </c>
      <c r="C3153" s="7" t="inlineStr">
        <is>
          <t>5661</t>
        </is>
      </c>
      <c r="D3153" s="7" t="inlineStr">
        <is>
          <t>Submarine Training Device Mods</t>
        </is>
      </c>
      <c r="E3153" s="13" t="inlineStr">
        <is>
          <t>[PARENT]</t>
        </is>
      </c>
      <c r="I3153" s="14" t="n">
        <v>6</v>
      </c>
      <c r="K3153" s="13" t="inlineStr">
        <is>
          <t>USN</t>
        </is>
      </c>
      <c r="L3153" s="7" t="inlineStr">
        <is>
          <t>Combatant Ships</t>
        </is>
      </c>
      <c r="M3153" s="7" t="inlineStr">
        <is>
          <t>Submarines</t>
        </is>
      </c>
      <c r="N3153" s="7" t="inlineStr">
        <is>
          <t>SSN</t>
        </is>
      </c>
      <c r="O3153" s="17" t="n">
        <v>501698</v>
      </c>
      <c r="P3153" s="16" t="n">
        <v>76903</v>
      </c>
      <c r="Q3153" s="16" t="n">
        <v>80248</v>
      </c>
      <c r="S3153" s="16" t="n">
        <v>77889</v>
      </c>
      <c r="T3153" s="16" t="n">
        <v>0</v>
      </c>
      <c r="U3153" s="16" t="n">
        <v>77889</v>
      </c>
      <c r="Z3153" s="16" t="n">
        <v>73681</v>
      </c>
      <c r="AB3153" s="16" t="n">
        <v>73681</v>
      </c>
      <c r="AC3153" s="23">
        <f>IF(OR(E3153="",E3153="[PARENT]"),"ADD",IF(E3153="[ALT_VIEW]","ALT",""))</f>
        <v/>
      </c>
      <c r="AD3153" s="21">
        <f>IF(Y3153&lt;&gt;"",Y3153,IF(U3153&lt;&gt;"",U3153,S3153))</f>
        <v/>
      </c>
      <c r="AE3153" s="21">
        <f>IF(AB3153&lt;&gt;"",AB3153,Z3153)</f>
        <v/>
      </c>
      <c r="AF3153" s="13" t="inlineStr">
        <is>
          <t>OPN BA4 / BSA 7: Other Expendable Ordnance / Submarine Training Device Mods</t>
        </is>
      </c>
      <c r="AG3153" s="7" t="inlineStr">
        <is>
          <t>235</t>
        </is>
      </c>
      <c r="AH3153" s="7" t="inlineStr">
        <is>
          <t>5661</t>
        </is>
      </c>
    </row>
    <row r="3154" ht="10" customHeight="1">
      <c r="A3154" s="7" t="inlineStr">
        <is>
          <t>OPN_BA4</t>
        </is>
      </c>
      <c r="B3154" s="7" t="inlineStr">
        <is>
          <t>Procurement</t>
        </is>
      </c>
      <c r="D3154" s="7" t="inlineStr">
        <is>
          <t>Submarine Training (P-40a)</t>
        </is>
      </c>
      <c r="E3154" s="13" t="inlineStr">
        <is>
          <t>[SUB]</t>
        </is>
      </c>
      <c r="F3154" s="7" t="inlineStr">
        <is>
          <t>5661 / Submarine Training Device Mods</t>
        </is>
      </c>
      <c r="I3154" s="14" t="n">
        <v>6</v>
      </c>
      <c r="K3154" s="13" t="inlineStr">
        <is>
          <t>USN</t>
        </is>
      </c>
      <c r="L3154" s="7" t="inlineStr">
        <is>
          <t>Combatant Ships</t>
        </is>
      </c>
      <c r="M3154" s="7" t="inlineStr">
        <is>
          <t>Submarines</t>
        </is>
      </c>
      <c r="O3154" s="17" t="n">
        <v>297318</v>
      </c>
      <c r="P3154" s="16" t="n">
        <v>65021</v>
      </c>
      <c r="Q3154" s="16" t="n">
        <v>68129</v>
      </c>
      <c r="S3154" s="16" t="n">
        <v>65529</v>
      </c>
      <c r="U3154" s="16" t="n">
        <v>65529</v>
      </c>
      <c r="AC3154" s="23">
        <f>IF(OR(E3154="",E3154="[PARENT]"),"ADD",IF(E3154="[ALT_VIEW]","ALT",""))</f>
        <v/>
      </c>
      <c r="AD3154" s="21">
        <f>IF(Y3154&lt;&gt;"",Y3154,IF(U3154&lt;&gt;"",U3154,S3154))</f>
        <v/>
      </c>
      <c r="AE3154" s="21">
        <f>IF(AB3154&lt;&gt;"",AB3154,Z3154)</f>
        <v/>
      </c>
      <c r="AF3154" s="13" t="inlineStr">
        <is>
          <t>OPN BA4 / BSA 7 / Sub Training Device Mods / P-40a</t>
        </is>
      </c>
      <c r="AG3154" s="7" t="inlineStr">
        <is>
          <t>238</t>
        </is>
      </c>
      <c r="AH3154" s="7" t="inlineStr">
        <is>
          <t>5661</t>
        </is>
      </c>
    </row>
    <row r="3155" ht="10" customHeight="1">
      <c r="A3155" s="7" t="inlineStr">
        <is>
          <t>OPN_BA4</t>
        </is>
      </c>
      <c r="B3155" s="7" t="inlineStr">
        <is>
          <t>Procurement</t>
        </is>
      </c>
      <c r="C3155" s="7" t="inlineStr">
        <is>
          <t>TD 100</t>
        </is>
      </c>
      <c r="D3155" s="7" t="inlineStr">
        <is>
          <t>TD 100 HM&amp;E Trainers</t>
        </is>
      </c>
      <c r="E3155" s="13" t="inlineStr">
        <is>
          <t>[SUB]</t>
        </is>
      </c>
      <c r="F3155" s="7" t="inlineStr">
        <is>
          <t>Submarine Training</t>
        </is>
      </c>
      <c r="I3155" s="14" t="n">
        <v>6</v>
      </c>
      <c r="K3155" s="13" t="inlineStr">
        <is>
          <t>USN</t>
        </is>
      </c>
      <c r="L3155" s="7" t="inlineStr">
        <is>
          <t>Combatant Ships</t>
        </is>
      </c>
      <c r="M3155" s="7" t="inlineStr">
        <is>
          <t>Submarines</t>
        </is>
      </c>
      <c r="O3155" s="17" t="n">
        <v>37900</v>
      </c>
      <c r="P3155" s="16" t="n">
        <v>7619</v>
      </c>
      <c r="Q3155" s="16" t="n">
        <v>7822</v>
      </c>
      <c r="S3155" s="16" t="n">
        <v>7977</v>
      </c>
      <c r="U3155" s="16" t="n">
        <v>7977</v>
      </c>
      <c r="AC3155" s="23">
        <f>IF(OR(E3155="",E3155="[PARENT]"),"ADD",IF(E3155="[ALT_VIEW]","ALT",""))</f>
        <v/>
      </c>
      <c r="AD3155" s="21">
        <f>IF(Y3155&lt;&gt;"",Y3155,IF(U3155&lt;&gt;"",U3155,S3155))</f>
        <v/>
      </c>
      <c r="AE3155" s="21">
        <f>IF(AB3155&lt;&gt;"",AB3155,Z3155)</f>
        <v/>
      </c>
      <c r="AF3155" s="13" t="inlineStr">
        <is>
          <t>OPN BA4 / BSA 7 / Sub Training / HM&amp;E Trainers</t>
        </is>
      </c>
      <c r="AG3155" s="7" t="inlineStr">
        <is>
          <t>239</t>
        </is>
      </c>
      <c r="AH3155" s="7" t="inlineStr">
        <is>
          <t>5661</t>
        </is>
      </c>
      <c r="AI3155" s="7" t="inlineStr">
        <is>
          <t>TD 100 HM&amp;E TRAINERS</t>
        </is>
      </c>
    </row>
    <row r="3156" ht="10" customHeight="1">
      <c r="A3156" s="7" t="inlineStr">
        <is>
          <t>OPN_BA4</t>
        </is>
      </c>
      <c r="B3156" s="7" t="inlineStr">
        <is>
          <t>Procurement</t>
        </is>
      </c>
      <c r="D3156" s="7" t="inlineStr">
        <is>
          <t>High Risk Trainers</t>
        </is>
      </c>
      <c r="E3156" s="13" t="inlineStr">
        <is>
          <t>[SUB]</t>
        </is>
      </c>
      <c r="F3156" s="7" t="inlineStr">
        <is>
          <t>TD 100 / HM&amp;E Trainers</t>
        </is>
      </c>
      <c r="I3156" s="14" t="n">
        <v>6</v>
      </c>
      <c r="K3156" s="15" t="n"/>
      <c r="O3156" s="17" t="n">
        <v>7045</v>
      </c>
      <c r="P3156" s="16" t="n">
        <v>3660</v>
      </c>
      <c r="Q3156" s="16" t="n">
        <v>3733</v>
      </c>
      <c r="S3156" s="16" t="n">
        <v>3807</v>
      </c>
      <c r="U3156" s="16" t="n">
        <v>3807</v>
      </c>
      <c r="AC3156" s="23">
        <f>IF(OR(E3156="",E3156="[PARENT]"),"ADD",IF(E3156="[ALT_VIEW]","ALT",""))</f>
        <v/>
      </c>
      <c r="AD3156" s="21">
        <f>IF(Y3156&lt;&gt;"",Y3156,IF(U3156&lt;&gt;"",U3156,S3156))</f>
        <v/>
      </c>
      <c r="AE3156" s="21">
        <f>IF(AB3156&lt;&gt;"",AB3156,Z3156)</f>
        <v/>
      </c>
      <c r="AF3156" s="13" t="inlineStr">
        <is>
          <t>OPN BA4 / BSA 7 / Sub Training / HM&amp;E / High Risk</t>
        </is>
      </c>
      <c r="AG3156" s="7" t="inlineStr">
        <is>
          <t>239</t>
        </is>
      </c>
    </row>
    <row r="3157" ht="10" customHeight="1">
      <c r="A3157" s="7" t="inlineStr">
        <is>
          <t>OPN_BA4</t>
        </is>
      </c>
      <c r="B3157" s="7" t="inlineStr">
        <is>
          <t>Procurement</t>
        </is>
      </c>
      <c r="D3157" s="7" t="inlineStr">
        <is>
          <t>Submarine Training Devices</t>
        </is>
      </c>
      <c r="E3157" s="13" t="inlineStr">
        <is>
          <t>[SUB]</t>
        </is>
      </c>
      <c r="F3157" s="7" t="inlineStr">
        <is>
          <t>TD 100 / HM&amp;E Trainers</t>
        </is>
      </c>
      <c r="I3157" s="14" t="n">
        <v>6</v>
      </c>
      <c r="K3157" s="15" t="n"/>
      <c r="O3157" s="17" t="n">
        <v>24176</v>
      </c>
      <c r="P3157" s="16" t="n">
        <v>1645</v>
      </c>
      <c r="Q3157" s="16" t="n">
        <v>1729</v>
      </c>
      <c r="S3157" s="16" t="n">
        <v>1763</v>
      </c>
      <c r="U3157" s="16" t="n">
        <v>1763</v>
      </c>
      <c r="AC3157" s="23">
        <f>IF(OR(E3157="",E3157="[PARENT]"),"ADD",IF(E3157="[ALT_VIEW]","ALT",""))</f>
        <v/>
      </c>
      <c r="AD3157" s="21">
        <f>IF(Y3157&lt;&gt;"",Y3157,IF(U3157&lt;&gt;"",U3157,S3157))</f>
        <v/>
      </c>
      <c r="AE3157" s="21">
        <f>IF(AB3157&lt;&gt;"",AB3157,Z3157)</f>
        <v/>
      </c>
      <c r="AF3157" s="13" t="inlineStr">
        <is>
          <t>OPN BA4 / BSA 7 / Sub Training / HM&amp;E / Sub Training Dev</t>
        </is>
      </c>
      <c r="AG3157" s="7" t="inlineStr">
        <is>
          <t>239</t>
        </is>
      </c>
    </row>
    <row r="3158" ht="10" customHeight="1">
      <c r="A3158" s="7" t="inlineStr">
        <is>
          <t>OPN_BA4</t>
        </is>
      </c>
      <c r="B3158" s="7" t="inlineStr">
        <is>
          <t>Procurement</t>
        </is>
      </c>
      <c r="D3158" s="7" t="inlineStr">
        <is>
          <t>Ship Control Trainers</t>
        </is>
      </c>
      <c r="E3158" s="13" t="inlineStr">
        <is>
          <t>[SUB]</t>
        </is>
      </c>
      <c r="F3158" s="7" t="inlineStr">
        <is>
          <t>TD 100 / HM&amp;E Trainers</t>
        </is>
      </c>
      <c r="I3158" s="14" t="n">
        <v>6</v>
      </c>
      <c r="K3158" s="15" t="n"/>
      <c r="O3158" s="17" t="n">
        <v>6679</v>
      </c>
      <c r="P3158" s="16" t="n">
        <v>2314</v>
      </c>
      <c r="Q3158" s="16" t="n">
        <v>2360</v>
      </c>
      <c r="S3158" s="16" t="n">
        <v>2407</v>
      </c>
      <c r="U3158" s="16" t="n">
        <v>2407</v>
      </c>
      <c r="AC3158" s="23">
        <f>IF(OR(E3158="",E3158="[PARENT]"),"ADD",IF(E3158="[ALT_VIEW]","ALT",""))</f>
        <v/>
      </c>
      <c r="AD3158" s="21">
        <f>IF(Y3158&lt;&gt;"",Y3158,IF(U3158&lt;&gt;"",U3158,S3158))</f>
        <v/>
      </c>
      <c r="AE3158" s="21">
        <f>IF(AB3158&lt;&gt;"",AB3158,Z3158)</f>
        <v/>
      </c>
      <c r="AF3158" s="13" t="inlineStr">
        <is>
          <t>OPN BA4 / BSA 7 / Sub Training / HM&amp;E / Ship Control</t>
        </is>
      </c>
      <c r="AG3158" s="7" t="inlineStr">
        <is>
          <t>239</t>
        </is>
      </c>
    </row>
    <row r="3159" ht="10" customHeight="1">
      <c r="A3159" s="7" t="inlineStr">
        <is>
          <t>OPN_BA4</t>
        </is>
      </c>
      <c r="B3159" s="7" t="inlineStr">
        <is>
          <t>Procurement</t>
        </is>
      </c>
      <c r="C3159" s="7" t="inlineStr">
        <is>
          <t>TD200</t>
        </is>
      </c>
      <c r="D3159" s="7" t="inlineStr">
        <is>
          <t>TD200 Engineering Trainers</t>
        </is>
      </c>
      <c r="E3159" s="13" t="inlineStr">
        <is>
          <t>[SUB]</t>
        </is>
      </c>
      <c r="F3159" s="7" t="inlineStr">
        <is>
          <t>Submarine Training</t>
        </is>
      </c>
      <c r="I3159" s="14" t="n">
        <v>6</v>
      </c>
      <c r="K3159" s="15" t="n"/>
      <c r="O3159" s="17" t="n">
        <v>52167</v>
      </c>
      <c r="P3159" s="16" t="n">
        <v>6348</v>
      </c>
      <c r="Q3159" s="16" t="n">
        <v>6473</v>
      </c>
      <c r="S3159" s="16" t="n">
        <v>5832</v>
      </c>
      <c r="U3159" s="16" t="n">
        <v>5832</v>
      </c>
      <c r="AC3159" s="23">
        <f>IF(OR(E3159="",E3159="[PARENT]"),"ADD",IF(E3159="[ALT_VIEW]","ALT",""))</f>
        <v/>
      </c>
      <c r="AD3159" s="21">
        <f>IF(Y3159&lt;&gt;"",Y3159,IF(U3159&lt;&gt;"",U3159,S3159))</f>
        <v/>
      </c>
      <c r="AE3159" s="21">
        <f>IF(AB3159&lt;&gt;"",AB3159,Z3159)</f>
        <v/>
      </c>
      <c r="AF3159" s="13" t="inlineStr">
        <is>
          <t>OPN BA4 / BSA 7 / Sub Training / Engineering Trainers</t>
        </is>
      </c>
      <c r="AG3159" s="7" t="inlineStr">
        <is>
          <t>240</t>
        </is>
      </c>
      <c r="AH3159" s="7" t="inlineStr">
        <is>
          <t>5661</t>
        </is>
      </c>
      <c r="AI3159" s="7" t="inlineStr">
        <is>
          <t>TD200 ENGINEERING TRAINERS</t>
        </is>
      </c>
      <c r="AJ3159" s="7" t="inlineStr">
        <is>
          <t>TD200</t>
        </is>
      </c>
    </row>
    <row r="3160" ht="10" customHeight="1">
      <c r="A3160" s="7" t="inlineStr">
        <is>
          <t>OPN_BA4</t>
        </is>
      </c>
      <c r="B3160" s="7" t="inlineStr">
        <is>
          <t>Procurement</t>
        </is>
      </c>
      <c r="D3160" s="7" t="inlineStr">
        <is>
          <t>FIDE</t>
        </is>
      </c>
      <c r="E3160" s="13" t="inlineStr">
        <is>
          <t>[SUB]</t>
        </is>
      </c>
      <c r="F3160" s="7" t="inlineStr">
        <is>
          <t>TD200 / Engineering Trainers</t>
        </is>
      </c>
      <c r="I3160" s="14" t="n">
        <v>6</v>
      </c>
      <c r="K3160" s="15" t="n"/>
      <c r="O3160" s="17" t="n">
        <v>38652</v>
      </c>
      <c r="P3160" s="16" t="n">
        <v>3623</v>
      </c>
      <c r="Q3160" s="16" t="n">
        <v>3695</v>
      </c>
      <c r="S3160" s="16" t="n">
        <v>3000</v>
      </c>
      <c r="U3160" s="16" t="n">
        <v>3000</v>
      </c>
      <c r="AC3160" s="23">
        <f>IF(OR(E3160="",E3160="[PARENT]"),"ADD",IF(E3160="[ALT_VIEW]","ALT",""))</f>
        <v/>
      </c>
      <c r="AD3160" s="21">
        <f>IF(Y3160&lt;&gt;"",Y3160,IF(U3160&lt;&gt;"",U3160,S3160))</f>
        <v/>
      </c>
      <c r="AE3160" s="21">
        <f>IF(AB3160&lt;&gt;"",AB3160,Z3160)</f>
        <v/>
      </c>
      <c r="AF3160" s="13" t="inlineStr">
        <is>
          <t>OPN BA4 / BSA 7 / Sub Training / Eng Trainers / FIDE</t>
        </is>
      </c>
      <c r="AG3160" s="7" t="inlineStr">
        <is>
          <t>240</t>
        </is>
      </c>
    </row>
    <row r="3161" ht="10" customHeight="1">
      <c r="A3161" s="7" t="inlineStr">
        <is>
          <t>OPN_BA4</t>
        </is>
      </c>
      <c r="B3161" s="7" t="inlineStr">
        <is>
          <t>Procurement</t>
        </is>
      </c>
      <c r="D3161" s="7" t="inlineStr">
        <is>
          <t>Virtual Fleet Training Devices</t>
        </is>
      </c>
      <c r="E3161" s="13" t="inlineStr">
        <is>
          <t>[SUB]</t>
        </is>
      </c>
      <c r="F3161" s="7" t="inlineStr">
        <is>
          <t>TD200 / Engineering Trainers</t>
        </is>
      </c>
      <c r="I3161" s="14" t="n">
        <v>6</v>
      </c>
      <c r="K3161" s="15" t="n"/>
      <c r="O3161" s="17" t="n">
        <v>12149</v>
      </c>
      <c r="P3161" s="16" t="n">
        <v>1893</v>
      </c>
      <c r="Q3161" s="16" t="n">
        <v>1930</v>
      </c>
      <c r="S3161" s="16" t="n">
        <v>1968</v>
      </c>
      <c r="U3161" s="16" t="n">
        <v>1968</v>
      </c>
      <c r="AC3161" s="23">
        <f>IF(OR(E3161="",E3161="[PARENT]"),"ADD",IF(E3161="[ALT_VIEW]","ALT",""))</f>
        <v/>
      </c>
      <c r="AD3161" s="21">
        <f>IF(Y3161&lt;&gt;"",Y3161,IF(U3161&lt;&gt;"",U3161,S3161))</f>
        <v/>
      </c>
      <c r="AE3161" s="21">
        <f>IF(AB3161&lt;&gt;"",AB3161,Z3161)</f>
        <v/>
      </c>
      <c r="AF3161" s="13" t="inlineStr">
        <is>
          <t>OPN BA4 / BSA 7 / Sub Training / Eng Trainers / VFTD</t>
        </is>
      </c>
      <c r="AG3161" s="7" t="inlineStr">
        <is>
          <t>240</t>
        </is>
      </c>
    </row>
    <row r="3162" ht="10" customHeight="1">
      <c r="A3162" s="7" t="inlineStr">
        <is>
          <t>OPN_BA4</t>
        </is>
      </c>
      <c r="B3162" s="7" t="inlineStr">
        <is>
          <t>Procurement</t>
        </is>
      </c>
      <c r="D3162" s="7" t="inlineStr">
        <is>
          <t>Curricula and Training Materials</t>
        </is>
      </c>
      <c r="E3162" s="13" t="inlineStr">
        <is>
          <t>[SUB]</t>
        </is>
      </c>
      <c r="F3162" s="7" t="inlineStr">
        <is>
          <t>TD200 / Engineering Trainers</t>
        </is>
      </c>
      <c r="I3162" s="14" t="n">
        <v>6</v>
      </c>
      <c r="K3162" s="15" t="n"/>
      <c r="O3162" s="17" t="n">
        <v>1366</v>
      </c>
      <c r="P3162" s="16" t="n">
        <v>832</v>
      </c>
      <c r="Q3162" s="16" t="n">
        <v>848</v>
      </c>
      <c r="S3162" s="16" t="n">
        <v>864</v>
      </c>
      <c r="U3162" s="16" t="n">
        <v>864</v>
      </c>
      <c r="AC3162" s="23">
        <f>IF(OR(E3162="",E3162="[PARENT]"),"ADD",IF(E3162="[ALT_VIEW]","ALT",""))</f>
        <v/>
      </c>
      <c r="AD3162" s="21">
        <f>IF(Y3162&lt;&gt;"",Y3162,IF(U3162&lt;&gt;"",U3162,S3162))</f>
        <v/>
      </c>
      <c r="AE3162" s="21">
        <f>IF(AB3162&lt;&gt;"",AB3162,Z3162)</f>
        <v/>
      </c>
      <c r="AF3162" s="13" t="inlineStr">
        <is>
          <t>OPN BA4 / BSA 7 / Sub Training / Eng Trainers / Curricula</t>
        </is>
      </c>
      <c r="AG3162" s="7" t="inlineStr">
        <is>
          <t>240</t>
        </is>
      </c>
    </row>
    <row r="3163" ht="10" customHeight="1">
      <c r="A3163" s="7" t="inlineStr">
        <is>
          <t>OPN_BA4</t>
        </is>
      </c>
      <c r="B3163" s="7" t="inlineStr">
        <is>
          <t>Procurement</t>
        </is>
      </c>
      <c r="C3163" s="7" t="inlineStr">
        <is>
          <t>TD 300</t>
        </is>
      </c>
      <c r="D3163" s="7" t="inlineStr">
        <is>
          <t>TD 300 Navigation Trainers</t>
        </is>
      </c>
      <c r="E3163" s="13" t="inlineStr">
        <is>
          <t>[SUB]</t>
        </is>
      </c>
      <c r="F3163" s="7" t="inlineStr">
        <is>
          <t>Submarine Training</t>
        </is>
      </c>
      <c r="I3163" s="14" t="n">
        <v>6</v>
      </c>
      <c r="K3163" s="13" t="inlineStr">
        <is>
          <t>USN</t>
        </is>
      </c>
      <c r="L3163" s="7" t="inlineStr">
        <is>
          <t>Combatant Ships</t>
        </is>
      </c>
      <c r="M3163" s="7" t="inlineStr">
        <is>
          <t>Submarines</t>
        </is>
      </c>
      <c r="O3163" s="17" t="n">
        <v>40763</v>
      </c>
      <c r="P3163" s="16" t="n">
        <v>11425</v>
      </c>
      <c r="Q3163" s="16" t="n">
        <v>11277</v>
      </c>
      <c r="S3163" s="16" t="n">
        <v>13651</v>
      </c>
      <c r="U3163" s="16" t="n">
        <v>13651</v>
      </c>
      <c r="AC3163" s="23">
        <f>IF(OR(E3163="",E3163="[PARENT]"),"ADD",IF(E3163="[ALT_VIEW]","ALT",""))</f>
        <v/>
      </c>
      <c r="AD3163" s="21">
        <f>IF(Y3163&lt;&gt;"",Y3163,IF(U3163&lt;&gt;"",U3163,S3163))</f>
        <v/>
      </c>
      <c r="AE3163" s="21">
        <f>IF(AB3163&lt;&gt;"",AB3163,Z3163)</f>
        <v/>
      </c>
      <c r="AF3163" s="13" t="inlineStr">
        <is>
          <t>OPN BA4 / BSA 7 / Sub Training / Navigation Trainers</t>
        </is>
      </c>
      <c r="AG3163" s="7" t="inlineStr">
        <is>
          <t>241</t>
        </is>
      </c>
      <c r="AH3163" s="7" t="inlineStr">
        <is>
          <t>5661</t>
        </is>
      </c>
      <c r="AI3163" s="7" t="inlineStr">
        <is>
          <t>TD 300 NAVIGATION TRAINERS</t>
        </is>
      </c>
    </row>
    <row r="3164" ht="10" customHeight="1">
      <c r="A3164" s="7" t="inlineStr">
        <is>
          <t>OPN_BA4</t>
        </is>
      </c>
      <c r="B3164" s="7" t="inlineStr">
        <is>
          <t>Procurement</t>
        </is>
      </c>
      <c r="D3164" s="7" t="inlineStr">
        <is>
          <t>Navigation Safety of Ship Trainers</t>
        </is>
      </c>
      <c r="E3164" s="13" t="inlineStr">
        <is>
          <t>[SUB]</t>
        </is>
      </c>
      <c r="F3164" s="7" t="inlineStr">
        <is>
          <t>TD 300 / Navigation Trainers</t>
        </is>
      </c>
      <c r="I3164" s="14" t="n">
        <v>6</v>
      </c>
      <c r="K3164" s="13" t="inlineStr">
        <is>
          <t>USN</t>
        </is>
      </c>
      <c r="L3164" s="7" t="inlineStr">
        <is>
          <t>Combatant Ships</t>
        </is>
      </c>
      <c r="M3164" s="7" t="inlineStr">
        <is>
          <t>Submarines</t>
        </is>
      </c>
      <c r="O3164" s="17" t="n">
        <v>22407</v>
      </c>
      <c r="P3164" s="16" t="n">
        <v>7768</v>
      </c>
      <c r="Q3164" s="16" t="n">
        <v>7922</v>
      </c>
      <c r="S3164" s="16" t="n">
        <v>8080</v>
      </c>
      <c r="U3164" s="16" t="n">
        <v>8080</v>
      </c>
      <c r="AC3164" s="23">
        <f>IF(OR(E3164="",E3164="[PARENT]"),"ADD",IF(E3164="[ALT_VIEW]","ALT",""))</f>
        <v/>
      </c>
      <c r="AD3164" s="21">
        <f>IF(Y3164&lt;&gt;"",Y3164,IF(U3164&lt;&gt;"",U3164,S3164))</f>
        <v/>
      </c>
      <c r="AE3164" s="21">
        <f>IF(AB3164&lt;&gt;"",AB3164,Z3164)</f>
        <v/>
      </c>
      <c r="AF3164" s="13" t="inlineStr">
        <is>
          <t>OPN BA4 / BSA 7 / Sub Training / Nav Trainers / NSST</t>
        </is>
      </c>
      <c r="AG3164" s="7" t="inlineStr">
        <is>
          <t>241</t>
        </is>
      </c>
    </row>
    <row r="3165" ht="10" customHeight="1">
      <c r="A3165" s="7" t="inlineStr">
        <is>
          <t>OPN_BA4</t>
        </is>
      </c>
      <c r="B3165" s="7" t="inlineStr">
        <is>
          <t>Procurement</t>
        </is>
      </c>
      <c r="D3165" s="7" t="inlineStr">
        <is>
          <t>SSBN Safety of Ship Trainers</t>
        </is>
      </c>
      <c r="E3165" s="13" t="inlineStr">
        <is>
          <t>[SUB]</t>
        </is>
      </c>
      <c r="F3165" s="7" t="inlineStr">
        <is>
          <t>TD 300 / Navigation Trainers</t>
        </is>
      </c>
      <c r="I3165" s="14" t="n">
        <v>6</v>
      </c>
      <c r="K3165" s="13" t="inlineStr">
        <is>
          <t>USN</t>
        </is>
      </c>
      <c r="L3165" s="7" t="inlineStr">
        <is>
          <t>Combatant Ships</t>
        </is>
      </c>
      <c r="M3165" s="7" t="inlineStr">
        <is>
          <t>Submarines</t>
        </is>
      </c>
      <c r="O3165" s="17" t="n">
        <v>14035</v>
      </c>
      <c r="P3165" s="16" t="n">
        <v>1860</v>
      </c>
      <c r="Q3165" s="16" t="n">
        <v>1523</v>
      </c>
      <c r="S3165" s="16" t="n">
        <v>703</v>
      </c>
      <c r="U3165" s="16" t="n">
        <v>703</v>
      </c>
      <c r="AC3165" s="23">
        <f>IF(OR(E3165="",E3165="[PARENT]"),"ADD",IF(E3165="[ALT_VIEW]","ALT",""))</f>
        <v/>
      </c>
      <c r="AD3165" s="21">
        <f>IF(Y3165&lt;&gt;"",Y3165,IF(U3165&lt;&gt;"",U3165,S3165))</f>
        <v/>
      </c>
      <c r="AE3165" s="21">
        <f>IF(AB3165&lt;&gt;"",AB3165,Z3165)</f>
        <v/>
      </c>
      <c r="AF3165" s="13" t="inlineStr">
        <is>
          <t>OPN BA4 / BSA 7 / Sub Training / Nav Trainers / SSBN SST</t>
        </is>
      </c>
      <c r="AG3165" s="7" t="inlineStr">
        <is>
          <t>241</t>
        </is>
      </c>
    </row>
    <row r="3166" ht="10" customHeight="1">
      <c r="A3166" s="7" t="inlineStr">
        <is>
          <t>OPN_BA4</t>
        </is>
      </c>
      <c r="B3166" s="7" t="inlineStr">
        <is>
          <t>Procurement</t>
        </is>
      </c>
      <c r="D3166" s="7" t="inlineStr">
        <is>
          <t>Columbia Safety of Ship Trainer</t>
        </is>
      </c>
      <c r="E3166" s="13" t="inlineStr">
        <is>
          <t>[SUB]</t>
        </is>
      </c>
      <c r="F3166" s="7" t="inlineStr">
        <is>
          <t>TD 300 / Navigation Trainers</t>
        </is>
      </c>
      <c r="I3166" s="14" t="n">
        <v>6</v>
      </c>
      <c r="K3166" s="13" t="inlineStr">
        <is>
          <t>USN</t>
        </is>
      </c>
      <c r="L3166" s="7" t="inlineStr">
        <is>
          <t>Combatant Ships</t>
        </is>
      </c>
      <c r="M3166" s="7" t="inlineStr">
        <is>
          <t>Submarines</t>
        </is>
      </c>
      <c r="N3166" s="7" t="inlineStr">
        <is>
          <t>SSBN</t>
        </is>
      </c>
      <c r="O3166" s="15" t="n"/>
      <c r="S3166" s="16" t="n">
        <v>3000</v>
      </c>
      <c r="U3166" s="16" t="n">
        <v>3000</v>
      </c>
      <c r="AC3166" s="23">
        <f>IF(OR(E3166="",E3166="[PARENT]"),"ADD",IF(E3166="[ALT_VIEW]","ALT",""))</f>
        <v/>
      </c>
      <c r="AD3166" s="21">
        <f>IF(Y3166&lt;&gt;"",Y3166,IF(U3166&lt;&gt;"",U3166,S3166))</f>
        <v/>
      </c>
      <c r="AE3166" s="21">
        <f>IF(AB3166&lt;&gt;"",AB3166,Z3166)</f>
        <v/>
      </c>
      <c r="AF3166" s="13" t="inlineStr">
        <is>
          <t>OPN BA4 / BSA 7 / Sub Training / Nav Trainers / Columbia SST</t>
        </is>
      </c>
      <c r="AG3166" s="7" t="inlineStr">
        <is>
          <t>241</t>
        </is>
      </c>
    </row>
    <row r="3167" ht="10" customHeight="1">
      <c r="A3167" s="7" t="inlineStr">
        <is>
          <t>OPN_BA4</t>
        </is>
      </c>
      <c r="B3167" s="7" t="inlineStr">
        <is>
          <t>Procurement</t>
        </is>
      </c>
      <c r="D3167" s="7" t="inlineStr">
        <is>
          <t>Engineering Support (Nav Trainers)</t>
        </is>
      </c>
      <c r="E3167" s="13" t="inlineStr">
        <is>
          <t>[SUB]</t>
        </is>
      </c>
      <c r="F3167" s="7" t="inlineStr">
        <is>
          <t>TD 300 / Navigation Trainers</t>
        </is>
      </c>
      <c r="I3167" s="14" t="n">
        <v>6</v>
      </c>
      <c r="K3167" s="15" t="n"/>
      <c r="O3167" s="17" t="n">
        <v>4321</v>
      </c>
      <c r="P3167" s="16" t="n">
        <v>1797</v>
      </c>
      <c r="Q3167" s="16" t="n">
        <v>1832</v>
      </c>
      <c r="S3167" s="16" t="n">
        <v>1868</v>
      </c>
      <c r="U3167" s="16" t="n">
        <v>1868</v>
      </c>
      <c r="AC3167" s="23">
        <f>IF(OR(E3167="",E3167="[PARENT]"),"ADD",IF(E3167="[ALT_VIEW]","ALT",""))</f>
        <v/>
      </c>
      <c r="AD3167" s="21">
        <f>IF(Y3167&lt;&gt;"",Y3167,IF(U3167&lt;&gt;"",U3167,S3167))</f>
        <v/>
      </c>
      <c r="AE3167" s="21">
        <f>IF(AB3167&lt;&gt;"",AB3167,Z3167)</f>
        <v/>
      </c>
      <c r="AF3167" s="13" t="inlineStr">
        <is>
          <t>OPN BA4 / BSA 7 / Sub Training / Nav Trainers / Eng Support</t>
        </is>
      </c>
      <c r="AG3167" s="7" t="inlineStr">
        <is>
          <t>241</t>
        </is>
      </c>
    </row>
    <row r="3168" ht="10" customHeight="1">
      <c r="A3168" s="7" t="inlineStr">
        <is>
          <t>OPN_BA4</t>
        </is>
      </c>
      <c r="B3168" s="7" t="inlineStr">
        <is>
          <t>Procurement</t>
        </is>
      </c>
      <c r="C3168" s="7" t="inlineStr">
        <is>
          <t>TD 400</t>
        </is>
      </c>
      <c r="D3168" s="7" t="inlineStr">
        <is>
          <t>TD 400 Combat Control Acoustic Trainers</t>
        </is>
      </c>
      <c r="E3168" s="13" t="inlineStr">
        <is>
          <t>[SUB]</t>
        </is>
      </c>
      <c r="F3168" s="7" t="inlineStr">
        <is>
          <t>Submarine Training</t>
        </is>
      </c>
      <c r="I3168" s="14" t="n">
        <v>6</v>
      </c>
      <c r="K3168" s="13" t="inlineStr">
        <is>
          <t>USN</t>
        </is>
      </c>
      <c r="L3168" s="7" t="inlineStr">
        <is>
          <t>Combatant Ships</t>
        </is>
      </c>
      <c r="M3168" s="7" t="inlineStr">
        <is>
          <t>Submarines</t>
        </is>
      </c>
      <c r="O3168" s="17" t="n">
        <v>18760</v>
      </c>
      <c r="P3168" s="16" t="n">
        <v>4582</v>
      </c>
      <c r="Q3168" s="16" t="n">
        <v>7553</v>
      </c>
      <c r="S3168" s="16" t="n">
        <v>2366</v>
      </c>
      <c r="U3168" s="16" t="n">
        <v>2366</v>
      </c>
      <c r="AC3168" s="23">
        <f>IF(OR(E3168="",E3168="[PARENT]"),"ADD",IF(E3168="[ALT_VIEW]","ALT",""))</f>
        <v/>
      </c>
      <c r="AD3168" s="21">
        <f>IF(Y3168&lt;&gt;"",Y3168,IF(U3168&lt;&gt;"",U3168,S3168))</f>
        <v/>
      </c>
      <c r="AE3168" s="21">
        <f>IF(AB3168&lt;&gt;"",AB3168,Z3168)</f>
        <v/>
      </c>
      <c r="AF3168" s="13" t="inlineStr">
        <is>
          <t>OPN BA4 / BSA 7 / Sub Training / Combat Control Acoustic</t>
        </is>
      </c>
      <c r="AG3168" s="7" t="inlineStr">
        <is>
          <t>242</t>
        </is>
      </c>
      <c r="AH3168" s="7" t="inlineStr">
        <is>
          <t>5661</t>
        </is>
      </c>
      <c r="AI3168" s="7" t="inlineStr">
        <is>
          <t>TD 400 COMBAT CONTROL ACOUSTIC TRAINERS</t>
        </is>
      </c>
    </row>
    <row r="3169" ht="10" customHeight="1">
      <c r="A3169" s="7" t="inlineStr">
        <is>
          <t>OPN_BA4</t>
        </is>
      </c>
      <c r="B3169" s="7" t="inlineStr">
        <is>
          <t>Procurement</t>
        </is>
      </c>
      <c r="D3169" s="7" t="inlineStr">
        <is>
          <t>Fleet Responsive Team Trainers</t>
        </is>
      </c>
      <c r="E3169" s="13" t="inlineStr">
        <is>
          <t>[SUB]</t>
        </is>
      </c>
      <c r="F3169" s="7" t="inlineStr">
        <is>
          <t>TD 400 / Combat Control Acoustic</t>
        </is>
      </c>
      <c r="I3169" s="14" t="n">
        <v>6</v>
      </c>
      <c r="K3169" s="15" t="n"/>
      <c r="O3169" s="17" t="n">
        <v>17334</v>
      </c>
      <c r="P3169" s="16" t="n">
        <v>3848</v>
      </c>
      <c r="Q3169" s="16" t="n">
        <v>6541</v>
      </c>
      <c r="S3169" s="16" t="n">
        <v>1334</v>
      </c>
      <c r="U3169" s="16" t="n">
        <v>1334</v>
      </c>
      <c r="AC3169" s="23">
        <f>IF(OR(E3169="",E3169="[PARENT]"),"ADD",IF(E3169="[ALT_VIEW]","ALT",""))</f>
        <v/>
      </c>
      <c r="AD3169" s="21">
        <f>IF(Y3169&lt;&gt;"",Y3169,IF(U3169&lt;&gt;"",U3169,S3169))</f>
        <v/>
      </c>
      <c r="AE3169" s="21">
        <f>IF(AB3169&lt;&gt;"",AB3169,Z3169)</f>
        <v/>
      </c>
      <c r="AF3169" s="13" t="inlineStr">
        <is>
          <t>OPN BA4 / BSA 7 / Sub Training / Acoustic / FRTT</t>
        </is>
      </c>
      <c r="AG3169" s="7" t="inlineStr">
        <is>
          <t>242</t>
        </is>
      </c>
    </row>
    <row r="3170" ht="10" customHeight="1">
      <c r="A3170" s="7" t="inlineStr">
        <is>
          <t>OPN_BA4</t>
        </is>
      </c>
      <c r="B3170" s="7" t="inlineStr">
        <is>
          <t>Procurement</t>
        </is>
      </c>
      <c r="D3170" s="7" t="inlineStr">
        <is>
          <t>Engineering Tech Support</t>
        </is>
      </c>
      <c r="E3170" s="13" t="inlineStr">
        <is>
          <t>[SUB]</t>
        </is>
      </c>
      <c r="F3170" s="7" t="inlineStr">
        <is>
          <t>TD 400 / Combat Control Acoustic</t>
        </is>
      </c>
      <c r="I3170" s="14" t="n">
        <v>6</v>
      </c>
      <c r="K3170" s="13" t="inlineStr">
        <is>
          <t>USN</t>
        </is>
      </c>
      <c r="L3170" s="7" t="inlineStr">
        <is>
          <t>Combatant Ships</t>
        </is>
      </c>
      <c r="M3170" s="7" t="inlineStr">
        <is>
          <t>Submarines</t>
        </is>
      </c>
      <c r="N3170" s="7" t="inlineStr">
        <is>
          <t>SSN</t>
        </is>
      </c>
      <c r="O3170" s="17" t="n">
        <v>1426</v>
      </c>
      <c r="P3170" s="16" t="n">
        <v>734</v>
      </c>
      <c r="Q3170" s="16" t="n">
        <v>1012</v>
      </c>
      <c r="S3170" s="16" t="n">
        <v>1032</v>
      </c>
      <c r="U3170" s="16" t="n">
        <v>1032</v>
      </c>
      <c r="AC3170" s="23">
        <f>IF(OR(E3170="",E3170="[PARENT]"),"ADD",IF(E3170="[ALT_VIEW]","ALT",""))</f>
        <v/>
      </c>
      <c r="AD3170" s="21">
        <f>IF(Y3170&lt;&gt;"",Y3170,IF(U3170&lt;&gt;"",U3170,S3170))</f>
        <v/>
      </c>
      <c r="AE3170" s="21">
        <f>IF(AB3170&lt;&gt;"",AB3170,Z3170)</f>
        <v/>
      </c>
      <c r="AF3170" s="13" t="inlineStr">
        <is>
          <t>OPN BA4 / BSA 7 / Sub Training / Acoustic / Eng Tech Support</t>
        </is>
      </c>
      <c r="AG3170" s="7" t="inlineStr">
        <is>
          <t>242</t>
        </is>
      </c>
    </row>
    <row r="3171" ht="10" customHeight="1">
      <c r="A3171" s="7" t="inlineStr">
        <is>
          <t>OPN_BA4</t>
        </is>
      </c>
      <c r="B3171" s="7" t="inlineStr">
        <is>
          <t>Procurement</t>
        </is>
      </c>
      <c r="C3171" s="7" t="inlineStr">
        <is>
          <t>TD 500</t>
        </is>
      </c>
      <c r="D3171" s="7" t="inlineStr">
        <is>
          <t>TD 500 Attack Center Trainers</t>
        </is>
      </c>
      <c r="E3171" s="13" t="inlineStr">
        <is>
          <t>[SUB]</t>
        </is>
      </c>
      <c r="F3171" s="7" t="inlineStr">
        <is>
          <t>Submarine Training</t>
        </is>
      </c>
      <c r="I3171" s="14" t="n">
        <v>6</v>
      </c>
      <c r="K3171" s="13" t="inlineStr">
        <is>
          <t>USN</t>
        </is>
      </c>
      <c r="L3171" s="7" t="inlineStr">
        <is>
          <t>Combatant Ships</t>
        </is>
      </c>
      <c r="M3171" s="7" t="inlineStr">
        <is>
          <t>Submarines</t>
        </is>
      </c>
      <c r="O3171" s="17" t="n">
        <v>147728</v>
      </c>
      <c r="P3171" s="16" t="n">
        <v>35047</v>
      </c>
      <c r="Q3171" s="16" t="n">
        <v>35004</v>
      </c>
      <c r="S3171" s="16" t="n">
        <v>35703</v>
      </c>
      <c r="U3171" s="16" t="n">
        <v>35703</v>
      </c>
      <c r="AC3171" s="23">
        <f>IF(OR(E3171="",E3171="[PARENT]"),"ADD",IF(E3171="[ALT_VIEW]","ALT",""))</f>
        <v/>
      </c>
      <c r="AD3171" s="21">
        <f>IF(Y3171&lt;&gt;"",Y3171,IF(U3171&lt;&gt;"",U3171,S3171))</f>
        <v/>
      </c>
      <c r="AE3171" s="21">
        <f>IF(AB3171&lt;&gt;"",AB3171,Z3171)</f>
        <v/>
      </c>
      <c r="AF3171" s="13" t="inlineStr">
        <is>
          <t>OPN BA4 / BSA 7 / Sub Training / Attack Center Trainers</t>
        </is>
      </c>
      <c r="AG3171" s="7" t="inlineStr">
        <is>
          <t>243</t>
        </is>
      </c>
      <c r="AH3171" s="7" t="inlineStr">
        <is>
          <t>5661</t>
        </is>
      </c>
      <c r="AI3171" s="7" t="inlineStr">
        <is>
          <t>TD 500 ATTACK CENTER TRAINERS</t>
        </is>
      </c>
    </row>
    <row r="3172" ht="10" customHeight="1">
      <c r="A3172" s="7" t="inlineStr">
        <is>
          <t>OPN_BA4</t>
        </is>
      </c>
      <c r="B3172" s="7" t="inlineStr">
        <is>
          <t>Procurement</t>
        </is>
      </c>
      <c r="D3172" s="7" t="inlineStr">
        <is>
          <t>Submarine Attack Centers</t>
        </is>
      </c>
      <c r="E3172" s="13" t="inlineStr">
        <is>
          <t>[SUB]</t>
        </is>
      </c>
      <c r="F3172" s="7" t="inlineStr">
        <is>
          <t>TD 500 / Attack Center Trainers</t>
        </is>
      </c>
      <c r="I3172" s="14" t="n">
        <v>6</v>
      </c>
      <c r="K3172" s="13" t="inlineStr">
        <is>
          <t>USN</t>
        </is>
      </c>
      <c r="L3172" s="7" t="inlineStr">
        <is>
          <t>Combatant Ships</t>
        </is>
      </c>
      <c r="M3172" s="7" t="inlineStr">
        <is>
          <t>Submarines</t>
        </is>
      </c>
      <c r="O3172" s="17" t="n">
        <v>69442</v>
      </c>
      <c r="P3172" s="16" t="n">
        <v>24076</v>
      </c>
      <c r="Q3172" s="16" t="n">
        <v>24550</v>
      </c>
      <c r="S3172" s="16" t="n">
        <v>25041</v>
      </c>
      <c r="U3172" s="16" t="n">
        <v>25041</v>
      </c>
      <c r="AC3172" s="23">
        <f>IF(OR(E3172="",E3172="[PARENT]"),"ADD",IF(E3172="[ALT_VIEW]","ALT",""))</f>
        <v/>
      </c>
      <c r="AD3172" s="21">
        <f>IF(Y3172&lt;&gt;"",Y3172,IF(U3172&lt;&gt;"",U3172,S3172))</f>
        <v/>
      </c>
      <c r="AE3172" s="21">
        <f>IF(AB3172&lt;&gt;"",AB3172,Z3172)</f>
        <v/>
      </c>
      <c r="AF3172" s="13" t="inlineStr">
        <is>
          <t>OPN BA4 / BSA 7 / Sub Training / Attack Center / SAC</t>
        </is>
      </c>
      <c r="AG3172" s="7" t="inlineStr">
        <is>
          <t>243</t>
        </is>
      </c>
    </row>
    <row r="3173" ht="10" customHeight="1">
      <c r="A3173" s="7" t="inlineStr">
        <is>
          <t>OPN_BA4</t>
        </is>
      </c>
      <c r="B3173" s="7" t="inlineStr">
        <is>
          <t>Procurement</t>
        </is>
      </c>
      <c r="D3173" s="7" t="inlineStr">
        <is>
          <t>SSBN SSGN SSN EPM</t>
        </is>
      </c>
      <c r="E3173" s="13" t="inlineStr">
        <is>
          <t>[SUB]</t>
        </is>
      </c>
      <c r="F3173" s="7" t="inlineStr">
        <is>
          <t>TD 500 / Attack Center Trainers</t>
        </is>
      </c>
      <c r="I3173" s="14" t="n">
        <v>6</v>
      </c>
      <c r="K3173" s="13" t="inlineStr">
        <is>
          <t>USN</t>
        </is>
      </c>
      <c r="L3173" s="7" t="inlineStr">
        <is>
          <t>Combatant Ships</t>
        </is>
      </c>
      <c r="M3173" s="7" t="inlineStr">
        <is>
          <t>Submarines</t>
        </is>
      </c>
      <c r="O3173" s="17" t="n">
        <v>18151</v>
      </c>
      <c r="P3173" s="16" t="n">
        <v>7522</v>
      </c>
      <c r="Q3173" s="16" t="n">
        <v>7672</v>
      </c>
      <c r="S3173" s="16" t="n">
        <v>7825</v>
      </c>
      <c r="U3173" s="16" t="n">
        <v>7825</v>
      </c>
      <c r="AC3173" s="23">
        <f>IF(OR(E3173="",E3173="[PARENT]"),"ADD",IF(E3173="[ALT_VIEW]","ALT",""))</f>
        <v/>
      </c>
      <c r="AD3173" s="21">
        <f>IF(Y3173&lt;&gt;"",Y3173,IF(U3173&lt;&gt;"",U3173,S3173))</f>
        <v/>
      </c>
      <c r="AE3173" s="21">
        <f>IF(AB3173&lt;&gt;"",AB3173,Z3173)</f>
        <v/>
      </c>
      <c r="AF3173" s="13" t="inlineStr">
        <is>
          <t>OPN BA4 / BSA 7 / Sub Training / Attack Center / EPM</t>
        </is>
      </c>
      <c r="AG3173" s="7" t="inlineStr">
        <is>
          <t>243</t>
        </is>
      </c>
    </row>
    <row r="3174" ht="10" customHeight="1">
      <c r="A3174" s="7" t="inlineStr">
        <is>
          <t>OPN_BA4</t>
        </is>
      </c>
      <c r="B3174" s="7" t="inlineStr">
        <is>
          <t>Procurement</t>
        </is>
      </c>
      <c r="D3174" s="7" t="inlineStr">
        <is>
          <t>SMMTT Tech Support</t>
        </is>
      </c>
      <c r="E3174" s="13" t="inlineStr">
        <is>
          <t>[SUB]</t>
        </is>
      </c>
      <c r="F3174" s="7" t="inlineStr">
        <is>
          <t>TD 500 / Attack Center Trainers</t>
        </is>
      </c>
      <c r="I3174" s="14" t="n">
        <v>6</v>
      </c>
      <c r="K3174" s="13" t="inlineStr">
        <is>
          <t>USN</t>
        </is>
      </c>
      <c r="L3174" s="7" t="inlineStr">
        <is>
          <t>Combatant Ships</t>
        </is>
      </c>
      <c r="M3174" s="7" t="inlineStr">
        <is>
          <t>Submarines</t>
        </is>
      </c>
      <c r="N3174" s="7" t="inlineStr">
        <is>
          <t>SSN</t>
        </is>
      </c>
      <c r="O3174" s="17" t="n">
        <v>60135</v>
      </c>
      <c r="P3174" s="16" t="n">
        <v>3449</v>
      </c>
      <c r="Q3174" s="16" t="n">
        <v>2782</v>
      </c>
      <c r="S3174" s="16" t="n">
        <v>2837</v>
      </c>
      <c r="U3174" s="16" t="n">
        <v>2837</v>
      </c>
      <c r="AC3174" s="23">
        <f>IF(OR(E3174="",E3174="[PARENT]"),"ADD",IF(E3174="[ALT_VIEW]","ALT",""))</f>
        <v/>
      </c>
      <c r="AD3174" s="21">
        <f>IF(Y3174&lt;&gt;"",Y3174,IF(U3174&lt;&gt;"",U3174,S3174))</f>
        <v/>
      </c>
      <c r="AE3174" s="21">
        <f>IF(AB3174&lt;&gt;"",AB3174,Z3174)</f>
        <v/>
      </c>
      <c r="AF3174" s="13" t="inlineStr">
        <is>
          <t>OPN BA4 / BSA 7 / Sub Training / Attack Center / SMMTT</t>
        </is>
      </c>
      <c r="AG3174" s="7" t="inlineStr">
        <is>
          <t>243</t>
        </is>
      </c>
    </row>
    <row r="3175" ht="10" customHeight="1">
      <c r="A3175" s="7" t="inlineStr">
        <is>
          <t>OPN_BA4</t>
        </is>
      </c>
      <c r="B3175" s="7" t="inlineStr">
        <is>
          <t>Procurement</t>
        </is>
      </c>
      <c r="D3175" s="7" t="inlineStr">
        <is>
          <t>Submarine Attack Center Modifications [P-3a Mod 1]</t>
        </is>
      </c>
      <c r="E3175" s="13" t="inlineStr">
        <is>
          <t>[SUB]</t>
        </is>
      </c>
      <c r="F3175" s="7" t="inlineStr">
        <is>
          <t>5661 / Submarine Training Device Mods</t>
        </is>
      </c>
      <c r="I3175" s="14" t="n">
        <v>4</v>
      </c>
      <c r="K3175" s="13" t="inlineStr">
        <is>
          <t>USN</t>
        </is>
      </c>
      <c r="L3175" s="7" t="inlineStr">
        <is>
          <t>Combatant Ships</t>
        </is>
      </c>
      <c r="M3175" s="7" t="inlineStr">
        <is>
          <t>Submarines</t>
        </is>
      </c>
      <c r="O3175" s="17" t="n">
        <v>204380</v>
      </c>
      <c r="P3175" s="16" t="n">
        <v>11882</v>
      </c>
      <c r="Q3175" s="16" t="n">
        <v>12119</v>
      </c>
      <c r="S3175" s="16" t="n">
        <v>12360</v>
      </c>
      <c r="U3175" s="16" t="n">
        <v>12360</v>
      </c>
      <c r="AC3175" s="23">
        <f>IF(OR(E3175="",E3175="[PARENT]"),"ADD",IF(E3175="[ALT_VIEW]","ALT",""))</f>
        <v/>
      </c>
      <c r="AD3175" s="21">
        <f>IF(Y3175&lt;&gt;"",Y3175,IF(U3175&lt;&gt;"",U3175,S3175))</f>
        <v/>
      </c>
      <c r="AE3175" s="21">
        <f>IF(AB3175&lt;&gt;"",AB3175,Z3175)</f>
        <v/>
      </c>
      <c r="AF3175" s="13" t="inlineStr">
        <is>
          <t>OPN BA4 / BSA 7 / Sub Training / P-3a Attack Center Mods</t>
        </is>
      </c>
      <c r="AG3175" s="7" t="inlineStr">
        <is>
          <t>245</t>
        </is>
      </c>
      <c r="AH3175" s="7" t="inlineStr">
        <is>
          <t>5661</t>
        </is>
      </c>
      <c r="AJ3175" s="7" t="inlineStr">
        <is>
          <t>Attack Center Mods</t>
        </is>
      </c>
    </row>
    <row r="3176" ht="10" customHeight="1">
      <c r="A3176" s="7" t="inlineStr">
        <is>
          <t>OPN_BA4</t>
        </is>
      </c>
      <c r="B3176" s="7" t="inlineStr">
        <is>
          <t>Procurement</t>
        </is>
      </c>
      <c r="D3176" s="7" t="inlineStr">
        <is>
          <t>Sub Attack Center Mods - Procurement (B Kits)</t>
        </is>
      </c>
      <c r="E3176" s="13" t="inlineStr">
        <is>
          <t>[SUB]</t>
        </is>
      </c>
      <c r="F3176" s="7" t="inlineStr">
        <is>
          <t>Sub Attack Center Mods</t>
        </is>
      </c>
      <c r="I3176" s="14" t="n">
        <v>4</v>
      </c>
      <c r="K3176" s="13" t="inlineStr">
        <is>
          <t>USN</t>
        </is>
      </c>
      <c r="L3176" s="7" t="inlineStr">
        <is>
          <t>Combatant Ships</t>
        </is>
      </c>
      <c r="M3176" s="7" t="inlineStr">
        <is>
          <t>Submarines</t>
        </is>
      </c>
      <c r="O3176" s="17" t="n">
        <v>195382</v>
      </c>
      <c r="P3176" s="16" t="n">
        <v>11046</v>
      </c>
      <c r="Q3176" s="16" t="n">
        <v>11266</v>
      </c>
      <c r="S3176" s="16" t="n">
        <v>11491</v>
      </c>
      <c r="U3176" s="16" t="n">
        <v>11491</v>
      </c>
      <c r="AC3176" s="23">
        <f>IF(OR(E3176="",E3176="[PARENT]"),"ADD",IF(E3176="[ALT_VIEW]","ALT",""))</f>
        <v/>
      </c>
      <c r="AD3176" s="21">
        <f>IF(Y3176&lt;&gt;"",Y3176,IF(U3176&lt;&gt;"",U3176,S3176))</f>
        <v/>
      </c>
      <c r="AE3176" s="21">
        <f>IF(AB3176&lt;&gt;"",AB3176,Z3176)</f>
        <v/>
      </c>
      <c r="AF3176" s="13" t="inlineStr">
        <is>
          <t>OPN BA4 / BSA 7 / Sub Training / P-3a Attack Center / Procurement</t>
        </is>
      </c>
      <c r="AG3176" s="7" t="inlineStr">
        <is>
          <t>245</t>
        </is>
      </c>
      <c r="AJ3176" s="7" t="inlineStr">
        <is>
          <t>Attack Center / Procurement</t>
        </is>
      </c>
    </row>
    <row r="3177" ht="10" customHeight="1">
      <c r="A3177" s="7" t="inlineStr">
        <is>
          <t>OPN_BA4</t>
        </is>
      </c>
      <c r="B3177" s="7" t="inlineStr">
        <is>
          <t>Procurement</t>
        </is>
      </c>
      <c r="D3177" s="7" t="inlineStr">
        <is>
          <t>Sub Attack Center Mods - Installation</t>
        </is>
      </c>
      <c r="E3177" s="13" t="inlineStr">
        <is>
          <t>[SUB]</t>
        </is>
      </c>
      <c r="F3177" s="7" t="inlineStr">
        <is>
          <t>Sub Attack Center Mods</t>
        </is>
      </c>
      <c r="I3177" s="14" t="n">
        <v>4</v>
      </c>
      <c r="K3177" s="13" t="inlineStr">
        <is>
          <t>USN</t>
        </is>
      </c>
      <c r="L3177" s="7" t="inlineStr">
        <is>
          <t>Combatant Ships</t>
        </is>
      </c>
      <c r="M3177" s="7" t="inlineStr">
        <is>
          <t>Submarines</t>
        </is>
      </c>
      <c r="O3177" s="17" t="n">
        <v>8998</v>
      </c>
      <c r="P3177" s="16" t="n">
        <v>836</v>
      </c>
      <c r="Q3177" s="16" t="n">
        <v>853</v>
      </c>
      <c r="S3177" s="16" t="n">
        <v>869</v>
      </c>
      <c r="U3177" s="16" t="n">
        <v>869</v>
      </c>
      <c r="AC3177" s="23">
        <f>IF(OR(E3177="",E3177="[PARENT]"),"ADD",IF(E3177="[ALT_VIEW]","ALT",""))</f>
        <v/>
      </c>
      <c r="AD3177" s="21">
        <f>IF(Y3177&lt;&gt;"",Y3177,IF(U3177&lt;&gt;"",U3177,S3177))</f>
        <v/>
      </c>
      <c r="AE3177" s="21">
        <f>IF(AB3177&lt;&gt;"",AB3177,Z3177)</f>
        <v/>
      </c>
      <c r="AF3177" s="13" t="inlineStr">
        <is>
          <t>OPN BA4 / BSA 7 / Sub Training / P-3a Attack Center / Installation</t>
        </is>
      </c>
      <c r="AG3177" s="7" t="inlineStr">
        <is>
          <t>245</t>
        </is>
      </c>
      <c r="AJ3177" s="7" t="inlineStr">
        <is>
          <t>Attack Center / Installation</t>
        </is>
      </c>
    </row>
    <row r="3178" ht="10" customHeight="1">
      <c r="A3178" s="7" t="inlineStr">
        <is>
          <t>OPN_BA4</t>
        </is>
      </c>
      <c r="B3178" s="7" t="inlineStr">
        <is>
          <t>Procurement</t>
        </is>
      </c>
      <c r="C3178" s="7" t="inlineStr">
        <is>
          <t>5664</t>
        </is>
      </c>
      <c r="D3178" s="7" t="inlineStr">
        <is>
          <t>Surface Training Equipment</t>
        </is>
      </c>
      <c r="E3178" s="13" t="inlineStr">
        <is>
          <t>[PARENT]</t>
        </is>
      </c>
      <c r="I3178" s="14" t="n">
        <v>6</v>
      </c>
      <c r="K3178" s="15" t="n"/>
      <c r="O3178" s="17" t="n">
        <v>936322</v>
      </c>
      <c r="P3178" s="16" t="n">
        <v>207231</v>
      </c>
      <c r="Q3178" s="16" t="n">
        <v>179974</v>
      </c>
      <c r="S3178" s="16" t="n">
        <v>186085</v>
      </c>
      <c r="T3178" s="16" t="n">
        <v>0</v>
      </c>
      <c r="U3178" s="16" t="n">
        <v>186085</v>
      </c>
      <c r="W3178" s="16" t="n">
        <v>8200</v>
      </c>
      <c r="X3178" s="16" t="n">
        <v>177885</v>
      </c>
      <c r="Y3178" s="16" t="n">
        <v>186085</v>
      </c>
      <c r="Z3178" s="16" t="n">
        <v>218181</v>
      </c>
      <c r="AB3178" s="16" t="n">
        <v>218181</v>
      </c>
      <c r="AC3178" s="23">
        <f>IF(OR(E3178="",E3178="[PARENT]"),"ADD",IF(E3178="[ALT_VIEW]","ALT",""))</f>
        <v/>
      </c>
      <c r="AD3178" s="21">
        <f>IF(Y3178&lt;&gt;"",Y3178,IF(U3178&lt;&gt;"",U3178,S3178))</f>
        <v/>
      </c>
      <c r="AE3178" s="21">
        <f>IF(AB3178&lt;&gt;"",AB3178,Z3178)</f>
        <v/>
      </c>
      <c r="AF3178" s="13" t="inlineStr">
        <is>
          <t>OPN BA4 / BSA 7: Other Expendable Ordnance / Surface Training Equipment</t>
        </is>
      </c>
      <c r="AG3178" s="7" t="inlineStr">
        <is>
          <t>247</t>
        </is>
      </c>
      <c r="AH3178" s="7" t="inlineStr">
        <is>
          <t>5664</t>
        </is>
      </c>
      <c r="AI3178" s="7" t="inlineStr">
        <is>
          <t>CVN 78 Class Training Equipment</t>
        </is>
      </c>
    </row>
    <row r="3179" ht="10" customHeight="1">
      <c r="A3179" s="7" t="inlineStr">
        <is>
          <t>OPN_BA4</t>
        </is>
      </c>
      <c r="B3179" s="7" t="inlineStr">
        <is>
          <t>Procurement</t>
        </is>
      </c>
      <c r="D3179" s="7" t="inlineStr">
        <is>
          <t>STAVE Seaframe Simulators</t>
        </is>
      </c>
      <c r="E3179" s="13" t="inlineStr">
        <is>
          <t>[SUB]</t>
        </is>
      </c>
      <c r="F3179" s="7" t="inlineStr">
        <is>
          <t>5664 / Surface Training Equipment</t>
        </is>
      </c>
      <c r="I3179" s="14" t="n">
        <v>6</v>
      </c>
      <c r="K3179" s="15" t="n"/>
      <c r="O3179" s="17" t="n">
        <v>119472</v>
      </c>
      <c r="P3179" s="16" t="n">
        <v>19201</v>
      </c>
      <c r="Q3179" s="16" t="n">
        <v>19770</v>
      </c>
      <c r="S3179" s="16" t="n">
        <v>15510</v>
      </c>
      <c r="U3179" s="16" t="n">
        <v>15510</v>
      </c>
      <c r="AC3179" s="23">
        <f>IF(OR(E3179="",E3179="[PARENT]"),"ADD",IF(E3179="[ALT_VIEW]","ALT",""))</f>
        <v/>
      </c>
      <c r="AD3179" s="21">
        <f>IF(Y3179&lt;&gt;"",Y3179,IF(U3179&lt;&gt;"",U3179,S3179))</f>
        <v/>
      </c>
      <c r="AE3179" s="21">
        <f>IF(AB3179&lt;&gt;"",AB3179,Z3179)</f>
        <v/>
      </c>
      <c r="AF3179" s="13" t="inlineStr">
        <is>
          <t>OPN BA4 / BSA 7 / Surface Training / STAVE</t>
        </is>
      </c>
      <c r="AG3179" s="7" t="inlineStr">
        <is>
          <t>252</t>
        </is>
      </c>
      <c r="AH3179" s="7" t="inlineStr">
        <is>
          <t>5664</t>
        </is>
      </c>
    </row>
    <row r="3180" ht="10" customHeight="1">
      <c r="A3180" s="7" t="inlineStr">
        <is>
          <t>OPN_BA4</t>
        </is>
      </c>
      <c r="B3180" s="7" t="inlineStr">
        <is>
          <t>Procurement</t>
        </is>
      </c>
      <c r="D3180" s="7" t="inlineStr">
        <is>
          <t>Virtual Reality Labs Networks &amp; Modernization</t>
        </is>
      </c>
      <c r="E3180" s="13" t="inlineStr">
        <is>
          <t>[SUB]</t>
        </is>
      </c>
      <c r="F3180" s="7" t="inlineStr">
        <is>
          <t>STAVE Simulators</t>
        </is>
      </c>
      <c r="I3180" s="14" t="n">
        <v>6</v>
      </c>
      <c r="K3180" s="15" t="n"/>
      <c r="O3180" s="17" t="n">
        <v>27852</v>
      </c>
      <c r="P3180" s="16" t="n">
        <v>1118</v>
      </c>
      <c r="Q3180" s="16" t="n">
        <v>428</v>
      </c>
      <c r="S3180" s="16" t="n">
        <v>2482</v>
      </c>
      <c r="U3180" s="16" t="n">
        <v>2482</v>
      </c>
      <c r="AC3180" s="23">
        <f>IF(OR(E3180="",E3180="[PARENT]"),"ADD",IF(E3180="[ALT_VIEW]","ALT",""))</f>
        <v/>
      </c>
      <c r="AD3180" s="21">
        <f>IF(Y3180&lt;&gt;"",Y3180,IF(U3180&lt;&gt;"",U3180,S3180))</f>
        <v/>
      </c>
      <c r="AE3180" s="21">
        <f>IF(AB3180&lt;&gt;"",AB3180,Z3180)</f>
        <v/>
      </c>
      <c r="AF3180" s="13" t="inlineStr">
        <is>
          <t>OPN BA4 / BSA 7 / Surface Training / STAVE / VR Labs</t>
        </is>
      </c>
      <c r="AG3180" s="7" t="inlineStr">
        <is>
          <t>252</t>
        </is>
      </c>
      <c r="AH3180" s="7" t="inlineStr">
        <is>
          <t>5664</t>
        </is>
      </c>
    </row>
    <row r="3181" ht="10" customHeight="1">
      <c r="A3181" s="7" t="inlineStr">
        <is>
          <t>OPN_BA4</t>
        </is>
      </c>
      <c r="B3181" s="7" t="inlineStr">
        <is>
          <t>Procurement</t>
        </is>
      </c>
      <c r="D3181" s="7" t="inlineStr">
        <is>
          <t>Mission Bay Trainers &amp; Modernization</t>
        </is>
      </c>
      <c r="E3181" s="13" t="inlineStr">
        <is>
          <t>[SUB]</t>
        </is>
      </c>
      <c r="F3181" s="7" t="inlineStr">
        <is>
          <t>STAVE Simulators</t>
        </is>
      </c>
      <c r="I3181" s="14" t="n">
        <v>6</v>
      </c>
      <c r="K3181" s="15" t="n"/>
      <c r="O3181" s="17" t="n">
        <v>17576</v>
      </c>
      <c r="P3181" s="16" t="n">
        <v>834</v>
      </c>
      <c r="Q3181" s="16" t="n">
        <v>833</v>
      </c>
      <c r="S3181" s="16" t="n">
        <v>833</v>
      </c>
      <c r="U3181" s="16" t="n">
        <v>833</v>
      </c>
      <c r="AC3181" s="23">
        <f>IF(OR(E3181="",E3181="[PARENT]"),"ADD",IF(E3181="[ALT_VIEW]","ALT",""))</f>
        <v/>
      </c>
      <c r="AD3181" s="21">
        <f>IF(Y3181&lt;&gt;"",Y3181,IF(U3181&lt;&gt;"",U3181,S3181))</f>
        <v/>
      </c>
      <c r="AE3181" s="21">
        <f>IF(AB3181&lt;&gt;"",AB3181,Z3181)</f>
        <v/>
      </c>
      <c r="AF3181" s="13" t="inlineStr">
        <is>
          <t>OPN BA4 / BSA 7 / Surface Training / STAVE / Mission Bay</t>
        </is>
      </c>
      <c r="AG3181" s="7" t="inlineStr">
        <is>
          <t>252</t>
        </is>
      </c>
      <c r="AH3181" s="7" t="inlineStr">
        <is>
          <t>5664</t>
        </is>
      </c>
    </row>
    <row r="3182" ht="10" customHeight="1">
      <c r="A3182" s="7" t="inlineStr">
        <is>
          <t>OPN_BA4</t>
        </is>
      </c>
      <c r="B3182" s="7" t="inlineStr">
        <is>
          <t>Procurement</t>
        </is>
      </c>
      <c r="D3182" s="7" t="inlineStr">
        <is>
          <t>Integrated Tactical Trainer (ITT) Modernization</t>
        </is>
      </c>
      <c r="E3182" s="13" t="inlineStr">
        <is>
          <t>[SUB]</t>
        </is>
      </c>
      <c r="F3182" s="7" t="inlineStr">
        <is>
          <t>STAVE Simulators</t>
        </is>
      </c>
      <c r="I3182" s="14" t="n">
        <v>6</v>
      </c>
      <c r="K3182" s="15" t="n"/>
      <c r="O3182" s="17" t="n">
        <v>48338</v>
      </c>
      <c r="P3182" s="16" t="n">
        <v>2496</v>
      </c>
      <c r="Q3182" s="16" t="n">
        <v>1225</v>
      </c>
      <c r="S3182" s="16" t="n">
        <v>1225</v>
      </c>
      <c r="U3182" s="16" t="n">
        <v>1225</v>
      </c>
      <c r="AC3182" s="23">
        <f>IF(OR(E3182="",E3182="[PARENT]"),"ADD",IF(E3182="[ALT_VIEW]","ALT",""))</f>
        <v/>
      </c>
      <c r="AD3182" s="21">
        <f>IF(Y3182&lt;&gt;"",Y3182,IF(U3182&lt;&gt;"",U3182,S3182))</f>
        <v/>
      </c>
      <c r="AE3182" s="21">
        <f>IF(AB3182&lt;&gt;"",AB3182,Z3182)</f>
        <v/>
      </c>
      <c r="AF3182" s="13" t="inlineStr">
        <is>
          <t>OPN BA4 / BSA 7 / Surface Training / STAVE / ITT</t>
        </is>
      </c>
      <c r="AG3182" s="7" t="inlineStr">
        <is>
          <t>252</t>
        </is>
      </c>
      <c r="AH3182" s="7" t="inlineStr">
        <is>
          <t>5664</t>
        </is>
      </c>
    </row>
    <row r="3183" ht="10" customHeight="1">
      <c r="A3183" s="7" t="inlineStr">
        <is>
          <t>OPN_BA4</t>
        </is>
      </c>
      <c r="B3183" s="7" t="inlineStr">
        <is>
          <t>Procurement</t>
        </is>
      </c>
      <c r="D3183" s="7" t="inlineStr">
        <is>
          <t>Bridge Part Task Trainers (BPTT) &amp; Modernization</t>
        </is>
      </c>
      <c r="E3183" s="13" t="inlineStr">
        <is>
          <t>[SUB]</t>
        </is>
      </c>
      <c r="F3183" s="7" t="inlineStr">
        <is>
          <t>STAVE Simulators</t>
        </is>
      </c>
      <c r="I3183" s="14" t="n">
        <v>6</v>
      </c>
      <c r="K3183" s="15" t="n"/>
      <c r="O3183" s="17" t="n">
        <v>19094</v>
      </c>
      <c r="P3183" s="16" t="n">
        <v>828</v>
      </c>
      <c r="Q3183" s="16" t="n">
        <v>5600</v>
      </c>
      <c r="S3183" s="16" t="n">
        <v>535</v>
      </c>
      <c r="U3183" s="16" t="n">
        <v>535</v>
      </c>
      <c r="AC3183" s="23">
        <f>IF(OR(E3183="",E3183="[PARENT]"),"ADD",IF(E3183="[ALT_VIEW]","ALT",""))</f>
        <v/>
      </c>
      <c r="AD3183" s="21">
        <f>IF(Y3183&lt;&gt;"",Y3183,IF(U3183&lt;&gt;"",U3183,S3183))</f>
        <v/>
      </c>
      <c r="AE3183" s="21">
        <f>IF(AB3183&lt;&gt;"",AB3183,Z3183)</f>
        <v/>
      </c>
      <c r="AF3183" s="13" t="inlineStr">
        <is>
          <t>OPN BA4 / BSA 7 / Surface Training / STAVE / BPTT</t>
        </is>
      </c>
      <c r="AG3183" s="7" t="inlineStr">
        <is>
          <t>252</t>
        </is>
      </c>
      <c r="AH3183" s="7" t="inlineStr">
        <is>
          <t>5664</t>
        </is>
      </c>
    </row>
    <row r="3184" ht="10" customHeight="1">
      <c r="A3184" s="7" t="inlineStr">
        <is>
          <t>OPN_BA4</t>
        </is>
      </c>
      <c r="B3184" s="7" t="inlineStr">
        <is>
          <t>Procurement</t>
        </is>
      </c>
      <c r="D3184" s="7" t="inlineStr">
        <is>
          <t>Combat Systems Virtual Operations Trainers (CS VOT)</t>
        </is>
      </c>
      <c r="E3184" s="13" t="inlineStr">
        <is>
          <t>[SUB]</t>
        </is>
      </c>
      <c r="F3184" s="7" t="inlineStr">
        <is>
          <t>STAVE Simulators</t>
        </is>
      </c>
      <c r="I3184" s="14" t="n">
        <v>6</v>
      </c>
      <c r="K3184" s="15" t="n"/>
      <c r="O3184" s="17" t="n">
        <v>5592</v>
      </c>
      <c r="P3184" s="16" t="n">
        <v>1600</v>
      </c>
      <c r="S3184" s="16" t="n">
        <v>435</v>
      </c>
      <c r="U3184" s="16" t="n">
        <v>435</v>
      </c>
      <c r="AC3184" s="23">
        <f>IF(OR(E3184="",E3184="[PARENT]"),"ADD",IF(E3184="[ALT_VIEW]","ALT",""))</f>
        <v/>
      </c>
      <c r="AD3184" s="21">
        <f>IF(Y3184&lt;&gt;"",Y3184,IF(U3184&lt;&gt;"",U3184,S3184))</f>
        <v/>
      </c>
      <c r="AE3184" s="21">
        <f>IF(AB3184&lt;&gt;"",AB3184,Z3184)</f>
        <v/>
      </c>
      <c r="AF3184" s="13" t="inlineStr">
        <is>
          <t>OPN BA4 / BSA 7 / Surface Training / STAVE / CS VOT</t>
        </is>
      </c>
      <c r="AG3184" s="7" t="inlineStr">
        <is>
          <t>252</t>
        </is>
      </c>
      <c r="AH3184" s="7" t="inlineStr">
        <is>
          <t>5664</t>
        </is>
      </c>
    </row>
    <row r="3185" ht="10" customHeight="1">
      <c r="A3185" s="7" t="inlineStr">
        <is>
          <t>OPN_BA4</t>
        </is>
      </c>
      <c r="B3185" s="7" t="inlineStr">
        <is>
          <t>Procurement</t>
        </is>
      </c>
      <c r="D3185" s="7" t="inlineStr">
        <is>
          <t>Courseware</t>
        </is>
      </c>
      <c r="E3185" s="13" t="inlineStr">
        <is>
          <t>[SUB]</t>
        </is>
      </c>
      <c r="F3185" s="7" t="inlineStr">
        <is>
          <t>STAVE Simulators</t>
        </is>
      </c>
      <c r="I3185" s="14" t="n">
        <v>6</v>
      </c>
      <c r="K3185" s="15" t="n"/>
      <c r="O3185" s="15" t="n"/>
      <c r="P3185" s="16" t="n">
        <v>409</v>
      </c>
      <c r="Q3185" s="16" t="n">
        <v>1616</v>
      </c>
      <c r="S3185" s="16" t="n">
        <v>10000</v>
      </c>
      <c r="U3185" s="16" t="n">
        <v>10000</v>
      </c>
      <c r="AC3185" s="23">
        <f>IF(OR(E3185="",E3185="[PARENT]"),"ADD",IF(E3185="[ALT_VIEW]","ALT",""))</f>
        <v/>
      </c>
      <c r="AD3185" s="21">
        <f>IF(Y3185&lt;&gt;"",Y3185,IF(U3185&lt;&gt;"",U3185,S3185))</f>
        <v/>
      </c>
      <c r="AE3185" s="21">
        <f>IF(AB3185&lt;&gt;"",AB3185,Z3185)</f>
        <v/>
      </c>
      <c r="AF3185" s="13" t="inlineStr">
        <is>
          <t>OPN BA4 / BSA 7 / Surface Training / STAVE / Courseware</t>
        </is>
      </c>
      <c r="AG3185" s="7" t="inlineStr">
        <is>
          <t>252</t>
        </is>
      </c>
      <c r="AH3185" s="7" t="inlineStr">
        <is>
          <t>5664</t>
        </is>
      </c>
    </row>
    <row r="3186" ht="10" customHeight="1">
      <c r="A3186" s="7" t="inlineStr">
        <is>
          <t>OPN_BA4</t>
        </is>
      </c>
      <c r="B3186" s="7" t="inlineStr">
        <is>
          <t>Procurement</t>
        </is>
      </c>
      <c r="D3186" s="7" t="inlineStr">
        <is>
          <t>Total Ship Training Capability (TSTC) / BFTT/ATD</t>
        </is>
      </c>
      <c r="E3186" s="13" t="inlineStr">
        <is>
          <t>[SUB]</t>
        </is>
      </c>
      <c r="F3186" s="7" t="inlineStr">
        <is>
          <t>5664 / Surface Training Equipment</t>
        </is>
      </c>
      <c r="I3186" s="14" t="n">
        <v>6</v>
      </c>
      <c r="K3186" s="13" t="inlineStr">
        <is>
          <t>USN</t>
        </is>
      </c>
      <c r="L3186" s="7" t="inlineStr">
        <is>
          <t>Combatant Ships</t>
        </is>
      </c>
      <c r="M3186" s="7" t="inlineStr">
        <is>
          <t>Surface Combatants</t>
        </is>
      </c>
      <c r="O3186" s="17" t="n">
        <v>45594</v>
      </c>
      <c r="P3186" s="16" t="n">
        <v>7741</v>
      </c>
      <c r="Q3186" s="16" t="n">
        <v>29523</v>
      </c>
      <c r="S3186" s="16" t="n">
        <v>30126</v>
      </c>
      <c r="U3186" s="16" t="n">
        <v>30126</v>
      </c>
      <c r="AC3186" s="23">
        <f>IF(OR(E3186="",E3186="[PARENT]"),"ADD",IF(E3186="[ALT_VIEW]","ALT",""))</f>
        <v/>
      </c>
      <c r="AD3186" s="21">
        <f>IF(Y3186&lt;&gt;"",Y3186,IF(U3186&lt;&gt;"",U3186,S3186))</f>
        <v/>
      </c>
      <c r="AE3186" s="21">
        <f>IF(AB3186&lt;&gt;"",AB3186,Z3186)</f>
        <v/>
      </c>
      <c r="AF3186" s="13" t="inlineStr">
        <is>
          <t>OPN BA4 / BSA 7 / Surface Training / TSTC</t>
        </is>
      </c>
      <c r="AG3186" s="7" t="inlineStr">
        <is>
          <t>253</t>
        </is>
      </c>
      <c r="AH3186" s="7" t="inlineStr">
        <is>
          <t>5664</t>
        </is>
      </c>
      <c r="AI3186" s="7" t="inlineStr">
        <is>
          <t>Total Ship Training Capability (TSTC) formerly MB040 - BFTT/ATD SHIP SETS/TSTC</t>
        </is>
      </c>
    </row>
    <row r="3187" ht="10" customHeight="1">
      <c r="A3187" s="7" t="inlineStr">
        <is>
          <t>OPN_BA4</t>
        </is>
      </c>
      <c r="B3187" s="7" t="inlineStr">
        <is>
          <t>Procurement</t>
        </is>
      </c>
      <c r="D3187" s="7" t="inlineStr">
        <is>
          <t>MB040 - Combined IAMD/ASW Trainer (CIAT)</t>
        </is>
      </c>
      <c r="E3187" s="13" t="inlineStr">
        <is>
          <t>[SUB]</t>
        </is>
      </c>
      <c r="F3187" s="7" t="inlineStr">
        <is>
          <t>TSTC</t>
        </is>
      </c>
      <c r="I3187" s="14" t="n">
        <v>6</v>
      </c>
      <c r="K3187" s="15" t="n"/>
      <c r="O3187" s="17" t="n">
        <v>10059</v>
      </c>
      <c r="Q3187" s="16" t="n">
        <v>1542</v>
      </c>
      <c r="S3187" s="16" t="n">
        <v>1388</v>
      </c>
      <c r="U3187" s="16" t="n">
        <v>1388</v>
      </c>
      <c r="AC3187" s="23">
        <f>IF(OR(E3187="",E3187="[PARENT]"),"ADD",IF(E3187="[ALT_VIEW]","ALT",""))</f>
        <v/>
      </c>
      <c r="AD3187" s="21">
        <f>IF(Y3187&lt;&gt;"",Y3187,IF(U3187&lt;&gt;"",U3187,S3187))</f>
        <v/>
      </c>
      <c r="AE3187" s="21">
        <f>IF(AB3187&lt;&gt;"",AB3187,Z3187)</f>
        <v/>
      </c>
      <c r="AF3187" s="13" t="inlineStr">
        <is>
          <t>OPN BA4 / BSA 7 / Surface Training / TSTC / CIAT</t>
        </is>
      </c>
      <c r="AG3187" s="7" t="inlineStr">
        <is>
          <t>253</t>
        </is>
      </c>
      <c r="AH3187" s="7" t="inlineStr">
        <is>
          <t>5664</t>
        </is>
      </c>
      <c r="AI3187" s="7" t="inlineStr">
        <is>
          <t>MB040 BFTT/ATD/TSTC Upgrade Kits</t>
        </is>
      </c>
      <c r="AJ3187" s="7" t="inlineStr">
        <is>
          <t>MB040</t>
        </is>
      </c>
    </row>
    <row r="3188" ht="10" customHeight="1">
      <c r="A3188" s="7" t="inlineStr">
        <is>
          <t>OPN_BA4</t>
        </is>
      </c>
      <c r="B3188" s="7" t="inlineStr">
        <is>
          <t>Procurement</t>
        </is>
      </c>
      <c r="D3188" s="7" t="inlineStr">
        <is>
          <t>MB040 - Surface Advanced Virtual Environment (STAVE)</t>
        </is>
      </c>
      <c r="E3188" s="13" t="inlineStr">
        <is>
          <t>[SUB]</t>
        </is>
      </c>
      <c r="F3188" s="7" t="inlineStr">
        <is>
          <t>TSTC</t>
        </is>
      </c>
      <c r="I3188" s="14" t="n">
        <v>6</v>
      </c>
      <c r="K3188" s="15" t="n"/>
      <c r="O3188" s="17" t="n">
        <v>21751</v>
      </c>
      <c r="Q3188" s="16" t="n">
        <v>13521</v>
      </c>
      <c r="S3188" s="16" t="n">
        <v>3314</v>
      </c>
      <c r="U3188" s="16" t="n">
        <v>3314</v>
      </c>
      <c r="AC3188" s="23">
        <f>IF(OR(E3188="",E3188="[PARENT]"),"ADD",IF(E3188="[ALT_VIEW]","ALT",""))</f>
        <v/>
      </c>
      <c r="AD3188" s="21">
        <f>IF(Y3188&lt;&gt;"",Y3188,IF(U3188&lt;&gt;"",U3188,S3188))</f>
        <v/>
      </c>
      <c r="AE3188" s="21">
        <f>IF(AB3188&lt;&gt;"",AB3188,Z3188)</f>
        <v/>
      </c>
      <c r="AF3188" s="13" t="inlineStr">
        <is>
          <t>OPN BA4 / BSA 7 / Surface Training / TSTC / STAVE</t>
        </is>
      </c>
      <c r="AG3188" s="7" t="inlineStr">
        <is>
          <t>253</t>
        </is>
      </c>
      <c r="AH3188" s="7" t="inlineStr">
        <is>
          <t>5664</t>
        </is>
      </c>
      <c r="AI3188" s="7" t="inlineStr">
        <is>
          <t>MB040 BFTT/ATD/TSTC Upgrade Kits</t>
        </is>
      </c>
      <c r="AJ3188" s="7" t="inlineStr">
        <is>
          <t>MB040</t>
        </is>
      </c>
    </row>
    <row r="3189" ht="10" customHeight="1">
      <c r="A3189" s="7" t="inlineStr">
        <is>
          <t>OPN_BA4</t>
        </is>
      </c>
      <c r="B3189" s="7" t="inlineStr">
        <is>
          <t>Procurement</t>
        </is>
      </c>
      <c r="D3189" s="7" t="inlineStr">
        <is>
          <t>MB040 - Live Virtual and Constructive (LVC) Training</t>
        </is>
      </c>
      <c r="E3189" s="13" t="inlineStr">
        <is>
          <t>[SUB]</t>
        </is>
      </c>
      <c r="F3189" s="7" t="inlineStr">
        <is>
          <t>TSTC</t>
        </is>
      </c>
      <c r="I3189" s="14" t="n">
        <v>6</v>
      </c>
      <c r="K3189" s="15" t="n"/>
      <c r="O3189" s="15" t="n"/>
      <c r="P3189" s="16" t="n">
        <v>3692</v>
      </c>
      <c r="Q3189" s="16" t="n">
        <v>14460</v>
      </c>
      <c r="S3189" s="16" t="n">
        <v>25424</v>
      </c>
      <c r="U3189" s="16" t="n">
        <v>25424</v>
      </c>
      <c r="AC3189" s="23">
        <f>IF(OR(E3189="",E3189="[PARENT]"),"ADD",IF(E3189="[ALT_VIEW]","ALT",""))</f>
        <v/>
      </c>
      <c r="AD3189" s="21">
        <f>IF(Y3189&lt;&gt;"",Y3189,IF(U3189&lt;&gt;"",U3189,S3189))</f>
        <v/>
      </c>
      <c r="AE3189" s="21">
        <f>IF(AB3189&lt;&gt;"",AB3189,Z3189)</f>
        <v/>
      </c>
      <c r="AF3189" s="13" t="inlineStr">
        <is>
          <t>OPN BA4 / BSA 7 / Surface Training / TSTC / LVC</t>
        </is>
      </c>
      <c r="AG3189" s="7" t="inlineStr">
        <is>
          <t>253</t>
        </is>
      </c>
      <c r="AH3189" s="7" t="inlineStr">
        <is>
          <t>5664</t>
        </is>
      </c>
      <c r="AI3189" s="7" t="inlineStr">
        <is>
          <t>MB040 BFTT/ATD/TSTC Upgrade Kits</t>
        </is>
      </c>
      <c r="AJ3189" s="7" t="inlineStr">
        <is>
          <t>MB040</t>
        </is>
      </c>
    </row>
    <row r="3190" ht="10" customHeight="1">
      <c r="A3190" s="7" t="inlineStr">
        <is>
          <t>OPN_BA4</t>
        </is>
      </c>
      <c r="B3190" s="7" t="inlineStr">
        <is>
          <t>Procurement</t>
        </is>
      </c>
      <c r="D3190" s="7" t="inlineStr">
        <is>
          <t>CVN 78 Class Training Equipment</t>
        </is>
      </c>
      <c r="E3190" s="13" t="inlineStr">
        <is>
          <t>[SUB]</t>
        </is>
      </c>
      <c r="F3190" s="7" t="inlineStr">
        <is>
          <t>5664 / Surface Training Equipment</t>
        </is>
      </c>
      <c r="I3190" s="14" t="n">
        <v>6</v>
      </c>
      <c r="K3190" s="13" t="inlineStr">
        <is>
          <t>USN</t>
        </is>
      </c>
      <c r="L3190" s="7" t="inlineStr">
        <is>
          <t>Combatant Ships</t>
        </is>
      </c>
      <c r="M3190" s="7" t="inlineStr">
        <is>
          <t>Aircraft Carriers</t>
        </is>
      </c>
      <c r="N3190" s="7" t="inlineStr">
        <is>
          <t>CVN</t>
        </is>
      </c>
      <c r="O3190" s="17" t="n">
        <v>35254</v>
      </c>
      <c r="P3190" s="16" t="n">
        <v>2428</v>
      </c>
      <c r="Q3190" s="16" t="n">
        <v>2474</v>
      </c>
      <c r="S3190" s="16" t="n">
        <v>880</v>
      </c>
      <c r="U3190" s="16" t="n">
        <v>880</v>
      </c>
      <c r="AC3190" s="23">
        <f>IF(OR(E3190="",E3190="[PARENT]"),"ADD",IF(E3190="[ALT_VIEW]","ALT",""))</f>
        <v/>
      </c>
      <c r="AD3190" s="21">
        <f>IF(Y3190&lt;&gt;"",Y3190,IF(U3190&lt;&gt;"",U3190,S3190))</f>
        <v/>
      </c>
      <c r="AE3190" s="21">
        <f>IF(AB3190&lt;&gt;"",AB3190,Z3190)</f>
        <v/>
      </c>
      <c r="AF3190" s="13" t="inlineStr">
        <is>
          <t>OPN BA4 / BSA 7 / Surface Training / CVN 78 Training</t>
        </is>
      </c>
      <c r="AG3190" s="7" t="inlineStr">
        <is>
          <t>254</t>
        </is>
      </c>
      <c r="AH3190" s="7" t="inlineStr">
        <is>
          <t>5664</t>
        </is>
      </c>
      <c r="AI3190" s="7" t="inlineStr">
        <is>
          <t>CVN 78 Class Training Equipment</t>
        </is>
      </c>
    </row>
    <row r="3191" ht="10" customHeight="1">
      <c r="A3191" s="7" t="inlineStr">
        <is>
          <t>OPN_BA4</t>
        </is>
      </c>
      <c r="B3191" s="7" t="inlineStr">
        <is>
          <t>Procurement</t>
        </is>
      </c>
      <c r="D3191" s="7" t="inlineStr">
        <is>
          <t>LCAC Lifecycle Training System</t>
        </is>
      </c>
      <c r="E3191" s="13" t="inlineStr">
        <is>
          <t>[SUB]</t>
        </is>
      </c>
      <c r="F3191" s="7" t="inlineStr">
        <is>
          <t>5664 / Surface Training Equipment</t>
        </is>
      </c>
      <c r="I3191" s="14" t="n">
        <v>6</v>
      </c>
      <c r="K3191" s="13" t="inlineStr">
        <is>
          <t>USN</t>
        </is>
      </c>
      <c r="L3191" s="7" t="inlineStr">
        <is>
          <t>Combatant Crafts</t>
        </is>
      </c>
      <c r="M3191" s="7" t="inlineStr">
        <is>
          <t>Amphibious Warfare Craft</t>
        </is>
      </c>
      <c r="N3191" s="7" t="inlineStr">
        <is>
          <t>LCAC</t>
        </is>
      </c>
      <c r="O3191" s="17" t="n">
        <v>13167</v>
      </c>
      <c r="P3191" s="16" t="n">
        <v>15317</v>
      </c>
      <c r="Q3191" s="16" t="n">
        <v>10687</v>
      </c>
      <c r="S3191" s="16" t="n">
        <v>1620</v>
      </c>
      <c r="U3191" s="16" t="n">
        <v>1620</v>
      </c>
      <c r="AC3191" s="23">
        <f>IF(OR(E3191="",E3191="[PARENT]"),"ADD",IF(E3191="[ALT_VIEW]","ALT",""))</f>
        <v/>
      </c>
      <c r="AD3191" s="21">
        <f>IF(Y3191&lt;&gt;"",Y3191,IF(U3191&lt;&gt;"",U3191,S3191))</f>
        <v/>
      </c>
      <c r="AE3191" s="21">
        <f>IF(AB3191&lt;&gt;"",AB3191,Z3191)</f>
        <v/>
      </c>
      <c r="AF3191" s="13" t="inlineStr">
        <is>
          <t>OPN BA4 / BSA 7 / Surface Training / LCAC Training</t>
        </is>
      </c>
      <c r="AG3191" s="7" t="inlineStr">
        <is>
          <t>254</t>
        </is>
      </c>
      <c r="AH3191" s="7" t="inlineStr">
        <is>
          <t>5664</t>
        </is>
      </c>
      <c r="AI3191" s="7" t="inlineStr">
        <is>
          <t>LCAC Lifecycle Training System</t>
        </is>
      </c>
    </row>
    <row r="3192" ht="10" customHeight="1">
      <c r="A3192" s="7" t="inlineStr">
        <is>
          <t>OPN_BA4</t>
        </is>
      </c>
      <c r="B3192" s="7" t="inlineStr">
        <is>
          <t>Procurement</t>
        </is>
      </c>
      <c r="D3192" s="7" t="inlineStr">
        <is>
          <t>Surface Training Equipment - RRL Infrastructure</t>
        </is>
      </c>
      <c r="E3192" s="13" t="inlineStr">
        <is>
          <t>[SUB]</t>
        </is>
      </c>
      <c r="F3192" s="7" t="inlineStr">
        <is>
          <t>5664 / Surface Training Equipment</t>
        </is>
      </c>
      <c r="I3192" s="14" t="n">
        <v>6</v>
      </c>
      <c r="K3192" s="15" t="n"/>
      <c r="O3192" s="17" t="n">
        <v>0</v>
      </c>
      <c r="S3192" s="16" t="n">
        <v>4764</v>
      </c>
      <c r="U3192" s="16" t="n">
        <v>4764</v>
      </c>
      <c r="AC3192" s="23">
        <f>IF(OR(E3192="",E3192="[PARENT]"),"ADD",IF(E3192="[ALT_VIEW]","ALT",""))</f>
        <v/>
      </c>
      <c r="AD3192" s="21">
        <f>IF(Y3192&lt;&gt;"",Y3192,IF(U3192&lt;&gt;"",U3192,S3192))</f>
        <v/>
      </c>
      <c r="AE3192" s="21">
        <f>IF(AB3192&lt;&gt;"",AB3192,Z3192)</f>
        <v/>
      </c>
      <c r="AF3192" s="13" t="inlineStr">
        <is>
          <t>OPN BA4 / BSA 7 / Surface Training / RRL Infrastructure</t>
        </is>
      </c>
      <c r="AG3192" s="7" t="inlineStr">
        <is>
          <t>255</t>
        </is>
      </c>
      <c r="AH3192" s="7" t="inlineStr">
        <is>
          <t>5664</t>
        </is>
      </c>
      <c r="AI3192" s="7" t="inlineStr">
        <is>
          <t>Surface Training Equipment - RRL infrastructure and simulation development efforts</t>
        </is>
      </c>
    </row>
    <row r="3193" ht="10" customHeight="1">
      <c r="A3193" s="7" t="inlineStr">
        <is>
          <t>OPN_BA4</t>
        </is>
      </c>
      <c r="B3193" s="7" t="inlineStr">
        <is>
          <t>Procurement</t>
        </is>
      </c>
      <c r="C3193" s="7" t="inlineStr">
        <is>
          <t>TS004</t>
        </is>
      </c>
      <c r="D3193" s="7" t="inlineStr">
        <is>
          <t>TS004 Surface Training Device Mods [P-5]</t>
        </is>
      </c>
      <c r="E3193" s="13" t="inlineStr">
        <is>
          <t>[SUB]</t>
        </is>
      </c>
      <c r="F3193" s="7" t="inlineStr">
        <is>
          <t>5664 / Surface Training Equipment</t>
        </is>
      </c>
      <c r="I3193" s="14" t="n">
        <v>6</v>
      </c>
      <c r="K3193" s="15" t="n"/>
      <c r="O3193" s="17" t="n">
        <v>551504</v>
      </c>
      <c r="P3193" s="16" t="n">
        <v>134366</v>
      </c>
      <c r="Q3193" s="16" t="n">
        <v>83905</v>
      </c>
      <c r="S3193" s="16" t="n">
        <v>105860</v>
      </c>
      <c r="U3193" s="16" t="n">
        <v>105860</v>
      </c>
      <c r="AC3193" s="23">
        <f>IF(OR(E3193="",E3193="[PARENT]"),"ADD",IF(E3193="[ALT_VIEW]","ALT",""))</f>
        <v/>
      </c>
      <c r="AD3193" s="21">
        <f>IF(Y3193&lt;&gt;"",Y3193,IF(U3193&lt;&gt;"",U3193,S3193))</f>
        <v/>
      </c>
      <c r="AE3193" s="21">
        <f>IF(AB3193&lt;&gt;"",AB3193,Z3193)</f>
        <v/>
      </c>
      <c r="AF3193" s="13" t="inlineStr">
        <is>
          <t>OPN BA4 / BSA 7 / Surface Training / P-5 TS004</t>
        </is>
      </c>
      <c r="AG3193" s="7" t="inlineStr">
        <is>
          <t>256</t>
        </is>
      </c>
      <c r="AH3193" s="7" t="inlineStr">
        <is>
          <t>5664</t>
        </is>
      </c>
      <c r="AI3193" s="7" t="inlineStr">
        <is>
          <t>TS004 Surface Training Device Mods [TS004]</t>
        </is>
      </c>
      <c r="AJ3193" s="7" t="inlineStr">
        <is>
          <t>TS004</t>
        </is>
      </c>
    </row>
    <row r="3194" ht="10" customHeight="1">
      <c r="A3194" s="7" t="inlineStr">
        <is>
          <t>OPN_BA4</t>
        </is>
      </c>
      <c r="B3194" s="7" t="inlineStr">
        <is>
          <t>Procurement</t>
        </is>
      </c>
      <c r="D3194" s="7" t="inlineStr">
        <is>
          <t>Navigation Trainers</t>
        </is>
      </c>
      <c r="E3194" s="13" t="inlineStr">
        <is>
          <t>[SUB]</t>
        </is>
      </c>
      <c r="F3194" s="7" t="inlineStr">
        <is>
          <t>TS004 / TS004 Surface Training</t>
        </is>
      </c>
      <c r="I3194" s="14" t="n">
        <v>6</v>
      </c>
      <c r="K3194" s="15" t="n"/>
      <c r="O3194" s="17" t="n">
        <v>148855</v>
      </c>
      <c r="P3194" s="16" t="n">
        <v>20777</v>
      </c>
      <c r="Q3194" s="16" t="n">
        <v>15637</v>
      </c>
      <c r="S3194" s="16" t="n">
        <v>15203</v>
      </c>
      <c r="U3194" s="16" t="n">
        <v>15203</v>
      </c>
      <c r="AC3194" s="23">
        <f>IF(OR(E3194="",E3194="[PARENT]"),"ADD",IF(E3194="[ALT_VIEW]","ALT",""))</f>
        <v/>
      </c>
      <c r="AD3194" s="21">
        <f>IF(Y3194&lt;&gt;"",Y3194,IF(U3194&lt;&gt;"",U3194,S3194))</f>
        <v/>
      </c>
      <c r="AE3194" s="21">
        <f>IF(AB3194&lt;&gt;"",AB3194,Z3194)</f>
        <v/>
      </c>
      <c r="AF3194" s="13" t="inlineStr">
        <is>
          <t>OPN BA4 / BSA 7 / Surface Training / TS004 / Nav Trainers</t>
        </is>
      </c>
      <c r="AG3194" s="7" t="inlineStr">
        <is>
          <t>257</t>
        </is>
      </c>
      <c r="AH3194" s="7" t="inlineStr">
        <is>
          <t>5664</t>
        </is>
      </c>
    </row>
    <row r="3195" ht="10" customHeight="1">
      <c r="A3195" s="7" t="inlineStr">
        <is>
          <t>OPN_BA4</t>
        </is>
      </c>
      <c r="B3195" s="7" t="inlineStr">
        <is>
          <t>Procurement</t>
        </is>
      </c>
      <c r="D3195" s="7" t="inlineStr">
        <is>
          <t>AEGIS Ashore Trainer/C4I/Tech Refresh</t>
        </is>
      </c>
      <c r="E3195" s="13" t="inlineStr">
        <is>
          <t>[SUB]</t>
        </is>
      </c>
      <c r="F3195" s="7" t="inlineStr">
        <is>
          <t>TS004 / TS004 Surface Training</t>
        </is>
      </c>
      <c r="I3195" s="14" t="n">
        <v>6</v>
      </c>
      <c r="K3195" s="13" t="inlineStr">
        <is>
          <t>USN</t>
        </is>
      </c>
      <c r="L3195" s="7" t="inlineStr">
        <is>
          <t>Combatant Ships</t>
        </is>
      </c>
      <c r="M3195" s="7" t="inlineStr">
        <is>
          <t>Surface Combatants</t>
        </is>
      </c>
      <c r="O3195" s="17" t="n">
        <v>34738</v>
      </c>
      <c r="P3195" s="16" t="n">
        <v>700</v>
      </c>
      <c r="Q3195" s="16" t="n">
        <v>700</v>
      </c>
      <c r="S3195" s="16" t="n">
        <v>700</v>
      </c>
      <c r="U3195" s="16" t="n">
        <v>700</v>
      </c>
      <c r="AC3195" s="23">
        <f>IF(OR(E3195="",E3195="[PARENT]"),"ADD",IF(E3195="[ALT_VIEW]","ALT",""))</f>
        <v/>
      </c>
      <c r="AD3195" s="21">
        <f>IF(Y3195&lt;&gt;"",Y3195,IF(U3195&lt;&gt;"",U3195,S3195))</f>
        <v/>
      </c>
      <c r="AE3195" s="21">
        <f>IF(AB3195&lt;&gt;"",AB3195,Z3195)</f>
        <v/>
      </c>
      <c r="AF3195" s="13" t="inlineStr">
        <is>
          <t>OPN BA4 / BSA 7 / Surface Training / TS004 / AEGIS Ashore</t>
        </is>
      </c>
      <c r="AG3195" s="7" t="inlineStr">
        <is>
          <t>257</t>
        </is>
      </c>
      <c r="AH3195" s="7" t="inlineStr">
        <is>
          <t>5664</t>
        </is>
      </c>
    </row>
    <row r="3196" ht="10" customHeight="1">
      <c r="A3196" s="7" t="inlineStr">
        <is>
          <t>OPN_BA4</t>
        </is>
      </c>
      <c r="B3196" s="7" t="inlineStr">
        <is>
          <t>Procurement</t>
        </is>
      </c>
      <c r="D3196" s="7" t="inlineStr">
        <is>
          <t>Combined IAMD/ASW Trainer (CIAT)</t>
        </is>
      </c>
      <c r="E3196" s="13" t="inlineStr">
        <is>
          <t>[SUB]</t>
        </is>
      </c>
      <c r="F3196" s="7" t="inlineStr">
        <is>
          <t>TS004 / TS004 Surface Training</t>
        </is>
      </c>
      <c r="I3196" s="14" t="n">
        <v>6</v>
      </c>
      <c r="K3196" s="13" t="inlineStr">
        <is>
          <t>USN</t>
        </is>
      </c>
      <c r="L3196" s="7" t="inlineStr">
        <is>
          <t>Combatant Ships</t>
        </is>
      </c>
      <c r="M3196" s="7" t="inlineStr">
        <is>
          <t>Surface Combatants</t>
        </is>
      </c>
      <c r="O3196" s="17" t="n">
        <v>146460</v>
      </c>
      <c r="P3196" s="16" t="n">
        <v>14979</v>
      </c>
      <c r="Q3196" s="16" t="n">
        <v>20000</v>
      </c>
      <c r="S3196" s="16" t="n">
        <v>19410</v>
      </c>
      <c r="U3196" s="16" t="n">
        <v>19410</v>
      </c>
      <c r="AC3196" s="23">
        <f>IF(OR(E3196="",E3196="[PARENT]"),"ADD",IF(E3196="[ALT_VIEW]","ALT",""))</f>
        <v/>
      </c>
      <c r="AD3196" s="21">
        <f>IF(Y3196&lt;&gt;"",Y3196,IF(U3196&lt;&gt;"",U3196,S3196))</f>
        <v/>
      </c>
      <c r="AE3196" s="21">
        <f>IF(AB3196&lt;&gt;"",AB3196,Z3196)</f>
        <v/>
      </c>
      <c r="AF3196" s="13" t="inlineStr">
        <is>
          <t>OPN BA4 / BSA 7 / Surface Training / TS004 / CIAT</t>
        </is>
      </c>
      <c r="AG3196" s="7" t="inlineStr">
        <is>
          <t>257</t>
        </is>
      </c>
      <c r="AH3196" s="7" t="inlineStr">
        <is>
          <t>5664</t>
        </is>
      </c>
    </row>
    <row r="3197" ht="10" customHeight="1">
      <c r="A3197" s="7" t="inlineStr">
        <is>
          <t>OPN_BA4</t>
        </is>
      </c>
      <c r="B3197" s="7" t="inlineStr">
        <is>
          <t>Procurement</t>
        </is>
      </c>
      <c r="D3197" s="7" t="inlineStr">
        <is>
          <t>Navy Training System Plan (NTSP TTE/TD Mods)</t>
        </is>
      </c>
      <c r="E3197" s="13" t="inlineStr">
        <is>
          <t>[SUB]</t>
        </is>
      </c>
      <c r="F3197" s="7" t="inlineStr">
        <is>
          <t>TS004 / TS004 Surface Training</t>
        </is>
      </c>
      <c r="I3197" s="14" t="n">
        <v>6</v>
      </c>
      <c r="K3197" s="15" t="n"/>
      <c r="O3197" s="17" t="n">
        <v>45893</v>
      </c>
      <c r="P3197" s="16" t="n">
        <v>7775</v>
      </c>
      <c r="Q3197" s="16" t="n">
        <v>1500</v>
      </c>
      <c r="S3197" s="16" t="n">
        <v>850</v>
      </c>
      <c r="U3197" s="16" t="n">
        <v>850</v>
      </c>
      <c r="AC3197" s="23">
        <f>IF(OR(E3197="",E3197="[PARENT]"),"ADD",IF(E3197="[ALT_VIEW]","ALT",""))</f>
        <v/>
      </c>
      <c r="AD3197" s="21">
        <f>IF(Y3197&lt;&gt;"",Y3197,IF(U3197&lt;&gt;"",U3197,S3197))</f>
        <v/>
      </c>
      <c r="AE3197" s="21">
        <f>IF(AB3197&lt;&gt;"",AB3197,Z3197)</f>
        <v/>
      </c>
      <c r="AF3197" s="13" t="inlineStr">
        <is>
          <t>OPN BA4 / BSA 7 / Surface Training / TS004 / NTSP</t>
        </is>
      </c>
      <c r="AG3197" s="7" t="inlineStr">
        <is>
          <t>257</t>
        </is>
      </c>
      <c r="AH3197" s="7" t="inlineStr">
        <is>
          <t>5664</t>
        </is>
      </c>
    </row>
    <row r="3198" ht="10" customHeight="1">
      <c r="A3198" s="7" t="inlineStr">
        <is>
          <t>OPN_BA4</t>
        </is>
      </c>
      <c r="B3198" s="7" t="inlineStr">
        <is>
          <t>Procurement</t>
        </is>
      </c>
      <c r="D3198" s="7" t="inlineStr">
        <is>
          <t>STAVE SEAFRAME SIMULATORS (DDG LPD LHA LHD FFG)</t>
        </is>
      </c>
      <c r="E3198" s="13" t="inlineStr">
        <is>
          <t>[SUB]</t>
        </is>
      </c>
      <c r="F3198" s="7" t="inlineStr">
        <is>
          <t>TS004 / TS004 Surface Training</t>
        </is>
      </c>
      <c r="I3198" s="14" t="n">
        <v>6</v>
      </c>
      <c r="K3198" s="15" t="n"/>
      <c r="O3198" s="15" t="n"/>
      <c r="P3198" s="16" t="n">
        <v>15950</v>
      </c>
      <c r="Q3198" s="16" t="n">
        <v>15760</v>
      </c>
      <c r="S3198" s="16" t="n">
        <v>6075</v>
      </c>
      <c r="U3198" s="16" t="n">
        <v>6075</v>
      </c>
      <c r="AC3198" s="23">
        <f>IF(OR(E3198="",E3198="[PARENT]"),"ADD",IF(E3198="[ALT_VIEW]","ALT",""))</f>
        <v/>
      </c>
      <c r="AD3198" s="21">
        <f>IF(Y3198&lt;&gt;"",Y3198,IF(U3198&lt;&gt;"",U3198,S3198))</f>
        <v/>
      </c>
      <c r="AE3198" s="21">
        <f>IF(AB3198&lt;&gt;"",AB3198,Z3198)</f>
        <v/>
      </c>
      <c r="AF3198" s="13" t="inlineStr">
        <is>
          <t>OPN BA4 / BSA 7 / Surface Training / TS004 / STAVE SIM</t>
        </is>
      </c>
      <c r="AG3198" s="7" t="inlineStr">
        <is>
          <t>257</t>
        </is>
      </c>
      <c r="AH3198" s="7" t="inlineStr">
        <is>
          <t>5664</t>
        </is>
      </c>
    </row>
    <row r="3199" ht="10" customHeight="1">
      <c r="A3199" s="7" t="inlineStr">
        <is>
          <t>OPN_BA4</t>
        </is>
      </c>
      <c r="B3199" s="7" t="inlineStr">
        <is>
          <t>Procurement</t>
        </is>
      </c>
      <c r="D3199" s="7" t="inlineStr">
        <is>
          <t>Surface Minor Mods</t>
        </is>
      </c>
      <c r="E3199" s="13" t="inlineStr">
        <is>
          <t>[SUB]</t>
        </is>
      </c>
      <c r="F3199" s="7" t="inlineStr">
        <is>
          <t>TS004 / TS004 Surface Training</t>
        </is>
      </c>
      <c r="I3199" s="14" t="n">
        <v>4</v>
      </c>
      <c r="K3199" s="15" t="n"/>
      <c r="O3199" s="17" t="n">
        <v>153411</v>
      </c>
      <c r="P3199" s="16" t="n">
        <v>70088</v>
      </c>
      <c r="Q3199" s="16" t="n">
        <v>26755</v>
      </c>
      <c r="S3199" s="16" t="n">
        <v>60380</v>
      </c>
      <c r="U3199" s="16" t="n">
        <v>60380</v>
      </c>
      <c r="AC3199" s="23">
        <f>IF(OR(E3199="",E3199="[PARENT]"),"ADD",IF(E3199="[ALT_VIEW]","ALT",""))</f>
        <v/>
      </c>
      <c r="AD3199" s="21">
        <f>IF(Y3199&lt;&gt;"",Y3199,IF(U3199&lt;&gt;"",U3199,S3199))</f>
        <v/>
      </c>
      <c r="AE3199" s="21">
        <f>IF(AB3199&lt;&gt;"",AB3199,Z3199)</f>
        <v/>
      </c>
      <c r="AF3199" s="13" t="inlineStr">
        <is>
          <t>OPN BA4 / BSA 7 / Surface Training / TS004 / Minor Mods</t>
        </is>
      </c>
      <c r="AG3199" s="7" t="inlineStr">
        <is>
          <t>258</t>
        </is>
      </c>
      <c r="AH3199" s="7" t="inlineStr">
        <is>
          <t>5664</t>
        </is>
      </c>
    </row>
    <row r="3200" ht="10" customHeight="1">
      <c r="A3200" s="7" t="inlineStr">
        <is>
          <t>OPN_BA4</t>
        </is>
      </c>
      <c r="B3200" s="7" t="inlineStr">
        <is>
          <t>Procurement</t>
        </is>
      </c>
      <c r="D3200" s="7" t="inlineStr">
        <is>
          <t>FFT/SLEP/Modular Trainer</t>
        </is>
      </c>
      <c r="E3200" s="13" t="inlineStr">
        <is>
          <t>[SUB]</t>
        </is>
      </c>
      <c r="F3200" s="7" t="inlineStr">
        <is>
          <t>TS004 / TS004 Surface Training</t>
        </is>
      </c>
      <c r="I3200" s="14" t="n">
        <v>6</v>
      </c>
      <c r="K3200" s="15" t="n"/>
      <c r="O3200" s="17" t="n">
        <v>11407</v>
      </c>
      <c r="P3200" s="16" t="n">
        <v>1670</v>
      </c>
      <c r="Q3200" s="16" t="n">
        <v>1660</v>
      </c>
      <c r="S3200" s="16" t="n">
        <v>1670</v>
      </c>
      <c r="U3200" s="16" t="n">
        <v>1670</v>
      </c>
      <c r="AC3200" s="23">
        <f>IF(OR(E3200="",E3200="[PARENT]"),"ADD",IF(E3200="[ALT_VIEW]","ALT",""))</f>
        <v/>
      </c>
      <c r="AD3200" s="21">
        <f>IF(Y3200&lt;&gt;"",Y3200,IF(U3200&lt;&gt;"",U3200,S3200))</f>
        <v/>
      </c>
      <c r="AE3200" s="21">
        <f>IF(AB3200&lt;&gt;"",AB3200,Z3200)</f>
        <v/>
      </c>
      <c r="AF3200" s="13" t="inlineStr">
        <is>
          <t>OPN BA4 / BSA 7 / Surface Training / TS004 / FFT SLEP</t>
        </is>
      </c>
      <c r="AG3200" s="7" t="inlineStr">
        <is>
          <t>258</t>
        </is>
      </c>
      <c r="AH3200" s="7" t="inlineStr">
        <is>
          <t>5664</t>
        </is>
      </c>
    </row>
    <row r="3201" ht="10" customHeight="1">
      <c r="A3201" s="7" t="inlineStr">
        <is>
          <t>OPN_BA4</t>
        </is>
      </c>
      <c r="B3201" s="7" t="inlineStr">
        <is>
          <t>Procurement</t>
        </is>
      </c>
      <c r="D3201" s="7" t="inlineStr">
        <is>
          <t>FCA Trainers</t>
        </is>
      </c>
      <c r="E3201" s="13" t="inlineStr">
        <is>
          <t>[SUB]</t>
        </is>
      </c>
      <c r="F3201" s="7" t="inlineStr">
        <is>
          <t>TS004 / TS004 Surface Training</t>
        </is>
      </c>
      <c r="I3201" s="14" t="n">
        <v>6</v>
      </c>
      <c r="K3201" s="15" t="n"/>
      <c r="O3201" s="17" t="n">
        <v>5350</v>
      </c>
      <c r="P3201" s="16" t="n">
        <v>1600</v>
      </c>
      <c r="Q3201" s="16" t="n">
        <v>1050</v>
      </c>
      <c r="S3201" s="16" t="n">
        <v>1300</v>
      </c>
      <c r="U3201" s="16" t="n">
        <v>1300</v>
      </c>
      <c r="AC3201" s="23">
        <f>IF(OR(E3201="",E3201="[PARENT]"),"ADD",IF(E3201="[ALT_VIEW]","ALT",""))</f>
        <v/>
      </c>
      <c r="AD3201" s="21">
        <f>IF(Y3201&lt;&gt;"",Y3201,IF(U3201&lt;&gt;"",U3201,S3201))</f>
        <v/>
      </c>
      <c r="AE3201" s="21">
        <f>IF(AB3201&lt;&gt;"",AB3201,Z3201)</f>
        <v/>
      </c>
      <c r="AF3201" s="13" t="inlineStr">
        <is>
          <t>OPN BA4 / BSA 7 / Surface Training / TS004 / FCA</t>
        </is>
      </c>
      <c r="AG3201" s="7" t="inlineStr">
        <is>
          <t>258</t>
        </is>
      </c>
      <c r="AH3201" s="7" t="inlineStr">
        <is>
          <t>5664</t>
        </is>
      </c>
    </row>
    <row r="3202" ht="10" customHeight="1">
      <c r="A3202" s="7" t="inlineStr">
        <is>
          <t>OPN_BA4</t>
        </is>
      </c>
      <c r="B3202" s="7" t="inlineStr">
        <is>
          <t>Procurement</t>
        </is>
      </c>
      <c r="D3202" s="7" t="inlineStr">
        <is>
          <t>MB040 - BFTT/ATD Ship Sets [P-3a Mod 1]</t>
        </is>
      </c>
      <c r="E3202" s="13" t="inlineStr">
        <is>
          <t>[SUB]</t>
        </is>
      </c>
      <c r="F3202" s="7" t="inlineStr">
        <is>
          <t>5664 / Surface Training Equipment</t>
        </is>
      </c>
      <c r="I3202" s="14" t="n">
        <v>4</v>
      </c>
      <c r="K3202" s="13" t="inlineStr">
        <is>
          <t>USN</t>
        </is>
      </c>
      <c r="L3202" s="7" t="inlineStr">
        <is>
          <t>Combatant Ships</t>
        </is>
      </c>
      <c r="M3202" s="7" t="inlineStr">
        <is>
          <t>Surface Combatants</t>
        </is>
      </c>
      <c r="O3202" s="17" t="n">
        <v>99059</v>
      </c>
      <c r="P3202" s="16" t="n">
        <v>13000</v>
      </c>
      <c r="Q3202" s="16" t="n">
        <v>14400</v>
      </c>
      <c r="S3202" s="16" t="n">
        <v>11230</v>
      </c>
      <c r="U3202" s="16" t="n">
        <v>11230</v>
      </c>
      <c r="AC3202" s="23">
        <f>IF(OR(E3202="",E3202="[PARENT]"),"ADD",IF(E3202="[ALT_VIEW]","ALT",""))</f>
        <v/>
      </c>
      <c r="AD3202" s="21">
        <f>IF(Y3202&lt;&gt;"",Y3202,IF(U3202&lt;&gt;"",U3202,S3202))</f>
        <v/>
      </c>
      <c r="AE3202" s="21">
        <f>IF(AB3202&lt;&gt;"",AB3202,Z3202)</f>
        <v/>
      </c>
      <c r="AF3202" s="13" t="inlineStr">
        <is>
          <t>OPN BA4 / BSA 7 / Surface Training / P-3a BFTT Ship Sets</t>
        </is>
      </c>
      <c r="AG3202" s="7" t="inlineStr">
        <is>
          <t>260</t>
        </is>
      </c>
      <c r="AH3202" s="7" t="inlineStr">
        <is>
          <t>5664</t>
        </is>
      </c>
      <c r="AI3202" s="7" t="inlineStr">
        <is>
          <t>MB040 BFTT/ATD/TSTC Upgrade Kits</t>
        </is>
      </c>
      <c r="AJ3202" s="7" t="inlineStr">
        <is>
          <t>MB040</t>
        </is>
      </c>
    </row>
    <row r="3203" ht="10" customHeight="1">
      <c r="A3203" s="7" t="inlineStr">
        <is>
          <t>OPN_BA4</t>
        </is>
      </c>
      <c r="B3203" s="7" t="inlineStr">
        <is>
          <t>Procurement</t>
        </is>
      </c>
      <c r="D3203" s="7" t="inlineStr">
        <is>
          <t>BFTT/ATD Ship Sets - Procurement (B Kits)</t>
        </is>
      </c>
      <c r="E3203" s="13" t="inlineStr">
        <is>
          <t>[SUB]</t>
        </is>
      </c>
      <c r="F3203" s="7" t="inlineStr">
        <is>
          <t>BFTT Ship Sets</t>
        </is>
      </c>
      <c r="I3203" s="14" t="n">
        <v>4</v>
      </c>
      <c r="K3203" s="15" t="n"/>
      <c r="O3203" s="17" t="n">
        <v>66094</v>
      </c>
      <c r="P3203" s="16" t="n">
        <v>9000</v>
      </c>
      <c r="Q3203" s="16" t="n">
        <v>9900</v>
      </c>
      <c r="S3203" s="16" t="n">
        <v>5950</v>
      </c>
      <c r="U3203" s="16" t="n">
        <v>5950</v>
      </c>
      <c r="AC3203" s="23">
        <f>IF(OR(E3203="",E3203="[PARENT]"),"ADD",IF(E3203="[ALT_VIEW]","ALT",""))</f>
        <v/>
      </c>
      <c r="AD3203" s="21">
        <f>IF(Y3203&lt;&gt;"",Y3203,IF(U3203&lt;&gt;"",U3203,S3203))</f>
        <v/>
      </c>
      <c r="AE3203" s="21">
        <f>IF(AB3203&lt;&gt;"",AB3203,Z3203)</f>
        <v/>
      </c>
      <c r="AF3203" s="13" t="inlineStr">
        <is>
          <t>OPN BA4 / BSA 7 / Surface Training / P-3a BFTT / Procurement</t>
        </is>
      </c>
      <c r="AG3203" s="7" t="inlineStr">
        <is>
          <t>261</t>
        </is>
      </c>
      <c r="AH3203" s="7" t="inlineStr">
        <is>
          <t>5664</t>
        </is>
      </c>
      <c r="AJ3203" s="7" t="inlineStr">
        <is>
          <t>BFTT / Procurement</t>
        </is>
      </c>
    </row>
    <row r="3204" ht="10" customHeight="1">
      <c r="A3204" s="7" t="inlineStr">
        <is>
          <t>OPN_BA4</t>
        </is>
      </c>
      <c r="B3204" s="7" t="inlineStr">
        <is>
          <t>Procurement</t>
        </is>
      </c>
      <c r="D3204" s="7" t="inlineStr">
        <is>
          <t>BFTT/ATD Ship Sets - Installation</t>
        </is>
      </c>
      <c r="E3204" s="13" t="inlineStr">
        <is>
          <t>[SUB]</t>
        </is>
      </c>
      <c r="F3204" s="7" t="inlineStr">
        <is>
          <t>BFTT Ship Sets</t>
        </is>
      </c>
      <c r="I3204" s="14" t="n">
        <v>4</v>
      </c>
      <c r="K3204" s="15" t="n"/>
      <c r="O3204" s="17" t="n">
        <v>32965</v>
      </c>
      <c r="P3204" s="16" t="n">
        <v>4000</v>
      </c>
      <c r="Q3204" s="16" t="n">
        <v>4500</v>
      </c>
      <c r="S3204" s="16" t="n">
        <v>5280</v>
      </c>
      <c r="U3204" s="16" t="n">
        <v>5280</v>
      </c>
      <c r="AC3204" s="23">
        <f>IF(OR(E3204="",E3204="[PARENT]"),"ADD",IF(E3204="[ALT_VIEW]","ALT",""))</f>
        <v/>
      </c>
      <c r="AD3204" s="21">
        <f>IF(Y3204&lt;&gt;"",Y3204,IF(U3204&lt;&gt;"",U3204,S3204))</f>
        <v/>
      </c>
      <c r="AE3204" s="21">
        <f>IF(AB3204&lt;&gt;"",AB3204,Z3204)</f>
        <v/>
      </c>
      <c r="AF3204" s="13" t="inlineStr">
        <is>
          <t>OPN BA4 / BSA 7 / Surface Training / P-3a BFTT / Installation</t>
        </is>
      </c>
      <c r="AG3204" s="7" t="inlineStr">
        <is>
          <t>261</t>
        </is>
      </c>
      <c r="AH3204" s="7" t="inlineStr">
        <is>
          <t>5664</t>
        </is>
      </c>
      <c r="AJ3204" s="7" t="inlineStr">
        <is>
          <t>BFTT / Installation</t>
        </is>
      </c>
    </row>
    <row r="3205" ht="10" customHeight="1">
      <c r="A3205" s="7" t="inlineStr">
        <is>
          <t>OPN_BA4</t>
        </is>
      </c>
      <c r="B3205" s="7" t="inlineStr">
        <is>
          <t>Procurement</t>
        </is>
      </c>
      <c r="D3205" s="7" t="inlineStr">
        <is>
          <t>MB040 BFTT/ATD/TSTC Upgrade Kits [P-3a Mod 2]</t>
        </is>
      </c>
      <c r="E3205" s="13" t="inlineStr">
        <is>
          <t>[SUB]</t>
        </is>
      </c>
      <c r="F3205" s="7" t="inlineStr">
        <is>
          <t>5664 / Surface Training Equipment</t>
        </is>
      </c>
      <c r="I3205" s="14" t="n">
        <v>4</v>
      </c>
      <c r="K3205" s="13" t="inlineStr">
        <is>
          <t>USN</t>
        </is>
      </c>
      <c r="L3205" s="7" t="inlineStr">
        <is>
          <t>Combatant Ships</t>
        </is>
      </c>
      <c r="M3205" s="7" t="inlineStr">
        <is>
          <t>Surface Combatants</t>
        </is>
      </c>
      <c r="O3205" s="17" t="n">
        <v>72272</v>
      </c>
      <c r="P3205" s="16" t="n">
        <v>15178</v>
      </c>
      <c r="Q3205" s="16" t="n">
        <v>19215</v>
      </c>
      <c r="S3205" s="16" t="n">
        <v>16095</v>
      </c>
      <c r="U3205" s="16" t="n">
        <v>16095</v>
      </c>
      <c r="AC3205" s="23">
        <f>IF(OR(E3205="",E3205="[PARENT]"),"ADD",IF(E3205="[ALT_VIEW]","ALT",""))</f>
        <v/>
      </c>
      <c r="AD3205" s="21">
        <f>IF(Y3205&lt;&gt;"",Y3205,IF(U3205&lt;&gt;"",U3205,S3205))</f>
        <v/>
      </c>
      <c r="AE3205" s="21">
        <f>IF(AB3205&lt;&gt;"",AB3205,Z3205)</f>
        <v/>
      </c>
      <c r="AF3205" s="13" t="inlineStr">
        <is>
          <t>OPN BA4 / BSA 7 / Surface Training / P-3a BFTT Upgrade Kits</t>
        </is>
      </c>
      <c r="AG3205" s="7" t="inlineStr">
        <is>
          <t>263</t>
        </is>
      </c>
      <c r="AH3205" s="7" t="inlineStr">
        <is>
          <t>5664</t>
        </is>
      </c>
      <c r="AI3205" s="7" t="inlineStr">
        <is>
          <t>MB040 BFTT/ATD/TSTC Upgrade Kits</t>
        </is>
      </c>
      <c r="AJ3205" s="7" t="inlineStr">
        <is>
          <t>MB040</t>
        </is>
      </c>
    </row>
    <row r="3206" ht="10" customHeight="1">
      <c r="A3206" s="7" t="inlineStr">
        <is>
          <t>OPN_BA4</t>
        </is>
      </c>
      <c r="B3206" s="7" t="inlineStr">
        <is>
          <t>Procurement</t>
        </is>
      </c>
      <c r="D3206" s="7" t="inlineStr">
        <is>
          <t>BFTT/ATD/TSTC Upgrade Kits - Procurement (B Kits)</t>
        </is>
      </c>
      <c r="E3206" s="13" t="inlineStr">
        <is>
          <t>[SUB]</t>
        </is>
      </c>
      <c r="F3206" s="7" t="inlineStr">
        <is>
          <t>BFTT Upgrade Kits</t>
        </is>
      </c>
      <c r="I3206" s="14" t="n">
        <v>4</v>
      </c>
      <c r="K3206" s="15" t="n"/>
      <c r="O3206" s="17" t="n">
        <v>26775</v>
      </c>
      <c r="P3206" s="16" t="n">
        <v>6651</v>
      </c>
      <c r="Q3206" s="16" t="n">
        <v>8621</v>
      </c>
      <c r="S3206" s="16" t="n">
        <v>7331</v>
      </c>
      <c r="U3206" s="16" t="n">
        <v>7331</v>
      </c>
      <c r="AC3206" s="23">
        <f>IF(OR(E3206="",E3206="[PARENT]"),"ADD",IF(E3206="[ALT_VIEW]","ALT",""))</f>
        <v/>
      </c>
      <c r="AD3206" s="21">
        <f>IF(Y3206&lt;&gt;"",Y3206,IF(U3206&lt;&gt;"",U3206,S3206))</f>
        <v/>
      </c>
      <c r="AE3206" s="21">
        <f>IF(AB3206&lt;&gt;"",AB3206,Z3206)</f>
        <v/>
      </c>
      <c r="AF3206" s="13" t="inlineStr">
        <is>
          <t>OPN BA4 / BSA 7 / Surface Training / P-3a Upgrade / Procurement</t>
        </is>
      </c>
      <c r="AG3206" s="7" t="inlineStr">
        <is>
          <t>264</t>
        </is>
      </c>
      <c r="AH3206" s="7" t="inlineStr">
        <is>
          <t>5664</t>
        </is>
      </c>
      <c r="AJ3206" s="7" t="inlineStr">
        <is>
          <t>Upgrade / Procurement</t>
        </is>
      </c>
    </row>
    <row r="3207" ht="10" customHeight="1">
      <c r="A3207" s="7" t="inlineStr">
        <is>
          <t>OPN_BA4</t>
        </is>
      </c>
      <c r="B3207" s="7" t="inlineStr">
        <is>
          <t>Procurement</t>
        </is>
      </c>
      <c r="D3207" s="7" t="inlineStr">
        <is>
          <t>BFTT/ATD/TSTC Upgrade Kits - Installation</t>
        </is>
      </c>
      <c r="E3207" s="13" t="inlineStr">
        <is>
          <t>[SUB]</t>
        </is>
      </c>
      <c r="F3207" s="7" t="inlineStr">
        <is>
          <t>BFTT Upgrade Kits</t>
        </is>
      </c>
      <c r="I3207" s="14" t="n">
        <v>4</v>
      </c>
      <c r="K3207" s="15" t="n"/>
      <c r="O3207" s="17" t="n">
        <v>45497</v>
      </c>
      <c r="P3207" s="16" t="n">
        <v>8527</v>
      </c>
      <c r="Q3207" s="16" t="n">
        <v>10594</v>
      </c>
      <c r="S3207" s="16" t="n">
        <v>8764</v>
      </c>
      <c r="U3207" s="16" t="n">
        <v>8764</v>
      </c>
      <c r="AC3207" s="23">
        <f>IF(OR(E3207="",E3207="[PARENT]"),"ADD",IF(E3207="[ALT_VIEW]","ALT",""))</f>
        <v/>
      </c>
      <c r="AD3207" s="21">
        <f>IF(Y3207&lt;&gt;"",Y3207,IF(U3207&lt;&gt;"",U3207,S3207))</f>
        <v/>
      </c>
      <c r="AE3207" s="21">
        <f>IF(AB3207&lt;&gt;"",AB3207,Z3207)</f>
        <v/>
      </c>
      <c r="AF3207" s="13" t="inlineStr">
        <is>
          <t>OPN BA4 / BSA 7 / Surface Training / P-3a Upgrade / Installation</t>
        </is>
      </c>
      <c r="AG3207" s="7" t="inlineStr">
        <is>
          <t>264</t>
        </is>
      </c>
      <c r="AH3207" s="7" t="inlineStr">
        <is>
          <t>5664</t>
        </is>
      </c>
      <c r="AJ3207" s="7" t="inlineStr">
        <is>
          <t>Upgrade / Installation</t>
        </is>
      </c>
    </row>
    <row r="3208" ht="10" customHeight="1">
      <c r="A3208" s="7" t="inlineStr">
        <is>
          <t>OPN_BA5-8</t>
        </is>
      </c>
      <c r="B3208" s="7" t="inlineStr">
        <is>
          <t>Procurement</t>
        </is>
      </c>
      <c r="C3208" s="7" t="inlineStr">
        <is>
          <t>BA03</t>
        </is>
      </c>
      <c r="D3208" s="7" t="inlineStr">
        <is>
          <t>Total Aviation Support Equipment</t>
        </is>
      </c>
      <c r="E3208" s="13" t="inlineStr">
        <is>
          <t>[ALT_VIEW]</t>
        </is>
      </c>
      <c r="K3208" s="15" t="n"/>
      <c r="O3208" s="15" t="n"/>
      <c r="P3208" s="16" t="n">
        <v>906795</v>
      </c>
      <c r="Q3208" s="16" t="n">
        <v>889155</v>
      </c>
      <c r="S3208" s="16" t="n">
        <v>814932</v>
      </c>
      <c r="T3208" s="16" t="n">
        <v>80000</v>
      </c>
      <c r="U3208" s="16" t="n">
        <v>894932</v>
      </c>
      <c r="AC3208" s="23">
        <f>IF(OR(E3208="",E3208="[PARENT]"),"ADD",IF(E3208="[ALT_VIEW]","ALT",""))</f>
        <v/>
      </c>
      <c r="AD3208" s="21">
        <f>IF(Y3208&lt;&gt;"",Y3208,IF(U3208&lt;&gt;"",U3208,S3208))</f>
        <v/>
      </c>
      <c r="AE3208" s="21">
        <f>IF(AB3208&lt;&gt;"",AB3208,Z3208)</f>
        <v/>
      </c>
      <c r="AF3208" s="13" t="inlineStr">
        <is>
          <t>Exhibit P-1 / BA03 Aviation Support Equipment</t>
        </is>
      </c>
      <c r="AG3208" s="7" t="inlineStr">
        <is>
          <t>18</t>
        </is>
      </c>
    </row>
    <row r="3209" ht="10" customHeight="1">
      <c r="A3209" s="7" t="inlineStr">
        <is>
          <t>OPN_BA5-8</t>
        </is>
      </c>
      <c r="B3209" s="7" t="inlineStr">
        <is>
          <t>Procurement</t>
        </is>
      </c>
      <c r="C3209" s="7" t="inlineStr">
        <is>
          <t>116</t>
        </is>
      </c>
      <c r="D3209" s="7" t="inlineStr">
        <is>
          <t>Advanced Arresting Gear (AAG)</t>
        </is>
      </c>
      <c r="E3209" s="15" t="n"/>
      <c r="I3209" s="14" t="n">
        <v>4</v>
      </c>
      <c r="K3209" s="13" t="inlineStr">
        <is>
          <t>USN</t>
        </is>
      </c>
      <c r="L3209" s="7" t="inlineStr">
        <is>
          <t>Combatant Ships</t>
        </is>
      </c>
      <c r="M3209" s="7" t="inlineStr">
        <is>
          <t>Aircraft Carriers</t>
        </is>
      </c>
      <c r="N3209" s="7" t="inlineStr">
        <is>
          <t>CVN</t>
        </is>
      </c>
      <c r="O3209" s="15" t="n"/>
      <c r="P3209" s="16" t="n">
        <v>12376</v>
      </c>
      <c r="Q3209" s="16" t="n">
        <v>2244</v>
      </c>
      <c r="S3209" s="16" t="n">
        <v>4484</v>
      </c>
      <c r="T3209" s="16" t="n">
        <v>0</v>
      </c>
      <c r="U3209" s="16" t="n">
        <v>4484</v>
      </c>
      <c r="Z3209" s="16" t="n">
        <v>23551</v>
      </c>
      <c r="AB3209" s="16" t="n">
        <v>23551</v>
      </c>
      <c r="AC3209" s="23">
        <f>IF(OR(E3209="",E3209="[PARENT]"),"ADD",IF(E3209="[ALT_VIEW]","ALT",""))</f>
        <v/>
      </c>
      <c r="AD3209" s="21">
        <f>IF(Y3209&lt;&gt;"",Y3209,IF(U3209&lt;&gt;"",U3209,S3209))</f>
        <v/>
      </c>
      <c r="AE3209" s="21">
        <f>IF(AB3209&lt;&gt;"",AB3209,Z3209)</f>
        <v/>
      </c>
      <c r="AF3209" s="13" t="inlineStr">
        <is>
          <t>Exhibit P-1 / BA03 Aviation Support Equipment / Aircraft Support Equipment</t>
        </is>
      </c>
      <c r="AG3209" s="7" t="inlineStr">
        <is>
          <t>25</t>
        </is>
      </c>
      <c r="AH3209" s="7" t="inlineStr">
        <is>
          <t>4217</t>
        </is>
      </c>
      <c r="AI3209" s="7" t="inlineStr">
        <is>
          <t>Advanced Arresting Gear (AAG)</t>
        </is>
      </c>
    </row>
    <row r="3210" ht="10" customHeight="1">
      <c r="A3210" s="7" t="inlineStr">
        <is>
          <t>OPN_BA5-8</t>
        </is>
      </c>
      <c r="B3210" s="7" t="inlineStr">
        <is>
          <t>Procurement</t>
        </is>
      </c>
      <c r="C3210" s="7" t="inlineStr">
        <is>
          <t>117</t>
        </is>
      </c>
      <c r="D3210" s="7" t="inlineStr">
        <is>
          <t>Electromagnetic Aircraft Launch System (EMALS)</t>
        </is>
      </c>
      <c r="E3210" s="15" t="n"/>
      <c r="I3210" s="14" t="n">
        <v>4</v>
      </c>
      <c r="K3210" s="13" t="inlineStr">
        <is>
          <t>USN</t>
        </is>
      </c>
      <c r="L3210" s="7" t="inlineStr">
        <is>
          <t>Combatant Ships</t>
        </is>
      </c>
      <c r="M3210" s="7" t="inlineStr">
        <is>
          <t>Aircraft Carriers</t>
        </is>
      </c>
      <c r="N3210" s="7" t="inlineStr">
        <is>
          <t>CVN</t>
        </is>
      </c>
      <c r="O3210" s="15" t="n"/>
      <c r="P3210" s="16" t="n">
        <v>17472</v>
      </c>
      <c r="Q3210" s="16" t="n">
        <v>14702</v>
      </c>
      <c r="S3210" s="16" t="n">
        <v>16294</v>
      </c>
      <c r="T3210" s="16" t="n">
        <v>0</v>
      </c>
      <c r="U3210" s="16" t="n">
        <v>16294</v>
      </c>
      <c r="Z3210" s="16" t="n">
        <v>36908</v>
      </c>
      <c r="AB3210" s="16" t="n">
        <v>36908</v>
      </c>
      <c r="AC3210" s="23">
        <f>IF(OR(E3210="",E3210="[PARENT]"),"ADD",IF(E3210="[ALT_VIEW]","ALT",""))</f>
        <v/>
      </c>
      <c r="AD3210" s="21">
        <f>IF(Y3210&lt;&gt;"",Y3210,IF(U3210&lt;&gt;"",U3210,S3210))</f>
        <v/>
      </c>
      <c r="AE3210" s="21">
        <f>IF(AB3210&lt;&gt;"",AB3210,Z3210)</f>
        <v/>
      </c>
      <c r="AF3210" s="13" t="inlineStr">
        <is>
          <t>Exhibit P-1 / BA03 Aviation Support Equipment / Aircraft Support Equipment</t>
        </is>
      </c>
      <c r="AG3210" s="7" t="inlineStr">
        <is>
          <t>26</t>
        </is>
      </c>
      <c r="AH3210" s="7" t="inlineStr">
        <is>
          <t>4219</t>
        </is>
      </c>
      <c r="AI3210" s="7" t="inlineStr">
        <is>
          <t>Electromagnetic Aircraft Launch System (EMALS)</t>
        </is>
      </c>
    </row>
    <row r="3211" ht="10" customHeight="1">
      <c r="A3211" s="7" t="inlineStr">
        <is>
          <t>OPN_BA5-8</t>
        </is>
      </c>
      <c r="B3211" s="7" t="inlineStr">
        <is>
          <t>Procurement</t>
        </is>
      </c>
      <c r="C3211" s="7" t="inlineStr">
        <is>
          <t>122</t>
        </is>
      </c>
      <c r="D3211" s="7" t="inlineStr">
        <is>
          <t>UMCS-Unman Carrier Aviation(UCA)Mission Cntrl Stn</t>
        </is>
      </c>
      <c r="E3211" s="15" t="n"/>
      <c r="I3211" s="14" t="n">
        <v>4</v>
      </c>
      <c r="K3211" s="13" t="inlineStr">
        <is>
          <t>USN</t>
        </is>
      </c>
      <c r="L3211" s="7" t="inlineStr">
        <is>
          <t>Combatant Ships</t>
        </is>
      </c>
      <c r="M3211" s="7" t="inlineStr">
        <is>
          <t>Aircraft Carriers</t>
        </is>
      </c>
      <c r="N3211" s="7" t="inlineStr">
        <is>
          <t>CVN</t>
        </is>
      </c>
      <c r="O3211" s="15" t="n"/>
      <c r="P3211" s="16" t="n">
        <v>143612</v>
      </c>
      <c r="Q3211" s="16" t="n">
        <v>119561</v>
      </c>
      <c r="S3211" s="16" t="n">
        <v>189553</v>
      </c>
      <c r="T3211" s="16" t="n">
        <v>0</v>
      </c>
      <c r="U3211" s="16" t="n">
        <v>189553</v>
      </c>
      <c r="Z3211" s="16" t="n">
        <v>211216</v>
      </c>
      <c r="AB3211" s="16" t="n">
        <v>211216</v>
      </c>
      <c r="AC3211" s="23">
        <f>IF(OR(E3211="",E3211="[PARENT]"),"ADD",IF(E3211="[ALT_VIEW]","ALT",""))</f>
        <v/>
      </c>
      <c r="AD3211" s="21">
        <f>IF(Y3211&lt;&gt;"",Y3211,IF(U3211&lt;&gt;"",U3211,S3211))</f>
        <v/>
      </c>
      <c r="AE3211" s="21">
        <f>IF(AB3211&lt;&gt;"",AB3211,Z3211)</f>
        <v/>
      </c>
      <c r="AF3211" s="13" t="inlineStr">
        <is>
          <t>Exhibit P-1 / BA03 Aviation Support Equipment / Aircraft Support Equipment</t>
        </is>
      </c>
      <c r="AG3211" s="7" t="inlineStr">
        <is>
          <t>26</t>
        </is>
      </c>
      <c r="AH3211" s="7" t="inlineStr">
        <is>
          <t>4269</t>
        </is>
      </c>
      <c r="AI3211" s="7" t="inlineStr">
        <is>
          <t>UMCS-Unman Carrier Aviation(UCA)Mission Cntrl Stn</t>
        </is>
      </c>
    </row>
    <row r="3212" ht="10" customHeight="1">
      <c r="A3212" s="7" t="inlineStr">
        <is>
          <t>OPN_BA5-8</t>
        </is>
      </c>
      <c r="B3212" s="7" t="inlineStr">
        <is>
          <t>Procurement</t>
        </is>
      </c>
      <c r="C3212" s="7" t="inlineStr">
        <is>
          <t>BA05</t>
        </is>
      </c>
      <c r="D3212" s="7" t="inlineStr">
        <is>
          <t>Total Civil Engineering Support Equipment</t>
        </is>
      </c>
      <c r="E3212" s="13" t="inlineStr">
        <is>
          <t>[ALT_VIEW]</t>
        </is>
      </c>
      <c r="K3212" s="15" t="n"/>
      <c r="O3212" s="15" t="n"/>
      <c r="P3212" s="16" t="n">
        <v>186641</v>
      </c>
      <c r="Q3212" s="16" t="n">
        <v>260583</v>
      </c>
      <c r="S3212" s="16" t="n">
        <v>347308</v>
      </c>
      <c r="T3212" s="16" t="n">
        <v>0</v>
      </c>
      <c r="U3212" s="16" t="n">
        <v>347308</v>
      </c>
      <c r="AC3212" s="23">
        <f>IF(OR(E3212="",E3212="[PARENT]"),"ADD",IF(E3212="[ALT_VIEW]","ALT",""))</f>
        <v/>
      </c>
      <c r="AD3212" s="21">
        <f>IF(Y3212&lt;&gt;"",Y3212,IF(U3212&lt;&gt;"",U3212,S3212))</f>
        <v/>
      </c>
      <c r="AE3212" s="21">
        <f>IF(AB3212&lt;&gt;"",AB3212,Z3212)</f>
        <v/>
      </c>
      <c r="AF3212" s="13" t="inlineStr">
        <is>
          <t>Exhibit P-1 / BA05 Civil Engineering Support Equipment</t>
        </is>
      </c>
      <c r="AG3212" s="7" t="inlineStr">
        <is>
          <t>29</t>
        </is>
      </c>
    </row>
    <row r="3213" ht="10" customHeight="1">
      <c r="A3213" s="7" t="inlineStr">
        <is>
          <t>OPN_BA5-8</t>
        </is>
      </c>
      <c r="B3213" s="7" t="inlineStr">
        <is>
          <t>Procurement</t>
        </is>
      </c>
      <c r="C3213" s="7" t="inlineStr">
        <is>
          <t>146</t>
        </is>
      </c>
      <c r="D3213" s="7" t="inlineStr">
        <is>
          <t>Amphibious Equipment</t>
        </is>
      </c>
      <c r="E3213" s="15" t="n"/>
      <c r="I3213" s="14" t="n">
        <v>7</v>
      </c>
      <c r="K3213" s="13" t="inlineStr">
        <is>
          <t>USN</t>
        </is>
      </c>
      <c r="L3213" s="7" t="inlineStr">
        <is>
          <t>Combatant Ships</t>
        </is>
      </c>
      <c r="M3213" s="7" t="inlineStr">
        <is>
          <t>Expeditionary &amp; Seabasing Ships</t>
        </is>
      </c>
      <c r="N3213" s="7" t="inlineStr">
        <is>
          <t>ESB</t>
        </is>
      </c>
      <c r="O3213" s="15" t="n"/>
      <c r="P3213" s="16" t="n">
        <v>4501</v>
      </c>
      <c r="Q3213" s="16" t="n">
        <v>6454</v>
      </c>
      <c r="S3213" s="16" t="n">
        <v>38073</v>
      </c>
      <c r="T3213" s="16" t="n">
        <v>0</v>
      </c>
      <c r="U3213" s="16" t="n">
        <v>38073</v>
      </c>
      <c r="X3213" s="16" t="n">
        <v>38073</v>
      </c>
      <c r="Y3213" s="16" t="n">
        <v>38073</v>
      </c>
      <c r="Z3213" s="16" t="n">
        <v>53916</v>
      </c>
      <c r="AB3213" s="16" t="n">
        <v>53916</v>
      </c>
      <c r="AC3213" s="23">
        <f>IF(OR(E3213="",E3213="[PARENT]"),"ADD",IF(E3213="[ALT_VIEW]","ALT",""))</f>
        <v/>
      </c>
      <c r="AD3213" s="21">
        <f>IF(Y3213&lt;&gt;"",Y3213,IF(U3213&lt;&gt;"",U3213,S3213))</f>
        <v/>
      </c>
      <c r="AE3213" s="21">
        <f>IF(AB3213&lt;&gt;"",AB3213,Z3213)</f>
        <v/>
      </c>
      <c r="AF3213" s="13" t="inlineStr">
        <is>
          <t>Exhibit P-40 / BA05 Civil Engineering Support Equipment / Civil Engineering Support Equipment / Line 146</t>
        </is>
      </c>
      <c r="AG3213" s="7" t="inlineStr">
        <is>
          <t>121</t>
        </is>
      </c>
      <c r="AH3213" s="7" t="inlineStr">
        <is>
          <t>6033</t>
        </is>
      </c>
      <c r="AI3213" s="7" t="inlineStr">
        <is>
          <t>Amphibious Equipment</t>
        </is>
      </c>
    </row>
    <row r="3214" ht="10" customHeight="1">
      <c r="A3214" s="7" t="inlineStr">
        <is>
          <t>OPN_BA5-8</t>
        </is>
      </c>
      <c r="B3214" s="7" t="inlineStr">
        <is>
          <t>Procurement</t>
        </is>
      </c>
      <c r="C3214" s="7" t="inlineStr">
        <is>
          <t>BA06</t>
        </is>
      </c>
      <c r="D3214" s="7" t="inlineStr">
        <is>
          <t>Total Supply Support Equipment</t>
        </is>
      </c>
      <c r="E3214" s="13" t="inlineStr">
        <is>
          <t>[ALT_VIEW]</t>
        </is>
      </c>
      <c r="K3214" s="15" t="n"/>
      <c r="O3214" s="15" t="n"/>
      <c r="P3214" s="16" t="n">
        <v>698653</v>
      </c>
      <c r="Q3214" s="16" t="n">
        <v>1063444</v>
      </c>
      <c r="S3214" s="16" t="n">
        <v>688659</v>
      </c>
      <c r="T3214" s="16" t="n">
        <v>0</v>
      </c>
      <c r="U3214" s="16" t="n">
        <v>688659</v>
      </c>
      <c r="AC3214" s="23">
        <f>IF(OR(E3214="",E3214="[PARENT]"),"ADD",IF(E3214="[ALT_VIEW]","ALT",""))</f>
        <v/>
      </c>
      <c r="AD3214" s="21">
        <f>IF(Y3214&lt;&gt;"",Y3214,IF(U3214&lt;&gt;"",U3214,S3214))</f>
        <v/>
      </c>
      <c r="AE3214" s="21">
        <f>IF(AB3214&lt;&gt;"",AB3214,Z3214)</f>
        <v/>
      </c>
      <c r="AF3214" s="13" t="inlineStr">
        <is>
          <t>Exhibit P-1 / BA06 Supply Support Equipment</t>
        </is>
      </c>
      <c r="AG3214" s="7" t="inlineStr">
        <is>
          <t>29</t>
        </is>
      </c>
    </row>
    <row r="3215" ht="10" customHeight="1">
      <c r="A3215" s="7" t="inlineStr">
        <is>
          <t>OPN_BA5-8</t>
        </is>
      </c>
      <c r="B3215" s="7" t="inlineStr">
        <is>
          <t>Procurement</t>
        </is>
      </c>
      <c r="C3215" s="7" t="inlineStr">
        <is>
          <t>151</t>
        </is>
      </c>
      <c r="D3215" s="7" t="inlineStr">
        <is>
          <t>Supply Equipment</t>
        </is>
      </c>
      <c r="E3215" s="13" t="inlineStr">
        <is>
          <t>[PARENT]</t>
        </is>
      </c>
      <c r="I3215" s="14" t="n">
        <v>7</v>
      </c>
      <c r="K3215" s="15" t="n"/>
      <c r="O3215" s="15" t="n"/>
      <c r="P3215" s="16" t="n">
        <v>33236</v>
      </c>
      <c r="Q3215" s="16" t="n">
        <v>56585</v>
      </c>
      <c r="S3215" s="16" t="n">
        <v>38838</v>
      </c>
      <c r="T3215" s="16" t="n">
        <v>0</v>
      </c>
      <c r="U3215" s="16" t="n">
        <v>38838</v>
      </c>
      <c r="W3215" s="16" t="n">
        <v>40800</v>
      </c>
      <c r="X3215" s="16" t="n">
        <v>0</v>
      </c>
      <c r="Y3215" s="16" t="n">
        <v>40800</v>
      </c>
      <c r="Z3215" s="16" t="n">
        <v>67828</v>
      </c>
      <c r="AB3215" s="16" t="n">
        <v>67828</v>
      </c>
      <c r="AC3215" s="23">
        <f>IF(OR(E3215="",E3215="[PARENT]"),"ADD",IF(E3215="[ALT_VIEW]","ALT",""))</f>
        <v/>
      </c>
      <c r="AD3215" s="21">
        <f>IF(Y3215&lt;&gt;"",Y3215,IF(U3215&lt;&gt;"",U3215,S3215))</f>
        <v/>
      </c>
      <c r="AE3215" s="21">
        <f>IF(AB3215&lt;&gt;"",AB3215,Z3215)</f>
        <v/>
      </c>
      <c r="AF3215" s="13" t="inlineStr">
        <is>
          <t>Exhibit P-40 / BA06 Supply Support Equipment / Supply Support Equipment / Line 151</t>
        </is>
      </c>
      <c r="AG3215" s="7" t="inlineStr">
        <is>
          <t>175</t>
        </is>
      </c>
      <c r="AH3215" s="7" t="inlineStr">
        <is>
          <t>7025</t>
        </is>
      </c>
      <c r="AI3215" s="7" t="inlineStr">
        <is>
          <t>Supply Equipment</t>
        </is>
      </c>
    </row>
    <row r="3216" ht="10" customHeight="1">
      <c r="A3216" s="7" t="inlineStr">
        <is>
          <t>OPN_BA5-8</t>
        </is>
      </c>
      <c r="B3216" s="7" t="inlineStr">
        <is>
          <t>Procurement</t>
        </is>
      </c>
      <c r="C3216" s="7" t="inlineStr">
        <is>
          <t>151-SB</t>
        </is>
      </c>
      <c r="D3216" s="7" t="inlineStr">
        <is>
          <t>Supply Equipment - Shipboard Program</t>
        </is>
      </c>
      <c r="E3216" s="13" t="inlineStr">
        <is>
          <t>[SUB]</t>
        </is>
      </c>
      <c r="F3216" s="7" t="inlineStr">
        <is>
          <t>151 / Supply Equipment</t>
        </is>
      </c>
      <c r="I3216" s="14" t="n">
        <v>7</v>
      </c>
      <c r="K3216" s="15" t="n"/>
      <c r="O3216" s="15" t="n"/>
      <c r="P3216" s="16" t="n">
        <v>11944</v>
      </c>
      <c r="Q3216" s="16" t="n">
        <v>24890</v>
      </c>
      <c r="S3216" s="16" t="n">
        <v>33325</v>
      </c>
      <c r="T3216" s="16" t="n">
        <v>0</v>
      </c>
      <c r="U3216" s="16" t="n">
        <v>33325</v>
      </c>
      <c r="AC3216" s="23">
        <f>IF(OR(E3216="",E3216="[PARENT]"),"ADD",IF(E3216="[ALT_VIEW]","ALT",""))</f>
        <v/>
      </c>
      <c r="AD3216" s="21">
        <f>IF(Y3216&lt;&gt;"",Y3216,IF(U3216&lt;&gt;"",U3216,S3216))</f>
        <v/>
      </c>
      <c r="AE3216" s="21">
        <f>IF(AB3216&lt;&gt;"",AB3216,Z3216)</f>
        <v/>
      </c>
      <c r="AF3216" s="13" t="inlineStr">
        <is>
          <t>Exhibit P-40 / BA06 Supply Support Equipment / Supply Support Equipment / Line 151 / Shipboard Program</t>
        </is>
      </c>
      <c r="AG3216" s="7" t="inlineStr">
        <is>
          <t>175</t>
        </is>
      </c>
    </row>
    <row r="3217" ht="10" customHeight="1">
      <c r="A3217" s="7" t="inlineStr">
        <is>
          <t>OPN_BA5-8</t>
        </is>
      </c>
      <c r="B3217" s="7" t="inlineStr">
        <is>
          <t>Procurement</t>
        </is>
      </c>
      <c r="C3217" s="7" t="inlineStr">
        <is>
          <t>153</t>
        </is>
      </c>
      <c r="D3217" s="7" t="inlineStr">
        <is>
          <t>Special Purpose Supply Systems</t>
        </is>
      </c>
      <c r="E3217" s="15" t="n"/>
      <c r="I3217" s="14" t="n">
        <v>4</v>
      </c>
      <c r="K3217" s="15" t="n"/>
      <c r="O3217" s="15" t="n"/>
      <c r="P3217" s="16" t="n">
        <v>659095</v>
      </c>
      <c r="Q3217" s="16" t="n">
        <v>1000996</v>
      </c>
      <c r="S3217" s="16" t="n">
        <v>643618</v>
      </c>
      <c r="T3217" s="16" t="n">
        <v>0</v>
      </c>
      <c r="U3217" s="16" t="n">
        <v>643618</v>
      </c>
      <c r="X3217" s="16" t="n">
        <v>666618</v>
      </c>
      <c r="Y3217" s="16" t="n">
        <v>666618</v>
      </c>
      <c r="Z3217" s="16" t="n">
        <v>323644</v>
      </c>
      <c r="AB3217" s="16" t="n">
        <v>323644</v>
      </c>
      <c r="AC3217" s="23">
        <f>IF(OR(E3217="",E3217="[PARENT]"),"ADD",IF(E3217="[ALT_VIEW]","ALT",""))</f>
        <v/>
      </c>
      <c r="AD3217" s="21">
        <f>IF(Y3217&lt;&gt;"",Y3217,IF(U3217&lt;&gt;"",U3217,S3217))</f>
        <v/>
      </c>
      <c r="AE3217" s="21">
        <f>IF(AB3217&lt;&gt;"",AB3217,Z3217)</f>
        <v/>
      </c>
      <c r="AF3217" s="13" t="inlineStr">
        <is>
          <t>Exhibit P-40 / BA06 Supply Support Equipment / Supply Support Equipment / Line 153</t>
        </is>
      </c>
      <c r="AG3217" s="7" t="inlineStr">
        <is>
          <t>187</t>
        </is>
      </c>
      <c r="AH3217" s="7" t="inlineStr">
        <is>
          <t>7069</t>
        </is>
      </c>
      <c r="AI3217" s="7" t="inlineStr">
        <is>
          <t>Special Purpose Supply Systems</t>
        </is>
      </c>
    </row>
    <row r="3218" ht="10" customHeight="1">
      <c r="A3218" s="7" t="inlineStr">
        <is>
          <t>OPN_BA5-8</t>
        </is>
      </c>
      <c r="B3218" s="7" t="inlineStr">
        <is>
          <t>Procurement</t>
        </is>
      </c>
      <c r="C3218" s="7" t="inlineStr">
        <is>
          <t>BA07</t>
        </is>
      </c>
      <c r="D3218" s="7" t="inlineStr">
        <is>
          <t>Total Personnel &amp; Command Support Equipment</t>
        </is>
      </c>
      <c r="E3218" s="13" t="inlineStr">
        <is>
          <t>[ALT_VIEW]</t>
        </is>
      </c>
      <c r="K3218" s="15" t="n"/>
      <c r="O3218" s="15" t="n"/>
      <c r="P3218" s="16" t="n">
        <v>600986</v>
      </c>
      <c r="Q3218" s="16" t="n">
        <v>555677</v>
      </c>
      <c r="S3218" s="16" t="n">
        <v>672347</v>
      </c>
      <c r="T3218" s="16" t="n">
        <v>232000</v>
      </c>
      <c r="U3218" s="16" t="n">
        <v>904347</v>
      </c>
      <c r="AC3218" s="23">
        <f>IF(OR(E3218="",E3218="[PARENT]"),"ADD",IF(E3218="[ALT_VIEW]","ALT",""))</f>
        <v/>
      </c>
      <c r="AD3218" s="21">
        <f>IF(Y3218&lt;&gt;"",Y3218,IF(U3218&lt;&gt;"",U3218,S3218))</f>
        <v/>
      </c>
      <c r="AE3218" s="21">
        <f>IF(AB3218&lt;&gt;"",AB3218,Z3218)</f>
        <v/>
      </c>
      <c r="AF3218" s="13" t="inlineStr">
        <is>
          <t>Exhibit P-1 / BA07 Personnel &amp; Command Support Equipment</t>
        </is>
      </c>
      <c r="AG3218" s="7" t="inlineStr">
        <is>
          <t>30</t>
        </is>
      </c>
    </row>
    <row r="3219" ht="10" customHeight="1">
      <c r="A3219" s="7" t="inlineStr">
        <is>
          <t>OPN_BA5-8</t>
        </is>
      </c>
      <c r="B3219" s="7" t="inlineStr">
        <is>
          <t>Procurement</t>
        </is>
      </c>
      <c r="C3219" s="7" t="inlineStr">
        <is>
          <t>158</t>
        </is>
      </c>
      <c r="D3219" s="7" t="inlineStr">
        <is>
          <t>Medical Support Equipment</t>
        </is>
      </c>
      <c r="E3219" s="15" t="n"/>
      <c r="I3219" s="14" t="n">
        <v>6</v>
      </c>
      <c r="K3219" s="15" t="n"/>
      <c r="O3219" s="15" t="n"/>
      <c r="P3219" s="16" t="n">
        <v>17521</v>
      </c>
      <c r="Q3219" s="16" t="n">
        <v>10122</v>
      </c>
      <c r="S3219" s="16" t="n">
        <v>12256</v>
      </c>
      <c r="T3219" s="16" t="n">
        <v>0</v>
      </c>
      <c r="U3219" s="16" t="n">
        <v>12256</v>
      </c>
      <c r="X3219" s="16" t="n">
        <v>24256</v>
      </c>
      <c r="Y3219" s="16" t="n">
        <v>24256</v>
      </c>
      <c r="Z3219" s="16" t="n">
        <v>54862</v>
      </c>
      <c r="AB3219" s="16" t="n">
        <v>54862</v>
      </c>
      <c r="AC3219" s="23">
        <f>IF(OR(E3219="",E3219="[PARENT]"),"ADD",IF(E3219="[ALT_VIEW]","ALT",""))</f>
        <v/>
      </c>
      <c r="AD3219" s="21">
        <f>IF(Y3219&lt;&gt;"",Y3219,IF(U3219&lt;&gt;"",U3219,S3219))</f>
        <v/>
      </c>
      <c r="AE3219" s="21">
        <f>IF(AB3219&lt;&gt;"",AB3219,Z3219)</f>
        <v/>
      </c>
      <c r="AF3219" s="13" t="inlineStr">
        <is>
          <t>Exhibit P-40 / BA07 Personnel &amp; Command Support Equipment / Command Support Equipment / Line 158</t>
        </is>
      </c>
      <c r="AG3219" s="7" t="inlineStr">
        <is>
          <t>249</t>
        </is>
      </c>
      <c r="AH3219" s="7" t="inlineStr">
        <is>
          <t>8109</t>
        </is>
      </c>
    </row>
    <row r="3220" ht="10" customHeight="1">
      <c r="A3220" s="7" t="inlineStr">
        <is>
          <t>OPN_BA5-8</t>
        </is>
      </c>
      <c r="B3220" s="7" t="inlineStr">
        <is>
          <t>Procurement</t>
        </is>
      </c>
      <c r="C3220" s="7" t="inlineStr">
        <is>
          <t>BA08</t>
        </is>
      </c>
      <c r="D3220" s="7" t="inlineStr">
        <is>
          <t>Total Spares and Repair Parts</t>
        </is>
      </c>
      <c r="E3220" s="13" t="inlineStr">
        <is>
          <t>[ALT_VIEW]</t>
        </is>
      </c>
      <c r="K3220" s="15" t="n"/>
      <c r="O3220" s="15" t="n"/>
      <c r="P3220" s="16" t="n">
        <v>1215461</v>
      </c>
      <c r="Q3220" s="16" t="n">
        <v>705144</v>
      </c>
      <c r="S3220" s="16" t="n">
        <v>585865</v>
      </c>
      <c r="T3220" s="16" t="n">
        <v>297765</v>
      </c>
      <c r="U3220" s="16" t="n">
        <v>883630</v>
      </c>
      <c r="AC3220" s="23">
        <f>IF(OR(E3220="",E3220="[PARENT]"),"ADD",IF(E3220="[ALT_VIEW]","ALT",""))</f>
        <v/>
      </c>
      <c r="AD3220" s="21">
        <f>IF(Y3220&lt;&gt;"",Y3220,IF(U3220&lt;&gt;"",U3220,S3220))</f>
        <v/>
      </c>
      <c r="AE3220" s="21">
        <f>IF(AB3220&lt;&gt;"",AB3220,Z3220)</f>
        <v/>
      </c>
      <c r="AF3220" s="13" t="inlineStr">
        <is>
          <t>Exhibit P-1 / BA08 Spares and Repair Parts</t>
        </is>
      </c>
      <c r="AG3220" s="7" t="inlineStr">
        <is>
          <t>32</t>
        </is>
      </c>
    </row>
    <row r="3221" ht="10" customHeight="1">
      <c r="A3221" s="7" t="inlineStr">
        <is>
          <t>OPN_BA5-8</t>
        </is>
      </c>
      <c r="B3221" s="7" t="inlineStr">
        <is>
          <t>Procurement</t>
        </is>
      </c>
      <c r="C3221" s="7" t="inlineStr">
        <is>
          <t>176</t>
        </is>
      </c>
      <c r="D3221" s="7" t="inlineStr">
        <is>
          <t>Spares and Repair Parts</t>
        </is>
      </c>
      <c r="E3221" s="13" t="inlineStr">
        <is>
          <t>[PARENT]</t>
        </is>
      </c>
      <c r="I3221" s="14" t="n">
        <v>6</v>
      </c>
      <c r="K3221" s="15" t="n"/>
      <c r="O3221" s="15" t="n"/>
      <c r="P3221" s="16" t="n">
        <v>736770</v>
      </c>
      <c r="Q3221" s="16" t="n">
        <v>705144</v>
      </c>
      <c r="S3221" s="16" t="n">
        <v>585865</v>
      </c>
      <c r="T3221" s="16" t="n">
        <v>297765</v>
      </c>
      <c r="U3221" s="16" t="n">
        <v>883630</v>
      </c>
      <c r="Z3221" s="16" t="n">
        <v>765711</v>
      </c>
      <c r="AB3221" s="16" t="n">
        <v>765711</v>
      </c>
      <c r="AC3221" s="23">
        <f>IF(OR(E3221="",E3221="[PARENT]"),"ADD",IF(E3221="[ALT_VIEW]","ALT",""))</f>
        <v/>
      </c>
      <c r="AD3221" s="21">
        <f>IF(Y3221&lt;&gt;"",Y3221,IF(U3221&lt;&gt;"",U3221,S3221))</f>
        <v/>
      </c>
      <c r="AE3221" s="21">
        <f>IF(AB3221&lt;&gt;"",AB3221,Z3221)</f>
        <v/>
      </c>
      <c r="AF3221" s="13" t="inlineStr">
        <is>
          <t>Exhibit P-40 / BA08 Spares and Repair Parts / Spares and Repair Parts / Line 176 (BLIN 9020)</t>
        </is>
      </c>
      <c r="AG3221" s="7" t="inlineStr">
        <is>
          <t>351</t>
        </is>
      </c>
      <c r="AH3221" s="7" t="inlineStr">
        <is>
          <t>9020</t>
        </is>
      </c>
    </row>
    <row r="3222" ht="10" customHeight="1">
      <c r="A3222" s="7" t="inlineStr">
        <is>
          <t>OPN_BA5-8</t>
        </is>
      </c>
      <c r="B3222" s="7" t="inlineStr">
        <is>
          <t>Procurement</t>
        </is>
      </c>
      <c r="C3222" s="7" t="inlineStr">
        <is>
          <t>177</t>
        </is>
      </c>
      <c r="D3222" s="7" t="inlineStr">
        <is>
          <t>VIRGINIA Class (VACL) Spares and Repair Parts</t>
        </is>
      </c>
      <c r="E3222" s="13" t="inlineStr">
        <is>
          <t>[PARENT]</t>
        </is>
      </c>
      <c r="I3222" s="14" t="n">
        <v>6</v>
      </c>
      <c r="K3222" s="13" t="inlineStr">
        <is>
          <t>USN</t>
        </is>
      </c>
      <c r="L3222" s="7" t="inlineStr">
        <is>
          <t>Combatant Ships</t>
        </is>
      </c>
      <c r="M3222" s="7" t="inlineStr">
        <is>
          <t>Submarines</t>
        </is>
      </c>
      <c r="N3222" s="7" t="inlineStr">
        <is>
          <t>SSN</t>
        </is>
      </c>
      <c r="O3222" s="15" t="n"/>
      <c r="P3222" s="16" t="n">
        <v>478691</v>
      </c>
      <c r="Q3222" s="16" t="n">
        <v>0</v>
      </c>
      <c r="S3222" s="16" t="n">
        <v>0</v>
      </c>
      <c r="T3222" s="16" t="n">
        <v>0</v>
      </c>
      <c r="U3222" s="16" t="n">
        <v>0</v>
      </c>
      <c r="AC3222" s="23">
        <f>IF(OR(E3222="",E3222="[PARENT]"),"ADD",IF(E3222="[ALT_VIEW]","ALT",""))</f>
        <v/>
      </c>
      <c r="AD3222" s="21">
        <f>IF(Y3222&lt;&gt;"",Y3222,IF(U3222&lt;&gt;"",U3222,S3222))</f>
        <v/>
      </c>
      <c r="AE3222" s="21">
        <f>IF(AB3222&lt;&gt;"",AB3222,Z3222)</f>
        <v/>
      </c>
      <c r="AF3222" s="13" t="inlineStr">
        <is>
          <t>Exhibit P-40 / BA08 Spares and Repair Parts / Spares and Repair Parts / Line 177 (BLIN 9021)</t>
        </is>
      </c>
      <c r="AG3222" s="7" t="inlineStr">
        <is>
          <t>361</t>
        </is>
      </c>
      <c r="AH3222" s="7" t="inlineStr">
        <is>
          <t>9021</t>
        </is>
      </c>
    </row>
    <row r="3223" ht="10" customHeight="1">
      <c r="A3223" s="7" t="inlineStr">
        <is>
          <t>OPN_BA5-8</t>
        </is>
      </c>
      <c r="B3223" s="7" t="inlineStr">
        <is>
          <t>Procurement</t>
        </is>
      </c>
      <c r="C3223" s="7" t="inlineStr">
        <is>
          <t>176/0920</t>
        </is>
      </c>
      <c r="D3223" s="7" t="inlineStr">
        <is>
          <t>Outfitting-COSAL</t>
        </is>
      </c>
      <c r="E3223" s="13" t="inlineStr">
        <is>
          <t>[SUB]</t>
        </is>
      </c>
      <c r="F3223" s="7" t="inlineStr">
        <is>
          <t>176 / Spares and Repair Parts</t>
        </is>
      </c>
      <c r="I3223" s="14" t="n">
        <v>6</v>
      </c>
      <c r="K3223" s="15" t="n"/>
      <c r="O3223" s="15" t="n"/>
      <c r="P3223" s="16" t="n">
        <v>255329</v>
      </c>
      <c r="Q3223" s="16" t="n">
        <v>281755</v>
      </c>
      <c r="S3223" s="16" t="n">
        <v>194461</v>
      </c>
      <c r="T3223" s="16" t="n">
        <v>0</v>
      </c>
      <c r="U3223" s="16" t="n">
        <v>194461</v>
      </c>
      <c r="AC3223" s="23">
        <f>IF(OR(E3223="",E3223="[PARENT]"),"ADD",IF(E3223="[ALT_VIEW]","ALT",""))</f>
        <v/>
      </c>
      <c r="AD3223" s="21">
        <f>IF(Y3223&lt;&gt;"",Y3223,IF(U3223&lt;&gt;"",U3223,S3223))</f>
        <v/>
      </c>
      <c r="AE3223" s="21">
        <f>IF(AB3223&lt;&gt;"",AB3223,Z3223)</f>
        <v/>
      </c>
      <c r="AF3223" s="13" t="inlineStr">
        <is>
          <t>Exhibit P-40 / BA08 Spares and Repair Parts / Line 176 / P-18 Initial Spares / BLIN 0920</t>
        </is>
      </c>
      <c r="AG3223" s="7" t="inlineStr">
        <is>
          <t>357</t>
        </is>
      </c>
      <c r="AH3223" s="7" t="inlineStr">
        <is>
          <t>0920</t>
        </is>
      </c>
    </row>
    <row r="3224" ht="10" customHeight="1">
      <c r="A3224" s="7" t="inlineStr">
        <is>
          <t>OPN_BA5-8</t>
        </is>
      </c>
      <c r="B3224" s="7" t="inlineStr">
        <is>
          <t>Procurement</t>
        </is>
      </c>
      <c r="C3224" s="7" t="inlineStr">
        <is>
          <t>176/0840</t>
        </is>
      </c>
      <c r="D3224" s="7" t="inlineStr">
        <is>
          <t>Sub Periscope, Imaging &amp; Supt Equip (Initial)</t>
        </is>
      </c>
      <c r="E3224" s="13" t="inlineStr">
        <is>
          <t>[SUB]</t>
        </is>
      </c>
      <c r="F3224" s="7" t="inlineStr">
        <is>
          <t>176 / Spares and Repair Parts</t>
        </is>
      </c>
      <c r="I3224" s="14" t="n">
        <v>6</v>
      </c>
      <c r="K3224" s="13" t="inlineStr">
        <is>
          <t>USN</t>
        </is>
      </c>
      <c r="L3224" s="7" t="inlineStr">
        <is>
          <t>Combatant Ships</t>
        </is>
      </c>
      <c r="M3224" s="7" t="inlineStr">
        <is>
          <t>Submarines</t>
        </is>
      </c>
      <c r="O3224" s="15" t="n"/>
      <c r="P3224" s="16" t="n">
        <v>46657</v>
      </c>
      <c r="Q3224" s="16" t="n">
        <v>46565</v>
      </c>
      <c r="S3224" s="16" t="n">
        <v>28865</v>
      </c>
      <c r="T3224" s="16" t="n">
        <v>0</v>
      </c>
      <c r="U3224" s="16" t="n">
        <v>28865</v>
      </c>
      <c r="AC3224" s="23">
        <f>IF(OR(E3224="",E3224="[PARENT]"),"ADD",IF(E3224="[ALT_VIEW]","ALT",""))</f>
        <v/>
      </c>
      <c r="AD3224" s="21">
        <f>IF(Y3224&lt;&gt;"",Y3224,IF(U3224&lt;&gt;"",U3224,S3224))</f>
        <v/>
      </c>
      <c r="AE3224" s="21">
        <f>IF(AB3224&lt;&gt;"",AB3224,Z3224)</f>
        <v/>
      </c>
      <c r="AF3224" s="13" t="inlineStr">
        <is>
          <t>Exhibit P-40 / BA08 Spares and Repair Parts / Line 176 / P-18 Initial Spares / BLIN 0840</t>
        </is>
      </c>
      <c r="AG3224" s="7" t="inlineStr">
        <is>
          <t>357</t>
        </is>
      </c>
      <c r="AH3224" s="7" t="inlineStr">
        <is>
          <t>0840</t>
        </is>
      </c>
    </row>
    <row r="3225" ht="10" customHeight="1">
      <c r="A3225" s="7" t="inlineStr">
        <is>
          <t>OPN_BA5-8</t>
        </is>
      </c>
      <c r="B3225" s="7" t="inlineStr">
        <is>
          <t>Procurement</t>
        </is>
      </c>
      <c r="C3225" s="7" t="inlineStr">
        <is>
          <t>176/0900</t>
        </is>
      </c>
      <c r="D3225" s="7" t="inlineStr">
        <is>
          <t>DDG Mod (Initial Spares)</t>
        </is>
      </c>
      <c r="E3225" s="13" t="inlineStr">
        <is>
          <t>[SUB]</t>
        </is>
      </c>
      <c r="F3225" s="7" t="inlineStr">
        <is>
          <t>176 / Spares and Repair Parts</t>
        </is>
      </c>
      <c r="I3225" s="14" t="n">
        <v>6</v>
      </c>
      <c r="K3225" s="13" t="inlineStr">
        <is>
          <t>USN</t>
        </is>
      </c>
      <c r="L3225" s="7" t="inlineStr">
        <is>
          <t>Combatant Ships</t>
        </is>
      </c>
      <c r="M3225" s="7" t="inlineStr">
        <is>
          <t>Surface Combatants</t>
        </is>
      </c>
      <c r="N3225" s="7" t="inlineStr">
        <is>
          <t>DDG</t>
        </is>
      </c>
      <c r="O3225" s="15" t="n"/>
      <c r="P3225" s="16" t="n">
        <v>13413</v>
      </c>
      <c r="Q3225" s="16" t="n">
        <v>10335</v>
      </c>
      <c r="S3225" s="16" t="n">
        <v>23948</v>
      </c>
      <c r="T3225" s="16" t="n">
        <v>0</v>
      </c>
      <c r="U3225" s="16" t="n">
        <v>23948</v>
      </c>
      <c r="AC3225" s="23">
        <f>IF(OR(E3225="",E3225="[PARENT]"),"ADD",IF(E3225="[ALT_VIEW]","ALT",""))</f>
        <v/>
      </c>
      <c r="AD3225" s="21">
        <f>IF(Y3225&lt;&gt;"",Y3225,IF(U3225&lt;&gt;"",U3225,S3225))</f>
        <v/>
      </c>
      <c r="AE3225" s="21">
        <f>IF(AB3225&lt;&gt;"",AB3225,Z3225)</f>
        <v/>
      </c>
      <c r="AF3225" s="13" t="inlineStr">
        <is>
          <t>Exhibit P-40 / BA08 Spares and Repair Parts / Line 176 / P-18 Initial Spares / BLIN 0900</t>
        </is>
      </c>
      <c r="AG3225" s="7" t="inlineStr">
        <is>
          <t>357</t>
        </is>
      </c>
      <c r="AH3225" s="7" t="inlineStr">
        <is>
          <t>0900</t>
        </is>
      </c>
    </row>
    <row r="3226" ht="10" customHeight="1">
      <c r="A3226" s="7" t="inlineStr">
        <is>
          <t>OPN_BA5-8</t>
        </is>
      </c>
      <c r="B3226" s="7" t="inlineStr">
        <is>
          <t>Procurement</t>
        </is>
      </c>
      <c r="C3226" s="7" t="inlineStr">
        <is>
          <t>176/0930</t>
        </is>
      </c>
      <c r="D3226" s="7" t="inlineStr">
        <is>
          <t>Wholesale Supply Inventory</t>
        </is>
      </c>
      <c r="E3226" s="13" t="inlineStr">
        <is>
          <t>[SUB]</t>
        </is>
      </c>
      <c r="F3226" s="7" t="inlineStr">
        <is>
          <t>176 / Spares and Repair Parts</t>
        </is>
      </c>
      <c r="I3226" s="14" t="n">
        <v>6</v>
      </c>
      <c r="K3226" s="15" t="n"/>
      <c r="O3226" s="15" t="n"/>
      <c r="P3226" s="16" t="n">
        <v>0</v>
      </c>
      <c r="Q3226" s="16" t="n">
        <v>236</v>
      </c>
      <c r="S3226" s="16" t="n">
        <v>22543</v>
      </c>
      <c r="T3226" s="16" t="n">
        <v>0</v>
      </c>
      <c r="U3226" s="16" t="n">
        <v>22543</v>
      </c>
      <c r="AC3226" s="23">
        <f>IF(OR(E3226="",E3226="[PARENT]"),"ADD",IF(E3226="[ALT_VIEW]","ALT",""))</f>
        <v/>
      </c>
      <c r="AD3226" s="21">
        <f>IF(Y3226&lt;&gt;"",Y3226,IF(U3226&lt;&gt;"",U3226,S3226))</f>
        <v/>
      </c>
      <c r="AE3226" s="21">
        <f>IF(AB3226&lt;&gt;"",AB3226,Z3226)</f>
        <v/>
      </c>
      <c r="AF3226" s="13" t="inlineStr">
        <is>
          <t>Exhibit P-40 / BA08 Spares and Repair Parts / Line 176 / P-18 Initial Spares / BLIN 0930</t>
        </is>
      </c>
      <c r="AG3226" s="7" t="inlineStr">
        <is>
          <t>357</t>
        </is>
      </c>
      <c r="AH3226" s="7" t="inlineStr">
        <is>
          <t>0930</t>
        </is>
      </c>
    </row>
    <row r="3227" ht="10" customHeight="1">
      <c r="A3227" s="7" t="inlineStr">
        <is>
          <t>OPN_BA5-8</t>
        </is>
      </c>
      <c r="B3227" s="7" t="inlineStr">
        <is>
          <t>Procurement</t>
        </is>
      </c>
      <c r="C3227" s="7" t="inlineStr">
        <is>
          <t>176/5231</t>
        </is>
      </c>
      <c r="D3227" s="7" t="inlineStr">
        <is>
          <t>Ship Missile Support Equip (Initial Spares)</t>
        </is>
      </c>
      <c r="E3227" s="13" t="inlineStr">
        <is>
          <t>[SUB]</t>
        </is>
      </c>
      <c r="F3227" s="7" t="inlineStr">
        <is>
          <t>176 / Spares and Repair Parts</t>
        </is>
      </c>
      <c r="I3227" s="14" t="n">
        <v>6</v>
      </c>
      <c r="K3227" s="13" t="inlineStr">
        <is>
          <t>USN</t>
        </is>
      </c>
      <c r="L3227" s="7" t="inlineStr">
        <is>
          <t>Combatant Ships</t>
        </is>
      </c>
      <c r="M3227" s="7" t="inlineStr">
        <is>
          <t>Surface Combatants</t>
        </is>
      </c>
      <c r="O3227" s="15" t="n"/>
      <c r="P3227" s="16" t="n">
        <v>9602</v>
      </c>
      <c r="Q3227" s="16" t="n">
        <v>7595</v>
      </c>
      <c r="S3227" s="16" t="n">
        <v>21562</v>
      </c>
      <c r="T3227" s="16" t="n">
        <v>0</v>
      </c>
      <c r="U3227" s="16" t="n">
        <v>21562</v>
      </c>
      <c r="AC3227" s="23">
        <f>IF(OR(E3227="",E3227="[PARENT]"),"ADD",IF(E3227="[ALT_VIEW]","ALT",""))</f>
        <v/>
      </c>
      <c r="AD3227" s="21">
        <f>IF(Y3227&lt;&gt;"",Y3227,IF(U3227&lt;&gt;"",U3227,S3227))</f>
        <v/>
      </c>
      <c r="AE3227" s="21">
        <f>IF(AB3227&lt;&gt;"",AB3227,Z3227)</f>
        <v/>
      </c>
      <c r="AF3227" s="13" t="inlineStr">
        <is>
          <t>Exhibit P-40 / BA08 Spares and Repair Parts / Line 176 / P-18 Initial Spares / BLIN 5231</t>
        </is>
      </c>
      <c r="AG3227" s="7" t="inlineStr">
        <is>
          <t>359</t>
        </is>
      </c>
      <c r="AH3227" s="7" t="inlineStr">
        <is>
          <t>5231</t>
        </is>
      </c>
    </row>
    <row r="3228" ht="10" customHeight="1">
      <c r="A3228" s="7" t="inlineStr">
        <is>
          <t>OPN_BA5-8</t>
        </is>
      </c>
      <c r="B3228" s="7" t="inlineStr">
        <is>
          <t>Procurement</t>
        </is>
      </c>
      <c r="C3228" s="7" t="inlineStr">
        <is>
          <t>176/2150</t>
        </is>
      </c>
      <c r="D3228" s="7" t="inlineStr">
        <is>
          <t>SSN Acoustic Equipment (Initial Spares)</t>
        </is>
      </c>
      <c r="E3228" s="13" t="inlineStr">
        <is>
          <t>[SUB]</t>
        </is>
      </c>
      <c r="F3228" s="7" t="inlineStr">
        <is>
          <t>176 / Spares and Repair Parts</t>
        </is>
      </c>
      <c r="I3228" s="14" t="n">
        <v>6</v>
      </c>
      <c r="K3228" s="13" t="inlineStr">
        <is>
          <t>USN</t>
        </is>
      </c>
      <c r="L3228" s="7" t="inlineStr">
        <is>
          <t>Combatant Ships</t>
        </is>
      </c>
      <c r="M3228" s="7" t="inlineStr">
        <is>
          <t>Submarines</t>
        </is>
      </c>
      <c r="O3228" s="15" t="n"/>
      <c r="P3228" s="16" t="n">
        <v>117331</v>
      </c>
      <c r="Q3228" s="16" t="n">
        <v>25544</v>
      </c>
      <c r="S3228" s="16" t="n">
        <v>19721</v>
      </c>
      <c r="T3228" s="16" t="n">
        <v>0</v>
      </c>
      <c r="U3228" s="16" t="n">
        <v>19721</v>
      </c>
      <c r="AC3228" s="23">
        <f>IF(OR(E3228="",E3228="[PARENT]"),"ADD",IF(E3228="[ALT_VIEW]","ALT",""))</f>
        <v/>
      </c>
      <c r="AD3228" s="21">
        <f>IF(Y3228&lt;&gt;"",Y3228,IF(U3228&lt;&gt;"",U3228,S3228))</f>
        <v/>
      </c>
      <c r="AE3228" s="21">
        <f>IF(AB3228&lt;&gt;"",AB3228,Z3228)</f>
        <v/>
      </c>
      <c r="AF3228" s="13" t="inlineStr">
        <is>
          <t>Exhibit P-40 / BA08 Spares and Repair Parts / Line 176 / P-18 Initial Spares / BLIN 2150</t>
        </is>
      </c>
      <c r="AG3228" s="7" t="inlineStr">
        <is>
          <t>357</t>
        </is>
      </c>
      <c r="AH3228" s="7" t="inlineStr">
        <is>
          <t>2150</t>
        </is>
      </c>
    </row>
    <row r="3229" ht="10" customHeight="1">
      <c r="A3229" s="7" t="inlineStr">
        <is>
          <t>OPN_BA5-8</t>
        </is>
      </c>
      <c r="B3229" s="7" t="inlineStr">
        <is>
          <t>Procurement</t>
        </is>
      </c>
      <c r="C3229" s="7" t="inlineStr">
        <is>
          <t>176/2312</t>
        </is>
      </c>
      <c r="D3229" s="7" t="inlineStr">
        <is>
          <t>AN/SLQ-32 (Initial Spares)</t>
        </is>
      </c>
      <c r="E3229" s="13" t="inlineStr">
        <is>
          <t>[SUB]</t>
        </is>
      </c>
      <c r="F3229" s="7" t="inlineStr">
        <is>
          <t>176 / Spares and Repair Parts</t>
        </is>
      </c>
      <c r="I3229" s="14" t="n">
        <v>6</v>
      </c>
      <c r="K3229" s="13" t="inlineStr">
        <is>
          <t>USN</t>
        </is>
      </c>
      <c r="L3229" s="7" t="inlineStr">
        <is>
          <t>Combatant Ships</t>
        </is>
      </c>
      <c r="M3229" s="7" t="inlineStr">
        <is>
          <t>Surface Combatants</t>
        </is>
      </c>
      <c r="O3229" s="15" t="n"/>
      <c r="P3229" s="16" t="n">
        <v>10135</v>
      </c>
      <c r="Q3229" s="16" t="n">
        <v>26957</v>
      </c>
      <c r="S3229" s="16" t="n">
        <v>16874</v>
      </c>
      <c r="T3229" s="16" t="n">
        <v>0</v>
      </c>
      <c r="U3229" s="16" t="n">
        <v>16874</v>
      </c>
      <c r="AC3229" s="23">
        <f>IF(OR(E3229="",E3229="[PARENT]"),"ADD",IF(E3229="[ALT_VIEW]","ALT",""))</f>
        <v/>
      </c>
      <c r="AD3229" s="21">
        <f>IF(Y3229&lt;&gt;"",Y3229,IF(U3229&lt;&gt;"",U3229,S3229))</f>
        <v/>
      </c>
      <c r="AE3229" s="21">
        <f>IF(AB3229&lt;&gt;"",AB3229,Z3229)</f>
        <v/>
      </c>
      <c r="AF3229" s="13" t="inlineStr">
        <is>
          <t>Exhibit P-40 / BA08 Spares and Repair Parts / Line 176 / P-18 Initial Spares / BLIN 2312</t>
        </is>
      </c>
      <c r="AG3229" s="7" t="inlineStr">
        <is>
          <t>357</t>
        </is>
      </c>
      <c r="AH3229" s="7" t="inlineStr">
        <is>
          <t>2312</t>
        </is>
      </c>
    </row>
    <row r="3230" ht="10" customHeight="1">
      <c r="A3230" s="7" t="inlineStr">
        <is>
          <t>OPN_BA5-8</t>
        </is>
      </c>
      <c r="B3230" s="7" t="inlineStr">
        <is>
          <t>Procurement</t>
        </is>
      </c>
      <c r="C3230" s="7" t="inlineStr">
        <is>
          <t>176/1601</t>
        </is>
      </c>
      <c r="D3230" s="7" t="inlineStr">
        <is>
          <t>LCS MCM Mission Modules (Initial Spares)</t>
        </is>
      </c>
      <c r="E3230" s="13" t="inlineStr">
        <is>
          <t>[SUB]</t>
        </is>
      </c>
      <c r="F3230" s="7" t="inlineStr">
        <is>
          <t>176 / Spares and Repair Parts</t>
        </is>
      </c>
      <c r="I3230" s="14" t="n">
        <v>6</v>
      </c>
      <c r="K3230" s="13" t="inlineStr">
        <is>
          <t>USN</t>
        </is>
      </c>
      <c r="L3230" s="7" t="inlineStr">
        <is>
          <t>Combatant Ships</t>
        </is>
      </c>
      <c r="M3230" s="7" t="inlineStr">
        <is>
          <t>Surface Combatants</t>
        </is>
      </c>
      <c r="O3230" s="15" t="n"/>
      <c r="P3230" s="16" t="n">
        <v>3339</v>
      </c>
      <c r="Q3230" s="16" t="n">
        <v>3846</v>
      </c>
      <c r="S3230" s="16" t="n">
        <v>14954</v>
      </c>
      <c r="T3230" s="16" t="n">
        <v>0</v>
      </c>
      <c r="U3230" s="16" t="n">
        <v>14954</v>
      </c>
      <c r="AC3230" s="23">
        <f>IF(OR(E3230="",E3230="[PARENT]"),"ADD",IF(E3230="[ALT_VIEW]","ALT",""))</f>
        <v/>
      </c>
      <c r="AD3230" s="21">
        <f>IF(Y3230&lt;&gt;"",Y3230,IF(U3230&lt;&gt;"",U3230,S3230))</f>
        <v/>
      </c>
      <c r="AE3230" s="21">
        <f>IF(AB3230&lt;&gt;"",AB3230,Z3230)</f>
        <v/>
      </c>
      <c r="AF3230" s="13" t="inlineStr">
        <is>
          <t>Exhibit P-40 / BA08 Spares and Repair Parts / Line 176 / P-18 Initial Spares / BLIN 1601</t>
        </is>
      </c>
      <c r="AG3230" s="7" t="inlineStr">
        <is>
          <t>357</t>
        </is>
      </c>
      <c r="AH3230" s="7" t="inlineStr">
        <is>
          <t>1601</t>
        </is>
      </c>
      <c r="AI3230" s="7" t="inlineStr">
        <is>
          <t>LCS MCM Mission Packages</t>
        </is>
      </c>
    </row>
    <row r="3231" ht="10" customHeight="1">
      <c r="A3231" s="7" t="inlineStr">
        <is>
          <t>OPN_BA5-8</t>
        </is>
      </c>
      <c r="B3231" s="7" t="inlineStr">
        <is>
          <t>Procurement</t>
        </is>
      </c>
      <c r="C3231" s="7" t="inlineStr">
        <is>
          <t>176/2606</t>
        </is>
      </c>
      <c r="D3231" s="7" t="inlineStr">
        <is>
          <t>Cooperative Engagement Capability (Initial Spares)</t>
        </is>
      </c>
      <c r="E3231" s="13" t="inlineStr">
        <is>
          <t>[SUB]</t>
        </is>
      </c>
      <c r="F3231" s="7" t="inlineStr">
        <is>
          <t>176 / Spares and Repair Parts</t>
        </is>
      </c>
      <c r="I3231" s="14" t="n">
        <v>6</v>
      </c>
      <c r="K3231" s="13" t="inlineStr">
        <is>
          <t>USN</t>
        </is>
      </c>
      <c r="L3231" s="7" t="inlineStr">
        <is>
          <t>Combatant Ships</t>
        </is>
      </c>
      <c r="M3231" s="7" t="inlineStr">
        <is>
          <t>Surface Combatants</t>
        </is>
      </c>
      <c r="O3231" s="15" t="n"/>
      <c r="P3231" s="16" t="n">
        <v>476</v>
      </c>
      <c r="Q3231" s="16" t="n">
        <v>9862</v>
      </c>
      <c r="S3231" s="16" t="n">
        <v>13778</v>
      </c>
      <c r="T3231" s="16" t="n">
        <v>0</v>
      </c>
      <c r="U3231" s="16" t="n">
        <v>13778</v>
      </c>
      <c r="AC3231" s="23">
        <f>IF(OR(E3231="",E3231="[PARENT]"),"ADD",IF(E3231="[ALT_VIEW]","ALT",""))</f>
        <v/>
      </c>
      <c r="AD3231" s="21">
        <f>IF(Y3231&lt;&gt;"",Y3231,IF(U3231&lt;&gt;"",U3231,S3231))</f>
        <v/>
      </c>
      <c r="AE3231" s="21">
        <f>IF(AB3231&lt;&gt;"",AB3231,Z3231)</f>
        <v/>
      </c>
      <c r="AF3231" s="13" t="inlineStr">
        <is>
          <t>Exhibit P-40 / BA08 Spares and Repair Parts / Line 176 / P-18 Initial Spares / BLIN 2606</t>
        </is>
      </c>
      <c r="AG3231" s="7" t="inlineStr">
        <is>
          <t>358</t>
        </is>
      </c>
      <c r="AH3231" s="7" t="inlineStr">
        <is>
          <t>2606</t>
        </is>
      </c>
    </row>
    <row r="3232" ht="10" customHeight="1">
      <c r="A3232" s="7" t="inlineStr">
        <is>
          <t>OPN_BA5-8</t>
        </is>
      </c>
      <c r="B3232" s="7" t="inlineStr">
        <is>
          <t>Procurement</t>
        </is>
      </c>
      <c r="C3232" s="7" t="inlineStr">
        <is>
          <t>176/0670</t>
        </is>
      </c>
      <c r="D3232" s="7" t="inlineStr">
        <is>
          <t>Other Navigation Equipment (Initial Spares)</t>
        </is>
      </c>
      <c r="E3232" s="13" t="inlineStr">
        <is>
          <t>[SUB]</t>
        </is>
      </c>
      <c r="F3232" s="7" t="inlineStr">
        <is>
          <t>176 / Spares and Repair Parts</t>
        </is>
      </c>
      <c r="I3232" s="14" t="n">
        <v>6</v>
      </c>
      <c r="K3232" s="15" t="n"/>
      <c r="O3232" s="15" t="n"/>
      <c r="P3232" s="16" t="n">
        <v>5418</v>
      </c>
      <c r="Q3232" s="16" t="n">
        <v>8302</v>
      </c>
      <c r="S3232" s="16" t="n">
        <v>9277</v>
      </c>
      <c r="T3232" s="16" t="n">
        <v>0</v>
      </c>
      <c r="U3232" s="16" t="n">
        <v>9277</v>
      </c>
      <c r="AC3232" s="23">
        <f>IF(OR(E3232="",E3232="[PARENT]"),"ADD",IF(E3232="[ALT_VIEW]","ALT",""))</f>
        <v/>
      </c>
      <c r="AD3232" s="21">
        <f>IF(Y3232&lt;&gt;"",Y3232,IF(U3232&lt;&gt;"",U3232,S3232))</f>
        <v/>
      </c>
      <c r="AE3232" s="21">
        <f>IF(AB3232&lt;&gt;"",AB3232,Z3232)</f>
        <v/>
      </c>
      <c r="AF3232" s="13" t="inlineStr">
        <is>
          <t>Exhibit P-40 / BA08 Spares and Repair Parts / Line 176 / P-18 Initial Spares / BLIN 0670</t>
        </is>
      </c>
      <c r="AG3232" s="7" t="inlineStr">
        <is>
          <t>357</t>
        </is>
      </c>
      <c r="AH3232" s="7" t="inlineStr">
        <is>
          <t>0670</t>
        </is>
      </c>
    </row>
    <row r="3233" ht="10" customHeight="1">
      <c r="A3233" s="7" t="inlineStr">
        <is>
          <t>OPN_BA5-8</t>
        </is>
      </c>
      <c r="B3233" s="7" t="inlineStr">
        <is>
          <t>Procurement</t>
        </is>
      </c>
      <c r="C3233" s="7" t="inlineStr">
        <is>
          <t>176/1604</t>
        </is>
      </c>
      <c r="D3233" s="7" t="inlineStr">
        <is>
          <t>LCS In-Service Modernization (Initial Spares)</t>
        </is>
      </c>
      <c r="E3233" s="13" t="inlineStr">
        <is>
          <t>[SUB]</t>
        </is>
      </c>
      <c r="F3233" s="7" t="inlineStr">
        <is>
          <t>176 / Spares and Repair Parts</t>
        </is>
      </c>
      <c r="I3233" s="14" t="n">
        <v>6</v>
      </c>
      <c r="K3233" s="13" t="inlineStr">
        <is>
          <t>USN</t>
        </is>
      </c>
      <c r="L3233" s="7" t="inlineStr">
        <is>
          <t>Combatant Ships</t>
        </is>
      </c>
      <c r="M3233" s="7" t="inlineStr">
        <is>
          <t>Surface Combatants</t>
        </is>
      </c>
      <c r="O3233" s="15" t="n"/>
      <c r="P3233" s="16" t="n">
        <v>4508</v>
      </c>
      <c r="Q3233" s="16" t="n">
        <v>0</v>
      </c>
      <c r="S3233" s="16" t="n">
        <v>8199</v>
      </c>
      <c r="T3233" s="16" t="n">
        <v>0</v>
      </c>
      <c r="U3233" s="16" t="n">
        <v>8199</v>
      </c>
      <c r="AC3233" s="23">
        <f>IF(OR(E3233="",E3233="[PARENT]"),"ADD",IF(E3233="[ALT_VIEW]","ALT",""))</f>
        <v/>
      </c>
      <c r="AD3233" s="21">
        <f>IF(Y3233&lt;&gt;"",Y3233,IF(U3233&lt;&gt;"",U3233,S3233))</f>
        <v/>
      </c>
      <c r="AE3233" s="21">
        <f>IF(AB3233&lt;&gt;"",AB3233,Z3233)</f>
        <v/>
      </c>
      <c r="AF3233" s="13" t="inlineStr">
        <is>
          <t>Exhibit P-40 / BA08 Spares and Repair Parts / Line 176 / P-18 Initial Spares / BLIN 1604</t>
        </is>
      </c>
      <c r="AG3233" s="7" t="inlineStr">
        <is>
          <t>357</t>
        </is>
      </c>
      <c r="AH3233" s="7" t="inlineStr">
        <is>
          <t>1604</t>
        </is>
      </c>
    </row>
    <row r="3234" ht="10" customHeight="1">
      <c r="A3234" s="7" t="inlineStr">
        <is>
          <t>OPN_BA5-8</t>
        </is>
      </c>
      <c r="B3234" s="7" t="inlineStr">
        <is>
          <t>Procurement</t>
        </is>
      </c>
      <c r="C3234" s="7" t="inlineStr">
        <is>
          <t>176/2826</t>
        </is>
      </c>
      <c r="D3234" s="7" t="inlineStr">
        <is>
          <t>Afloat ATC Equipment (Initial Spares)</t>
        </is>
      </c>
      <c r="E3234" s="13" t="inlineStr">
        <is>
          <t>[SUB]</t>
        </is>
      </c>
      <c r="F3234" s="7" t="inlineStr">
        <is>
          <t>176 / Spares and Repair Parts</t>
        </is>
      </c>
      <c r="I3234" s="14" t="n">
        <v>6</v>
      </c>
      <c r="K3234" s="15" t="n"/>
      <c r="O3234" s="15" t="n"/>
      <c r="P3234" s="16" t="n">
        <v>5730</v>
      </c>
      <c r="Q3234" s="16" t="n">
        <v>9195</v>
      </c>
      <c r="S3234" s="16" t="n">
        <v>7219</v>
      </c>
      <c r="T3234" s="16" t="n">
        <v>0</v>
      </c>
      <c r="U3234" s="16" t="n">
        <v>7219</v>
      </c>
      <c r="AC3234" s="23">
        <f>IF(OR(E3234="",E3234="[PARENT]"),"ADD",IF(E3234="[ALT_VIEW]","ALT",""))</f>
        <v/>
      </c>
      <c r="AD3234" s="21">
        <f>IF(Y3234&lt;&gt;"",Y3234,IF(U3234&lt;&gt;"",U3234,S3234))</f>
        <v/>
      </c>
      <c r="AE3234" s="21">
        <f>IF(AB3234&lt;&gt;"",AB3234,Z3234)</f>
        <v/>
      </c>
      <c r="AF3234" s="13" t="inlineStr">
        <is>
          <t>Exhibit P-40 / BA08 Spares and Repair Parts / Line 176 / P-18 Initial Spares / BLIN 2826</t>
        </is>
      </c>
      <c r="AG3234" s="7" t="inlineStr">
        <is>
          <t>358</t>
        </is>
      </c>
      <c r="AH3234" s="7" t="inlineStr">
        <is>
          <t>2826</t>
        </is>
      </c>
    </row>
    <row r="3235" ht="10" customHeight="1">
      <c r="A3235" s="7" t="inlineStr">
        <is>
          <t>OPN_BA5-8</t>
        </is>
      </c>
      <c r="B3235" s="7" t="inlineStr">
        <is>
          <t>Procurement</t>
        </is>
      </c>
      <c r="C3235" s="7" t="inlineStr">
        <is>
          <t>176/1611</t>
        </is>
      </c>
      <c r="D3235" s="7" t="inlineStr">
        <is>
          <t>Small &amp; Medium UUV (Initial Spares)</t>
        </is>
      </c>
      <c r="E3235" s="13" t="inlineStr">
        <is>
          <t>[SUB]</t>
        </is>
      </c>
      <c r="F3235" s="7" t="inlineStr">
        <is>
          <t>176 / Spares and Repair Parts</t>
        </is>
      </c>
      <c r="I3235" s="14" t="n">
        <v>6</v>
      </c>
      <c r="K3235" s="13" t="inlineStr">
        <is>
          <t>USN</t>
        </is>
      </c>
      <c r="L3235" s="7" t="inlineStr">
        <is>
          <t>Unmanned Maritime Platforms</t>
        </is>
      </c>
      <c r="M3235" s="7" t="inlineStr">
        <is>
          <t>Unmanned Undersea Vehicles</t>
        </is>
      </c>
      <c r="O3235" s="15" t="n"/>
      <c r="P3235" s="16" t="n">
        <v>7367</v>
      </c>
      <c r="Q3235" s="16" t="n">
        <v>8681</v>
      </c>
      <c r="S3235" s="16" t="n">
        <v>6588</v>
      </c>
      <c r="T3235" s="16" t="n">
        <v>0</v>
      </c>
      <c r="U3235" s="16" t="n">
        <v>6588</v>
      </c>
      <c r="AC3235" s="23">
        <f>IF(OR(E3235="",E3235="[PARENT]"),"ADD",IF(E3235="[ALT_VIEW]","ALT",""))</f>
        <v/>
      </c>
      <c r="AD3235" s="21">
        <f>IF(Y3235&lt;&gt;"",Y3235,IF(U3235&lt;&gt;"",U3235,S3235))</f>
        <v/>
      </c>
      <c r="AE3235" s="21">
        <f>IF(AB3235&lt;&gt;"",AB3235,Z3235)</f>
        <v/>
      </c>
      <c r="AF3235" s="13" t="inlineStr">
        <is>
          <t>Exhibit P-40 / BA08 Spares and Repair Parts / Line 176 / P-18 Initial Spares / BLIN 1611</t>
        </is>
      </c>
      <c r="AG3235" s="7" t="inlineStr">
        <is>
          <t>357</t>
        </is>
      </c>
      <c r="AH3235" s="7" t="inlineStr">
        <is>
          <t>1611</t>
        </is>
      </c>
      <c r="AI3235" s="7" t="inlineStr">
        <is>
          <t>Small &amp; Medium UUV</t>
        </is>
      </c>
    </row>
    <row r="3236" ht="10" customHeight="1">
      <c r="A3236" s="7" t="inlineStr">
        <is>
          <t>OPN_BA5-8</t>
        </is>
      </c>
      <c r="B3236" s="7" t="inlineStr">
        <is>
          <t>Procurement</t>
        </is>
      </c>
      <c r="C3236" s="7" t="inlineStr">
        <is>
          <t>176/2136</t>
        </is>
      </c>
      <c r="D3236" s="7" t="inlineStr">
        <is>
          <t>AN/SQQ-89 (Initial Spares)</t>
        </is>
      </c>
      <c r="E3236" s="13" t="inlineStr">
        <is>
          <t>[SUB]</t>
        </is>
      </c>
      <c r="F3236" s="7" t="inlineStr">
        <is>
          <t>176 / Spares and Repair Parts</t>
        </is>
      </c>
      <c r="I3236" s="14" t="n">
        <v>6</v>
      </c>
      <c r="K3236" s="13" t="inlineStr">
        <is>
          <t>USN</t>
        </is>
      </c>
      <c r="L3236" s="7" t="inlineStr">
        <is>
          <t>Combatant Ships</t>
        </is>
      </c>
      <c r="M3236" s="7" t="inlineStr">
        <is>
          <t>Surface Combatants</t>
        </is>
      </c>
      <c r="O3236" s="15" t="n"/>
      <c r="P3236" s="16" t="n">
        <v>5877</v>
      </c>
      <c r="Q3236" s="16" t="n">
        <v>3709</v>
      </c>
      <c r="S3236" s="16" t="n">
        <v>6328</v>
      </c>
      <c r="T3236" s="16" t="n">
        <v>0</v>
      </c>
      <c r="U3236" s="16" t="n">
        <v>6328</v>
      </c>
      <c r="AC3236" s="23">
        <f>IF(OR(E3236="",E3236="[PARENT]"),"ADD",IF(E3236="[ALT_VIEW]","ALT",""))</f>
        <v/>
      </c>
      <c r="AD3236" s="21">
        <f>IF(Y3236&lt;&gt;"",Y3236,IF(U3236&lt;&gt;"",U3236,S3236))</f>
        <v/>
      </c>
      <c r="AE3236" s="21">
        <f>IF(AB3236&lt;&gt;"",AB3236,Z3236)</f>
        <v/>
      </c>
      <c r="AF3236" s="13" t="inlineStr">
        <is>
          <t>Exhibit P-40 / BA08 Spares and Repair Parts / Line 176 / P-18 Initial Spares / BLIN 2136</t>
        </is>
      </c>
      <c r="AG3236" s="7" t="inlineStr">
        <is>
          <t>357</t>
        </is>
      </c>
      <c r="AH3236" s="7" t="inlineStr">
        <is>
          <t>2136</t>
        </is>
      </c>
    </row>
    <row r="3237" ht="10" customHeight="1">
      <c r="A3237" s="7" t="inlineStr">
        <is>
          <t>OPN_BA5-8</t>
        </is>
      </c>
      <c r="B3237" s="7" t="inlineStr">
        <is>
          <t>Procurement</t>
        </is>
      </c>
      <c r="C3237" s="7" t="inlineStr">
        <is>
          <t>176/2210</t>
        </is>
      </c>
      <c r="D3237" s="7" t="inlineStr">
        <is>
          <t>Submarine Acoustic Warfare System (Initial Spares)</t>
        </is>
      </c>
      <c r="E3237" s="13" t="inlineStr">
        <is>
          <t>[SUB]</t>
        </is>
      </c>
      <c r="F3237" s="7" t="inlineStr">
        <is>
          <t>176 / Spares and Repair Parts</t>
        </is>
      </c>
      <c r="I3237" s="14" t="n">
        <v>6</v>
      </c>
      <c r="K3237" s="13" t="inlineStr">
        <is>
          <t>USN</t>
        </is>
      </c>
      <c r="L3237" s="7" t="inlineStr">
        <is>
          <t>Combatant Ships</t>
        </is>
      </c>
      <c r="M3237" s="7" t="inlineStr">
        <is>
          <t>Submarines</t>
        </is>
      </c>
      <c r="O3237" s="15" t="n"/>
      <c r="P3237" s="16" t="n">
        <v>1095</v>
      </c>
      <c r="Q3237" s="16" t="n">
        <v>1484</v>
      </c>
      <c r="S3237" s="16" t="n">
        <v>3966</v>
      </c>
      <c r="T3237" s="16" t="n">
        <v>0</v>
      </c>
      <c r="U3237" s="16" t="n">
        <v>3966</v>
      </c>
      <c r="AC3237" s="23">
        <f>IF(OR(E3237="",E3237="[PARENT]"),"ADD",IF(E3237="[ALT_VIEW]","ALT",""))</f>
        <v/>
      </c>
      <c r="AD3237" s="21">
        <f>IF(Y3237&lt;&gt;"",Y3237,IF(U3237&lt;&gt;"",U3237,S3237))</f>
        <v/>
      </c>
      <c r="AE3237" s="21">
        <f>IF(AB3237&lt;&gt;"",AB3237,Z3237)</f>
        <v/>
      </c>
      <c r="AF3237" s="13" t="inlineStr">
        <is>
          <t>Exhibit P-40 / BA08 Spares and Repair Parts / Line 176 / P-18 Initial Spares / BLIN 2210</t>
        </is>
      </c>
      <c r="AG3237" s="7" t="inlineStr">
        <is>
          <t>357</t>
        </is>
      </c>
      <c r="AH3237" s="7" t="inlineStr">
        <is>
          <t>2210</t>
        </is>
      </c>
    </row>
    <row r="3238" ht="10" customHeight="1">
      <c r="A3238" s="7" t="inlineStr">
        <is>
          <t>OPN_BA5-8</t>
        </is>
      </c>
      <c r="B3238" s="7" t="inlineStr">
        <is>
          <t>Procurement</t>
        </is>
      </c>
      <c r="C3238" s="7" t="inlineStr">
        <is>
          <t>176/0933</t>
        </is>
      </c>
      <c r="D3238" s="7" t="inlineStr">
        <is>
          <t>LHA/LHD Midlife (Initial Spares)</t>
        </is>
      </c>
      <c r="E3238" s="13" t="inlineStr">
        <is>
          <t>[SUB]</t>
        </is>
      </c>
      <c r="F3238" s="7" t="inlineStr">
        <is>
          <t>176 / Spares and Repair Parts</t>
        </is>
      </c>
      <c r="I3238" s="14" t="n">
        <v>6</v>
      </c>
      <c r="K3238" s="13" t="inlineStr">
        <is>
          <t>USN</t>
        </is>
      </c>
      <c r="L3238" s="7" t="inlineStr">
        <is>
          <t>Combatant Ships</t>
        </is>
      </c>
      <c r="M3238" s="7" t="inlineStr">
        <is>
          <t>Amphibious Warfare Ships</t>
        </is>
      </c>
      <c r="O3238" s="15" t="n"/>
      <c r="P3238" s="16" t="n">
        <v>0</v>
      </c>
      <c r="Q3238" s="16" t="n">
        <v>342</v>
      </c>
      <c r="S3238" s="16" t="n">
        <v>3672</v>
      </c>
      <c r="T3238" s="16" t="n">
        <v>0</v>
      </c>
      <c r="U3238" s="16" t="n">
        <v>3672</v>
      </c>
      <c r="AC3238" s="23">
        <f>IF(OR(E3238="",E3238="[PARENT]"),"ADD",IF(E3238="[ALT_VIEW]","ALT",""))</f>
        <v/>
      </c>
      <c r="AD3238" s="21">
        <f>IF(Y3238&lt;&gt;"",Y3238,IF(U3238&lt;&gt;"",U3238,S3238))</f>
        <v/>
      </c>
      <c r="AE3238" s="21">
        <f>IF(AB3238&lt;&gt;"",AB3238,Z3238)</f>
        <v/>
      </c>
      <c r="AF3238" s="13" t="inlineStr">
        <is>
          <t>Exhibit P-40 / BA08 Spares and Repair Parts / Line 176 / P-18 Initial Spares / BLIN 0933</t>
        </is>
      </c>
      <c r="AG3238" s="7" t="inlineStr">
        <is>
          <t>357</t>
        </is>
      </c>
      <c r="AH3238" s="7" t="inlineStr">
        <is>
          <t>0933</t>
        </is>
      </c>
    </row>
    <row r="3239" ht="10" customHeight="1">
      <c r="A3239" s="7" t="inlineStr">
        <is>
          <t>OPN_BA5-8</t>
        </is>
      </c>
      <c r="B3239" s="7" t="inlineStr">
        <is>
          <t>Procurement</t>
        </is>
      </c>
      <c r="C3239" s="7" t="inlineStr">
        <is>
          <t>176/1210</t>
        </is>
      </c>
      <c r="D3239" s="7" t="inlineStr">
        <is>
          <t>Standard Boats (Initial Spares)</t>
        </is>
      </c>
      <c r="E3239" s="13" t="inlineStr">
        <is>
          <t>[SUB]</t>
        </is>
      </c>
      <c r="F3239" s="7" t="inlineStr">
        <is>
          <t>176 / Spares and Repair Parts</t>
        </is>
      </c>
      <c r="I3239" s="14" t="n">
        <v>6</v>
      </c>
      <c r="K3239" s="15" t="n"/>
      <c r="O3239" s="15" t="n"/>
      <c r="P3239" s="16" t="n">
        <v>0</v>
      </c>
      <c r="Q3239" s="16" t="n">
        <v>0</v>
      </c>
      <c r="S3239" s="16" t="n">
        <v>3419</v>
      </c>
      <c r="T3239" s="16" t="n">
        <v>0</v>
      </c>
      <c r="U3239" s="16" t="n">
        <v>3419</v>
      </c>
      <c r="AC3239" s="23">
        <f>IF(OR(E3239="",E3239="[PARENT]"),"ADD",IF(E3239="[ALT_VIEW]","ALT",""))</f>
        <v/>
      </c>
      <c r="AD3239" s="21">
        <f>IF(Y3239&lt;&gt;"",Y3239,IF(U3239&lt;&gt;"",U3239,S3239))</f>
        <v/>
      </c>
      <c r="AE3239" s="21">
        <f>IF(AB3239&lt;&gt;"",AB3239,Z3239)</f>
        <v/>
      </c>
      <c r="AF3239" s="13" t="inlineStr">
        <is>
          <t>Exhibit P-40 / BA08 Spares and Repair Parts / Line 176 / P-18 Initial Spares / BLIN 1210</t>
        </is>
      </c>
      <c r="AG3239" s="7" t="inlineStr">
        <is>
          <t>357</t>
        </is>
      </c>
      <c r="AH3239" s="7" t="inlineStr">
        <is>
          <t>1210</t>
        </is>
      </c>
    </row>
    <row r="3240" ht="10" customHeight="1">
      <c r="A3240" s="7" t="inlineStr">
        <is>
          <t>OPN_BA5-8</t>
        </is>
      </c>
      <c r="B3240" s="7" t="inlineStr">
        <is>
          <t>Procurement</t>
        </is>
      </c>
      <c r="C3240" s="7" t="inlineStr">
        <is>
          <t>176/2176</t>
        </is>
      </c>
      <c r="D3240" s="7" t="inlineStr">
        <is>
          <t>Undersea Warfare Support Equip (Initial Spares)</t>
        </is>
      </c>
      <c r="E3240" s="13" t="inlineStr">
        <is>
          <t>[SUB]</t>
        </is>
      </c>
      <c r="F3240" s="7" t="inlineStr">
        <is>
          <t>176 / Spares and Repair Parts</t>
        </is>
      </c>
      <c r="I3240" s="14" t="n">
        <v>6</v>
      </c>
      <c r="K3240" s="15" t="n"/>
      <c r="O3240" s="15" t="n"/>
      <c r="P3240" s="16" t="n">
        <v>0</v>
      </c>
      <c r="Q3240" s="16" t="n">
        <v>0</v>
      </c>
      <c r="S3240" s="16" t="n">
        <v>2930</v>
      </c>
      <c r="T3240" s="16" t="n">
        <v>0</v>
      </c>
      <c r="U3240" s="16" t="n">
        <v>2930</v>
      </c>
      <c r="AC3240" s="23">
        <f>IF(OR(E3240="",E3240="[PARENT]"),"ADD",IF(E3240="[ALT_VIEW]","ALT",""))</f>
        <v/>
      </c>
      <c r="AD3240" s="21">
        <f>IF(Y3240&lt;&gt;"",Y3240,IF(U3240&lt;&gt;"",U3240,S3240))</f>
        <v/>
      </c>
      <c r="AE3240" s="21">
        <f>IF(AB3240&lt;&gt;"",AB3240,Z3240)</f>
        <v/>
      </c>
      <c r="AF3240" s="13" t="inlineStr">
        <is>
          <t>Exhibit P-40 / BA08 Spares and Repair Parts / Line 176 / P-18 Initial Spares / BLIN 2176</t>
        </is>
      </c>
      <c r="AG3240" s="7" t="inlineStr">
        <is>
          <t>357</t>
        </is>
      </c>
      <c r="AH3240" s="7" t="inlineStr">
        <is>
          <t>2176</t>
        </is>
      </c>
    </row>
    <row r="3241" ht="10" customHeight="1">
      <c r="A3241" s="7" t="inlineStr">
        <is>
          <t>OPN_BA5-8</t>
        </is>
      </c>
      <c r="B3241" s="7" t="inlineStr">
        <is>
          <t>Procurement</t>
        </is>
      </c>
      <c r="C3241" s="7" t="inlineStr">
        <is>
          <t>176/2237</t>
        </is>
      </c>
      <c r="D3241" s="7" t="inlineStr">
        <is>
          <t>SURTASS (Initial Spares)</t>
        </is>
      </c>
      <c r="E3241" s="13" t="inlineStr">
        <is>
          <t>[SUB]</t>
        </is>
      </c>
      <c r="F3241" s="7" t="inlineStr">
        <is>
          <t>176 / Spares and Repair Parts</t>
        </is>
      </c>
      <c r="I3241" s="14" t="n">
        <v>6</v>
      </c>
      <c r="K3241" s="13" t="inlineStr">
        <is>
          <t>MSC</t>
        </is>
      </c>
      <c r="L3241" s="7" t="inlineStr">
        <is>
          <t>Combatant Ships</t>
        </is>
      </c>
      <c r="M3241" s="7" t="inlineStr">
        <is>
          <t>Surveillance Ships</t>
        </is>
      </c>
      <c r="N3241" s="7" t="inlineStr">
        <is>
          <t>T-AGOS</t>
        </is>
      </c>
      <c r="O3241" s="15" t="n"/>
      <c r="P3241" s="16" t="n">
        <v>3344</v>
      </c>
      <c r="Q3241" s="16" t="n">
        <v>2448</v>
      </c>
      <c r="S3241" s="16" t="n">
        <v>2802</v>
      </c>
      <c r="T3241" s="16" t="n">
        <v>0</v>
      </c>
      <c r="U3241" s="16" t="n">
        <v>2802</v>
      </c>
      <c r="AC3241" s="23">
        <f>IF(OR(E3241="",E3241="[PARENT]"),"ADD",IF(E3241="[ALT_VIEW]","ALT",""))</f>
        <v/>
      </c>
      <c r="AD3241" s="21">
        <f>IF(Y3241&lt;&gt;"",Y3241,IF(U3241&lt;&gt;"",U3241,S3241))</f>
        <v/>
      </c>
      <c r="AE3241" s="21">
        <f>IF(AB3241&lt;&gt;"",AB3241,Z3241)</f>
        <v/>
      </c>
      <c r="AF3241" s="13" t="inlineStr">
        <is>
          <t>Exhibit P-40 / BA08 Spares and Repair Parts / Line 176 / P-18 Initial Spares / BLIN 2237</t>
        </is>
      </c>
      <c r="AG3241" s="7" t="inlineStr">
        <is>
          <t>357</t>
        </is>
      </c>
      <c r="AH3241" s="7" t="inlineStr">
        <is>
          <t>2237</t>
        </is>
      </c>
    </row>
    <row r="3242" ht="10" customHeight="1">
      <c r="A3242" s="7" t="inlineStr">
        <is>
          <t>OPN_BA5-8</t>
        </is>
      </c>
      <c r="B3242" s="7" t="inlineStr">
        <is>
          <t>Procurement</t>
        </is>
      </c>
      <c r="C3242" s="7" t="inlineStr">
        <is>
          <t>176/0200</t>
        </is>
      </c>
      <c r="D3242" s="7" t="inlineStr">
        <is>
          <t>Surface Combatant HM&amp;E (Initial Spares)</t>
        </is>
      </c>
      <c r="E3242" s="13" t="inlineStr">
        <is>
          <t>[SUB]</t>
        </is>
      </c>
      <c r="F3242" s="7" t="inlineStr">
        <is>
          <t>176 / Spares and Repair Parts</t>
        </is>
      </c>
      <c r="I3242" s="14" t="n">
        <v>6</v>
      </c>
      <c r="K3242" s="13" t="inlineStr">
        <is>
          <t>USN</t>
        </is>
      </c>
      <c r="L3242" s="7" t="inlineStr">
        <is>
          <t>Combatant Ships</t>
        </is>
      </c>
      <c r="M3242" s="7" t="inlineStr">
        <is>
          <t>Surface Combatants</t>
        </is>
      </c>
      <c r="O3242" s="15" t="n"/>
      <c r="P3242" s="16" t="n">
        <v>3411</v>
      </c>
      <c r="Q3242" s="16" t="n">
        <v>3986</v>
      </c>
      <c r="S3242" s="16" t="n">
        <v>2651</v>
      </c>
      <c r="T3242" s="16" t="n">
        <v>0</v>
      </c>
      <c r="U3242" s="16" t="n">
        <v>2651</v>
      </c>
      <c r="AC3242" s="23">
        <f>IF(OR(E3242="",E3242="[PARENT]"),"ADD",IF(E3242="[ALT_VIEW]","ALT",""))</f>
        <v/>
      </c>
      <c r="AD3242" s="21">
        <f>IF(Y3242&lt;&gt;"",Y3242,IF(U3242&lt;&gt;"",U3242,S3242))</f>
        <v/>
      </c>
      <c r="AE3242" s="21">
        <f>IF(AB3242&lt;&gt;"",AB3242,Z3242)</f>
        <v/>
      </c>
      <c r="AF3242" s="13" t="inlineStr">
        <is>
          <t>Exhibit P-40 / BA08 Spares and Repair Parts / Line 176 / P-18 Initial Spares / BLIN 0200</t>
        </is>
      </c>
      <c r="AG3242" s="7" t="inlineStr">
        <is>
          <t>357</t>
        </is>
      </c>
      <c r="AH3242" s="7" t="inlineStr">
        <is>
          <t>0200</t>
        </is>
      </c>
    </row>
    <row r="3243" ht="10" customHeight="1">
      <c r="A3243" s="7" t="inlineStr">
        <is>
          <t>OPN_BA5-8</t>
        </is>
      </c>
      <c r="B3243" s="7" t="inlineStr">
        <is>
          <t>Procurement</t>
        </is>
      </c>
      <c r="C3243" s="7" t="inlineStr">
        <is>
          <t>176/3050</t>
        </is>
      </c>
      <c r="D3243" s="7" t="inlineStr">
        <is>
          <t>Ship Communications Automation (Initial Spares)</t>
        </is>
      </c>
      <c r="E3243" s="13" t="inlineStr">
        <is>
          <t>[SUB]</t>
        </is>
      </c>
      <c r="F3243" s="7" t="inlineStr">
        <is>
          <t>176 / Spares and Repair Parts</t>
        </is>
      </c>
      <c r="I3243" s="14" t="n">
        <v>6</v>
      </c>
      <c r="K3243" s="15" t="n"/>
      <c r="O3243" s="15" t="n"/>
      <c r="P3243" s="16" t="n">
        <v>2438</v>
      </c>
      <c r="Q3243" s="16" t="n">
        <v>1318</v>
      </c>
      <c r="S3243" s="16" t="n">
        <v>2268</v>
      </c>
      <c r="T3243" s="16" t="n">
        <v>0</v>
      </c>
      <c r="U3243" s="16" t="n">
        <v>2268</v>
      </c>
      <c r="AC3243" s="23">
        <f>IF(OR(E3243="",E3243="[PARENT]"),"ADD",IF(E3243="[ALT_VIEW]","ALT",""))</f>
        <v/>
      </c>
      <c r="AD3243" s="21">
        <f>IF(Y3243&lt;&gt;"",Y3243,IF(U3243&lt;&gt;"",U3243,S3243))</f>
        <v/>
      </c>
      <c r="AE3243" s="21">
        <f>IF(AB3243&lt;&gt;"",AB3243,Z3243)</f>
        <v/>
      </c>
      <c r="AF3243" s="13" t="inlineStr">
        <is>
          <t>Exhibit P-40 / BA08 Spares and Repair Parts / Line 176 / P-18 Initial Spares / BLIN 3050</t>
        </is>
      </c>
      <c r="AG3243" s="7" t="inlineStr">
        <is>
          <t>358</t>
        </is>
      </c>
      <c r="AH3243" s="7" t="inlineStr">
        <is>
          <t>3050</t>
        </is>
      </c>
      <c r="AI3243" s="7" t="inlineStr">
        <is>
          <t>Ship Communications Automation</t>
        </is>
      </c>
    </row>
    <row r="3244" ht="10" customHeight="1">
      <c r="A3244" s="7" t="inlineStr">
        <is>
          <t>OPN_BA5-8</t>
        </is>
      </c>
      <c r="B3244" s="7" t="inlineStr">
        <is>
          <t>Procurement</t>
        </is>
      </c>
      <c r="C3244" s="7" t="inlineStr">
        <is>
          <t>176/0977</t>
        </is>
      </c>
      <c r="D3244" s="7" t="inlineStr">
        <is>
          <t>Underwater EOD Equipment (Initial Spares)</t>
        </is>
      </c>
      <c r="E3244" s="13" t="inlineStr">
        <is>
          <t>[SUB]</t>
        </is>
      </c>
      <c r="F3244" s="7" t="inlineStr">
        <is>
          <t>176 / Spares and Repair Parts</t>
        </is>
      </c>
      <c r="I3244" s="14" t="n">
        <v>6</v>
      </c>
      <c r="K3244" s="15" t="n"/>
      <c r="O3244" s="15" t="n"/>
      <c r="P3244" s="16" t="n">
        <v>1880</v>
      </c>
      <c r="Q3244" s="16" t="n">
        <v>357</v>
      </c>
      <c r="S3244" s="16" t="n">
        <v>2104</v>
      </c>
      <c r="T3244" s="16" t="n">
        <v>0</v>
      </c>
      <c r="U3244" s="16" t="n">
        <v>2104</v>
      </c>
      <c r="AC3244" s="23">
        <f>IF(OR(E3244="",E3244="[PARENT]"),"ADD",IF(E3244="[ALT_VIEW]","ALT",""))</f>
        <v/>
      </c>
      <c r="AD3244" s="21">
        <f>IF(Y3244&lt;&gt;"",Y3244,IF(U3244&lt;&gt;"",U3244,S3244))</f>
        <v/>
      </c>
      <c r="AE3244" s="21">
        <f>IF(AB3244&lt;&gt;"",AB3244,Z3244)</f>
        <v/>
      </c>
      <c r="AF3244" s="13" t="inlineStr">
        <is>
          <t>Exhibit P-40 / BA08 Spares and Repair Parts / Line 176 / P-18 Initial Spares / BLIN 0977</t>
        </is>
      </c>
      <c r="AG3244" s="7" t="inlineStr">
        <is>
          <t>357</t>
        </is>
      </c>
      <c r="AH3244" s="7" t="inlineStr">
        <is>
          <t>0977</t>
        </is>
      </c>
    </row>
    <row r="3245" ht="10" customHeight="1">
      <c r="A3245" s="7" t="inlineStr">
        <is>
          <t>OPN_BA5-8</t>
        </is>
      </c>
      <c r="B3245" s="7" t="inlineStr">
        <is>
          <t>Procurement</t>
        </is>
      </c>
      <c r="C3245" s="7" t="inlineStr">
        <is>
          <t>176/0942</t>
        </is>
      </c>
      <c r="D3245" s="7" t="inlineStr">
        <is>
          <t>Virginia Class Support Equipment (Initial Spares)</t>
        </is>
      </c>
      <c r="E3245" s="13" t="inlineStr">
        <is>
          <t>[SUB]</t>
        </is>
      </c>
      <c r="F3245" s="7" t="inlineStr">
        <is>
          <t>176 / Spares and Repair Parts</t>
        </is>
      </c>
      <c r="I3245" s="14" t="n">
        <v>6</v>
      </c>
      <c r="K3245" s="13" t="inlineStr">
        <is>
          <t>USN</t>
        </is>
      </c>
      <c r="L3245" s="7" t="inlineStr">
        <is>
          <t>Combatant Ships</t>
        </is>
      </c>
      <c r="M3245" s="7" t="inlineStr">
        <is>
          <t>Submarines</t>
        </is>
      </c>
      <c r="N3245" s="7" t="inlineStr">
        <is>
          <t>SSN</t>
        </is>
      </c>
      <c r="O3245" s="15" t="n"/>
      <c r="P3245" s="16" t="n">
        <v>0</v>
      </c>
      <c r="Q3245" s="16" t="n">
        <v>0</v>
      </c>
      <c r="S3245" s="16" t="n">
        <v>1963</v>
      </c>
      <c r="T3245" s="16" t="n">
        <v>0</v>
      </c>
      <c r="U3245" s="16" t="n">
        <v>1963</v>
      </c>
      <c r="AC3245" s="23">
        <f>IF(OR(E3245="",E3245="[PARENT]"),"ADD",IF(E3245="[ALT_VIEW]","ALT",""))</f>
        <v/>
      </c>
      <c r="AD3245" s="21">
        <f>IF(Y3245&lt;&gt;"",Y3245,IF(U3245&lt;&gt;"",U3245,S3245))</f>
        <v/>
      </c>
      <c r="AE3245" s="21">
        <f>IF(AB3245&lt;&gt;"",AB3245,Z3245)</f>
        <v/>
      </c>
      <c r="AF3245" s="13" t="inlineStr">
        <is>
          <t>Exhibit P-40 / BA08 Spares and Repair Parts / Line 176 / P-18 Initial Spares / BLIN 0942</t>
        </is>
      </c>
      <c r="AG3245" s="7" t="inlineStr">
        <is>
          <t>357</t>
        </is>
      </c>
      <c r="AH3245" s="7" t="inlineStr">
        <is>
          <t>0942</t>
        </is>
      </c>
    </row>
    <row r="3246" ht="10" customHeight="1">
      <c r="A3246" s="7" t="inlineStr">
        <is>
          <t>OPN_BA5-8</t>
        </is>
      </c>
      <c r="B3246" s="7" t="inlineStr">
        <is>
          <t>Procurement</t>
        </is>
      </c>
      <c r="C3246" s="7" t="inlineStr">
        <is>
          <t>176/1603</t>
        </is>
      </c>
      <c r="D3246" s="7" t="inlineStr">
        <is>
          <t>LCS SUW Mission Modules (Initial Spares)</t>
        </is>
      </c>
      <c r="E3246" s="13" t="inlineStr">
        <is>
          <t>[SUB]</t>
        </is>
      </c>
      <c r="F3246" s="7" t="inlineStr">
        <is>
          <t>176 / Spares and Repair Parts</t>
        </is>
      </c>
      <c r="I3246" s="14" t="n">
        <v>6</v>
      </c>
      <c r="K3246" s="13" t="inlineStr">
        <is>
          <t>USN</t>
        </is>
      </c>
      <c r="L3246" s="7" t="inlineStr">
        <is>
          <t>Combatant Ships</t>
        </is>
      </c>
      <c r="M3246" s="7" t="inlineStr">
        <is>
          <t>Surface Combatants</t>
        </is>
      </c>
      <c r="O3246" s="15" t="n"/>
      <c r="P3246" s="16" t="n">
        <v>4523</v>
      </c>
      <c r="Q3246" s="16" t="n">
        <v>0</v>
      </c>
      <c r="S3246" s="16" t="n">
        <v>1954</v>
      </c>
      <c r="T3246" s="16" t="n">
        <v>0</v>
      </c>
      <c r="U3246" s="16" t="n">
        <v>1954</v>
      </c>
      <c r="AC3246" s="23">
        <f>IF(OR(E3246="",E3246="[PARENT]"),"ADD",IF(E3246="[ALT_VIEW]","ALT",""))</f>
        <v/>
      </c>
      <c r="AD3246" s="21">
        <f>IF(Y3246&lt;&gt;"",Y3246,IF(U3246&lt;&gt;"",U3246,S3246))</f>
        <v/>
      </c>
      <c r="AE3246" s="21">
        <f>IF(AB3246&lt;&gt;"",AB3246,Z3246)</f>
        <v/>
      </c>
      <c r="AF3246" s="13" t="inlineStr">
        <is>
          <t>Exhibit P-40 / BA08 Spares and Repair Parts / Line 176 / P-18 Initial Spares / BLIN 1603</t>
        </is>
      </c>
      <c r="AG3246" s="7" t="inlineStr">
        <is>
          <t>357</t>
        </is>
      </c>
      <c r="AH3246" s="7" t="inlineStr">
        <is>
          <t>1603</t>
        </is>
      </c>
    </row>
    <row r="3247" ht="10" customHeight="1">
      <c r="A3247" s="7" t="inlineStr">
        <is>
          <t>OPN_BA5-8</t>
        </is>
      </c>
      <c r="B3247" s="7" t="inlineStr">
        <is>
          <t>Procurement</t>
        </is>
      </c>
      <c r="C3247" s="7" t="inlineStr">
        <is>
          <t>176/0840-R</t>
        </is>
      </c>
      <c r="D3247" s="7" t="inlineStr">
        <is>
          <t>Sub Periscope, Imaging &amp; Supt Equip (Replenishment)</t>
        </is>
      </c>
      <c r="E3247" s="13" t="inlineStr">
        <is>
          <t>[SUB]</t>
        </is>
      </c>
      <c r="F3247" s="7" t="inlineStr">
        <is>
          <t>176 / Spares and Repair Parts</t>
        </is>
      </c>
      <c r="I3247" s="14" t="n">
        <v>6</v>
      </c>
      <c r="K3247" s="13" t="inlineStr">
        <is>
          <t>USN</t>
        </is>
      </c>
      <c r="L3247" s="7" t="inlineStr">
        <is>
          <t>Combatant Ships</t>
        </is>
      </c>
      <c r="M3247" s="7" t="inlineStr">
        <is>
          <t>Submarines</t>
        </is>
      </c>
      <c r="O3247" s="15" t="n"/>
      <c r="P3247" s="16" t="n">
        <v>5641</v>
      </c>
      <c r="Q3247" s="16" t="n">
        <v>8512</v>
      </c>
      <c r="S3247" s="16" t="n">
        <v>14862</v>
      </c>
      <c r="T3247" s="16" t="n">
        <v>0</v>
      </c>
      <c r="U3247" s="16" t="n">
        <v>14862</v>
      </c>
      <c r="AC3247" s="23">
        <f>IF(OR(E3247="",E3247="[PARENT]"),"ADD",IF(E3247="[ALT_VIEW]","ALT",""))</f>
        <v/>
      </c>
      <c r="AD3247" s="21">
        <f>IF(Y3247&lt;&gt;"",Y3247,IF(U3247&lt;&gt;"",U3247,S3247))</f>
        <v/>
      </c>
      <c r="AE3247" s="21">
        <f>IF(AB3247&lt;&gt;"",AB3247,Z3247)</f>
        <v/>
      </c>
      <c r="AF3247" s="13" t="inlineStr">
        <is>
          <t>Exhibit P-40 / BA08 Spares and Repair Parts / Line 176 / P-18 Replenishment Spares / BLIN 0840</t>
        </is>
      </c>
      <c r="AG3247" s="7" t="inlineStr">
        <is>
          <t>357</t>
        </is>
      </c>
      <c r="AH3247" s="7" t="inlineStr">
        <is>
          <t>0840</t>
        </is>
      </c>
    </row>
    <row r="3248" ht="10" customHeight="1">
      <c r="A3248" s="7" t="inlineStr">
        <is>
          <t>OPN_BA5-8</t>
        </is>
      </c>
      <c r="B3248" s="7" t="inlineStr">
        <is>
          <t>Procurement</t>
        </is>
      </c>
      <c r="C3248" s="7" t="inlineStr">
        <is>
          <t>176/0950-R</t>
        </is>
      </c>
      <c r="D3248" s="7" t="inlineStr">
        <is>
          <t>Strategic Platform Support Equip (Replenishment)</t>
        </is>
      </c>
      <c r="E3248" s="13" t="inlineStr">
        <is>
          <t>[SUB]</t>
        </is>
      </c>
      <c r="F3248" s="7" t="inlineStr">
        <is>
          <t>176 / Spares and Repair Parts</t>
        </is>
      </c>
      <c r="I3248" s="14" t="n">
        <v>6</v>
      </c>
      <c r="K3248" s="13" t="inlineStr">
        <is>
          <t>USN</t>
        </is>
      </c>
      <c r="L3248" s="7" t="inlineStr">
        <is>
          <t>Combatant Ships</t>
        </is>
      </c>
      <c r="M3248" s="7" t="inlineStr">
        <is>
          <t>Submarines</t>
        </is>
      </c>
      <c r="N3248" s="7" t="inlineStr">
        <is>
          <t>SSBN</t>
        </is>
      </c>
      <c r="O3248" s="15" t="n"/>
      <c r="P3248" s="16" t="n">
        <v>9882</v>
      </c>
      <c r="Q3248" s="16" t="n">
        <v>10157</v>
      </c>
      <c r="S3248" s="16" t="n">
        <v>9296</v>
      </c>
      <c r="T3248" s="16" t="n">
        <v>0</v>
      </c>
      <c r="U3248" s="16" t="n">
        <v>9296</v>
      </c>
      <c r="AC3248" s="23">
        <f>IF(OR(E3248="",E3248="[PARENT]"),"ADD",IF(E3248="[ALT_VIEW]","ALT",""))</f>
        <v/>
      </c>
      <c r="AD3248" s="21">
        <f>IF(Y3248&lt;&gt;"",Y3248,IF(U3248&lt;&gt;"",U3248,S3248))</f>
        <v/>
      </c>
      <c r="AE3248" s="21">
        <f>IF(AB3248&lt;&gt;"",AB3248,Z3248)</f>
        <v/>
      </c>
      <c r="AF3248" s="13" t="inlineStr">
        <is>
          <t>Exhibit P-40 / BA08 Spares and Repair Parts / Line 176 / P-18 Replenishment Spares / BLIN 0950</t>
        </is>
      </c>
      <c r="AG3248" s="7" t="inlineStr">
        <is>
          <t>357</t>
        </is>
      </c>
      <c r="AH3248" s="7" t="inlineStr">
        <is>
          <t>0950</t>
        </is>
      </c>
    </row>
    <row r="3249" ht="10" customHeight="1">
      <c r="A3249" s="7" t="inlineStr">
        <is>
          <t>OPN_BA5-8</t>
        </is>
      </c>
      <c r="B3249" s="7" t="inlineStr">
        <is>
          <t>Procurement</t>
        </is>
      </c>
      <c r="C3249" s="7" t="inlineStr">
        <is>
          <t>176/5111-R</t>
        </is>
      </c>
      <c r="D3249" s="7" t="inlineStr">
        <is>
          <t>Ship Gun Systems Equipment (Replenishment)</t>
        </is>
      </c>
      <c r="E3249" s="13" t="inlineStr">
        <is>
          <t>[SUB]</t>
        </is>
      </c>
      <c r="F3249" s="7" t="inlineStr">
        <is>
          <t>176 / Spares and Repair Parts</t>
        </is>
      </c>
      <c r="I3249" s="14" t="n">
        <v>6</v>
      </c>
      <c r="K3249" s="13" t="inlineStr">
        <is>
          <t>USN</t>
        </is>
      </c>
      <c r="L3249" s="7" t="inlineStr">
        <is>
          <t>Combatant Ships</t>
        </is>
      </c>
      <c r="M3249" s="7" t="inlineStr">
        <is>
          <t>Surface Combatants</t>
        </is>
      </c>
      <c r="O3249" s="15" t="n"/>
      <c r="P3249" s="16" t="n">
        <v>8393</v>
      </c>
      <c r="Q3249" s="16" t="n">
        <v>6479</v>
      </c>
      <c r="S3249" s="16" t="n">
        <v>6411</v>
      </c>
      <c r="T3249" s="16" t="n">
        <v>0</v>
      </c>
      <c r="U3249" s="16" t="n">
        <v>6411</v>
      </c>
      <c r="AC3249" s="23">
        <f>IF(OR(E3249="",E3249="[PARENT]"),"ADD",IF(E3249="[ALT_VIEW]","ALT",""))</f>
        <v/>
      </c>
      <c r="AD3249" s="21">
        <f>IF(Y3249&lt;&gt;"",Y3249,IF(U3249&lt;&gt;"",U3249,S3249))</f>
        <v/>
      </c>
      <c r="AE3249" s="21">
        <f>IF(AB3249&lt;&gt;"",AB3249,Z3249)</f>
        <v/>
      </c>
      <c r="AF3249" s="13" t="inlineStr">
        <is>
          <t>Exhibit P-40 / BA08 Spares and Repair Parts / Line 176 / P-18 Replenishment Spares / BLIN 5111</t>
        </is>
      </c>
      <c r="AG3249" s="7" t="inlineStr">
        <is>
          <t>359</t>
        </is>
      </c>
      <c r="AH3249" s="7" t="inlineStr">
        <is>
          <t>5111</t>
        </is>
      </c>
    </row>
    <row r="3250" ht="10" customHeight="1">
      <c r="A3250" s="7" t="inlineStr">
        <is>
          <t>OPN_BA5-8</t>
        </is>
      </c>
      <c r="B3250" s="7" t="inlineStr">
        <is>
          <t>Procurement</t>
        </is>
      </c>
      <c r="C3250" s="7" t="inlineStr">
        <is>
          <t>176/5358-R</t>
        </is>
      </c>
      <c r="D3250" s="7" t="inlineStr">
        <is>
          <t>Strategic Missile Systems Equip (Replenishment)</t>
        </is>
      </c>
      <c r="E3250" s="13" t="inlineStr">
        <is>
          <t>[SUB]</t>
        </is>
      </c>
      <c r="F3250" s="7" t="inlineStr">
        <is>
          <t>176 / Spares and Repair Parts</t>
        </is>
      </c>
      <c r="I3250" s="14" t="n">
        <v>6</v>
      </c>
      <c r="K3250" s="13" t="inlineStr">
        <is>
          <t>USN</t>
        </is>
      </c>
      <c r="L3250" s="7" t="inlineStr">
        <is>
          <t>Combatant Ships</t>
        </is>
      </c>
      <c r="M3250" s="7" t="inlineStr">
        <is>
          <t>Submarines</t>
        </is>
      </c>
      <c r="N3250" s="7" t="inlineStr">
        <is>
          <t>SSBN</t>
        </is>
      </c>
      <c r="O3250" s="15" t="n"/>
      <c r="P3250" s="16" t="n">
        <v>3954</v>
      </c>
      <c r="Q3250" s="16" t="n">
        <v>3951</v>
      </c>
      <c r="S3250" s="16" t="n">
        <v>5308</v>
      </c>
      <c r="T3250" s="16" t="n">
        <v>0</v>
      </c>
      <c r="U3250" s="16" t="n">
        <v>5308</v>
      </c>
      <c r="AC3250" s="23">
        <f>IF(OR(E3250="",E3250="[PARENT]"),"ADD",IF(E3250="[ALT_VIEW]","ALT",""))</f>
        <v/>
      </c>
      <c r="AD3250" s="21">
        <f>IF(Y3250&lt;&gt;"",Y3250,IF(U3250&lt;&gt;"",U3250,S3250))</f>
        <v/>
      </c>
      <c r="AE3250" s="21">
        <f>IF(AB3250&lt;&gt;"",AB3250,Z3250)</f>
        <v/>
      </c>
      <c r="AF3250" s="13" t="inlineStr">
        <is>
          <t>Exhibit P-40 / BA08 Spares and Repair Parts / Line 176 / P-18 Replenishment Spares / BLIN 5358</t>
        </is>
      </c>
      <c r="AG3250" s="7" t="inlineStr">
        <is>
          <t>360</t>
        </is>
      </c>
      <c r="AH3250" s="7" t="inlineStr">
        <is>
          <t>5358</t>
        </is>
      </c>
    </row>
    <row r="3251" ht="10" customHeight="1">
      <c r="A3251" s="7" t="inlineStr">
        <is>
          <t>OPN_BA5-8</t>
        </is>
      </c>
      <c r="B3251" s="7" t="inlineStr">
        <is>
          <t>Procurement</t>
        </is>
      </c>
      <c r="C3251" s="7" t="inlineStr">
        <is>
          <t>176/2622-R</t>
        </is>
      </c>
      <c r="D3251" s="7" t="inlineStr">
        <is>
          <t>Minesweeping System Replacement (Replenishment)</t>
        </is>
      </c>
      <c r="E3251" s="13" t="inlineStr">
        <is>
          <t>[SUB]</t>
        </is>
      </c>
      <c r="F3251" s="7" t="inlineStr">
        <is>
          <t>176 / Spares and Repair Parts</t>
        </is>
      </c>
      <c r="I3251" s="14" t="n">
        <v>6</v>
      </c>
      <c r="K3251" s="13" t="inlineStr">
        <is>
          <t>USN</t>
        </is>
      </c>
      <c r="L3251" s="7" t="inlineStr">
        <is>
          <t>Combatant Ships</t>
        </is>
      </c>
      <c r="M3251" s="7" t="inlineStr">
        <is>
          <t>Mine Warfare</t>
        </is>
      </c>
      <c r="N3251" s="7" t="inlineStr">
        <is>
          <t>MCM</t>
        </is>
      </c>
      <c r="O3251" s="15" t="n"/>
      <c r="P3251" s="16" t="n">
        <v>1851</v>
      </c>
      <c r="Q3251" s="16" t="n">
        <v>2139</v>
      </c>
      <c r="S3251" s="16" t="n">
        <v>2688</v>
      </c>
      <c r="T3251" s="16" t="n">
        <v>0</v>
      </c>
      <c r="U3251" s="16" t="n">
        <v>2688</v>
      </c>
      <c r="AC3251" s="23">
        <f>IF(OR(E3251="",E3251="[PARENT]"),"ADD",IF(E3251="[ALT_VIEW]","ALT",""))</f>
        <v/>
      </c>
      <c r="AD3251" s="21">
        <f>IF(Y3251&lt;&gt;"",Y3251,IF(U3251&lt;&gt;"",U3251,S3251))</f>
        <v/>
      </c>
      <c r="AE3251" s="21">
        <f>IF(AB3251&lt;&gt;"",AB3251,Z3251)</f>
        <v/>
      </c>
      <c r="AF3251" s="13" t="inlineStr">
        <is>
          <t>Exhibit P-40 / BA08 Spares and Repair Parts / Line 176 / P-18 Replenishment Spares / BLIN 2622</t>
        </is>
      </c>
      <c r="AG3251" s="7" t="inlineStr">
        <is>
          <t>360</t>
        </is>
      </c>
      <c r="AH3251" s="7" t="inlineStr">
        <is>
          <t>2622</t>
        </is>
      </c>
      <c r="AI3251" s="7" t="inlineStr">
        <is>
          <t>MAGNETIC SILENCING FACILITY UPGRADES</t>
        </is>
      </c>
    </row>
    <row r="3252" ht="10" customHeight="1">
      <c r="A3252" s="7" t="inlineStr">
        <is>
          <t>OPN_BA5-8</t>
        </is>
      </c>
      <c r="B3252" s="7" t="inlineStr">
        <is>
          <t>Procurement</t>
        </is>
      </c>
      <c r="C3252" s="7" t="inlineStr">
        <is>
          <t>176/2210-R</t>
        </is>
      </c>
      <c r="D3252" s="7" t="inlineStr">
        <is>
          <t>Submarine Acoustic Warfare System (Replenishment)</t>
        </is>
      </c>
      <c r="E3252" s="13" t="inlineStr">
        <is>
          <t>[SUB]</t>
        </is>
      </c>
      <c r="F3252" s="7" t="inlineStr">
        <is>
          <t>176 / Spares and Repair Parts</t>
        </is>
      </c>
      <c r="I3252" s="14" t="n">
        <v>6</v>
      </c>
      <c r="K3252" s="13" t="inlineStr">
        <is>
          <t>USN</t>
        </is>
      </c>
      <c r="L3252" s="7" t="inlineStr">
        <is>
          <t>Combatant Ships</t>
        </is>
      </c>
      <c r="M3252" s="7" t="inlineStr">
        <is>
          <t>Submarines</t>
        </is>
      </c>
      <c r="O3252" s="15" t="n"/>
      <c r="P3252" s="16" t="n">
        <v>1622</v>
      </c>
      <c r="Q3252" s="16" t="n">
        <v>2046</v>
      </c>
      <c r="S3252" s="16" t="n">
        <v>2679</v>
      </c>
      <c r="T3252" s="16" t="n">
        <v>0</v>
      </c>
      <c r="U3252" s="16" t="n">
        <v>2679</v>
      </c>
      <c r="AC3252" s="23">
        <f>IF(OR(E3252="",E3252="[PARENT]"),"ADD",IF(E3252="[ALT_VIEW]","ALT",""))</f>
        <v/>
      </c>
      <c r="AD3252" s="21">
        <f>IF(Y3252&lt;&gt;"",Y3252,IF(U3252&lt;&gt;"",U3252,S3252))</f>
        <v/>
      </c>
      <c r="AE3252" s="21">
        <f>IF(AB3252&lt;&gt;"",AB3252,Z3252)</f>
        <v/>
      </c>
      <c r="AF3252" s="13" t="inlineStr">
        <is>
          <t>Exhibit P-40 / BA08 Spares and Repair Parts / Line 176 / P-18 Replenishment Spares / BLIN 2210</t>
        </is>
      </c>
      <c r="AG3252" s="7" t="inlineStr">
        <is>
          <t>357</t>
        </is>
      </c>
      <c r="AH3252" s="7" t="inlineStr">
        <is>
          <t>2210</t>
        </is>
      </c>
    </row>
    <row r="3253" ht="10" customHeight="1">
      <c r="A3253" s="7" t="inlineStr">
        <is>
          <t>OPN_BA5-8</t>
        </is>
      </c>
      <c r="B3253" s="7" t="inlineStr">
        <is>
          <t>Procurement</t>
        </is>
      </c>
      <c r="C3253" s="7" t="inlineStr">
        <is>
          <t>176/5429-R</t>
        </is>
      </c>
      <c r="D3253" s="7" t="inlineStr">
        <is>
          <t>ASW Support Equipment (Replenishment)</t>
        </is>
      </c>
      <c r="E3253" s="13" t="inlineStr">
        <is>
          <t>[SUB]</t>
        </is>
      </c>
      <c r="F3253" s="7" t="inlineStr">
        <is>
          <t>176 / Spares and Repair Parts</t>
        </is>
      </c>
      <c r="I3253" s="14" t="n">
        <v>6</v>
      </c>
      <c r="K3253" s="15" t="n"/>
      <c r="O3253" s="15" t="n"/>
      <c r="P3253" s="16" t="n">
        <v>2324</v>
      </c>
      <c r="Q3253" s="16" t="n">
        <v>2515</v>
      </c>
      <c r="S3253" s="16" t="n">
        <v>2023</v>
      </c>
      <c r="T3253" s="16" t="n">
        <v>0</v>
      </c>
      <c r="U3253" s="16" t="n">
        <v>2023</v>
      </c>
      <c r="AC3253" s="23">
        <f>IF(OR(E3253="",E3253="[PARENT]"),"ADD",IF(E3253="[ALT_VIEW]","ALT",""))</f>
        <v/>
      </c>
      <c r="AD3253" s="21">
        <f>IF(Y3253&lt;&gt;"",Y3253,IF(U3253&lt;&gt;"",U3253,S3253))</f>
        <v/>
      </c>
      <c r="AE3253" s="21">
        <f>IF(AB3253&lt;&gt;"",AB3253,Z3253)</f>
        <v/>
      </c>
      <c r="AF3253" s="13" t="inlineStr">
        <is>
          <t>Exhibit P-40 / BA08 Spares and Repair Parts / Line 176 / P-18 Replenishment Spares / BLIN 5429</t>
        </is>
      </c>
      <c r="AG3253" s="7" t="inlineStr">
        <is>
          <t>360</t>
        </is>
      </c>
      <c r="AH3253" s="7" t="inlineStr">
        <is>
          <t>5429</t>
        </is>
      </c>
    </row>
    <row r="3254" ht="10" customHeight="1">
      <c r="A3254" s="7" t="inlineStr">
        <is>
          <t>OPN_BA5-8</t>
        </is>
      </c>
      <c r="B3254" s="7" t="inlineStr">
        <is>
          <t>Procurement</t>
        </is>
      </c>
      <c r="C3254" s="7" t="inlineStr">
        <is>
          <t>176/1603-R</t>
        </is>
      </c>
      <c r="D3254" s="7" t="inlineStr">
        <is>
          <t>LCS SUW Mission Modules (Replenishment)</t>
        </is>
      </c>
      <c r="E3254" s="13" t="inlineStr">
        <is>
          <t>[SUB]</t>
        </is>
      </c>
      <c r="F3254" s="7" t="inlineStr">
        <is>
          <t>176 / Spares and Repair Parts</t>
        </is>
      </c>
      <c r="I3254" s="14" t="n">
        <v>6</v>
      </c>
      <c r="K3254" s="13" t="inlineStr">
        <is>
          <t>USN</t>
        </is>
      </c>
      <c r="L3254" s="7" t="inlineStr">
        <is>
          <t>Combatant Ships</t>
        </is>
      </c>
      <c r="M3254" s="7" t="inlineStr">
        <is>
          <t>Surface Combatants</t>
        </is>
      </c>
      <c r="O3254" s="15" t="n"/>
      <c r="P3254" s="16" t="n">
        <v>1874</v>
      </c>
      <c r="Q3254" s="16" t="n">
        <v>1000</v>
      </c>
      <c r="S3254" s="16" t="n">
        <v>1929</v>
      </c>
      <c r="T3254" s="16" t="n">
        <v>0</v>
      </c>
      <c r="U3254" s="16" t="n">
        <v>1929</v>
      </c>
      <c r="AC3254" s="23">
        <f>IF(OR(E3254="",E3254="[PARENT]"),"ADD",IF(E3254="[ALT_VIEW]","ALT",""))</f>
        <v/>
      </c>
      <c r="AD3254" s="21">
        <f>IF(Y3254&lt;&gt;"",Y3254,IF(U3254&lt;&gt;"",U3254,S3254))</f>
        <v/>
      </c>
      <c r="AE3254" s="21">
        <f>IF(AB3254&lt;&gt;"",AB3254,Z3254)</f>
        <v/>
      </c>
      <c r="AF3254" s="13" t="inlineStr">
        <is>
          <t>Exhibit P-40 / BA08 Spares and Repair Parts / Line 176 / P-18 Replenishment Spares / BLIN 1603</t>
        </is>
      </c>
      <c r="AG3254" s="7" t="inlineStr">
        <is>
          <t>357</t>
        </is>
      </c>
      <c r="AH3254" s="7" t="inlineStr">
        <is>
          <t>1603</t>
        </is>
      </c>
    </row>
    <row r="3255" ht="10" customHeight="1">
      <c r="A3255" s="7" t="inlineStr">
        <is>
          <t>OPN_BA5-8</t>
        </is>
      </c>
      <c r="B3255" s="7" t="inlineStr">
        <is>
          <t>Procurement</t>
        </is>
      </c>
      <c r="C3255" s="7" t="inlineStr">
        <is>
          <t>177/0921</t>
        </is>
      </c>
      <c r="D3255" s="7" t="inlineStr">
        <is>
          <t>Outfitting-VACL</t>
        </is>
      </c>
      <c r="E3255" s="13" t="inlineStr">
        <is>
          <t>[SUB]</t>
        </is>
      </c>
      <c r="F3255" s="7" t="inlineStr">
        <is>
          <t>177 / VIRGINIA Class (VACL) Spares and Repair Parts</t>
        </is>
      </c>
      <c r="I3255" s="14" t="n">
        <v>6</v>
      </c>
      <c r="K3255" s="13" t="inlineStr">
        <is>
          <t>USN</t>
        </is>
      </c>
      <c r="L3255" s="7" t="inlineStr">
        <is>
          <t>Combatant Ships</t>
        </is>
      </c>
      <c r="M3255" s="7" t="inlineStr">
        <is>
          <t>Submarines</t>
        </is>
      </c>
      <c r="N3255" s="7" t="inlineStr">
        <is>
          <t>SSN</t>
        </is>
      </c>
      <c r="O3255" s="15" t="n"/>
      <c r="P3255" s="16" t="n">
        <v>478691</v>
      </c>
      <c r="Q3255" s="16" t="n">
        <v>0</v>
      </c>
      <c r="S3255" s="16" t="n">
        <v>0</v>
      </c>
      <c r="T3255" s="16" t="n">
        <v>0</v>
      </c>
      <c r="U3255" s="16" t="n">
        <v>0</v>
      </c>
      <c r="AC3255" s="23">
        <f>IF(OR(E3255="",E3255="[PARENT]"),"ADD",IF(E3255="[ALT_VIEW]","ALT",""))</f>
        <v/>
      </c>
      <c r="AD3255" s="21">
        <f>IF(Y3255&lt;&gt;"",Y3255,IF(U3255&lt;&gt;"",U3255,S3255))</f>
        <v/>
      </c>
      <c r="AE3255" s="21">
        <f>IF(AB3255&lt;&gt;"",AB3255,Z3255)</f>
        <v/>
      </c>
      <c r="AF3255" s="13" t="inlineStr">
        <is>
          <t>Exhibit P-40 / BA08 Spares and Repair Parts / Line 177 / P-18 / BLIN 0921</t>
        </is>
      </c>
      <c r="AG3255" s="7" t="inlineStr">
        <is>
          <t>364</t>
        </is>
      </c>
      <c r="AH3255" s="7" t="inlineStr">
        <is>
          <t>0921</t>
        </is>
      </c>
    </row>
    <row r="3256" ht="10" customHeight="1">
      <c r="A3256" s="7" t="inlineStr">
        <is>
          <t>WPN</t>
        </is>
      </c>
      <c r="B3256" s="7" t="inlineStr">
        <is>
          <t>Procurement</t>
        </is>
      </c>
      <c r="C3256" s="7" t="inlineStr">
        <is>
          <t>1250</t>
        </is>
      </c>
      <c r="D3256" s="7" t="inlineStr">
        <is>
          <t>TRIDENT II Mods</t>
        </is>
      </c>
      <c r="E3256" s="13" t="inlineStr">
        <is>
          <t>[PARENT]</t>
        </is>
      </c>
      <c r="I3256" s="14" t="n">
        <v>4</v>
      </c>
      <c r="K3256" s="13" t="inlineStr">
        <is>
          <t>USN</t>
        </is>
      </c>
      <c r="L3256" s="7" t="inlineStr">
        <is>
          <t>Combatant Ships</t>
        </is>
      </c>
      <c r="M3256" s="7" t="inlineStr">
        <is>
          <t>Submarines</t>
        </is>
      </c>
      <c r="N3256" s="7" t="inlineStr">
        <is>
          <t>SSBN</t>
        </is>
      </c>
      <c r="O3256" s="15" t="n"/>
      <c r="P3256" s="16" t="n">
        <v>1284705</v>
      </c>
      <c r="Q3256" s="16" t="n">
        <v>1793867</v>
      </c>
      <c r="S3256" s="16" t="n">
        <v>2582029</v>
      </c>
      <c r="T3256" s="16" t="n">
        <v>62000</v>
      </c>
      <c r="U3256" s="16" t="n">
        <v>2644029</v>
      </c>
      <c r="W3256" s="16" t="n">
        <v>137000</v>
      </c>
      <c r="X3256" s="16" t="n">
        <v>2541712</v>
      </c>
      <c r="Y3256" s="16" t="n">
        <v>2678712</v>
      </c>
      <c r="Z3256" s="16" t="n">
        <v>3912267</v>
      </c>
      <c r="AB3256" s="16" t="n">
        <v>3912267</v>
      </c>
      <c r="AC3256" s="23">
        <f>IF(OR(E3256="",E3256="[PARENT]"),"ADD",IF(E3256="[ALT_VIEW]","ALT",""))</f>
        <v/>
      </c>
      <c r="AD3256" s="21">
        <f>IF(Y3256&lt;&gt;"",Y3256,IF(U3256&lt;&gt;"",U3256,S3256))</f>
        <v/>
      </c>
      <c r="AE3256" s="21">
        <f>IF(AB3256&lt;&gt;"",AB3256,Z3256)</f>
        <v/>
      </c>
      <c r="AF3256" s="13" t="inlineStr">
        <is>
          <t>1507N &gt; BA 01 &gt; BSA 2: Modification of Missiles &gt; LI 1250 TRIDENT II Mods</t>
        </is>
      </c>
      <c r="AG3256" s="7" t="inlineStr">
        <is>
          <t>31</t>
        </is>
      </c>
      <c r="AH3256" s="7" t="inlineStr">
        <is>
          <t>1250</t>
        </is>
      </c>
    </row>
    <row r="3257" ht="10" customHeight="1">
      <c r="A3257" s="7" t="inlineStr">
        <is>
          <t>WPN</t>
        </is>
      </c>
      <c r="B3257" s="7" t="inlineStr">
        <is>
          <t>Procurement</t>
        </is>
      </c>
      <c r="D3257" s="7" t="inlineStr">
        <is>
          <t>TRIDENT II Mods: D5 Life Extension</t>
        </is>
      </c>
      <c r="E3257" s="13" t="inlineStr">
        <is>
          <t>[SUB]</t>
        </is>
      </c>
      <c r="F3257" s="7" t="inlineStr">
        <is>
          <t>2 / TRIDENT II Mods</t>
        </is>
      </c>
      <c r="I3257" s="14" t="n">
        <v>4</v>
      </c>
      <c r="K3257" s="13" t="inlineStr">
        <is>
          <t>USN</t>
        </is>
      </c>
      <c r="L3257" s="7" t="inlineStr">
        <is>
          <t>Combatant Ships</t>
        </is>
      </c>
      <c r="M3257" s="7" t="inlineStr">
        <is>
          <t>Submarines</t>
        </is>
      </c>
      <c r="N3257" s="7" t="inlineStr">
        <is>
          <t>SSBN</t>
        </is>
      </c>
      <c r="O3257" s="15" t="n"/>
      <c r="P3257" s="16" t="n">
        <v>304115</v>
      </c>
      <c r="Q3257" s="16" t="n">
        <v>209997</v>
      </c>
      <c r="S3257" s="16" t="n">
        <v>94372</v>
      </c>
      <c r="U3257" s="16" t="n">
        <v>94372</v>
      </c>
      <c r="AC3257" s="23">
        <f>IF(OR(E3257="",E3257="[PARENT]"),"ADD",IF(E3257="[ALT_VIEW]","ALT",""))</f>
        <v/>
      </c>
      <c r="AD3257" s="21">
        <f>IF(Y3257&lt;&gt;"",Y3257,IF(U3257&lt;&gt;"",U3257,S3257))</f>
        <v/>
      </c>
      <c r="AE3257" s="21">
        <f>IF(AB3257&lt;&gt;"",AB3257,Z3257)</f>
        <v/>
      </c>
      <c r="AF3257" s="13" t="inlineStr">
        <is>
          <t>1507N &gt; BA 01 &gt; LI 1250 &gt; P-5 Item 1: D5 Life Extension</t>
        </is>
      </c>
      <c r="AG3257" s="7" t="inlineStr">
        <is>
          <t>43</t>
        </is>
      </c>
      <c r="AH3257" s="7" t="inlineStr">
        <is>
          <t>1250</t>
        </is>
      </c>
      <c r="AI3257" s="7" t="inlineStr">
        <is>
          <t>TRIDENT II Mods - D5 Life Extension</t>
        </is>
      </c>
    </row>
    <row r="3258" ht="10" customHeight="1">
      <c r="A3258" s="7" t="inlineStr">
        <is>
          <t>WPN</t>
        </is>
      </c>
      <c r="B3258" s="7" t="inlineStr">
        <is>
          <t>Procurement</t>
        </is>
      </c>
      <c r="D3258" s="7" t="inlineStr">
        <is>
          <t>TRIDENT II Mods: Operating &amp; Support Costs</t>
        </is>
      </c>
      <c r="E3258" s="13" t="inlineStr">
        <is>
          <t>[SUB]</t>
        </is>
      </c>
      <c r="F3258" s="7" t="inlineStr">
        <is>
          <t>2 / TRIDENT II Mods</t>
        </is>
      </c>
      <c r="I3258" s="14" t="n">
        <v>4</v>
      </c>
      <c r="K3258" s="13" t="inlineStr">
        <is>
          <t>USN</t>
        </is>
      </c>
      <c r="L3258" s="7" t="inlineStr">
        <is>
          <t>Combatant Ships</t>
        </is>
      </c>
      <c r="M3258" s="7" t="inlineStr">
        <is>
          <t>Submarines</t>
        </is>
      </c>
      <c r="O3258" s="15" t="n"/>
      <c r="P3258" s="16" t="n">
        <v>716119</v>
      </c>
      <c r="Q3258" s="16" t="n">
        <v>777853</v>
      </c>
      <c r="S3258" s="16" t="n">
        <v>873363</v>
      </c>
      <c r="U3258" s="16" t="n">
        <v>873363</v>
      </c>
      <c r="AC3258" s="23">
        <f>IF(OR(E3258="",E3258="[PARENT]"),"ADD",IF(E3258="[ALT_VIEW]","ALT",""))</f>
        <v/>
      </c>
      <c r="AD3258" s="21">
        <f>IF(Y3258&lt;&gt;"",Y3258,IF(U3258&lt;&gt;"",U3258,S3258))</f>
        <v/>
      </c>
      <c r="AE3258" s="21">
        <f>IF(AB3258&lt;&gt;"",AB3258,Z3258)</f>
        <v/>
      </c>
      <c r="AF3258" s="13" t="inlineStr">
        <is>
          <t>1507N &gt; BA 01 &gt; LI 1250 &gt; P-5 Item 2: Operating &amp; Support Costs</t>
        </is>
      </c>
      <c r="AG3258" s="7" t="inlineStr">
        <is>
          <t>65</t>
        </is>
      </c>
      <c r="AH3258" s="7" t="inlineStr">
        <is>
          <t>1250</t>
        </is>
      </c>
      <c r="AI3258" s="7" t="inlineStr">
        <is>
          <t>TRIDENT II Mods -Operating and Support Costs</t>
        </is>
      </c>
    </row>
    <row r="3259" ht="10" customHeight="1">
      <c r="A3259" s="7" t="inlineStr">
        <is>
          <t>WPN</t>
        </is>
      </c>
      <c r="B3259" s="7" t="inlineStr">
        <is>
          <t>Procurement</t>
        </is>
      </c>
      <c r="D3259" s="7" t="inlineStr">
        <is>
          <t>TRIDENT II Mods: D5 Life Extension 2 (D5LE2)</t>
        </is>
      </c>
      <c r="E3259" s="13" t="inlineStr">
        <is>
          <t>[SUB]</t>
        </is>
      </c>
      <c r="F3259" s="7" t="inlineStr">
        <is>
          <t>2 / TRIDENT II Mods</t>
        </is>
      </c>
      <c r="I3259" s="14" t="n">
        <v>4</v>
      </c>
      <c r="K3259" s="13" t="inlineStr">
        <is>
          <t>USN</t>
        </is>
      </c>
      <c r="L3259" s="7" t="inlineStr">
        <is>
          <t>Combatant Ships</t>
        </is>
      </c>
      <c r="M3259" s="7" t="inlineStr">
        <is>
          <t>Submarines</t>
        </is>
      </c>
      <c r="N3259" s="7" t="inlineStr">
        <is>
          <t>SSBN</t>
        </is>
      </c>
      <c r="O3259" s="15" t="n"/>
      <c r="P3259" s="16" t="n">
        <v>264471</v>
      </c>
      <c r="Q3259" s="16" t="n">
        <v>806017</v>
      </c>
      <c r="S3259" s="16" t="n">
        <v>1614294</v>
      </c>
      <c r="U3259" s="16" t="n">
        <v>1614294</v>
      </c>
      <c r="AC3259" s="23">
        <f>IF(OR(E3259="",E3259="[PARENT]"),"ADD",IF(E3259="[ALT_VIEW]","ALT",""))</f>
        <v/>
      </c>
      <c r="AD3259" s="21">
        <f>IF(Y3259&lt;&gt;"",Y3259,IF(U3259&lt;&gt;"",U3259,S3259))</f>
        <v/>
      </c>
      <c r="AE3259" s="21">
        <f>IF(AB3259&lt;&gt;"",AB3259,Z3259)</f>
        <v/>
      </c>
      <c r="AF3259" s="13" t="inlineStr">
        <is>
          <t>1507N &gt; BA 01 &gt; LI 1250 &gt; P-5 Item 3: D5LE2</t>
        </is>
      </c>
      <c r="AG3259" s="7" t="inlineStr">
        <is>
          <t>80</t>
        </is>
      </c>
      <c r="AH3259" s="7" t="inlineStr">
        <is>
          <t>1250</t>
        </is>
      </c>
      <c r="AI3259" s="7" t="inlineStr">
        <is>
          <t>TRIDENT II Mods - D5 Life Extension</t>
        </is>
      </c>
    </row>
    <row r="3260" ht="10" customHeight="1">
      <c r="A3260" s="7" t="inlineStr">
        <is>
          <t>WPN</t>
        </is>
      </c>
      <c r="B3260" s="7" t="inlineStr">
        <is>
          <t>Procurement</t>
        </is>
      </c>
      <c r="C3260" s="7" t="inlineStr">
        <is>
          <t>1350</t>
        </is>
      </c>
      <c r="D3260" s="7" t="inlineStr">
        <is>
          <t>Missile Industrial Facilities</t>
        </is>
      </c>
      <c r="E3260" s="13" t="inlineStr">
        <is>
          <t>[REFERENCE]</t>
        </is>
      </c>
      <c r="I3260" s="14" t="n">
        <v>6</v>
      </c>
      <c r="K3260" s="13" t="inlineStr">
        <is>
          <t>USN</t>
        </is>
      </c>
      <c r="L3260" s="7" t="inlineStr">
        <is>
          <t>Combatant Ships</t>
        </is>
      </c>
      <c r="M3260" s="7" t="inlineStr">
        <is>
          <t>Submarines</t>
        </is>
      </c>
      <c r="O3260" s="15" t="n"/>
      <c r="P3260" s="16" t="n">
        <v>7954</v>
      </c>
      <c r="Q3260" s="16" t="n">
        <v>8133</v>
      </c>
      <c r="S3260" s="16" t="n">
        <v>0</v>
      </c>
      <c r="U3260" s="16" t="n">
        <v>0</v>
      </c>
      <c r="W3260" s="16" t="n">
        <v>225000</v>
      </c>
      <c r="X3260" s="16" t="n">
        <v>127222</v>
      </c>
      <c r="Y3260" s="16" t="n">
        <v>352222</v>
      </c>
      <c r="AC3260" s="23">
        <f>IF(OR(E3260="",E3260="[PARENT]"),"ADD",IF(E3260="[ALT_VIEW]","ALT",""))</f>
        <v/>
      </c>
      <c r="AD3260" s="21">
        <f>IF(Y3260&lt;&gt;"",Y3260,IF(U3260&lt;&gt;"",U3260,S3260))</f>
        <v/>
      </c>
      <c r="AE3260" s="21">
        <f>IF(AB3260&lt;&gt;"",AB3260,Z3260)</f>
        <v/>
      </c>
      <c r="AF3260" s="13" t="inlineStr">
        <is>
          <t>1507N &gt; BA 01 &gt; BSA 3: Support Equipment &amp; Facilities &gt; LI 1350 Missile Industrial Facilities</t>
        </is>
      </c>
      <c r="AG3260" s="7" t="inlineStr">
        <is>
          <t>85</t>
        </is>
      </c>
      <c r="AH3260" s="7" t="inlineStr">
        <is>
          <t>1350</t>
        </is>
      </c>
      <c r="AI3260" s="7" t="inlineStr">
        <is>
          <t>Missile Industrial Facilities</t>
        </is>
      </c>
    </row>
    <row r="3261" ht="10" customHeight="1">
      <c r="A3261" s="7" t="inlineStr">
        <is>
          <t>WPN</t>
        </is>
      </c>
      <c r="B3261" s="7" t="inlineStr">
        <is>
          <t>Procurement</t>
        </is>
      </c>
      <c r="C3261" s="7" t="inlineStr">
        <is>
          <t>2101</t>
        </is>
      </c>
      <c r="D3261" s="7" t="inlineStr">
        <is>
          <t>Tomahawk</t>
        </is>
      </c>
      <c r="E3261" s="15" t="n"/>
      <c r="I3261" s="14" t="n">
        <v>4</v>
      </c>
      <c r="K3261" s="15" t="n"/>
      <c r="O3261" s="15" t="n"/>
      <c r="P3261" s="16" t="n">
        <v>77904</v>
      </c>
      <c r="Q3261" s="16" t="n">
        <v>32677</v>
      </c>
      <c r="S3261" s="16" t="n">
        <v>12593</v>
      </c>
      <c r="T3261" s="16" t="n">
        <v>193977</v>
      </c>
      <c r="U3261" s="16" t="n">
        <v>206570</v>
      </c>
      <c r="W3261" s="16" t="n">
        <v>679695</v>
      </c>
      <c r="X3261" s="16" t="n">
        <v>7193</v>
      </c>
      <c r="Y3261" s="16" t="n">
        <v>686888</v>
      </c>
      <c r="Z3261" s="16" t="n">
        <v>1015106</v>
      </c>
      <c r="AA3261" s="16" t="n">
        <v>1993803</v>
      </c>
      <c r="AB3261" s="16" t="n">
        <v>3008909</v>
      </c>
      <c r="AC3261" s="23">
        <f>IF(OR(E3261="",E3261="[PARENT]"),"ADD",IF(E3261="[ALT_VIEW]","ALT",""))</f>
        <v/>
      </c>
      <c r="AD3261" s="21">
        <f>IF(Y3261&lt;&gt;"",Y3261,IF(U3261&lt;&gt;"",U3261,S3261))</f>
        <v/>
      </c>
      <c r="AE3261" s="21">
        <f>IF(AB3261&lt;&gt;"",AB3261,Z3261)</f>
        <v/>
      </c>
      <c r="AF3261" s="13" t="inlineStr">
        <is>
          <t>1507N &gt; BA 02 &gt; BSA 1: Strategic Missiles &gt; LI 2101 Tomahawk</t>
        </is>
      </c>
      <c r="AG3261" s="7" t="inlineStr">
        <is>
          <t>89</t>
        </is>
      </c>
      <c r="AH3261" s="7" t="inlineStr">
        <is>
          <t>2101</t>
        </is>
      </c>
      <c r="AI3261" s="7" t="inlineStr">
        <is>
          <t>Tomahawk</t>
        </is>
      </c>
    </row>
    <row r="3262" ht="10" customHeight="1">
      <c r="A3262" s="7" t="inlineStr">
        <is>
          <t>WPN</t>
        </is>
      </c>
      <c r="B3262" s="7" t="inlineStr">
        <is>
          <t>Procurement</t>
        </is>
      </c>
      <c r="C3262" s="7" t="inlineStr">
        <is>
          <t>2206</t>
        </is>
      </c>
      <c r="D3262" s="7" t="inlineStr">
        <is>
          <t>AMRAAM</t>
        </is>
      </c>
      <c r="E3262" s="13" t="inlineStr">
        <is>
          <t>[REFERENCE]</t>
        </is>
      </c>
      <c r="I3262" s="14" t="n">
        <v>4</v>
      </c>
      <c r="K3262" s="15" t="n"/>
      <c r="O3262" s="15" t="n"/>
      <c r="P3262" s="16" t="n">
        <v>385678</v>
      </c>
      <c r="Q3262" s="16" t="n">
        <v>191493</v>
      </c>
      <c r="S3262" s="16" t="n">
        <v>69913</v>
      </c>
      <c r="U3262" s="16" t="n">
        <v>69913</v>
      </c>
      <c r="AC3262" s="23">
        <f>IF(OR(E3262="",E3262="[PARENT]"),"ADD",IF(E3262="[ALT_VIEW]","ALT",""))</f>
        <v/>
      </c>
      <c r="AD3262" s="21">
        <f>IF(Y3262&lt;&gt;"",Y3262,IF(U3262&lt;&gt;"",U3262,S3262))</f>
        <v/>
      </c>
      <c r="AE3262" s="21">
        <f>IF(AB3262&lt;&gt;"",AB3262,Z3262)</f>
        <v/>
      </c>
      <c r="AF3262" s="13" t="inlineStr">
        <is>
          <t>1507N &gt; BA 02 &gt; BSA 2: Tactical Missiles &gt; LI 2206 AMRAAM</t>
        </is>
      </c>
      <c r="AG3262" s="7" t="inlineStr">
        <is>
          <t>101</t>
        </is>
      </c>
      <c r="AH3262" s="7" t="inlineStr">
        <is>
          <t>2206</t>
        </is>
      </c>
      <c r="AI3262" s="7" t="inlineStr">
        <is>
          <t>AMRAAM</t>
        </is>
      </c>
    </row>
    <row r="3263" ht="10" customHeight="1">
      <c r="A3263" s="7" t="inlineStr">
        <is>
          <t>WPN</t>
        </is>
      </c>
      <c r="B3263" s="7" t="inlineStr">
        <is>
          <t>Procurement</t>
        </is>
      </c>
      <c r="C3263" s="7" t="inlineStr">
        <is>
          <t>2209</t>
        </is>
      </c>
      <c r="D3263" s="7" t="inlineStr">
        <is>
          <t>Sidewinder</t>
        </is>
      </c>
      <c r="E3263" s="13" t="inlineStr">
        <is>
          <t>[REFERENCE]</t>
        </is>
      </c>
      <c r="I3263" s="14" t="n">
        <v>4</v>
      </c>
      <c r="K3263" s="15" t="n"/>
      <c r="O3263" s="15" t="n"/>
      <c r="P3263" s="16" t="n">
        <v>197650</v>
      </c>
      <c r="Q3263" s="16" t="n">
        <v>86023</v>
      </c>
      <c r="S3263" s="16" t="n">
        <v>84713</v>
      </c>
      <c r="U3263" s="16" t="n">
        <v>84713</v>
      </c>
      <c r="AC3263" s="23">
        <f>IF(OR(E3263="",E3263="[PARENT]"),"ADD",IF(E3263="[ALT_VIEW]","ALT",""))</f>
        <v/>
      </c>
      <c r="AD3263" s="21">
        <f>IF(Y3263&lt;&gt;"",Y3263,IF(U3263&lt;&gt;"",U3263,S3263))</f>
        <v/>
      </c>
      <c r="AE3263" s="21">
        <f>IF(AB3263&lt;&gt;"",AB3263,Z3263)</f>
        <v/>
      </c>
      <c r="AF3263" s="13" t="inlineStr">
        <is>
          <t>1507N &gt; BA 02 &gt; BSA 2: Tactical Missiles &gt; LI 2209 Sidewinder</t>
        </is>
      </c>
      <c r="AG3263" s="7" t="inlineStr">
        <is>
          <t>115</t>
        </is>
      </c>
      <c r="AH3263" s="7" t="inlineStr">
        <is>
          <t>2209</t>
        </is>
      </c>
      <c r="AI3263" s="7" t="inlineStr">
        <is>
          <t>SIDEWINDER BLOCK II</t>
        </is>
      </c>
    </row>
    <row r="3264" ht="10" customHeight="1">
      <c r="A3264" s="7" t="inlineStr">
        <is>
          <t>WPN</t>
        </is>
      </c>
      <c r="B3264" s="7" t="inlineStr">
        <is>
          <t>Procurement</t>
        </is>
      </c>
      <c r="C3264" s="7" t="inlineStr">
        <is>
          <t>2210</t>
        </is>
      </c>
      <c r="D3264" s="7" t="inlineStr">
        <is>
          <t>Joint Advance Tactical Missile (JATM)</t>
        </is>
      </c>
      <c r="E3264" s="13" t="inlineStr">
        <is>
          <t>[REFERENCE]</t>
        </is>
      </c>
      <c r="I3264" s="14" t="n">
        <v>4</v>
      </c>
      <c r="K3264" s="15" t="n"/>
      <c r="O3264" s="15" t="n"/>
      <c r="P3264" s="16" t="n">
        <v>0</v>
      </c>
      <c r="Q3264" s="16" t="n">
        <v>0</v>
      </c>
      <c r="S3264" s="16" t="n">
        <v>301858</v>
      </c>
      <c r="U3264" s="16" t="n">
        <v>301858</v>
      </c>
      <c r="AC3264" s="23">
        <f>IF(OR(E3264="",E3264="[PARENT]"),"ADD",IF(E3264="[ALT_VIEW]","ALT",""))</f>
        <v/>
      </c>
      <c r="AD3264" s="21">
        <f>IF(Y3264&lt;&gt;"",Y3264,IF(U3264&lt;&gt;"",U3264,S3264))</f>
        <v/>
      </c>
      <c r="AE3264" s="21">
        <f>IF(AB3264&lt;&gt;"",AB3264,Z3264)</f>
        <v/>
      </c>
      <c r="AF3264" s="13" t="inlineStr">
        <is>
          <t>1507N &gt; BA 02 &gt; BSA 2: Tactical Missiles &gt; LI 2210 JATM</t>
        </is>
      </c>
      <c r="AG3264" s="7" t="inlineStr">
        <is>
          <t>135</t>
        </is>
      </c>
      <c r="AH3264" s="7" t="inlineStr">
        <is>
          <t>2210</t>
        </is>
      </c>
    </row>
    <row r="3265" ht="10" customHeight="1">
      <c r="A3265" s="7" t="inlineStr">
        <is>
          <t>WPN</t>
        </is>
      </c>
      <c r="B3265" s="7" t="inlineStr">
        <is>
          <t>Procurement</t>
        </is>
      </c>
      <c r="C3265" s="7" t="inlineStr">
        <is>
          <t>2234</t>
        </is>
      </c>
      <c r="D3265" s="7" t="inlineStr">
        <is>
          <t>Standard Missile</t>
        </is>
      </c>
      <c r="E3265" s="15" t="n"/>
      <c r="I3265" s="14" t="n">
        <v>4</v>
      </c>
      <c r="K3265" s="13" t="inlineStr">
        <is>
          <t>USN</t>
        </is>
      </c>
      <c r="L3265" s="7" t="inlineStr">
        <is>
          <t>Combatant Ships</t>
        </is>
      </c>
      <c r="M3265" s="7" t="inlineStr">
        <is>
          <t>Surface Combatants</t>
        </is>
      </c>
      <c r="N3265" s="7" t="inlineStr">
        <is>
          <t>DDG</t>
        </is>
      </c>
      <c r="O3265" s="15" t="n"/>
      <c r="P3265" s="16" t="n">
        <v>939327</v>
      </c>
      <c r="Q3265" s="16" t="n">
        <v>524960</v>
      </c>
      <c r="S3265" s="16" t="n">
        <v>187420</v>
      </c>
      <c r="T3265" s="16" t="n">
        <v>630000</v>
      </c>
      <c r="U3265" s="16" t="n">
        <v>817420</v>
      </c>
      <c r="W3265" s="16" t="n">
        <v>630000</v>
      </c>
      <c r="X3265" s="16" t="n">
        <v>378875</v>
      </c>
      <c r="Y3265" s="16" t="n">
        <v>1008875</v>
      </c>
      <c r="Z3265" s="16" t="n">
        <v>733159</v>
      </c>
      <c r="AA3265" s="16" t="n">
        <v>3599221</v>
      </c>
      <c r="AB3265" s="16" t="n">
        <v>4332380</v>
      </c>
      <c r="AC3265" s="23">
        <f>IF(OR(E3265="",E3265="[PARENT]"),"ADD",IF(E3265="[ALT_VIEW]","ALT",""))</f>
        <v/>
      </c>
      <c r="AD3265" s="21">
        <f>IF(Y3265&lt;&gt;"",Y3265,IF(U3265&lt;&gt;"",U3265,S3265))</f>
        <v/>
      </c>
      <c r="AE3265" s="21">
        <f>IF(AB3265&lt;&gt;"",AB3265,Z3265)</f>
        <v/>
      </c>
      <c r="AF3265" s="13" t="inlineStr">
        <is>
          <t>1507N &gt; BA 02 &gt; BSA 2: Tactical Missiles &gt; LI 2234 Standard Missile</t>
        </is>
      </c>
      <c r="AG3265" s="7" t="inlineStr">
        <is>
          <t>137</t>
        </is>
      </c>
      <c r="AH3265" s="7" t="inlineStr">
        <is>
          <t>2234</t>
        </is>
      </c>
      <c r="AI3265" s="7" t="inlineStr">
        <is>
          <t>STANDARD MISSILE</t>
        </is>
      </c>
    </row>
    <row r="3266" ht="10" customHeight="1">
      <c r="A3266" s="7" t="inlineStr">
        <is>
          <t>WPN</t>
        </is>
      </c>
      <c r="B3266" s="7" t="inlineStr">
        <is>
          <t>Procurement</t>
        </is>
      </c>
      <c r="C3266" s="7" t="inlineStr">
        <is>
          <t>2234</t>
        </is>
      </c>
      <c r="D3266" s="7" t="inlineStr">
        <is>
          <t>Standard Missile Advance Procurement</t>
        </is>
      </c>
      <c r="E3266" s="13" t="inlineStr">
        <is>
          <t>[SUB]</t>
        </is>
      </c>
      <c r="F3266" s="7" t="inlineStr">
        <is>
          <t>10 / Standard Missile</t>
        </is>
      </c>
      <c r="I3266" s="14" t="n">
        <v>4</v>
      </c>
      <c r="K3266" s="13" t="inlineStr">
        <is>
          <t>USN</t>
        </is>
      </c>
      <c r="L3266" s="7" t="inlineStr">
        <is>
          <t>Combatant Ships</t>
        </is>
      </c>
      <c r="M3266" s="7" t="inlineStr">
        <is>
          <t>Surface Combatants</t>
        </is>
      </c>
      <c r="O3266" s="15" t="n"/>
      <c r="P3266" s="16" t="n">
        <v>117620</v>
      </c>
      <c r="Q3266" s="16" t="n">
        <v>107830</v>
      </c>
      <c r="S3266" s="16" t="n">
        <v>0</v>
      </c>
      <c r="U3266" s="16" t="n">
        <v>0</v>
      </c>
      <c r="AC3266" s="23">
        <f>IF(OR(E3266="",E3266="[PARENT]"),"ADD",IF(E3266="[ALT_VIEW]","ALT",""))</f>
        <v/>
      </c>
      <c r="AD3266" s="21">
        <f>IF(Y3266&lt;&gt;"",Y3266,IF(U3266&lt;&gt;"",U3266,S3266))</f>
        <v/>
      </c>
      <c r="AE3266" s="21">
        <f>IF(AB3266&lt;&gt;"",AB3266,Z3266)</f>
        <v/>
      </c>
      <c r="AF3266" s="13" t="inlineStr">
        <is>
          <t>1507N &gt; BA 02 &gt; BSA 2: Tactical Missiles &gt; LI 2234 Standard Missile AP</t>
        </is>
      </c>
      <c r="AG3266" s="7" t="inlineStr">
        <is>
          <t>155</t>
        </is>
      </c>
      <c r="AH3266" s="7" t="inlineStr">
        <is>
          <t>2234</t>
        </is>
      </c>
      <c r="AI3266" s="7" t="inlineStr">
        <is>
          <t>STANDARD MISSILE</t>
        </is>
      </c>
    </row>
    <row r="3267" ht="10" customHeight="1">
      <c r="A3267" s="7" t="inlineStr">
        <is>
          <t>WPN</t>
        </is>
      </c>
      <c r="B3267" s="7" t="inlineStr">
        <is>
          <t>Procurement</t>
        </is>
      </c>
      <c r="C3267" s="7" t="inlineStr">
        <is>
          <t>2238</t>
        </is>
      </c>
      <c r="D3267" s="7" t="inlineStr">
        <is>
          <t>Small Diameter Bomb II (SDB II)</t>
        </is>
      </c>
      <c r="E3267" s="13" t="inlineStr">
        <is>
          <t>[REFERENCE]</t>
        </is>
      </c>
      <c r="I3267" s="14" t="n">
        <v>4</v>
      </c>
      <c r="K3267" s="15" t="n"/>
      <c r="O3267" s="15" t="n"/>
      <c r="P3267" s="16" t="n">
        <v>63035</v>
      </c>
      <c r="Q3267" s="16" t="n">
        <v>76108</v>
      </c>
      <c r="S3267" s="16" t="n">
        <v>86255</v>
      </c>
      <c r="U3267" s="16" t="n">
        <v>86255</v>
      </c>
      <c r="AC3267" s="23">
        <f>IF(OR(E3267="",E3267="[PARENT]"),"ADD",IF(E3267="[ALT_VIEW]","ALT",""))</f>
        <v/>
      </c>
      <c r="AD3267" s="21">
        <f>IF(Y3267&lt;&gt;"",Y3267,IF(U3267&lt;&gt;"",U3267,S3267))</f>
        <v/>
      </c>
      <c r="AE3267" s="21">
        <f>IF(AB3267&lt;&gt;"",AB3267,Z3267)</f>
        <v/>
      </c>
      <c r="AF3267" s="13" t="inlineStr">
        <is>
          <t>1507N &gt; BA 02 &gt; BSA 2: Tactical Missiles &gt; LI 2238 SDB II</t>
        </is>
      </c>
      <c r="AG3267" s="7" t="inlineStr">
        <is>
          <t>159</t>
        </is>
      </c>
      <c r="AH3267" s="7" t="inlineStr">
        <is>
          <t>2238</t>
        </is>
      </c>
      <c r="AI3267" s="7" t="inlineStr">
        <is>
          <t>Small Diameter Bomb II (SDB II)</t>
        </is>
      </c>
    </row>
    <row r="3268" ht="10" customHeight="1">
      <c r="A3268" s="7" t="inlineStr">
        <is>
          <t>WPN</t>
        </is>
      </c>
      <c r="B3268" s="7" t="inlineStr">
        <is>
          <t>Procurement</t>
        </is>
      </c>
      <c r="C3268" s="7" t="inlineStr">
        <is>
          <t>2242</t>
        </is>
      </c>
      <c r="D3268" s="7" t="inlineStr">
        <is>
          <t>Rolling Airframe Missile (RAM)</t>
        </is>
      </c>
      <c r="E3268" s="15" t="n"/>
      <c r="I3268" s="14" t="n">
        <v>4</v>
      </c>
      <c r="K3268" s="15" t="n"/>
      <c r="O3268" s="15" t="n"/>
      <c r="P3268" s="16" t="n">
        <v>165221</v>
      </c>
      <c r="Q3268" s="16" t="n">
        <v>141021</v>
      </c>
      <c r="S3268" s="16" t="n">
        <v>122372</v>
      </c>
      <c r="U3268" s="16" t="n">
        <v>122372</v>
      </c>
      <c r="Z3268" s="16" t="n">
        <v>119166</v>
      </c>
      <c r="AB3268" s="16" t="n">
        <v>119166</v>
      </c>
      <c r="AC3268" s="23">
        <f>IF(OR(E3268="",E3268="[PARENT]"),"ADD",IF(E3268="[ALT_VIEW]","ALT",""))</f>
        <v/>
      </c>
      <c r="AD3268" s="21">
        <f>IF(Y3268&lt;&gt;"",Y3268,IF(U3268&lt;&gt;"",U3268,S3268))</f>
        <v/>
      </c>
      <c r="AE3268" s="21">
        <f>IF(AB3268&lt;&gt;"",AB3268,Z3268)</f>
        <v/>
      </c>
      <c r="AF3268" s="13" t="inlineStr">
        <is>
          <t>1507N &gt; BA 02 &gt; BSA 2: Tactical Missiles &gt; LI 2242 RAM</t>
        </is>
      </c>
      <c r="AG3268" s="7" t="inlineStr">
        <is>
          <t>171</t>
        </is>
      </c>
      <c r="AH3268" s="7" t="inlineStr">
        <is>
          <t>2242</t>
        </is>
      </c>
      <c r="AI3268" s="7" t="inlineStr">
        <is>
          <t>Rolling Airframe Missile (RAM)</t>
        </is>
      </c>
    </row>
    <row r="3269" ht="10" customHeight="1">
      <c r="A3269" s="7" t="inlineStr">
        <is>
          <t>WPN</t>
        </is>
      </c>
      <c r="B3269" s="7" t="inlineStr">
        <is>
          <t>Procurement</t>
        </is>
      </c>
      <c r="D3269" s="7" t="inlineStr">
        <is>
          <t>MSE Missile</t>
        </is>
      </c>
      <c r="E3269" s="13" t="inlineStr">
        <is>
          <t>[REFERENCE]</t>
        </is>
      </c>
      <c r="I3269" s="14" t="n">
        <v>4</v>
      </c>
      <c r="K3269" s="15" t="n"/>
      <c r="O3269" s="15" t="n"/>
      <c r="P3269" s="16" t="n">
        <v>0</v>
      </c>
      <c r="Q3269" s="16" t="n">
        <v>0</v>
      </c>
      <c r="S3269" s="16" t="n">
        <v>0</v>
      </c>
      <c r="T3269" s="16" t="n">
        <v>47000</v>
      </c>
      <c r="U3269" s="16" t="n">
        <v>47000</v>
      </c>
      <c r="AC3269" s="23">
        <f>IF(OR(E3269="",E3269="[PARENT]"),"ADD",IF(E3269="[ALT_VIEW]","ALT",""))</f>
        <v/>
      </c>
      <c r="AD3269" s="21">
        <f>IF(Y3269&lt;&gt;"",Y3269,IF(U3269&lt;&gt;"",U3269,S3269))</f>
        <v/>
      </c>
      <c r="AE3269" s="21">
        <f>IF(AB3269&lt;&gt;"",AB3269,Z3269)</f>
        <v/>
      </c>
      <c r="AF3269" s="13" t="inlineStr">
        <is>
          <t>1507N &gt; BA 02 &gt; BSA 2: Tactical Missiles &gt; MSE Missile (P-1 only)</t>
        </is>
      </c>
      <c r="AG3269" s="7" t="inlineStr">
        <is>
          <t>15</t>
        </is>
      </c>
    </row>
    <row r="3270" ht="10" customHeight="1">
      <c r="A3270" s="7" t="inlineStr">
        <is>
          <t>WPN</t>
        </is>
      </c>
      <c r="B3270" s="7" t="inlineStr">
        <is>
          <t>Procurement</t>
        </is>
      </c>
      <c r="C3270" s="7" t="inlineStr">
        <is>
          <t>2248</t>
        </is>
      </c>
      <c r="D3270" s="7" t="inlineStr">
        <is>
          <t>Joint Air Ground Missile (JAGM)</t>
        </is>
      </c>
      <c r="E3270" s="13" t="inlineStr">
        <is>
          <t>[REFERENCE]</t>
        </is>
      </c>
      <c r="I3270" s="14" t="n">
        <v>4</v>
      </c>
      <c r="K3270" s="15" t="n"/>
      <c r="O3270" s="15" t="n"/>
      <c r="P3270" s="16" t="n">
        <v>73924</v>
      </c>
      <c r="Q3270" s="16" t="n">
        <v>55315</v>
      </c>
      <c r="S3270" s="16" t="n">
        <v>74152</v>
      </c>
      <c r="U3270" s="16" t="n">
        <v>74152</v>
      </c>
      <c r="AC3270" s="23">
        <f>IF(OR(E3270="",E3270="[PARENT]"),"ADD",IF(E3270="[ALT_VIEW]","ALT",""))</f>
        <v/>
      </c>
      <c r="AD3270" s="21">
        <f>IF(Y3270&lt;&gt;"",Y3270,IF(U3270&lt;&gt;"",U3270,S3270))</f>
        <v/>
      </c>
      <c r="AE3270" s="21">
        <f>IF(AB3270&lt;&gt;"",AB3270,Z3270)</f>
        <v/>
      </c>
      <c r="AF3270" s="13" t="inlineStr">
        <is>
          <t>1507N &gt; BA 02 &gt; BSA 2: Tactical Missiles &gt; LI 2248 JAGM</t>
        </is>
      </c>
      <c r="AG3270" s="7" t="inlineStr">
        <is>
          <t>185</t>
        </is>
      </c>
      <c r="AH3270" s="7" t="inlineStr">
        <is>
          <t>2248</t>
        </is>
      </c>
      <c r="AI3270" s="7" t="inlineStr">
        <is>
          <t>Joint Air Ground Missile (JAGM)</t>
        </is>
      </c>
    </row>
    <row r="3271" ht="10" customHeight="1">
      <c r="A3271" s="7" t="inlineStr">
        <is>
          <t>WPN</t>
        </is>
      </c>
      <c r="B3271" s="7" t="inlineStr">
        <is>
          <t>Procurement</t>
        </is>
      </c>
      <c r="C3271" s="7" t="inlineStr">
        <is>
          <t>2254</t>
        </is>
      </c>
      <c r="D3271" s="7" t="inlineStr">
        <is>
          <t>Hellfire</t>
        </is>
      </c>
      <c r="E3271" s="13" t="inlineStr">
        <is>
          <t>[REFERENCE]</t>
        </is>
      </c>
      <c r="I3271" s="14" t="n">
        <v>4</v>
      </c>
      <c r="K3271" s="15" t="n"/>
      <c r="O3271" s="15" t="n"/>
      <c r="P3271" s="16" t="n">
        <v>6923</v>
      </c>
      <c r="Q3271" s="16" t="n">
        <v>0</v>
      </c>
      <c r="S3271" s="16" t="n">
        <v>0</v>
      </c>
      <c r="U3271" s="16" t="n">
        <v>0</v>
      </c>
      <c r="AC3271" s="23">
        <f>IF(OR(E3271="",E3271="[PARENT]"),"ADD",IF(E3271="[ALT_VIEW]","ALT",""))</f>
        <v/>
      </c>
      <c r="AD3271" s="21">
        <f>IF(Y3271&lt;&gt;"",Y3271,IF(U3271&lt;&gt;"",U3271,S3271))</f>
        <v/>
      </c>
      <c r="AE3271" s="21">
        <f>IF(AB3271&lt;&gt;"",AB3271,Z3271)</f>
        <v/>
      </c>
      <c r="AF3271" s="13" t="inlineStr">
        <is>
          <t>1507N &gt; BA 02 &gt; BSA 2: Tactical Missiles &gt; LI 2254 Hellfire</t>
        </is>
      </c>
      <c r="AG3271" s="7" t="inlineStr">
        <is>
          <t>195</t>
        </is>
      </c>
      <c r="AH3271" s="7" t="inlineStr">
        <is>
          <t>2254</t>
        </is>
      </c>
      <c r="AI3271" s="7" t="inlineStr">
        <is>
          <t>Hellfire Missile</t>
        </is>
      </c>
    </row>
    <row r="3272" ht="10" customHeight="1">
      <c r="A3272" s="7" t="inlineStr">
        <is>
          <t>WPN</t>
        </is>
      </c>
      <c r="B3272" s="7" t="inlineStr">
        <is>
          <t>Procurement</t>
        </is>
      </c>
      <c r="C3272" s="7" t="inlineStr">
        <is>
          <t>2280</t>
        </is>
      </c>
      <c r="D3272" s="7" t="inlineStr">
        <is>
          <t>Aerial Targets</t>
        </is>
      </c>
      <c r="E3272" s="13" t="inlineStr">
        <is>
          <t>[PARENT]</t>
        </is>
      </c>
      <c r="I3272" s="14" t="n">
        <v>6</v>
      </c>
      <c r="K3272" s="15" t="n"/>
      <c r="O3272" s="15" t="n"/>
      <c r="P3272" s="16" t="n">
        <v>174725</v>
      </c>
      <c r="Q3272" s="16" t="n">
        <v>180233</v>
      </c>
      <c r="S3272" s="16" t="n">
        <v>182704</v>
      </c>
      <c r="U3272" s="16" t="n">
        <v>182704</v>
      </c>
      <c r="Z3272" s="16" t="n">
        <v>179931</v>
      </c>
      <c r="AB3272" s="16" t="n">
        <v>179931</v>
      </c>
      <c r="AC3272" s="23">
        <f>IF(OR(E3272="",E3272="[PARENT]"),"ADD",IF(E3272="[ALT_VIEW]","ALT",""))</f>
        <v/>
      </c>
      <c r="AD3272" s="21">
        <f>IF(Y3272&lt;&gt;"",Y3272,IF(U3272&lt;&gt;"",U3272,S3272))</f>
        <v/>
      </c>
      <c r="AE3272" s="21">
        <f>IF(AB3272&lt;&gt;"",AB3272,Z3272)</f>
        <v/>
      </c>
      <c r="AF3272" s="13" t="inlineStr">
        <is>
          <t>1507N &gt; BA 02 &gt; BSA 2: Tactical Missiles &gt; LI 2280 Aerial Targets</t>
        </is>
      </c>
      <c r="AG3272" s="7" t="inlineStr">
        <is>
          <t>201</t>
        </is>
      </c>
      <c r="AH3272" s="7" t="inlineStr">
        <is>
          <t>2280</t>
        </is>
      </c>
      <c r="AI3272" s="7" t="inlineStr">
        <is>
          <t>Subsonic Aerial Targets</t>
        </is>
      </c>
    </row>
    <row r="3273" ht="10" customHeight="1">
      <c r="A3273" s="7" t="inlineStr">
        <is>
          <t>WPN</t>
        </is>
      </c>
      <c r="B3273" s="7" t="inlineStr">
        <is>
          <t>Procurement</t>
        </is>
      </c>
      <c r="D3273" s="7" t="inlineStr">
        <is>
          <t>Aerial Targets: Subsonic Aerial Targets</t>
        </is>
      </c>
      <c r="E3273" s="13" t="inlineStr">
        <is>
          <t>[SUB]</t>
        </is>
      </c>
      <c r="F3273" s="7" t="inlineStr">
        <is>
          <t>2280 / Aerial Targets</t>
        </is>
      </c>
      <c r="I3273" s="14" t="n">
        <v>6</v>
      </c>
      <c r="K3273" s="15" t="n"/>
      <c r="O3273" s="15" t="n"/>
      <c r="P3273" s="16" t="n">
        <v>75899</v>
      </c>
      <c r="Q3273" s="16" t="n">
        <v>74836</v>
      </c>
      <c r="S3273" s="16" t="n">
        <v>76110</v>
      </c>
      <c r="U3273" s="16" t="n">
        <v>76110</v>
      </c>
      <c r="AC3273" s="23">
        <f>IF(OR(E3273="",E3273="[PARENT]"),"ADD",IF(E3273="[ALT_VIEW]","ALT",""))</f>
        <v/>
      </c>
      <c r="AD3273" s="21">
        <f>IF(Y3273&lt;&gt;"",Y3273,IF(U3273&lt;&gt;"",U3273,S3273))</f>
        <v/>
      </c>
      <c r="AE3273" s="21">
        <f>IF(AB3273&lt;&gt;"",AB3273,Z3273)</f>
        <v/>
      </c>
      <c r="AF3273" s="13" t="inlineStr">
        <is>
          <t>1507N &gt; BA 02 &gt; LI 2280 &gt; P-5 Item 1: Subsonic Aerial Targets</t>
        </is>
      </c>
      <c r="AG3273" s="7" t="inlineStr">
        <is>
          <t>204</t>
        </is>
      </c>
      <c r="AH3273" s="7" t="inlineStr">
        <is>
          <t>2280</t>
        </is>
      </c>
      <c r="AI3273" s="7" t="inlineStr">
        <is>
          <t>Subsonic Aerial Targets</t>
        </is>
      </c>
    </row>
    <row r="3274" ht="10" customHeight="1">
      <c r="A3274" s="7" t="inlineStr">
        <is>
          <t>WPN</t>
        </is>
      </c>
      <c r="B3274" s="7" t="inlineStr">
        <is>
          <t>Procurement</t>
        </is>
      </c>
      <c r="D3274" s="7" t="inlineStr">
        <is>
          <t>Aerial Targets: Supersonic Targets</t>
        </is>
      </c>
      <c r="E3274" s="13" t="inlineStr">
        <is>
          <t>[SUB]</t>
        </is>
      </c>
      <c r="F3274" s="7" t="inlineStr">
        <is>
          <t>2280 / Aerial Targets</t>
        </is>
      </c>
      <c r="I3274" s="14" t="n">
        <v>6</v>
      </c>
      <c r="K3274" s="15" t="n"/>
      <c r="O3274" s="15" t="n"/>
      <c r="P3274" s="16" t="n">
        <v>70118</v>
      </c>
      <c r="Q3274" s="16" t="n">
        <v>78791</v>
      </c>
      <c r="S3274" s="16" t="n">
        <v>80015</v>
      </c>
      <c r="U3274" s="16" t="n">
        <v>80015</v>
      </c>
      <c r="AC3274" s="23">
        <f>IF(OR(E3274="",E3274="[PARENT]"),"ADD",IF(E3274="[ALT_VIEW]","ALT",""))</f>
        <v/>
      </c>
      <c r="AD3274" s="21">
        <f>IF(Y3274&lt;&gt;"",Y3274,IF(U3274&lt;&gt;"",U3274,S3274))</f>
        <v/>
      </c>
      <c r="AE3274" s="21">
        <f>IF(AB3274&lt;&gt;"",AB3274,Z3274)</f>
        <v/>
      </c>
      <c r="AF3274" s="13" t="inlineStr">
        <is>
          <t>1507N &gt; BA 02 &gt; LI 2280 &gt; P-5 Item 2: Supersonic Targets</t>
        </is>
      </c>
      <c r="AG3274" s="7" t="inlineStr">
        <is>
          <t>212</t>
        </is>
      </c>
      <c r="AH3274" s="7" t="inlineStr">
        <is>
          <t>2280</t>
        </is>
      </c>
      <c r="AI3274" s="7" t="inlineStr">
        <is>
          <t>Supersonic Targets</t>
        </is>
      </c>
    </row>
    <row r="3275" ht="10" customHeight="1">
      <c r="A3275" s="7" t="inlineStr">
        <is>
          <t>WPN</t>
        </is>
      </c>
      <c r="B3275" s="7" t="inlineStr">
        <is>
          <t>Procurement</t>
        </is>
      </c>
      <c r="D3275" s="7" t="inlineStr">
        <is>
          <t>Aerial Targets: Full Scale Aerial Target</t>
        </is>
      </c>
      <c r="E3275" s="13" t="inlineStr">
        <is>
          <t>[SUB]</t>
        </is>
      </c>
      <c r="F3275" s="7" t="inlineStr">
        <is>
          <t>2280 / Aerial Targets</t>
        </is>
      </c>
      <c r="I3275" s="14" t="n">
        <v>6</v>
      </c>
      <c r="K3275" s="15" t="n"/>
      <c r="O3275" s="15" t="n"/>
      <c r="P3275" s="16" t="n">
        <v>432</v>
      </c>
      <c r="AC3275" s="23">
        <f>IF(OR(E3275="",E3275="[PARENT]"),"ADD",IF(E3275="[ALT_VIEW]","ALT",""))</f>
        <v/>
      </c>
      <c r="AD3275" s="21">
        <f>IF(Y3275&lt;&gt;"",Y3275,IF(U3275&lt;&gt;"",U3275,S3275))</f>
        <v/>
      </c>
      <c r="AE3275" s="21">
        <f>IF(AB3275&lt;&gt;"",AB3275,Z3275)</f>
        <v/>
      </c>
      <c r="AF3275" s="13" t="inlineStr">
        <is>
          <t>1507N &gt; BA 02 &gt; LI 2280 &gt; P-5 Item 3: Full Scale Aerial Target</t>
        </is>
      </c>
      <c r="AG3275" s="7" t="inlineStr">
        <is>
          <t>223</t>
        </is>
      </c>
      <c r="AH3275" s="7" t="inlineStr">
        <is>
          <t>2280</t>
        </is>
      </c>
      <c r="AI3275" s="7" t="inlineStr">
        <is>
          <t>Full Scale Aerial Target</t>
        </is>
      </c>
    </row>
    <row r="3276" ht="10" customHeight="1">
      <c r="A3276" s="7" t="inlineStr">
        <is>
          <t>WPN</t>
        </is>
      </c>
      <c r="B3276" s="7" t="inlineStr">
        <is>
          <t>Procurement</t>
        </is>
      </c>
      <c r="D3276" s="7" t="inlineStr">
        <is>
          <t>Aerial Targets: Target Aug/Aux System</t>
        </is>
      </c>
      <c r="E3276" s="13" t="inlineStr">
        <is>
          <t>[SUB]</t>
        </is>
      </c>
      <c r="F3276" s="7" t="inlineStr">
        <is>
          <t>2280 / Aerial Targets</t>
        </is>
      </c>
      <c r="I3276" s="14" t="n">
        <v>6</v>
      </c>
      <c r="K3276" s="15" t="n"/>
      <c r="O3276" s="15" t="n"/>
      <c r="P3276" s="16" t="n">
        <v>28276</v>
      </c>
      <c r="Q3276" s="16" t="n">
        <v>26606</v>
      </c>
      <c r="S3276" s="16" t="n">
        <v>26579</v>
      </c>
      <c r="U3276" s="16" t="n">
        <v>26579</v>
      </c>
      <c r="AC3276" s="23">
        <f>IF(OR(E3276="",E3276="[PARENT]"),"ADD",IF(E3276="[ALT_VIEW]","ALT",""))</f>
        <v/>
      </c>
      <c r="AD3276" s="21">
        <f>IF(Y3276&lt;&gt;"",Y3276,IF(U3276&lt;&gt;"",U3276,S3276))</f>
        <v/>
      </c>
      <c r="AE3276" s="21">
        <f>IF(AB3276&lt;&gt;"",AB3276,Z3276)</f>
        <v/>
      </c>
      <c r="AF3276" s="13" t="inlineStr">
        <is>
          <t>1507N &gt; BA 02 &gt; LI 2280 &gt; P-5 Item 4: Target Aug/Aux System</t>
        </is>
      </c>
      <c r="AG3276" s="7" t="inlineStr">
        <is>
          <t>224</t>
        </is>
      </c>
      <c r="AH3276" s="7" t="inlineStr">
        <is>
          <t>2280</t>
        </is>
      </c>
      <c r="AI3276" s="7" t="inlineStr">
        <is>
          <t>Target Aug/Aux System</t>
        </is>
      </c>
    </row>
    <row r="3277" ht="10" customHeight="1">
      <c r="A3277" s="7" t="inlineStr">
        <is>
          <t>WPN</t>
        </is>
      </c>
      <c r="B3277" s="7" t="inlineStr">
        <is>
          <t>Procurement</t>
        </is>
      </c>
      <c r="C3277" s="7" t="inlineStr">
        <is>
          <t>2290</t>
        </is>
      </c>
      <c r="D3277" s="7" t="inlineStr">
        <is>
          <t>Other Missile Support</t>
        </is>
      </c>
      <c r="E3277" s="15" t="n"/>
      <c r="I3277" s="14" t="n">
        <v>6</v>
      </c>
      <c r="K3277" s="13" t="inlineStr">
        <is>
          <t>USN</t>
        </is>
      </c>
      <c r="L3277" s="7" t="inlineStr">
        <is>
          <t>Combatant Ships</t>
        </is>
      </c>
      <c r="M3277" s="7" t="inlineStr">
        <is>
          <t>Surface Combatants</t>
        </is>
      </c>
      <c r="N3277" s="7" t="inlineStr">
        <is>
          <t>DDG</t>
        </is>
      </c>
      <c r="O3277" s="15" t="n"/>
      <c r="P3277" s="16" t="n">
        <v>3687</v>
      </c>
      <c r="Q3277" s="16" t="n">
        <v>3411</v>
      </c>
      <c r="S3277" s="16" t="n">
        <v>3490</v>
      </c>
      <c r="U3277" s="16" t="n">
        <v>3490</v>
      </c>
      <c r="Z3277" s="16" t="n">
        <v>3877</v>
      </c>
      <c r="AB3277" s="16" t="n">
        <v>3877</v>
      </c>
      <c r="AC3277" s="23">
        <f>IF(OR(E3277="",E3277="[PARENT]"),"ADD",IF(E3277="[ALT_VIEW]","ALT",""))</f>
        <v/>
      </c>
      <c r="AD3277" s="21">
        <f>IF(Y3277&lt;&gt;"",Y3277,IF(U3277&lt;&gt;"",U3277,S3277))</f>
        <v/>
      </c>
      <c r="AE3277" s="21">
        <f>IF(AB3277&lt;&gt;"",AB3277,Z3277)</f>
        <v/>
      </c>
      <c r="AF3277" s="13" t="inlineStr">
        <is>
          <t>1507N &gt; BA 02 &gt; BSA 2: Tactical Missiles &gt; LI 2290 Other Missile Support</t>
        </is>
      </c>
      <c r="AG3277" s="7" t="inlineStr">
        <is>
          <t>227</t>
        </is>
      </c>
      <c r="AH3277" s="7" t="inlineStr">
        <is>
          <t>2290</t>
        </is>
      </c>
      <c r="AI3277" s="7" t="inlineStr">
        <is>
          <t>Other Missile Support</t>
        </is>
      </c>
    </row>
    <row r="3278" ht="10" customHeight="1">
      <c r="A3278" s="7" t="inlineStr">
        <is>
          <t>WPN</t>
        </is>
      </c>
      <c r="B3278" s="7" t="inlineStr">
        <is>
          <t>Procurement</t>
        </is>
      </c>
      <c r="C3278" s="7" t="inlineStr">
        <is>
          <t>2291</t>
        </is>
      </c>
      <c r="D3278" s="7" t="inlineStr">
        <is>
          <t>LRASM</t>
        </is>
      </c>
      <c r="E3278" s="13" t="inlineStr">
        <is>
          <t>[PARENT]</t>
        </is>
      </c>
      <c r="I3278" s="14" t="n">
        <v>4</v>
      </c>
      <c r="K3278" s="15" t="n"/>
      <c r="O3278" s="15" t="n"/>
      <c r="P3278" s="16" t="n">
        <v>599636</v>
      </c>
      <c r="Q3278" s="16" t="n">
        <v>326435</v>
      </c>
      <c r="S3278" s="16" t="n">
        <v>243217</v>
      </c>
      <c r="T3278" s="16" t="n">
        <v>288225</v>
      </c>
      <c r="U3278" s="16" t="n">
        <v>531442</v>
      </c>
      <c r="Z3278" s="16" t="n">
        <v>670456</v>
      </c>
      <c r="AA3278" s="16" t="n">
        <v>236389</v>
      </c>
      <c r="AB3278" s="16" t="n">
        <v>906845</v>
      </c>
      <c r="AC3278" s="23">
        <f>IF(OR(E3278="",E3278="[PARENT]"),"ADD",IF(E3278="[ALT_VIEW]","ALT",""))</f>
        <v/>
      </c>
      <c r="AD3278" s="21">
        <f>IF(Y3278&lt;&gt;"",Y3278,IF(U3278&lt;&gt;"",U3278,S3278))</f>
        <v/>
      </c>
      <c r="AE3278" s="21">
        <f>IF(AB3278&lt;&gt;"",AB3278,Z3278)</f>
        <v/>
      </c>
      <c r="AF3278" s="13" t="inlineStr">
        <is>
          <t>1507N &gt; BA 02 &gt; BSA 2: Tactical Missiles &gt; LI 2291 LRASM</t>
        </is>
      </c>
      <c r="AG3278" s="7" t="inlineStr">
        <is>
          <t>231</t>
        </is>
      </c>
      <c r="AH3278" s="7" t="inlineStr">
        <is>
          <t>2291</t>
        </is>
      </c>
      <c r="AI3278" s="7" t="inlineStr">
        <is>
          <t>LRASM C-1</t>
        </is>
      </c>
    </row>
    <row r="3279" ht="10" customHeight="1">
      <c r="A3279" s="7" t="inlineStr">
        <is>
          <t>WPN</t>
        </is>
      </c>
      <c r="B3279" s="7" t="inlineStr">
        <is>
          <t>Procurement</t>
        </is>
      </c>
      <c r="D3279" s="7" t="inlineStr">
        <is>
          <t>LRASM: C-1</t>
        </is>
      </c>
      <c r="E3279" s="13" t="inlineStr">
        <is>
          <t>[SUB]</t>
        </is>
      </c>
      <c r="F3279" s="7" t="inlineStr">
        <is>
          <t>2291 / LRASM</t>
        </is>
      </c>
      <c r="I3279" s="14" t="n">
        <v>4</v>
      </c>
      <c r="K3279" s="15" t="n"/>
      <c r="O3279" s="15" t="n"/>
      <c r="P3279" s="16" t="n">
        <v>543955</v>
      </c>
      <c r="Q3279" s="16" t="n">
        <v>150850</v>
      </c>
      <c r="S3279" s="16" t="n">
        <v>108621</v>
      </c>
      <c r="U3279" s="16" t="n">
        <v>108621</v>
      </c>
      <c r="AC3279" s="23">
        <f>IF(OR(E3279="",E3279="[PARENT]"),"ADD",IF(E3279="[ALT_VIEW]","ALT",""))</f>
        <v/>
      </c>
      <c r="AD3279" s="21">
        <f>IF(Y3279&lt;&gt;"",Y3279,IF(U3279&lt;&gt;"",U3279,S3279))</f>
        <v/>
      </c>
      <c r="AE3279" s="21">
        <f>IF(AB3279&lt;&gt;"",AB3279,Z3279)</f>
        <v/>
      </c>
      <c r="AF3279" s="13" t="inlineStr">
        <is>
          <t>1507N &gt; BA 02 &gt; LI 2291 &gt; P-5 Item 1: LRASM C-1</t>
        </is>
      </c>
      <c r="AG3279" s="7" t="inlineStr">
        <is>
          <t>234</t>
        </is>
      </c>
      <c r="AH3279" s="7" t="inlineStr">
        <is>
          <t>2291</t>
        </is>
      </c>
      <c r="AI3279" s="7" t="inlineStr">
        <is>
          <t>LRASM C-1</t>
        </is>
      </c>
    </row>
    <row r="3280" ht="10" customHeight="1">
      <c r="A3280" s="7" t="inlineStr">
        <is>
          <t>WPN</t>
        </is>
      </c>
      <c r="B3280" s="7" t="inlineStr">
        <is>
          <t>Procurement</t>
        </is>
      </c>
      <c r="D3280" s="7" t="inlineStr">
        <is>
          <t>LRASM: C-3</t>
        </is>
      </c>
      <c r="E3280" s="13" t="inlineStr">
        <is>
          <t>[SUB]</t>
        </is>
      </c>
      <c r="F3280" s="7" t="inlineStr">
        <is>
          <t>2291 / LRASM</t>
        </is>
      </c>
      <c r="I3280" s="14" t="n">
        <v>4</v>
      </c>
      <c r="K3280" s="15" t="n"/>
      <c r="O3280" s="15" t="n"/>
      <c r="P3280" s="16" t="n">
        <v>55681</v>
      </c>
      <c r="Q3280" s="16" t="n">
        <v>175585</v>
      </c>
      <c r="S3280" s="16" t="n">
        <v>134596</v>
      </c>
      <c r="U3280" s="16" t="n">
        <v>134596</v>
      </c>
      <c r="AC3280" s="23">
        <f>IF(OR(E3280="",E3280="[PARENT]"),"ADD",IF(E3280="[ALT_VIEW]","ALT",""))</f>
        <v/>
      </c>
      <c r="AD3280" s="21">
        <f>IF(Y3280&lt;&gt;"",Y3280,IF(U3280&lt;&gt;"",U3280,S3280))</f>
        <v/>
      </c>
      <c r="AE3280" s="21">
        <f>IF(AB3280&lt;&gt;"",AB3280,Z3280)</f>
        <v/>
      </c>
      <c r="AF3280" s="13" t="inlineStr">
        <is>
          <t>1507N &gt; BA 02 &gt; LI 2291 &gt; P-5 Item 2: LRASM C-3</t>
        </is>
      </c>
      <c r="AG3280" s="7" t="inlineStr">
        <is>
          <t>242</t>
        </is>
      </c>
      <c r="AH3280" s="7" t="inlineStr">
        <is>
          <t>2291</t>
        </is>
      </c>
      <c r="AI3280" s="7" t="inlineStr">
        <is>
          <t>LRASM C-3</t>
        </is>
      </c>
    </row>
    <row r="3281" ht="10" customHeight="1">
      <c r="A3281" s="7" t="inlineStr">
        <is>
          <t>WPN</t>
        </is>
      </c>
      <c r="B3281" s="7" t="inlineStr">
        <is>
          <t>Procurement</t>
        </is>
      </c>
      <c r="C3281" s="7" t="inlineStr">
        <is>
          <t>2292</t>
        </is>
      </c>
      <c r="D3281" s="7" t="inlineStr">
        <is>
          <t>Naval Strike Missile (NSM)</t>
        </is>
      </c>
      <c r="E3281" s="15" t="n"/>
      <c r="I3281" s="14" t="n">
        <v>4</v>
      </c>
      <c r="K3281" s="13" t="inlineStr">
        <is>
          <t>USN</t>
        </is>
      </c>
      <c r="L3281" s="7" t="inlineStr">
        <is>
          <t>Combatant Ships</t>
        </is>
      </c>
      <c r="M3281" s="7" t="inlineStr">
        <is>
          <t>Surface Combatants</t>
        </is>
      </c>
      <c r="N3281" s="7" t="inlineStr">
        <is>
          <t>LCS</t>
        </is>
      </c>
      <c r="O3281" s="15" t="n"/>
      <c r="P3281" s="16" t="n">
        <v>25551</v>
      </c>
      <c r="Q3281" s="16" t="n">
        <v>24882</v>
      </c>
      <c r="S3281" s="16" t="n">
        <v>32238</v>
      </c>
      <c r="U3281" s="16" t="n">
        <v>32238</v>
      </c>
      <c r="Z3281" s="16" t="n">
        <v>79801</v>
      </c>
      <c r="AB3281" s="16" t="n">
        <v>79801</v>
      </c>
      <c r="AC3281" s="23">
        <f>IF(OR(E3281="",E3281="[PARENT]"),"ADD",IF(E3281="[ALT_VIEW]","ALT",""))</f>
        <v/>
      </c>
      <c r="AD3281" s="21">
        <f>IF(Y3281&lt;&gt;"",Y3281,IF(U3281&lt;&gt;"",U3281,S3281))</f>
        <v/>
      </c>
      <c r="AE3281" s="21">
        <f>IF(AB3281&lt;&gt;"",AB3281,Z3281)</f>
        <v/>
      </c>
      <c r="AF3281" s="13" t="inlineStr">
        <is>
          <t>1507N &gt; BA 02 &gt; BSA 2: Tactical Missiles &gt; LI 2292 NSM</t>
        </is>
      </c>
      <c r="AG3281" s="7" t="inlineStr">
        <is>
          <t>249</t>
        </is>
      </c>
      <c r="AH3281" s="7" t="inlineStr">
        <is>
          <t>2292</t>
        </is>
      </c>
      <c r="AI3281" s="7" t="inlineStr">
        <is>
          <t>Naval Strike Missile (NSM)</t>
        </is>
      </c>
    </row>
    <row r="3282" ht="10" customHeight="1">
      <c r="A3282" s="7" t="inlineStr">
        <is>
          <t>WPN</t>
        </is>
      </c>
      <c r="B3282" s="7" t="inlineStr">
        <is>
          <t>Procurement</t>
        </is>
      </c>
      <c r="C3282" s="7" t="inlineStr">
        <is>
          <t>2292</t>
        </is>
      </c>
      <c r="D3282" s="7" t="inlineStr">
        <is>
          <t>Naval Strike Missile (NSM) Advance Procurement</t>
        </is>
      </c>
      <c r="E3282" s="13" t="inlineStr">
        <is>
          <t>[SUB]</t>
        </is>
      </c>
      <c r="F3282" s="7" t="inlineStr">
        <is>
          <t>21 / Naval Strike Missile (NSM)</t>
        </is>
      </c>
      <c r="I3282" s="14" t="n">
        <v>4</v>
      </c>
      <c r="K3282" s="13" t="inlineStr">
        <is>
          <t>USN</t>
        </is>
      </c>
      <c r="L3282" s="7" t="inlineStr">
        <is>
          <t>Combatant Ships</t>
        </is>
      </c>
      <c r="M3282" s="7" t="inlineStr">
        <is>
          <t>Surface Combatants</t>
        </is>
      </c>
      <c r="O3282" s="15" t="n"/>
      <c r="P3282" s="16" t="n">
        <v>5755</v>
      </c>
      <c r="Q3282" s="16" t="n">
        <v>4412</v>
      </c>
      <c r="S3282" s="16" t="n">
        <v>3059</v>
      </c>
      <c r="U3282" s="16" t="n">
        <v>3059</v>
      </c>
      <c r="AC3282" s="23">
        <f>IF(OR(E3282="",E3282="[PARENT]"),"ADD",IF(E3282="[ALT_VIEW]","ALT",""))</f>
        <v/>
      </c>
      <c r="AD3282" s="21">
        <f>IF(Y3282&lt;&gt;"",Y3282,IF(U3282&lt;&gt;"",U3282,S3282))</f>
        <v/>
      </c>
      <c r="AE3282" s="21">
        <f>IF(AB3282&lt;&gt;"",AB3282,Z3282)</f>
        <v/>
      </c>
      <c r="AF3282" s="13" t="inlineStr">
        <is>
          <t>1507N &gt; BA 02 &gt; BSA 2: Tactical Missiles &gt; LI 2292 NSM AP</t>
        </is>
      </c>
      <c r="AG3282" s="7" t="inlineStr">
        <is>
          <t>263</t>
        </is>
      </c>
      <c r="AH3282" s="7" t="inlineStr">
        <is>
          <t>2292</t>
        </is>
      </c>
      <c r="AI3282" s="7" t="inlineStr">
        <is>
          <t>Naval Strike Missile (NSM)</t>
        </is>
      </c>
    </row>
    <row r="3283" ht="10" customHeight="1">
      <c r="A3283" s="7" t="inlineStr">
        <is>
          <t>WPN</t>
        </is>
      </c>
      <c r="B3283" s="7" t="inlineStr">
        <is>
          <t>Procurement</t>
        </is>
      </c>
      <c r="C3283" s="7" t="inlineStr">
        <is>
          <t>2301</t>
        </is>
      </c>
      <c r="D3283" s="7" t="inlineStr">
        <is>
          <t>Tomahawk Mods</t>
        </is>
      </c>
      <c r="E3283" s="15" t="n"/>
      <c r="I3283" s="14" t="n">
        <v>4</v>
      </c>
      <c r="K3283" s="15" t="n"/>
      <c r="O3283" s="15" t="n"/>
      <c r="P3283" s="16" t="n">
        <v>494799</v>
      </c>
      <c r="Q3283" s="16" t="n">
        <v>296839</v>
      </c>
      <c r="S3283" s="16" t="n">
        <v>6283</v>
      </c>
      <c r="T3283" s="16" t="n">
        <v>473848</v>
      </c>
      <c r="U3283" s="16" t="n">
        <v>480131</v>
      </c>
      <c r="W3283" s="16" t="n">
        <v>44574</v>
      </c>
      <c r="X3283" s="16" t="n">
        <v>6283</v>
      </c>
      <c r="Y3283" s="16" t="n">
        <v>50857</v>
      </c>
      <c r="Z3283" s="16" t="n">
        <v>799139</v>
      </c>
      <c r="AA3283" s="16" t="n">
        <v>724675</v>
      </c>
      <c r="AB3283" s="16" t="n">
        <v>1523814</v>
      </c>
      <c r="AC3283" s="23">
        <f>IF(OR(E3283="",E3283="[PARENT]"),"ADD",IF(E3283="[ALT_VIEW]","ALT",""))</f>
        <v/>
      </c>
      <c r="AD3283" s="21">
        <f>IF(Y3283&lt;&gt;"",Y3283,IF(U3283&lt;&gt;"",U3283,S3283))</f>
        <v/>
      </c>
      <c r="AE3283" s="21">
        <f>IF(AB3283&lt;&gt;"",AB3283,Z3283)</f>
        <v/>
      </c>
      <c r="AF3283" s="13" t="inlineStr">
        <is>
          <t>1507N &gt; BA 02 &gt; BSA 3: Modification of Missiles &gt; LI 2301 Tomahawk Mods</t>
        </is>
      </c>
      <c r="AG3283" s="7" t="inlineStr">
        <is>
          <t>267</t>
        </is>
      </c>
      <c r="AH3283" s="7" t="inlineStr">
        <is>
          <t>2301</t>
        </is>
      </c>
      <c r="AI3283" s="7" t="inlineStr">
        <is>
          <t>TACTOM NAV/COMMs Modernization and Recertification Kits</t>
        </is>
      </c>
    </row>
    <row r="3284" ht="10" customHeight="1">
      <c r="A3284" s="7" t="inlineStr">
        <is>
          <t>WPN</t>
        </is>
      </c>
      <c r="B3284" s="7" t="inlineStr">
        <is>
          <t>Procurement</t>
        </is>
      </c>
      <c r="C3284" s="7" t="inlineStr">
        <is>
          <t>2307</t>
        </is>
      </c>
      <c r="D3284" s="7" t="inlineStr">
        <is>
          <t>Evolved Sea Sparrow Missile (ESSM)</t>
        </is>
      </c>
      <c r="E3284" s="15" t="n"/>
      <c r="I3284" s="14" t="n">
        <v>4</v>
      </c>
      <c r="K3284" s="15" t="n"/>
      <c r="O3284" s="15" t="n"/>
      <c r="P3284" s="16" t="n">
        <v>296829</v>
      </c>
      <c r="Q3284" s="16" t="n">
        <v>622551</v>
      </c>
      <c r="S3284" s="16" t="n">
        <v>503381</v>
      </c>
      <c r="U3284" s="16" t="n">
        <v>503381</v>
      </c>
      <c r="Z3284" s="16" t="n">
        <v>521006</v>
      </c>
      <c r="AB3284" s="16" t="n">
        <v>521006</v>
      </c>
      <c r="AC3284" s="23">
        <f>IF(OR(E3284="",E3284="[PARENT]"),"ADD",IF(E3284="[ALT_VIEW]","ALT",""))</f>
        <v/>
      </c>
      <c r="AD3284" s="21">
        <f>IF(Y3284&lt;&gt;"",Y3284,IF(U3284&lt;&gt;"",U3284,S3284))</f>
        <v/>
      </c>
      <c r="AE3284" s="21">
        <f>IF(AB3284&lt;&gt;"",AB3284,Z3284)</f>
        <v/>
      </c>
      <c r="AF3284" s="13" t="inlineStr">
        <is>
          <t>1507N &gt; BA 02 &gt; BSA 3: Modification of Missiles &gt; LI 2307 ESSM</t>
        </is>
      </c>
      <c r="AG3284" s="7" t="inlineStr">
        <is>
          <t>279</t>
        </is>
      </c>
      <c r="AH3284" s="7" t="inlineStr">
        <is>
          <t>2307</t>
        </is>
      </c>
      <c r="AI3284" s="7" t="inlineStr">
        <is>
          <t>Evolved Sea Sparrow Missile (ESSM)</t>
        </is>
      </c>
    </row>
    <row r="3285" ht="10" customHeight="1">
      <c r="A3285" s="7" t="inlineStr">
        <is>
          <t>WPN</t>
        </is>
      </c>
      <c r="B3285" s="7" t="inlineStr">
        <is>
          <t>Procurement</t>
        </is>
      </c>
      <c r="C3285" s="7" t="inlineStr">
        <is>
          <t>2327</t>
        </is>
      </c>
      <c r="D3285" s="7" t="inlineStr">
        <is>
          <t>AARGM-ER</t>
        </is>
      </c>
      <c r="E3285" s="13" t="inlineStr">
        <is>
          <t>[REFERENCE]</t>
        </is>
      </c>
      <c r="I3285" s="14" t="n">
        <v>4</v>
      </c>
      <c r="K3285" s="15" t="n"/>
      <c r="O3285" s="15" t="n"/>
      <c r="P3285" s="16" t="n">
        <v>167429</v>
      </c>
      <c r="Q3285" s="16" t="n">
        <v>193213</v>
      </c>
      <c r="S3285" s="16" t="n">
        <v>261041</v>
      </c>
      <c r="U3285" s="16" t="n">
        <v>261041</v>
      </c>
      <c r="AC3285" s="23">
        <f>IF(OR(E3285="",E3285="[PARENT]"),"ADD",IF(E3285="[ALT_VIEW]","ALT",""))</f>
        <v/>
      </c>
      <c r="AD3285" s="21">
        <f>IF(Y3285&lt;&gt;"",Y3285,IF(U3285&lt;&gt;"",U3285,S3285))</f>
        <v/>
      </c>
      <c r="AE3285" s="21">
        <f>IF(AB3285&lt;&gt;"",AB3285,Z3285)</f>
        <v/>
      </c>
      <c r="AF3285" s="13" t="inlineStr">
        <is>
          <t>1507N &gt; BA 02 &gt; BSA 3: Modification of Missiles &gt; LI 2327 AARGM-ER</t>
        </is>
      </c>
      <c r="AG3285" s="7" t="inlineStr">
        <is>
          <t>297</t>
        </is>
      </c>
      <c r="AH3285" s="7" t="inlineStr">
        <is>
          <t>2327</t>
        </is>
      </c>
      <c r="AI3285" s="7" t="inlineStr">
        <is>
          <t>AARGM-ER</t>
        </is>
      </c>
    </row>
    <row r="3286" ht="10" customHeight="1">
      <c r="A3286" s="7" t="inlineStr">
        <is>
          <t>WPN</t>
        </is>
      </c>
      <c r="B3286" s="7" t="inlineStr">
        <is>
          <t>Procurement</t>
        </is>
      </c>
      <c r="D3286" s="7" t="inlineStr">
        <is>
          <t>AARGM-ER: AARGM-ER (Item 1)</t>
        </is>
      </c>
      <c r="E3286" s="13" t="inlineStr">
        <is>
          <t>[SUB]</t>
        </is>
      </c>
      <c r="F3286" s="7" t="inlineStr">
        <is>
          <t>2327 / AARGM-ER</t>
        </is>
      </c>
      <c r="I3286" s="14" t="n">
        <v>4</v>
      </c>
      <c r="K3286" s="15" t="n"/>
      <c r="O3286" s="15" t="n"/>
      <c r="P3286" s="16" t="n">
        <v>167429</v>
      </c>
      <c r="Q3286" s="16" t="n">
        <v>193213</v>
      </c>
      <c r="S3286" s="16" t="n">
        <v>261041</v>
      </c>
      <c r="U3286" s="16" t="n">
        <v>261041</v>
      </c>
      <c r="AC3286" s="23">
        <f>IF(OR(E3286="",E3286="[PARENT]"),"ADD",IF(E3286="[ALT_VIEW]","ALT",""))</f>
        <v/>
      </c>
      <c r="AD3286" s="21">
        <f>IF(Y3286&lt;&gt;"",Y3286,IF(U3286&lt;&gt;"",U3286,S3286))</f>
        <v/>
      </c>
      <c r="AE3286" s="21">
        <f>IF(AB3286&lt;&gt;"",AB3286,Z3286)</f>
        <v/>
      </c>
      <c r="AF3286" s="13" t="inlineStr">
        <is>
          <t>1507N &gt; BA 02 &gt; LI 2327 &gt; P-5 Item 1: AARGM-ER</t>
        </is>
      </c>
      <c r="AG3286" s="7" t="inlineStr">
        <is>
          <t>300</t>
        </is>
      </c>
      <c r="AH3286" s="7" t="inlineStr">
        <is>
          <t>2327</t>
        </is>
      </c>
    </row>
    <row r="3287" ht="10" customHeight="1">
      <c r="A3287" s="7" t="inlineStr">
        <is>
          <t>WPN</t>
        </is>
      </c>
      <c r="B3287" s="7" t="inlineStr">
        <is>
          <t>Procurement</t>
        </is>
      </c>
      <c r="D3287" s="7" t="inlineStr">
        <is>
          <t>AARGM-ER: AARGM (Legacy)</t>
        </is>
      </c>
      <c r="E3287" s="13" t="inlineStr">
        <is>
          <t>[REFERENCE]</t>
        </is>
      </c>
      <c r="F3287" s="7" t="inlineStr">
        <is>
          <t>2327 / AARGM-ER</t>
        </is>
      </c>
      <c r="I3287" s="14" t="n">
        <v>4</v>
      </c>
      <c r="K3287" s="15" t="n"/>
      <c r="O3287" s="15" t="n"/>
      <c r="AC3287" s="23">
        <f>IF(OR(E3287="",E3287="[PARENT]"),"ADD",IF(E3287="[ALT_VIEW]","ALT",""))</f>
        <v/>
      </c>
      <c r="AD3287" s="21">
        <f>IF(Y3287&lt;&gt;"",Y3287,IF(U3287&lt;&gt;"",U3287,S3287))</f>
        <v/>
      </c>
      <c r="AE3287" s="21">
        <f>IF(AB3287&lt;&gt;"",AB3287,Z3287)</f>
        <v/>
      </c>
      <c r="AF3287" s="13" t="inlineStr">
        <is>
          <t>1507N &gt; BA 02 &gt; LI 2327 &gt; P-5 Item 2: AARGM</t>
        </is>
      </c>
      <c r="AG3287" s="7" t="inlineStr">
        <is>
          <t>313</t>
        </is>
      </c>
      <c r="AH3287" s="7" t="inlineStr">
        <is>
          <t>2327</t>
        </is>
      </c>
    </row>
    <row r="3288" ht="10" customHeight="1">
      <c r="A3288" s="7" t="inlineStr">
        <is>
          <t>WPN</t>
        </is>
      </c>
      <c r="B3288" s="7" t="inlineStr">
        <is>
          <t>Procurement</t>
        </is>
      </c>
      <c r="C3288" s="7" t="inlineStr">
        <is>
          <t>2327</t>
        </is>
      </c>
      <c r="D3288" s="7" t="inlineStr">
        <is>
          <t>AARGM-ER Advance Procurement</t>
        </is>
      </c>
      <c r="E3288" s="13" t="inlineStr">
        <is>
          <t>[SUB]</t>
        </is>
      </c>
      <c r="F3288" s="7" t="inlineStr">
        <is>
          <t>28 / AARGM-ER</t>
        </is>
      </c>
      <c r="I3288" s="14" t="n">
        <v>4</v>
      </c>
      <c r="K3288" s="15" t="n"/>
      <c r="O3288" s="15" t="n"/>
      <c r="P3288" s="16" t="n">
        <v>33273</v>
      </c>
      <c r="Q3288" s="16" t="n">
        <v>34604</v>
      </c>
      <c r="S3288" s="16" t="n">
        <v>24284</v>
      </c>
      <c r="U3288" s="16" t="n">
        <v>24284</v>
      </c>
      <c r="AC3288" s="23">
        <f>IF(OR(E3288="",E3288="[PARENT]"),"ADD",IF(E3288="[ALT_VIEW]","ALT",""))</f>
        <v/>
      </c>
      <c r="AD3288" s="21">
        <f>IF(Y3288&lt;&gt;"",Y3288,IF(U3288&lt;&gt;"",U3288,S3288))</f>
        <v/>
      </c>
      <c r="AE3288" s="21">
        <f>IF(AB3288&lt;&gt;"",AB3288,Z3288)</f>
        <v/>
      </c>
      <c r="AF3288" s="13" t="inlineStr">
        <is>
          <t>1507N &gt; BA 02 &gt; BSA 3: Modification of Missiles &gt; LI 2327 AARGM-ER AP</t>
        </is>
      </c>
      <c r="AG3288" s="7" t="inlineStr">
        <is>
          <t>321</t>
        </is>
      </c>
      <c r="AH3288" s="7" t="inlineStr">
        <is>
          <t>2327</t>
        </is>
      </c>
    </row>
    <row r="3289" ht="10" customHeight="1">
      <c r="A3289" s="7" t="inlineStr">
        <is>
          <t>WPN</t>
        </is>
      </c>
      <c r="B3289" s="7" t="inlineStr">
        <is>
          <t>Procurement</t>
        </is>
      </c>
      <c r="C3289" s="7" t="inlineStr">
        <is>
          <t>2356</t>
        </is>
      </c>
      <c r="D3289" s="7" t="inlineStr">
        <is>
          <t>Standard Missiles Mods</t>
        </is>
      </c>
      <c r="E3289" s="15" t="n"/>
      <c r="I3289" s="14" t="n">
        <v>4</v>
      </c>
      <c r="K3289" s="13" t="inlineStr">
        <is>
          <t>USN</t>
        </is>
      </c>
      <c r="L3289" s="7" t="inlineStr">
        <is>
          <t>Combatant Ships</t>
        </is>
      </c>
      <c r="M3289" s="7" t="inlineStr">
        <is>
          <t>Surface Combatants</t>
        </is>
      </c>
      <c r="N3289" s="7" t="inlineStr">
        <is>
          <t>DDG</t>
        </is>
      </c>
      <c r="O3289" s="15" t="n"/>
      <c r="P3289" s="16" t="n">
        <v>80536</v>
      </c>
      <c r="Q3289" s="16" t="n">
        <v>61667</v>
      </c>
      <c r="S3289" s="16" t="n">
        <v>32127</v>
      </c>
      <c r="U3289" s="16" t="n">
        <v>32127</v>
      </c>
      <c r="Z3289" s="16" t="n">
        <v>69579</v>
      </c>
      <c r="AB3289" s="16" t="n">
        <v>69579</v>
      </c>
      <c r="AC3289" s="23">
        <f>IF(OR(E3289="",E3289="[PARENT]"),"ADD",IF(E3289="[ALT_VIEW]","ALT",""))</f>
        <v/>
      </c>
      <c r="AD3289" s="21">
        <f>IF(Y3289&lt;&gt;"",Y3289,IF(U3289&lt;&gt;"",U3289,S3289))</f>
        <v/>
      </c>
      <c r="AE3289" s="21">
        <f>IF(AB3289&lt;&gt;"",AB3289,Z3289)</f>
        <v/>
      </c>
      <c r="AF3289" s="13" t="inlineStr">
        <is>
          <t>1507N &gt; BA 02 &gt; BSA 3: Modification of Missiles &gt; LI 2356 Standard Missiles Mods</t>
        </is>
      </c>
      <c r="AG3289" s="7" t="inlineStr">
        <is>
          <t>325</t>
        </is>
      </c>
      <c r="AH3289" s="7" t="inlineStr">
        <is>
          <t>2356</t>
        </is>
      </c>
      <c r="AI3289" s="7" t="inlineStr">
        <is>
          <t>Standard Missiles Mods</t>
        </is>
      </c>
    </row>
    <row r="3290" ht="10" customHeight="1">
      <c r="A3290" s="7" t="inlineStr">
        <is>
          <t>WPN</t>
        </is>
      </c>
      <c r="B3290" s="7" t="inlineStr">
        <is>
          <t>Procurement</t>
        </is>
      </c>
      <c r="C3290" s="7" t="inlineStr">
        <is>
          <t>2420</t>
        </is>
      </c>
      <c r="D3290" s="7" t="inlineStr">
        <is>
          <t>Weapons Industrial Facilities</t>
        </is>
      </c>
      <c r="E3290" s="13" t="inlineStr">
        <is>
          <t>[REFERENCE]</t>
        </is>
      </c>
      <c r="I3290" s="14" t="n">
        <v>6</v>
      </c>
      <c r="K3290" s="15" t="n"/>
      <c r="O3290" s="15" t="n"/>
      <c r="P3290" s="16" t="n">
        <v>179011</v>
      </c>
      <c r="Q3290" s="16" t="n">
        <v>81490</v>
      </c>
      <c r="S3290" s="16" t="n">
        <v>127222</v>
      </c>
      <c r="U3290" s="16" t="n">
        <v>127222</v>
      </c>
      <c r="AC3290" s="23">
        <f>IF(OR(E3290="",E3290="[PARENT]"),"ADD",IF(E3290="[ALT_VIEW]","ALT",""))</f>
        <v/>
      </c>
      <c r="AD3290" s="21">
        <f>IF(Y3290&lt;&gt;"",Y3290,IF(U3290&lt;&gt;"",U3290,S3290))</f>
        <v/>
      </c>
      <c r="AE3290" s="21">
        <f>IF(AB3290&lt;&gt;"",AB3290,Z3290)</f>
        <v/>
      </c>
      <c r="AF3290" s="13" t="inlineStr">
        <is>
          <t>1507N &gt; BA 02 &gt; BSA 4: Support Equipment &amp; Facilities &gt; LI 2420 Weapons Industrial Facilities</t>
        </is>
      </c>
      <c r="AG3290" s="7" t="inlineStr">
        <is>
          <t>339</t>
        </is>
      </c>
      <c r="AH3290" s="7" t="inlineStr">
        <is>
          <t>2420</t>
        </is>
      </c>
      <c r="AI3290" s="7" t="inlineStr">
        <is>
          <t>Weapons Industrial Facilities</t>
        </is>
      </c>
    </row>
    <row r="3291" ht="10" customHeight="1">
      <c r="A3291" s="7" t="inlineStr">
        <is>
          <t>WPN</t>
        </is>
      </c>
      <c r="B3291" s="7" t="inlineStr">
        <is>
          <t>Procurement</t>
        </is>
      </c>
      <c r="C3291" s="7" t="inlineStr">
        <is>
          <t>2500</t>
        </is>
      </c>
      <c r="D3291" s="7" t="inlineStr">
        <is>
          <t>Ordnance Support Equipment</t>
        </is>
      </c>
      <c r="E3291" s="13" t="inlineStr">
        <is>
          <t>[REFERENCE]</t>
        </is>
      </c>
      <c r="I3291" s="14" t="n">
        <v>4</v>
      </c>
      <c r="K3291" s="15" t="n"/>
      <c r="O3291" s="15" t="n"/>
      <c r="P3291" s="16" t="n">
        <v>168654</v>
      </c>
      <c r="Q3291" s="16" t="n">
        <v>351488</v>
      </c>
      <c r="S3291" s="16" t="n">
        <v>37059</v>
      </c>
      <c r="U3291" s="16" t="n">
        <v>37059</v>
      </c>
      <c r="AC3291" s="23">
        <f>IF(OR(E3291="",E3291="[PARENT]"),"ADD",IF(E3291="[ALT_VIEW]","ALT",""))</f>
        <v/>
      </c>
      <c r="AD3291" s="21">
        <f>IF(Y3291&lt;&gt;"",Y3291,IF(U3291&lt;&gt;"",U3291,S3291))</f>
        <v/>
      </c>
      <c r="AE3291" s="21">
        <f>IF(AB3291&lt;&gt;"",AB3291,Z3291)</f>
        <v/>
      </c>
      <c r="AF3291" s="13" t="inlineStr">
        <is>
          <t>1507N &gt; BA 02 &gt; BSA 5: Ordnance Support Equipment &gt; LI 2500 Ordnance Support Equipment</t>
        </is>
      </c>
      <c r="AG3291" s="7" t="inlineStr">
        <is>
          <t>343</t>
        </is>
      </c>
      <c r="AH3291" s="7" t="inlineStr">
        <is>
          <t>2500</t>
        </is>
      </c>
      <c r="AI3291" s="7" t="inlineStr">
        <is>
          <t>Ordnance Support Equipment</t>
        </is>
      </c>
    </row>
    <row r="3292" ht="10" customHeight="1">
      <c r="A3292" s="7" t="inlineStr">
        <is>
          <t>WPN</t>
        </is>
      </c>
      <c r="B3292" s="7" t="inlineStr">
        <is>
          <t>Procurement</t>
        </is>
      </c>
      <c r="C3292" s="7" t="inlineStr">
        <is>
          <t>3113</t>
        </is>
      </c>
      <c r="D3292" s="7" t="inlineStr">
        <is>
          <t>Surface Ship Torpedo Defense (SSTD)</t>
        </is>
      </c>
      <c r="E3292" s="15" t="n"/>
      <c r="I3292" s="14" t="n">
        <v>4</v>
      </c>
      <c r="K3292" s="15" t="n"/>
      <c r="O3292" s="15" t="n"/>
      <c r="P3292" s="16" t="n">
        <v>4830</v>
      </c>
      <c r="Q3292" s="16" t="n">
        <v>4317</v>
      </c>
      <c r="S3292" s="16" t="n">
        <v>4789</v>
      </c>
      <c r="U3292" s="16" t="n">
        <v>4789</v>
      </c>
      <c r="Z3292" s="16" t="n">
        <v>3969</v>
      </c>
      <c r="AB3292" s="16" t="n">
        <v>3969</v>
      </c>
      <c r="AC3292" s="23">
        <f>IF(OR(E3292="",E3292="[PARENT]"),"ADD",IF(E3292="[ALT_VIEW]","ALT",""))</f>
        <v/>
      </c>
      <c r="AD3292" s="21">
        <f>IF(Y3292&lt;&gt;"",Y3292,IF(U3292&lt;&gt;"",U3292,S3292))</f>
        <v/>
      </c>
      <c r="AE3292" s="21">
        <f>IF(AB3292&lt;&gt;"",AB3292,Z3292)</f>
        <v/>
      </c>
      <c r="AF3292" s="13" t="inlineStr">
        <is>
          <t>1507N &gt; BA 03 &gt; BSA 1: Torpedoes and Related Equip &gt; LI 3113 SSTD</t>
        </is>
      </c>
      <c r="AG3292" s="7" t="inlineStr">
        <is>
          <t>347</t>
        </is>
      </c>
      <c r="AH3292" s="7" t="inlineStr">
        <is>
          <t>3113</t>
        </is>
      </c>
      <c r="AI3292" s="7" t="inlineStr">
        <is>
          <t>Surface Ship Torpedo Def (SSTD)</t>
        </is>
      </c>
    </row>
    <row r="3293" ht="10" customHeight="1">
      <c r="A3293" s="7" t="inlineStr">
        <is>
          <t>WPN</t>
        </is>
      </c>
      <c r="B3293" s="7" t="inlineStr">
        <is>
          <t>Procurement</t>
        </is>
      </c>
      <c r="C3293" s="7" t="inlineStr">
        <is>
          <t>3117</t>
        </is>
      </c>
      <c r="D3293" s="7" t="inlineStr">
        <is>
          <t>MK-48 Torpedo</t>
        </is>
      </c>
      <c r="E3293" s="15" t="n"/>
      <c r="I3293" s="14" t="n">
        <v>4</v>
      </c>
      <c r="K3293" s="13" t="inlineStr">
        <is>
          <t>USN</t>
        </is>
      </c>
      <c r="L3293" s="7" t="inlineStr">
        <is>
          <t>Combatant Ships</t>
        </is>
      </c>
      <c r="M3293" s="7" t="inlineStr">
        <is>
          <t>Submarines</t>
        </is>
      </c>
      <c r="N3293" s="7" t="inlineStr">
        <is>
          <t>SSN</t>
        </is>
      </c>
      <c r="O3293" s="15" t="n"/>
      <c r="P3293" s="16" t="n">
        <v>296347</v>
      </c>
      <c r="Q3293" s="16" t="n">
        <v>352047</v>
      </c>
      <c r="S3293" s="16" t="n">
        <v>7081</v>
      </c>
      <c r="T3293" s="16" t="n">
        <v>261240</v>
      </c>
      <c r="U3293" s="16" t="n">
        <v>268321</v>
      </c>
      <c r="Z3293" s="16" t="n">
        <v>571274</v>
      </c>
      <c r="AB3293" s="16" t="n">
        <v>571274</v>
      </c>
      <c r="AC3293" s="23">
        <f>IF(OR(E3293="",E3293="[PARENT]"),"ADD",IF(E3293="[ALT_VIEW]","ALT",""))</f>
        <v/>
      </c>
      <c r="AD3293" s="21">
        <f>IF(Y3293&lt;&gt;"",Y3293,IF(U3293&lt;&gt;"",U3293,S3293))</f>
        <v/>
      </c>
      <c r="AE3293" s="21">
        <f>IF(AB3293&lt;&gt;"",AB3293,Z3293)</f>
        <v/>
      </c>
      <c r="AF3293" s="13" t="inlineStr">
        <is>
          <t>1507N &gt; BA 03 &gt; BSA 1: Torpedoes and Related Equip &gt; LI 3117 MK-48 Torpedo</t>
        </is>
      </c>
      <c r="AG3293" s="7" t="inlineStr">
        <is>
          <t>353</t>
        </is>
      </c>
      <c r="AH3293" s="7" t="inlineStr">
        <is>
          <t>3117</t>
        </is>
      </c>
      <c r="AI3293" s="7" t="inlineStr">
        <is>
          <t>MK-48 Torpedo</t>
        </is>
      </c>
    </row>
    <row r="3294" ht="10" customHeight="1">
      <c r="A3294" s="7" t="inlineStr">
        <is>
          <t>WPN</t>
        </is>
      </c>
      <c r="B3294" s="7" t="inlineStr">
        <is>
          <t>Procurement</t>
        </is>
      </c>
      <c r="C3294" s="7" t="inlineStr">
        <is>
          <t>3141</t>
        </is>
      </c>
      <c r="D3294" s="7" t="inlineStr">
        <is>
          <t>ASW Targets</t>
        </is>
      </c>
      <c r="E3294" s="13" t="inlineStr">
        <is>
          <t>[REFERENCE]</t>
        </is>
      </c>
      <c r="I3294" s="14" t="n">
        <v>6</v>
      </c>
      <c r="K3294" s="13" t="inlineStr">
        <is>
          <t>USN</t>
        </is>
      </c>
      <c r="N3294" s="7" t="inlineStr">
        <is>
          <t>FFG</t>
        </is>
      </c>
      <c r="O3294" s="15" t="n"/>
      <c r="P3294" s="16" t="n">
        <v>24817</v>
      </c>
      <c r="Q3294" s="16" t="n">
        <v>30476</v>
      </c>
      <c r="S3294" s="16" t="n">
        <v>38386</v>
      </c>
      <c r="U3294" s="16" t="n">
        <v>38386</v>
      </c>
      <c r="AC3294" s="23">
        <f>IF(OR(E3294="",E3294="[PARENT]"),"ADD",IF(E3294="[ALT_VIEW]","ALT",""))</f>
        <v/>
      </c>
      <c r="AD3294" s="21">
        <f>IF(Y3294&lt;&gt;"",Y3294,IF(U3294&lt;&gt;"",U3294,S3294))</f>
        <v/>
      </c>
      <c r="AE3294" s="21">
        <f>IF(AB3294&lt;&gt;"",AB3294,Z3294)</f>
        <v/>
      </c>
      <c r="AF3294" s="13" t="inlineStr">
        <is>
          <t>1507N &gt; BA 03 &gt; BSA 1: Torpedoes and Related Equip &gt; LI 3141 ASW Targets</t>
        </is>
      </c>
      <c r="AG3294" s="7" t="inlineStr">
        <is>
          <t>379</t>
        </is>
      </c>
      <c r="AH3294" s="7" t="inlineStr">
        <is>
          <t>3141</t>
        </is>
      </c>
      <c r="AI3294" s="7" t="inlineStr">
        <is>
          <t>ASW TARGETS</t>
        </is>
      </c>
    </row>
    <row r="3295" ht="10" customHeight="1">
      <c r="A3295" s="7" t="inlineStr">
        <is>
          <t>WPN</t>
        </is>
      </c>
      <c r="B3295" s="7" t="inlineStr">
        <is>
          <t>Procurement</t>
        </is>
      </c>
      <c r="C3295" s="7" t="inlineStr">
        <is>
          <t>3215</t>
        </is>
      </c>
      <c r="D3295" s="7" t="inlineStr">
        <is>
          <t>MK-54 Torpedo Mods</t>
        </is>
      </c>
      <c r="E3295" s="15" t="n"/>
      <c r="I3295" s="14" t="n">
        <v>4</v>
      </c>
      <c r="K3295" s="13" t="inlineStr">
        <is>
          <t>USN</t>
        </is>
      </c>
      <c r="L3295" s="7" t="inlineStr">
        <is>
          <t>Combatant Ships</t>
        </is>
      </c>
      <c r="M3295" s="7" t="inlineStr">
        <is>
          <t>Surface Combatants</t>
        </is>
      </c>
      <c r="N3295" s="7" t="inlineStr">
        <is>
          <t>DDG</t>
        </is>
      </c>
      <c r="O3295" s="15" t="n"/>
      <c r="P3295" s="16" t="n">
        <v>104086</v>
      </c>
      <c r="Q3295" s="16" t="n">
        <v>81614</v>
      </c>
      <c r="S3295" s="16" t="n">
        <v>1692</v>
      </c>
      <c r="T3295" s="16" t="n">
        <v>111821</v>
      </c>
      <c r="U3295" s="16" t="n">
        <v>113513</v>
      </c>
      <c r="W3295" s="16" t="n">
        <v>111821</v>
      </c>
      <c r="X3295" s="16" t="n">
        <v>16692</v>
      </c>
      <c r="Y3295" s="16" t="n">
        <v>128513</v>
      </c>
      <c r="Z3295" s="16" t="n">
        <v>112126</v>
      </c>
      <c r="AB3295" s="16" t="n">
        <v>112126</v>
      </c>
      <c r="AC3295" s="23">
        <f>IF(OR(E3295="",E3295="[PARENT]"),"ADD",IF(E3295="[ALT_VIEW]","ALT",""))</f>
        <v/>
      </c>
      <c r="AD3295" s="21">
        <f>IF(Y3295&lt;&gt;"",Y3295,IF(U3295&lt;&gt;"",U3295,S3295))</f>
        <v/>
      </c>
      <c r="AE3295" s="21">
        <f>IF(AB3295&lt;&gt;"",AB3295,Z3295)</f>
        <v/>
      </c>
      <c r="AF3295" s="13" t="inlineStr">
        <is>
          <t>1507N &gt; BA 03 &gt; BSA 2: Mod of Torpedoes &gt; LI 3215 MK-54 Torpedo Mods</t>
        </is>
      </c>
      <c r="AG3295" s="7" t="inlineStr">
        <is>
          <t>395</t>
        </is>
      </c>
      <c r="AH3295" s="7" t="inlineStr">
        <is>
          <t>3215</t>
        </is>
      </c>
    </row>
    <row r="3296" ht="10" customHeight="1">
      <c r="A3296" s="7" t="inlineStr">
        <is>
          <t>WPN</t>
        </is>
      </c>
      <c r="B3296" s="7" t="inlineStr">
        <is>
          <t>Procurement</t>
        </is>
      </c>
      <c r="C3296" s="7" t="inlineStr">
        <is>
          <t>3225</t>
        </is>
      </c>
      <c r="D3296" s="7" t="inlineStr">
        <is>
          <t>MK-48 Torpedo ADCAP Mods</t>
        </is>
      </c>
      <c r="E3296" s="15" t="n"/>
      <c r="I3296" s="14" t="n">
        <v>4</v>
      </c>
      <c r="K3296" s="13" t="inlineStr">
        <is>
          <t>USN</t>
        </is>
      </c>
      <c r="L3296" s="7" t="inlineStr">
        <is>
          <t>Combatant Ships</t>
        </is>
      </c>
      <c r="M3296" s="7" t="inlineStr">
        <is>
          <t>Submarines</t>
        </is>
      </c>
      <c r="N3296" s="7" t="inlineStr">
        <is>
          <t>SSN</t>
        </is>
      </c>
      <c r="O3296" s="15" t="n"/>
      <c r="P3296" s="16" t="n">
        <v>20714</v>
      </c>
      <c r="Q3296" s="16" t="n">
        <v>17363</v>
      </c>
      <c r="S3296" s="16" t="n">
        <v>31479</v>
      </c>
      <c r="U3296" s="16" t="n">
        <v>31479</v>
      </c>
      <c r="Z3296" s="16" t="n">
        <v>67279</v>
      </c>
      <c r="AB3296" s="16" t="n">
        <v>67279</v>
      </c>
      <c r="AC3296" s="23">
        <f>IF(OR(E3296="",E3296="[PARENT]"),"ADD",IF(E3296="[ALT_VIEW]","ALT",""))</f>
        <v/>
      </c>
      <c r="AD3296" s="21">
        <f>IF(Y3296&lt;&gt;"",Y3296,IF(U3296&lt;&gt;"",U3296,S3296))</f>
        <v/>
      </c>
      <c r="AE3296" s="21">
        <f>IF(AB3296&lt;&gt;"",AB3296,Z3296)</f>
        <v/>
      </c>
      <c r="AF3296" s="13" t="inlineStr">
        <is>
          <t>1507N &gt; BA 03 &gt; BSA 2: Mod of Torpedoes &gt; LI 3225 MK-48 ADCAP Mods</t>
        </is>
      </c>
      <c r="AG3296" s="7" t="inlineStr">
        <is>
          <t>417</t>
        </is>
      </c>
      <c r="AH3296" s="7" t="inlineStr">
        <is>
          <t>3225</t>
        </is>
      </c>
      <c r="AI3296" s="7" t="inlineStr">
        <is>
          <t>MK-48 Torpedo ADCAP Mods</t>
        </is>
      </c>
    </row>
    <row r="3297" ht="10" customHeight="1">
      <c r="A3297" s="7" t="inlineStr">
        <is>
          <t>WPN</t>
        </is>
      </c>
      <c r="B3297" s="7" t="inlineStr">
        <is>
          <t>Procurement</t>
        </is>
      </c>
      <c r="C3297" s="7" t="inlineStr">
        <is>
          <t>3231</t>
        </is>
      </c>
      <c r="D3297" s="7" t="inlineStr">
        <is>
          <t>Maritime Mines</t>
        </is>
      </c>
      <c r="E3297" s="13" t="inlineStr">
        <is>
          <t>[PARENT]</t>
        </is>
      </c>
      <c r="I3297" s="14" t="n">
        <v>4</v>
      </c>
      <c r="K3297" s="15" t="n"/>
      <c r="O3297" s="15" t="n"/>
      <c r="P3297" s="16" t="n">
        <v>58731</v>
      </c>
      <c r="Q3297" s="16" t="n">
        <v>100065</v>
      </c>
      <c r="S3297" s="16" t="n">
        <v>0</v>
      </c>
      <c r="T3297" s="16" t="n">
        <v>179351</v>
      </c>
      <c r="U3297" s="16" t="n">
        <v>179351</v>
      </c>
      <c r="W3297" s="16" t="n">
        <v>179351</v>
      </c>
      <c r="X3297" s="16" t="n">
        <v>0</v>
      </c>
      <c r="Y3297" s="16" t="n">
        <v>179351</v>
      </c>
      <c r="Z3297" s="16" t="n">
        <v>251724</v>
      </c>
      <c r="AB3297" s="16" t="n">
        <v>251724</v>
      </c>
      <c r="AC3297" s="23">
        <f>IF(OR(E3297="",E3297="[PARENT]"),"ADD",IF(E3297="[ALT_VIEW]","ALT",""))</f>
        <v/>
      </c>
      <c r="AD3297" s="21">
        <f>IF(Y3297&lt;&gt;"",Y3297,IF(U3297&lt;&gt;"",U3297,S3297))</f>
        <v/>
      </c>
      <c r="AE3297" s="21">
        <f>IF(AB3297&lt;&gt;"",AB3297,Z3297)</f>
        <v/>
      </c>
      <c r="AF3297" s="13" t="inlineStr">
        <is>
          <t>1507N &gt; BA 03 &gt; BSA 2: Mod of Torpedoes &gt; LI 3231 Maritime Mines</t>
        </is>
      </c>
      <c r="AG3297" s="7" t="inlineStr">
        <is>
          <t>431</t>
        </is>
      </c>
      <c r="AH3297" s="7" t="inlineStr">
        <is>
          <t>3231</t>
        </is>
      </c>
    </row>
    <row r="3298" ht="10" customHeight="1">
      <c r="A3298" s="7" t="inlineStr">
        <is>
          <t>WPN</t>
        </is>
      </c>
      <c r="B3298" s="7" t="inlineStr">
        <is>
          <t>Procurement</t>
        </is>
      </c>
      <c r="D3298" s="7" t="inlineStr">
        <is>
          <t>Maritime Mines: Quickstrike Mine</t>
        </is>
      </c>
      <c r="E3298" s="13" t="inlineStr">
        <is>
          <t>[SUB]</t>
        </is>
      </c>
      <c r="F3298" s="7" t="inlineStr">
        <is>
          <t>3231 / Maritime Mines</t>
        </is>
      </c>
      <c r="I3298" s="14" t="n">
        <v>4</v>
      </c>
      <c r="K3298" s="15" t="n"/>
      <c r="O3298" s="15" t="n"/>
      <c r="P3298" s="16" t="n">
        <v>5507</v>
      </c>
      <c r="Q3298" s="16" t="n">
        <v>5942</v>
      </c>
      <c r="AC3298" s="23">
        <f>IF(OR(E3298="",E3298="[PARENT]"),"ADD",IF(E3298="[ALT_VIEW]","ALT",""))</f>
        <v/>
      </c>
      <c r="AD3298" s="21">
        <f>IF(Y3298&lt;&gt;"",Y3298,IF(U3298&lt;&gt;"",U3298,S3298))</f>
        <v/>
      </c>
      <c r="AE3298" s="21">
        <f>IF(AB3298&lt;&gt;"",AB3298,Z3298)</f>
        <v/>
      </c>
      <c r="AF3298" s="13" t="inlineStr">
        <is>
          <t>1507N &gt; BA 03 &gt; LI 3231 &gt; P-5 Item 1: Quickstrike Mine</t>
        </is>
      </c>
      <c r="AG3298" s="7" t="inlineStr">
        <is>
          <t>434</t>
        </is>
      </c>
      <c r="AH3298" s="7" t="inlineStr">
        <is>
          <t>3231</t>
        </is>
      </c>
      <c r="AI3298" s="7" t="inlineStr">
        <is>
          <t>Quickstrike Mine</t>
        </is>
      </c>
    </row>
    <row r="3299" ht="10" customHeight="1">
      <c r="A3299" s="7" t="inlineStr">
        <is>
          <t>WPN</t>
        </is>
      </c>
      <c r="B3299" s="7" t="inlineStr">
        <is>
          <t>Procurement</t>
        </is>
      </c>
      <c r="D3299" s="7" t="inlineStr">
        <is>
          <t>Maritime Mines: Encapsulated Effector</t>
        </is>
      </c>
      <c r="E3299" s="13" t="inlineStr">
        <is>
          <t>[SUB]</t>
        </is>
      </c>
      <c r="F3299" s="7" t="inlineStr">
        <is>
          <t>3231 / Maritime Mines</t>
        </is>
      </c>
      <c r="I3299" s="14" t="n">
        <v>4</v>
      </c>
      <c r="K3299" s="15" t="n"/>
      <c r="O3299" s="15" t="n"/>
      <c r="P3299" s="16" t="n">
        <v>28453</v>
      </c>
      <c r="Q3299" s="16" t="n">
        <v>46900</v>
      </c>
      <c r="AC3299" s="23">
        <f>IF(OR(E3299="",E3299="[PARENT]"),"ADD",IF(E3299="[ALT_VIEW]","ALT",""))</f>
        <v/>
      </c>
      <c r="AD3299" s="21">
        <f>IF(Y3299&lt;&gt;"",Y3299,IF(U3299&lt;&gt;"",U3299,S3299))</f>
        <v/>
      </c>
      <c r="AE3299" s="21">
        <f>IF(AB3299&lt;&gt;"",AB3299,Z3299)</f>
        <v/>
      </c>
      <c r="AF3299" s="13" t="inlineStr">
        <is>
          <t>1507N &gt; BA 03 &gt; LI 3231 &gt; P-5 Item 2: Encapsulated Effector</t>
        </is>
      </c>
      <c r="AG3299" s="7" t="inlineStr">
        <is>
          <t>436</t>
        </is>
      </c>
      <c r="AH3299" s="7" t="inlineStr">
        <is>
          <t>3231</t>
        </is>
      </c>
      <c r="AI3299" s="7" t="inlineStr">
        <is>
          <t>Encapsulated Effector</t>
        </is>
      </c>
    </row>
    <row r="3300" ht="10" customHeight="1">
      <c r="A3300" s="7" t="inlineStr">
        <is>
          <t>WPN</t>
        </is>
      </c>
      <c r="B3300" s="7" t="inlineStr">
        <is>
          <t>Procurement</t>
        </is>
      </c>
      <c r="D3300" s="7" t="inlineStr">
        <is>
          <t>Maritime Mines: Quickstrike Extended Range</t>
        </is>
      </c>
      <c r="E3300" s="13" t="inlineStr">
        <is>
          <t>[SUB]</t>
        </is>
      </c>
      <c r="F3300" s="7" t="inlineStr">
        <is>
          <t>3231 / Maritime Mines</t>
        </is>
      </c>
      <c r="I3300" s="14" t="n">
        <v>4</v>
      </c>
      <c r="K3300" s="15" t="n"/>
      <c r="O3300" s="15" t="n"/>
      <c r="P3300" s="16" t="n">
        <v>24771</v>
      </c>
      <c r="Q3300" s="16" t="n">
        <v>24923</v>
      </c>
      <c r="AC3300" s="23">
        <f>IF(OR(E3300="",E3300="[PARENT]"),"ADD",IF(E3300="[ALT_VIEW]","ALT",""))</f>
        <v/>
      </c>
      <c r="AD3300" s="21">
        <f>IF(Y3300&lt;&gt;"",Y3300,IF(U3300&lt;&gt;"",U3300,S3300))</f>
        <v/>
      </c>
      <c r="AE3300" s="21">
        <f>IF(AB3300&lt;&gt;"",AB3300,Z3300)</f>
        <v/>
      </c>
      <c r="AF3300" s="13" t="inlineStr">
        <is>
          <t>1507N &gt; BA 03 &gt; LI 3231 &gt; P-5 Item 3: Quickstrike Extended Range</t>
        </is>
      </c>
      <c r="AG3300" s="7" t="inlineStr">
        <is>
          <t>442</t>
        </is>
      </c>
      <c r="AH3300" s="7" t="inlineStr">
        <is>
          <t>3231</t>
        </is>
      </c>
      <c r="AI3300" s="7" t="inlineStr">
        <is>
          <t>Quickstrike Extended Range</t>
        </is>
      </c>
    </row>
    <row r="3301" ht="10" customHeight="1">
      <c r="A3301" s="7" t="inlineStr">
        <is>
          <t>WPN</t>
        </is>
      </c>
      <c r="B3301" s="7" t="inlineStr">
        <is>
          <t>Procurement</t>
        </is>
      </c>
      <c r="D3301" s="7" t="inlineStr">
        <is>
          <t>Maritime Mines: Clandestine Delivered Mine (CDM)</t>
        </is>
      </c>
      <c r="E3301" s="13" t="inlineStr">
        <is>
          <t>[SUB]</t>
        </is>
      </c>
      <c r="F3301" s="7" t="inlineStr">
        <is>
          <t>3231 / Maritime Mines</t>
        </is>
      </c>
      <c r="I3301" s="14" t="n">
        <v>4</v>
      </c>
      <c r="K3301" s="15" t="n"/>
      <c r="O3301" s="15" t="n"/>
      <c r="Q3301" s="16" t="n">
        <v>22300</v>
      </c>
      <c r="AC3301" s="23">
        <f>IF(OR(E3301="",E3301="[PARENT]"),"ADD",IF(E3301="[ALT_VIEW]","ALT",""))</f>
        <v/>
      </c>
      <c r="AD3301" s="21">
        <f>IF(Y3301&lt;&gt;"",Y3301,IF(U3301&lt;&gt;"",U3301,S3301))</f>
        <v/>
      </c>
      <c r="AE3301" s="21">
        <f>IF(AB3301&lt;&gt;"",AB3301,Z3301)</f>
        <v/>
      </c>
      <c r="AF3301" s="13" t="inlineStr">
        <is>
          <t>1507N &gt; BA 03 &gt; LI 3231 &gt; P-5 Item 4: Clandestine Delivered Mine (CDM)</t>
        </is>
      </c>
      <c r="AG3301" s="7" t="inlineStr">
        <is>
          <t>447</t>
        </is>
      </c>
      <c r="AH3301" s="7" t="inlineStr">
        <is>
          <t>3231</t>
        </is>
      </c>
      <c r="AI3301" s="7" t="inlineStr">
        <is>
          <t>Clandestine Delivered Mine (CDM)</t>
        </is>
      </c>
    </row>
    <row r="3302" ht="10" customHeight="1">
      <c r="A3302" s="7" t="inlineStr">
        <is>
          <t>WPN</t>
        </is>
      </c>
      <c r="B3302" s="7" t="inlineStr">
        <is>
          <t>Procurement</t>
        </is>
      </c>
      <c r="C3302" s="7" t="inlineStr">
        <is>
          <t>3301</t>
        </is>
      </c>
      <c r="D3302" s="7" t="inlineStr">
        <is>
          <t>Torpedo Support Equipment</t>
        </is>
      </c>
      <c r="E3302" s="13" t="inlineStr">
        <is>
          <t>[PARENT]</t>
        </is>
      </c>
      <c r="I3302" s="14" t="n">
        <v>6</v>
      </c>
      <c r="K3302" s="15" t="n"/>
      <c r="O3302" s="15" t="n"/>
      <c r="P3302" s="16" t="n">
        <v>133187</v>
      </c>
      <c r="Q3302" s="16" t="n">
        <v>145655</v>
      </c>
      <c r="S3302" s="16" t="n">
        <v>161218</v>
      </c>
      <c r="U3302" s="16" t="n">
        <v>161218</v>
      </c>
      <c r="Z3302" s="16" t="n">
        <v>160445</v>
      </c>
      <c r="AB3302" s="16" t="n">
        <v>160445</v>
      </c>
      <c r="AC3302" s="23">
        <f>IF(OR(E3302="",E3302="[PARENT]"),"ADD",IF(E3302="[ALT_VIEW]","ALT",""))</f>
        <v/>
      </c>
      <c r="AD3302" s="21">
        <f>IF(Y3302&lt;&gt;"",Y3302,IF(U3302&lt;&gt;"",U3302,S3302))</f>
        <v/>
      </c>
      <c r="AE3302" s="21">
        <f>IF(AB3302&lt;&gt;"",AB3302,Z3302)</f>
        <v/>
      </c>
      <c r="AF3302" s="13" t="inlineStr">
        <is>
          <t>1507N &gt; BA 03 &gt; BSA 3: Support Equipment &gt; LI 3301 Torpedo Support Equipment</t>
        </is>
      </c>
      <c r="AG3302" s="7" t="inlineStr">
        <is>
          <t>447</t>
        </is>
      </c>
      <c r="AH3302" s="7" t="inlineStr">
        <is>
          <t>3301</t>
        </is>
      </c>
      <c r="AI3302" s="7" t="inlineStr">
        <is>
          <t>Lightweight Torpedo Support Equipment</t>
        </is>
      </c>
    </row>
    <row r="3303" ht="10" customHeight="1">
      <c r="A3303" s="7" t="inlineStr">
        <is>
          <t>WPN</t>
        </is>
      </c>
      <c r="B3303" s="7" t="inlineStr">
        <is>
          <t>Procurement</t>
        </is>
      </c>
      <c r="D3303" s="7" t="inlineStr">
        <is>
          <t>Torpedo Support Equipment: Lightweight</t>
        </is>
      </c>
      <c r="E3303" s="13" t="inlineStr">
        <is>
          <t>[SUB]</t>
        </is>
      </c>
      <c r="F3303" s="7" t="inlineStr">
        <is>
          <t>46 / Torpedo Support Equipment</t>
        </is>
      </c>
      <c r="I3303" s="14" t="n">
        <v>6</v>
      </c>
      <c r="K3303" s="13" t="inlineStr">
        <is>
          <t>USN</t>
        </is>
      </c>
      <c r="L3303" s="7" t="inlineStr">
        <is>
          <t>Combatant Ships</t>
        </is>
      </c>
      <c r="M3303" s="7" t="inlineStr">
        <is>
          <t>Surface Combatants</t>
        </is>
      </c>
      <c r="O3303" s="15" t="n"/>
      <c r="P3303" s="16" t="n">
        <v>31315</v>
      </c>
      <c r="Q3303" s="16" t="n">
        <v>31904</v>
      </c>
      <c r="S3303" s="16" t="n">
        <v>36208</v>
      </c>
      <c r="U3303" s="16" t="n">
        <v>36208</v>
      </c>
      <c r="AC3303" s="23">
        <f>IF(OR(E3303="",E3303="[PARENT]"),"ADD",IF(E3303="[ALT_VIEW]","ALT",""))</f>
        <v/>
      </c>
      <c r="AD3303" s="21">
        <f>IF(Y3303&lt;&gt;"",Y3303,IF(U3303&lt;&gt;"",U3303,S3303))</f>
        <v/>
      </c>
      <c r="AE3303" s="21">
        <f>IF(AB3303&lt;&gt;"",AB3303,Z3303)</f>
        <v/>
      </c>
      <c r="AF3303" s="13" t="inlineStr">
        <is>
          <t>1507N &gt; BA 03 &gt; BSA 3 &gt; LI 3301 &gt; P-5 Item 1: Lightweight Torpedo Support</t>
        </is>
      </c>
      <c r="AG3303" s="7" t="inlineStr">
        <is>
          <t>450</t>
        </is>
      </c>
      <c r="AH3303" s="7" t="inlineStr">
        <is>
          <t>3301</t>
        </is>
      </c>
      <c r="AI3303" s="7" t="inlineStr">
        <is>
          <t>Lightweight Torpedo Support Equipment</t>
        </is>
      </c>
    </row>
    <row r="3304" ht="10" customHeight="1">
      <c r="A3304" s="7" t="inlineStr">
        <is>
          <t>WPN</t>
        </is>
      </c>
      <c r="B3304" s="7" t="inlineStr">
        <is>
          <t>Procurement</t>
        </is>
      </c>
      <c r="D3304" s="7" t="inlineStr">
        <is>
          <t>Torpedo Support Equipment: Recoverable Exercise Torpedo</t>
        </is>
      </c>
      <c r="E3304" s="13" t="inlineStr">
        <is>
          <t>[SUB]</t>
        </is>
      </c>
      <c r="F3304" s="7" t="inlineStr">
        <is>
          <t>3301 / Torpedo Support Equipment</t>
        </is>
      </c>
      <c r="I3304" s="14" t="n">
        <v>6</v>
      </c>
      <c r="K3304" s="15" t="n"/>
      <c r="O3304" s="15" t="n"/>
      <c r="AC3304" s="23">
        <f>IF(OR(E3304="",E3304="[PARENT]"),"ADD",IF(E3304="[ALT_VIEW]","ALT",""))</f>
        <v/>
      </c>
      <c r="AD3304" s="21">
        <f>IF(Y3304&lt;&gt;"",Y3304,IF(U3304&lt;&gt;"",U3304,S3304))</f>
        <v/>
      </c>
      <c r="AE3304" s="21">
        <f>IF(AB3304&lt;&gt;"",AB3304,Z3304)</f>
        <v/>
      </c>
      <c r="AF3304" s="13" t="inlineStr">
        <is>
          <t>1507N &gt; BA 03 &gt; LI 3301 &gt; P-5 Item 2: Recoverable Exercise Torpedo</t>
        </is>
      </c>
      <c r="AG3304" s="7" t="inlineStr">
        <is>
          <t>468</t>
        </is>
      </c>
      <c r="AH3304" s="7" t="inlineStr">
        <is>
          <t>3301</t>
        </is>
      </c>
      <c r="AI3304" s="7" t="inlineStr">
        <is>
          <t>Recoverable Exercise Torpedo</t>
        </is>
      </c>
    </row>
    <row r="3305" ht="10" customHeight="1">
      <c r="A3305" s="7" t="inlineStr">
        <is>
          <t>WPN</t>
        </is>
      </c>
      <c r="B3305" s="7" t="inlineStr">
        <is>
          <t>Procurement</t>
        </is>
      </c>
      <c r="D3305" s="7" t="inlineStr">
        <is>
          <t>Torpedo Support Equipment: Heavyweight</t>
        </is>
      </c>
      <c r="E3305" s="13" t="inlineStr">
        <is>
          <t>[SUB]</t>
        </is>
      </c>
      <c r="F3305" s="7" t="inlineStr">
        <is>
          <t>46 / Torpedo Support Equipment</t>
        </is>
      </c>
      <c r="I3305" s="14" t="n">
        <v>6</v>
      </c>
      <c r="K3305" s="13" t="inlineStr">
        <is>
          <t>USN</t>
        </is>
      </c>
      <c r="L3305" s="7" t="inlineStr">
        <is>
          <t>Combatant Ships</t>
        </is>
      </c>
      <c r="M3305" s="7" t="inlineStr">
        <is>
          <t>Submarines</t>
        </is>
      </c>
      <c r="O3305" s="15" t="n"/>
      <c r="P3305" s="16" t="n">
        <v>101872</v>
      </c>
      <c r="Q3305" s="16" t="n">
        <v>113751</v>
      </c>
      <c r="S3305" s="16" t="n">
        <v>125010</v>
      </c>
      <c r="U3305" s="16" t="n">
        <v>125010</v>
      </c>
      <c r="AC3305" s="23">
        <f>IF(OR(E3305="",E3305="[PARENT]"),"ADD",IF(E3305="[ALT_VIEW]","ALT",""))</f>
        <v/>
      </c>
      <c r="AD3305" s="21">
        <f>IF(Y3305&lt;&gt;"",Y3305,IF(U3305&lt;&gt;"",U3305,S3305))</f>
        <v/>
      </c>
      <c r="AE3305" s="21">
        <f>IF(AB3305&lt;&gt;"",AB3305,Z3305)</f>
        <v/>
      </c>
      <c r="AF3305" s="13" t="inlineStr">
        <is>
          <t>1507N &gt; BA 03 &gt; BSA 3 &gt; LI 3301 &gt; P-5 Item 3: Heavyweight Torpedo Support</t>
        </is>
      </c>
      <c r="AG3305" s="7" t="inlineStr">
        <is>
          <t>469</t>
        </is>
      </c>
      <c r="AH3305" s="7" t="inlineStr">
        <is>
          <t>3301</t>
        </is>
      </c>
      <c r="AI3305" s="7" t="inlineStr">
        <is>
          <t>Lightweight Torpedo Support Equipment</t>
        </is>
      </c>
    </row>
    <row r="3306" ht="10" customHeight="1">
      <c r="A3306" s="7" t="inlineStr">
        <is>
          <t>WPN</t>
        </is>
      </c>
      <c r="B3306" s="7" t="inlineStr">
        <is>
          <t>Procurement</t>
        </is>
      </c>
      <c r="C3306" s="7" t="inlineStr">
        <is>
          <t>3302</t>
        </is>
      </c>
      <c r="D3306" s="7" t="inlineStr">
        <is>
          <t>ASW Range Support</t>
        </is>
      </c>
      <c r="E3306" s="13" t="inlineStr">
        <is>
          <t>[REFERENCE]</t>
        </is>
      </c>
      <c r="I3306" s="14" t="n">
        <v>6</v>
      </c>
      <c r="K3306" s="15" t="n"/>
      <c r="O3306" s="15" t="n"/>
      <c r="P3306" s="16" t="n">
        <v>4146</v>
      </c>
      <c r="Q3306" s="16" t="n">
        <v>4039</v>
      </c>
      <c r="S3306" s="16" t="n">
        <v>4328</v>
      </c>
      <c r="U3306" s="16" t="n">
        <v>4328</v>
      </c>
      <c r="AC3306" s="23">
        <f>IF(OR(E3306="",E3306="[PARENT]"),"ADD",IF(E3306="[ALT_VIEW]","ALT",""))</f>
        <v/>
      </c>
      <c r="AD3306" s="21">
        <f>IF(Y3306&lt;&gt;"",Y3306,IF(U3306&lt;&gt;"",U3306,S3306))</f>
        <v/>
      </c>
      <c r="AE3306" s="21">
        <f>IF(AB3306&lt;&gt;"",AB3306,Z3306)</f>
        <v/>
      </c>
      <c r="AF3306" s="13" t="inlineStr">
        <is>
          <t>1507N &gt; BA 03 &gt; BSA 3: Support Equipment &gt; LI 3302 ASW Range Support</t>
        </is>
      </c>
      <c r="AG3306" s="7" t="inlineStr">
        <is>
          <t>483</t>
        </is>
      </c>
      <c r="AH3306" s="7" t="inlineStr">
        <is>
          <t>3302</t>
        </is>
      </c>
      <c r="AI3306" s="7" t="inlineStr">
        <is>
          <t>Joint Communications Support Element Modernization</t>
        </is>
      </c>
    </row>
    <row r="3307" ht="10" customHeight="1">
      <c r="A3307" s="7" t="inlineStr">
        <is>
          <t>WPN</t>
        </is>
      </c>
      <c r="B3307" s="7" t="inlineStr">
        <is>
          <t>Procurement</t>
        </is>
      </c>
      <c r="C3307" s="7" t="inlineStr">
        <is>
          <t>2410</t>
        </is>
      </c>
      <c r="D3307" s="7" t="inlineStr">
        <is>
          <t>First Destination Transportation</t>
        </is>
      </c>
      <c r="E3307" s="13" t="inlineStr">
        <is>
          <t>[REFERENCE]</t>
        </is>
      </c>
      <c r="I3307" s="14" t="n">
        <v>7</v>
      </c>
      <c r="K3307" s="15" t="n"/>
      <c r="O3307" s="15" t="n"/>
      <c r="P3307" s="16" t="n">
        <v>5811</v>
      </c>
      <c r="Q3307" s="16" t="n">
        <v>5669</v>
      </c>
      <c r="S3307" s="16" t="n">
        <v>5346</v>
      </c>
      <c r="U3307" s="16" t="n">
        <v>5346</v>
      </c>
      <c r="AC3307" s="23">
        <f>IF(OR(E3307="",E3307="[PARENT]"),"ADD",IF(E3307="[ALT_VIEW]","ALT",""))</f>
        <v/>
      </c>
      <c r="AD3307" s="21">
        <f>IF(Y3307&lt;&gt;"",Y3307,IF(U3307&lt;&gt;"",U3307,S3307))</f>
        <v/>
      </c>
      <c r="AE3307" s="21">
        <f>IF(AB3307&lt;&gt;"",AB3307,Z3307)</f>
        <v/>
      </c>
      <c r="AF3307" s="13" t="inlineStr">
        <is>
          <t>1507N &gt; BA 03 &gt; BSA 4: Destination Transportation &gt; LI 2410 FDT</t>
        </is>
      </c>
      <c r="AG3307" s="7" t="inlineStr">
        <is>
          <t>489</t>
        </is>
      </c>
      <c r="AH3307" s="7" t="inlineStr">
        <is>
          <t>2410</t>
        </is>
      </c>
      <c r="AI3307" s="7" t="inlineStr">
        <is>
          <t>FIRST DESTINATION TRANSPORTATION (FDT)</t>
        </is>
      </c>
    </row>
    <row r="3308" ht="10" customHeight="1">
      <c r="A3308" s="7" t="inlineStr">
        <is>
          <t>WPN</t>
        </is>
      </c>
      <c r="B3308" s="7" t="inlineStr">
        <is>
          <t>Procurement</t>
        </is>
      </c>
      <c r="C3308" s="7" t="inlineStr">
        <is>
          <t>4129</t>
        </is>
      </c>
      <c r="D3308" s="7" t="inlineStr">
        <is>
          <t>Small Arms and Weapons</t>
        </is>
      </c>
      <c r="E3308" s="13" t="inlineStr">
        <is>
          <t>[PARENT]</t>
        </is>
      </c>
      <c r="I3308" s="14" t="n">
        <v>4</v>
      </c>
      <c r="K3308" s="15" t="n"/>
      <c r="O3308" s="15" t="n"/>
      <c r="P3308" s="16" t="n">
        <v>16565</v>
      </c>
      <c r="Q3308" s="16" t="n">
        <v>12513</v>
      </c>
      <c r="S3308" s="16" t="n">
        <v>9987</v>
      </c>
      <c r="U3308" s="16" t="n">
        <v>9987</v>
      </c>
      <c r="Z3308" s="16" t="n">
        <v>13946</v>
      </c>
      <c r="AB3308" s="16" t="n">
        <v>13946</v>
      </c>
      <c r="AC3308" s="23">
        <f>IF(OR(E3308="",E3308="[PARENT]"),"ADD",IF(E3308="[ALT_VIEW]","ALT",""))</f>
        <v/>
      </c>
      <c r="AD3308" s="21">
        <f>IF(Y3308&lt;&gt;"",Y3308,IF(U3308&lt;&gt;"",U3308,S3308))</f>
        <v/>
      </c>
      <c r="AE3308" s="21">
        <f>IF(AB3308&lt;&gt;"",AB3308,Z3308)</f>
        <v/>
      </c>
      <c r="AF3308" s="13" t="inlineStr">
        <is>
          <t>1507N &gt; BA 04 &gt; BSA 1: Guns and Gun Mounts &gt; LI 4129 Small Arms and Weapons</t>
        </is>
      </c>
      <c r="AG3308" s="7" t="inlineStr">
        <is>
          <t>493</t>
        </is>
      </c>
      <c r="AH3308" s="7" t="inlineStr">
        <is>
          <t>4129</t>
        </is>
      </c>
    </row>
    <row r="3309" ht="10" customHeight="1">
      <c r="A3309" s="7" t="inlineStr">
        <is>
          <t>WPN</t>
        </is>
      </c>
      <c r="B3309" s="7" t="inlineStr">
        <is>
          <t>Procurement</t>
        </is>
      </c>
      <c r="D3309" s="7" t="inlineStr">
        <is>
          <t>Small Arms and Weapons: Expeditionary Warfare</t>
        </is>
      </c>
      <c r="E3309" s="13" t="inlineStr">
        <is>
          <t>[SUB]</t>
        </is>
      </c>
      <c r="F3309" s="7" t="inlineStr">
        <is>
          <t>4129 / Small Arms and Weapons</t>
        </is>
      </c>
      <c r="I3309" s="14" t="n">
        <v>4</v>
      </c>
      <c r="K3309" s="15" t="n"/>
      <c r="O3309" s="15" t="n"/>
      <c r="P3309" s="16" t="n">
        <v>10607</v>
      </c>
      <c r="Q3309" s="16" t="n">
        <v>6828</v>
      </c>
      <c r="S3309" s="16" t="n">
        <v>5357</v>
      </c>
      <c r="U3309" s="16" t="n">
        <v>5357</v>
      </c>
      <c r="AC3309" s="23">
        <f>IF(OR(E3309="",E3309="[PARENT]"),"ADD",IF(E3309="[ALT_VIEW]","ALT",""))</f>
        <v/>
      </c>
      <c r="AD3309" s="21">
        <f>IF(Y3309&lt;&gt;"",Y3309,IF(U3309&lt;&gt;"",U3309,S3309))</f>
        <v/>
      </c>
      <c r="AE3309" s="21">
        <f>IF(AB3309&lt;&gt;"",AB3309,Z3309)</f>
        <v/>
      </c>
      <c r="AF3309" s="13" t="inlineStr">
        <is>
          <t>1507N &gt; BA 04 &gt; LI 4129 &gt; P-5 Item 1: Expeditionary Warfare</t>
        </is>
      </c>
      <c r="AG3309" s="7" t="inlineStr">
        <is>
          <t>495</t>
        </is>
      </c>
      <c r="AH3309" s="7" t="inlineStr">
        <is>
          <t>4129</t>
        </is>
      </c>
      <c r="AI3309" s="7" t="inlineStr">
        <is>
          <t>EXPEDITIONARY WARFARE</t>
        </is>
      </c>
    </row>
    <row r="3310" ht="10" customHeight="1">
      <c r="A3310" s="7" t="inlineStr">
        <is>
          <t>WPN</t>
        </is>
      </c>
      <c r="B3310" s="7" t="inlineStr">
        <is>
          <t>Procurement</t>
        </is>
      </c>
      <c r="D3310" s="7" t="inlineStr">
        <is>
          <t>Small Arms and Weapons: Surface Warfare</t>
        </is>
      </c>
      <c r="E3310" s="13" t="inlineStr">
        <is>
          <t>[SUB]</t>
        </is>
      </c>
      <c r="F3310" s="7" t="inlineStr">
        <is>
          <t>4129 / Small Arms and Weapons</t>
        </is>
      </c>
      <c r="I3310" s="14" t="n">
        <v>4</v>
      </c>
      <c r="K3310" s="15" t="n"/>
      <c r="O3310" s="15" t="n"/>
      <c r="P3310" s="16" t="n">
        <v>5958</v>
      </c>
      <c r="Q3310" s="16" t="n">
        <v>5685</v>
      </c>
      <c r="S3310" s="16" t="n">
        <v>4630</v>
      </c>
      <c r="U3310" s="16" t="n">
        <v>4630</v>
      </c>
      <c r="AC3310" s="23">
        <f>IF(OR(E3310="",E3310="[PARENT]"),"ADD",IF(E3310="[ALT_VIEW]","ALT",""))</f>
        <v/>
      </c>
      <c r="AD3310" s="21">
        <f>IF(Y3310&lt;&gt;"",Y3310,IF(U3310&lt;&gt;"",U3310,S3310))</f>
        <v/>
      </c>
      <c r="AE3310" s="21">
        <f>IF(AB3310&lt;&gt;"",AB3310,Z3310)</f>
        <v/>
      </c>
      <c r="AF3310" s="13" t="inlineStr">
        <is>
          <t>1507N &gt; BA 04 &gt; LI 4129 &gt; P-5 Item 2: Surface Warfare</t>
        </is>
      </c>
      <c r="AG3310" s="7" t="inlineStr">
        <is>
          <t>505</t>
        </is>
      </c>
      <c r="AH3310" s="7" t="inlineStr">
        <is>
          <t>4129</t>
        </is>
      </c>
    </row>
    <row r="3311" ht="10" customHeight="1">
      <c r="A3311" s="7" t="inlineStr">
        <is>
          <t>WPN</t>
        </is>
      </c>
      <c r="B3311" s="7" t="inlineStr">
        <is>
          <t>Procurement</t>
        </is>
      </c>
      <c r="C3311" s="7" t="inlineStr">
        <is>
          <t>4205</t>
        </is>
      </c>
      <c r="D3311" s="7" t="inlineStr">
        <is>
          <t>Close-In Weapons System (CIWS) Mods</t>
        </is>
      </c>
      <c r="E3311" s="15" t="n"/>
      <c r="I3311" s="14" t="n">
        <v>4</v>
      </c>
      <c r="K3311" s="15" t="n"/>
      <c r="O3311" s="15" t="n"/>
      <c r="P3311" s="16" t="n">
        <v>4088</v>
      </c>
      <c r="Q3311" s="16" t="n">
        <v>4266</v>
      </c>
      <c r="S3311" s="16" t="n">
        <v>8122</v>
      </c>
      <c r="U3311" s="16" t="n">
        <v>8122</v>
      </c>
      <c r="Z3311" s="16" t="n">
        <v>7939</v>
      </c>
      <c r="AB3311" s="16" t="n">
        <v>7939</v>
      </c>
      <c r="AC3311" s="23">
        <f>IF(OR(E3311="",E3311="[PARENT]"),"ADD",IF(E3311="[ALT_VIEW]","ALT",""))</f>
        <v/>
      </c>
      <c r="AD3311" s="21">
        <f>IF(Y3311&lt;&gt;"",Y3311,IF(U3311&lt;&gt;"",U3311,S3311))</f>
        <v/>
      </c>
      <c r="AE3311" s="21">
        <f>IF(AB3311&lt;&gt;"",AB3311,Z3311)</f>
        <v/>
      </c>
      <c r="AF3311" s="13" t="inlineStr">
        <is>
          <t>1507N &gt; BA 04 &gt; BSA 2: Mod of Guns and Gun Mounts &gt; LI 4205 CIWS Mods</t>
        </is>
      </c>
      <c r="AG3311" s="7" t="inlineStr">
        <is>
          <t>509</t>
        </is>
      </c>
      <c r="AH3311" s="7" t="inlineStr">
        <is>
          <t>4205</t>
        </is>
      </c>
      <c r="AI3311" s="7" t="inlineStr">
        <is>
          <t>Close-In Wpns Sys (CIWS) Mods</t>
        </is>
      </c>
    </row>
    <row r="3312" ht="10" customHeight="1">
      <c r="A3312" s="7" t="inlineStr">
        <is>
          <t>WPN</t>
        </is>
      </c>
      <c r="B3312" s="7" t="inlineStr">
        <is>
          <t>Procurement</t>
        </is>
      </c>
      <c r="C3312" s="7" t="inlineStr">
        <is>
          <t>4206</t>
        </is>
      </c>
      <c r="D3312" s="7" t="inlineStr">
        <is>
          <t>Coast Guard Weapons</t>
        </is>
      </c>
      <c r="E3312" s="13" t="inlineStr">
        <is>
          <t>[PARENT]</t>
        </is>
      </c>
      <c r="I3312" s="14" t="n">
        <v>4</v>
      </c>
      <c r="K3312" s="15" t="n"/>
      <c r="O3312" s="15" t="n"/>
      <c r="P3312" s="16" t="n">
        <v>55172</v>
      </c>
      <c r="Q3312" s="16" t="n">
        <v>54794</v>
      </c>
      <c r="S3312" s="16" t="n">
        <v>44455</v>
      </c>
      <c r="U3312" s="16" t="n">
        <v>44455</v>
      </c>
      <c r="Z3312" s="16" t="n">
        <v>49537</v>
      </c>
      <c r="AB3312" s="16" t="n">
        <v>49537</v>
      </c>
      <c r="AC3312" s="23">
        <f>IF(OR(E3312="",E3312="[PARENT]"),"ADD",IF(E3312="[ALT_VIEW]","ALT",""))</f>
        <v/>
      </c>
      <c r="AD3312" s="21">
        <f>IF(Y3312&lt;&gt;"",Y3312,IF(U3312&lt;&gt;"",U3312,S3312))</f>
        <v/>
      </c>
      <c r="AE3312" s="21">
        <f>IF(AB3312&lt;&gt;"",AB3312,Z3312)</f>
        <v/>
      </c>
      <c r="AF3312" s="13" t="inlineStr">
        <is>
          <t>1507N &gt; BA 04 &gt; BSA 2: Mod of Guns and Gun Mounts &gt; LI 4206 Coast Guard Weapons</t>
        </is>
      </c>
      <c r="AG3312" s="7" t="inlineStr">
        <is>
          <t>519</t>
        </is>
      </c>
      <c r="AH3312" s="7" t="inlineStr">
        <is>
          <t>4206</t>
        </is>
      </c>
      <c r="AI3312" s="7" t="inlineStr">
        <is>
          <t>Coast Guard Weapons</t>
        </is>
      </c>
    </row>
    <row r="3313" ht="10" customHeight="1">
      <c r="A3313" s="7" t="inlineStr">
        <is>
          <t>WPN</t>
        </is>
      </c>
      <c r="B3313" s="7" t="inlineStr">
        <is>
          <t>Procurement</t>
        </is>
      </c>
      <c r="D3313" s="7" t="inlineStr">
        <is>
          <t>Coast Guard Weapons: MK 110 Gun (57mm)</t>
        </is>
      </c>
      <c r="E3313" s="13" t="inlineStr">
        <is>
          <t>[SUB]</t>
        </is>
      </c>
      <c r="F3313" s="7" t="inlineStr">
        <is>
          <t>53 / Coast Guard Weapons</t>
        </is>
      </c>
      <c r="I3313" s="14" t="n">
        <v>4</v>
      </c>
      <c r="K3313" s="15" t="n"/>
      <c r="O3313" s="15" t="n"/>
      <c r="P3313" s="16" t="n">
        <v>10607</v>
      </c>
      <c r="Q3313" s="16" t="n">
        <v>14128</v>
      </c>
      <c r="S3313" s="16" t="n">
        <v>21987</v>
      </c>
      <c r="U3313" s="16" t="n">
        <v>21987</v>
      </c>
      <c r="AC3313" s="23">
        <f>IF(OR(E3313="",E3313="[PARENT]"),"ADD",IF(E3313="[ALT_VIEW]","ALT",""))</f>
        <v/>
      </c>
      <c r="AD3313" s="21">
        <f>IF(Y3313&lt;&gt;"",Y3313,IF(U3313&lt;&gt;"",U3313,S3313))</f>
        <v/>
      </c>
      <c r="AE3313" s="21">
        <f>IF(AB3313&lt;&gt;"",AB3313,Z3313)</f>
        <v/>
      </c>
      <c r="AF3313" s="13" t="inlineStr">
        <is>
          <t>1507N &gt; BA 04 &gt; BSA 2 &gt; LI 4206 &gt; CG002 MK 110 GUN</t>
        </is>
      </c>
      <c r="AG3313" s="7" t="inlineStr">
        <is>
          <t>519</t>
        </is>
      </c>
      <c r="AH3313" s="7" t="inlineStr">
        <is>
          <t>4206</t>
        </is>
      </c>
      <c r="AI3313" s="7" t="inlineStr">
        <is>
          <t>Coast Guard Weapons</t>
        </is>
      </c>
    </row>
    <row r="3314" ht="10" customHeight="1">
      <c r="A3314" s="7" t="inlineStr">
        <is>
          <t>WPN</t>
        </is>
      </c>
      <c r="B3314" s="7" t="inlineStr">
        <is>
          <t>Procurement</t>
        </is>
      </c>
      <c r="D3314" s="7" t="inlineStr">
        <is>
          <t>Coast Guard Weapons: MK 160 GCS</t>
        </is>
      </c>
      <c r="E3314" s="13" t="inlineStr">
        <is>
          <t>[SUB]</t>
        </is>
      </c>
      <c r="F3314" s="7" t="inlineStr">
        <is>
          <t>53 / Coast Guard Weapons</t>
        </is>
      </c>
      <c r="I3314" s="14" t="n">
        <v>4</v>
      </c>
      <c r="K3314" s="15" t="n"/>
      <c r="O3314" s="15" t="n"/>
      <c r="P3314" s="16" t="n">
        <v>6005</v>
      </c>
      <c r="Q3314" s="16" t="n">
        <v>7668</v>
      </c>
      <c r="S3314" s="16" t="n">
        <v>6843</v>
      </c>
      <c r="U3314" s="16" t="n">
        <v>6843</v>
      </c>
      <c r="AC3314" s="23">
        <f>IF(OR(E3314="",E3314="[PARENT]"),"ADD",IF(E3314="[ALT_VIEW]","ALT",""))</f>
        <v/>
      </c>
      <c r="AD3314" s="21">
        <f>IF(Y3314&lt;&gt;"",Y3314,IF(U3314&lt;&gt;"",U3314,S3314))</f>
        <v/>
      </c>
      <c r="AE3314" s="21">
        <f>IF(AB3314&lt;&gt;"",AB3314,Z3314)</f>
        <v/>
      </c>
      <c r="AF3314" s="13" t="inlineStr">
        <is>
          <t>1507N &gt; BA 04 &gt; BSA 2 &gt; LI 4206 &gt; CG003 MK 160 GCS</t>
        </is>
      </c>
      <c r="AG3314" s="7" t="inlineStr">
        <is>
          <t>519</t>
        </is>
      </c>
      <c r="AH3314" s="7" t="inlineStr">
        <is>
          <t>4206</t>
        </is>
      </c>
      <c r="AI3314" s="7" t="inlineStr">
        <is>
          <t>Coast Guard Weapons</t>
        </is>
      </c>
    </row>
    <row r="3315" ht="10" customHeight="1">
      <c r="A3315" s="7" t="inlineStr">
        <is>
          <t>WPN</t>
        </is>
      </c>
      <c r="B3315" s="7" t="inlineStr">
        <is>
          <t>Procurement</t>
        </is>
      </c>
      <c r="D3315" s="7" t="inlineStr">
        <is>
          <t>Coast Guard Weapons: MK 38 Machine Gun Systems</t>
        </is>
      </c>
      <c r="E3315" s="13" t="inlineStr">
        <is>
          <t>[SUB]</t>
        </is>
      </c>
      <c r="F3315" s="7" t="inlineStr">
        <is>
          <t>53 / Coast Guard Weapons</t>
        </is>
      </c>
      <c r="I3315" s="14" t="n">
        <v>4</v>
      </c>
      <c r="K3315" s="15" t="n"/>
      <c r="O3315" s="15" t="n"/>
      <c r="P3315" s="16" t="n">
        <v>29389</v>
      </c>
      <c r="Q3315" s="16" t="n">
        <v>24760</v>
      </c>
      <c r="S3315" s="16" t="n">
        <v>8182</v>
      </c>
      <c r="U3315" s="16" t="n">
        <v>8182</v>
      </c>
      <c r="AC3315" s="23">
        <f>IF(OR(E3315="",E3315="[PARENT]"),"ADD",IF(E3315="[ALT_VIEW]","ALT",""))</f>
        <v/>
      </c>
      <c r="AD3315" s="21">
        <f>IF(Y3315&lt;&gt;"",Y3315,IF(U3315&lt;&gt;"",U3315,S3315))</f>
        <v/>
      </c>
      <c r="AE3315" s="21">
        <f>IF(AB3315&lt;&gt;"",AB3315,Z3315)</f>
        <v/>
      </c>
      <c r="AF3315" s="13" t="inlineStr">
        <is>
          <t>1507N &gt; BA 04 &gt; BSA 2 &gt; LI 4206 &gt; CG004 MK 38 MGS</t>
        </is>
      </c>
      <c r="AG3315" s="7" t="inlineStr">
        <is>
          <t>519</t>
        </is>
      </c>
      <c r="AH3315" s="7" t="inlineStr">
        <is>
          <t>4206</t>
        </is>
      </c>
      <c r="AI3315" s="7" t="inlineStr">
        <is>
          <t>Coast Guard Weapons</t>
        </is>
      </c>
    </row>
    <row r="3316" ht="10" customHeight="1">
      <c r="A3316" s="7" t="inlineStr">
        <is>
          <t>WPN</t>
        </is>
      </c>
      <c r="B3316" s="7" t="inlineStr">
        <is>
          <t>Procurement</t>
        </is>
      </c>
      <c r="D3316" s="7" t="inlineStr">
        <is>
          <t>Coast Guard Weapons: Gun Weapon System Integration</t>
        </is>
      </c>
      <c r="E3316" s="13" t="inlineStr">
        <is>
          <t>[SUB]</t>
        </is>
      </c>
      <c r="F3316" s="7" t="inlineStr">
        <is>
          <t>53 / Coast Guard Weapons</t>
        </is>
      </c>
      <c r="I3316" s="14" t="n">
        <v>4</v>
      </c>
      <c r="K3316" s="15" t="n"/>
      <c r="O3316" s="15" t="n"/>
      <c r="P3316" s="16" t="n">
        <v>9171</v>
      </c>
      <c r="Q3316" s="16" t="n">
        <v>8238</v>
      </c>
      <c r="S3316" s="16" t="n">
        <v>7443</v>
      </c>
      <c r="U3316" s="16" t="n">
        <v>7443</v>
      </c>
      <c r="AC3316" s="23">
        <f>IF(OR(E3316="",E3316="[PARENT]"),"ADD",IF(E3316="[ALT_VIEW]","ALT",""))</f>
        <v/>
      </c>
      <c r="AD3316" s="21">
        <f>IF(Y3316&lt;&gt;"",Y3316,IF(U3316&lt;&gt;"",U3316,S3316))</f>
        <v/>
      </c>
      <c r="AE3316" s="21">
        <f>IF(AB3316&lt;&gt;"",AB3316,Z3316)</f>
        <v/>
      </c>
      <c r="AF3316" s="13" t="inlineStr">
        <is>
          <t>1507N &gt; BA 04 &gt; BSA 2 &gt; LI 4206 &gt; CG005 GWS Integration</t>
        </is>
      </c>
      <c r="AG3316" s="7" t="inlineStr">
        <is>
          <t>519</t>
        </is>
      </c>
      <c r="AH3316" s="7" t="inlineStr">
        <is>
          <t>4206</t>
        </is>
      </c>
      <c r="AI3316" s="7" t="inlineStr">
        <is>
          <t>Coast Guard Weapons</t>
        </is>
      </c>
    </row>
    <row r="3317" ht="10" customHeight="1">
      <c r="A3317" s="7" t="inlineStr">
        <is>
          <t>WPN</t>
        </is>
      </c>
      <c r="B3317" s="7" t="inlineStr">
        <is>
          <t>Procurement</t>
        </is>
      </c>
      <c r="C3317" s="7" t="inlineStr">
        <is>
          <t>4217</t>
        </is>
      </c>
      <c r="D3317" s="7" t="inlineStr">
        <is>
          <t>Gun Mount Mods</t>
        </is>
      </c>
      <c r="E3317" s="13" t="inlineStr">
        <is>
          <t>[PARENT]</t>
        </is>
      </c>
      <c r="I3317" s="14" t="n">
        <v>4</v>
      </c>
      <c r="K3317" s="15" t="n"/>
      <c r="O3317" s="15" t="n"/>
      <c r="P3317" s="16" t="n">
        <v>95282</v>
      </c>
      <c r="Q3317" s="16" t="n">
        <v>82246</v>
      </c>
      <c r="S3317" s="16" t="n">
        <v>83969</v>
      </c>
      <c r="U3317" s="16" t="n">
        <v>83969</v>
      </c>
      <c r="Z3317" s="16" t="n">
        <v>84004</v>
      </c>
      <c r="AB3317" s="16" t="n">
        <v>84004</v>
      </c>
      <c r="AC3317" s="23">
        <f>IF(OR(E3317="",E3317="[PARENT]"),"ADD",IF(E3317="[ALT_VIEW]","ALT",""))</f>
        <v/>
      </c>
      <c r="AD3317" s="21">
        <f>IF(Y3317&lt;&gt;"",Y3317,IF(U3317&lt;&gt;"",U3317,S3317))</f>
        <v/>
      </c>
      <c r="AE3317" s="21">
        <f>IF(AB3317&lt;&gt;"",AB3317,Z3317)</f>
        <v/>
      </c>
      <c r="AF3317" s="13" t="inlineStr">
        <is>
          <t>1507N &gt; BA 04 &gt; BSA 2: Mod of Guns and Gun Mounts &gt; LI 4217 Gun Mount Mods</t>
        </is>
      </c>
      <c r="AG3317" s="7" t="inlineStr">
        <is>
          <t>543</t>
        </is>
      </c>
      <c r="AH3317" s="7" t="inlineStr">
        <is>
          <t>4217</t>
        </is>
      </c>
      <c r="AI3317" s="7" t="inlineStr">
        <is>
          <t>Advanced Arresting Gear (AAG)</t>
        </is>
      </c>
    </row>
    <row r="3318" ht="10" customHeight="1">
      <c r="A3318" s="7" t="inlineStr">
        <is>
          <t>WPN</t>
        </is>
      </c>
      <c r="B3318" s="7" t="inlineStr">
        <is>
          <t>Procurement</t>
        </is>
      </c>
      <c r="D3318" s="7" t="inlineStr">
        <is>
          <t>Gun Mount Mods: Medium Caliber</t>
        </is>
      </c>
      <c r="E3318" s="13" t="inlineStr">
        <is>
          <t>[SUB]</t>
        </is>
      </c>
      <c r="F3318" s="7" t="inlineStr">
        <is>
          <t>54 / Gun Mount Mods</t>
        </is>
      </c>
      <c r="I3318" s="14" t="n">
        <v>4</v>
      </c>
      <c r="K3318" s="13" t="inlineStr">
        <is>
          <t>USN</t>
        </is>
      </c>
      <c r="L3318" s="7" t="inlineStr">
        <is>
          <t>Combatant Ships</t>
        </is>
      </c>
      <c r="M3318" s="7" t="inlineStr">
        <is>
          <t>Surface Combatants</t>
        </is>
      </c>
      <c r="O3318" s="15" t="n"/>
      <c r="P3318" s="16" t="n">
        <v>3825</v>
      </c>
      <c r="Q3318" s="16" t="n">
        <v>3197</v>
      </c>
      <c r="S3318" s="16" t="n">
        <v>4197</v>
      </c>
      <c r="U3318" s="16" t="n">
        <v>4197</v>
      </c>
      <c r="AC3318" s="23">
        <f>IF(OR(E3318="",E3318="[PARENT]"),"ADD",IF(E3318="[ALT_VIEW]","ALT",""))</f>
        <v/>
      </c>
      <c r="AD3318" s="21">
        <f>IF(Y3318&lt;&gt;"",Y3318,IF(U3318&lt;&gt;"",U3318,S3318))</f>
        <v/>
      </c>
      <c r="AE3318" s="21">
        <f>IF(AB3318&lt;&gt;"",AB3318,Z3318)</f>
        <v/>
      </c>
      <c r="AF3318" s="13" t="inlineStr">
        <is>
          <t>1507N &gt; BA 04 &gt; BSA 2 &gt; LI 4217 &gt; E5002 Medium Caliber Gun Mods</t>
        </is>
      </c>
      <c r="AG3318" s="7" t="inlineStr">
        <is>
          <t>543</t>
        </is>
      </c>
      <c r="AH3318" s="7" t="inlineStr">
        <is>
          <t>4217</t>
        </is>
      </c>
      <c r="AI3318" s="7" t="inlineStr">
        <is>
          <t>Advanced Arresting Gear (AAG)</t>
        </is>
      </c>
    </row>
    <row r="3319" ht="10" customHeight="1">
      <c r="A3319" s="7" t="inlineStr">
        <is>
          <t>WPN</t>
        </is>
      </c>
      <c r="B3319" s="7" t="inlineStr">
        <is>
          <t>Procurement</t>
        </is>
      </c>
      <c r="D3319" s="7" t="inlineStr">
        <is>
          <t>Gun Mount Mods: Minor Caliber (MK38)</t>
        </is>
      </c>
      <c r="E3319" s="13" t="inlineStr">
        <is>
          <t>[SUB]</t>
        </is>
      </c>
      <c r="F3319" s="7" t="inlineStr">
        <is>
          <t>54 / Gun Mount Mods</t>
        </is>
      </c>
      <c r="I3319" s="14" t="n">
        <v>4</v>
      </c>
      <c r="K3319" s="15" t="n"/>
      <c r="O3319" s="15" t="n"/>
      <c r="P3319" s="16" t="n">
        <v>82735</v>
      </c>
      <c r="Q3319" s="16" t="n">
        <v>71102</v>
      </c>
      <c r="S3319" s="16" t="n">
        <v>70001</v>
      </c>
      <c r="U3319" s="16" t="n">
        <v>70001</v>
      </c>
      <c r="AC3319" s="23">
        <f>IF(OR(E3319="",E3319="[PARENT]"),"ADD",IF(E3319="[ALT_VIEW]","ALT",""))</f>
        <v/>
      </c>
      <c r="AD3319" s="21">
        <f>IF(Y3319&lt;&gt;"",Y3319,IF(U3319&lt;&gt;"",U3319,S3319))</f>
        <v/>
      </c>
      <c r="AE3319" s="21">
        <f>IF(AB3319&lt;&gt;"",AB3319,Z3319)</f>
        <v/>
      </c>
      <c r="AF3319" s="13" t="inlineStr">
        <is>
          <t>1507N &gt; BA 04 &gt; BSA 2 &gt; LI 4217 &gt; E5006 Minor Caliber Gun Mods</t>
        </is>
      </c>
      <c r="AG3319" s="7" t="inlineStr">
        <is>
          <t>543</t>
        </is>
      </c>
      <c r="AH3319" s="7" t="inlineStr">
        <is>
          <t>4217</t>
        </is>
      </c>
      <c r="AI3319" s="7" t="inlineStr">
        <is>
          <t>Advanced Arresting Gear (AAG)</t>
        </is>
      </c>
    </row>
    <row r="3320" ht="10" customHeight="1">
      <c r="A3320" s="7" t="inlineStr">
        <is>
          <t>WPN</t>
        </is>
      </c>
      <c r="B3320" s="7" t="inlineStr">
        <is>
          <t>Procurement</t>
        </is>
      </c>
      <c r="D3320" s="7" t="inlineStr">
        <is>
          <t>Gun Mount Mods: Major Caliber (MK45)</t>
        </is>
      </c>
      <c r="E3320" s="13" t="inlineStr">
        <is>
          <t>[SUB]</t>
        </is>
      </c>
      <c r="F3320" s="7" t="inlineStr">
        <is>
          <t>54 / Gun Mount Mods</t>
        </is>
      </c>
      <c r="I3320" s="14" t="n">
        <v>4</v>
      </c>
      <c r="K3320" s="13" t="inlineStr">
        <is>
          <t>USN</t>
        </is>
      </c>
      <c r="L3320" s="7" t="inlineStr">
        <is>
          <t>Combatant Ships</t>
        </is>
      </c>
      <c r="M3320" s="7" t="inlineStr">
        <is>
          <t>Surface Combatants</t>
        </is>
      </c>
      <c r="O3320" s="15" t="n"/>
      <c r="P3320" s="16" t="n">
        <v>8722</v>
      </c>
      <c r="Q3320" s="16" t="n">
        <v>7947</v>
      </c>
      <c r="S3320" s="16" t="n">
        <v>9771</v>
      </c>
      <c r="U3320" s="16" t="n">
        <v>9771</v>
      </c>
      <c r="AC3320" s="23">
        <f>IF(OR(E3320="",E3320="[PARENT]"),"ADD",IF(E3320="[ALT_VIEW]","ALT",""))</f>
        <v/>
      </c>
      <c r="AD3320" s="21">
        <f>IF(Y3320&lt;&gt;"",Y3320,IF(U3320&lt;&gt;"",U3320,S3320))</f>
        <v/>
      </c>
      <c r="AE3320" s="21">
        <f>IF(AB3320&lt;&gt;"",AB3320,Z3320)</f>
        <v/>
      </c>
      <c r="AF3320" s="13" t="inlineStr">
        <is>
          <t>1507N &gt; BA 04 &gt; BSA 2 &gt; LI 4217 &gt; E5011 Major Caliber Gun Mods</t>
        </is>
      </c>
      <c r="AG3320" s="7" t="inlineStr">
        <is>
          <t>543</t>
        </is>
      </c>
      <c r="AH3320" s="7" t="inlineStr">
        <is>
          <t>4217</t>
        </is>
      </c>
      <c r="AI3320" s="7" t="inlineStr">
        <is>
          <t>Advanced Arresting Gear (AAG)</t>
        </is>
      </c>
    </row>
    <row r="3321" ht="10" customHeight="1">
      <c r="A3321" s="7" t="inlineStr">
        <is>
          <t>WPN</t>
        </is>
      </c>
      <c r="B3321" s="7" t="inlineStr">
        <is>
          <t>Procurement</t>
        </is>
      </c>
      <c r="C3321" s="7" t="inlineStr">
        <is>
          <t>4221</t>
        </is>
      </c>
      <c r="D3321" s="7" t="inlineStr">
        <is>
          <t>LCS Module Weapons</t>
        </is>
      </c>
      <c r="E3321" s="15" t="n"/>
      <c r="I3321" s="14" t="n">
        <v>4</v>
      </c>
      <c r="K3321" s="13" t="inlineStr">
        <is>
          <t>USN</t>
        </is>
      </c>
      <c r="L3321" s="7" t="inlineStr">
        <is>
          <t>Combatant Ships</t>
        </is>
      </c>
      <c r="M3321" s="7" t="inlineStr">
        <is>
          <t>Surface Combatants</t>
        </is>
      </c>
      <c r="N3321" s="7" t="inlineStr">
        <is>
          <t>LCS</t>
        </is>
      </c>
      <c r="O3321" s="15" t="n"/>
      <c r="P3321" s="16" t="n">
        <v>3264</v>
      </c>
      <c r="Q3321" s="16" t="n">
        <v>2463</v>
      </c>
      <c r="S3321" s="16" t="n">
        <v>2200</v>
      </c>
      <c r="U3321" s="16" t="n">
        <v>2200</v>
      </c>
      <c r="Z3321" s="16" t="n">
        <v>2190</v>
      </c>
      <c r="AB3321" s="16" t="n">
        <v>2190</v>
      </c>
      <c r="AC3321" s="23">
        <f>IF(OR(E3321="",E3321="[PARENT]"),"ADD",IF(E3321="[ALT_VIEW]","ALT",""))</f>
        <v/>
      </c>
      <c r="AD3321" s="21">
        <f>IF(Y3321&lt;&gt;"",Y3321,IF(U3321&lt;&gt;"",U3321,S3321))</f>
        <v/>
      </c>
      <c r="AE3321" s="21">
        <f>IF(AB3321&lt;&gt;"",AB3321,Z3321)</f>
        <v/>
      </c>
      <c r="AF3321" s="13" t="inlineStr">
        <is>
          <t>1507N &gt; BA 04 &gt; BSA 2: Mod of Guns and Gun Mounts &gt; LI 4221 LCS Module Weapons</t>
        </is>
      </c>
      <c r="AG3321" s="7" t="inlineStr">
        <is>
          <t>557</t>
        </is>
      </c>
      <c r="AH3321" s="7" t="inlineStr">
        <is>
          <t>4221</t>
        </is>
      </c>
      <c r="AI3321" s="7" t="inlineStr">
        <is>
          <t>LCS Module Weapons</t>
        </is>
      </c>
    </row>
    <row r="3322" ht="10" customHeight="1">
      <c r="A3322" s="7" t="inlineStr">
        <is>
          <t>WPN</t>
        </is>
      </c>
      <c r="B3322" s="7" t="inlineStr">
        <is>
          <t>Procurement</t>
        </is>
      </c>
      <c r="C3322" s="7" t="inlineStr">
        <is>
          <t>4225</t>
        </is>
      </c>
      <c r="D3322" s="7" t="inlineStr">
        <is>
          <t>Airborne Mine Neutralization Systems</t>
        </is>
      </c>
      <c r="E3322" s="13" t="inlineStr">
        <is>
          <t>[REFERENCE]</t>
        </is>
      </c>
      <c r="I3322" s="14" t="n">
        <v>4</v>
      </c>
      <c r="K3322" s="13" t="inlineStr">
        <is>
          <t>USN</t>
        </is>
      </c>
      <c r="L3322" s="7" t="inlineStr">
        <is>
          <t>Combatant Ships</t>
        </is>
      </c>
      <c r="M3322" s="7" t="inlineStr">
        <is>
          <t>Mine Warfare</t>
        </is>
      </c>
      <c r="N3322" s="7" t="inlineStr">
        <is>
          <t>MCM</t>
        </is>
      </c>
      <c r="O3322" s="15" t="n"/>
      <c r="P3322" s="16" t="n">
        <v>14357</v>
      </c>
      <c r="Q3322" s="16" t="n">
        <v>11635</v>
      </c>
      <c r="S3322" s="16" t="n">
        <v>14413</v>
      </c>
      <c r="U3322" s="16" t="n">
        <v>14413</v>
      </c>
      <c r="AC3322" s="23">
        <f>IF(OR(E3322="",E3322="[PARENT]"),"ADD",IF(E3322="[ALT_VIEW]","ALT",""))</f>
        <v/>
      </c>
      <c r="AD3322" s="21">
        <f>IF(Y3322&lt;&gt;"",Y3322,IF(U3322&lt;&gt;"",U3322,S3322))</f>
        <v/>
      </c>
      <c r="AE3322" s="21">
        <f>IF(AB3322&lt;&gt;"",AB3322,Z3322)</f>
        <v/>
      </c>
      <c r="AF3322" s="13" t="inlineStr">
        <is>
          <t>1507N &gt; BA 04 &gt; BSA 2: Mod of Guns and Gun Mounts &gt; LI 4225 Airborne Mine Neutralization</t>
        </is>
      </c>
      <c r="AG3322" s="7" t="inlineStr">
        <is>
          <t>565</t>
        </is>
      </c>
      <c r="AH3322" s="7" t="inlineStr">
        <is>
          <t>4225</t>
        </is>
      </c>
      <c r="AI3322" s="7" t="inlineStr">
        <is>
          <t>ARCHERFISH Mine Neutralization Combat Rounds</t>
        </is>
      </c>
    </row>
    <row r="3323" ht="10" customHeight="1">
      <c r="A3323" s="7" t="inlineStr">
        <is>
          <t>WPN</t>
        </is>
      </c>
      <c r="B3323" s="7" t="inlineStr">
        <is>
          <t>Procurement</t>
        </is>
      </c>
      <c r="C3323" s="7" t="inlineStr">
        <is>
          <t>6120</t>
        </is>
      </c>
      <c r="D3323" s="7" t="inlineStr">
        <is>
          <t>Spares and Repair Parts</t>
        </is>
      </c>
      <c r="E3323" s="13" t="inlineStr">
        <is>
          <t>[PARENT]</t>
        </is>
      </c>
      <c r="I3323" s="14" t="n">
        <v>6</v>
      </c>
      <c r="K3323" s="15" t="n"/>
      <c r="O3323" s="15" t="n"/>
      <c r="P3323" s="16" t="n">
        <v>177819</v>
      </c>
      <c r="Q3323" s="16" t="n">
        <v>240697</v>
      </c>
      <c r="S3323" s="16" t="n">
        <v>202425</v>
      </c>
      <c r="U3323" s="16" t="n">
        <v>202425</v>
      </c>
      <c r="Z3323" s="16" t="n">
        <v>167242</v>
      </c>
      <c r="AB3323" s="16" t="n">
        <v>167242</v>
      </c>
      <c r="AC3323" s="23">
        <f>IF(OR(E3323="",E3323="[PARENT]"),"ADD",IF(E3323="[ALT_VIEW]","ALT",""))</f>
        <v/>
      </c>
      <c r="AD3323" s="21">
        <f>IF(Y3323&lt;&gt;"",Y3323,IF(U3323&lt;&gt;"",U3323,S3323))</f>
        <v/>
      </c>
      <c r="AE3323" s="21">
        <f>IF(AB3323&lt;&gt;"",AB3323,Z3323)</f>
        <v/>
      </c>
      <c r="AF3323" s="13" t="inlineStr">
        <is>
          <t>1507N &gt; BA 06 &gt; BSA 1: Spares and Repair Parts &gt; LI 6120 Spares</t>
        </is>
      </c>
      <c r="AG3323" s="7" t="inlineStr">
        <is>
          <t>575</t>
        </is>
      </c>
      <c r="AH3323" s="7" t="inlineStr">
        <is>
          <t>6120</t>
        </is>
      </c>
    </row>
    <row r="3324" ht="10" customHeight="1">
      <c r="A3324" s="7" t="inlineStr">
        <is>
          <t>WPN</t>
        </is>
      </c>
      <c r="B3324" s="7" t="inlineStr">
        <is>
          <t>Procurement</t>
        </is>
      </c>
      <c r="D3324" s="7" t="inlineStr">
        <is>
          <t>Spares and Repair Parts: Initial Spares</t>
        </is>
      </c>
      <c r="E3324" s="13" t="inlineStr">
        <is>
          <t>[SUB]</t>
        </is>
      </c>
      <c r="F3324" s="7" t="inlineStr">
        <is>
          <t>61 / Spares and Repair Parts</t>
        </is>
      </c>
      <c r="I3324" s="14" t="n">
        <v>6</v>
      </c>
      <c r="K3324" s="15" t="n"/>
      <c r="O3324" s="15" t="n"/>
      <c r="S3324" s="16" t="n">
        <v>46346</v>
      </c>
      <c r="U3324" s="16" t="n">
        <v>46346</v>
      </c>
      <c r="AC3324" s="23">
        <f>IF(OR(E3324="",E3324="[PARENT]"),"ADD",IF(E3324="[ALT_VIEW]","ALT",""))</f>
        <v/>
      </c>
      <c r="AD3324" s="21">
        <f>IF(Y3324&lt;&gt;"",Y3324,IF(U3324&lt;&gt;"",U3324,S3324))</f>
        <v/>
      </c>
      <c r="AE3324" s="21">
        <f>IF(AB3324&lt;&gt;"",AB3324,Z3324)</f>
        <v/>
      </c>
      <c r="AF3324" s="13" t="inlineStr">
        <is>
          <t>1507N &gt; BA 06 &gt; LI 6120 &gt; P-18 Initial Spares</t>
        </is>
      </c>
      <c r="AG3324" s="7" t="inlineStr">
        <is>
          <t>579</t>
        </is>
      </c>
      <c r="AH3324" s="7" t="inlineStr">
        <is>
          <t>6120</t>
        </is>
      </c>
    </row>
    <row r="3325" ht="10" customHeight="1">
      <c r="A3325" s="7" t="inlineStr">
        <is>
          <t>WPN</t>
        </is>
      </c>
      <c r="B3325" s="7" t="inlineStr">
        <is>
          <t>Procurement</t>
        </is>
      </c>
      <c r="D3325" s="7" t="inlineStr">
        <is>
          <t>Spares and Repair Parts: Replenishment Spares</t>
        </is>
      </c>
      <c r="E3325" s="13" t="inlineStr">
        <is>
          <t>[SUB]</t>
        </is>
      </c>
      <c r="F3325" s="7" t="inlineStr">
        <is>
          <t>61 / Spares and Repair Parts</t>
        </is>
      </c>
      <c r="I3325" s="14" t="n">
        <v>6</v>
      </c>
      <c r="K3325" s="15" t="n"/>
      <c r="O3325" s="15" t="n"/>
      <c r="S3325" s="16" t="n">
        <v>156079</v>
      </c>
      <c r="U3325" s="16" t="n">
        <v>156079</v>
      </c>
      <c r="AC3325" s="23">
        <f>IF(OR(E3325="",E3325="[PARENT]"),"ADD",IF(E3325="[ALT_VIEW]","ALT",""))</f>
        <v/>
      </c>
      <c r="AD3325" s="21">
        <f>IF(Y3325&lt;&gt;"",Y3325,IF(U3325&lt;&gt;"",U3325,S3325))</f>
        <v/>
      </c>
      <c r="AE3325" s="21">
        <f>IF(AB3325&lt;&gt;"",AB3325,Z3325)</f>
        <v/>
      </c>
      <c r="AF3325" s="13" t="inlineStr">
        <is>
          <t>1507N &gt; BA 06 &gt; LI 6120 &gt; P-18 Replenishment Spares</t>
        </is>
      </c>
      <c r="AG3325" s="7" t="inlineStr">
        <is>
          <t>579</t>
        </is>
      </c>
      <c r="AH3325" s="7" t="inlineStr">
        <is>
          <t>6120</t>
        </is>
      </c>
    </row>
    <row r="3326" ht="10" customHeight="1">
      <c r="A3326" s="7" t="inlineStr">
        <is>
          <t>USCG</t>
        </is>
      </c>
      <c r="B3326" s="7" t="inlineStr">
        <is>
          <t>PC&amp;I</t>
        </is>
      </c>
      <c r="D3326" s="7" t="inlineStr">
        <is>
          <t>Vessels PPA</t>
        </is>
      </c>
      <c r="E3326" s="13" t="inlineStr">
        <is>
          <t>[PARENT]</t>
        </is>
      </c>
      <c r="I3326" s="14" t="n">
        <v>1</v>
      </c>
      <c r="K3326" s="15" t="n"/>
      <c r="O3326" s="15" t="n"/>
      <c r="P3326" s="16" t="n">
        <v>1088600</v>
      </c>
      <c r="Q3326" s="16" t="n">
        <v>1088600</v>
      </c>
      <c r="S3326" s="16" t="n">
        <v>1439300</v>
      </c>
      <c r="U3326" s="16" t="n">
        <v>1439300</v>
      </c>
      <c r="AC3326" s="23">
        <f>IF(OR(E3326="",E3326="[PARENT]"),"ADD",IF(E3326="[ALT_VIEW]","ALT",""))</f>
        <v/>
      </c>
      <c r="AD3326" s="21">
        <f>IF(Y3326&lt;&gt;"",Y3326,IF(U3326&lt;&gt;"",U3326,S3326))</f>
        <v/>
      </c>
      <c r="AE3326" s="21">
        <f>IF(AB3326&lt;&gt;"",AB3326,Z3326)</f>
        <v/>
      </c>
      <c r="AF3326" s="13" t="inlineStr">
        <is>
          <t>PC&amp;I &gt; Vessels - PPA &gt; Budget Comparison and Adjustments</t>
        </is>
      </c>
      <c r="AG3326" s="7" t="inlineStr">
        <is>
          <t>73</t>
        </is>
      </c>
      <c r="AH3326" s="7" t="inlineStr">
        <is>
          <t>USCG-Vessels</t>
        </is>
      </c>
    </row>
    <row r="3327" ht="10" customHeight="1">
      <c r="A3327" s="7" t="inlineStr">
        <is>
          <t>USCG</t>
        </is>
      </c>
      <c r="B3327" s="7" t="inlineStr">
        <is>
          <t>PC&amp;I</t>
        </is>
      </c>
      <c r="C3327" s="7" t="inlineStr">
        <is>
          <t>N024_000006384</t>
        </is>
      </c>
      <c r="D3327" s="7" t="inlineStr">
        <is>
          <t>In-Service Vessel Sustainment</t>
        </is>
      </c>
      <c r="E3327" s="13" t="inlineStr">
        <is>
          <t>[PARENT]</t>
        </is>
      </c>
      <c r="I3327" s="14" t="n">
        <v>5</v>
      </c>
      <c r="K3327" s="15" t="n"/>
      <c r="O3327" s="15" t="n"/>
      <c r="P3327" s="16" t="n">
        <v>120000</v>
      </c>
      <c r="Q3327" s="16" t="n">
        <v>120000</v>
      </c>
      <c r="S3327" s="16" t="n">
        <v>152000</v>
      </c>
      <c r="U3327" s="16" t="n">
        <v>152000</v>
      </c>
      <c r="AC3327" s="23">
        <f>IF(OR(E3327="",E3327="[PARENT]"),"ADD",IF(E3327="[ALT_VIEW]","ALT",""))</f>
        <v/>
      </c>
      <c r="AD3327" s="21">
        <f>IF(Y3327&lt;&gt;"",Y3327,IF(U3327&lt;&gt;"",U3327,S3327))</f>
        <v/>
      </c>
      <c r="AE3327" s="21">
        <f>IF(AB3327&lt;&gt;"",AB3327,Z3327)</f>
        <v/>
      </c>
      <c r="AF3327" s="13" t="inlineStr">
        <is>
          <t>PC&amp;I &gt; Vessels - PPA &gt; In-Service Vessel Sustainment - Investment</t>
        </is>
      </c>
      <c r="AG3327" s="7" t="inlineStr">
        <is>
          <t>78</t>
        </is>
      </c>
      <c r="AH3327" s="7" t="inlineStr">
        <is>
          <t>N024_000006384</t>
        </is>
      </c>
    </row>
    <row r="3328" ht="10" customHeight="1">
      <c r="A3328" s="7" t="inlineStr">
        <is>
          <t>USCG</t>
        </is>
      </c>
      <c r="B3328" s="7" t="inlineStr">
        <is>
          <t>PC&amp;I</t>
        </is>
      </c>
      <c r="D3328" s="7" t="inlineStr">
        <is>
          <t>47-Foot MLB SLEP</t>
        </is>
      </c>
      <c r="E3328" s="13" t="inlineStr">
        <is>
          <t>[SUB]</t>
        </is>
      </c>
      <c r="F3328" s="7" t="inlineStr">
        <is>
          <t>N024_000006384 / In-Service Vessel Sustainment</t>
        </is>
      </c>
      <c r="I3328" s="14" t="n">
        <v>5</v>
      </c>
      <c r="K3328" s="15" t="n"/>
      <c r="O3328" s="15" t="n"/>
      <c r="P3328" s="16" t="n">
        <v>43000</v>
      </c>
      <c r="Q3328" s="16" t="n">
        <v>43000</v>
      </c>
      <c r="S3328" s="16" t="n">
        <v>45000</v>
      </c>
      <c r="U3328" s="16" t="n">
        <v>45000</v>
      </c>
      <c r="AC3328" s="23">
        <f>IF(OR(E3328="",E3328="[PARENT]"),"ADD",IF(E3328="[ALT_VIEW]","ALT",""))</f>
        <v/>
      </c>
      <c r="AD3328" s="21">
        <f>IF(Y3328&lt;&gt;"",Y3328,IF(U3328&lt;&gt;"",U3328,S3328))</f>
        <v/>
      </c>
      <c r="AE3328" s="21">
        <f>IF(AB3328&lt;&gt;"",AB3328,Z3328)</f>
        <v/>
      </c>
      <c r="AF3328" s="13" t="inlineStr">
        <is>
          <t>PC&amp;I &gt; Vessels - PPA &gt; In-Service Vessel Sustainment &gt; 47-Foot MLB SLEP</t>
        </is>
      </c>
      <c r="AG3328" s="7" t="inlineStr">
        <is>
          <t>78</t>
        </is>
      </c>
      <c r="AH3328" s="7" t="inlineStr">
        <is>
          <t>USCG-Vessels</t>
        </is>
      </c>
      <c r="AJ3328" s="7" t="inlineStr">
        <is>
          <t>47-Foot MLB SLEP</t>
        </is>
      </c>
    </row>
    <row r="3329" ht="10" customHeight="1">
      <c r="A3329" s="7" t="inlineStr">
        <is>
          <t>USCG</t>
        </is>
      </c>
      <c r="B3329" s="7" t="inlineStr">
        <is>
          <t>PC&amp;I</t>
        </is>
      </c>
      <c r="D3329" s="7" t="inlineStr">
        <is>
          <t>CG Yard-Supported Investments (subtotal)</t>
        </is>
      </c>
      <c r="E3329" s="13" t="inlineStr">
        <is>
          <t>[SUB]</t>
        </is>
      </c>
      <c r="F3329" s="7" t="inlineStr">
        <is>
          <t>N024_000006384 / In-Service Vessel Sustainment</t>
        </is>
      </c>
      <c r="I3329" s="14" t="n">
        <v>5</v>
      </c>
      <c r="K3329" s="15" t="n"/>
      <c r="O3329" s="15" t="n"/>
      <c r="P3329" s="16" t="n">
        <v>77000</v>
      </c>
      <c r="Q3329" s="16" t="n">
        <v>77000</v>
      </c>
      <c r="S3329" s="16" t="n">
        <v>107000</v>
      </c>
      <c r="U3329" s="16" t="n">
        <v>107000</v>
      </c>
      <c r="AC3329" s="23">
        <f>IF(OR(E3329="",E3329="[PARENT]"),"ADD",IF(E3329="[ALT_VIEW]","ALT",""))</f>
        <v/>
      </c>
      <c r="AD3329" s="21">
        <f>IF(Y3329&lt;&gt;"",Y3329,IF(U3329&lt;&gt;"",U3329,S3329))</f>
        <v/>
      </c>
      <c r="AE3329" s="21">
        <f>IF(AB3329&lt;&gt;"",AB3329,Z3329)</f>
        <v/>
      </c>
      <c r="AF3329" s="13" t="inlineStr">
        <is>
          <t>PC&amp;I &gt; Vessels - PPA &gt; In-Service Vessel Sustainment &gt; CG Yard-Supported Investments (Overall Investment Funding)</t>
        </is>
      </c>
      <c r="AG3329" s="7" t="inlineStr">
        <is>
          <t>81</t>
        </is>
      </c>
      <c r="AH3329" s="7" t="inlineStr">
        <is>
          <t>USCG-Vessels</t>
        </is>
      </c>
      <c r="AJ3329" s="7" t="inlineStr">
        <is>
          <t>In-Service Vessel Sustainment</t>
        </is>
      </c>
    </row>
    <row r="3330" ht="10" customHeight="1">
      <c r="A3330" s="7" t="inlineStr">
        <is>
          <t>USCG</t>
        </is>
      </c>
      <c r="B3330" s="7" t="inlineStr">
        <is>
          <t>PC&amp;I</t>
        </is>
      </c>
      <c r="C3330" s="7" t="inlineStr">
        <is>
          <t>N024-000000001</t>
        </is>
      </c>
      <c r="D3330" s="7" t="inlineStr">
        <is>
          <t>270-foot Medium Endurance Cutter (WMEC) SLEP</t>
        </is>
      </c>
      <c r="E3330" s="13" t="inlineStr">
        <is>
          <t>[SUB]</t>
        </is>
      </c>
      <c r="F3330" s="7" t="inlineStr">
        <is>
          <t>CG Yard-Supported Investments (subtotal)</t>
        </is>
      </c>
      <c r="I3330" s="14" t="n">
        <v>5</v>
      </c>
      <c r="K3330" s="15" t="n"/>
      <c r="O3330" s="15" t="n"/>
      <c r="P3330" s="16" t="n">
        <v>46200</v>
      </c>
      <c r="Q3330" s="16" t="n">
        <v>46200</v>
      </c>
      <c r="S3330" s="16" t="n">
        <v>76000</v>
      </c>
      <c r="U3330" s="16" t="n">
        <v>76000</v>
      </c>
      <c r="AC3330" s="23">
        <f>IF(OR(E3330="",E3330="[PARENT]"),"ADD",IF(E3330="[ALT_VIEW]","ALT",""))</f>
        <v/>
      </c>
      <c r="AD3330" s="21">
        <f>IF(Y3330&lt;&gt;"",Y3330,IF(U3330&lt;&gt;"",U3330,S3330))</f>
        <v/>
      </c>
      <c r="AE3330" s="21">
        <f>IF(AB3330&lt;&gt;"",AB3330,Z3330)</f>
        <v/>
      </c>
      <c r="AF3330" s="13" t="inlineStr">
        <is>
          <t>PC&amp;I &gt; Vessels - PPA &gt; In-Service Vessel Sustainment &gt; CG Yard-Supported &gt; 270-ft WMEC SLEP</t>
        </is>
      </c>
      <c r="AG3330" s="7" t="inlineStr">
        <is>
          <t>80</t>
        </is>
      </c>
      <c r="AH3330" s="7" t="inlineStr">
        <is>
          <t>USCG-Vessels</t>
        </is>
      </c>
      <c r="AJ3330" s="7" t="inlineStr">
        <is>
          <t>270-ft WMEC SLEP</t>
        </is>
      </c>
    </row>
    <row r="3331" ht="10" customHeight="1">
      <c r="A3331" s="7" t="inlineStr">
        <is>
          <t>USCG</t>
        </is>
      </c>
      <c r="B3331" s="7" t="inlineStr">
        <is>
          <t>PC&amp;I</t>
        </is>
      </c>
      <c r="D3331" s="7" t="inlineStr">
        <is>
          <t>175-foot Coastal Buoy Tender (WLM) MMA</t>
        </is>
      </c>
      <c r="E3331" s="13" t="inlineStr">
        <is>
          <t>[SUB]</t>
        </is>
      </c>
      <c r="F3331" s="7" t="inlineStr">
        <is>
          <t>CG Yard-Supported Investments (subtotal)</t>
        </is>
      </c>
      <c r="I3331" s="14" t="n">
        <v>5</v>
      </c>
      <c r="K3331" s="13" t="inlineStr">
        <is>
          <t>USCG</t>
        </is>
      </c>
      <c r="L3331" s="7" t="inlineStr">
        <is>
          <t>Cutters</t>
        </is>
      </c>
      <c r="M3331" s="7" t="inlineStr">
        <is>
          <t>Coastal Buoy Tenders</t>
        </is>
      </c>
      <c r="N3331" s="7" t="inlineStr">
        <is>
          <t>WLM</t>
        </is>
      </c>
      <c r="O3331" s="15" t="n"/>
      <c r="P3331" s="16" t="n">
        <v>17800</v>
      </c>
      <c r="Q3331" s="16" t="n">
        <v>17800</v>
      </c>
      <c r="S3331" s="16" t="n">
        <v>15000</v>
      </c>
      <c r="U3331" s="16" t="n">
        <v>15000</v>
      </c>
      <c r="AC3331" s="23">
        <f>IF(OR(E3331="",E3331="[PARENT]"),"ADD",IF(E3331="[ALT_VIEW]","ALT",""))</f>
        <v/>
      </c>
      <c r="AD3331" s="21">
        <f>IF(Y3331&lt;&gt;"",Y3331,IF(U3331&lt;&gt;"",U3331,S3331))</f>
        <v/>
      </c>
      <c r="AE3331" s="21">
        <f>IF(AB3331&lt;&gt;"",AB3331,Z3331)</f>
        <v/>
      </c>
      <c r="AF3331" s="13" t="inlineStr">
        <is>
          <t>PC&amp;I &gt; Vessels - PPA &gt; In-Service Vessel Sustainment &gt; CG Yard-Supported &gt; 175-ft WLM MMA</t>
        </is>
      </c>
      <c r="AG3331" s="7" t="inlineStr">
        <is>
          <t>80</t>
        </is>
      </c>
      <c r="AH3331" s="7" t="inlineStr">
        <is>
          <t>USCG-Vessels</t>
        </is>
      </c>
      <c r="AJ3331" s="7" t="inlineStr">
        <is>
          <t>175-ft WLM MMA</t>
        </is>
      </c>
    </row>
    <row r="3332" ht="10" customHeight="1">
      <c r="A3332" s="7" t="inlineStr">
        <is>
          <t>USCG</t>
        </is>
      </c>
      <c r="B3332" s="7" t="inlineStr">
        <is>
          <t>PC&amp;I</t>
        </is>
      </c>
      <c r="D3332" s="7" t="inlineStr">
        <is>
          <t>CGC Healy SLEP</t>
        </is>
      </c>
      <c r="E3332" s="13" t="inlineStr">
        <is>
          <t>[SUB]</t>
        </is>
      </c>
      <c r="F3332" s="7" t="inlineStr">
        <is>
          <t>CG Yard-Supported Investments (subtotal)</t>
        </is>
      </c>
      <c r="I3332" s="14" t="n">
        <v>5</v>
      </c>
      <c r="K3332" s="15" t="n"/>
      <c r="O3332" s="15" t="n"/>
      <c r="P3332" s="16" t="n">
        <v>13000</v>
      </c>
      <c r="Q3332" s="16" t="n">
        <v>13000</v>
      </c>
      <c r="S3332" s="16" t="n">
        <v>11000</v>
      </c>
      <c r="U3332" s="16" t="n">
        <v>11000</v>
      </c>
      <c r="AC3332" s="23">
        <f>IF(OR(E3332="",E3332="[PARENT]"),"ADD",IF(E3332="[ALT_VIEW]","ALT",""))</f>
        <v/>
      </c>
      <c r="AD3332" s="21">
        <f>IF(Y3332&lt;&gt;"",Y3332,IF(U3332&lt;&gt;"",U3332,S3332))</f>
        <v/>
      </c>
      <c r="AE3332" s="21">
        <f>IF(AB3332&lt;&gt;"",AB3332,Z3332)</f>
        <v/>
      </c>
      <c r="AF3332" s="13" t="inlineStr">
        <is>
          <t>PC&amp;I &gt; Vessels - PPA &gt; In-Service Vessel Sustainment &gt; CG Yard-Supported &gt; CGC Healy SLEP</t>
        </is>
      </c>
      <c r="AG3332" s="7" t="inlineStr">
        <is>
          <t>80</t>
        </is>
      </c>
      <c r="AH3332" s="7" t="inlineStr">
        <is>
          <t>USCG-Vessels</t>
        </is>
      </c>
      <c r="AJ3332" s="7" t="inlineStr">
        <is>
          <t>CGC Healy SLEP</t>
        </is>
      </c>
    </row>
    <row r="3333" ht="10" customHeight="1">
      <c r="A3333" s="7" t="inlineStr">
        <is>
          <t>USCG</t>
        </is>
      </c>
      <c r="B3333" s="7" t="inlineStr">
        <is>
          <t>PC&amp;I</t>
        </is>
      </c>
      <c r="D3333" s="7" t="inlineStr">
        <is>
          <t>418-foot National Security Cutter (WMSL) MMA</t>
        </is>
      </c>
      <c r="E3333" s="13" t="inlineStr">
        <is>
          <t>[SUB]</t>
        </is>
      </c>
      <c r="F3333" s="7" t="inlineStr">
        <is>
          <t>CG Yard-Supported Investments (subtotal)</t>
        </is>
      </c>
      <c r="I3333" s="14" t="n">
        <v>5</v>
      </c>
      <c r="K3333" s="13" t="inlineStr">
        <is>
          <t>USCG</t>
        </is>
      </c>
      <c r="L3333" s="7" t="inlineStr">
        <is>
          <t>Cutters</t>
        </is>
      </c>
      <c r="M3333" s="7" t="inlineStr">
        <is>
          <t>National Security Cutters</t>
        </is>
      </c>
      <c r="N3333" s="7" t="inlineStr">
        <is>
          <t>WMSL</t>
        </is>
      </c>
      <c r="O3333" s="15" t="n"/>
      <c r="P3333" s="16" t="n">
        <v>0</v>
      </c>
      <c r="Q3333" s="16" t="n">
        <v>0</v>
      </c>
      <c r="S3333" s="16" t="n">
        <v>5000</v>
      </c>
      <c r="U3333" s="16" t="n">
        <v>5000</v>
      </c>
      <c r="AC3333" s="23">
        <f>IF(OR(E3333="",E3333="[PARENT]"),"ADD",IF(E3333="[ALT_VIEW]","ALT",""))</f>
        <v/>
      </c>
      <c r="AD3333" s="21">
        <f>IF(Y3333&lt;&gt;"",Y3333,IF(U3333&lt;&gt;"",U3333,S3333))</f>
        <v/>
      </c>
      <c r="AE3333" s="21">
        <f>IF(AB3333&lt;&gt;"",AB3333,Z3333)</f>
        <v/>
      </c>
      <c r="AF3333" s="13" t="inlineStr">
        <is>
          <t>PC&amp;I &gt; Vessels - PPA &gt; In-Service Vessel Sustainment &gt; CG Yard-Supported &gt; 418-ft WMSL MMA</t>
        </is>
      </c>
      <c r="AG3333" s="7" t="inlineStr">
        <is>
          <t>80</t>
        </is>
      </c>
      <c r="AH3333" s="7" t="inlineStr">
        <is>
          <t>USCG-Vessels</t>
        </is>
      </c>
      <c r="AJ3333" s="7" t="inlineStr">
        <is>
          <t>418-ft WMSL MMA</t>
        </is>
      </c>
    </row>
    <row r="3334" ht="10" customHeight="1">
      <c r="A3334" s="7" t="inlineStr">
        <is>
          <t>USCG</t>
        </is>
      </c>
      <c r="B3334" s="7" t="inlineStr">
        <is>
          <t>PC&amp;I</t>
        </is>
      </c>
      <c r="C3334" s="7" t="inlineStr">
        <is>
          <t>N024_000006369</t>
        </is>
      </c>
      <c r="D3334" s="7" t="inlineStr">
        <is>
          <t>National Security Cutter</t>
        </is>
      </c>
      <c r="E3334" s="15" t="n"/>
      <c r="I3334" s="14" t="n">
        <v>1</v>
      </c>
      <c r="J3334" s="7" t="inlineStr">
        <is>
          <t>Full ship DD&amp;C</t>
        </is>
      </c>
      <c r="K3334" s="13" t="inlineStr">
        <is>
          <t>USCG</t>
        </is>
      </c>
      <c r="L3334" s="7" t="inlineStr">
        <is>
          <t>Cutters</t>
        </is>
      </c>
      <c r="M3334" s="7" t="inlineStr">
        <is>
          <t>National Security Cutters</t>
        </is>
      </c>
      <c r="N3334" s="7" t="inlineStr">
        <is>
          <t>WMSL</t>
        </is>
      </c>
      <c r="O3334" s="15" t="n"/>
      <c r="P3334" s="16" t="n">
        <v>17100</v>
      </c>
      <c r="Q3334" s="16" t="n">
        <v>17100</v>
      </c>
      <c r="S3334" s="16" t="n">
        <v>0</v>
      </c>
      <c r="U3334" s="16" t="n">
        <v>0</v>
      </c>
      <c r="AC3334" s="23">
        <f>IF(OR(E3334="",E3334="[PARENT]"),"ADD",IF(E3334="[ALT_VIEW]","ALT",""))</f>
        <v/>
      </c>
      <c r="AD3334" s="21">
        <f>IF(Y3334&lt;&gt;"",Y3334,IF(U3334&lt;&gt;"",U3334,S3334))</f>
        <v/>
      </c>
      <c r="AE3334" s="21">
        <f>IF(AB3334&lt;&gt;"",AB3334,Z3334)</f>
        <v/>
      </c>
      <c r="AF3334" s="13" t="inlineStr">
        <is>
          <t>PC&amp;I &gt; Vessels - PPA &gt; Budget Comparison and Adjustments &gt; Investment Descriptions</t>
        </is>
      </c>
      <c r="AG3334" s="7" t="inlineStr">
        <is>
          <t>74</t>
        </is>
      </c>
      <c r="AH3334" s="7" t="inlineStr">
        <is>
          <t>N024_000006369</t>
        </is>
      </c>
    </row>
    <row r="3335" ht="10" customHeight="1">
      <c r="A3335" s="7" t="inlineStr">
        <is>
          <t>USCG</t>
        </is>
      </c>
      <c r="B3335" s="7" t="inlineStr">
        <is>
          <t>PC&amp;I</t>
        </is>
      </c>
      <c r="C3335" s="7" t="inlineStr">
        <is>
          <t>N024_000006362</t>
        </is>
      </c>
      <c r="D3335" s="7" t="inlineStr">
        <is>
          <t>Offshore Patrol Cutter</t>
        </is>
      </c>
      <c r="E3335" s="15" t="n"/>
      <c r="I3335" s="14" t="n">
        <v>1</v>
      </c>
      <c r="J3335" s="7" t="inlineStr">
        <is>
          <t>Full ship DD&amp;C / LLTM</t>
        </is>
      </c>
      <c r="K3335" s="13" t="inlineStr">
        <is>
          <t>USCG</t>
        </is>
      </c>
      <c r="L3335" s="7" t="inlineStr">
        <is>
          <t>Cutters</t>
        </is>
      </c>
      <c r="M3335" s="7" t="inlineStr">
        <is>
          <t>Offshore Patrol Cutter</t>
        </is>
      </c>
      <c r="N3335" s="7" t="inlineStr">
        <is>
          <t>WMSM</t>
        </is>
      </c>
      <c r="O3335" s="15" t="n"/>
      <c r="P3335" s="16" t="n">
        <v>579000</v>
      </c>
      <c r="Q3335" s="16" t="n">
        <v>579000</v>
      </c>
      <c r="S3335" s="16" t="n">
        <v>812400</v>
      </c>
      <c r="U3335" s="16" t="n">
        <v>812400</v>
      </c>
      <c r="AC3335" s="23">
        <f>IF(OR(E3335="",E3335="[PARENT]"),"ADD",IF(E3335="[ALT_VIEW]","ALT",""))</f>
        <v/>
      </c>
      <c r="AD3335" s="21">
        <f>IF(Y3335&lt;&gt;"",Y3335,IF(U3335&lt;&gt;"",U3335,S3335))</f>
        <v/>
      </c>
      <c r="AE3335" s="21">
        <f>IF(AB3335&lt;&gt;"",AB3335,Z3335)</f>
        <v/>
      </c>
      <c r="AF3335" s="13" t="inlineStr">
        <is>
          <t>PC&amp;I &gt; Vessels - PPA &gt; Offshore Patrol Cutter - Investment</t>
        </is>
      </c>
      <c r="AG3335" s="7" t="inlineStr">
        <is>
          <t>82</t>
        </is>
      </c>
      <c r="AH3335" s="7" t="inlineStr">
        <is>
          <t>N024_000006362</t>
        </is>
      </c>
    </row>
    <row r="3336" ht="10" customHeight="1">
      <c r="A3336" s="7" t="inlineStr">
        <is>
          <t>USCG</t>
        </is>
      </c>
      <c r="B3336" s="7" t="inlineStr">
        <is>
          <t>PC&amp;I</t>
        </is>
      </c>
      <c r="C3336" s="7" t="inlineStr">
        <is>
          <t>N024_000006370</t>
        </is>
      </c>
      <c r="D3336" s="7" t="inlineStr">
        <is>
          <t>Fast Response Cutter</t>
        </is>
      </c>
      <c r="E3336" s="15" t="n"/>
      <c r="I3336" s="14" t="n">
        <v>1</v>
      </c>
      <c r="J3336" s="7" t="inlineStr">
        <is>
          <t>Full ship DD&amp;C</t>
        </is>
      </c>
      <c r="K3336" s="13" t="inlineStr">
        <is>
          <t>USCG</t>
        </is>
      </c>
      <c r="L3336" s="7" t="inlineStr">
        <is>
          <t>Cutters</t>
        </is>
      </c>
      <c r="M3336" s="7" t="inlineStr">
        <is>
          <t>Fast Response Cutters</t>
        </is>
      </c>
      <c r="N3336" s="7" t="inlineStr">
        <is>
          <t>WPC</t>
        </is>
      </c>
      <c r="O3336" s="15" t="n"/>
      <c r="P3336" s="16" t="n">
        <v>220000</v>
      </c>
      <c r="Q3336" s="16" t="n">
        <v>220000</v>
      </c>
      <c r="S3336" s="16" t="n">
        <v>216000</v>
      </c>
      <c r="U3336" s="16" t="n">
        <v>216000</v>
      </c>
      <c r="AC3336" s="23">
        <f>IF(OR(E3336="",E3336="[PARENT]"),"ADD",IF(E3336="[ALT_VIEW]","ALT",""))</f>
        <v/>
      </c>
      <c r="AD3336" s="21">
        <f>IF(Y3336&lt;&gt;"",Y3336,IF(U3336&lt;&gt;"",U3336,S3336))</f>
        <v/>
      </c>
      <c r="AE3336" s="21">
        <f>IF(AB3336&lt;&gt;"",AB3336,Z3336)</f>
        <v/>
      </c>
      <c r="AF3336" s="13" t="inlineStr">
        <is>
          <t>PC&amp;I &gt; Vessels - PPA &gt; Fast Response Cutter - Investment</t>
        </is>
      </c>
      <c r="AG3336" s="7" t="inlineStr">
        <is>
          <t>84</t>
        </is>
      </c>
      <c r="AH3336" s="7" t="inlineStr">
        <is>
          <t>N024_000006370</t>
        </is>
      </c>
    </row>
    <row r="3337" ht="10" customHeight="1">
      <c r="A3337" s="7" t="inlineStr">
        <is>
          <t>USCG</t>
        </is>
      </c>
      <c r="B3337" s="7" t="inlineStr">
        <is>
          <t>PC&amp;I</t>
        </is>
      </c>
      <c r="C3337" s="7" t="inlineStr">
        <is>
          <t>N024_000006371</t>
        </is>
      </c>
      <c r="D3337" s="7" t="inlineStr">
        <is>
          <t>Boats</t>
        </is>
      </c>
      <c r="E3337" s="15" t="n"/>
      <c r="I3337" s="14" t="n">
        <v>1</v>
      </c>
      <c r="J3337" s="7" t="inlineStr">
        <is>
          <t>Full ship DD&amp;C</t>
        </is>
      </c>
      <c r="K3337" s="15" t="n"/>
      <c r="O3337" s="15" t="n"/>
      <c r="P3337" s="16" t="n">
        <v>6500</v>
      </c>
      <c r="Q3337" s="16" t="n">
        <v>6500</v>
      </c>
      <c r="S3337" s="16" t="n">
        <v>30900</v>
      </c>
      <c r="U3337" s="16" t="n">
        <v>30900</v>
      </c>
      <c r="AC3337" s="23">
        <f>IF(OR(E3337="",E3337="[PARENT]"),"ADD",IF(E3337="[ALT_VIEW]","ALT",""))</f>
        <v/>
      </c>
      <c r="AD3337" s="21">
        <f>IF(Y3337&lt;&gt;"",Y3337,IF(U3337&lt;&gt;"",U3337,S3337))</f>
        <v/>
      </c>
      <c r="AE3337" s="21">
        <f>IF(AB3337&lt;&gt;"",AB3337,Z3337)</f>
        <v/>
      </c>
      <c r="AF3337" s="13" t="inlineStr">
        <is>
          <t>PC&amp;I &gt; Vessels - PPA &gt; Boats - Investment</t>
        </is>
      </c>
      <c r="AG3337" s="7" t="inlineStr">
        <is>
          <t>86</t>
        </is>
      </c>
      <c r="AH3337" s="7" t="inlineStr">
        <is>
          <t>N024_000006371</t>
        </is>
      </c>
    </row>
    <row r="3338" ht="10" customHeight="1">
      <c r="A3338" s="7" t="inlineStr">
        <is>
          <t>USCG</t>
        </is>
      </c>
      <c r="B3338" s="7" t="inlineStr">
        <is>
          <t>PC&amp;I</t>
        </is>
      </c>
      <c r="C3338" s="7" t="inlineStr">
        <is>
          <t>N024_000006381</t>
        </is>
      </c>
      <c r="D3338" s="7" t="inlineStr">
        <is>
          <t>Polar Security Cutter</t>
        </is>
      </c>
      <c r="E3338" s="15" t="n"/>
      <c r="I3338" s="14" t="n">
        <v>1</v>
      </c>
      <c r="J3338" s="7" t="inlineStr">
        <is>
          <t>Full ship DD&amp;C / LLTM</t>
        </is>
      </c>
      <c r="K3338" s="13" t="inlineStr">
        <is>
          <t>USCG</t>
        </is>
      </c>
      <c r="L3338" s="7" t="inlineStr">
        <is>
          <t>Cutters</t>
        </is>
      </c>
      <c r="M3338" s="7" t="inlineStr">
        <is>
          <t>Icebreakers, Oceangoing</t>
        </is>
      </c>
      <c r="N3338" s="7" t="inlineStr">
        <is>
          <t>WAGB</t>
        </is>
      </c>
      <c r="O3338" s="15" t="n"/>
      <c r="P3338" s="16" t="n">
        <v>0</v>
      </c>
      <c r="Q3338" s="16" t="n">
        <v>0</v>
      </c>
      <c r="S3338" s="16" t="n">
        <v>130000</v>
      </c>
      <c r="U3338" s="16" t="n">
        <v>130000</v>
      </c>
      <c r="AC3338" s="23">
        <f>IF(OR(E3338="",E3338="[PARENT]"),"ADD",IF(E3338="[ALT_VIEW]","ALT",""))</f>
        <v/>
      </c>
      <c r="AD3338" s="21">
        <f>IF(Y3338&lt;&gt;"",Y3338,IF(U3338&lt;&gt;"",U3338,S3338))</f>
        <v/>
      </c>
      <c r="AE3338" s="21">
        <f>IF(AB3338&lt;&gt;"",AB3338,Z3338)</f>
        <v/>
      </c>
      <c r="AF3338" s="13" t="inlineStr">
        <is>
          <t>PC&amp;I &gt; Vessels - PPA &gt; Polar Security Cutter - Investment</t>
        </is>
      </c>
      <c r="AG3338" s="7" t="inlineStr">
        <is>
          <t>88</t>
        </is>
      </c>
      <c r="AH3338" s="7" t="inlineStr">
        <is>
          <t>N024_000006381</t>
        </is>
      </c>
    </row>
    <row r="3339" ht="10" customHeight="1">
      <c r="A3339" s="7" t="inlineStr">
        <is>
          <t>USCG</t>
        </is>
      </c>
      <c r="B3339" s="7" t="inlineStr">
        <is>
          <t>PC&amp;I</t>
        </is>
      </c>
      <c r="C3339" s="7" t="inlineStr">
        <is>
          <t>N024_000006440</t>
        </is>
      </c>
      <c r="D3339" s="7" t="inlineStr">
        <is>
          <t>Commercially Available Polar Icebreaker</t>
        </is>
      </c>
      <c r="E3339" s="15" t="n"/>
      <c r="I3339" s="14" t="n">
        <v>1</v>
      </c>
      <c r="J3339" s="7" t="inlineStr">
        <is>
          <t>Full ship DD&amp;C</t>
        </is>
      </c>
      <c r="K3339" s="15" t="n"/>
      <c r="O3339" s="15" t="n"/>
      <c r="P3339" s="16" t="n">
        <v>125000</v>
      </c>
      <c r="Q3339" s="16" t="n">
        <v>125000</v>
      </c>
      <c r="S3339" s="16" t="n">
        <v>0</v>
      </c>
      <c r="U3339" s="16" t="n">
        <v>0</v>
      </c>
      <c r="AC3339" s="23">
        <f>IF(OR(E3339="",E3339="[PARENT]"),"ADD",IF(E3339="[ALT_VIEW]","ALT",""))</f>
        <v/>
      </c>
      <c r="AD3339" s="21">
        <f>IF(Y3339&lt;&gt;"",Y3339,IF(U3339&lt;&gt;"",U3339,S3339))</f>
        <v/>
      </c>
      <c r="AE3339" s="21">
        <f>IF(AB3339&lt;&gt;"",AB3339,Z3339)</f>
        <v/>
      </c>
      <c r="AF3339" s="13" t="inlineStr">
        <is>
          <t>PC&amp;I &gt; Vessels - PPA &gt; Budget Comparison and Adjustments &gt; Investment Descriptions</t>
        </is>
      </c>
      <c r="AG3339" s="7" t="inlineStr">
        <is>
          <t>74</t>
        </is>
      </c>
      <c r="AH3339" s="7" t="inlineStr">
        <is>
          <t>N024_000006440</t>
        </is>
      </c>
    </row>
    <row r="3340" ht="10" customHeight="1">
      <c r="A3340" s="7" t="inlineStr">
        <is>
          <t>USCG</t>
        </is>
      </c>
      <c r="B3340" s="7" t="inlineStr">
        <is>
          <t>PC&amp;I</t>
        </is>
      </c>
      <c r="C3340" s="7" t="inlineStr">
        <is>
          <t>N024_000006543</t>
        </is>
      </c>
      <c r="D3340" s="7" t="inlineStr">
        <is>
          <t>Great Lakes Icebreaker</t>
        </is>
      </c>
      <c r="E3340" s="15" t="n"/>
      <c r="I3340" s="14" t="n">
        <v>1</v>
      </c>
      <c r="J3340" s="7" t="inlineStr">
        <is>
          <t>Full ship DD&amp;C</t>
        </is>
      </c>
      <c r="K3340" s="13" t="inlineStr">
        <is>
          <t>USCG</t>
        </is>
      </c>
      <c r="L3340" s="7" t="inlineStr">
        <is>
          <t>Cutters</t>
        </is>
      </c>
      <c r="M3340" s="7" t="inlineStr">
        <is>
          <t>Icebreakers, Great Lakes</t>
        </is>
      </c>
      <c r="N3340" s="7" t="inlineStr">
        <is>
          <t>WLBB</t>
        </is>
      </c>
      <c r="O3340" s="15" t="n"/>
      <c r="P3340" s="16" t="n">
        <v>20000</v>
      </c>
      <c r="Q3340" s="16" t="n">
        <v>20000</v>
      </c>
      <c r="S3340" s="16" t="n">
        <v>0</v>
      </c>
      <c r="U3340" s="16" t="n">
        <v>0</v>
      </c>
      <c r="AC3340" s="23">
        <f>IF(OR(E3340="",E3340="[PARENT]"),"ADD",IF(E3340="[ALT_VIEW]","ALT",""))</f>
        <v/>
      </c>
      <c r="AD3340" s="21">
        <f>IF(Y3340&lt;&gt;"",Y3340,IF(U3340&lt;&gt;"",U3340,S3340))</f>
        <v/>
      </c>
      <c r="AE3340" s="21">
        <f>IF(AB3340&lt;&gt;"",AB3340,Z3340)</f>
        <v/>
      </c>
      <c r="AF3340" s="13" t="inlineStr">
        <is>
          <t>PC&amp;I &gt; Vessels - PPA &gt; Budget Comparison and Adjustments &gt; Investment Descriptions</t>
        </is>
      </c>
      <c r="AG3340" s="7" t="inlineStr">
        <is>
          <t>74</t>
        </is>
      </c>
      <c r="AH3340" s="7" t="inlineStr">
        <is>
          <t>N024_000006543</t>
        </is>
      </c>
    </row>
    <row r="3341" ht="10" customHeight="1">
      <c r="A3341" s="7" t="inlineStr">
        <is>
          <t>USCG</t>
        </is>
      </c>
      <c r="B3341" s="7" t="inlineStr">
        <is>
          <t>PC&amp;I</t>
        </is>
      </c>
      <c r="C3341" s="7" t="inlineStr">
        <is>
          <t>N024_000006386</t>
        </is>
      </c>
      <c r="D3341" s="7" t="inlineStr">
        <is>
          <t>Waterways Commerce Cutter</t>
        </is>
      </c>
      <c r="E3341" s="15" t="n"/>
      <c r="I3341" s="14" t="n">
        <v>1</v>
      </c>
      <c r="J3341" s="7" t="inlineStr">
        <is>
          <t>Full ship DD&amp;C / LLTM</t>
        </is>
      </c>
      <c r="K3341" s="13" t="inlineStr">
        <is>
          <t>USCG</t>
        </is>
      </c>
      <c r="L3341" s="7" t="inlineStr">
        <is>
          <t>Cutters</t>
        </is>
      </c>
      <c r="M3341" s="7" t="inlineStr">
        <is>
          <t>Waterways Commerce Cutters</t>
        </is>
      </c>
      <c r="N3341" s="7" t="inlineStr">
        <is>
          <t>WCC</t>
        </is>
      </c>
      <c r="O3341" s="15" t="n"/>
      <c r="P3341" s="16" t="n">
        <v>1000</v>
      </c>
      <c r="Q3341" s="16" t="n">
        <v>1000</v>
      </c>
      <c r="S3341" s="16" t="n">
        <v>98000</v>
      </c>
      <c r="U3341" s="16" t="n">
        <v>98000</v>
      </c>
      <c r="AC3341" s="23">
        <f>IF(OR(E3341="",E3341="[PARENT]"),"ADD",IF(E3341="[ALT_VIEW]","ALT",""))</f>
        <v/>
      </c>
      <c r="AD3341" s="21">
        <f>IF(Y3341&lt;&gt;"",Y3341,IF(U3341&lt;&gt;"",U3341,S3341))</f>
        <v/>
      </c>
      <c r="AE3341" s="21">
        <f>IF(AB3341&lt;&gt;"",AB3341,Z3341)</f>
        <v/>
      </c>
      <c r="AF3341" s="13" t="inlineStr">
        <is>
          <t>PC&amp;I &gt; Vessels - PPA &gt; Waterways Commerce Cutter - Investment</t>
        </is>
      </c>
      <c r="AG3341" s="7" t="inlineStr">
        <is>
          <t>90</t>
        </is>
      </c>
      <c r="AH3341" s="7" t="inlineStr">
        <is>
          <t>N024_000006386</t>
        </is>
      </c>
    </row>
    <row r="3342" ht="10" customHeight="1">
      <c r="A3342" s="7" t="inlineStr">
        <is>
          <t>USCG</t>
        </is>
      </c>
      <c r="B3342" s="7" t="inlineStr">
        <is>
          <t>PC&amp;I</t>
        </is>
      </c>
      <c r="C3342" s="7" t="inlineStr">
        <is>
          <t>N024_000006383</t>
        </is>
      </c>
      <c r="D3342" s="7" t="inlineStr">
        <is>
          <t>Survey and Design - Vessels Boats and Aircraft</t>
        </is>
      </c>
      <c r="E3342" s="15" t="n"/>
      <c r="I3342" s="14" t="n">
        <v>6</v>
      </c>
      <c r="K3342" s="15" t="n"/>
      <c r="O3342" s="15" t="n"/>
      <c r="P3342" s="16" t="n">
        <v>5000</v>
      </c>
      <c r="Q3342" s="16" t="n">
        <v>5000</v>
      </c>
      <c r="S3342" s="16" t="n">
        <v>5000</v>
      </c>
      <c r="U3342" s="16" t="n">
        <v>5000</v>
      </c>
      <c r="AC3342" s="23">
        <f>IF(OR(E3342="",E3342="[PARENT]"),"ADD",IF(E3342="[ALT_VIEW]","ALT",""))</f>
        <v/>
      </c>
      <c r="AD3342" s="21">
        <f>IF(Y3342&lt;&gt;"",Y3342,IF(U3342&lt;&gt;"",U3342,S3342))</f>
        <v/>
      </c>
      <c r="AE3342" s="21">
        <f>IF(AB3342&lt;&gt;"",AB3342,Z3342)</f>
        <v/>
      </c>
      <c r="AF3342" s="13" t="inlineStr">
        <is>
          <t>PC&amp;I &gt; Other Acquisition Programs - PPA &gt; Survey and Design - Vessels, Boats, and Aircraft - Investment</t>
        </is>
      </c>
      <c r="AG3342" s="7" t="inlineStr">
        <is>
          <t>110</t>
        </is>
      </c>
      <c r="AH3342" s="7" t="inlineStr">
        <is>
          <t>N024_000006383</t>
        </is>
      </c>
    </row>
    <row r="3343" ht="10" customHeight="1">
      <c r="A3343" s="7" t="inlineStr">
        <is>
          <t>USCG</t>
        </is>
      </c>
      <c r="B3343" s="7" t="inlineStr">
        <is>
          <t>PC&amp;I</t>
        </is>
      </c>
      <c r="C3343" s="7" t="inlineStr">
        <is>
          <t>N024_000006401</t>
        </is>
      </c>
      <c r="D3343" s="7" t="inlineStr">
        <is>
          <t>Other Equipment and Systems</t>
        </is>
      </c>
      <c r="E3343" s="13" t="inlineStr">
        <is>
          <t>[PARENT]</t>
        </is>
      </c>
      <c r="I3343" s="14" t="n">
        <v>6</v>
      </c>
      <c r="K3343" s="15" t="n"/>
      <c r="O3343" s="15" t="n"/>
      <c r="P3343" s="16" t="n">
        <v>5600</v>
      </c>
      <c r="Q3343" s="16" t="n">
        <v>5600</v>
      </c>
      <c r="S3343" s="16" t="n">
        <v>7040</v>
      </c>
      <c r="U3343" s="16" t="n">
        <v>7040</v>
      </c>
      <c r="AC3343" s="23">
        <f>IF(OR(E3343="",E3343="[PARENT]"),"ADD",IF(E3343="[ALT_VIEW]","ALT",""))</f>
        <v/>
      </c>
      <c r="AD3343" s="21">
        <f>IF(Y3343&lt;&gt;"",Y3343,IF(U3343&lt;&gt;"",U3343,S3343))</f>
        <v/>
      </c>
      <c r="AE3343" s="21">
        <f>IF(AB3343&lt;&gt;"",AB3343,Z3343)</f>
        <v/>
      </c>
      <c r="AF3343" s="13" t="inlineStr">
        <is>
          <t>PC&amp;I &gt; Other Acquisition Programs - PPA &gt; Other Equipment and Systems - Investment</t>
        </is>
      </c>
      <c r="AG3343" s="7" t="inlineStr">
        <is>
          <t>112</t>
        </is>
      </c>
      <c r="AH3343" s="7" t="inlineStr">
        <is>
          <t>N024_000006401</t>
        </is>
      </c>
    </row>
    <row r="3344" ht="10" customHeight="1">
      <c r="A3344" s="7" t="inlineStr">
        <is>
          <t>USCG</t>
        </is>
      </c>
      <c r="B3344" s="7" t="inlineStr">
        <is>
          <t>PC&amp;I</t>
        </is>
      </c>
      <c r="D3344" s="7" t="inlineStr">
        <is>
          <t>Vessel Operation Maintenance and Test Equipment</t>
        </is>
      </c>
      <c r="E3344" s="13" t="inlineStr">
        <is>
          <t>[SUB]</t>
        </is>
      </c>
      <c r="F3344" s="7" t="inlineStr">
        <is>
          <t>N024_000006401 / Other Equipment and Systems</t>
        </is>
      </c>
      <c r="I3344" s="14" t="n">
        <v>6</v>
      </c>
      <c r="K3344" s="15" t="n"/>
      <c r="O3344" s="15" t="n"/>
      <c r="P3344" s="16" t="n">
        <v>800</v>
      </c>
      <c r="Q3344" s="16" t="n">
        <v>800</v>
      </c>
      <c r="S3344" s="16" t="n">
        <v>2200</v>
      </c>
      <c r="U3344" s="16" t="n">
        <v>2200</v>
      </c>
      <c r="AC3344" s="23">
        <f>IF(OR(E3344="",E3344="[PARENT]"),"ADD",IF(E3344="[ALT_VIEW]","ALT",""))</f>
        <v/>
      </c>
      <c r="AD3344" s="21">
        <f>IF(Y3344&lt;&gt;"",Y3344,IF(U3344&lt;&gt;"",U3344,S3344))</f>
        <v/>
      </c>
      <c r="AE3344" s="21">
        <f>IF(AB3344&lt;&gt;"",AB3344,Z3344)</f>
        <v/>
      </c>
      <c r="AF3344" s="13" t="inlineStr">
        <is>
          <t>PC&amp;I &gt; Other Acquisition Programs - PPA &gt; Other Equipment and Systems &gt; End Items Breakdown</t>
        </is>
      </c>
      <c r="AG3344" s="7" t="inlineStr">
        <is>
          <t>112</t>
        </is>
      </c>
      <c r="AH3344" s="7" t="inlineStr">
        <is>
          <t>USCG-OtherAcq</t>
        </is>
      </c>
      <c r="AJ3344" s="7" t="inlineStr">
        <is>
          <t>End Items Breakdown</t>
        </is>
      </c>
    </row>
    <row r="3345" ht="10" customHeight="1">
      <c r="A3345" s="7" t="inlineStr">
        <is>
          <t>USCG</t>
        </is>
      </c>
      <c r="B3345" s="7" t="inlineStr">
        <is>
          <t>PC&amp;I</t>
        </is>
      </c>
      <c r="C3345" s="7" t="inlineStr">
        <is>
          <t>N024_000006394</t>
        </is>
      </c>
      <c r="D3345" s="7" t="inlineStr">
        <is>
          <t>Program Oversight and Management</t>
        </is>
      </c>
      <c r="E3345" s="15" t="n"/>
      <c r="I3345" s="14" t="n">
        <v>6</v>
      </c>
      <c r="K3345" s="15" t="n"/>
      <c r="O3345" s="15" t="n"/>
      <c r="P3345" s="16" t="n">
        <v>21000</v>
      </c>
      <c r="Q3345" s="16" t="n">
        <v>21000</v>
      </c>
      <c r="S3345" s="16" t="n">
        <v>22000</v>
      </c>
      <c r="U3345" s="16" t="n">
        <v>22000</v>
      </c>
      <c r="AC3345" s="23">
        <f>IF(OR(E3345="",E3345="[PARENT]"),"ADD",IF(E3345="[ALT_VIEW]","ALT",""))</f>
        <v/>
      </c>
      <c r="AD3345" s="21">
        <f>IF(Y3345&lt;&gt;"",Y3345,IF(U3345&lt;&gt;"",U3345,S3345))</f>
        <v/>
      </c>
      <c r="AE3345" s="21">
        <f>IF(AB3345&lt;&gt;"",AB3345,Z3345)</f>
        <v/>
      </c>
      <c r="AF3345" s="13" t="inlineStr">
        <is>
          <t>PC&amp;I &gt; Other Acquisition Programs - PPA &gt; Program Oversight and Management - Investment</t>
        </is>
      </c>
      <c r="AG3345" s="7" t="inlineStr">
        <is>
          <t>113</t>
        </is>
      </c>
      <c r="AH3345" s="7" t="inlineStr">
        <is>
          <t>N024_000006394</t>
        </is>
      </c>
    </row>
    <row r="3346" ht="10" customHeight="1">
      <c r="A3346" s="7" t="inlineStr">
        <is>
          <t>USCG</t>
        </is>
      </c>
      <c r="B3346" s="7" t="inlineStr">
        <is>
          <t>PC&amp;I</t>
        </is>
      </c>
      <c r="D3346" s="7" t="inlineStr">
        <is>
          <t>C4ISR</t>
        </is>
      </c>
      <c r="E3346" s="15" t="n"/>
      <c r="I3346" s="14" t="n">
        <v>4</v>
      </c>
      <c r="K3346" s="15" t="n"/>
      <c r="O3346" s="15" t="n"/>
      <c r="P3346" s="16" t="n">
        <v>16000</v>
      </c>
      <c r="Q3346" s="16" t="n">
        <v>16000</v>
      </c>
      <c r="S3346" s="16" t="n">
        <v>10000</v>
      </c>
      <c r="U3346" s="16" t="n">
        <v>10000</v>
      </c>
      <c r="AC3346" s="23">
        <f>IF(OR(E3346="",E3346="[PARENT]"),"ADD",IF(E3346="[ALT_VIEW]","ALT",""))</f>
        <v/>
      </c>
      <c r="AD3346" s="21">
        <f>IF(Y3346&lt;&gt;"",Y3346,IF(U3346&lt;&gt;"",U3346,S3346))</f>
        <v/>
      </c>
      <c r="AE3346" s="21">
        <f>IF(AB3346&lt;&gt;"",AB3346,Z3346)</f>
        <v/>
      </c>
      <c r="AF3346" s="13" t="inlineStr">
        <is>
          <t>PC&amp;I &gt; Other Acquisition Programs - PPA &gt; C4ISR - Investment</t>
        </is>
      </c>
      <c r="AG3346" s="7" t="inlineStr">
        <is>
          <t>115</t>
        </is>
      </c>
      <c r="AH3346" s="7" t="inlineStr">
        <is>
          <t>USCG-OtherAcq</t>
        </is>
      </c>
    </row>
    <row r="3347" ht="10" customHeight="1">
      <c r="A3347" s="7" t="inlineStr">
        <is>
          <t>USCG</t>
        </is>
      </c>
      <c r="B3347" s="7" t="inlineStr">
        <is>
          <t>PC&amp;I</t>
        </is>
      </c>
      <c r="D3347" s="7" t="inlineStr">
        <is>
          <t>Cyber and Enterprise Mission Platform</t>
        </is>
      </c>
      <c r="E3347" s="15" t="n"/>
      <c r="I3347" s="14" t="n">
        <v>4</v>
      </c>
      <c r="K3347" s="15" t="n"/>
      <c r="O3347" s="15" t="n"/>
      <c r="P3347" s="16" t="n">
        <v>21500</v>
      </c>
      <c r="Q3347" s="16" t="n">
        <v>21500</v>
      </c>
      <c r="S3347" s="16" t="n">
        <v>25800</v>
      </c>
      <c r="U3347" s="16" t="n">
        <v>25800</v>
      </c>
      <c r="AC3347" s="23">
        <f>IF(OR(E3347="",E3347="[PARENT]"),"ADD",IF(E3347="[ALT_VIEW]","ALT",""))</f>
        <v/>
      </c>
      <c r="AD3347" s="21">
        <f>IF(Y3347&lt;&gt;"",Y3347,IF(U3347&lt;&gt;"",U3347,S3347))</f>
        <v/>
      </c>
      <c r="AE3347" s="21">
        <f>IF(AB3347&lt;&gt;"",AB3347,Z3347)</f>
        <v/>
      </c>
      <c r="AF3347" s="13" t="inlineStr">
        <is>
          <t>PC&amp;I &gt; Other Acquisition Programs - PPA &gt; Cyber and Enterprise Mission Platform - Investment</t>
        </is>
      </c>
      <c r="AG3347" s="7" t="inlineStr">
        <is>
          <t>117</t>
        </is>
      </c>
      <c r="AH3347" s="7" t="inlineStr">
        <is>
          <t>USCG-OtherAcq</t>
        </is>
      </c>
    </row>
    <row r="3348" ht="10" customHeight="1">
      <c r="A3348" s="7" t="inlineStr">
        <is>
          <t>USCG</t>
        </is>
      </c>
      <c r="B3348" s="7" t="inlineStr">
        <is>
          <t>PC&amp;I</t>
        </is>
      </c>
      <c r="D3348" s="7" t="inlineStr">
        <is>
          <t>In-Service Systems Sustainment (ISSS)</t>
        </is>
      </c>
      <c r="E3348" s="15" t="n"/>
      <c r="I3348" s="14" t="n">
        <v>4</v>
      </c>
      <c r="K3348" s="13" t="inlineStr">
        <is>
          <t>USCG</t>
        </is>
      </c>
      <c r="L3348" s="7" t="inlineStr">
        <is>
          <t>Cutters</t>
        </is>
      </c>
      <c r="M3348" s="7" t="inlineStr">
        <is>
          <t>National Security Cutters</t>
        </is>
      </c>
      <c r="N3348" s="7" t="inlineStr">
        <is>
          <t>WMSL</t>
        </is>
      </c>
      <c r="O3348" s="15" t="n"/>
      <c r="P3348" s="16" t="n">
        <v>0</v>
      </c>
      <c r="Q3348" s="16" t="n">
        <v>0</v>
      </c>
      <c r="S3348" s="16" t="n">
        <v>30000</v>
      </c>
      <c r="U3348" s="16" t="n">
        <v>30000</v>
      </c>
      <c r="AC3348" s="23">
        <f>IF(OR(E3348="",E3348="[PARENT]"),"ADD",IF(E3348="[ALT_VIEW]","ALT",""))</f>
        <v/>
      </c>
      <c r="AD3348" s="21">
        <f>IF(Y3348&lt;&gt;"",Y3348,IF(U3348&lt;&gt;"",U3348,S3348))</f>
        <v/>
      </c>
      <c r="AE3348" s="21">
        <f>IF(AB3348&lt;&gt;"",AB3348,Z3348)</f>
        <v/>
      </c>
      <c r="AF3348" s="13" t="inlineStr">
        <is>
          <t>PC&amp;I &gt; Other Acquisition Programs - PPA &gt; In-Service System Sustainment - Investment</t>
        </is>
      </c>
      <c r="AG3348" s="7" t="inlineStr">
        <is>
          <t>119</t>
        </is>
      </c>
      <c r="AH3348" s="7" t="inlineStr">
        <is>
          <t>USCG-OtherAcq</t>
        </is>
      </c>
    </row>
    <row r="3349" ht="10" customHeight="1">
      <c r="A3349" s="7" t="inlineStr">
        <is>
          <t>USCG</t>
        </is>
      </c>
      <c r="B3349" s="7" t="inlineStr">
        <is>
          <t>PC&amp;I</t>
        </is>
      </c>
      <c r="C3349" s="7" t="inlineStr">
        <is>
          <t>N024_000006392</t>
        </is>
      </c>
      <c r="D3349" s="7" t="inlineStr">
        <is>
          <t>Major Acquisition Systems Infrastructure</t>
        </is>
      </c>
      <c r="E3349" s="15" t="n"/>
      <c r="I3349" s="14" t="n">
        <v>7</v>
      </c>
      <c r="K3349" s="15" t="n"/>
      <c r="O3349" s="15" t="n"/>
      <c r="P3349" s="16" t="n">
        <v>130000</v>
      </c>
      <c r="Q3349" s="16" t="n">
        <v>130000</v>
      </c>
      <c r="S3349" s="16" t="n">
        <v>7500</v>
      </c>
      <c r="U3349" s="16" t="n">
        <v>7500</v>
      </c>
      <c r="AC3349" s="23">
        <f>IF(OR(E3349="",E3349="[PARENT]"),"ADD",IF(E3349="[ALT_VIEW]","ALT",""))</f>
        <v/>
      </c>
      <c r="AD3349" s="21">
        <f>IF(Y3349&lt;&gt;"",Y3349,IF(U3349&lt;&gt;"",U3349,S3349))</f>
        <v/>
      </c>
      <c r="AE3349" s="21">
        <f>IF(AB3349&lt;&gt;"",AB3349,Z3349)</f>
        <v/>
      </c>
      <c r="AF3349" s="13" t="inlineStr">
        <is>
          <t>PC&amp;I &gt; Shore Facilities and Aids to Navigation - PPA &gt; Major Acquisition Systems Infrastructure - Investment</t>
        </is>
      </c>
      <c r="AG3349" s="7" t="inlineStr">
        <is>
          <t>126</t>
        </is>
      </c>
      <c r="AH3349" s="7" t="inlineStr">
        <is>
          <t>N024_000006392</t>
        </is>
      </c>
    </row>
    <row r="3350" ht="10" customHeight="1">
      <c r="A3350" s="7" t="inlineStr">
        <is>
          <t>USCG</t>
        </is>
      </c>
      <c r="B3350" s="7" t="inlineStr">
        <is>
          <t>PC&amp;I</t>
        </is>
      </c>
      <c r="C3350" s="7" t="inlineStr">
        <is>
          <t>N024_000006404</t>
        </is>
      </c>
      <c r="D3350" s="7" t="inlineStr">
        <is>
          <t>Unmanned Aircraft Systems (on NSCs)</t>
        </is>
      </c>
      <c r="E3350" s="15" t="n"/>
      <c r="I3350" s="14" t="n">
        <v>4</v>
      </c>
      <c r="K3350" s="13" t="inlineStr">
        <is>
          <t>USCG</t>
        </is>
      </c>
      <c r="L3350" s="7" t="inlineStr">
        <is>
          <t>Cutters</t>
        </is>
      </c>
      <c r="M3350" s="7" t="inlineStr">
        <is>
          <t>National Security Cutters</t>
        </is>
      </c>
      <c r="N3350" s="7" t="inlineStr">
        <is>
          <t>WMSL</t>
        </is>
      </c>
      <c r="O3350" s="15" t="n"/>
      <c r="P3350" s="16" t="n">
        <v>500</v>
      </c>
      <c r="Q3350" s="16" t="n">
        <v>500</v>
      </c>
      <c r="S3350" s="16" t="n">
        <v>1000</v>
      </c>
      <c r="U3350" s="16" t="n">
        <v>1000</v>
      </c>
      <c r="AC3350" s="23">
        <f>IF(OR(E3350="",E3350="[PARENT]"),"ADD",IF(E3350="[ALT_VIEW]","ALT",""))</f>
        <v/>
      </c>
      <c r="AD3350" s="21">
        <f>IF(Y3350&lt;&gt;"",Y3350,IF(U3350&lt;&gt;"",U3350,S3350))</f>
        <v/>
      </c>
      <c r="AE3350" s="21">
        <f>IF(AB3350&lt;&gt;"",AB3350,Z3350)</f>
        <v/>
      </c>
      <c r="AF3350" s="13" t="inlineStr">
        <is>
          <t>PC&amp;I &gt; Aircraft - PPA &gt; Unmanned Aircraft Systems - Investment</t>
        </is>
      </c>
      <c r="AG3350" s="7" t="inlineStr">
        <is>
          <t>103</t>
        </is>
      </c>
      <c r="AH3350" s="7" t="inlineStr">
        <is>
          <t>N024_000006404</t>
        </is>
      </c>
    </row>
    <row r="3351" ht="10" customHeight="1">
      <c r="A3351" s="7" t="inlineStr">
        <is>
          <t>USCG</t>
        </is>
      </c>
      <c r="B3351" s="7" t="inlineStr">
        <is>
          <t>O&amp;S</t>
        </is>
      </c>
      <c r="D3351" s="7" t="inlineStr">
        <is>
          <t>Depot Level Maintenance (O&amp;S legislative earmark)</t>
        </is>
      </c>
      <c r="E3351" s="13" t="inlineStr">
        <is>
          <t>[ALT_VIEW]</t>
        </is>
      </c>
      <c r="F3351" s="7" t="inlineStr">
        <is>
          <t>Operations and Support (total)</t>
        </is>
      </c>
      <c r="I3351" s="14" t="n">
        <v>2</v>
      </c>
      <c r="K3351" s="15" t="n"/>
      <c r="O3351" s="15" t="n"/>
      <c r="Q3351" s="16" t="n">
        <v>70000</v>
      </c>
      <c r="S3351" s="16" t="n">
        <v>400000</v>
      </c>
      <c r="U3351" s="16" t="n">
        <v>400000</v>
      </c>
      <c r="AC3351" s="23">
        <f>IF(OR(E3351="",E3351="[PARENT]"),"ADD",IF(E3351="[ALT_VIEW]","ALT",""))</f>
        <v/>
      </c>
      <c r="AD3351" s="21">
        <f>IF(Y3351&lt;&gt;"",Y3351,IF(U3351&lt;&gt;"",U3351,S3351))</f>
        <v/>
      </c>
      <c r="AE3351" s="21">
        <f>IF(AB3351&lt;&gt;"",AB3351,Z3351)</f>
        <v/>
      </c>
      <c r="AF3351" s="13" t="inlineStr">
        <is>
          <t>O&amp;S &gt; Proposed Legislative Language</t>
        </is>
      </c>
      <c r="AG3351" s="7" t="inlineStr">
        <is>
          <t>13</t>
        </is>
      </c>
      <c r="AH3351" s="7" t="inlineStr">
        <is>
          <t>USCG-O&amp;S</t>
        </is>
      </c>
      <c r="AJ3351" s="7" t="inlineStr">
        <is>
          <t>Proposed Legislative Language</t>
        </is>
      </c>
    </row>
    <row r="3352" ht="10" customHeight="1">
      <c r="A3352" s="7" t="inlineStr">
        <is>
          <t>USCG</t>
        </is>
      </c>
      <c r="B3352" s="7" t="inlineStr">
        <is>
          <t>O&amp;S</t>
        </is>
      </c>
      <c r="D3352" s="7" t="inlineStr">
        <is>
          <t>Surface Air and Shore Operations (PPA Level II)</t>
        </is>
      </c>
      <c r="E3352" s="13" t="inlineStr">
        <is>
          <t>[REFERENCE]</t>
        </is>
      </c>
      <c r="I3352" s="14" t="n">
        <v>3</v>
      </c>
      <c r="K3352" s="15" t="n"/>
      <c r="O3352" s="15" t="n"/>
      <c r="P3352" s="16" t="n">
        <v>3125281</v>
      </c>
      <c r="Q3352" s="16" t="n">
        <v>3172908</v>
      </c>
      <c r="S3352" s="16" t="n">
        <v>3425335</v>
      </c>
      <c r="U3352" s="16" t="n">
        <v>3425335</v>
      </c>
      <c r="AC3352" s="23">
        <f>IF(OR(E3352="",E3352="[PARENT]"),"ADD",IF(E3352="[ALT_VIEW]","ALT",""))</f>
        <v/>
      </c>
      <c r="AD3352" s="21">
        <f>IF(Y3352&lt;&gt;"",Y3352,IF(U3352&lt;&gt;"",U3352,S3352))</f>
        <v/>
      </c>
      <c r="AE3352" s="21">
        <f>IF(AB3352&lt;&gt;"",AB3352,Z3352)</f>
        <v/>
      </c>
      <c r="AF3352" s="13" t="inlineStr">
        <is>
          <t>O&amp;S &gt; Field Operations - PPA &gt; Surface, Air, and Shore Operations - PPA Level II</t>
        </is>
      </c>
      <c r="AG3352" s="7" t="inlineStr">
        <is>
          <t>61</t>
        </is>
      </c>
      <c r="AH3352" s="7" t="inlineStr">
        <is>
          <t>USCG-Shore</t>
        </is>
      </c>
    </row>
    <row r="3353" ht="10" customHeight="1">
      <c r="A3353" s="7" t="inlineStr">
        <is>
          <t>USCG</t>
        </is>
      </c>
      <c r="B3353" s="7" t="inlineStr">
        <is>
          <t>O&amp;S</t>
        </is>
      </c>
      <c r="D3353" s="7" t="inlineStr">
        <is>
          <t>Operation and Maintenance of Equipment (Field Ops OC 25.7)</t>
        </is>
      </c>
      <c r="E3353" s="13" t="inlineStr">
        <is>
          <t>[REFERENCE]</t>
        </is>
      </c>
      <c r="I3353" s="14" t="n">
        <v>3</v>
      </c>
      <c r="K3353" s="15" t="n"/>
      <c r="O3353" s="15" t="n"/>
      <c r="P3353" s="16" t="n">
        <v>865621</v>
      </c>
      <c r="Q3353" s="16" t="n">
        <v>883590</v>
      </c>
      <c r="S3353" s="16" t="n">
        <v>969498</v>
      </c>
      <c r="U3353" s="16" t="n">
        <v>969498</v>
      </c>
      <c r="AC3353" s="23">
        <f>IF(OR(E3353="",E3353="[PARENT]"),"ADD",IF(E3353="[ALT_VIEW]","ALT",""))</f>
        <v/>
      </c>
      <c r="AD3353" s="21">
        <f>IF(Y3353&lt;&gt;"",Y3353,IF(U3353&lt;&gt;"",U3353,S3353))</f>
        <v/>
      </c>
      <c r="AE3353" s="21">
        <f>IF(AB3353&lt;&gt;"",AB3353,Z3353)</f>
        <v/>
      </c>
      <c r="AF3353" s="13" t="inlineStr">
        <is>
          <t>O&amp;S &gt; Field Operations - PPA &gt; Non Pay by Object Class &gt; 25.7</t>
        </is>
      </c>
      <c r="AG3353" s="7" t="inlineStr">
        <is>
          <t>59</t>
        </is>
      </c>
      <c r="AH3353" s="7" t="inlineStr">
        <is>
          <t>USCG-O&amp;S</t>
        </is>
      </c>
    </row>
    <row r="3354" ht="10" customHeight="1">
      <c r="A3354" s="7" t="inlineStr">
        <is>
          <t>USCG</t>
        </is>
      </c>
      <c r="B3354" s="7" t="inlineStr">
        <is>
          <t>O&amp;S</t>
        </is>
      </c>
      <c r="D3354" s="7" t="inlineStr">
        <is>
          <t>Commercial Icebreaker Follow-On (O&amp;S program change)</t>
        </is>
      </c>
      <c r="E3354" s="13" t="inlineStr">
        <is>
          <t>[REFERENCE]</t>
        </is>
      </c>
      <c r="I3354" s="14" t="n">
        <v>3</v>
      </c>
      <c r="K3354" s="15" t="n"/>
      <c r="O3354" s="15" t="n"/>
      <c r="S3354" s="16" t="n">
        <v>16279</v>
      </c>
      <c r="U3354" s="16" t="n">
        <v>16279</v>
      </c>
      <c r="AC3354" s="23">
        <f>IF(OR(E3354="",E3354="[PARENT]"),"ADD",IF(E3354="[ALT_VIEW]","ALT",""))</f>
        <v/>
      </c>
      <c r="AD3354" s="21">
        <f>IF(Y3354&lt;&gt;"",Y3354,IF(U3354&lt;&gt;"",U3354,S3354))</f>
        <v/>
      </c>
      <c r="AE3354" s="21">
        <f>IF(AB3354&lt;&gt;"",AB3354,Z3354)</f>
        <v/>
      </c>
      <c r="AF3354" s="13" t="inlineStr">
        <is>
          <t>O&amp;S &gt; Justification of Program Changes &gt; Program Change 5</t>
        </is>
      </c>
      <c r="AG3354" s="7" t="inlineStr">
        <is>
          <t>34</t>
        </is>
      </c>
      <c r="AH3354" s="7" t="inlineStr">
        <is>
          <t>USCG-O&amp;S</t>
        </is>
      </c>
    </row>
    <row r="3355" ht="10" customHeight="1">
      <c r="A3355" s="7" t="inlineStr">
        <is>
          <t>USCG</t>
        </is>
      </c>
      <c r="B3355" s="7" t="inlineStr">
        <is>
          <t>O&amp;S</t>
        </is>
      </c>
      <c r="D3355" s="7" t="inlineStr">
        <is>
          <t>Fast Response Cutter (FRC) Follow-On (O&amp;S program change)</t>
        </is>
      </c>
      <c r="E3355" s="13" t="inlineStr">
        <is>
          <t>[REFERENCE]</t>
        </is>
      </c>
      <c r="I3355" s="14" t="n">
        <v>3</v>
      </c>
      <c r="K3355" s="13" t="inlineStr">
        <is>
          <t>USCG</t>
        </is>
      </c>
      <c r="L3355" s="7" t="inlineStr">
        <is>
          <t>Cutters</t>
        </is>
      </c>
      <c r="M3355" s="7" t="inlineStr">
        <is>
          <t>Fast Response Cutters</t>
        </is>
      </c>
      <c r="N3355" s="7" t="inlineStr">
        <is>
          <t>WPC</t>
        </is>
      </c>
      <c r="O3355" s="15" t="n"/>
      <c r="S3355" s="16" t="n">
        <v>13447</v>
      </c>
      <c r="U3355" s="16" t="n">
        <v>13447</v>
      </c>
      <c r="AC3355" s="23">
        <f>IF(OR(E3355="",E3355="[PARENT]"),"ADD",IF(E3355="[ALT_VIEW]","ALT",""))</f>
        <v/>
      </c>
      <c r="AD3355" s="21">
        <f>IF(Y3355&lt;&gt;"",Y3355,IF(U3355&lt;&gt;"",U3355,S3355))</f>
        <v/>
      </c>
      <c r="AE3355" s="21">
        <f>IF(AB3355&lt;&gt;"",AB3355,Z3355)</f>
        <v/>
      </c>
      <c r="AF3355" s="13" t="inlineStr">
        <is>
          <t>O&amp;S &gt; Justification of Program Changes &gt; Program Change 8</t>
        </is>
      </c>
      <c r="AG3355" s="7" t="inlineStr">
        <is>
          <t>35</t>
        </is>
      </c>
      <c r="AH3355" s="7" t="inlineStr">
        <is>
          <t>USCG-O&amp;S</t>
        </is>
      </c>
    </row>
    <row r="3356" ht="10" customHeight="1">
      <c r="A3356" s="7" t="inlineStr">
        <is>
          <t>USCG</t>
        </is>
      </c>
      <c r="B3356" s="7" t="inlineStr">
        <is>
          <t>O&amp;S</t>
        </is>
      </c>
      <c r="D3356" s="7" t="inlineStr">
        <is>
          <t>Offshore Patrol Cutter (OPC) Follow-On (O&amp;S program change)</t>
        </is>
      </c>
      <c r="E3356" s="13" t="inlineStr">
        <is>
          <t>[REFERENCE]</t>
        </is>
      </c>
      <c r="I3356" s="14" t="n">
        <v>3</v>
      </c>
      <c r="K3356" s="13" t="inlineStr">
        <is>
          <t>USCG</t>
        </is>
      </c>
      <c r="L3356" s="7" t="inlineStr">
        <is>
          <t>Cutters</t>
        </is>
      </c>
      <c r="M3356" s="7" t="inlineStr">
        <is>
          <t>Offshore Patrol Cutter</t>
        </is>
      </c>
      <c r="N3356" s="7" t="inlineStr">
        <is>
          <t>WMSM</t>
        </is>
      </c>
      <c r="O3356" s="15" t="n"/>
      <c r="S3356" s="16" t="n">
        <v>1027</v>
      </c>
      <c r="U3356" s="16" t="n">
        <v>1027</v>
      </c>
      <c r="AC3356" s="23">
        <f>IF(OR(E3356="",E3356="[PARENT]"),"ADD",IF(E3356="[ALT_VIEW]","ALT",""))</f>
        <v/>
      </c>
      <c r="AD3356" s="21">
        <f>IF(Y3356&lt;&gt;"",Y3356,IF(U3356&lt;&gt;"",U3356,S3356))</f>
        <v/>
      </c>
      <c r="AE3356" s="21">
        <f>IF(AB3356&lt;&gt;"",AB3356,Z3356)</f>
        <v/>
      </c>
      <c r="AF3356" s="13" t="inlineStr">
        <is>
          <t>O&amp;S &gt; Justification of Program Changes &gt; Program Change 16</t>
        </is>
      </c>
      <c r="AG3356" s="7" t="inlineStr">
        <is>
          <t>38</t>
        </is>
      </c>
      <c r="AH3356" s="7" t="inlineStr">
        <is>
          <t>USCG-O&amp;S</t>
        </is>
      </c>
    </row>
    <row r="3357" ht="10" customHeight="1">
      <c r="A3357" s="7" t="inlineStr">
        <is>
          <t>USCG</t>
        </is>
      </c>
      <c r="B3357" s="7" t="inlineStr">
        <is>
          <t>O&amp;S</t>
        </is>
      </c>
      <c r="D3357" s="7" t="inlineStr">
        <is>
          <t>Waterways Commerce Cutter (WCC) Follow-On (O&amp;S program change)</t>
        </is>
      </c>
      <c r="E3357" s="13" t="inlineStr">
        <is>
          <t>[REFERENCE]</t>
        </is>
      </c>
      <c r="I3357" s="14" t="n">
        <v>3</v>
      </c>
      <c r="K3357" s="15" t="n"/>
      <c r="O3357" s="15" t="n"/>
      <c r="S3357" s="16" t="n">
        <v>4365</v>
      </c>
      <c r="U3357" s="16" t="n">
        <v>4365</v>
      </c>
      <c r="AC3357" s="23">
        <f>IF(OR(E3357="",E3357="[PARENT]"),"ADD",IF(E3357="[ALT_VIEW]","ALT",""))</f>
        <v/>
      </c>
      <c r="AD3357" s="21">
        <f>IF(Y3357&lt;&gt;"",Y3357,IF(U3357&lt;&gt;"",U3357,S3357))</f>
        <v/>
      </c>
      <c r="AE3357" s="21">
        <f>IF(AB3357&lt;&gt;"",AB3357,Z3357)</f>
        <v/>
      </c>
      <c r="AF3357" s="13" t="inlineStr">
        <is>
          <t>O&amp;S &gt; Justification of Program Changes &gt; Program Change 21</t>
        </is>
      </c>
      <c r="AG3357" s="7" t="inlineStr">
        <is>
          <t>41</t>
        </is>
      </c>
      <c r="AH3357" s="7" t="inlineStr">
        <is>
          <t>USCG-O&amp;S</t>
        </is>
      </c>
    </row>
    <row r="3358" ht="10" customHeight="1">
      <c r="A3358" s="7" t="inlineStr">
        <is>
          <t>USCG</t>
        </is>
      </c>
      <c r="B3358" s="7" t="inlineStr">
        <is>
          <t>O&amp;S</t>
        </is>
      </c>
      <c r="D3358" s="7" t="inlineStr">
        <is>
          <t>Decommission Reliance Class Medium Endurance Cutters (WMEC) (O&amp;S)</t>
        </is>
      </c>
      <c r="E3358" s="13" t="inlineStr">
        <is>
          <t>[REFERENCE]</t>
        </is>
      </c>
      <c r="K3358" s="15" t="n"/>
      <c r="O3358" s="15" t="n"/>
      <c r="S3358" s="16" t="n">
        <v>-33502</v>
      </c>
      <c r="U3358" s="16" t="n">
        <v>-33502</v>
      </c>
      <c r="AC3358" s="23">
        <f>IF(OR(E3358="",E3358="[PARENT]"),"ADD",IF(E3358="[ALT_VIEW]","ALT",""))</f>
        <v/>
      </c>
      <c r="AD3358" s="21">
        <f>IF(Y3358&lt;&gt;"",Y3358,IF(U3358&lt;&gt;"",U3358,S3358))</f>
        <v/>
      </c>
      <c r="AE3358" s="21">
        <f>IF(AB3358&lt;&gt;"",AB3358,Z3358)</f>
        <v/>
      </c>
      <c r="AF3358" s="13" t="inlineStr">
        <is>
          <t>O&amp;S &gt; Justification of Program Changes &gt; Program Change 6</t>
        </is>
      </c>
      <c r="AG3358" s="7" t="inlineStr">
        <is>
          <t>35</t>
        </is>
      </c>
      <c r="AH3358" s="7" t="inlineStr">
        <is>
          <t>USCG-O&amp;S</t>
        </is>
      </c>
    </row>
    <row r="3359" ht="10" customHeight="1">
      <c r="A3359" s="7" t="inlineStr">
        <is>
          <t>USCG</t>
        </is>
      </c>
      <c r="B3359" s="7" t="inlineStr">
        <is>
          <t>O&amp;S</t>
        </is>
      </c>
      <c r="D3359" s="7" t="inlineStr">
        <is>
          <t>Indo-Pacific Expansion (O&amp;S program change)</t>
        </is>
      </c>
      <c r="E3359" s="13" t="inlineStr">
        <is>
          <t>[REFERENCE]</t>
        </is>
      </c>
      <c r="I3359" s="14" t="n">
        <v>3</v>
      </c>
      <c r="K3359" s="15" t="n"/>
      <c r="O3359" s="15" t="n"/>
      <c r="S3359" s="16" t="n">
        <v>116405</v>
      </c>
      <c r="U3359" s="16" t="n">
        <v>116405</v>
      </c>
      <c r="AC3359" s="23">
        <f>IF(OR(E3359="",E3359="[PARENT]"),"ADD",IF(E3359="[ALT_VIEW]","ALT",""))</f>
        <v/>
      </c>
      <c r="AD3359" s="21">
        <f>IF(Y3359&lt;&gt;"",Y3359,IF(U3359&lt;&gt;"",U3359,S3359))</f>
        <v/>
      </c>
      <c r="AE3359" s="21">
        <f>IF(AB3359&lt;&gt;"",AB3359,Z3359)</f>
        <v/>
      </c>
      <c r="AF3359" s="13" t="inlineStr">
        <is>
          <t>O&amp;S &gt; Justification of Program Changes &gt; Program Change 14</t>
        </is>
      </c>
      <c r="AG3359" s="7" t="inlineStr">
        <is>
          <t>38</t>
        </is>
      </c>
      <c r="AH3359" s="7" t="inlineStr">
        <is>
          <t>USCG-O&amp;S</t>
        </is>
      </c>
    </row>
    <row r="3360" ht="10" customHeight="1">
      <c r="A3360" s="7" t="inlineStr">
        <is>
          <t>USCG</t>
        </is>
      </c>
      <c r="B3360" s="7" t="inlineStr">
        <is>
          <t>O&amp;S</t>
        </is>
      </c>
      <c r="D3360" s="7" t="inlineStr">
        <is>
          <t>Search and Rescue Capabilities (O&amp;S program change)</t>
        </is>
      </c>
      <c r="E3360" s="13" t="inlineStr">
        <is>
          <t>[REFERENCE]</t>
        </is>
      </c>
      <c r="I3360" s="14" t="n">
        <v>1</v>
      </c>
      <c r="K3360" s="15" t="n"/>
      <c r="O3360" s="15" t="n"/>
      <c r="S3360" s="16" t="n">
        <v>7738</v>
      </c>
      <c r="U3360" s="16" t="n">
        <v>7738</v>
      </c>
      <c r="AC3360" s="23">
        <f>IF(OR(E3360="",E3360="[PARENT]"),"ADD",IF(E3360="[ALT_VIEW]","ALT",""))</f>
        <v/>
      </c>
      <c r="AD3360" s="21">
        <f>IF(Y3360&lt;&gt;"",Y3360,IF(U3360&lt;&gt;"",U3360,S3360))</f>
        <v/>
      </c>
      <c r="AE3360" s="21">
        <f>IF(AB3360&lt;&gt;"",AB3360,Z3360)</f>
        <v/>
      </c>
      <c r="AF3360" s="13" t="inlineStr">
        <is>
          <t>O&amp;S &gt; Justification of Program Changes &gt; Program Change 17</t>
        </is>
      </c>
      <c r="AG3360" s="7" t="inlineStr">
        <is>
          <t>39</t>
        </is>
      </c>
      <c r="AH3360" s="7" t="inlineStr">
        <is>
          <t>USCG-O&amp;S</t>
        </is>
      </c>
    </row>
    <row r="3361" ht="10" customHeight="1">
      <c r="A3361" s="7" t="inlineStr">
        <is>
          <t>USCG</t>
        </is>
      </c>
      <c r="B3361" s="7" t="inlineStr">
        <is>
          <t>O&amp;S</t>
        </is>
      </c>
      <c r="D3361" s="7" t="inlineStr">
        <is>
          <t>Yard Fund (Revolving)</t>
        </is>
      </c>
      <c r="E3361" s="13" t="inlineStr">
        <is>
          <t>[REFERENCE]</t>
        </is>
      </c>
      <c r="K3361" s="15" t="n"/>
      <c r="O3361" s="15" t="n"/>
      <c r="S3361" s="14" t="inlineStr">
        <is>
          <t>(revolving fund - reimbursable)</t>
        </is>
      </c>
      <c r="U3361" s="14" t="inlineStr">
        <is>
          <t>(revolving fund - reimbursable)</t>
        </is>
      </c>
      <c r="AC3361" s="23">
        <f>IF(OR(E3361="",E3361="[PARENT]"),"ADD",IF(E3361="[ALT_VIEW]","ALT",""))</f>
        <v/>
      </c>
      <c r="AD3361" s="21">
        <f>IF(Y3361&lt;&gt;"",Y3361,IF(U3361&lt;&gt;"",U3361,S3361))</f>
        <v/>
      </c>
      <c r="AE3361" s="21">
        <f>IF(AB3361&lt;&gt;"",AB3361,Z3361)</f>
        <v/>
      </c>
      <c r="AF3361" s="13" t="inlineStr">
        <is>
          <t>Funds &gt; Yard Fund</t>
        </is>
      </c>
      <c r="AG3361" s="7" t="inlineStr">
        <is>
          <t>171</t>
        </is>
      </c>
      <c r="AH3361" s="7" t="inlineStr">
        <is>
          <t>USCG-O&amp;S</t>
        </is>
      </c>
    </row>
    <row r="3362" ht="10" customHeight="1">
      <c r="A3362" s="7" t="inlineStr">
        <is>
          <t>SCN</t>
        </is>
      </c>
      <c r="B3362" s="7" t="inlineStr">
        <is>
          <t>Procurement</t>
        </is>
      </c>
      <c r="C3362" s="7" t="inlineStr">
        <is>
          <t>2A</t>
        </is>
      </c>
      <c r="D3362" s="7" t="inlineStr">
        <is>
          <t>SUBMARINE INDUSTRIAL BASE</t>
        </is>
      </c>
      <c r="E3362" s="13" t="inlineStr">
        <is>
          <t>[DAA_NEW]</t>
        </is>
      </c>
      <c r="K3362" s="15" t="n"/>
      <c r="O3362" s="15" t="n"/>
      <c r="W3362" s="16" t="n">
        <v>1452000</v>
      </c>
      <c r="X3362" s="16" t="n">
        <v>0</v>
      </c>
      <c r="Y3362" s="16" t="n">
        <v>1452000</v>
      </c>
      <c r="AC3362" s="23">
        <f>IF(OR(E3362="",E3362="[PARENT]"),"ADD",IF(E3362="[ALT_VIEW]","ALT",""))</f>
        <v/>
      </c>
      <c r="AD3362" s="21">
        <f>IF(Y3362&lt;&gt;"",Y3362,IF(U3362&lt;&gt;"",U3362,S3362))</f>
        <v/>
      </c>
      <c r="AE3362" s="21">
        <f>IF(AB3362&lt;&gt;"",AB3362,Z3362)</f>
        <v/>
      </c>
      <c r="AF3362" s="15" t="n"/>
    </row>
    <row r="3363" ht="10" customHeight="1">
      <c r="A3363" s="7" t="inlineStr">
        <is>
          <t>SCN</t>
        </is>
      </c>
      <c r="B3363" s="7" t="inlineStr">
        <is>
          <t>Procurement</t>
        </is>
      </c>
      <c r="C3363" s="7" t="inlineStr">
        <is>
          <t>2B</t>
        </is>
      </c>
      <c r="D3363" s="7" t="inlineStr">
        <is>
          <t>SURFACE SHIP INDUSTRIAL BASE</t>
        </is>
      </c>
      <c r="E3363" s="13" t="inlineStr">
        <is>
          <t>[DAA_NEW]</t>
        </is>
      </c>
      <c r="K3363" s="15" t="n"/>
      <c r="O3363" s="15" t="n"/>
      <c r="W3363" s="16" t="n">
        <v>1596881</v>
      </c>
      <c r="X3363" s="16" t="n">
        <v>0</v>
      </c>
      <c r="Y3363" s="16" t="n">
        <v>1596881</v>
      </c>
      <c r="AC3363" s="23">
        <f>IF(OR(E3363="",E3363="[PARENT]"),"ADD",IF(E3363="[ALT_VIEW]","ALT",""))</f>
        <v/>
      </c>
      <c r="AD3363" s="21">
        <f>IF(Y3363&lt;&gt;"",Y3363,IF(U3363&lt;&gt;"",U3363,S3363))</f>
        <v/>
      </c>
      <c r="AE3363" s="21">
        <f>IF(AB3363&lt;&gt;"",AB3363,Z3363)</f>
        <v/>
      </c>
      <c r="AF3363" s="15" t="n"/>
    </row>
    <row r="3364" ht="10" customHeight="1">
      <c r="A3364" s="7" t="inlineStr">
        <is>
          <t>OPN</t>
        </is>
      </c>
      <c r="B3364" s="7" t="inlineStr">
        <is>
          <t>Procurement</t>
        </is>
      </c>
      <c r="C3364" s="7" t="inlineStr">
        <is>
          <t>17A</t>
        </is>
      </c>
      <c r="D3364" s="7" t="inlineStr">
        <is>
          <t>SMALL UNMANNED SURFACE VEHICLES</t>
        </is>
      </c>
      <c r="E3364" s="13" t="inlineStr">
        <is>
          <t>[DAA_NEW]</t>
        </is>
      </c>
      <c r="K3364" s="15" t="n"/>
      <c r="O3364" s="15" t="n"/>
      <c r="W3364" s="16" t="n">
        <v>434060</v>
      </c>
      <c r="X3364" s="16" t="n">
        <v>0</v>
      </c>
      <c r="Y3364" s="16" t="n">
        <v>434060</v>
      </c>
      <c r="AC3364" s="23">
        <f>IF(OR(E3364="",E3364="[PARENT]"),"ADD",IF(E3364="[ALT_VIEW]","ALT",""))</f>
        <v/>
      </c>
      <c r="AD3364" s="21">
        <f>IF(Y3364&lt;&gt;"",Y3364,IF(U3364&lt;&gt;"",U3364,S3364))</f>
        <v/>
      </c>
      <c r="AE3364" s="21">
        <f>IF(AB3364&lt;&gt;"",AB3364,Z3364)</f>
        <v/>
      </c>
      <c r="AF3364" s="15" t="n"/>
    </row>
    <row r="3365" ht="10" customHeight="1">
      <c r="A3365" s="7" t="inlineStr">
        <is>
          <t>OMN</t>
        </is>
      </c>
      <c r="B3365" s="7" t="inlineStr">
        <is>
          <t>O&amp;M</t>
        </is>
      </c>
      <c r="C3365" s="7" t="inlineStr">
        <is>
          <t>1A5A</t>
        </is>
      </c>
      <c r="D3365" s="7" t="inlineStr">
        <is>
          <t>AIRCRAFT DEPOT MAINTENANCE</t>
        </is>
      </c>
      <c r="E3365" s="13" t="inlineStr">
        <is>
          <t>[DAA_NEW]</t>
        </is>
      </c>
      <c r="K3365" s="15" t="n"/>
      <c r="O3365" s="15" t="n"/>
      <c r="W3365" s="16" t="n">
        <v>110000</v>
      </c>
      <c r="X3365" s="16" t="n">
        <v>1606933</v>
      </c>
      <c r="Y3365" s="16" t="n">
        <v>1716933</v>
      </c>
      <c r="AC3365" s="23">
        <f>IF(OR(E3365="",E3365="[PARENT]"),"ADD",IF(E3365="[ALT_VIEW]","ALT",""))</f>
        <v/>
      </c>
      <c r="AD3365" s="21">
        <f>IF(Y3365&lt;&gt;"",Y3365,IF(U3365&lt;&gt;"",U3365,S3365))</f>
        <v/>
      </c>
      <c r="AE3365" s="21">
        <f>IF(AB3365&lt;&gt;"",AB3365,Z3365)</f>
        <v/>
      </c>
      <c r="AF3365" s="15" t="n"/>
    </row>
    <row r="3366" ht="10" customHeight="1">
      <c r="A3366" s="7" t="inlineStr">
        <is>
          <t>OMN</t>
        </is>
      </c>
      <c r="B3366" s="7" t="inlineStr">
        <is>
          <t>O&amp;M</t>
        </is>
      </c>
      <c r="C3366" s="7" t="inlineStr">
        <is>
          <t>1C6C</t>
        </is>
      </c>
      <c r="D3366" s="7" t="inlineStr">
        <is>
          <t>COMBAT SUPPORT FORCES</t>
        </is>
      </c>
      <c r="E3366" s="13" t="inlineStr">
        <is>
          <t>[DAA_NEW]</t>
        </is>
      </c>
      <c r="K3366" s="15" t="n"/>
      <c r="O3366" s="15" t="n"/>
      <c r="W3366" s="16" t="n">
        <v>45943</v>
      </c>
      <c r="X3366" s="16" t="n">
        <v>2276340</v>
      </c>
      <c r="Y3366" s="16" t="n">
        <v>2322283</v>
      </c>
      <c r="AC3366" s="23">
        <f>IF(OR(E3366="",E3366="[PARENT]"),"ADD",IF(E3366="[ALT_VIEW]","ALT",""))</f>
        <v/>
      </c>
      <c r="AD3366" s="21">
        <f>IF(Y3366&lt;&gt;"",Y3366,IF(U3366&lt;&gt;"",U3366,S3366))</f>
        <v/>
      </c>
      <c r="AE3366" s="21">
        <f>IF(AB3366&lt;&gt;"",AB3366,Z3366)</f>
        <v/>
      </c>
      <c r="AF3366" s="15" t="n"/>
    </row>
    <row r="3367" ht="10" customHeight="1">
      <c r="A3367" s="7" t="inlineStr">
        <is>
          <t>OMN</t>
        </is>
      </c>
      <c r="B3367" s="7" t="inlineStr">
        <is>
          <t>O&amp;M</t>
        </is>
      </c>
      <c r="C3367" s="7" t="inlineStr">
        <is>
          <t>1CCM</t>
        </is>
      </c>
      <c r="D3367" s="7" t="inlineStr">
        <is>
          <t>COMBATANT COMMANDERS DIRECT MISSION</t>
        </is>
      </c>
      <c r="E3367" s="13" t="inlineStr">
        <is>
          <t>[DAA_NEW]</t>
        </is>
      </c>
      <c r="K3367" s="15" t="n"/>
      <c r="O3367" s="15" t="n"/>
      <c r="W3367" s="16" t="n">
        <v>5000</v>
      </c>
      <c r="X3367" s="16" t="n">
        <v>414657</v>
      </c>
      <c r="Y3367" s="16" t="n">
        <v>419657</v>
      </c>
      <c r="AC3367" s="23">
        <f>IF(OR(E3367="",E3367="[PARENT]"),"ADD",IF(E3367="[ALT_VIEW]","ALT",""))</f>
        <v/>
      </c>
      <c r="AD3367" s="21">
        <f>IF(Y3367&lt;&gt;"",Y3367,IF(U3367&lt;&gt;"",U3367,S3367))</f>
        <v/>
      </c>
      <c r="AE3367" s="21">
        <f>IF(AB3367&lt;&gt;"",AB3367,Z3367)</f>
        <v/>
      </c>
      <c r="AF3367" s="15" t="n"/>
    </row>
    <row r="3368" ht="10" customHeight="1">
      <c r="A3368" s="7" t="inlineStr">
        <is>
          <t>OMN</t>
        </is>
      </c>
      <c r="B3368" s="7" t="inlineStr">
        <is>
          <t>O&amp;M</t>
        </is>
      </c>
      <c r="C3368" s="7" t="inlineStr">
        <is>
          <t>1CCY</t>
        </is>
      </c>
      <c r="D3368" s="7" t="inlineStr">
        <is>
          <t>CYBERSPACE ACTIVITIES</t>
        </is>
      </c>
      <c r="E3368" s="13" t="inlineStr">
        <is>
          <t>[DAA_NEW]</t>
        </is>
      </c>
      <c r="K3368" s="15" t="n"/>
      <c r="O3368" s="15" t="n"/>
      <c r="W3368" s="16" t="n">
        <v>3871</v>
      </c>
      <c r="X3368" s="16" t="n">
        <v>620746</v>
      </c>
      <c r="Y3368" s="16" t="n">
        <v>624617</v>
      </c>
      <c r="AC3368" s="23">
        <f>IF(OR(E3368="",E3368="[PARENT]"),"ADD",IF(E3368="[ALT_VIEW]","ALT",""))</f>
        <v/>
      </c>
      <c r="AD3368" s="21">
        <f>IF(Y3368&lt;&gt;"",Y3368,IF(U3368&lt;&gt;"",U3368,S3368))</f>
        <v/>
      </c>
      <c r="AE3368" s="21">
        <f>IF(AB3368&lt;&gt;"",AB3368,Z3368)</f>
        <v/>
      </c>
      <c r="AF3368" s="15" t="n"/>
    </row>
    <row r="3369" ht="10" customHeight="1">
      <c r="A3369" s="7" t="inlineStr">
        <is>
          <t>OMN</t>
        </is>
      </c>
      <c r="B3369" s="7" t="inlineStr">
        <is>
          <t>O&amp;M</t>
        </is>
      </c>
      <c r="C3369" s="7" t="inlineStr">
        <is>
          <t>102D</t>
        </is>
      </c>
      <c r="D3369" s="7" t="inlineStr">
        <is>
          <t>FLEET BALLISTIC MISSILE</t>
        </is>
      </c>
      <c r="E3369" s="13" t="inlineStr">
        <is>
          <t>[DAA_NEW]</t>
        </is>
      </c>
      <c r="K3369" s="15" t="n"/>
      <c r="O3369" s="15" t="n"/>
      <c r="W3369" s="16" t="n">
        <v>43340</v>
      </c>
      <c r="X3369" s="16" t="n">
        <v>1837670</v>
      </c>
      <c r="Y3369" s="16" t="n">
        <v>1881010</v>
      </c>
      <c r="AC3369" s="23">
        <f>IF(OR(E3369="",E3369="[PARENT]"),"ADD",IF(E3369="[ALT_VIEW]","ALT",""))</f>
        <v/>
      </c>
      <c r="AD3369" s="21">
        <f>IF(Y3369&lt;&gt;"",Y3369,IF(U3369&lt;&gt;"",U3369,S3369))</f>
        <v/>
      </c>
      <c r="AE3369" s="21">
        <f>IF(AB3369&lt;&gt;"",AB3369,Z3369)</f>
        <v/>
      </c>
      <c r="AF3369" s="15" t="n"/>
    </row>
    <row r="3370" ht="10" customHeight="1">
      <c r="A3370" s="7" t="inlineStr">
        <is>
          <t>OMN</t>
        </is>
      </c>
      <c r="B3370" s="7" t="inlineStr">
        <is>
          <t>O&amp;M</t>
        </is>
      </c>
      <c r="C3370" s="7" t="inlineStr">
        <is>
          <t>BSIT</t>
        </is>
      </c>
      <c r="D3370" s="7" t="inlineStr">
        <is>
          <t>ENTERPRISE INFORMATION</t>
        </is>
      </c>
      <c r="E3370" s="13" t="inlineStr">
        <is>
          <t>[DAA_NEW]</t>
        </is>
      </c>
      <c r="K3370" s="15" t="n"/>
      <c r="O3370" s="15" t="n"/>
      <c r="W3370" s="16" t="n">
        <v>5000</v>
      </c>
      <c r="X3370" s="16" t="n">
        <v>2175422</v>
      </c>
      <c r="Y3370" s="16" t="n">
        <v>2180422</v>
      </c>
      <c r="AC3370" s="23">
        <f>IF(OR(E3370="",E3370="[PARENT]"),"ADD",IF(E3370="[ALT_VIEW]","ALT",""))</f>
        <v/>
      </c>
      <c r="AD3370" s="21">
        <f>IF(Y3370&lt;&gt;"",Y3370,IF(U3370&lt;&gt;"",U3370,S3370))</f>
        <v/>
      </c>
      <c r="AE3370" s="21">
        <f>IF(AB3370&lt;&gt;"",AB3370,Z3370)</f>
        <v/>
      </c>
      <c r="AF3370" s="15" t="n"/>
    </row>
    <row r="3371" ht="10" customHeight="1">
      <c r="A3371" s="7" t="inlineStr">
        <is>
          <t>OMN</t>
        </is>
      </c>
      <c r="B3371" s="7" t="inlineStr">
        <is>
          <t>O&amp;M</t>
        </is>
      </c>
      <c r="C3371" s="7" t="inlineStr">
        <is>
          <t>BSM1</t>
        </is>
      </c>
      <c r="D3371" s="7" t="inlineStr">
        <is>
          <t>SUSTAINMENT RESTORATION AND MODERNIZATION</t>
        </is>
      </c>
      <c r="E3371" s="13" t="inlineStr">
        <is>
          <t>[DAA_NEW]</t>
        </is>
      </c>
      <c r="K3371" s="15" t="n"/>
      <c r="O3371" s="15" t="n"/>
      <c r="W3371" s="16" t="n">
        <v>875000</v>
      </c>
      <c r="X3371" s="16" t="n">
        <v>4062638</v>
      </c>
      <c r="Y3371" s="16" t="n">
        <v>4937638</v>
      </c>
      <c r="AC3371" s="23">
        <f>IF(OR(E3371="",E3371="[PARENT]"),"ADD",IF(E3371="[ALT_VIEW]","ALT",""))</f>
        <v/>
      </c>
      <c r="AD3371" s="21">
        <f>IF(Y3371&lt;&gt;"",Y3371,IF(U3371&lt;&gt;"",U3371,S3371))</f>
        <v/>
      </c>
      <c r="AE3371" s="21">
        <f>IF(AB3371&lt;&gt;"",AB3371,Z3371)</f>
        <v/>
      </c>
      <c r="AF3371" s="15" t="n"/>
    </row>
    <row r="3372" ht="10" customHeight="1">
      <c r="A3372" s="7" t="inlineStr">
        <is>
          <t>OMN</t>
        </is>
      </c>
      <c r="B3372" s="7" t="inlineStr">
        <is>
          <t>O&amp;M</t>
        </is>
      </c>
      <c r="C3372" s="7" t="inlineStr">
        <is>
          <t>BSS1</t>
        </is>
      </c>
      <c r="D3372" s="7" t="inlineStr">
        <is>
          <t>BASE OPERATING SUPPORT</t>
        </is>
      </c>
      <c r="E3372" s="13" t="inlineStr">
        <is>
          <t>[DAA_NEW]</t>
        </is>
      </c>
      <c r="K3372" s="15" t="n"/>
      <c r="O3372" s="15" t="n"/>
      <c r="W3372" s="16" t="n">
        <v>41421</v>
      </c>
      <c r="X3372" s="16" t="n">
        <v>6086266</v>
      </c>
      <c r="Y3372" s="16" t="n">
        <v>6127687</v>
      </c>
      <c r="AC3372" s="23">
        <f>IF(OR(E3372="",E3372="[PARENT]"),"ADD",IF(E3372="[ALT_VIEW]","ALT",""))</f>
        <v/>
      </c>
      <c r="AD3372" s="21">
        <f>IF(Y3372&lt;&gt;"",Y3372,IF(U3372&lt;&gt;"",U3372,S3372))</f>
        <v/>
      </c>
      <c r="AE3372" s="21">
        <f>IF(AB3372&lt;&gt;"",AB3372,Z3372)</f>
        <v/>
      </c>
      <c r="AF3372" s="15" t="n"/>
    </row>
    <row r="3373" ht="10" customHeight="1">
      <c r="A3373" s="7" t="inlineStr">
        <is>
          <t>OMN</t>
        </is>
      </c>
      <c r="B3373" s="7" t="inlineStr">
        <is>
          <t>O&amp;M</t>
        </is>
      </c>
      <c r="C3373" s="7" t="inlineStr">
        <is>
          <t>3C3L</t>
        </is>
      </c>
      <c r="D3373" s="7" t="inlineStr">
        <is>
          <t>OFF-DUTY AND VOLUNTARY EDUCATION</t>
        </is>
      </c>
      <c r="E3373" s="13" t="inlineStr">
        <is>
          <t>[DAA_NEW]</t>
        </is>
      </c>
      <c r="K3373" s="15" t="n"/>
      <c r="O3373" s="15" t="n"/>
      <c r="W3373" s="16" t="n">
        <v>25000</v>
      </c>
      <c r="X3373" s="16" t="n">
        <v>914</v>
      </c>
      <c r="Y3373" s="16" t="n">
        <v>25914</v>
      </c>
      <c r="AC3373" s="23">
        <f>IF(OR(E3373="",E3373="[PARENT]"),"ADD",IF(E3373="[ALT_VIEW]","ALT",""))</f>
        <v/>
      </c>
      <c r="AD3373" s="21">
        <f>IF(Y3373&lt;&gt;"",Y3373,IF(U3373&lt;&gt;"",U3373,S3373))</f>
        <v/>
      </c>
      <c r="AE3373" s="21">
        <f>IF(AB3373&lt;&gt;"",AB3373,Z3373)</f>
        <v/>
      </c>
      <c r="AF3373" s="15" t="n"/>
    </row>
    <row r="3374" ht="10" customHeight="1">
      <c r="A3374" s="7" t="inlineStr">
        <is>
          <t>SCN</t>
        </is>
      </c>
      <c r="B3374" s="7" t="inlineStr">
        <is>
          <t>Procurement</t>
        </is>
      </c>
      <c r="D3374" s="7" t="inlineStr">
        <is>
          <t>Surface Ship Industrial Base</t>
        </is>
      </c>
      <c r="E3374" s="15" t="n"/>
      <c r="I3374" s="14" t="n">
        <v>1</v>
      </c>
      <c r="J3374" s="7" t="inlineStr">
        <is>
          <t>Construction engineering / planning yard</t>
        </is>
      </c>
      <c r="K3374" s="13" t="inlineStr">
        <is>
          <t>USN</t>
        </is>
      </c>
      <c r="L3374" s="7" t="inlineStr">
        <is>
          <t>Combatant Ships</t>
        </is>
      </c>
      <c r="M3374" s="7" t="inlineStr">
        <is>
          <t>Surface Combatants</t>
        </is>
      </c>
      <c r="O3374" s="15" t="n"/>
      <c r="AA3374" s="16" t="n">
        <v>93380</v>
      </c>
      <c r="AB3374" s="16" t="n">
        <v>93380</v>
      </c>
      <c r="AC3374" s="23">
        <f>IF(OR(E3374="",E3374="[PARENT]"),"ADD",IF(E3374="[ALT_VIEW]","ALT",""))</f>
        <v/>
      </c>
      <c r="AD3374" s="21">
        <f>IF(Y3374&lt;&gt;"",Y3374,IF(U3374&lt;&gt;"",U3374,S3374))</f>
        <v/>
      </c>
      <c r="AE3374" s="21">
        <f>IF(AB3374&lt;&gt;"",AB3374,Z3374)</f>
        <v/>
      </c>
      <c r="AF3374" s="13" t="inlineStr">
        <is>
          <t>P-1 Exhibit &gt; 1611N &gt; BA02 Other Warships &gt; LI 8 Surface Ship Industrial Base</t>
        </is>
      </c>
    </row>
    <row r="3375" ht="10" customHeight="1">
      <c r="A3375" s="7" t="inlineStr">
        <is>
          <t>SCN</t>
        </is>
      </c>
      <c r="B3375" s="7" t="inlineStr">
        <is>
          <t>Procurement</t>
        </is>
      </c>
      <c r="D3375" s="7" t="inlineStr">
        <is>
          <t>BBG(X)</t>
        </is>
      </c>
      <c r="E3375" s="15" t="n"/>
      <c r="I3375" s="14" t="n">
        <v>1</v>
      </c>
      <c r="J3375" s="7" t="inlineStr">
        <is>
          <t>Advance procurement / LLTM</t>
        </is>
      </c>
      <c r="K3375" s="13" t="inlineStr">
        <is>
          <t>USN</t>
        </is>
      </c>
      <c r="L3375" s="7" t="inlineStr">
        <is>
          <t>Combatant Ships</t>
        </is>
      </c>
      <c r="M3375" s="7" t="inlineStr">
        <is>
          <t>Surface Combatants</t>
        </is>
      </c>
      <c r="O3375" s="15" t="n"/>
      <c r="Z3375" s="16" t="n">
        <v>1000000</v>
      </c>
      <c r="AB3375" s="16" t="n">
        <v>1000000</v>
      </c>
      <c r="AC3375" s="23">
        <f>IF(OR(E3375="",E3375="[PARENT]"),"ADD",IF(E3375="[ALT_VIEW]","ALT",""))</f>
        <v/>
      </c>
      <c r="AD3375" s="21">
        <f>IF(Y3375&lt;&gt;"",Y3375,IF(U3375&lt;&gt;"",U3375,S3375))</f>
        <v/>
      </c>
      <c r="AE3375" s="21">
        <f>IF(AB3375&lt;&gt;"",AB3375,Z3375)</f>
        <v/>
      </c>
      <c r="AF3375" s="13" t="inlineStr">
        <is>
          <t>P-1 Exhibit &gt; 1611N &gt; BA02 Other Warships &gt; LI 9 BBG(X) AP CY</t>
        </is>
      </c>
    </row>
    <row r="3376" ht="10" customHeight="1">
      <c r="A3376" s="7" t="inlineStr">
        <is>
          <t>SCN</t>
        </is>
      </c>
      <c r="B3376" s="7" t="inlineStr">
        <is>
          <t>Procurement</t>
        </is>
      </c>
      <c r="D3376" s="7" t="inlineStr">
        <is>
          <t>FF(X)</t>
        </is>
      </c>
      <c r="E3376" s="15" t="n"/>
      <c r="I3376" s="14" t="n">
        <v>1</v>
      </c>
      <c r="J3376" s="7" t="inlineStr">
        <is>
          <t>Full ship DD&amp;C</t>
        </is>
      </c>
      <c r="K3376" s="13" t="inlineStr">
        <is>
          <t>USN</t>
        </is>
      </c>
      <c r="L3376" s="7" t="inlineStr">
        <is>
          <t>Combatant Ships</t>
        </is>
      </c>
      <c r="M3376" s="7" t="inlineStr">
        <is>
          <t>Surface Combatants</t>
        </is>
      </c>
      <c r="N3376" s="7" t="inlineStr">
        <is>
          <t>FFG</t>
        </is>
      </c>
      <c r="O3376" s="15" t="n"/>
      <c r="Z3376" s="16" t="n">
        <v>1429000</v>
      </c>
      <c r="AB3376" s="16" t="n">
        <v>1429000</v>
      </c>
      <c r="AC3376" s="23">
        <f>IF(OR(E3376="",E3376="[PARENT]"),"ADD",IF(E3376="[ALT_VIEW]","ALT",""))</f>
        <v/>
      </c>
      <c r="AD3376" s="21">
        <f>IF(Y3376&lt;&gt;"",Y3376,IF(U3376&lt;&gt;"",U3376,S3376))</f>
        <v/>
      </c>
      <c r="AE3376" s="21">
        <f>IF(AB3376&lt;&gt;"",AB3376,Z3376)</f>
        <v/>
      </c>
      <c r="AF3376" s="13" t="inlineStr">
        <is>
          <t>P-1 Exhibit &gt; 1611N &gt; BA02 Other Warships &gt; LI 17 FF(X)</t>
        </is>
      </c>
    </row>
    <row r="3377" ht="10" customHeight="1">
      <c r="A3377" s="7" t="inlineStr">
        <is>
          <t>SCN</t>
        </is>
      </c>
      <c r="B3377" s="7" t="inlineStr">
        <is>
          <t>Procurement</t>
        </is>
      </c>
      <c r="D3377" s="7" t="inlineStr">
        <is>
          <t>AS Submarine Tender</t>
        </is>
      </c>
      <c r="E3377" s="15" t="n"/>
      <c r="I3377" s="14" t="n">
        <v>1</v>
      </c>
      <c r="J3377" s="7" t="inlineStr">
        <is>
          <t>Full ship DD&amp;C</t>
        </is>
      </c>
      <c r="K3377" s="13" t="inlineStr">
        <is>
          <t>USN</t>
        </is>
      </c>
      <c r="L3377" s="7" t="inlineStr">
        <is>
          <t>Combatant Ships</t>
        </is>
      </c>
      <c r="M3377" s="7" t="inlineStr">
        <is>
          <t>Material Support Ships</t>
        </is>
      </c>
      <c r="N3377" s="7" t="inlineStr">
        <is>
          <t>AS</t>
        </is>
      </c>
      <c r="O3377" s="15" t="n"/>
      <c r="Z3377" s="16" t="n">
        <v>4444000</v>
      </c>
      <c r="AB3377" s="16" t="n">
        <v>4444000</v>
      </c>
      <c r="AC3377" s="23">
        <f>IF(OR(E3377="",E3377="[PARENT]"),"ADD",IF(E3377="[ALT_VIEW]","ALT",""))</f>
        <v/>
      </c>
      <c r="AD3377" s="21">
        <f>IF(Y3377&lt;&gt;"",Y3377,IF(U3377&lt;&gt;"",U3377,S3377))</f>
        <v/>
      </c>
      <c r="AE3377" s="21">
        <f>IF(AB3377&lt;&gt;"",AB3377,Z3377)</f>
        <v/>
      </c>
      <c r="AF3377" s="13" t="inlineStr">
        <is>
          <t>P-1 Exhibit &gt; 1611N &gt; BA05 Auxiliaries &gt; LI 26 As Submarine Tender</t>
        </is>
      </c>
    </row>
    <row r="3378" ht="10" customHeight="1">
      <c r="A3378" s="7" t="inlineStr">
        <is>
          <t>SCN</t>
        </is>
      </c>
      <c r="B3378" s="7" t="inlineStr">
        <is>
          <t>Procurement</t>
        </is>
      </c>
      <c r="D3378" s="7" t="inlineStr">
        <is>
          <t>SMS-Special Mission Ship</t>
        </is>
      </c>
      <c r="E3378" s="15" t="n"/>
      <c r="I3378" s="14" t="n">
        <v>1</v>
      </c>
      <c r="J3378" s="7" t="inlineStr">
        <is>
          <t>Full ship DD&amp;C</t>
        </is>
      </c>
      <c r="K3378" s="13" t="inlineStr">
        <is>
          <t>USN</t>
        </is>
      </c>
      <c r="L3378" s="7" t="inlineStr">
        <is>
          <t>Combatant Ships</t>
        </is>
      </c>
      <c r="M3378" s="7" t="inlineStr">
        <is>
          <t>Surveillance Ships</t>
        </is>
      </c>
      <c r="O3378" s="15" t="n"/>
      <c r="AA3378" s="16" t="n">
        <v>200000</v>
      </c>
      <c r="AB3378" s="16" t="n">
        <v>200000</v>
      </c>
      <c r="AC3378" s="23">
        <f>IF(OR(E3378="",E3378="[PARENT]"),"ADD",IF(E3378="[ALT_VIEW]","ALT",""))</f>
        <v/>
      </c>
      <c r="AD3378" s="21">
        <f>IF(Y3378&lt;&gt;"",Y3378,IF(U3378&lt;&gt;"",U3378,S3378))</f>
        <v/>
      </c>
      <c r="AE3378" s="21">
        <f>IF(AB3378&lt;&gt;"",AB3378,Z3378)</f>
        <v/>
      </c>
      <c r="AF3378" s="13" t="inlineStr">
        <is>
          <t>P-1 Exhibit &gt; 1611N &gt; BA05 Auxiliaries &gt; LI 27 SMS-Special Mission Ship</t>
        </is>
      </c>
    </row>
    <row r="3379" ht="10" customHeight="1">
      <c r="A3379" s="7" t="inlineStr">
        <is>
          <t>SCN</t>
        </is>
      </c>
      <c r="B3379" s="7" t="inlineStr">
        <is>
          <t>Procurement</t>
        </is>
      </c>
      <c r="D3379" s="7" t="inlineStr">
        <is>
          <t>Next Generation Logistics Ship</t>
        </is>
      </c>
      <c r="E3379" s="15" t="n"/>
      <c r="I3379" s="14" t="n">
        <v>1</v>
      </c>
      <c r="J3379" s="7" t="inlineStr">
        <is>
          <t>Advance procurement / LLTM</t>
        </is>
      </c>
      <c r="K3379" s="13" t="inlineStr">
        <is>
          <t>MSC</t>
        </is>
      </c>
      <c r="L3379" s="7" t="inlineStr">
        <is>
          <t>Combatant Ships</t>
        </is>
      </c>
      <c r="M3379" s="7" t="inlineStr">
        <is>
          <t>Combat Logistics Ships</t>
        </is>
      </c>
      <c r="O3379" s="15" t="n"/>
      <c r="AC3379" s="23">
        <f>IF(OR(E3379="",E3379="[PARENT]"),"ADD",IF(E3379="[ALT_VIEW]","ALT",""))</f>
        <v/>
      </c>
      <c r="AD3379" s="21">
        <f>IF(Y3379&lt;&gt;"",Y3379,IF(U3379&lt;&gt;"",U3379,S3379))</f>
        <v/>
      </c>
      <c r="AE3379" s="21">
        <f>IF(AB3379&lt;&gt;"",AB3379,Z3379)</f>
        <v/>
      </c>
      <c r="AF3379" s="13" t="inlineStr">
        <is>
          <t>P-1 Exhibit &gt; 1611N &gt; BA05 Auxiliaries &gt; LI 30 Next Generation Logistics Ship</t>
        </is>
      </c>
    </row>
    <row r="3380" ht="10" customHeight="1">
      <c r="A3380" s="7" t="inlineStr">
        <is>
          <t>SCN</t>
        </is>
      </c>
      <c r="B3380" s="7" t="inlineStr">
        <is>
          <t>Procurement</t>
        </is>
      </c>
      <c r="D3380" s="7" t="inlineStr">
        <is>
          <t>Bulk Fuel Vessel</t>
        </is>
      </c>
      <c r="E3380" s="15" t="n"/>
      <c r="I3380" s="14" t="n">
        <v>1</v>
      </c>
      <c r="J3380" s="7" t="inlineStr">
        <is>
          <t>Full ship DD&amp;C</t>
        </is>
      </c>
      <c r="K3380" s="13" t="inlineStr">
        <is>
          <t>MSC</t>
        </is>
      </c>
      <c r="L3380" s="7" t="inlineStr">
        <is>
          <t>Combatant Ships</t>
        </is>
      </c>
      <c r="M3380" s="7" t="inlineStr">
        <is>
          <t>Combat Logistics Ships</t>
        </is>
      </c>
      <c r="O3380" s="15" t="n"/>
      <c r="Z3380" s="16" t="n">
        <v>450000</v>
      </c>
      <c r="AB3380" s="16" t="n">
        <v>450000</v>
      </c>
      <c r="AC3380" s="23">
        <f>IF(OR(E3380="",E3380="[PARENT]"),"ADD",IF(E3380="[ALT_VIEW]","ALT",""))</f>
        <v/>
      </c>
      <c r="AD3380" s="21">
        <f>IF(Y3380&lt;&gt;"",Y3380,IF(U3380&lt;&gt;"",U3380,S3380))</f>
        <v/>
      </c>
      <c r="AE3380" s="21">
        <f>IF(AB3380&lt;&gt;"",AB3380,Z3380)</f>
        <v/>
      </c>
      <c r="AF3380" s="13" t="inlineStr">
        <is>
          <t>P-1 Exhibit &gt; 1611N &gt; BA05 Auxiliaries &gt; LI 40 Bulk Fuel Vessel</t>
        </is>
      </c>
    </row>
    <row r="3381" ht="10" customHeight="1">
      <c r="A3381" s="7" t="inlineStr">
        <is>
          <t>SCN</t>
        </is>
      </c>
      <c r="B3381" s="7" t="inlineStr">
        <is>
          <t>Procurement</t>
        </is>
      </c>
      <c r="D3381" s="7" t="inlineStr">
        <is>
          <t>T-AH(X)</t>
        </is>
      </c>
      <c r="E3381" s="15" t="n"/>
      <c r="I3381" s="14" t="n">
        <v>1</v>
      </c>
      <c r="J3381" s="7" t="inlineStr">
        <is>
          <t>Full ship DD&amp;C</t>
        </is>
      </c>
      <c r="K3381" s="13" t="inlineStr">
        <is>
          <t>MSC</t>
        </is>
      </c>
      <c r="L3381" s="7" t="inlineStr">
        <is>
          <t>Auxiliary Ships</t>
        </is>
      </c>
      <c r="M3381" s="7" t="inlineStr">
        <is>
          <t>Hospital Ship</t>
        </is>
      </c>
      <c r="N3381" s="7" t="inlineStr">
        <is>
          <t>T-AH</t>
        </is>
      </c>
      <c r="O3381" s="15" t="n"/>
      <c r="AA3381" s="16" t="n">
        <v>650000</v>
      </c>
      <c r="AB3381" s="16" t="n">
        <v>650000</v>
      </c>
      <c r="AC3381" s="23">
        <f>IF(OR(E3381="",E3381="[PARENT]"),"ADD",IF(E3381="[ALT_VIEW]","ALT",""))</f>
        <v/>
      </c>
      <c r="AD3381" s="21">
        <f>IF(Y3381&lt;&gt;"",Y3381,IF(U3381&lt;&gt;"",U3381,S3381))</f>
        <v/>
      </c>
      <c r="AE3381" s="21">
        <f>IF(AB3381&lt;&gt;"",AB3381,Z3381)</f>
        <v/>
      </c>
      <c r="AF3381" s="13" t="inlineStr">
        <is>
          <t>P-1 Exhibit &gt; 1611N &gt; BA05 Auxiliaries &gt; LI 41 T-AH(X)</t>
        </is>
      </c>
    </row>
    <row r="3382" ht="10" customHeight="1">
      <c r="A3382" s="7" t="inlineStr">
        <is>
          <t>SCN</t>
        </is>
      </c>
      <c r="B3382" s="7" t="inlineStr">
        <is>
          <t>Procurement</t>
        </is>
      </c>
      <c r="D3382" s="7" t="inlineStr">
        <is>
          <t>Fireboats</t>
        </is>
      </c>
      <c r="E3382" s="15" t="n"/>
      <c r="I3382" s="14" t="n">
        <v>1</v>
      </c>
      <c r="J3382" s="7" t="inlineStr">
        <is>
          <t>Full vessel procurement</t>
        </is>
      </c>
      <c r="K3382" s="13" t="inlineStr">
        <is>
          <t>USN</t>
        </is>
      </c>
      <c r="L3382" s="7" t="inlineStr">
        <is>
          <t>Support Crafts</t>
        </is>
      </c>
      <c r="M3382" s="7" t="inlineStr">
        <is>
          <t>Other Craft, Self-Propelled</t>
        </is>
      </c>
      <c r="O3382" s="15" t="n"/>
      <c r="AA3382" s="16" t="n">
        <v>272500</v>
      </c>
      <c r="AB3382" s="16" t="n">
        <v>272500</v>
      </c>
      <c r="AC3382" s="23">
        <f>IF(OR(E3382="",E3382="[PARENT]"),"ADD",IF(E3382="[ALT_VIEW]","ALT",""))</f>
        <v/>
      </c>
      <c r="AD3382" s="21">
        <f>IF(Y3382&lt;&gt;"",Y3382,IF(U3382&lt;&gt;"",U3382,S3382))</f>
        <v/>
      </c>
      <c r="AE3382" s="21">
        <f>IF(AB3382&lt;&gt;"",AB3382,Z3382)</f>
        <v/>
      </c>
      <c r="AF3382" s="13" t="inlineStr">
        <is>
          <t>P-1 Exhibit &gt; 1611N &gt; BA05 Auxiliaries &gt; LI 42 Fireboats</t>
        </is>
      </c>
    </row>
    <row r="3383">
      <c r="A3383" t="inlineStr">
        <is>
          <t>WPN</t>
        </is>
      </c>
      <c r="B3383" t="inlineStr">
        <is>
          <t>Procurement</t>
        </is>
      </c>
      <c r="D3383" t="inlineStr">
        <is>
          <t>TRIDENT II Mods - P-5 1 / D5 Life Extension - Joint Fuze Production Engineering/Support</t>
        </is>
      </c>
      <c r="E3383" t="inlineStr">
        <is>
          <t>[ALT_VIEW]</t>
        </is>
      </c>
      <c r="F3383" t="inlineStr">
        <is>
          <t>1250 / TRIDENT II Mods</t>
        </is>
      </c>
      <c r="G3383" t="inlineStr">
        <is>
          <t>P-5</t>
        </is>
      </c>
      <c r="H3383" t="inlineStr">
        <is>
          <t>Recurring</t>
        </is>
      </c>
      <c r="I3383" t="n">
        <v>4</v>
      </c>
      <c r="K3383" t="inlineStr">
        <is>
          <t>USN</t>
        </is>
      </c>
      <c r="L3383" t="inlineStr">
        <is>
          <t>Combatant Ships</t>
        </is>
      </c>
      <c r="M3383" t="inlineStr">
        <is>
          <t>Submarines</t>
        </is>
      </c>
      <c r="S3383" t="n">
        <v>6354</v>
      </c>
      <c r="U3383" t="n">
        <v>6354</v>
      </c>
      <c r="AC3383">
        <f>IF(OR(E3383="",E3383="[PARENT]"),"ADD",IF(E3383="[ALT_VIEW]","ALT",""))</f>
        <v/>
      </c>
      <c r="AD3383">
        <f>IF(Y3383&lt;&gt;"",Y3383,IF(U3383&lt;&gt;"",U3383,S3383))</f>
        <v/>
      </c>
      <c r="AE3383">
        <f>IF(AB3383&lt;&gt;"",AB3383,Z3383)</f>
        <v/>
      </c>
      <c r="AF3383" t="inlineStr">
        <is>
          <t>P-5 Cost Analysis &gt; WPN LI 1250 &gt; 1.1.1 Joint Fuze Production Engineering/Support</t>
        </is>
      </c>
      <c r="AJ3383" t="inlineStr">
        <is>
          <t>Joint Fuze Production Engineering/Support</t>
        </is>
      </c>
    </row>
    <row r="3384">
      <c r="A3384" t="inlineStr">
        <is>
          <t>WPN</t>
        </is>
      </c>
      <c r="B3384" t="inlineStr">
        <is>
          <t>Procurement</t>
        </is>
      </c>
      <c r="D3384" t="inlineStr">
        <is>
          <t>TRIDENT II Mods - P-5 1 / D5 Life Extension - Joint Fuze Material/Hardware Procurement</t>
        </is>
      </c>
      <c r="E3384" t="inlineStr">
        <is>
          <t>[ALT_VIEW]</t>
        </is>
      </c>
      <c r="F3384" t="inlineStr">
        <is>
          <t>1250 / TRIDENT II Mods</t>
        </is>
      </c>
      <c r="G3384" t="inlineStr">
        <is>
          <t>P-5</t>
        </is>
      </c>
      <c r="H3384" t="inlineStr">
        <is>
          <t>Recurring</t>
        </is>
      </c>
      <c r="I3384" t="n">
        <v>4</v>
      </c>
      <c r="K3384" t="inlineStr">
        <is>
          <t>USN</t>
        </is>
      </c>
      <c r="L3384" t="inlineStr">
        <is>
          <t>Combatant Ships</t>
        </is>
      </c>
      <c r="M3384" t="inlineStr">
        <is>
          <t>Submarines</t>
        </is>
      </c>
      <c r="S3384" t="n">
        <v>0</v>
      </c>
      <c r="U3384" t="n">
        <v>0</v>
      </c>
      <c r="AC3384">
        <f>IF(OR(E3384="",E3384="[PARENT]"),"ADD",IF(E3384="[ALT_VIEW]","ALT",""))</f>
        <v/>
      </c>
      <c r="AD3384">
        <f>IF(Y3384&lt;&gt;"",Y3384,IF(U3384&lt;&gt;"",U3384,S3384))</f>
        <v/>
      </c>
      <c r="AE3384">
        <f>IF(AB3384&lt;&gt;"",AB3384,Z3384)</f>
        <v/>
      </c>
      <c r="AF3384" t="inlineStr">
        <is>
          <t>P-5 Cost Analysis &gt; WPN LI 1250 &gt; 1.1.2 Joint Fuze Material/Hardware Procurement</t>
        </is>
      </c>
      <c r="AJ3384" t="inlineStr">
        <is>
          <t>Joint Fuze Material/Hardware Procurement</t>
        </is>
      </c>
    </row>
    <row r="3385">
      <c r="A3385" t="inlineStr">
        <is>
          <t>WPN</t>
        </is>
      </c>
      <c r="B3385" t="inlineStr">
        <is>
          <t>Procurement</t>
        </is>
      </c>
      <c r="D3385" t="inlineStr">
        <is>
          <t>TRIDENT II Mods - P-5 1 / D5 Life Extension - Production Support</t>
        </is>
      </c>
      <c r="E3385" t="inlineStr">
        <is>
          <t>[ALT_VIEW]</t>
        </is>
      </c>
      <c r="F3385" t="inlineStr">
        <is>
          <t>1250 / TRIDENT II Mods</t>
        </is>
      </c>
      <c r="G3385" t="inlineStr">
        <is>
          <t>P-5</t>
        </is>
      </c>
      <c r="H3385" t="inlineStr">
        <is>
          <t>Recurring</t>
        </is>
      </c>
      <c r="I3385" t="n">
        <v>4</v>
      </c>
      <c r="K3385" t="inlineStr">
        <is>
          <t>USN</t>
        </is>
      </c>
      <c r="L3385" t="inlineStr">
        <is>
          <t>Combatant Ships</t>
        </is>
      </c>
      <c r="M3385" t="inlineStr">
        <is>
          <t>Submarines</t>
        </is>
      </c>
      <c r="S3385" t="n">
        <v>31330</v>
      </c>
      <c r="U3385" t="n">
        <v>31330</v>
      </c>
      <c r="AC3385">
        <f>IF(OR(E3385="",E3385="[PARENT]"),"ADD",IF(E3385="[ALT_VIEW]","ALT",""))</f>
        <v/>
      </c>
      <c r="AD3385">
        <f>IF(Y3385&lt;&gt;"",Y3385,IF(U3385&lt;&gt;"",U3385,S3385))</f>
        <v/>
      </c>
      <c r="AE3385">
        <f>IF(AB3385&lt;&gt;"",AB3385,Z3385)</f>
        <v/>
      </c>
      <c r="AF3385" t="inlineStr">
        <is>
          <t>P-5 Cost Analysis &gt; WPN LI 1250 &gt; 2.1.1 Production Support</t>
        </is>
      </c>
      <c r="AJ3385" t="inlineStr">
        <is>
          <t>Production Support</t>
        </is>
      </c>
    </row>
    <row r="3386">
      <c r="A3386" t="inlineStr">
        <is>
          <t>WPN</t>
        </is>
      </c>
      <c r="B3386" t="inlineStr">
        <is>
          <t>Procurement</t>
        </is>
      </c>
      <c r="D3386" t="inlineStr">
        <is>
          <t>TRIDENT II Mods - P-5 1 / D5 Life Extension - Missile Inverter</t>
        </is>
      </c>
      <c r="E3386" t="inlineStr">
        <is>
          <t>[ALT_VIEW]</t>
        </is>
      </c>
      <c r="F3386" t="inlineStr">
        <is>
          <t>1250 / TRIDENT II Mods</t>
        </is>
      </c>
      <c r="G3386" t="inlineStr">
        <is>
          <t>P-5</t>
        </is>
      </c>
      <c r="H3386" t="inlineStr">
        <is>
          <t>Recurring</t>
        </is>
      </c>
      <c r="I3386" t="n">
        <v>4</v>
      </c>
      <c r="K3386" t="inlineStr">
        <is>
          <t>USN</t>
        </is>
      </c>
      <c r="L3386" t="inlineStr">
        <is>
          <t>Combatant Ships</t>
        </is>
      </c>
      <c r="M3386" t="inlineStr">
        <is>
          <t>Submarines</t>
        </is>
      </c>
      <c r="S3386" t="n">
        <v>20050</v>
      </c>
      <c r="U3386" t="n">
        <v>20050</v>
      </c>
      <c r="AC3386">
        <f>IF(OR(E3386="",E3386="[PARENT]"),"ADD",IF(E3386="[ALT_VIEW]","ALT",""))</f>
        <v/>
      </c>
      <c r="AD3386">
        <f>IF(Y3386&lt;&gt;"",Y3386,IF(U3386&lt;&gt;"",U3386,S3386))</f>
        <v/>
      </c>
      <c r="AE3386">
        <f>IF(AB3386&lt;&gt;"",AB3386,Z3386)</f>
        <v/>
      </c>
      <c r="AF3386" t="inlineStr">
        <is>
          <t>P-5 Cost Analysis &gt; WPN LI 1250 &gt; 4.1.2 Missile Inverter</t>
        </is>
      </c>
      <c r="AJ3386" t="inlineStr">
        <is>
          <t>Missile Inverter</t>
        </is>
      </c>
    </row>
    <row r="3387">
      <c r="A3387" t="inlineStr">
        <is>
          <t>WPN</t>
        </is>
      </c>
      <c r="B3387" t="inlineStr">
        <is>
          <t>Procurement</t>
        </is>
      </c>
      <c r="D3387" t="inlineStr">
        <is>
          <t>TRIDENT II Mods - P-5 1 / D5 Life Extension - Command Sequencer</t>
        </is>
      </c>
      <c r="E3387" t="inlineStr">
        <is>
          <t>[ALT_VIEW]</t>
        </is>
      </c>
      <c r="F3387" t="inlineStr">
        <is>
          <t>1250 / TRIDENT II Mods</t>
        </is>
      </c>
      <c r="G3387" t="inlineStr">
        <is>
          <t>P-5</t>
        </is>
      </c>
      <c r="H3387" t="inlineStr">
        <is>
          <t>Recurring</t>
        </is>
      </c>
      <c r="I3387" t="n">
        <v>4</v>
      </c>
      <c r="K3387" t="inlineStr">
        <is>
          <t>USN</t>
        </is>
      </c>
      <c r="L3387" t="inlineStr">
        <is>
          <t>Combatant Ships</t>
        </is>
      </c>
      <c r="M3387" t="inlineStr">
        <is>
          <t>Submarines</t>
        </is>
      </c>
      <c r="S3387" t="n">
        <v>24578</v>
      </c>
      <c r="U3387" t="n">
        <v>24578</v>
      </c>
      <c r="AC3387">
        <f>IF(OR(E3387="",E3387="[PARENT]"),"ADD",IF(E3387="[ALT_VIEW]","ALT",""))</f>
        <v/>
      </c>
      <c r="AD3387">
        <f>IF(Y3387&lt;&gt;"",Y3387,IF(U3387&lt;&gt;"",U3387,S3387))</f>
        <v/>
      </c>
      <c r="AE3387">
        <f>IF(AB3387&lt;&gt;"",AB3387,Z3387)</f>
        <v/>
      </c>
      <c r="AF3387" t="inlineStr">
        <is>
          <t>P-5 Cost Analysis &gt; WPN LI 1250 &gt; 4.1.3 Command Sequencer</t>
        </is>
      </c>
      <c r="AJ3387" t="inlineStr">
        <is>
          <t>Command Sequencer</t>
        </is>
      </c>
    </row>
    <row r="3388">
      <c r="A3388" t="inlineStr">
        <is>
          <t>WPN</t>
        </is>
      </c>
      <c r="B3388" t="inlineStr">
        <is>
          <t>Procurement</t>
        </is>
      </c>
      <c r="D3388" t="inlineStr">
        <is>
          <t>TRIDENT II Mods - P-5 1 / D5 Life Extension - Fleet Return Missile Electronics Production Support</t>
        </is>
      </c>
      <c r="E3388" t="inlineStr">
        <is>
          <t>[ALT_VIEW]</t>
        </is>
      </c>
      <c r="F3388" t="inlineStr">
        <is>
          <t>1250 / TRIDENT II Mods</t>
        </is>
      </c>
      <c r="G3388" t="inlineStr">
        <is>
          <t>P-5</t>
        </is>
      </c>
      <c r="H3388" t="inlineStr">
        <is>
          <t>Recurring</t>
        </is>
      </c>
      <c r="I3388" t="n">
        <v>4</v>
      </c>
      <c r="K3388" t="inlineStr">
        <is>
          <t>USN</t>
        </is>
      </c>
      <c r="L3388" t="inlineStr">
        <is>
          <t>Combatant Ships</t>
        </is>
      </c>
      <c r="M3388" t="inlineStr">
        <is>
          <t>Submarines</t>
        </is>
      </c>
      <c r="S3388" t="n">
        <v>12060</v>
      </c>
      <c r="U3388" t="n">
        <v>12060</v>
      </c>
      <c r="AC3388">
        <f>IF(OR(E3388="",E3388="[PARENT]"),"ADD",IF(E3388="[ALT_VIEW]","ALT",""))</f>
        <v/>
      </c>
      <c r="AD3388">
        <f>IF(Y3388&lt;&gt;"",Y3388,IF(U3388&lt;&gt;"",U3388,S3388))</f>
        <v/>
      </c>
      <c r="AE3388">
        <f>IF(AB3388&lt;&gt;"",AB3388,Z3388)</f>
        <v/>
      </c>
      <c r="AF3388" t="inlineStr">
        <is>
          <t>P-5 Cost Analysis &gt; WPN LI 1250 &gt; 4.1.5 Fleet Return Missile Electronics Production Support</t>
        </is>
      </c>
      <c r="AJ3388" t="inlineStr">
        <is>
          <t>Fleet Return Missile Electronics Production Support</t>
        </is>
      </c>
    </row>
    <row r="3389">
      <c r="A3389" t="inlineStr">
        <is>
          <t>WPN</t>
        </is>
      </c>
      <c r="B3389" t="inlineStr">
        <is>
          <t>Procurement</t>
        </is>
      </c>
      <c r="D3389" t="inlineStr">
        <is>
          <t>TRIDENT II Mods - P-5 2 / Operating and Support Costs - Warhead Components</t>
        </is>
      </c>
      <c r="E3389" t="inlineStr">
        <is>
          <t>[ALT_VIEW]</t>
        </is>
      </c>
      <c r="F3389" t="inlineStr">
        <is>
          <t>1250 / TRIDENT II Mods</t>
        </is>
      </c>
      <c r="G3389" t="inlineStr">
        <is>
          <t>P-5</t>
        </is>
      </c>
      <c r="H3389" t="inlineStr">
        <is>
          <t>Support</t>
        </is>
      </c>
      <c r="I3389" t="n">
        <v>4</v>
      </c>
      <c r="K3389" t="inlineStr">
        <is>
          <t>USN</t>
        </is>
      </c>
      <c r="L3389" t="inlineStr">
        <is>
          <t>Combatant Ships</t>
        </is>
      </c>
      <c r="M3389" t="inlineStr">
        <is>
          <t>Submarines</t>
        </is>
      </c>
      <c r="S3389" t="n">
        <v>76668</v>
      </c>
      <c r="U3389" t="n">
        <v>76668</v>
      </c>
      <c r="AC3389">
        <f>IF(OR(E3389="",E3389="[PARENT]"),"ADD",IF(E3389="[ALT_VIEW]","ALT",""))</f>
        <v/>
      </c>
      <c r="AD3389">
        <f>IF(Y3389&lt;&gt;"",Y3389,IF(U3389&lt;&gt;"",U3389,S3389))</f>
        <v/>
      </c>
      <c r="AE3389">
        <f>IF(AB3389&lt;&gt;"",AB3389,Z3389)</f>
        <v/>
      </c>
      <c r="AF3389" t="inlineStr">
        <is>
          <t>P-5 Cost Analysis &gt; WPN LI 1250 &gt; 1.1 Warhead Components</t>
        </is>
      </c>
      <c r="AJ3389" t="inlineStr">
        <is>
          <t>Warhead Components</t>
        </is>
      </c>
    </row>
    <row r="3390">
      <c r="A3390" t="inlineStr">
        <is>
          <t>WPN</t>
        </is>
      </c>
      <c r="B3390" t="inlineStr">
        <is>
          <t>Procurement</t>
        </is>
      </c>
      <c r="D3390" t="inlineStr">
        <is>
          <t>TRIDENT II Mods - P-5 2 / Operating and Support Costs - Mk4B Shape Stable Nose Tip (SSNT)</t>
        </is>
      </c>
      <c r="E3390" t="inlineStr">
        <is>
          <t>[ALT_VIEW]</t>
        </is>
      </c>
      <c r="F3390" t="inlineStr">
        <is>
          <t>1250 / TRIDENT II Mods</t>
        </is>
      </c>
      <c r="G3390" t="inlineStr">
        <is>
          <t>P-5</t>
        </is>
      </c>
      <c r="H3390" t="inlineStr">
        <is>
          <t>Support</t>
        </is>
      </c>
      <c r="I3390" t="n">
        <v>4</v>
      </c>
      <c r="K3390" t="inlineStr">
        <is>
          <t>USN</t>
        </is>
      </c>
      <c r="L3390" t="inlineStr">
        <is>
          <t>Combatant Ships</t>
        </is>
      </c>
      <c r="M3390" t="inlineStr">
        <is>
          <t>Submarines</t>
        </is>
      </c>
      <c r="S3390" t="n">
        <v>32895</v>
      </c>
      <c r="U3390" t="n">
        <v>32895</v>
      </c>
      <c r="AC3390">
        <f>IF(OR(E3390="",E3390="[PARENT]"),"ADD",IF(E3390="[ALT_VIEW]","ALT",""))</f>
        <v/>
      </c>
      <c r="AD3390">
        <f>IF(Y3390&lt;&gt;"",Y3390,IF(U3390&lt;&gt;"",U3390,S3390))</f>
        <v/>
      </c>
      <c r="AE3390">
        <f>IF(AB3390&lt;&gt;"",AB3390,Z3390)</f>
        <v/>
      </c>
      <c r="AF3390" t="inlineStr">
        <is>
          <t>P-5 Cost Analysis &gt; WPN LI 1250 &gt; 1.2 Mk4B Shape Stable Nose Tip (SSNT)</t>
        </is>
      </c>
      <c r="AJ3390" t="inlineStr">
        <is>
          <t>Mk4B Shape Stable Nose Tip (SSNT)</t>
        </is>
      </c>
    </row>
    <row r="3391">
      <c r="A3391" t="inlineStr">
        <is>
          <t>WPN</t>
        </is>
      </c>
      <c r="B3391" t="inlineStr">
        <is>
          <t>Procurement</t>
        </is>
      </c>
      <c r="D3391" t="inlineStr">
        <is>
          <t>TRIDENT II Mods - P-5 2 / Operating and Support Costs - Tooling, Test/Support Equipment</t>
        </is>
      </c>
      <c r="E3391" t="inlineStr">
        <is>
          <t>[ALT_VIEW]</t>
        </is>
      </c>
      <c r="F3391" t="inlineStr">
        <is>
          <t>1250 / TRIDENT II Mods</t>
        </is>
      </c>
      <c r="G3391" t="inlineStr">
        <is>
          <t>P-5</t>
        </is>
      </c>
      <c r="H3391" t="inlineStr">
        <is>
          <t>Support</t>
        </is>
      </c>
      <c r="I3391" t="n">
        <v>4</v>
      </c>
      <c r="K3391" t="inlineStr">
        <is>
          <t>USN</t>
        </is>
      </c>
      <c r="L3391" t="inlineStr">
        <is>
          <t>Combatant Ships</t>
        </is>
      </c>
      <c r="M3391" t="inlineStr">
        <is>
          <t>Submarines</t>
        </is>
      </c>
      <c r="S3391" t="n">
        <v>123736</v>
      </c>
      <c r="U3391" t="n">
        <v>123736</v>
      </c>
      <c r="AC3391">
        <f>IF(OR(E3391="",E3391="[PARENT]"),"ADD",IF(E3391="[ALT_VIEW]","ALT",""))</f>
        <v/>
      </c>
      <c r="AD3391">
        <f>IF(Y3391&lt;&gt;"",Y3391,IF(U3391&lt;&gt;"",U3391,S3391))</f>
        <v/>
      </c>
      <c r="AE3391">
        <f>IF(AB3391&lt;&gt;"",AB3391,Z3391)</f>
        <v/>
      </c>
      <c r="AF3391" t="inlineStr">
        <is>
          <t>P-5 Cost Analysis &gt; WPN LI 1250 &gt; 1.3 Tooling, Test/Support Equipment</t>
        </is>
      </c>
      <c r="AJ3391" t="inlineStr">
        <is>
          <t>Tooling, Test/Support Equipment</t>
        </is>
      </c>
    </row>
    <row r="3392">
      <c r="A3392" t="inlineStr">
        <is>
          <t>WPN</t>
        </is>
      </c>
      <c r="B3392" t="inlineStr">
        <is>
          <t>Procurement</t>
        </is>
      </c>
      <c r="D3392" t="inlineStr">
        <is>
          <t>TRIDENT II Mods - P-5 2 / Operating and Support Costs - System Integration &amp; Planning</t>
        </is>
      </c>
      <c r="E3392" t="inlineStr">
        <is>
          <t>[ALT_VIEW]</t>
        </is>
      </c>
      <c r="F3392" t="inlineStr">
        <is>
          <t>1250 / TRIDENT II Mods</t>
        </is>
      </c>
      <c r="G3392" t="inlineStr">
        <is>
          <t>P-5</t>
        </is>
      </c>
      <c r="H3392" t="inlineStr">
        <is>
          <t>Support</t>
        </is>
      </c>
      <c r="I3392" t="n">
        <v>4</v>
      </c>
      <c r="K3392" t="inlineStr">
        <is>
          <t>USN</t>
        </is>
      </c>
      <c r="L3392" t="inlineStr">
        <is>
          <t>Combatant Ships</t>
        </is>
      </c>
      <c r="M3392" t="inlineStr">
        <is>
          <t>Submarines</t>
        </is>
      </c>
      <c r="S3392" t="n">
        <v>8583</v>
      </c>
      <c r="U3392" t="n">
        <v>8583</v>
      </c>
      <c r="AC3392">
        <f>IF(OR(E3392="",E3392="[PARENT]"),"ADD",IF(E3392="[ALT_VIEW]","ALT",""))</f>
        <v/>
      </c>
      <c r="AD3392">
        <f>IF(Y3392&lt;&gt;"",Y3392,IF(U3392&lt;&gt;"",U3392,S3392))</f>
        <v/>
      </c>
      <c r="AE3392">
        <f>IF(AB3392&lt;&gt;"",AB3392,Z3392)</f>
        <v/>
      </c>
      <c r="AF3392" t="inlineStr">
        <is>
          <t>P-5 Cost Analysis &gt; WPN LI 1250 &gt; 1.4 System Integration &amp; Planning</t>
        </is>
      </c>
      <c r="AJ3392" t="inlineStr">
        <is>
          <t>System Integration &amp; Planning</t>
        </is>
      </c>
    </row>
    <row r="3393">
      <c r="A3393" t="inlineStr">
        <is>
          <t>WPN</t>
        </is>
      </c>
      <c r="B3393" t="inlineStr">
        <is>
          <t>Procurement</t>
        </is>
      </c>
      <c r="D3393" t="inlineStr">
        <is>
          <t>TRIDENT II Mods - P-5 2 / Operating and Support Costs - Supportability Mods/SPALT Insertion</t>
        </is>
      </c>
      <c r="E3393" t="inlineStr">
        <is>
          <t>[ALT_VIEW]</t>
        </is>
      </c>
      <c r="F3393" t="inlineStr">
        <is>
          <t>1250 / TRIDENT II Mods</t>
        </is>
      </c>
      <c r="G3393" t="inlineStr">
        <is>
          <t>P-5</t>
        </is>
      </c>
      <c r="H3393" t="inlineStr">
        <is>
          <t>Support</t>
        </is>
      </c>
      <c r="I3393" t="n">
        <v>4</v>
      </c>
      <c r="K3393" t="inlineStr">
        <is>
          <t>USN</t>
        </is>
      </c>
      <c r="L3393" t="inlineStr">
        <is>
          <t>Combatant Ships</t>
        </is>
      </c>
      <c r="M3393" t="inlineStr">
        <is>
          <t>Submarines</t>
        </is>
      </c>
      <c r="S3393" t="n">
        <v>45218</v>
      </c>
      <c r="U3393" t="n">
        <v>45218</v>
      </c>
      <c r="AC3393">
        <f>IF(OR(E3393="",E3393="[PARENT]"),"ADD",IF(E3393="[ALT_VIEW]","ALT",""))</f>
        <v/>
      </c>
      <c r="AD3393">
        <f>IF(Y3393&lt;&gt;"",Y3393,IF(U3393&lt;&gt;"",U3393,S3393))</f>
        <v/>
      </c>
      <c r="AE3393">
        <f>IF(AB3393&lt;&gt;"",AB3393,Z3393)</f>
        <v/>
      </c>
      <c r="AF3393" t="inlineStr">
        <is>
          <t>P-5 Cost Analysis &gt; WPN LI 1250 &gt; 1.5 Supportability Mods/SPALT Insertion</t>
        </is>
      </c>
      <c r="AJ3393" t="inlineStr">
        <is>
          <t>Supportability Mods/SPALT Insertion</t>
        </is>
      </c>
    </row>
    <row r="3394">
      <c r="A3394" t="inlineStr">
        <is>
          <t>WPN</t>
        </is>
      </c>
      <c r="B3394" t="inlineStr">
        <is>
          <t>Procurement</t>
        </is>
      </c>
      <c r="D3394" t="inlineStr">
        <is>
          <t>TRIDENT II Mods - P-5 2 / Operating and Support Costs - Solid Rocket Motors</t>
        </is>
      </c>
      <c r="E3394" t="inlineStr">
        <is>
          <t>[ALT_VIEW]</t>
        </is>
      </c>
      <c r="F3394" t="inlineStr">
        <is>
          <t>1250 / TRIDENT II Mods</t>
        </is>
      </c>
      <c r="G3394" t="inlineStr">
        <is>
          <t>P-5</t>
        </is>
      </c>
      <c r="H3394" t="inlineStr">
        <is>
          <t>Recurring</t>
        </is>
      </c>
      <c r="I3394" t="n">
        <v>4</v>
      </c>
      <c r="K3394" t="inlineStr">
        <is>
          <t>USN</t>
        </is>
      </c>
      <c r="L3394" t="inlineStr">
        <is>
          <t>Combatant Ships</t>
        </is>
      </c>
      <c r="M3394" t="inlineStr">
        <is>
          <t>Submarines</t>
        </is>
      </c>
      <c r="S3394" t="n">
        <v>260958</v>
      </c>
      <c r="U3394" t="n">
        <v>260958</v>
      </c>
      <c r="AC3394">
        <f>IF(OR(E3394="",E3394="[PARENT]"),"ADD",IF(E3394="[ALT_VIEW]","ALT",""))</f>
        <v/>
      </c>
      <c r="AD3394">
        <f>IF(Y3394&lt;&gt;"",Y3394,IF(U3394&lt;&gt;"",U3394,S3394))</f>
        <v/>
      </c>
      <c r="AE3394">
        <f>IF(AB3394&lt;&gt;"",AB3394,Z3394)</f>
        <v/>
      </c>
      <c r="AF3394" t="inlineStr">
        <is>
          <t>P-5 Cost Analysis &gt; WPN LI 1250 &gt; 2.1 Solid Rocket Motors</t>
        </is>
      </c>
      <c r="AJ3394" t="inlineStr">
        <is>
          <t>Solid Rocket Motors</t>
        </is>
      </c>
    </row>
    <row r="3395">
      <c r="A3395" t="inlineStr">
        <is>
          <t>WPN</t>
        </is>
      </c>
      <c r="B3395" t="inlineStr">
        <is>
          <t>Procurement</t>
        </is>
      </c>
      <c r="D3395" t="inlineStr">
        <is>
          <t>TRIDENT II Mods - P-5 2 / Operating and Support Costs - Post Boost Control System (PBCS)</t>
        </is>
      </c>
      <c r="E3395" t="inlineStr">
        <is>
          <t>[ALT_VIEW]</t>
        </is>
      </c>
      <c r="F3395" t="inlineStr">
        <is>
          <t>1250 / TRIDENT II Mods</t>
        </is>
      </c>
      <c r="G3395" t="inlineStr">
        <is>
          <t>P-5</t>
        </is>
      </c>
      <c r="H3395" t="inlineStr">
        <is>
          <t>Recurring</t>
        </is>
      </c>
      <c r="I3395" t="n">
        <v>4</v>
      </c>
      <c r="K3395" t="inlineStr">
        <is>
          <t>USN</t>
        </is>
      </c>
      <c r="L3395" t="inlineStr">
        <is>
          <t>Combatant Ships</t>
        </is>
      </c>
      <c r="M3395" t="inlineStr">
        <is>
          <t>Submarines</t>
        </is>
      </c>
      <c r="S3395" t="n">
        <v>53600</v>
      </c>
      <c r="U3395" t="n">
        <v>53600</v>
      </c>
      <c r="AC3395">
        <f>IF(OR(E3395="",E3395="[PARENT]"),"ADD",IF(E3395="[ALT_VIEW]","ALT",""))</f>
        <v/>
      </c>
      <c r="AD3395">
        <f>IF(Y3395&lt;&gt;"",Y3395,IF(U3395&lt;&gt;"",U3395,S3395))</f>
        <v/>
      </c>
      <c r="AE3395">
        <f>IF(AB3395&lt;&gt;"",AB3395,Z3395)</f>
        <v/>
      </c>
      <c r="AF3395" t="inlineStr">
        <is>
          <t>P-5 Cost Analysis &gt; WPN LI 1250 &gt; 2.2 Post Boost Control System (PBCS)</t>
        </is>
      </c>
      <c r="AJ3395" t="inlineStr">
        <is>
          <t>Post Boost Control System (PBCS)</t>
        </is>
      </c>
    </row>
    <row r="3396">
      <c r="A3396" t="inlineStr">
        <is>
          <t>WPN</t>
        </is>
      </c>
      <c r="B3396" t="inlineStr">
        <is>
          <t>Procurement</t>
        </is>
      </c>
      <c r="D3396" t="inlineStr">
        <is>
          <t>TRIDENT II Mods - P-5 2 / Operating and Support Costs - HMX</t>
        </is>
      </c>
      <c r="E3396" t="inlineStr">
        <is>
          <t>[ALT_VIEW]</t>
        </is>
      </c>
      <c r="F3396" t="inlineStr">
        <is>
          <t>1250 / TRIDENT II Mods</t>
        </is>
      </c>
      <c r="G3396" t="inlineStr">
        <is>
          <t>P-5</t>
        </is>
      </c>
      <c r="H3396" t="inlineStr">
        <is>
          <t>Support</t>
        </is>
      </c>
      <c r="I3396" t="n">
        <v>4</v>
      </c>
      <c r="K3396" t="inlineStr">
        <is>
          <t>USN</t>
        </is>
      </c>
      <c r="L3396" t="inlineStr">
        <is>
          <t>Combatant Ships</t>
        </is>
      </c>
      <c r="M3396" t="inlineStr">
        <is>
          <t>Submarines</t>
        </is>
      </c>
      <c r="S3396" t="n">
        <v>19210</v>
      </c>
      <c r="U3396" t="n">
        <v>19210</v>
      </c>
      <c r="AC3396">
        <f>IF(OR(E3396="",E3396="[PARENT]"),"ADD",IF(E3396="[ALT_VIEW]","ALT",""))</f>
        <v/>
      </c>
      <c r="AD3396">
        <f>IF(Y3396&lt;&gt;"",Y3396,IF(U3396&lt;&gt;"",U3396,S3396))</f>
        <v/>
      </c>
      <c r="AE3396">
        <f>IF(AB3396&lt;&gt;"",AB3396,Z3396)</f>
        <v/>
      </c>
      <c r="AF3396" t="inlineStr">
        <is>
          <t>P-5 Cost Analysis &gt; WPN LI 1250 &gt; 2.3 HMX</t>
        </is>
      </c>
      <c r="AJ3396" t="inlineStr">
        <is>
          <t>HMX</t>
        </is>
      </c>
    </row>
    <row r="3397">
      <c r="A3397" t="inlineStr">
        <is>
          <t>WPN</t>
        </is>
      </c>
      <c r="B3397" t="inlineStr">
        <is>
          <t>Procurement</t>
        </is>
      </c>
      <c r="D3397" t="inlineStr">
        <is>
          <t>TRIDENT II Mods - P-5 2 / Operating and Support Costs - Ordnance</t>
        </is>
      </c>
      <c r="E3397" t="inlineStr">
        <is>
          <t>[ALT_VIEW]</t>
        </is>
      </c>
      <c r="F3397" t="inlineStr">
        <is>
          <t>1250 / TRIDENT II Mods</t>
        </is>
      </c>
      <c r="G3397" t="inlineStr">
        <is>
          <t>P-5</t>
        </is>
      </c>
      <c r="H3397" t="inlineStr">
        <is>
          <t>Support</t>
        </is>
      </c>
      <c r="I3397" t="n">
        <v>4</v>
      </c>
      <c r="K3397" t="inlineStr">
        <is>
          <t>USN</t>
        </is>
      </c>
      <c r="L3397" t="inlineStr">
        <is>
          <t>Combatant Ships</t>
        </is>
      </c>
      <c r="M3397" t="inlineStr">
        <is>
          <t>Submarines</t>
        </is>
      </c>
      <c r="S3397" t="n">
        <v>21862</v>
      </c>
      <c r="U3397" t="n">
        <v>21862</v>
      </c>
      <c r="AC3397">
        <f>IF(OR(E3397="",E3397="[PARENT]"),"ADD",IF(E3397="[ALT_VIEW]","ALT",""))</f>
        <v/>
      </c>
      <c r="AD3397">
        <f>IF(Y3397&lt;&gt;"",Y3397,IF(U3397&lt;&gt;"",U3397,S3397))</f>
        <v/>
      </c>
      <c r="AE3397">
        <f>IF(AB3397&lt;&gt;"",AB3397,Z3397)</f>
        <v/>
      </c>
      <c r="AF3397" t="inlineStr">
        <is>
          <t>P-5 Cost Analysis &gt; WPN LI 1250 &gt; 2.4 Ordnance</t>
        </is>
      </c>
      <c r="AJ3397" t="inlineStr">
        <is>
          <t>Ordnance</t>
        </is>
      </c>
    </row>
    <row r="3398">
      <c r="A3398" t="inlineStr">
        <is>
          <t>WPN</t>
        </is>
      </c>
      <c r="B3398" t="inlineStr">
        <is>
          <t>Procurement</t>
        </is>
      </c>
      <c r="D3398" t="inlineStr">
        <is>
          <t>TRIDENT II Mods - P-5 2 / Operating and Support Costs - Controls</t>
        </is>
      </c>
      <c r="E3398" t="inlineStr">
        <is>
          <t>[ALT_VIEW]</t>
        </is>
      </c>
      <c r="F3398" t="inlineStr">
        <is>
          <t>1250 / TRIDENT II Mods</t>
        </is>
      </c>
      <c r="G3398" t="inlineStr">
        <is>
          <t>P-5</t>
        </is>
      </c>
      <c r="H3398" t="inlineStr">
        <is>
          <t>Support</t>
        </is>
      </c>
      <c r="I3398" t="n">
        <v>4</v>
      </c>
      <c r="K3398" t="inlineStr">
        <is>
          <t>USN</t>
        </is>
      </c>
      <c r="L3398" t="inlineStr">
        <is>
          <t>Combatant Ships</t>
        </is>
      </c>
      <c r="M3398" t="inlineStr">
        <is>
          <t>Submarines</t>
        </is>
      </c>
      <c r="S3398" t="n">
        <v>27396</v>
      </c>
      <c r="U3398" t="n">
        <v>27396</v>
      </c>
      <c r="AC3398">
        <f>IF(OR(E3398="",E3398="[PARENT]"),"ADD",IF(E3398="[ALT_VIEW]","ALT",""))</f>
        <v/>
      </c>
      <c r="AD3398">
        <f>IF(Y3398&lt;&gt;"",Y3398,IF(U3398&lt;&gt;"",U3398,S3398))</f>
        <v/>
      </c>
      <c r="AE3398">
        <f>IF(AB3398&lt;&gt;"",AB3398,Z3398)</f>
        <v/>
      </c>
      <c r="AF3398" t="inlineStr">
        <is>
          <t>P-5 Cost Analysis &gt; WPN LI 1250 &gt; 2.5 Controls</t>
        </is>
      </c>
      <c r="AJ3398" t="inlineStr">
        <is>
          <t>Controls</t>
        </is>
      </c>
    </row>
    <row r="3399">
      <c r="A3399" t="inlineStr">
        <is>
          <t>WPN</t>
        </is>
      </c>
      <c r="B3399" t="inlineStr">
        <is>
          <t>Procurement</t>
        </is>
      </c>
      <c r="D3399" t="inlineStr">
        <is>
          <t>TRIDENT II Mods - P-5 2 / Operating and Support Costs - Other</t>
        </is>
      </c>
      <c r="E3399" t="inlineStr">
        <is>
          <t>[ALT_VIEW]</t>
        </is>
      </c>
      <c r="F3399" t="inlineStr">
        <is>
          <t>1250 / TRIDENT II Mods</t>
        </is>
      </c>
      <c r="G3399" t="inlineStr">
        <is>
          <t>P-5</t>
        </is>
      </c>
      <c r="H3399" t="inlineStr">
        <is>
          <t>Support</t>
        </is>
      </c>
      <c r="I3399" t="n">
        <v>4</v>
      </c>
      <c r="K3399" t="inlineStr">
        <is>
          <t>USN</t>
        </is>
      </c>
      <c r="L3399" t="inlineStr">
        <is>
          <t>Combatant Ships</t>
        </is>
      </c>
      <c r="M3399" t="inlineStr">
        <is>
          <t>Submarines</t>
        </is>
      </c>
      <c r="S3399" t="n">
        <v>7421</v>
      </c>
      <c r="U3399" t="n">
        <v>7421</v>
      </c>
      <c r="AC3399">
        <f>IF(OR(E3399="",E3399="[PARENT]"),"ADD",IF(E3399="[ALT_VIEW]","ALT",""))</f>
        <v/>
      </c>
      <c r="AD3399">
        <f>IF(Y3399&lt;&gt;"",Y3399,IF(U3399&lt;&gt;"",U3399,S3399))</f>
        <v/>
      </c>
      <c r="AE3399">
        <f>IF(AB3399&lt;&gt;"",AB3399,Z3399)</f>
        <v/>
      </c>
      <c r="AF3399" t="inlineStr">
        <is>
          <t>P-5 Cost Analysis &gt; WPN LI 1250 &gt; 2.6 Other</t>
        </is>
      </c>
      <c r="AJ3399" t="inlineStr">
        <is>
          <t>Other</t>
        </is>
      </c>
    </row>
    <row r="3400">
      <c r="A3400" t="inlineStr">
        <is>
          <t>WPN</t>
        </is>
      </c>
      <c r="B3400" t="inlineStr">
        <is>
          <t>Procurement</t>
        </is>
      </c>
      <c r="D3400" t="inlineStr">
        <is>
          <t>TRIDENT II Mods - P-5 2 / Operating and Support Costs - PBCS Requalification</t>
        </is>
      </c>
      <c r="E3400" t="inlineStr">
        <is>
          <t>[ALT_VIEW]</t>
        </is>
      </c>
      <c r="F3400" t="inlineStr">
        <is>
          <t>1250 / TRIDENT II Mods</t>
        </is>
      </c>
      <c r="G3400" t="inlineStr">
        <is>
          <t>P-5</t>
        </is>
      </c>
      <c r="H3400" t="inlineStr">
        <is>
          <t>Support</t>
        </is>
      </c>
      <c r="I3400" t="n">
        <v>4</v>
      </c>
      <c r="K3400" t="inlineStr">
        <is>
          <t>USN</t>
        </is>
      </c>
      <c r="L3400" t="inlineStr">
        <is>
          <t>Combatant Ships</t>
        </is>
      </c>
      <c r="M3400" t="inlineStr">
        <is>
          <t>Submarines</t>
        </is>
      </c>
      <c r="S3400" t="n">
        <v>13800</v>
      </c>
      <c r="U3400" t="n">
        <v>13800</v>
      </c>
      <c r="AC3400">
        <f>IF(OR(E3400="",E3400="[PARENT]"),"ADD",IF(E3400="[ALT_VIEW]","ALT",""))</f>
        <v/>
      </c>
      <c r="AD3400">
        <f>IF(Y3400&lt;&gt;"",Y3400,IF(U3400&lt;&gt;"",U3400,S3400))</f>
        <v/>
      </c>
      <c r="AE3400">
        <f>IF(AB3400&lt;&gt;"",AB3400,Z3400)</f>
        <v/>
      </c>
      <c r="AF3400" t="inlineStr">
        <is>
          <t>P-5 Cost Analysis &gt; WPN LI 1250 &gt; 2.7 PBCS Requalification</t>
        </is>
      </c>
      <c r="AJ3400" t="inlineStr">
        <is>
          <t>PBCS Requalification</t>
        </is>
      </c>
    </row>
    <row r="3401">
      <c r="A3401" t="inlineStr">
        <is>
          <t>WPN</t>
        </is>
      </c>
      <c r="B3401" t="inlineStr">
        <is>
          <t>Procurement</t>
        </is>
      </c>
      <c r="D3401" t="inlineStr">
        <is>
          <t>TRIDENT II Mods - P-5 2 / Operating and Support Costs - Electronics</t>
        </is>
      </c>
      <c r="E3401" t="inlineStr">
        <is>
          <t>[ALT_VIEW]</t>
        </is>
      </c>
      <c r="F3401" t="inlineStr">
        <is>
          <t>1250 / TRIDENT II Mods</t>
        </is>
      </c>
      <c r="G3401" t="inlineStr">
        <is>
          <t>P-5</t>
        </is>
      </c>
      <c r="H3401" t="inlineStr">
        <is>
          <t>Support</t>
        </is>
      </c>
      <c r="I3401" t="n">
        <v>4</v>
      </c>
      <c r="K3401" t="inlineStr">
        <is>
          <t>USN</t>
        </is>
      </c>
      <c r="L3401" t="inlineStr">
        <is>
          <t>Combatant Ships</t>
        </is>
      </c>
      <c r="M3401" t="inlineStr">
        <is>
          <t>Submarines</t>
        </is>
      </c>
      <c r="S3401" t="n">
        <v>3551</v>
      </c>
      <c r="U3401" t="n">
        <v>3551</v>
      </c>
      <c r="AC3401">
        <f>IF(OR(E3401="",E3401="[PARENT]"),"ADD",IF(E3401="[ALT_VIEW]","ALT",""))</f>
        <v/>
      </c>
      <c r="AD3401">
        <f>IF(Y3401&lt;&gt;"",Y3401,IF(U3401&lt;&gt;"",U3401,S3401))</f>
        <v/>
      </c>
      <c r="AE3401">
        <f>IF(AB3401&lt;&gt;"",AB3401,Z3401)</f>
        <v/>
      </c>
      <c r="AF3401" t="inlineStr">
        <is>
          <t>P-5 Cost Analysis &gt; WPN LI 1250 &gt; 3.1 Electronics</t>
        </is>
      </c>
      <c r="AJ3401" t="inlineStr">
        <is>
          <t>Electronics</t>
        </is>
      </c>
    </row>
    <row r="3402">
      <c r="A3402" t="inlineStr">
        <is>
          <t>WPN</t>
        </is>
      </c>
      <c r="B3402" t="inlineStr">
        <is>
          <t>Procurement</t>
        </is>
      </c>
      <c r="D3402" t="inlineStr">
        <is>
          <t>TRIDENT II Mods - P-5 2 / Operating and Support Costs - Production Support</t>
        </is>
      </c>
      <c r="E3402" t="inlineStr">
        <is>
          <t>[ALT_VIEW]</t>
        </is>
      </c>
      <c r="F3402" t="inlineStr">
        <is>
          <t>1250 / TRIDENT II Mods</t>
        </is>
      </c>
      <c r="G3402" t="inlineStr">
        <is>
          <t>P-5</t>
        </is>
      </c>
      <c r="H3402" t="inlineStr">
        <is>
          <t>Support</t>
        </is>
      </c>
      <c r="I3402" t="n">
        <v>4</v>
      </c>
      <c r="K3402" t="inlineStr">
        <is>
          <t>USN</t>
        </is>
      </c>
      <c r="L3402" t="inlineStr">
        <is>
          <t>Combatant Ships</t>
        </is>
      </c>
      <c r="M3402" t="inlineStr">
        <is>
          <t>Submarines</t>
        </is>
      </c>
      <c r="S3402" t="n">
        <v>102294</v>
      </c>
      <c r="U3402" t="n">
        <v>102294</v>
      </c>
      <c r="AC3402">
        <f>IF(OR(E3402="",E3402="[PARENT]"),"ADD",IF(E3402="[ALT_VIEW]","ALT",""))</f>
        <v/>
      </c>
      <c r="AD3402">
        <f>IF(Y3402&lt;&gt;"",Y3402,IF(U3402&lt;&gt;"",U3402,S3402))</f>
        <v/>
      </c>
      <c r="AE3402">
        <f>IF(AB3402&lt;&gt;"",AB3402,Z3402)</f>
        <v/>
      </c>
      <c r="AF3402" t="inlineStr">
        <is>
          <t>P-5 Cost Analysis &gt; WPN LI 1250 &gt; 5.1 Production Support</t>
        </is>
      </c>
      <c r="AJ3402" t="inlineStr">
        <is>
          <t>Production Support</t>
        </is>
      </c>
    </row>
    <row r="3403">
      <c r="A3403" t="inlineStr">
        <is>
          <t>WPN</t>
        </is>
      </c>
      <c r="B3403" t="inlineStr">
        <is>
          <t>Procurement</t>
        </is>
      </c>
      <c r="D3403" t="inlineStr">
        <is>
          <t>TRIDENT II Mods - P-5 2 / Operating and Support Costs - Guidance Repair Parts</t>
        </is>
      </c>
      <c r="E3403" t="inlineStr">
        <is>
          <t>[ALT_VIEW]</t>
        </is>
      </c>
      <c r="F3403" t="inlineStr">
        <is>
          <t>1250 / TRIDENT II Mods</t>
        </is>
      </c>
      <c r="G3403" t="inlineStr">
        <is>
          <t>P-5</t>
        </is>
      </c>
      <c r="H3403" t="inlineStr">
        <is>
          <t>Support</t>
        </is>
      </c>
      <c r="I3403" t="n">
        <v>4</v>
      </c>
      <c r="K3403" t="inlineStr">
        <is>
          <t>USN</t>
        </is>
      </c>
      <c r="L3403" t="inlineStr">
        <is>
          <t>Combatant Ships</t>
        </is>
      </c>
      <c r="M3403" t="inlineStr">
        <is>
          <t>Submarines</t>
        </is>
      </c>
      <c r="S3403" t="n">
        <v>3612</v>
      </c>
      <c r="U3403" t="n">
        <v>3612</v>
      </c>
      <c r="AC3403">
        <f>IF(OR(E3403="",E3403="[PARENT]"),"ADD",IF(E3403="[ALT_VIEW]","ALT",""))</f>
        <v/>
      </c>
      <c r="AD3403">
        <f>IF(Y3403&lt;&gt;"",Y3403,IF(U3403&lt;&gt;"",U3403,S3403))</f>
        <v/>
      </c>
      <c r="AE3403">
        <f>IF(AB3403&lt;&gt;"",AB3403,Z3403)</f>
        <v/>
      </c>
      <c r="AF3403" t="inlineStr">
        <is>
          <t>P-5 Cost Analysis &gt; WPN LI 1250 &gt; 6.1 Guidance Repair Parts</t>
        </is>
      </c>
      <c r="AJ3403" t="inlineStr">
        <is>
          <t>Guidance Repair Parts</t>
        </is>
      </c>
    </row>
    <row r="3404">
      <c r="A3404" t="inlineStr">
        <is>
          <t>WPN</t>
        </is>
      </c>
      <c r="B3404" t="inlineStr">
        <is>
          <t>Procurement</t>
        </is>
      </c>
      <c r="D3404" t="inlineStr">
        <is>
          <t>TRIDENT II Mods - P-5 2 / Operating and Support Costs - SRM Chamber/Case Modernization</t>
        </is>
      </c>
      <c r="E3404" t="inlineStr">
        <is>
          <t>[ALT_VIEW]</t>
        </is>
      </c>
      <c r="F3404" t="inlineStr">
        <is>
          <t>1250 / TRIDENT II Mods</t>
        </is>
      </c>
      <c r="G3404" t="inlineStr">
        <is>
          <t>P-5</t>
        </is>
      </c>
      <c r="H3404" t="inlineStr">
        <is>
          <t>Support</t>
        </is>
      </c>
      <c r="I3404" t="n">
        <v>4</v>
      </c>
      <c r="K3404" t="inlineStr">
        <is>
          <t>USN</t>
        </is>
      </c>
      <c r="L3404" t="inlineStr">
        <is>
          <t>Combatant Ships</t>
        </is>
      </c>
      <c r="M3404" t="inlineStr">
        <is>
          <t>Submarines</t>
        </is>
      </c>
      <c r="S3404" t="n">
        <v>21500</v>
      </c>
      <c r="U3404" t="n">
        <v>21500</v>
      </c>
      <c r="AC3404">
        <f>IF(OR(E3404="",E3404="[PARENT]"),"ADD",IF(E3404="[ALT_VIEW]","ALT",""))</f>
        <v/>
      </c>
      <c r="AD3404">
        <f>IF(Y3404&lt;&gt;"",Y3404,IF(U3404&lt;&gt;"",U3404,S3404))</f>
        <v/>
      </c>
      <c r="AE3404">
        <f>IF(AB3404&lt;&gt;"",AB3404,Z3404)</f>
        <v/>
      </c>
      <c r="AF3404" t="inlineStr">
        <is>
          <t>P-5 Cost Analysis &gt; WPN LI 1250 &gt; 7.1 SRM Chamber/Case Modernization</t>
        </is>
      </c>
      <c r="AJ3404" t="inlineStr">
        <is>
          <t>SRM Chamber/Case Modernization</t>
        </is>
      </c>
    </row>
    <row r="3405">
      <c r="A3405" t="inlineStr">
        <is>
          <t>WPN</t>
        </is>
      </c>
      <c r="B3405" t="inlineStr">
        <is>
          <t>Procurement</t>
        </is>
      </c>
      <c r="D3405" t="inlineStr">
        <is>
          <t>TRIDENT II Mods - P-5 2 / Operating and Support Costs - SRM Igniter/Nozzle Modernization</t>
        </is>
      </c>
      <c r="E3405" t="inlineStr">
        <is>
          <t>[ALT_VIEW]</t>
        </is>
      </c>
      <c r="F3405" t="inlineStr">
        <is>
          <t>1250 / TRIDENT II Mods</t>
        </is>
      </c>
      <c r="G3405" t="inlineStr">
        <is>
          <t>P-5</t>
        </is>
      </c>
      <c r="H3405" t="inlineStr">
        <is>
          <t>Support</t>
        </is>
      </c>
      <c r="I3405" t="n">
        <v>4</v>
      </c>
      <c r="K3405" t="inlineStr">
        <is>
          <t>USN</t>
        </is>
      </c>
      <c r="L3405" t="inlineStr">
        <is>
          <t>Combatant Ships</t>
        </is>
      </c>
      <c r="M3405" t="inlineStr">
        <is>
          <t>Submarines</t>
        </is>
      </c>
      <c r="S3405" t="n">
        <v>17500</v>
      </c>
      <c r="U3405" t="n">
        <v>17500</v>
      </c>
      <c r="AC3405">
        <f>IF(OR(E3405="",E3405="[PARENT]"),"ADD",IF(E3405="[ALT_VIEW]","ALT",""))</f>
        <v/>
      </c>
      <c r="AD3405">
        <f>IF(Y3405&lt;&gt;"",Y3405,IF(U3405&lt;&gt;"",U3405,S3405))</f>
        <v/>
      </c>
      <c r="AE3405">
        <f>IF(AB3405&lt;&gt;"",AB3405,Z3405)</f>
        <v/>
      </c>
      <c r="AF3405" t="inlineStr">
        <is>
          <t>P-5 Cost Analysis &gt; WPN LI 1250 &gt; 7.2 SRM Igniter/Nozzle Modernization</t>
        </is>
      </c>
      <c r="AJ3405" t="inlineStr">
        <is>
          <t>SRM Igniter/Nozzle Modernization</t>
        </is>
      </c>
    </row>
    <row r="3406">
      <c r="A3406" t="inlineStr">
        <is>
          <t>WPN</t>
        </is>
      </c>
      <c r="B3406" t="inlineStr">
        <is>
          <t>Procurement</t>
        </is>
      </c>
      <c r="D3406" t="inlineStr">
        <is>
          <t>TRIDENT II Mods - P-5 2 / Operating and Support Costs - SRM Propellant/Energetics Modernization</t>
        </is>
      </c>
      <c r="E3406" t="inlineStr">
        <is>
          <t>[ALT_VIEW]</t>
        </is>
      </c>
      <c r="F3406" t="inlineStr">
        <is>
          <t>1250 / TRIDENT II Mods</t>
        </is>
      </c>
      <c r="G3406" t="inlineStr">
        <is>
          <t>P-5</t>
        </is>
      </c>
      <c r="H3406" t="inlineStr">
        <is>
          <t>Support</t>
        </is>
      </c>
      <c r="I3406" t="n">
        <v>4</v>
      </c>
      <c r="K3406" t="inlineStr">
        <is>
          <t>USN</t>
        </is>
      </c>
      <c r="L3406" t="inlineStr">
        <is>
          <t>Combatant Ships</t>
        </is>
      </c>
      <c r="M3406" t="inlineStr">
        <is>
          <t>Submarines</t>
        </is>
      </c>
      <c r="S3406" t="n">
        <v>25206</v>
      </c>
      <c r="U3406" t="n">
        <v>25206</v>
      </c>
      <c r="AC3406">
        <f>IF(OR(E3406="",E3406="[PARENT]"),"ADD",IF(E3406="[ALT_VIEW]","ALT",""))</f>
        <v/>
      </c>
      <c r="AD3406">
        <f>IF(Y3406&lt;&gt;"",Y3406,IF(U3406&lt;&gt;"",U3406,S3406))</f>
        <v/>
      </c>
      <c r="AE3406">
        <f>IF(AB3406&lt;&gt;"",AB3406,Z3406)</f>
        <v/>
      </c>
      <c r="AF3406" t="inlineStr">
        <is>
          <t>P-5 Cost Analysis &gt; WPN LI 1250 &gt; 7.3 SRM Propellant/Energetics Modernization</t>
        </is>
      </c>
      <c r="AJ3406" t="inlineStr">
        <is>
          <t>SRM Propellant/Energetics Modernization</t>
        </is>
      </c>
    </row>
    <row r="3407">
      <c r="A3407" t="inlineStr">
        <is>
          <t>WPN</t>
        </is>
      </c>
      <c r="B3407" t="inlineStr">
        <is>
          <t>Procurement</t>
        </is>
      </c>
      <c r="D3407" t="inlineStr">
        <is>
          <t>TRIDENT II Mods - P-5 2 / Operating and Support Costs - Capital Maintenance</t>
        </is>
      </c>
      <c r="E3407" t="inlineStr">
        <is>
          <t>[ALT_VIEW]</t>
        </is>
      </c>
      <c r="F3407" t="inlineStr">
        <is>
          <t>1250 / TRIDENT II Mods</t>
        </is>
      </c>
      <c r="G3407" t="inlineStr">
        <is>
          <t>P-5</t>
        </is>
      </c>
      <c r="H3407" t="inlineStr">
        <is>
          <t>Support</t>
        </is>
      </c>
      <c r="I3407" t="n">
        <v>4</v>
      </c>
      <c r="K3407" t="inlineStr">
        <is>
          <t>USN</t>
        </is>
      </c>
      <c r="L3407" t="inlineStr">
        <is>
          <t>Combatant Ships</t>
        </is>
      </c>
      <c r="M3407" t="inlineStr">
        <is>
          <t>Submarines</t>
        </is>
      </c>
      <c r="S3407" t="n">
        <v>8353</v>
      </c>
      <c r="U3407" t="n">
        <v>8353</v>
      </c>
      <c r="AC3407">
        <f>IF(OR(E3407="",E3407="[PARENT]"),"ADD",IF(E3407="[ALT_VIEW]","ALT",""))</f>
        <v/>
      </c>
      <c r="AD3407">
        <f>IF(Y3407&lt;&gt;"",Y3407,IF(U3407&lt;&gt;"",U3407,S3407))</f>
        <v/>
      </c>
      <c r="AE3407">
        <f>IF(AB3407&lt;&gt;"",AB3407,Z3407)</f>
        <v/>
      </c>
      <c r="AF3407" t="inlineStr">
        <is>
          <t>P-5 Cost Analysis &gt; WPN LI 1250 &gt; 8.1 Capital Maintenance</t>
        </is>
      </c>
      <c r="AJ3407" t="inlineStr">
        <is>
          <t>Capital Maintenance</t>
        </is>
      </c>
    </row>
    <row r="3408">
      <c r="A3408" t="inlineStr">
        <is>
          <t>WPN</t>
        </is>
      </c>
      <c r="B3408" t="inlineStr">
        <is>
          <t>Procurement</t>
        </is>
      </c>
      <c r="D3408" t="inlineStr">
        <is>
          <t>TRIDENT II Mods - P-5 3 / D5LE2 - Airframe</t>
        </is>
      </c>
      <c r="E3408" t="inlineStr">
        <is>
          <t>[ALT_VIEW]</t>
        </is>
      </c>
      <c r="F3408" t="inlineStr">
        <is>
          <t>1250 / TRIDENT II Mods</t>
        </is>
      </c>
      <c r="G3408" t="inlineStr">
        <is>
          <t>P-5</t>
        </is>
      </c>
      <c r="H3408" t="inlineStr">
        <is>
          <t>Support</t>
        </is>
      </c>
      <c r="I3408" t="n">
        <v>4</v>
      </c>
      <c r="K3408" t="inlineStr">
        <is>
          <t>USN</t>
        </is>
      </c>
      <c r="L3408" t="inlineStr">
        <is>
          <t>Combatant Ships</t>
        </is>
      </c>
      <c r="M3408" t="inlineStr">
        <is>
          <t>Submarines</t>
        </is>
      </c>
      <c r="S3408" t="n">
        <v>68771</v>
      </c>
      <c r="U3408" t="n">
        <v>68771</v>
      </c>
      <c r="AC3408">
        <f>IF(OR(E3408="",E3408="[PARENT]"),"ADD",IF(E3408="[ALT_VIEW]","ALT",""))</f>
        <v/>
      </c>
      <c r="AD3408">
        <f>IF(Y3408&lt;&gt;"",Y3408,IF(U3408&lt;&gt;"",U3408,S3408))</f>
        <v/>
      </c>
      <c r="AE3408">
        <f>IF(AB3408&lt;&gt;"",AB3408,Z3408)</f>
        <v/>
      </c>
      <c r="AF3408" t="inlineStr">
        <is>
          <t>P-5 Cost Analysis &gt; WPN LI 1250 &gt; 1.1 Airframe</t>
        </is>
      </c>
      <c r="AJ3408" t="inlineStr">
        <is>
          <t>Airframe</t>
        </is>
      </c>
    </row>
    <row r="3409">
      <c r="A3409" t="inlineStr">
        <is>
          <t>WPN</t>
        </is>
      </c>
      <c r="B3409" t="inlineStr">
        <is>
          <t>Procurement</t>
        </is>
      </c>
      <c r="D3409" t="inlineStr">
        <is>
          <t>TRIDENT II Mods - P-5 3 / D5LE2 - Propulsion</t>
        </is>
      </c>
      <c r="E3409" t="inlineStr">
        <is>
          <t>[ALT_VIEW]</t>
        </is>
      </c>
      <c r="F3409" t="inlineStr">
        <is>
          <t>1250 / TRIDENT II Mods</t>
        </is>
      </c>
      <c r="G3409" t="inlineStr">
        <is>
          <t>P-5</t>
        </is>
      </c>
      <c r="H3409" t="inlineStr">
        <is>
          <t>Support</t>
        </is>
      </c>
      <c r="I3409" t="n">
        <v>4</v>
      </c>
      <c r="K3409" t="inlineStr">
        <is>
          <t>USN</t>
        </is>
      </c>
      <c r="L3409" t="inlineStr">
        <is>
          <t>Combatant Ships</t>
        </is>
      </c>
      <c r="M3409" t="inlineStr">
        <is>
          <t>Submarines</t>
        </is>
      </c>
      <c r="S3409" t="n">
        <v>81839</v>
      </c>
      <c r="U3409" t="n">
        <v>81839</v>
      </c>
      <c r="AC3409">
        <f>IF(OR(E3409="",E3409="[PARENT]"),"ADD",IF(E3409="[ALT_VIEW]","ALT",""))</f>
        <v/>
      </c>
      <c r="AD3409">
        <f>IF(Y3409&lt;&gt;"",Y3409,IF(U3409&lt;&gt;"",U3409,S3409))</f>
        <v/>
      </c>
      <c r="AE3409">
        <f>IF(AB3409&lt;&gt;"",AB3409,Z3409)</f>
        <v/>
      </c>
      <c r="AF3409" t="inlineStr">
        <is>
          <t>P-5 Cost Analysis &gt; WPN LI 1250 &gt; 1.2 Propulsion</t>
        </is>
      </c>
      <c r="AJ3409" t="inlineStr">
        <is>
          <t>Propulsion</t>
        </is>
      </c>
    </row>
    <row r="3410">
      <c r="A3410" t="inlineStr">
        <is>
          <t>WPN</t>
        </is>
      </c>
      <c r="B3410" t="inlineStr">
        <is>
          <t>Procurement</t>
        </is>
      </c>
      <c r="D3410" t="inlineStr">
        <is>
          <t>TRIDENT II Mods - P-5 3 / D5LE2 - Electronics and Avionics</t>
        </is>
      </c>
      <c r="E3410" t="inlineStr">
        <is>
          <t>[ALT_VIEW]</t>
        </is>
      </c>
      <c r="F3410" t="inlineStr">
        <is>
          <t>1250 / TRIDENT II Mods</t>
        </is>
      </c>
      <c r="G3410" t="inlineStr">
        <is>
          <t>P-5</t>
        </is>
      </c>
      <c r="H3410" t="inlineStr">
        <is>
          <t>Support</t>
        </is>
      </c>
      <c r="I3410" t="n">
        <v>4</v>
      </c>
      <c r="K3410" t="inlineStr">
        <is>
          <t>USN</t>
        </is>
      </c>
      <c r="L3410" t="inlineStr">
        <is>
          <t>Combatant Ships</t>
        </is>
      </c>
      <c r="M3410" t="inlineStr">
        <is>
          <t>Submarines</t>
        </is>
      </c>
      <c r="S3410" t="n">
        <v>210278</v>
      </c>
      <c r="U3410" t="n">
        <v>210278</v>
      </c>
      <c r="AC3410">
        <f>IF(OR(E3410="",E3410="[PARENT]"),"ADD",IF(E3410="[ALT_VIEW]","ALT",""))</f>
        <v/>
      </c>
      <c r="AD3410">
        <f>IF(Y3410&lt;&gt;"",Y3410,IF(U3410&lt;&gt;"",U3410,S3410))</f>
        <v/>
      </c>
      <c r="AE3410">
        <f>IF(AB3410&lt;&gt;"",AB3410,Z3410)</f>
        <v/>
      </c>
      <c r="AF3410" t="inlineStr">
        <is>
          <t>P-5 Cost Analysis &gt; WPN LI 1250 &gt; 1.3 Electronics and Avionics</t>
        </is>
      </c>
      <c r="AJ3410" t="inlineStr">
        <is>
          <t>Electronics and Avionics</t>
        </is>
      </c>
    </row>
    <row r="3411">
      <c r="A3411" t="inlineStr">
        <is>
          <t>WPN</t>
        </is>
      </c>
      <c r="B3411" t="inlineStr">
        <is>
          <t>Procurement</t>
        </is>
      </c>
      <c r="D3411" t="inlineStr">
        <is>
          <t>TRIDENT II Mods - P-5 3 / D5LE2 - Controls</t>
        </is>
      </c>
      <c r="E3411" t="inlineStr">
        <is>
          <t>[ALT_VIEW]</t>
        </is>
      </c>
      <c r="F3411" t="inlineStr">
        <is>
          <t>1250 / TRIDENT II Mods</t>
        </is>
      </c>
      <c r="G3411" t="inlineStr">
        <is>
          <t>P-5</t>
        </is>
      </c>
      <c r="H3411" t="inlineStr">
        <is>
          <t>Support</t>
        </is>
      </c>
      <c r="I3411" t="n">
        <v>4</v>
      </c>
      <c r="K3411" t="inlineStr">
        <is>
          <t>USN</t>
        </is>
      </c>
      <c r="L3411" t="inlineStr">
        <is>
          <t>Combatant Ships</t>
        </is>
      </c>
      <c r="M3411" t="inlineStr">
        <is>
          <t>Submarines</t>
        </is>
      </c>
      <c r="S3411" t="n">
        <v>240255</v>
      </c>
      <c r="U3411" t="n">
        <v>240255</v>
      </c>
      <c r="AC3411">
        <f>IF(OR(E3411="",E3411="[PARENT]"),"ADD",IF(E3411="[ALT_VIEW]","ALT",""))</f>
        <v/>
      </c>
      <c r="AD3411">
        <f>IF(Y3411&lt;&gt;"",Y3411,IF(U3411&lt;&gt;"",U3411,S3411))</f>
        <v/>
      </c>
      <c r="AE3411">
        <f>IF(AB3411&lt;&gt;"",AB3411,Z3411)</f>
        <v/>
      </c>
      <c r="AF3411" t="inlineStr">
        <is>
          <t>P-5 Cost Analysis &gt; WPN LI 1250 &gt; 1.4 Controls</t>
        </is>
      </c>
      <c r="AJ3411" t="inlineStr">
        <is>
          <t>Controls</t>
        </is>
      </c>
    </row>
    <row r="3412">
      <c r="A3412" t="inlineStr">
        <is>
          <t>WPN</t>
        </is>
      </c>
      <c r="B3412" t="inlineStr">
        <is>
          <t>Procurement</t>
        </is>
      </c>
      <c r="D3412" t="inlineStr">
        <is>
          <t>TRIDENT II Mods - P-5 3 / D5LE2 - Ordnance</t>
        </is>
      </c>
      <c r="E3412" t="inlineStr">
        <is>
          <t>[ALT_VIEW]</t>
        </is>
      </c>
      <c r="F3412" t="inlineStr">
        <is>
          <t>1250 / TRIDENT II Mods</t>
        </is>
      </c>
      <c r="G3412" t="inlineStr">
        <is>
          <t>P-5</t>
        </is>
      </c>
      <c r="H3412" t="inlineStr">
        <is>
          <t>Support</t>
        </is>
      </c>
      <c r="I3412" t="n">
        <v>4</v>
      </c>
      <c r="K3412" t="inlineStr">
        <is>
          <t>USN</t>
        </is>
      </c>
      <c r="L3412" t="inlineStr">
        <is>
          <t>Combatant Ships</t>
        </is>
      </c>
      <c r="M3412" t="inlineStr">
        <is>
          <t>Submarines</t>
        </is>
      </c>
      <c r="S3412" t="n">
        <v>20184</v>
      </c>
      <c r="U3412" t="n">
        <v>20184</v>
      </c>
      <c r="AC3412">
        <f>IF(OR(E3412="",E3412="[PARENT]"),"ADD",IF(E3412="[ALT_VIEW]","ALT",""))</f>
        <v/>
      </c>
      <c r="AD3412">
        <f>IF(Y3412&lt;&gt;"",Y3412,IF(U3412&lt;&gt;"",U3412,S3412))</f>
        <v/>
      </c>
      <c r="AE3412">
        <f>IF(AB3412&lt;&gt;"",AB3412,Z3412)</f>
        <v/>
      </c>
      <c r="AF3412" t="inlineStr">
        <is>
          <t>P-5 Cost Analysis &gt; WPN LI 1250 &gt; 1.5 Ordnance</t>
        </is>
      </c>
      <c r="AJ3412" t="inlineStr">
        <is>
          <t>Ordnance</t>
        </is>
      </c>
    </row>
    <row r="3413">
      <c r="A3413" t="inlineStr">
        <is>
          <t>WPN</t>
        </is>
      </c>
      <c r="B3413" t="inlineStr">
        <is>
          <t>Procurement</t>
        </is>
      </c>
      <c r="D3413" t="inlineStr">
        <is>
          <t>TRIDENT II Mods - P-5 3 / D5LE2 - Test Missile Kit</t>
        </is>
      </c>
      <c r="E3413" t="inlineStr">
        <is>
          <t>[ALT_VIEW]</t>
        </is>
      </c>
      <c r="F3413" t="inlineStr">
        <is>
          <t>1250 / TRIDENT II Mods</t>
        </is>
      </c>
      <c r="G3413" t="inlineStr">
        <is>
          <t>P-5</t>
        </is>
      </c>
      <c r="H3413" t="inlineStr">
        <is>
          <t>Support</t>
        </is>
      </c>
      <c r="I3413" t="n">
        <v>4</v>
      </c>
      <c r="K3413" t="inlineStr">
        <is>
          <t>USN</t>
        </is>
      </c>
      <c r="L3413" t="inlineStr">
        <is>
          <t>Combatant Ships</t>
        </is>
      </c>
      <c r="M3413" t="inlineStr">
        <is>
          <t>Submarines</t>
        </is>
      </c>
      <c r="S3413" t="n">
        <v>146061</v>
      </c>
      <c r="U3413" t="n">
        <v>146061</v>
      </c>
      <c r="AC3413">
        <f>IF(OR(E3413="",E3413="[PARENT]"),"ADD",IF(E3413="[ALT_VIEW]","ALT",""))</f>
        <v/>
      </c>
      <c r="AD3413">
        <f>IF(Y3413&lt;&gt;"",Y3413,IF(U3413&lt;&gt;"",U3413,S3413))</f>
        <v/>
      </c>
      <c r="AE3413">
        <f>IF(AB3413&lt;&gt;"",AB3413,Z3413)</f>
        <v/>
      </c>
      <c r="AF3413" t="inlineStr">
        <is>
          <t>P-5 Cost Analysis &gt; WPN LI 1250 &gt; 1.6 Test Missile Kit</t>
        </is>
      </c>
      <c r="AJ3413" t="inlineStr">
        <is>
          <t>Test Missile Kit</t>
        </is>
      </c>
    </row>
    <row r="3414">
      <c r="A3414" t="inlineStr">
        <is>
          <t>WPN</t>
        </is>
      </c>
      <c r="B3414" t="inlineStr">
        <is>
          <t>Procurement</t>
        </is>
      </c>
      <c r="D3414" t="inlineStr">
        <is>
          <t>TRIDENT II Mods - P-5 3 / D5LE2 - Systems Engineering</t>
        </is>
      </c>
      <c r="E3414" t="inlineStr">
        <is>
          <t>[ALT_VIEW]</t>
        </is>
      </c>
      <c r="F3414" t="inlineStr">
        <is>
          <t>1250 / TRIDENT II Mods</t>
        </is>
      </c>
      <c r="G3414" t="inlineStr">
        <is>
          <t>P-5</t>
        </is>
      </c>
      <c r="H3414" t="inlineStr">
        <is>
          <t>Support</t>
        </is>
      </c>
      <c r="I3414" t="n">
        <v>4</v>
      </c>
      <c r="K3414" t="inlineStr">
        <is>
          <t>USN</t>
        </is>
      </c>
      <c r="L3414" t="inlineStr">
        <is>
          <t>Combatant Ships</t>
        </is>
      </c>
      <c r="M3414" t="inlineStr">
        <is>
          <t>Submarines</t>
        </is>
      </c>
      <c r="S3414" t="n">
        <v>120622</v>
      </c>
      <c r="U3414" t="n">
        <v>120622</v>
      </c>
      <c r="AC3414">
        <f>IF(OR(E3414="",E3414="[PARENT]"),"ADD",IF(E3414="[ALT_VIEW]","ALT",""))</f>
        <v/>
      </c>
      <c r="AD3414">
        <f>IF(Y3414&lt;&gt;"",Y3414,IF(U3414&lt;&gt;"",U3414,S3414))</f>
        <v/>
      </c>
      <c r="AE3414">
        <f>IF(AB3414&lt;&gt;"",AB3414,Z3414)</f>
        <v/>
      </c>
      <c r="AF3414" t="inlineStr">
        <is>
          <t>P-5 Cost Analysis &gt; WPN LI 1250 &gt; 1.7 Systems Engineering</t>
        </is>
      </c>
      <c r="AJ3414" t="inlineStr">
        <is>
          <t>Systems Engineering</t>
        </is>
      </c>
    </row>
    <row r="3415">
      <c r="A3415" t="inlineStr">
        <is>
          <t>WPN</t>
        </is>
      </c>
      <c r="B3415" t="inlineStr">
        <is>
          <t>Procurement</t>
        </is>
      </c>
      <c r="D3415" t="inlineStr">
        <is>
          <t>TRIDENT II Mods - P-5 3 / D5LE2 - Test and Evaluation</t>
        </is>
      </c>
      <c r="E3415" t="inlineStr">
        <is>
          <t>[ALT_VIEW]</t>
        </is>
      </c>
      <c r="F3415" t="inlineStr">
        <is>
          <t>1250 / TRIDENT II Mods</t>
        </is>
      </c>
      <c r="G3415" t="inlineStr">
        <is>
          <t>P-5</t>
        </is>
      </c>
      <c r="H3415" t="inlineStr">
        <is>
          <t>Support</t>
        </is>
      </c>
      <c r="I3415" t="n">
        <v>4</v>
      </c>
      <c r="K3415" t="inlineStr">
        <is>
          <t>USN</t>
        </is>
      </c>
      <c r="L3415" t="inlineStr">
        <is>
          <t>Combatant Ships</t>
        </is>
      </c>
      <c r="M3415" t="inlineStr">
        <is>
          <t>Submarines</t>
        </is>
      </c>
      <c r="S3415" t="n">
        <v>53474</v>
      </c>
      <c r="U3415" t="n">
        <v>53474</v>
      </c>
      <c r="AC3415">
        <f>IF(OR(E3415="",E3415="[PARENT]"),"ADD",IF(E3415="[ALT_VIEW]","ALT",""))</f>
        <v/>
      </c>
      <c r="AD3415">
        <f>IF(Y3415&lt;&gt;"",Y3415,IF(U3415&lt;&gt;"",U3415,S3415))</f>
        <v/>
      </c>
      <c r="AE3415">
        <f>IF(AB3415&lt;&gt;"",AB3415,Z3415)</f>
        <v/>
      </c>
      <c r="AF3415" t="inlineStr">
        <is>
          <t>P-5 Cost Analysis &gt; WPN LI 1250 &gt; 1.8 Test and Evaluation</t>
        </is>
      </c>
      <c r="AJ3415" t="inlineStr">
        <is>
          <t>Test and Evaluation</t>
        </is>
      </c>
    </row>
    <row r="3416">
      <c r="A3416" t="inlineStr">
        <is>
          <t>WPN</t>
        </is>
      </c>
      <c r="B3416" t="inlineStr">
        <is>
          <t>Procurement</t>
        </is>
      </c>
      <c r="D3416" t="inlineStr">
        <is>
          <t>TRIDENT II Mods - P-5 3 / D5LE2 - System Assembly</t>
        </is>
      </c>
      <c r="E3416" t="inlineStr">
        <is>
          <t>[ALT_VIEW]</t>
        </is>
      </c>
      <c r="F3416" t="inlineStr">
        <is>
          <t>1250 / TRIDENT II Mods</t>
        </is>
      </c>
      <c r="G3416" t="inlineStr">
        <is>
          <t>P-5</t>
        </is>
      </c>
      <c r="H3416" t="inlineStr">
        <is>
          <t>Support</t>
        </is>
      </c>
      <c r="I3416" t="n">
        <v>4</v>
      </c>
      <c r="K3416" t="inlineStr">
        <is>
          <t>USN</t>
        </is>
      </c>
      <c r="L3416" t="inlineStr">
        <is>
          <t>Combatant Ships</t>
        </is>
      </c>
      <c r="M3416" t="inlineStr">
        <is>
          <t>Submarines</t>
        </is>
      </c>
      <c r="S3416" t="n">
        <v>81782</v>
      </c>
      <c r="U3416" t="n">
        <v>81782</v>
      </c>
      <c r="AC3416">
        <f>IF(OR(E3416="",E3416="[PARENT]"),"ADD",IF(E3416="[ALT_VIEW]","ALT",""))</f>
        <v/>
      </c>
      <c r="AD3416">
        <f>IF(Y3416&lt;&gt;"",Y3416,IF(U3416&lt;&gt;"",U3416,S3416))</f>
        <v/>
      </c>
      <c r="AE3416">
        <f>IF(AB3416&lt;&gt;"",AB3416,Z3416)</f>
        <v/>
      </c>
      <c r="AF3416" t="inlineStr">
        <is>
          <t>P-5 Cost Analysis &gt; WPN LI 1250 &gt; 1.9 System Assembly</t>
        </is>
      </c>
      <c r="AJ3416" t="inlineStr">
        <is>
          <t>System Assembly</t>
        </is>
      </c>
    </row>
    <row r="3417">
      <c r="A3417" t="inlineStr">
        <is>
          <t>WPN</t>
        </is>
      </c>
      <c r="B3417" t="inlineStr">
        <is>
          <t>Procurement</t>
        </is>
      </c>
      <c r="D3417" t="inlineStr">
        <is>
          <t>TRIDENT II Mods - P-5 3 / D5LE2 - Training &amp; Support Equipment</t>
        </is>
      </c>
      <c r="E3417" t="inlineStr">
        <is>
          <t>[ALT_VIEW]</t>
        </is>
      </c>
      <c r="F3417" t="inlineStr">
        <is>
          <t>1250 / TRIDENT II Mods</t>
        </is>
      </c>
      <c r="G3417" t="inlineStr">
        <is>
          <t>P-5</t>
        </is>
      </c>
      <c r="H3417" t="inlineStr">
        <is>
          <t>Support</t>
        </is>
      </c>
      <c r="I3417" t="n">
        <v>4</v>
      </c>
      <c r="K3417" t="inlineStr">
        <is>
          <t>USN</t>
        </is>
      </c>
      <c r="L3417" t="inlineStr">
        <is>
          <t>Combatant Ships</t>
        </is>
      </c>
      <c r="M3417" t="inlineStr">
        <is>
          <t>Submarines</t>
        </is>
      </c>
      <c r="S3417" t="n">
        <v>37741</v>
      </c>
      <c r="U3417" t="n">
        <v>37741</v>
      </c>
      <c r="AC3417">
        <f>IF(OR(E3417="",E3417="[PARENT]"),"ADD",IF(E3417="[ALT_VIEW]","ALT",""))</f>
        <v/>
      </c>
      <c r="AD3417">
        <f>IF(Y3417&lt;&gt;"",Y3417,IF(U3417&lt;&gt;"",U3417,S3417))</f>
        <v/>
      </c>
      <c r="AE3417">
        <f>IF(AB3417&lt;&gt;"",AB3417,Z3417)</f>
        <v/>
      </c>
      <c r="AF3417" t="inlineStr">
        <is>
          <t>P-5 Cost Analysis &gt; WPN LI 1250 &gt; 1.10 Training &amp; Support Equipment</t>
        </is>
      </c>
      <c r="AJ3417" t="inlineStr">
        <is>
          <t>Training &amp; Support Equipment</t>
        </is>
      </c>
    </row>
    <row r="3418">
      <c r="A3418" t="inlineStr">
        <is>
          <t>WPN</t>
        </is>
      </c>
      <c r="B3418" t="inlineStr">
        <is>
          <t>Procurement</t>
        </is>
      </c>
      <c r="D3418" t="inlineStr">
        <is>
          <t>TRIDENT II Mods - P-5 3 / D5LE2 - Re-Entry Body Integration</t>
        </is>
      </c>
      <c r="E3418" t="inlineStr">
        <is>
          <t>[ALT_VIEW]</t>
        </is>
      </c>
      <c r="F3418" t="inlineStr">
        <is>
          <t>1250 / TRIDENT II Mods</t>
        </is>
      </c>
      <c r="G3418" t="inlineStr">
        <is>
          <t>P-5</t>
        </is>
      </c>
      <c r="H3418" t="inlineStr">
        <is>
          <t>Support</t>
        </is>
      </c>
      <c r="I3418" t="n">
        <v>4</v>
      </c>
      <c r="K3418" t="inlineStr">
        <is>
          <t>USN</t>
        </is>
      </c>
      <c r="L3418" t="inlineStr">
        <is>
          <t>Combatant Ships</t>
        </is>
      </c>
      <c r="M3418" t="inlineStr">
        <is>
          <t>Submarines</t>
        </is>
      </c>
      <c r="S3418" t="n">
        <v>48604</v>
      </c>
      <c r="U3418" t="n">
        <v>48604</v>
      </c>
      <c r="AC3418">
        <f>IF(OR(E3418="",E3418="[PARENT]"),"ADD",IF(E3418="[ALT_VIEW]","ALT",""))</f>
        <v/>
      </c>
      <c r="AD3418">
        <f>IF(Y3418&lt;&gt;"",Y3418,IF(U3418&lt;&gt;"",U3418,S3418))</f>
        <v/>
      </c>
      <c r="AE3418">
        <f>IF(AB3418&lt;&gt;"",AB3418,Z3418)</f>
        <v/>
      </c>
      <c r="AF3418" t="inlineStr">
        <is>
          <t>P-5 Cost Analysis &gt; WPN LI 1250 &gt; 1.11 Re-Entry Body Integration</t>
        </is>
      </c>
      <c r="AJ3418" t="inlineStr">
        <is>
          <t>Re-Entry Body Integration</t>
        </is>
      </c>
    </row>
    <row r="3419">
      <c r="A3419" t="inlineStr">
        <is>
          <t>WPN</t>
        </is>
      </c>
      <c r="B3419" t="inlineStr">
        <is>
          <t>Procurement</t>
        </is>
      </c>
      <c r="D3419" t="inlineStr">
        <is>
          <t>TRIDENT II Mods - P-5 3 / D5LE2 - Guidance - Systems Engineering</t>
        </is>
      </c>
      <c r="E3419" t="inlineStr">
        <is>
          <t>[ALT_VIEW]</t>
        </is>
      </c>
      <c r="F3419" t="inlineStr">
        <is>
          <t>1250 / TRIDENT II Mods</t>
        </is>
      </c>
      <c r="G3419" t="inlineStr">
        <is>
          <t>P-5</t>
        </is>
      </c>
      <c r="H3419" t="inlineStr">
        <is>
          <t>Support</t>
        </is>
      </c>
      <c r="I3419" t="n">
        <v>4</v>
      </c>
      <c r="K3419" t="inlineStr">
        <is>
          <t>USN</t>
        </is>
      </c>
      <c r="L3419" t="inlineStr">
        <is>
          <t>Combatant Ships</t>
        </is>
      </c>
      <c r="M3419" t="inlineStr">
        <is>
          <t>Submarines</t>
        </is>
      </c>
      <c r="S3419" t="n">
        <v>29049</v>
      </c>
      <c r="U3419" t="n">
        <v>29049</v>
      </c>
      <c r="AC3419">
        <f>IF(OR(E3419="",E3419="[PARENT]"),"ADD",IF(E3419="[ALT_VIEW]","ALT",""))</f>
        <v/>
      </c>
      <c r="AD3419">
        <f>IF(Y3419&lt;&gt;"",Y3419,IF(U3419&lt;&gt;"",U3419,S3419))</f>
        <v/>
      </c>
      <c r="AE3419">
        <f>IF(AB3419&lt;&gt;"",AB3419,Z3419)</f>
        <v/>
      </c>
      <c r="AF3419" t="inlineStr">
        <is>
          <t>P-5 Cost Analysis &gt; WPN LI 1250 &gt; 2.1 Guidance - Systems Engineering</t>
        </is>
      </c>
      <c r="AJ3419" t="inlineStr">
        <is>
          <t>Guidance - Systems Engineering</t>
        </is>
      </c>
    </row>
    <row r="3420">
      <c r="A3420" t="inlineStr">
        <is>
          <t>WPN</t>
        </is>
      </c>
      <c r="B3420" t="inlineStr">
        <is>
          <t>Procurement</t>
        </is>
      </c>
      <c r="D3420" t="inlineStr">
        <is>
          <t>TRIDENT II Mods - P-5 3 / D5LE2 - Guidance - Algorithms and Software</t>
        </is>
      </c>
      <c r="E3420" t="inlineStr">
        <is>
          <t>[ALT_VIEW]</t>
        </is>
      </c>
      <c r="F3420" t="inlineStr">
        <is>
          <t>1250 / TRIDENT II Mods</t>
        </is>
      </c>
      <c r="G3420" t="inlineStr">
        <is>
          <t>P-5</t>
        </is>
      </c>
      <c r="H3420" t="inlineStr">
        <is>
          <t>Support</t>
        </is>
      </c>
      <c r="I3420" t="n">
        <v>4</v>
      </c>
      <c r="K3420" t="inlineStr">
        <is>
          <t>USN</t>
        </is>
      </c>
      <c r="L3420" t="inlineStr">
        <is>
          <t>Combatant Ships</t>
        </is>
      </c>
      <c r="M3420" t="inlineStr">
        <is>
          <t>Submarines</t>
        </is>
      </c>
      <c r="S3420" t="n">
        <v>20155</v>
      </c>
      <c r="U3420" t="n">
        <v>20155</v>
      </c>
      <c r="AC3420">
        <f>IF(OR(E3420="",E3420="[PARENT]"),"ADD",IF(E3420="[ALT_VIEW]","ALT",""))</f>
        <v/>
      </c>
      <c r="AD3420">
        <f>IF(Y3420&lt;&gt;"",Y3420,IF(U3420&lt;&gt;"",U3420,S3420))</f>
        <v/>
      </c>
      <c r="AE3420">
        <f>IF(AB3420&lt;&gt;"",AB3420,Z3420)</f>
        <v/>
      </c>
      <c r="AF3420" t="inlineStr">
        <is>
          <t>P-5 Cost Analysis &gt; WPN LI 1250 &gt; 2.2 Guidance - Algorithms and Software</t>
        </is>
      </c>
      <c r="AJ3420" t="inlineStr">
        <is>
          <t>Guidance - Algorithms and Software</t>
        </is>
      </c>
    </row>
    <row r="3421">
      <c r="A3421" t="inlineStr">
        <is>
          <t>WPN</t>
        </is>
      </c>
      <c r="B3421" t="inlineStr">
        <is>
          <t>Procurement</t>
        </is>
      </c>
      <c r="D3421" t="inlineStr">
        <is>
          <t>TRIDENT II Mods - P-5 3 / D5LE2 - Guidance - System Hardware</t>
        </is>
      </c>
      <c r="E3421" t="inlineStr">
        <is>
          <t>[ALT_VIEW]</t>
        </is>
      </c>
      <c r="F3421" t="inlineStr">
        <is>
          <t>1250 / TRIDENT II Mods</t>
        </is>
      </c>
      <c r="G3421" t="inlineStr">
        <is>
          <t>P-5</t>
        </is>
      </c>
      <c r="H3421" t="inlineStr">
        <is>
          <t>Support</t>
        </is>
      </c>
      <c r="I3421" t="n">
        <v>4</v>
      </c>
      <c r="K3421" t="inlineStr">
        <is>
          <t>USN</t>
        </is>
      </c>
      <c r="L3421" t="inlineStr">
        <is>
          <t>Combatant Ships</t>
        </is>
      </c>
      <c r="M3421" t="inlineStr">
        <is>
          <t>Submarines</t>
        </is>
      </c>
      <c r="S3421" t="n">
        <v>95817</v>
      </c>
      <c r="U3421" t="n">
        <v>95817</v>
      </c>
      <c r="AC3421">
        <f>IF(OR(E3421="",E3421="[PARENT]"),"ADD",IF(E3421="[ALT_VIEW]","ALT",""))</f>
        <v/>
      </c>
      <c r="AD3421">
        <f>IF(Y3421&lt;&gt;"",Y3421,IF(U3421&lt;&gt;"",U3421,S3421))</f>
        <v/>
      </c>
      <c r="AE3421">
        <f>IF(AB3421&lt;&gt;"",AB3421,Z3421)</f>
        <v/>
      </c>
      <c r="AF3421" t="inlineStr">
        <is>
          <t>P-5 Cost Analysis &gt; WPN LI 1250 &gt; 2.3 Guidance - System Hardware</t>
        </is>
      </c>
      <c r="AJ3421" t="inlineStr">
        <is>
          <t>Guidance - System Hardware</t>
        </is>
      </c>
    </row>
    <row r="3422">
      <c r="A3422" t="inlineStr">
        <is>
          <t>WPN</t>
        </is>
      </c>
      <c r="B3422" t="inlineStr">
        <is>
          <t>Procurement</t>
        </is>
      </c>
      <c r="D3422" t="inlineStr">
        <is>
          <t>TRIDENT II Mods - P-5 3 / D5LE2 - Guidance - Radiation Hardened Parts</t>
        </is>
      </c>
      <c r="E3422" t="inlineStr">
        <is>
          <t>[ALT_VIEW]</t>
        </is>
      </c>
      <c r="F3422" t="inlineStr">
        <is>
          <t>1250 / TRIDENT II Mods</t>
        </is>
      </c>
      <c r="G3422" t="inlineStr">
        <is>
          <t>P-5</t>
        </is>
      </c>
      <c r="H3422" t="inlineStr">
        <is>
          <t>Support</t>
        </is>
      </c>
      <c r="I3422" t="n">
        <v>4</v>
      </c>
      <c r="K3422" t="inlineStr">
        <is>
          <t>USN</t>
        </is>
      </c>
      <c r="L3422" t="inlineStr">
        <is>
          <t>Combatant Ships</t>
        </is>
      </c>
      <c r="M3422" t="inlineStr">
        <is>
          <t>Submarines</t>
        </is>
      </c>
      <c r="S3422" t="n">
        <v>33332</v>
      </c>
      <c r="U3422" t="n">
        <v>33332</v>
      </c>
      <c r="AC3422">
        <f>IF(OR(E3422="",E3422="[PARENT]"),"ADD",IF(E3422="[ALT_VIEW]","ALT",""))</f>
        <v/>
      </c>
      <c r="AD3422">
        <f>IF(Y3422&lt;&gt;"",Y3422,IF(U3422&lt;&gt;"",U3422,S3422))</f>
        <v/>
      </c>
      <c r="AE3422">
        <f>IF(AB3422&lt;&gt;"",AB3422,Z3422)</f>
        <v/>
      </c>
      <c r="AF3422" t="inlineStr">
        <is>
          <t>P-5 Cost Analysis &gt; WPN LI 1250 &gt; 2.4 Guidance - Radiation Hardened Parts</t>
        </is>
      </c>
      <c r="AJ3422" t="inlineStr">
        <is>
          <t>Guidance - Radiation Hardened Parts</t>
        </is>
      </c>
    </row>
    <row r="3423">
      <c r="A3423" t="inlineStr">
        <is>
          <t>WPN</t>
        </is>
      </c>
      <c r="B3423" t="inlineStr">
        <is>
          <t>Procurement</t>
        </is>
      </c>
      <c r="D3423" t="inlineStr">
        <is>
          <t>TRIDENT II Mods - P-5 3 / D5LE2 - Guidance - Sensors</t>
        </is>
      </c>
      <c r="E3423" t="inlineStr">
        <is>
          <t>[ALT_VIEW]</t>
        </is>
      </c>
      <c r="F3423" t="inlineStr">
        <is>
          <t>1250 / TRIDENT II Mods</t>
        </is>
      </c>
      <c r="G3423" t="inlineStr">
        <is>
          <t>P-5</t>
        </is>
      </c>
      <c r="H3423" t="inlineStr">
        <is>
          <t>Support</t>
        </is>
      </c>
      <c r="I3423" t="n">
        <v>4</v>
      </c>
      <c r="K3423" t="inlineStr">
        <is>
          <t>USN</t>
        </is>
      </c>
      <c r="L3423" t="inlineStr">
        <is>
          <t>Combatant Ships</t>
        </is>
      </c>
      <c r="M3423" t="inlineStr">
        <is>
          <t>Submarines</t>
        </is>
      </c>
      <c r="S3423" t="n">
        <v>114860</v>
      </c>
      <c r="U3423" t="n">
        <v>114860</v>
      </c>
      <c r="AC3423">
        <f>IF(OR(E3423="",E3423="[PARENT]"),"ADD",IF(E3423="[ALT_VIEW]","ALT",""))</f>
        <v/>
      </c>
      <c r="AD3423">
        <f>IF(Y3423&lt;&gt;"",Y3423,IF(U3423&lt;&gt;"",U3423,S3423))</f>
        <v/>
      </c>
      <c r="AE3423">
        <f>IF(AB3423&lt;&gt;"",AB3423,Z3423)</f>
        <v/>
      </c>
      <c r="AF3423" t="inlineStr">
        <is>
          <t>P-5 Cost Analysis &gt; WPN LI 1250 &gt; 2.5 Guidance - Sensors</t>
        </is>
      </c>
      <c r="AJ3423" t="inlineStr">
        <is>
          <t>Guidance - Sensors</t>
        </is>
      </c>
    </row>
    <row r="3424">
      <c r="A3424" t="inlineStr">
        <is>
          <t>WPN</t>
        </is>
      </c>
      <c r="B3424" t="inlineStr">
        <is>
          <t>Procurement</t>
        </is>
      </c>
      <c r="D3424" t="inlineStr">
        <is>
          <t>TRIDENT II Mods - P-5 3 / D5LE2 - Guidance - Information Systems/Data Management</t>
        </is>
      </c>
      <c r="E3424" t="inlineStr">
        <is>
          <t>[ALT_VIEW]</t>
        </is>
      </c>
      <c r="F3424" t="inlineStr">
        <is>
          <t>1250 / TRIDENT II Mods</t>
        </is>
      </c>
      <c r="G3424" t="inlineStr">
        <is>
          <t>P-5</t>
        </is>
      </c>
      <c r="H3424" t="inlineStr">
        <is>
          <t>Support</t>
        </is>
      </c>
      <c r="I3424" t="n">
        <v>4</v>
      </c>
      <c r="K3424" t="inlineStr">
        <is>
          <t>USN</t>
        </is>
      </c>
      <c r="L3424" t="inlineStr">
        <is>
          <t>Combatant Ships</t>
        </is>
      </c>
      <c r="M3424" t="inlineStr">
        <is>
          <t>Submarines</t>
        </is>
      </c>
      <c r="S3424" t="n">
        <v>7167</v>
      </c>
      <c r="U3424" t="n">
        <v>7167</v>
      </c>
      <c r="AC3424">
        <f>IF(OR(E3424="",E3424="[PARENT]"),"ADD",IF(E3424="[ALT_VIEW]","ALT",""))</f>
        <v/>
      </c>
      <c r="AD3424">
        <f>IF(Y3424&lt;&gt;"",Y3424,IF(U3424&lt;&gt;"",U3424,S3424))</f>
        <v/>
      </c>
      <c r="AE3424">
        <f>IF(AB3424&lt;&gt;"",AB3424,Z3424)</f>
        <v/>
      </c>
      <c r="AF3424" t="inlineStr">
        <is>
          <t>P-5 Cost Analysis &gt; WPN LI 1250 &gt; 2.6 Guidance - Information Systems/Data Management</t>
        </is>
      </c>
      <c r="AJ3424" t="inlineStr">
        <is>
          <t>Guidance - Information Systems/Data Management</t>
        </is>
      </c>
    </row>
    <row r="3425">
      <c r="A3425" t="inlineStr">
        <is>
          <t>WPN</t>
        </is>
      </c>
      <c r="B3425" t="inlineStr">
        <is>
          <t>Procurement</t>
        </is>
      </c>
      <c r="D3425" t="inlineStr">
        <is>
          <t>TRIDENT II Mods - P-5 3 / D5LE2 - Guidance - Test Equipment</t>
        </is>
      </c>
      <c r="E3425" t="inlineStr">
        <is>
          <t>[ALT_VIEW]</t>
        </is>
      </c>
      <c r="F3425" t="inlineStr">
        <is>
          <t>1250 / TRIDENT II Mods</t>
        </is>
      </c>
      <c r="G3425" t="inlineStr">
        <is>
          <t>P-5</t>
        </is>
      </c>
      <c r="H3425" t="inlineStr">
        <is>
          <t>Support</t>
        </is>
      </c>
      <c r="I3425" t="n">
        <v>4</v>
      </c>
      <c r="K3425" t="inlineStr">
        <is>
          <t>USN</t>
        </is>
      </c>
      <c r="L3425" t="inlineStr">
        <is>
          <t>Combatant Ships</t>
        </is>
      </c>
      <c r="M3425" t="inlineStr">
        <is>
          <t>Submarines</t>
        </is>
      </c>
      <c r="S3425" t="n">
        <v>16599</v>
      </c>
      <c r="U3425" t="n">
        <v>16599</v>
      </c>
      <c r="AC3425">
        <f>IF(OR(E3425="",E3425="[PARENT]"),"ADD",IF(E3425="[ALT_VIEW]","ALT",""))</f>
        <v/>
      </c>
      <c r="AD3425">
        <f>IF(Y3425&lt;&gt;"",Y3425,IF(U3425&lt;&gt;"",U3425,S3425))</f>
        <v/>
      </c>
      <c r="AE3425">
        <f>IF(AB3425&lt;&gt;"",AB3425,Z3425)</f>
        <v/>
      </c>
      <c r="AF3425" t="inlineStr">
        <is>
          <t>P-5 Cost Analysis &gt; WPN LI 1250 &gt; 2.7 Guidance - Test Equipment</t>
        </is>
      </c>
      <c r="AJ3425" t="inlineStr">
        <is>
          <t>Guidance - Test Equipment</t>
        </is>
      </c>
    </row>
    <row r="3426">
      <c r="A3426" t="inlineStr">
        <is>
          <t>WPN</t>
        </is>
      </c>
      <c r="B3426" t="inlineStr">
        <is>
          <t>Procurement</t>
        </is>
      </c>
      <c r="D3426" t="inlineStr">
        <is>
          <t>TRIDENT II Mods - P-5 3 / D5LE2 - Guidance - Integration and Test</t>
        </is>
      </c>
      <c r="E3426" t="inlineStr">
        <is>
          <t>[ALT_VIEW]</t>
        </is>
      </c>
      <c r="F3426" t="inlineStr">
        <is>
          <t>1250 / TRIDENT II Mods</t>
        </is>
      </c>
      <c r="G3426" t="inlineStr">
        <is>
          <t>P-5</t>
        </is>
      </c>
      <c r="H3426" t="inlineStr">
        <is>
          <t>Support</t>
        </is>
      </c>
      <c r="I3426" t="n">
        <v>4</v>
      </c>
      <c r="K3426" t="inlineStr">
        <is>
          <t>USN</t>
        </is>
      </c>
      <c r="L3426" t="inlineStr">
        <is>
          <t>Combatant Ships</t>
        </is>
      </c>
      <c r="M3426" t="inlineStr">
        <is>
          <t>Submarines</t>
        </is>
      </c>
      <c r="S3426" t="n">
        <v>9206</v>
      </c>
      <c r="U3426" t="n">
        <v>9206</v>
      </c>
      <c r="AC3426">
        <f>IF(OR(E3426="",E3426="[PARENT]"),"ADD",IF(E3426="[ALT_VIEW]","ALT",""))</f>
        <v/>
      </c>
      <c r="AD3426">
        <f>IF(Y3426&lt;&gt;"",Y3426,IF(U3426&lt;&gt;"",U3426,S3426))</f>
        <v/>
      </c>
      <c r="AE3426">
        <f>IF(AB3426&lt;&gt;"",AB3426,Z3426)</f>
        <v/>
      </c>
      <c r="AF3426" t="inlineStr">
        <is>
          <t>P-5 Cost Analysis &gt; WPN LI 1250 &gt; 2.8 Guidance - Integration and Test</t>
        </is>
      </c>
      <c r="AJ3426" t="inlineStr">
        <is>
          <t>Guidance - Integration and Test</t>
        </is>
      </c>
    </row>
    <row r="3427">
      <c r="A3427" t="inlineStr">
        <is>
          <t>WPN</t>
        </is>
      </c>
      <c r="B3427" t="inlineStr">
        <is>
          <t>Procurement</t>
        </is>
      </c>
      <c r="D3427" t="inlineStr">
        <is>
          <t>TRIDENT II Mods - P-5 3 / D5LE2 - Fire Control</t>
        </is>
      </c>
      <c r="E3427" t="inlineStr">
        <is>
          <t>[ALT_VIEW]</t>
        </is>
      </c>
      <c r="F3427" t="inlineStr">
        <is>
          <t>1250 / TRIDENT II Mods</t>
        </is>
      </c>
      <c r="G3427" t="inlineStr">
        <is>
          <t>P-5</t>
        </is>
      </c>
      <c r="H3427" t="inlineStr">
        <is>
          <t>Support</t>
        </is>
      </c>
      <c r="I3427" t="n">
        <v>4</v>
      </c>
      <c r="K3427" t="inlineStr">
        <is>
          <t>USN</t>
        </is>
      </c>
      <c r="L3427" t="inlineStr">
        <is>
          <t>Combatant Ships</t>
        </is>
      </c>
      <c r="M3427" t="inlineStr">
        <is>
          <t>Submarines</t>
        </is>
      </c>
      <c r="S3427" t="n">
        <v>92777</v>
      </c>
      <c r="U3427" t="n">
        <v>92777</v>
      </c>
      <c r="AC3427">
        <f>IF(OR(E3427="",E3427="[PARENT]"),"ADD",IF(E3427="[ALT_VIEW]","ALT",""))</f>
        <v/>
      </c>
      <c r="AD3427">
        <f>IF(Y3427&lt;&gt;"",Y3427,IF(U3427&lt;&gt;"",U3427,S3427))</f>
        <v/>
      </c>
      <c r="AE3427">
        <f>IF(AB3427&lt;&gt;"",AB3427,Z3427)</f>
        <v/>
      </c>
      <c r="AF3427" t="inlineStr">
        <is>
          <t>P-5 Cost Analysis &gt; WPN LI 1250 &gt; 3.1 Fire Control</t>
        </is>
      </c>
      <c r="AJ3427" t="inlineStr">
        <is>
          <t>Fire Control</t>
        </is>
      </c>
    </row>
    <row r="3428">
      <c r="A3428" t="inlineStr">
        <is>
          <t>WPN</t>
        </is>
      </c>
      <c r="B3428" t="inlineStr">
        <is>
          <t>Procurement</t>
        </is>
      </c>
      <c r="D3428" t="inlineStr">
        <is>
          <t>TRIDENT II Mods - P-5 3 / D5LE2 - Launcher</t>
        </is>
      </c>
      <c r="E3428" t="inlineStr">
        <is>
          <t>[ALT_VIEW]</t>
        </is>
      </c>
      <c r="F3428" t="inlineStr">
        <is>
          <t>1250 / TRIDENT II Mods</t>
        </is>
      </c>
      <c r="G3428" t="inlineStr">
        <is>
          <t>P-5</t>
        </is>
      </c>
      <c r="H3428" t="inlineStr">
        <is>
          <t>Support</t>
        </is>
      </c>
      <c r="I3428" t="n">
        <v>4</v>
      </c>
      <c r="K3428" t="inlineStr">
        <is>
          <t>USN</t>
        </is>
      </c>
      <c r="L3428" t="inlineStr">
        <is>
          <t>Combatant Ships</t>
        </is>
      </c>
      <c r="M3428" t="inlineStr">
        <is>
          <t>Submarines</t>
        </is>
      </c>
      <c r="S3428" t="n">
        <v>23457</v>
      </c>
      <c r="U3428" t="n">
        <v>23457</v>
      </c>
      <c r="AC3428">
        <f>IF(OR(E3428="",E3428="[PARENT]"),"ADD",IF(E3428="[ALT_VIEW]","ALT",""))</f>
        <v/>
      </c>
      <c r="AD3428">
        <f>IF(Y3428&lt;&gt;"",Y3428,IF(U3428&lt;&gt;"",U3428,S3428))</f>
        <v/>
      </c>
      <c r="AE3428">
        <f>IF(AB3428&lt;&gt;"",AB3428,Z3428)</f>
        <v/>
      </c>
      <c r="AF3428" t="inlineStr">
        <is>
          <t>P-5 Cost Analysis &gt; WPN LI 1250 &gt; 3.2 Launcher</t>
        </is>
      </c>
      <c r="AJ3428" t="inlineStr">
        <is>
          <t>Launcher</t>
        </is>
      </c>
    </row>
    <row r="3429">
      <c r="A3429" t="inlineStr">
        <is>
          <t>WPN</t>
        </is>
      </c>
      <c r="B3429" t="inlineStr">
        <is>
          <t>Procurement</t>
        </is>
      </c>
      <c r="D3429" t="inlineStr">
        <is>
          <t>TRIDENT II Mods - P-5 3 / D5LE2 - Navigation</t>
        </is>
      </c>
      <c r="E3429" t="inlineStr">
        <is>
          <t>[ALT_VIEW]</t>
        </is>
      </c>
      <c r="F3429" t="inlineStr">
        <is>
          <t>1250 / TRIDENT II Mods</t>
        </is>
      </c>
      <c r="G3429" t="inlineStr">
        <is>
          <t>P-5</t>
        </is>
      </c>
      <c r="H3429" t="inlineStr">
        <is>
          <t>Support</t>
        </is>
      </c>
      <c r="I3429" t="n">
        <v>4</v>
      </c>
      <c r="K3429" t="inlineStr">
        <is>
          <t>USN</t>
        </is>
      </c>
      <c r="L3429" t="inlineStr">
        <is>
          <t>Combatant Ships</t>
        </is>
      </c>
      <c r="M3429" t="inlineStr">
        <is>
          <t>Submarines</t>
        </is>
      </c>
      <c r="S3429" t="n">
        <v>9736</v>
      </c>
      <c r="U3429" t="n">
        <v>9736</v>
      </c>
      <c r="AC3429">
        <f>IF(OR(E3429="",E3429="[PARENT]"),"ADD",IF(E3429="[ALT_VIEW]","ALT",""))</f>
        <v/>
      </c>
      <c r="AD3429">
        <f>IF(Y3429&lt;&gt;"",Y3429,IF(U3429&lt;&gt;"",U3429,S3429))</f>
        <v/>
      </c>
      <c r="AE3429">
        <f>IF(AB3429&lt;&gt;"",AB3429,Z3429)</f>
        <v/>
      </c>
      <c r="AF3429" t="inlineStr">
        <is>
          <t>P-5 Cost Analysis &gt; WPN LI 1250 &gt; 3.3 Navigation</t>
        </is>
      </c>
      <c r="AJ3429" t="inlineStr">
        <is>
          <t>Navigation</t>
        </is>
      </c>
    </row>
    <row r="3430">
      <c r="A3430" t="inlineStr">
        <is>
          <t>WPN</t>
        </is>
      </c>
      <c r="B3430" t="inlineStr">
        <is>
          <t>Procurement</t>
        </is>
      </c>
      <c r="D3430" t="inlineStr">
        <is>
          <t>TRIDENT II Mods - P-5 3 / D5LE2 - System Evaluation</t>
        </is>
      </c>
      <c r="E3430" t="inlineStr">
        <is>
          <t>[ALT_VIEW]</t>
        </is>
      </c>
      <c r="F3430" t="inlineStr">
        <is>
          <t>1250 / TRIDENT II Mods</t>
        </is>
      </c>
      <c r="G3430" t="inlineStr">
        <is>
          <t>P-5</t>
        </is>
      </c>
      <c r="H3430" t="inlineStr">
        <is>
          <t>Support</t>
        </is>
      </c>
      <c r="I3430" t="n">
        <v>4</v>
      </c>
      <c r="K3430" t="inlineStr">
        <is>
          <t>USN</t>
        </is>
      </c>
      <c r="L3430" t="inlineStr">
        <is>
          <t>Combatant Ships</t>
        </is>
      </c>
      <c r="M3430" t="inlineStr">
        <is>
          <t>Submarines</t>
        </is>
      </c>
      <c r="S3430" t="n">
        <v>52528</v>
      </c>
      <c r="U3430" t="n">
        <v>52528</v>
      </c>
      <c r="AC3430">
        <f>IF(OR(E3430="",E3430="[PARENT]"),"ADD",IF(E3430="[ALT_VIEW]","ALT",""))</f>
        <v/>
      </c>
      <c r="AD3430">
        <f>IF(Y3430&lt;&gt;"",Y3430,IF(U3430&lt;&gt;"",U3430,S3430))</f>
        <v/>
      </c>
      <c r="AE3430">
        <f>IF(AB3430&lt;&gt;"",AB3430,Z3430)</f>
        <v/>
      </c>
      <c r="AF3430" t="inlineStr">
        <is>
          <t>P-5 Cost Analysis &gt; WPN LI 1250 &gt; 4.1 System Evaluation</t>
        </is>
      </c>
      <c r="AJ3430" t="inlineStr">
        <is>
          <t>System Evaluation</t>
        </is>
      </c>
    </row>
    <row r="3431">
      <c r="A3431" t="inlineStr">
        <is>
          <t>WPN</t>
        </is>
      </c>
      <c r="B3431" t="inlineStr">
        <is>
          <t>Procurement</t>
        </is>
      </c>
      <c r="D3431" t="inlineStr">
        <is>
          <t>Standard Missile - P-5 1 / STANDARD MISSILE - SM-6 Block IA/IAU All Up Round Missile</t>
        </is>
      </c>
      <c r="E3431" t="inlineStr">
        <is>
          <t>[ALT_VIEW]</t>
        </is>
      </c>
      <c r="F3431" t="inlineStr">
        <is>
          <t>2234 / Standard Missile</t>
        </is>
      </c>
      <c r="G3431" t="inlineStr">
        <is>
          <t>P-5</t>
        </is>
      </c>
      <c r="H3431" t="inlineStr">
        <is>
          <t>Recurring</t>
        </is>
      </c>
      <c r="I3431" t="n">
        <v>4</v>
      </c>
      <c r="K3431" t="inlineStr">
        <is>
          <t>USN</t>
        </is>
      </c>
      <c r="L3431" t="inlineStr">
        <is>
          <t>Combatant Ships</t>
        </is>
      </c>
      <c r="M3431" t="inlineStr">
        <is>
          <t>Surface Combatants</t>
        </is>
      </c>
      <c r="S3431" t="n">
        <v>148400</v>
      </c>
      <c r="U3431" t="n">
        <v>148400</v>
      </c>
      <c r="AC3431">
        <f>IF(OR(E3431="",E3431="[PARENT]"),"ADD",IF(E3431="[ALT_VIEW]","ALT",""))</f>
        <v/>
      </c>
      <c r="AD3431">
        <f>IF(Y3431&lt;&gt;"",Y3431,IF(U3431&lt;&gt;"",U3431,S3431))</f>
        <v/>
      </c>
      <c r="AE3431">
        <f>IF(AB3431&lt;&gt;"",AB3431,Z3431)</f>
        <v/>
      </c>
      <c r="AF3431" t="inlineStr">
        <is>
          <t>P-5 Cost Analysis &gt; WPN LI 2234 &gt; 1.1.2 SM-6 Block IA/IAU All Up Round Missile</t>
        </is>
      </c>
      <c r="AJ3431" t="inlineStr">
        <is>
          <t>SM-6 Block IA/IAU All Up Round Missile</t>
        </is>
      </c>
    </row>
    <row r="3432">
      <c r="A3432" t="inlineStr">
        <is>
          <t>WPN</t>
        </is>
      </c>
      <c r="B3432" t="inlineStr">
        <is>
          <t>Procurement</t>
        </is>
      </c>
      <c r="D3432" t="inlineStr">
        <is>
          <t>Standard Missile - P-5 1 / STANDARD MISSILE - SM-6 Production Start Up</t>
        </is>
      </c>
      <c r="E3432" t="inlineStr">
        <is>
          <t>[ALT_VIEW]</t>
        </is>
      </c>
      <c r="F3432" t="inlineStr">
        <is>
          <t>2234 / Standard Missile</t>
        </is>
      </c>
      <c r="G3432" t="inlineStr">
        <is>
          <t>P-5</t>
        </is>
      </c>
      <c r="H3432" t="inlineStr">
        <is>
          <t>Recurring</t>
        </is>
      </c>
      <c r="I3432" t="n">
        <v>4</v>
      </c>
      <c r="K3432" t="inlineStr">
        <is>
          <t>USN</t>
        </is>
      </c>
      <c r="L3432" t="inlineStr">
        <is>
          <t>Combatant Ships</t>
        </is>
      </c>
      <c r="M3432" t="inlineStr">
        <is>
          <t>Surface Combatants</t>
        </is>
      </c>
      <c r="S3432" t="n">
        <v>30359</v>
      </c>
      <c r="U3432" t="n">
        <v>30359</v>
      </c>
      <c r="AC3432">
        <f>IF(OR(E3432="",E3432="[PARENT]"),"ADD",IF(E3432="[ALT_VIEW]","ALT",""))</f>
        <v/>
      </c>
      <c r="AD3432">
        <f>IF(Y3432&lt;&gt;"",Y3432,IF(U3432&lt;&gt;"",U3432,S3432))</f>
        <v/>
      </c>
      <c r="AE3432">
        <f>IF(AB3432&lt;&gt;"",AB3432,Z3432)</f>
        <v/>
      </c>
      <c r="AF3432" t="inlineStr">
        <is>
          <t>P-5 Cost Analysis &gt; WPN LI 2234 &gt; 1.1.7 SM-6 Production Start Up</t>
        </is>
      </c>
      <c r="AJ3432" t="inlineStr">
        <is>
          <t>SM-6 Production Start Up</t>
        </is>
      </c>
    </row>
    <row r="3433">
      <c r="A3433" t="inlineStr">
        <is>
          <t>WPN</t>
        </is>
      </c>
      <c r="B3433" t="inlineStr">
        <is>
          <t>Procurement</t>
        </is>
      </c>
      <c r="D3433" t="inlineStr">
        <is>
          <t>Standard Missile - P-5 1 / STANDARD MISSILE - Canister - SM-6 Block IA (Mk 21 Mod 4)</t>
        </is>
      </c>
      <c r="E3433" t="inlineStr">
        <is>
          <t>[ALT_VIEW]</t>
        </is>
      </c>
      <c r="F3433" t="inlineStr">
        <is>
          <t>2234 / Standard Missile</t>
        </is>
      </c>
      <c r="G3433" t="inlineStr">
        <is>
          <t>P-5</t>
        </is>
      </c>
      <c r="H3433" t="inlineStr">
        <is>
          <t>Recurring</t>
        </is>
      </c>
      <c r="I3433" t="n">
        <v>4</v>
      </c>
      <c r="K3433" t="inlineStr">
        <is>
          <t>USN</t>
        </is>
      </c>
      <c r="L3433" t="inlineStr">
        <is>
          <t>Combatant Ships</t>
        </is>
      </c>
      <c r="M3433" t="inlineStr">
        <is>
          <t>Surface Combatants</t>
        </is>
      </c>
      <c r="S3433" t="n">
        <v>10257</v>
      </c>
      <c r="U3433" t="n">
        <v>10257</v>
      </c>
      <c r="AC3433">
        <f>IF(OR(E3433="",E3433="[PARENT]"),"ADD",IF(E3433="[ALT_VIEW]","ALT",""))</f>
        <v/>
      </c>
      <c r="AD3433">
        <f>IF(Y3433&lt;&gt;"",Y3433,IF(U3433&lt;&gt;"",U3433,S3433))</f>
        <v/>
      </c>
      <c r="AE3433">
        <f>IF(AB3433&lt;&gt;"",AB3433,Z3433)</f>
        <v/>
      </c>
      <c r="AF3433" t="inlineStr">
        <is>
          <t>P-5 Cost Analysis &gt; WPN LI 2234 &gt; 1.1.8 Canister - SM-6 Block IA (Mk 21 Mod 4)</t>
        </is>
      </c>
      <c r="AJ3433" t="inlineStr">
        <is>
          <t>Canister - SM-6 Block IA (Mk 21 Mod 4)</t>
        </is>
      </c>
    </row>
    <row r="3434">
      <c r="A3434" t="inlineStr">
        <is>
          <t>WPN</t>
        </is>
      </c>
      <c r="B3434" t="inlineStr">
        <is>
          <t>Procurement</t>
        </is>
      </c>
      <c r="D3434" t="inlineStr">
        <is>
          <t>Standard Missile - P-5 1 / STANDARD MISSILE - SM-6 IAU Transition to Production (TTP)</t>
        </is>
      </c>
      <c r="E3434" t="inlineStr">
        <is>
          <t>[ALT_VIEW]</t>
        </is>
      </c>
      <c r="F3434" t="inlineStr">
        <is>
          <t>2234 / Standard Missile</t>
        </is>
      </c>
      <c r="G3434" t="inlineStr">
        <is>
          <t>P-5</t>
        </is>
      </c>
      <c r="H3434" t="inlineStr">
        <is>
          <t>Recurring</t>
        </is>
      </c>
      <c r="I3434" t="n">
        <v>4</v>
      </c>
      <c r="K3434" t="inlineStr">
        <is>
          <t>USN</t>
        </is>
      </c>
      <c r="L3434" t="inlineStr">
        <is>
          <t>Combatant Ships</t>
        </is>
      </c>
      <c r="M3434" t="inlineStr">
        <is>
          <t>Surface Combatants</t>
        </is>
      </c>
      <c r="S3434" t="n">
        <v>51000</v>
      </c>
      <c r="U3434" t="n">
        <v>51000</v>
      </c>
      <c r="AC3434">
        <f>IF(OR(E3434="",E3434="[PARENT]"),"ADD",IF(E3434="[ALT_VIEW]","ALT",""))</f>
        <v/>
      </c>
      <c r="AD3434">
        <f>IF(Y3434&lt;&gt;"",Y3434,IF(U3434&lt;&gt;"",U3434,S3434))</f>
        <v/>
      </c>
      <c r="AE3434">
        <f>IF(AB3434&lt;&gt;"",AB3434,Z3434)</f>
        <v/>
      </c>
      <c r="AF3434" t="inlineStr">
        <is>
          <t>P-5 Cost Analysis &gt; WPN LI 2234 &gt; 1.1.9 SM-6 IAU Transition to Production (TTP)</t>
        </is>
      </c>
      <c r="AJ3434" t="inlineStr">
        <is>
          <t>SM-6 IAU Transition to Production (TTP)</t>
        </is>
      </c>
    </row>
    <row r="3435">
      <c r="A3435" t="inlineStr">
        <is>
          <t>WPN</t>
        </is>
      </c>
      <c r="B3435" t="inlineStr">
        <is>
          <t>Procurement</t>
        </is>
      </c>
      <c r="D3435" t="inlineStr">
        <is>
          <t>Standard Missile - P-5 1 / STANDARD MISSILE - SM-6 BLK I/IA Production Engineering/Support</t>
        </is>
      </c>
      <c r="E3435" t="inlineStr">
        <is>
          <t>[ALT_VIEW]</t>
        </is>
      </c>
      <c r="F3435" t="inlineStr">
        <is>
          <t>2234 / Standard Missile</t>
        </is>
      </c>
      <c r="G3435" t="inlineStr">
        <is>
          <t>P-5</t>
        </is>
      </c>
      <c r="H3435" t="inlineStr">
        <is>
          <t>Support</t>
        </is>
      </c>
      <c r="I3435" t="n">
        <v>4</v>
      </c>
      <c r="K3435" t="inlineStr">
        <is>
          <t>USN</t>
        </is>
      </c>
      <c r="L3435" t="inlineStr">
        <is>
          <t>Combatant Ships</t>
        </is>
      </c>
      <c r="M3435" t="inlineStr">
        <is>
          <t>Surface Combatants</t>
        </is>
      </c>
      <c r="S3435" t="n">
        <v>28516</v>
      </c>
      <c r="U3435" t="n">
        <v>28516</v>
      </c>
      <c r="AC3435">
        <f>IF(OR(E3435="",E3435="[PARENT]"),"ADD",IF(E3435="[ALT_VIEW]","ALT",""))</f>
        <v/>
      </c>
      <c r="AD3435">
        <f>IF(Y3435&lt;&gt;"",Y3435,IF(U3435&lt;&gt;"",U3435,S3435))</f>
        <v/>
      </c>
      <c r="AE3435">
        <f>IF(AB3435&lt;&gt;"",AB3435,Z3435)</f>
        <v/>
      </c>
      <c r="AF3435" t="inlineStr">
        <is>
          <t>P-5 Cost Analysis &gt; WPN LI 2234 &gt; 2.1 SM-6 BLK I/IA Production Engineering/Support</t>
        </is>
      </c>
      <c r="AJ3435" t="inlineStr">
        <is>
          <t>SM-6 BLK I/IA Production Engineering/Support</t>
        </is>
      </c>
    </row>
    <row r="3436">
      <c r="A3436" t="inlineStr">
        <is>
          <t>WPN</t>
        </is>
      </c>
      <c r="B3436" t="inlineStr">
        <is>
          <t>Procurement</t>
        </is>
      </c>
      <c r="D3436" t="inlineStr">
        <is>
          <t>Standard Missile - P-5 1 / STANDARD MISSILE - SM-6 BLK I/IA Diminishing Manufacturing Sources</t>
        </is>
      </c>
      <c r="E3436" t="inlineStr">
        <is>
          <t>[ALT_VIEW]</t>
        </is>
      </c>
      <c r="F3436" t="inlineStr">
        <is>
          <t>2234 / Standard Missile</t>
        </is>
      </c>
      <c r="G3436" t="inlineStr">
        <is>
          <t>P-5</t>
        </is>
      </c>
      <c r="H3436" t="inlineStr">
        <is>
          <t>Support</t>
        </is>
      </c>
      <c r="I3436" t="n">
        <v>4</v>
      </c>
      <c r="K3436" t="inlineStr">
        <is>
          <t>USN</t>
        </is>
      </c>
      <c r="L3436" t="inlineStr">
        <is>
          <t>Combatant Ships</t>
        </is>
      </c>
      <c r="M3436" t="inlineStr">
        <is>
          <t>Surface Combatants</t>
        </is>
      </c>
      <c r="S3436" t="n">
        <v>24268</v>
      </c>
      <c r="U3436" t="n">
        <v>24268</v>
      </c>
      <c r="AC3436">
        <f>IF(OR(E3436="",E3436="[PARENT]"),"ADD",IF(E3436="[ALT_VIEW]","ALT",""))</f>
        <v/>
      </c>
      <c r="AD3436">
        <f>IF(Y3436&lt;&gt;"",Y3436,IF(U3436&lt;&gt;"",U3436,S3436))</f>
        <v/>
      </c>
      <c r="AE3436">
        <f>IF(AB3436&lt;&gt;"",AB3436,Z3436)</f>
        <v/>
      </c>
      <c r="AF3436" t="inlineStr">
        <is>
          <t>P-5 Cost Analysis &gt; WPN LI 2234 &gt; 2.4 SM-6 BLK I/IA Diminishing Manufacturing Sources</t>
        </is>
      </c>
      <c r="AJ3436" t="inlineStr">
        <is>
          <t>SM-6 BLK I/IA Diminishing Manufacturing Sources</t>
        </is>
      </c>
    </row>
    <row r="3437">
      <c r="A3437" t="inlineStr">
        <is>
          <t>WPN</t>
        </is>
      </c>
      <c r="B3437" t="inlineStr">
        <is>
          <t>Procurement</t>
        </is>
      </c>
      <c r="D3437" t="inlineStr">
        <is>
          <t>Standard Missile - P-5 1 / STANDARD MISSILE - SM-6 BLK I/IA Containers</t>
        </is>
      </c>
      <c r="E3437" t="inlineStr">
        <is>
          <t>[ALT_VIEW]</t>
        </is>
      </c>
      <c r="F3437" t="inlineStr">
        <is>
          <t>2234 / Standard Missile</t>
        </is>
      </c>
      <c r="G3437" t="inlineStr">
        <is>
          <t>P-5</t>
        </is>
      </c>
      <c r="H3437" t="inlineStr">
        <is>
          <t>Support</t>
        </is>
      </c>
      <c r="I3437" t="n">
        <v>4</v>
      </c>
      <c r="K3437" t="inlineStr">
        <is>
          <t>USN</t>
        </is>
      </c>
      <c r="L3437" t="inlineStr">
        <is>
          <t>Combatant Ships</t>
        </is>
      </c>
      <c r="M3437" t="inlineStr">
        <is>
          <t>Surface Combatants</t>
        </is>
      </c>
      <c r="S3437" t="n">
        <v>504</v>
      </c>
      <c r="U3437" t="n">
        <v>504</v>
      </c>
      <c r="AC3437">
        <f>IF(OR(E3437="",E3437="[PARENT]"),"ADD",IF(E3437="[ALT_VIEW]","ALT",""))</f>
        <v/>
      </c>
      <c r="AD3437">
        <f>IF(Y3437&lt;&gt;"",Y3437,IF(U3437&lt;&gt;"",U3437,S3437))</f>
        <v/>
      </c>
      <c r="AE3437">
        <f>IF(AB3437&lt;&gt;"",AB3437,Z3437)</f>
        <v/>
      </c>
      <c r="AF3437" t="inlineStr">
        <is>
          <t>P-5 Cost Analysis &gt; WPN LI 2234 &gt; 2.6 SM-6 BLK I/IA Containers</t>
        </is>
      </c>
      <c r="AJ3437" t="inlineStr">
        <is>
          <t>SM-6 BLK I/IA Containers</t>
        </is>
      </c>
    </row>
    <row r="3438">
      <c r="A3438" t="inlineStr">
        <is>
          <t>WPN</t>
        </is>
      </c>
      <c r="B3438" t="inlineStr">
        <is>
          <t>Procurement</t>
        </is>
      </c>
      <c r="D3438" t="inlineStr">
        <is>
          <t>Standard Missile - P-5 1 / STANDARD MISSILE - SM-6 BLK I/IA ILS/Fleet Documentation</t>
        </is>
      </c>
      <c r="E3438" t="inlineStr">
        <is>
          <t>[ALT_VIEW]</t>
        </is>
      </c>
      <c r="F3438" t="inlineStr">
        <is>
          <t>2234 / Standard Missile</t>
        </is>
      </c>
      <c r="G3438" t="inlineStr">
        <is>
          <t>P-5</t>
        </is>
      </c>
      <c r="H3438" t="inlineStr">
        <is>
          <t>Support</t>
        </is>
      </c>
      <c r="I3438" t="n">
        <v>4</v>
      </c>
      <c r="K3438" t="inlineStr">
        <is>
          <t>USN</t>
        </is>
      </c>
      <c r="L3438" t="inlineStr">
        <is>
          <t>Combatant Ships</t>
        </is>
      </c>
      <c r="M3438" t="inlineStr">
        <is>
          <t>Surface Combatants</t>
        </is>
      </c>
      <c r="S3438" t="n">
        <v>2019</v>
      </c>
      <c r="U3438" t="n">
        <v>2019</v>
      </c>
      <c r="AC3438">
        <f>IF(OR(E3438="",E3438="[PARENT]"),"ADD",IF(E3438="[ALT_VIEW]","ALT",""))</f>
        <v/>
      </c>
      <c r="AD3438">
        <f>IF(Y3438&lt;&gt;"",Y3438,IF(U3438&lt;&gt;"",U3438,S3438))</f>
        <v/>
      </c>
      <c r="AE3438">
        <f>IF(AB3438&lt;&gt;"",AB3438,Z3438)</f>
        <v/>
      </c>
      <c r="AF3438" t="inlineStr">
        <is>
          <t>P-5 Cost Analysis &gt; WPN LI 2234 &gt; 2.7 SM-6 BLK I/IA ILS/Fleet Documentation</t>
        </is>
      </c>
      <c r="AJ3438" t="inlineStr">
        <is>
          <t>SM-6 BLK I/IA ILS/Fleet Documentation</t>
        </is>
      </c>
    </row>
    <row r="3439">
      <c r="A3439" t="inlineStr">
        <is>
          <t>WPN</t>
        </is>
      </c>
      <c r="B3439" t="inlineStr">
        <is>
          <t>Procurement</t>
        </is>
      </c>
      <c r="D3439" t="inlineStr">
        <is>
          <t>LRASM - P-5 1 / LRASM C-1 - All Up Round (AUR)</t>
        </is>
      </c>
      <c r="E3439" t="inlineStr">
        <is>
          <t>[ALT_VIEW]</t>
        </is>
      </c>
      <c r="F3439" t="inlineStr">
        <is>
          <t>2291 / LRASM</t>
        </is>
      </c>
      <c r="G3439" t="inlineStr">
        <is>
          <t>P-5</t>
        </is>
      </c>
      <c r="H3439" t="inlineStr">
        <is>
          <t>Recurring</t>
        </is>
      </c>
      <c r="I3439" t="n">
        <v>4</v>
      </c>
      <c r="S3439" t="n">
        <v>92940</v>
      </c>
      <c r="U3439" t="n">
        <v>92940</v>
      </c>
      <c r="AC3439">
        <f>IF(OR(E3439="",E3439="[PARENT]"),"ADD",IF(E3439="[ALT_VIEW]","ALT",""))</f>
        <v/>
      </c>
      <c r="AD3439">
        <f>IF(Y3439&lt;&gt;"",Y3439,IF(U3439&lt;&gt;"",U3439,S3439))</f>
        <v/>
      </c>
      <c r="AE3439">
        <f>IF(AB3439&lt;&gt;"",AB3439,Z3439)</f>
        <v/>
      </c>
      <c r="AF3439" t="inlineStr">
        <is>
          <t>P-5 Cost Analysis &gt; WPN LI 2291 &gt; 1.1.1 All Up Round (AUR)</t>
        </is>
      </c>
      <c r="AJ3439" t="inlineStr">
        <is>
          <t>All Up Round (AUR)</t>
        </is>
      </c>
    </row>
    <row r="3440">
      <c r="A3440" t="inlineStr">
        <is>
          <t>WPN</t>
        </is>
      </c>
      <c r="B3440" t="inlineStr">
        <is>
          <t>Procurement</t>
        </is>
      </c>
      <c r="D3440" t="inlineStr">
        <is>
          <t>LRASM - P-5 1 / LRASM C-1 - Obsolescence</t>
        </is>
      </c>
      <c r="E3440" t="inlineStr">
        <is>
          <t>[ALT_VIEW]</t>
        </is>
      </c>
      <c r="F3440" t="inlineStr">
        <is>
          <t>2291 / LRASM</t>
        </is>
      </c>
      <c r="G3440" t="inlineStr">
        <is>
          <t>P-5</t>
        </is>
      </c>
      <c r="H3440" t="inlineStr">
        <is>
          <t>Non-Recurring</t>
        </is>
      </c>
      <c r="I3440" t="n">
        <v>4</v>
      </c>
      <c r="S3440" t="n">
        <v>929</v>
      </c>
      <c r="U3440" t="n">
        <v>929</v>
      </c>
      <c r="AC3440">
        <f>IF(OR(E3440="",E3440="[PARENT]"),"ADD",IF(E3440="[ALT_VIEW]","ALT",""))</f>
        <v/>
      </c>
      <c r="AD3440">
        <f>IF(Y3440&lt;&gt;"",Y3440,IF(U3440&lt;&gt;"",U3440,S3440))</f>
        <v/>
      </c>
      <c r="AE3440">
        <f>IF(AB3440&lt;&gt;"",AB3440,Z3440)</f>
        <v/>
      </c>
      <c r="AF3440" t="inlineStr">
        <is>
          <t>P-5 Cost Analysis &gt; WPN LI 2291 &gt; 2.1.1 Obsolescence</t>
        </is>
      </c>
      <c r="AJ3440" t="inlineStr">
        <is>
          <t>Obsolescence</t>
        </is>
      </c>
    </row>
    <row r="3441">
      <c r="A3441" t="inlineStr">
        <is>
          <t>WPN</t>
        </is>
      </c>
      <c r="B3441" t="inlineStr">
        <is>
          <t>Procurement</t>
        </is>
      </c>
      <c r="D3441" t="inlineStr">
        <is>
          <t>LRASM - P-5 1 / LRASM C-1 - Production Support</t>
        </is>
      </c>
      <c r="E3441" t="inlineStr">
        <is>
          <t>[ALT_VIEW]</t>
        </is>
      </c>
      <c r="F3441" t="inlineStr">
        <is>
          <t>2291 / LRASM</t>
        </is>
      </c>
      <c r="G3441" t="inlineStr">
        <is>
          <t>P-5</t>
        </is>
      </c>
      <c r="H3441" t="inlineStr">
        <is>
          <t>Support</t>
        </is>
      </c>
      <c r="I3441" t="n">
        <v>4</v>
      </c>
      <c r="S3441" t="n">
        <v>5100</v>
      </c>
      <c r="U3441" t="n">
        <v>5100</v>
      </c>
      <c r="AC3441">
        <f>IF(OR(E3441="",E3441="[PARENT]"),"ADD",IF(E3441="[ALT_VIEW]","ALT",""))</f>
        <v/>
      </c>
      <c r="AD3441">
        <f>IF(Y3441&lt;&gt;"",Y3441,IF(U3441&lt;&gt;"",U3441,S3441))</f>
        <v/>
      </c>
      <c r="AE3441">
        <f>IF(AB3441&lt;&gt;"",AB3441,Z3441)</f>
        <v/>
      </c>
      <c r="AF3441" t="inlineStr">
        <is>
          <t>P-5 Cost Analysis &gt; WPN LI 2291 &gt; 3.1 Production Support</t>
        </is>
      </c>
      <c r="AJ3441" t="inlineStr">
        <is>
          <t>Production Support</t>
        </is>
      </c>
    </row>
    <row r="3442">
      <c r="A3442" t="inlineStr">
        <is>
          <t>WPN</t>
        </is>
      </c>
      <c r="B3442" t="inlineStr">
        <is>
          <t>Procurement</t>
        </is>
      </c>
      <c r="D3442" t="inlineStr">
        <is>
          <t>LRASM - P-5 1 / LRASM C-1 - LRASM Operational Test Support</t>
        </is>
      </c>
      <c r="E3442" t="inlineStr">
        <is>
          <t>[ALT_VIEW]</t>
        </is>
      </c>
      <c r="F3442" t="inlineStr">
        <is>
          <t>2291 / LRASM</t>
        </is>
      </c>
      <c r="G3442" t="inlineStr">
        <is>
          <t>P-5</t>
        </is>
      </c>
      <c r="H3442" t="inlineStr">
        <is>
          <t>Support</t>
        </is>
      </c>
      <c r="I3442" t="n">
        <v>4</v>
      </c>
      <c r="S3442" t="n">
        <v>9652</v>
      </c>
      <c r="U3442" t="n">
        <v>9652</v>
      </c>
      <c r="AC3442">
        <f>IF(OR(E3442="",E3442="[PARENT]"),"ADD",IF(E3442="[ALT_VIEW]","ALT",""))</f>
        <v/>
      </c>
      <c r="AD3442">
        <f>IF(Y3442&lt;&gt;"",Y3442,IF(U3442&lt;&gt;"",U3442,S3442))</f>
        <v/>
      </c>
      <c r="AE3442">
        <f>IF(AB3442&lt;&gt;"",AB3442,Z3442)</f>
        <v/>
      </c>
      <c r="AF3442" t="inlineStr">
        <is>
          <t>P-5 Cost Analysis &gt; WPN LI 2291 &gt; 3.2 LRASM Operational Test Support</t>
        </is>
      </c>
      <c r="AJ3442" t="inlineStr">
        <is>
          <t>LRASM Operational Test Support</t>
        </is>
      </c>
    </row>
    <row r="3443">
      <c r="A3443" t="inlineStr">
        <is>
          <t>WPN</t>
        </is>
      </c>
      <c r="B3443" t="inlineStr">
        <is>
          <t>Procurement</t>
        </is>
      </c>
      <c r="D3443" t="inlineStr">
        <is>
          <t>LRASM - P-5 2 / LRASM C-3 - LRASM C-3 AUR</t>
        </is>
      </c>
      <c r="E3443" t="inlineStr">
        <is>
          <t>[ALT_VIEW]</t>
        </is>
      </c>
      <c r="F3443" t="inlineStr">
        <is>
          <t>2291 / LRASM</t>
        </is>
      </c>
      <c r="G3443" t="inlineStr">
        <is>
          <t>P-5</t>
        </is>
      </c>
      <c r="H3443" t="inlineStr">
        <is>
          <t>Recurring</t>
        </is>
      </c>
      <c r="I3443" t="n">
        <v>4</v>
      </c>
      <c r="S3443" t="n">
        <v>99742</v>
      </c>
      <c r="U3443" t="n">
        <v>99742</v>
      </c>
      <c r="AC3443">
        <f>IF(OR(E3443="",E3443="[PARENT]"),"ADD",IF(E3443="[ALT_VIEW]","ALT",""))</f>
        <v/>
      </c>
      <c r="AD3443">
        <f>IF(Y3443&lt;&gt;"",Y3443,IF(U3443&lt;&gt;"",U3443,S3443))</f>
        <v/>
      </c>
      <c r="AE3443">
        <f>IF(AB3443&lt;&gt;"",AB3443,Z3443)</f>
        <v/>
      </c>
      <c r="AF3443" t="inlineStr">
        <is>
          <t>P-5 Cost Analysis &gt; WPN LI 2291 &gt; 1.1.1 LRASM C-3 AUR</t>
        </is>
      </c>
      <c r="AJ3443" t="inlineStr">
        <is>
          <t>LRASM C-3 AUR</t>
        </is>
      </c>
    </row>
    <row r="3444">
      <c r="A3444" t="inlineStr">
        <is>
          <t>WPN</t>
        </is>
      </c>
      <c r="B3444" t="inlineStr">
        <is>
          <t>Procurement</t>
        </is>
      </c>
      <c r="D3444" t="inlineStr">
        <is>
          <t>LRASM - P-5 2 / LRASM C-3 - Radios</t>
        </is>
      </c>
      <c r="E3444" t="inlineStr">
        <is>
          <t>[ALT_VIEW]</t>
        </is>
      </c>
      <c r="F3444" t="inlineStr">
        <is>
          <t>2291 / LRASM</t>
        </is>
      </c>
      <c r="G3444" t="inlineStr">
        <is>
          <t>P-5</t>
        </is>
      </c>
      <c r="H3444" t="inlineStr">
        <is>
          <t>Recurring</t>
        </is>
      </c>
      <c r="I3444" t="n">
        <v>4</v>
      </c>
      <c r="S3444" t="n">
        <v>4654</v>
      </c>
      <c r="U3444" t="n">
        <v>4654</v>
      </c>
      <c r="AC3444">
        <f>IF(OR(E3444="",E3444="[PARENT]"),"ADD",IF(E3444="[ALT_VIEW]","ALT",""))</f>
        <v/>
      </c>
      <c r="AD3444">
        <f>IF(Y3444&lt;&gt;"",Y3444,IF(U3444&lt;&gt;"",U3444,S3444))</f>
        <v/>
      </c>
      <c r="AE3444">
        <f>IF(AB3444&lt;&gt;"",AB3444,Z3444)</f>
        <v/>
      </c>
      <c r="AF3444" t="inlineStr">
        <is>
          <t>P-5 Cost Analysis &gt; WPN LI 2291 &gt; 1.1.2 Radios</t>
        </is>
      </c>
      <c r="AJ3444" t="inlineStr">
        <is>
          <t>Radios</t>
        </is>
      </c>
    </row>
    <row r="3445">
      <c r="A3445" t="inlineStr">
        <is>
          <t>WPN</t>
        </is>
      </c>
      <c r="B3445" t="inlineStr">
        <is>
          <t>Procurement</t>
        </is>
      </c>
      <c r="D3445" t="inlineStr">
        <is>
          <t>LRASM - P-5 2 / LRASM C-3 - Contractor ECO</t>
        </is>
      </c>
      <c r="E3445" t="inlineStr">
        <is>
          <t>[ALT_VIEW]</t>
        </is>
      </c>
      <c r="F3445" t="inlineStr">
        <is>
          <t>2291 / LRASM</t>
        </is>
      </c>
      <c r="G3445" t="inlineStr">
        <is>
          <t>P-5</t>
        </is>
      </c>
      <c r="H3445" t="inlineStr">
        <is>
          <t>Recurring</t>
        </is>
      </c>
      <c r="I3445" t="n">
        <v>4</v>
      </c>
      <c r="S3445" t="n">
        <v>248</v>
      </c>
      <c r="U3445" t="n">
        <v>248</v>
      </c>
      <c r="AC3445">
        <f>IF(OR(E3445="",E3445="[PARENT]"),"ADD",IF(E3445="[ALT_VIEW]","ALT",""))</f>
        <v/>
      </c>
      <c r="AD3445">
        <f>IF(Y3445&lt;&gt;"",Y3445,IF(U3445&lt;&gt;"",U3445,S3445))</f>
        <v/>
      </c>
      <c r="AE3445">
        <f>IF(AB3445&lt;&gt;"",AB3445,Z3445)</f>
        <v/>
      </c>
      <c r="AF3445" t="inlineStr">
        <is>
          <t>P-5 Cost Analysis &gt; WPN LI 2291 &gt; 1.1.3 Contractor ECO</t>
        </is>
      </c>
      <c r="AJ3445" t="inlineStr">
        <is>
          <t>Contractor ECO</t>
        </is>
      </c>
    </row>
    <row r="3446">
      <c r="A3446" t="inlineStr">
        <is>
          <t>WPN</t>
        </is>
      </c>
      <c r="B3446" t="inlineStr">
        <is>
          <t>Procurement</t>
        </is>
      </c>
      <c r="D3446" t="inlineStr">
        <is>
          <t>LRASM - P-5 2 / LRASM C-3 - NRE / Obsolescence</t>
        </is>
      </c>
      <c r="E3446" t="inlineStr">
        <is>
          <t>[ALT_VIEW]</t>
        </is>
      </c>
      <c r="F3446" t="inlineStr">
        <is>
          <t>2291 / LRASM</t>
        </is>
      </c>
      <c r="G3446" t="inlineStr">
        <is>
          <t>P-5</t>
        </is>
      </c>
      <c r="H3446" t="inlineStr">
        <is>
          <t>Non-Recurring</t>
        </is>
      </c>
      <c r="I3446" t="n">
        <v>4</v>
      </c>
      <c r="S3446" t="n">
        <v>3039</v>
      </c>
      <c r="U3446" t="n">
        <v>3039</v>
      </c>
      <c r="AC3446">
        <f>IF(OR(E3446="",E3446="[PARENT]"),"ADD",IF(E3446="[ALT_VIEW]","ALT",""))</f>
        <v/>
      </c>
      <c r="AD3446">
        <f>IF(Y3446&lt;&gt;"",Y3446,IF(U3446&lt;&gt;"",U3446,S3446))</f>
        <v/>
      </c>
      <c r="AE3446">
        <f>IF(AB3446&lt;&gt;"",AB3446,Z3446)</f>
        <v/>
      </c>
      <c r="AF3446" t="inlineStr">
        <is>
          <t>P-5 Cost Analysis &gt; WPN LI 2291 &gt; 2.1.1 NRE / Obsolescence</t>
        </is>
      </c>
      <c r="AJ3446" t="inlineStr">
        <is>
          <t>NRE / Obsolescence</t>
        </is>
      </c>
    </row>
    <row r="3447">
      <c r="A3447" t="inlineStr">
        <is>
          <t>WPN</t>
        </is>
      </c>
      <c r="B3447" t="inlineStr">
        <is>
          <t>Procurement</t>
        </is>
      </c>
      <c r="D3447" t="inlineStr">
        <is>
          <t>LRASM - P-5 2 / LRASM C-3 - Tooling/Production Facilitization</t>
        </is>
      </c>
      <c r="E3447" t="inlineStr">
        <is>
          <t>[ALT_VIEW]</t>
        </is>
      </c>
      <c r="F3447" t="inlineStr">
        <is>
          <t>2291 / LRASM</t>
        </is>
      </c>
      <c r="G3447" t="inlineStr">
        <is>
          <t>P-5</t>
        </is>
      </c>
      <c r="H3447" t="inlineStr">
        <is>
          <t>Non-Recurring</t>
        </is>
      </c>
      <c r="I3447" t="n">
        <v>4</v>
      </c>
      <c r="S3447" t="n">
        <v>7161</v>
      </c>
      <c r="U3447" t="n">
        <v>7161</v>
      </c>
      <c r="AC3447">
        <f>IF(OR(E3447="",E3447="[PARENT]"),"ADD",IF(E3447="[ALT_VIEW]","ALT",""))</f>
        <v/>
      </c>
      <c r="AD3447">
        <f>IF(Y3447&lt;&gt;"",Y3447,IF(U3447&lt;&gt;"",U3447,S3447))</f>
        <v/>
      </c>
      <c r="AE3447">
        <f>IF(AB3447&lt;&gt;"",AB3447,Z3447)</f>
        <v/>
      </c>
      <c r="AF3447" t="inlineStr">
        <is>
          <t>P-5 Cost Analysis &gt; WPN LI 2291 &gt; 2.1.2 Tooling/Production Facilitization</t>
        </is>
      </c>
      <c r="AJ3447" t="inlineStr">
        <is>
          <t>Tooling/Production Facilitization</t>
        </is>
      </c>
    </row>
    <row r="3448">
      <c r="A3448" t="inlineStr">
        <is>
          <t>WPN</t>
        </is>
      </c>
      <c r="B3448" t="inlineStr">
        <is>
          <t>Procurement</t>
        </is>
      </c>
      <c r="D3448" t="inlineStr">
        <is>
          <t>LRASM - P-5 2 / LRASM C-3 - Telemetry Kits</t>
        </is>
      </c>
      <c r="E3448" t="inlineStr">
        <is>
          <t>[ALT_VIEW]</t>
        </is>
      </c>
      <c r="F3448" t="inlineStr">
        <is>
          <t>2291 / LRASM</t>
        </is>
      </c>
      <c r="G3448" t="inlineStr">
        <is>
          <t>P-5</t>
        </is>
      </c>
      <c r="H3448" t="inlineStr">
        <is>
          <t>Non-Recurring</t>
        </is>
      </c>
      <c r="I3448" t="n">
        <v>4</v>
      </c>
      <c r="S3448" t="n">
        <v>8023</v>
      </c>
      <c r="U3448" t="n">
        <v>8023</v>
      </c>
      <c r="AC3448">
        <f>IF(OR(E3448="",E3448="[PARENT]"),"ADD",IF(E3448="[ALT_VIEW]","ALT",""))</f>
        <v/>
      </c>
      <c r="AD3448">
        <f>IF(Y3448&lt;&gt;"",Y3448,IF(U3448&lt;&gt;"",U3448,S3448))</f>
        <v/>
      </c>
      <c r="AE3448">
        <f>IF(AB3448&lt;&gt;"",AB3448,Z3448)</f>
        <v/>
      </c>
      <c r="AF3448" t="inlineStr">
        <is>
          <t>P-5 Cost Analysis &gt; WPN LI 2291 &gt; 2.1.3 Telemetry Kits</t>
        </is>
      </c>
      <c r="AJ3448" t="inlineStr">
        <is>
          <t>Telemetry Kits</t>
        </is>
      </c>
    </row>
    <row r="3449">
      <c r="A3449" t="inlineStr">
        <is>
          <t>WPN</t>
        </is>
      </c>
      <c r="B3449" t="inlineStr">
        <is>
          <t>Procurement</t>
        </is>
      </c>
      <c r="D3449" t="inlineStr">
        <is>
          <t>LRASM - P-5 2 / LRASM C-3 - Production Support</t>
        </is>
      </c>
      <c r="E3449" t="inlineStr">
        <is>
          <t>[ALT_VIEW]</t>
        </is>
      </c>
      <c r="F3449" t="inlineStr">
        <is>
          <t>2291 / LRASM</t>
        </is>
      </c>
      <c r="G3449" t="inlineStr">
        <is>
          <t>P-5</t>
        </is>
      </c>
      <c r="H3449" t="inlineStr">
        <is>
          <t>Support</t>
        </is>
      </c>
      <c r="I3449" t="n">
        <v>4</v>
      </c>
      <c r="S3449" t="n">
        <v>9154</v>
      </c>
      <c r="U3449" t="n">
        <v>9154</v>
      </c>
      <c r="AC3449">
        <f>IF(OR(E3449="",E3449="[PARENT]"),"ADD",IF(E3449="[ALT_VIEW]","ALT",""))</f>
        <v/>
      </c>
      <c r="AD3449">
        <f>IF(Y3449&lt;&gt;"",Y3449,IF(U3449&lt;&gt;"",U3449,S3449))</f>
        <v/>
      </c>
      <c r="AE3449">
        <f>IF(AB3449&lt;&gt;"",AB3449,Z3449)</f>
        <v/>
      </c>
      <c r="AF3449" t="inlineStr">
        <is>
          <t>P-5 Cost Analysis &gt; WPN LI 2291 &gt; 3.1 Production Support</t>
        </is>
      </c>
      <c r="AJ3449" t="inlineStr">
        <is>
          <t>Production Support</t>
        </is>
      </c>
    </row>
    <row r="3450">
      <c r="A3450" t="inlineStr">
        <is>
          <t>WPN</t>
        </is>
      </c>
      <c r="B3450" t="inlineStr">
        <is>
          <t>Procurement</t>
        </is>
      </c>
      <c r="D3450" t="inlineStr">
        <is>
          <t>LRASM - P-5 2 / LRASM C-3 - Telemetry Kit Integration</t>
        </is>
      </c>
      <c r="E3450" t="inlineStr">
        <is>
          <t>[ALT_VIEW]</t>
        </is>
      </c>
      <c r="F3450" t="inlineStr">
        <is>
          <t>2291 / LRASM</t>
        </is>
      </c>
      <c r="G3450" t="inlineStr">
        <is>
          <t>P-5</t>
        </is>
      </c>
      <c r="H3450" t="inlineStr">
        <is>
          <t>Support</t>
        </is>
      </c>
      <c r="I3450" t="n">
        <v>4</v>
      </c>
      <c r="S3450" t="n">
        <v>2575</v>
      </c>
      <c r="U3450" t="n">
        <v>2575</v>
      </c>
      <c r="AC3450">
        <f>IF(OR(E3450="",E3450="[PARENT]"),"ADD",IF(E3450="[ALT_VIEW]","ALT",""))</f>
        <v/>
      </c>
      <c r="AD3450">
        <f>IF(Y3450&lt;&gt;"",Y3450,IF(U3450&lt;&gt;"",U3450,S3450))</f>
        <v/>
      </c>
      <c r="AE3450">
        <f>IF(AB3450&lt;&gt;"",AB3450,Z3450)</f>
        <v/>
      </c>
      <c r="AF3450" t="inlineStr">
        <is>
          <t>P-5 Cost Analysis &gt; WPN LI 2291 &gt; 3.2 Telemetry Kit Integration</t>
        </is>
      </c>
      <c r="AJ3450" t="inlineStr">
        <is>
          <t>Telemetry Kit Integration</t>
        </is>
      </c>
    </row>
    <row r="3451">
      <c r="A3451" t="inlineStr">
        <is>
          <t>WPN</t>
        </is>
      </c>
      <c r="B3451" t="inlineStr">
        <is>
          <t>Procurement</t>
        </is>
      </c>
      <c r="D3451" t="inlineStr">
        <is>
          <t>Evolved Sea Sparrow Missile (ESSM) - P-5 1 / ESSM - ESSM Block 2</t>
        </is>
      </c>
      <c r="E3451" t="inlineStr">
        <is>
          <t>[ALT_VIEW]</t>
        </is>
      </c>
      <c r="F3451" t="inlineStr">
        <is>
          <t>2307 / Evolved Sea Sparrow Missile (ESSM)</t>
        </is>
      </c>
      <c r="G3451" t="inlineStr">
        <is>
          <t>P-5</t>
        </is>
      </c>
      <c r="H3451" t="inlineStr">
        <is>
          <t>Recurring</t>
        </is>
      </c>
      <c r="I3451" t="n">
        <v>4</v>
      </c>
      <c r="S3451" t="n">
        <v>412055</v>
      </c>
      <c r="U3451" t="n">
        <v>412055</v>
      </c>
      <c r="AC3451">
        <f>IF(OR(E3451="",E3451="[PARENT]"),"ADD",IF(E3451="[ALT_VIEW]","ALT",""))</f>
        <v/>
      </c>
      <c r="AD3451">
        <f>IF(Y3451&lt;&gt;"",Y3451,IF(U3451&lt;&gt;"",U3451,S3451))</f>
        <v/>
      </c>
      <c r="AE3451">
        <f>IF(AB3451&lt;&gt;"",AB3451,Z3451)</f>
        <v/>
      </c>
      <c r="AF3451" t="inlineStr">
        <is>
          <t>P-5 Cost Analysis &gt; WPN LI 2307 &gt; 1.1.5 ESSM Block 2</t>
        </is>
      </c>
      <c r="AJ3451" t="inlineStr">
        <is>
          <t>ESSM Block 2</t>
        </is>
      </c>
    </row>
    <row r="3452">
      <c r="A3452" t="inlineStr">
        <is>
          <t>WPN</t>
        </is>
      </c>
      <c r="B3452" t="inlineStr">
        <is>
          <t>Procurement</t>
        </is>
      </c>
      <c r="D3452" t="inlineStr">
        <is>
          <t>Evolved Sea Sparrow Missile (ESSM) - P-5 1 / ESSM - Missile Obsolescence</t>
        </is>
      </c>
      <c r="E3452" t="inlineStr">
        <is>
          <t>[ALT_VIEW]</t>
        </is>
      </c>
      <c r="F3452" t="inlineStr">
        <is>
          <t>2307 / Evolved Sea Sparrow Missile (ESSM)</t>
        </is>
      </c>
      <c r="G3452" t="inlineStr">
        <is>
          <t>P-5</t>
        </is>
      </c>
      <c r="H3452" t="inlineStr">
        <is>
          <t>Recurring</t>
        </is>
      </c>
      <c r="I3452" t="n">
        <v>4</v>
      </c>
      <c r="S3452" t="n">
        <v>14155</v>
      </c>
      <c r="U3452" t="n">
        <v>14155</v>
      </c>
      <c r="AC3452">
        <f>IF(OR(E3452="",E3452="[PARENT]"),"ADD",IF(E3452="[ALT_VIEW]","ALT",""))</f>
        <v/>
      </c>
      <c r="AD3452">
        <f>IF(Y3452&lt;&gt;"",Y3452,IF(U3452&lt;&gt;"",U3452,S3452))</f>
        <v/>
      </c>
      <c r="AE3452">
        <f>IF(AB3452&lt;&gt;"",AB3452,Z3452)</f>
        <v/>
      </c>
      <c r="AF3452" t="inlineStr">
        <is>
          <t>P-5 Cost Analysis &gt; WPN LI 2307 &gt; 1.1.7 Missile Obsolescence</t>
        </is>
      </c>
      <c r="AJ3452" t="inlineStr">
        <is>
          <t>Missile Obsolescence</t>
        </is>
      </c>
    </row>
    <row r="3453">
      <c r="A3453" t="inlineStr">
        <is>
          <t>WPN</t>
        </is>
      </c>
      <c r="B3453" t="inlineStr">
        <is>
          <t>Procurement</t>
        </is>
      </c>
      <c r="D3453" t="inlineStr">
        <is>
          <t>Evolved Sea Sparrow Missile (ESSM) - P-5 1 / ESSM - MK 25 Quadpack Canisters</t>
        </is>
      </c>
      <c r="E3453" t="inlineStr">
        <is>
          <t>[ALT_VIEW]</t>
        </is>
      </c>
      <c r="F3453" t="inlineStr">
        <is>
          <t>2307 / Evolved Sea Sparrow Missile (ESSM)</t>
        </is>
      </c>
      <c r="G3453" t="inlineStr">
        <is>
          <t>P-5</t>
        </is>
      </c>
      <c r="H3453" t="inlineStr">
        <is>
          <t>Recurring</t>
        </is>
      </c>
      <c r="I3453" t="n">
        <v>4</v>
      </c>
      <c r="S3453" t="n">
        <v>47809</v>
      </c>
      <c r="U3453" t="n">
        <v>47809</v>
      </c>
      <c r="AC3453">
        <f>IF(OR(E3453="",E3453="[PARENT]"),"ADD",IF(E3453="[ALT_VIEW]","ALT",""))</f>
        <v/>
      </c>
      <c r="AD3453">
        <f>IF(Y3453&lt;&gt;"",Y3453,IF(U3453&lt;&gt;"",U3453,S3453))</f>
        <v/>
      </c>
      <c r="AE3453">
        <f>IF(AB3453&lt;&gt;"",AB3453,Z3453)</f>
        <v/>
      </c>
      <c r="AF3453" t="inlineStr">
        <is>
          <t>P-5 Cost Analysis &gt; WPN LI 2307 &gt; 2.1.1 MK 25 Quadpack Canisters</t>
        </is>
      </c>
      <c r="AJ3453" t="inlineStr">
        <is>
          <t>MK 25 Quadpack Canisters</t>
        </is>
      </c>
    </row>
    <row r="3454">
      <c r="A3454" t="inlineStr">
        <is>
          <t>WPN</t>
        </is>
      </c>
      <c r="B3454" t="inlineStr">
        <is>
          <t>Procurement</t>
        </is>
      </c>
      <c r="D3454" t="inlineStr">
        <is>
          <t>Evolved Sea Sparrow Missile (ESSM) - P-5 1 / ESSM - MK25 Mod 1 MK8 Bolts</t>
        </is>
      </c>
      <c r="E3454" t="inlineStr">
        <is>
          <t>[ALT_VIEW]</t>
        </is>
      </c>
      <c r="F3454" t="inlineStr">
        <is>
          <t>2307 / Evolved Sea Sparrow Missile (ESSM)</t>
        </is>
      </c>
      <c r="G3454" t="inlineStr">
        <is>
          <t>P-5</t>
        </is>
      </c>
      <c r="H3454" t="inlineStr">
        <is>
          <t>Recurring</t>
        </is>
      </c>
      <c r="I3454" t="n">
        <v>4</v>
      </c>
      <c r="S3454" t="n">
        <v>2040</v>
      </c>
      <c r="U3454" t="n">
        <v>2040</v>
      </c>
      <c r="AC3454">
        <f>IF(OR(E3454="",E3454="[PARENT]"),"ADD",IF(E3454="[ALT_VIEW]","ALT",""))</f>
        <v/>
      </c>
      <c r="AD3454">
        <f>IF(Y3454&lt;&gt;"",Y3454,IF(U3454&lt;&gt;"",U3454,S3454))</f>
        <v/>
      </c>
      <c r="AE3454">
        <f>IF(AB3454&lt;&gt;"",AB3454,Z3454)</f>
        <v/>
      </c>
      <c r="AF3454" t="inlineStr">
        <is>
          <t>P-5 Cost Analysis &gt; WPN LI 2307 &gt; 2.1.2 MK25 Mod 1 MK8 Bolts</t>
        </is>
      </c>
      <c r="AJ3454" t="inlineStr">
        <is>
          <t>MK25 Mod 1 MK8 Bolts</t>
        </is>
      </c>
    </row>
    <row r="3455">
      <c r="A3455" t="inlineStr">
        <is>
          <t>WPN</t>
        </is>
      </c>
      <c r="B3455" t="inlineStr">
        <is>
          <t>Procurement</t>
        </is>
      </c>
      <c r="D3455" t="inlineStr">
        <is>
          <t>Evolved Sea Sparrow Missile (ESSM) - P-5 1 / ESSM - MK 852 Mod 0 (Blk2 Shipping)</t>
        </is>
      </c>
      <c r="E3455" t="inlineStr">
        <is>
          <t>[ALT_VIEW]</t>
        </is>
      </c>
      <c r="F3455" t="inlineStr">
        <is>
          <t>2307 / Evolved Sea Sparrow Missile (ESSM)</t>
        </is>
      </c>
      <c r="G3455" t="inlineStr">
        <is>
          <t>P-5</t>
        </is>
      </c>
      <c r="H3455" t="inlineStr">
        <is>
          <t>Recurring</t>
        </is>
      </c>
      <c r="I3455" t="n">
        <v>4</v>
      </c>
      <c r="S3455" t="n">
        <v>1363</v>
      </c>
      <c r="U3455" t="n">
        <v>1363</v>
      </c>
      <c r="AC3455">
        <f>IF(OR(E3455="",E3455="[PARENT]"),"ADD",IF(E3455="[ALT_VIEW]","ALT",""))</f>
        <v/>
      </c>
      <c r="AD3455">
        <f>IF(Y3455&lt;&gt;"",Y3455,IF(U3455&lt;&gt;"",U3455,S3455))</f>
        <v/>
      </c>
      <c r="AE3455">
        <f>IF(AB3455&lt;&gt;"",AB3455,Z3455)</f>
        <v/>
      </c>
      <c r="AF3455" t="inlineStr">
        <is>
          <t>P-5 Cost Analysis &gt; WPN LI 2307 &gt; 2.1.3 MK 852 Mod 0 (Blk2 Shipping)</t>
        </is>
      </c>
      <c r="AJ3455" t="inlineStr">
        <is>
          <t>MK 852 Mod 0 (Blk2 Shipping)</t>
        </is>
      </c>
    </row>
    <row r="3456">
      <c r="A3456" t="inlineStr">
        <is>
          <t>WPN</t>
        </is>
      </c>
      <c r="B3456" t="inlineStr">
        <is>
          <t>Procurement</t>
        </is>
      </c>
      <c r="D3456" t="inlineStr">
        <is>
          <t>Evolved Sea Sparrow Missile (ESSM) - P-5 1 / ESSM - Producibility/Procurement Support</t>
        </is>
      </c>
      <c r="E3456" t="inlineStr">
        <is>
          <t>[ALT_VIEW]</t>
        </is>
      </c>
      <c r="F3456" t="inlineStr">
        <is>
          <t>2307 / Evolved Sea Sparrow Missile (ESSM)</t>
        </is>
      </c>
      <c r="G3456" t="inlineStr">
        <is>
          <t>P-5</t>
        </is>
      </c>
      <c r="H3456" t="inlineStr">
        <is>
          <t>Support</t>
        </is>
      </c>
      <c r="I3456" t="n">
        <v>4</v>
      </c>
      <c r="S3456" t="n">
        <v>12272</v>
      </c>
      <c r="U3456" t="n">
        <v>12272</v>
      </c>
      <c r="AC3456">
        <f>IF(OR(E3456="",E3456="[PARENT]"),"ADD",IF(E3456="[ALT_VIEW]","ALT",""))</f>
        <v/>
      </c>
      <c r="AD3456">
        <f>IF(Y3456&lt;&gt;"",Y3456,IF(U3456&lt;&gt;"",U3456,S3456))</f>
        <v/>
      </c>
      <c r="AE3456">
        <f>IF(AB3456&lt;&gt;"",AB3456,Z3456)</f>
        <v/>
      </c>
      <c r="AF3456" t="inlineStr">
        <is>
          <t>P-5 Cost Analysis &gt; WPN LI 2307 &gt; 4.6 Producibility/Procurement Support</t>
        </is>
      </c>
      <c r="AJ3456" t="inlineStr">
        <is>
          <t>Producibility/Procurement Support</t>
        </is>
      </c>
    </row>
    <row r="3457">
      <c r="A3457" t="inlineStr">
        <is>
          <t>WPN</t>
        </is>
      </c>
      <c r="B3457" t="inlineStr">
        <is>
          <t>Procurement</t>
        </is>
      </c>
      <c r="D3457" t="inlineStr">
        <is>
          <t>Evolved Sea Sparrow Missile (ESSM) - P-5 1 / ESSM - Security/Infrastructure Support</t>
        </is>
      </c>
      <c r="E3457" t="inlineStr">
        <is>
          <t>[ALT_VIEW]</t>
        </is>
      </c>
      <c r="F3457" t="inlineStr">
        <is>
          <t>2307 / Evolved Sea Sparrow Missile (ESSM)</t>
        </is>
      </c>
      <c r="G3457" t="inlineStr">
        <is>
          <t>P-5</t>
        </is>
      </c>
      <c r="H3457" t="inlineStr">
        <is>
          <t>Support</t>
        </is>
      </c>
      <c r="I3457" t="n">
        <v>4</v>
      </c>
      <c r="S3457" t="n">
        <v>10023</v>
      </c>
      <c r="U3457" t="n">
        <v>10023</v>
      </c>
      <c r="AC3457">
        <f>IF(OR(E3457="",E3457="[PARENT]"),"ADD",IF(E3457="[ALT_VIEW]","ALT",""))</f>
        <v/>
      </c>
      <c r="AD3457">
        <f>IF(Y3457&lt;&gt;"",Y3457,IF(U3457&lt;&gt;"",U3457,S3457))</f>
        <v/>
      </c>
      <c r="AE3457">
        <f>IF(AB3457&lt;&gt;"",AB3457,Z3457)</f>
        <v/>
      </c>
      <c r="AF3457" t="inlineStr">
        <is>
          <t>P-5 Cost Analysis &gt; WPN LI 2307 &gt; 4.8 Security/Infrastructure Support</t>
        </is>
      </c>
      <c r="AJ3457" t="inlineStr">
        <is>
          <t>Security/Infrastructure Support</t>
        </is>
      </c>
    </row>
    <row r="3458">
      <c r="A3458" t="inlineStr">
        <is>
          <t>WPN</t>
        </is>
      </c>
      <c r="B3458" t="inlineStr">
        <is>
          <t>Procurement</t>
        </is>
      </c>
      <c r="D3458" t="inlineStr">
        <is>
          <t>Evolved Sea Sparrow Missile (ESSM) - P-5 1 / ESSM - Configuration Management</t>
        </is>
      </c>
      <c r="E3458" t="inlineStr">
        <is>
          <t>[ALT_VIEW]</t>
        </is>
      </c>
      <c r="F3458" t="inlineStr">
        <is>
          <t>2307 / Evolved Sea Sparrow Missile (ESSM)</t>
        </is>
      </c>
      <c r="G3458" t="inlineStr">
        <is>
          <t>P-5</t>
        </is>
      </c>
      <c r="H3458" t="inlineStr">
        <is>
          <t>Support</t>
        </is>
      </c>
      <c r="I3458" t="n">
        <v>4</v>
      </c>
      <c r="S3458" t="n">
        <v>962</v>
      </c>
      <c r="U3458" t="n">
        <v>962</v>
      </c>
      <c r="AC3458">
        <f>IF(OR(E3458="",E3458="[PARENT]"),"ADD",IF(E3458="[ALT_VIEW]","ALT",""))</f>
        <v/>
      </c>
      <c r="AD3458">
        <f>IF(Y3458&lt;&gt;"",Y3458,IF(U3458&lt;&gt;"",U3458,S3458))</f>
        <v/>
      </c>
      <c r="AE3458">
        <f>IF(AB3458&lt;&gt;"",AB3458,Z3458)</f>
        <v/>
      </c>
      <c r="AF3458" t="inlineStr">
        <is>
          <t>P-5 Cost Analysis &gt; WPN LI 2307 &gt; 4.9 Configuration Management</t>
        </is>
      </c>
      <c r="AJ3458" t="inlineStr">
        <is>
          <t>Configuration Management</t>
        </is>
      </c>
    </row>
    <row r="3459">
      <c r="A3459" t="inlineStr">
        <is>
          <t>WPN</t>
        </is>
      </c>
      <c r="B3459" t="inlineStr">
        <is>
          <t>Procurement</t>
        </is>
      </c>
      <c r="D3459" t="inlineStr">
        <is>
          <t>Evolved Sea Sparrow Missile (ESSM) - P-5 1 / ESSM - Hardware/Maintenance Support</t>
        </is>
      </c>
      <c r="E3459" t="inlineStr">
        <is>
          <t>[ALT_VIEW]</t>
        </is>
      </c>
      <c r="F3459" t="inlineStr">
        <is>
          <t>2307 / Evolved Sea Sparrow Missile (ESSM)</t>
        </is>
      </c>
      <c r="G3459" t="inlineStr">
        <is>
          <t>P-5</t>
        </is>
      </c>
      <c r="H3459" t="inlineStr">
        <is>
          <t>Support</t>
        </is>
      </c>
      <c r="I3459" t="n">
        <v>4</v>
      </c>
      <c r="S3459" t="n">
        <v>2702</v>
      </c>
      <c r="U3459" t="n">
        <v>2702</v>
      </c>
      <c r="AC3459">
        <f>IF(OR(E3459="",E3459="[PARENT]"),"ADD",IF(E3459="[ALT_VIEW]","ALT",""))</f>
        <v/>
      </c>
      <c r="AD3459">
        <f>IF(Y3459&lt;&gt;"",Y3459,IF(U3459&lt;&gt;"",U3459,S3459))</f>
        <v/>
      </c>
      <c r="AE3459">
        <f>IF(AB3459&lt;&gt;"",AB3459,Z3459)</f>
        <v/>
      </c>
      <c r="AF3459" t="inlineStr">
        <is>
          <t>P-5 Cost Analysis &gt; WPN LI 2307 &gt; 4.10 Hardware/Maintenance Support</t>
        </is>
      </c>
      <c r="AJ3459" t="inlineStr">
        <is>
          <t>Hardware/Maintenance Support</t>
        </is>
      </c>
    </row>
    <row r="3460">
      <c r="A3460" t="inlineStr">
        <is>
          <t>WPN</t>
        </is>
      </c>
      <c r="B3460" t="inlineStr">
        <is>
          <t>Procurement</t>
        </is>
      </c>
      <c r="D3460" t="inlineStr">
        <is>
          <t>MK-48 Torpedo - P-5 1 / MK-48 Torpedo - Installation</t>
        </is>
      </c>
      <c r="E3460" t="inlineStr">
        <is>
          <t>[ALT_VIEW]</t>
        </is>
      </c>
      <c r="F3460" t="inlineStr">
        <is>
          <t>3117 / MK-48 Torpedo</t>
        </is>
      </c>
      <c r="G3460" t="inlineStr">
        <is>
          <t>P-5</t>
        </is>
      </c>
      <c r="H3460" t="inlineStr">
        <is>
          <t>Recurring</t>
        </is>
      </c>
      <c r="I3460" t="n">
        <v>4</v>
      </c>
      <c r="K3460" t="inlineStr">
        <is>
          <t>USN</t>
        </is>
      </c>
      <c r="L3460" t="inlineStr">
        <is>
          <t>Combatant Ships</t>
        </is>
      </c>
      <c r="M3460" t="inlineStr">
        <is>
          <t>Submarines</t>
        </is>
      </c>
      <c r="S3460" t="n">
        <v>6987</v>
      </c>
      <c r="U3460" t="n">
        <v>6987</v>
      </c>
      <c r="AC3460">
        <f>IF(OR(E3460="",E3460="[PARENT]"),"ADD",IF(E3460="[ALT_VIEW]","ALT",""))</f>
        <v/>
      </c>
      <c r="AD3460">
        <f>IF(Y3460&lt;&gt;"",Y3460,IF(U3460&lt;&gt;"",U3460,S3460))</f>
        <v/>
      </c>
      <c r="AE3460">
        <f>IF(AB3460&lt;&gt;"",AB3460,Z3460)</f>
        <v/>
      </c>
      <c r="AF3460" t="inlineStr">
        <is>
          <t>P-5 Cost Analysis &gt; WPN LI 3117 &gt; 1.1.4 Installation</t>
        </is>
      </c>
      <c r="AJ3460" t="inlineStr">
        <is>
          <t>Installation</t>
        </is>
      </c>
    </row>
    <row r="3461">
      <c r="A3461" t="inlineStr">
        <is>
          <t>WPN</t>
        </is>
      </c>
      <c r="B3461" t="inlineStr">
        <is>
          <t>Procurement</t>
        </is>
      </c>
      <c r="D3461" t="inlineStr">
        <is>
          <t>MK-48 Torpedo - P-5 1 / MK-48 Torpedo - Diminishing Manufacturing Sources</t>
        </is>
      </c>
      <c r="E3461" t="inlineStr">
        <is>
          <t>[ALT_VIEW]</t>
        </is>
      </c>
      <c r="F3461" t="inlineStr">
        <is>
          <t>3117 / MK-48 Torpedo</t>
        </is>
      </c>
      <c r="G3461" t="inlineStr">
        <is>
          <t>P-5</t>
        </is>
      </c>
      <c r="H3461" t="inlineStr">
        <is>
          <t>Recurring</t>
        </is>
      </c>
      <c r="I3461" t="n">
        <v>4</v>
      </c>
      <c r="K3461" t="inlineStr">
        <is>
          <t>USN</t>
        </is>
      </c>
      <c r="L3461" t="inlineStr">
        <is>
          <t>Combatant Ships</t>
        </is>
      </c>
      <c r="M3461" t="inlineStr">
        <is>
          <t>Submarines</t>
        </is>
      </c>
      <c r="S3461" t="n">
        <v>94</v>
      </c>
      <c r="U3461" t="n">
        <v>94</v>
      </c>
      <c r="AC3461">
        <f>IF(OR(E3461="",E3461="[PARENT]"),"ADD",IF(E3461="[ALT_VIEW]","ALT",""))</f>
        <v/>
      </c>
      <c r="AD3461">
        <f>IF(Y3461&lt;&gt;"",Y3461,IF(U3461&lt;&gt;"",U3461,S3461))</f>
        <v/>
      </c>
      <c r="AE3461">
        <f>IF(AB3461&lt;&gt;"",AB3461,Z3461)</f>
        <v/>
      </c>
      <c r="AF3461" t="inlineStr">
        <is>
          <t>P-5 Cost Analysis &gt; WPN LI 3117 &gt; 1.1.5 Diminishing Manufacturing Sources</t>
        </is>
      </c>
      <c r="AJ3461" t="inlineStr">
        <is>
          <t>Diminishing Manufacturing Sources</t>
        </is>
      </c>
    </row>
    <row r="3462">
      <c r="A3462" t="inlineStr">
        <is>
          <t>WPN</t>
        </is>
      </c>
      <c r="B3462" t="inlineStr">
        <is>
          <t>Procurement</t>
        </is>
      </c>
      <c r="D3462" t="inlineStr">
        <is>
          <t>Tomahawk Mods - P-3a - Other Production Support</t>
        </is>
      </c>
      <c r="E3462" t="inlineStr">
        <is>
          <t>[ALT_VIEW]</t>
        </is>
      </c>
      <c r="F3462" t="inlineStr">
        <is>
          <t>2301 / Tomahawk Mods</t>
        </is>
      </c>
      <c r="G3462" t="inlineStr">
        <is>
          <t>P-3a</t>
        </is>
      </c>
      <c r="H3462" t="inlineStr">
        <is>
          <t>Support</t>
        </is>
      </c>
      <c r="I3462" t="n">
        <v>4</v>
      </c>
      <c r="S3462" t="n">
        <v>6283</v>
      </c>
      <c r="U3462" t="n">
        <v>6283</v>
      </c>
      <c r="AC3462">
        <f>IF(OR(E3462="",E3462="[PARENT]"),"ADD",IF(E3462="[ALT_VIEW]","ALT",""))</f>
        <v/>
      </c>
      <c r="AD3462">
        <f>IF(Y3462&lt;&gt;"",Y3462,IF(U3462&lt;&gt;"",U3462,S3462))</f>
        <v/>
      </c>
      <c r="AE3462">
        <f>IF(AB3462&lt;&gt;"",AB3462,Z3462)</f>
        <v/>
      </c>
      <c r="AF3462" t="inlineStr">
        <is>
          <t>P-3a Cost Analysis &gt; WPN LI 2301 &gt; 6.1 Other Production Support</t>
        </is>
      </c>
      <c r="AJ3462" t="inlineStr">
        <is>
          <t>Other Production Support</t>
        </is>
      </c>
    </row>
    <row r="3463">
      <c r="A3463" t="inlineStr">
        <is>
          <t>OPN_BA1</t>
        </is>
      </c>
      <c r="B3463" t="inlineStr">
        <is>
          <t>Procurement</t>
        </is>
      </c>
      <c r="D3463" t="inlineStr">
        <is>
          <t>Ship Maintenance Repair and Modernization - P-5 1 / Ship Maint Repair &amp; Mod - U.S. Pacific Fleet Ship Availabilities (101 entries)</t>
        </is>
      </c>
      <c r="E3463" t="inlineStr">
        <is>
          <t>[ALT_VIEW]</t>
        </is>
      </c>
      <c r="F3463" t="inlineStr">
        <is>
          <t>26 / Ship Maintenance Repair and Modernization</t>
        </is>
      </c>
      <c r="G3463" t="inlineStr">
        <is>
          <t>P-5</t>
        </is>
      </c>
      <c r="H3463" t="inlineStr">
        <is>
          <t>Recurring</t>
        </is>
      </c>
      <c r="I3463" t="n">
        <v>2</v>
      </c>
      <c r="S3463" t="n">
        <v>1306538</v>
      </c>
      <c r="U3463" t="n">
        <v>1306538</v>
      </c>
      <c r="AC3463">
        <f>IF(OR(E3463="",E3463="[PARENT]"),"ADD",IF(E3463="[ALT_VIEW]","ALT",""))</f>
        <v/>
      </c>
      <c r="AD3463">
        <f>IF(Y3463&lt;&gt;"",Y3463,IF(U3463&lt;&gt;"",U3463,S3463))</f>
        <v/>
      </c>
      <c r="AE3463">
        <f>IF(AB3463&lt;&gt;"",AB3463,Z3463)</f>
        <v/>
      </c>
      <c r="AF3463" t="inlineStr">
        <is>
          <t>P-5 Cost Analysis &gt; OPN_BA1 LI 1000 &gt;  U.S. Pacific Fleet Ship Availabilities (101 entries)</t>
        </is>
      </c>
      <c r="AJ3463" t="inlineStr">
        <is>
          <t>U.S. Pacific Fleet Ship Availabilities (101 entries)</t>
        </is>
      </c>
    </row>
    <row r="3464">
      <c r="A3464" t="inlineStr">
        <is>
          <t>OPN_BA1</t>
        </is>
      </c>
      <c r="B3464" t="inlineStr">
        <is>
          <t>Procurement</t>
        </is>
      </c>
      <c r="D3464" t="inlineStr">
        <is>
          <t>Ship Maintenance Repair and Modernization - P-5 1 / Ship Maint Repair &amp; Mod - U.S. Fleet Forces Ship Availabilities (139 entries)</t>
        </is>
      </c>
      <c r="E3464" t="inlineStr">
        <is>
          <t>[ALT_VIEW]</t>
        </is>
      </c>
      <c r="F3464" t="inlineStr">
        <is>
          <t>26 / Ship Maintenance Repair and Modernization</t>
        </is>
      </c>
      <c r="G3464" t="inlineStr">
        <is>
          <t>P-5</t>
        </is>
      </c>
      <c r="H3464" t="inlineStr">
        <is>
          <t>Recurring</t>
        </is>
      </c>
      <c r="I3464" t="n">
        <v>2</v>
      </c>
      <c r="S3464" t="n">
        <v>1086082</v>
      </c>
      <c r="U3464" t="n">
        <v>1086082</v>
      </c>
      <c r="AC3464">
        <f>IF(OR(E3464="",E3464="[PARENT]"),"ADD",IF(E3464="[ALT_VIEW]","ALT",""))</f>
        <v/>
      </c>
      <c r="AD3464">
        <f>IF(Y3464&lt;&gt;"",Y3464,IF(U3464&lt;&gt;"",U3464,S3464))</f>
        <v/>
      </c>
      <c r="AE3464">
        <f>IF(AB3464&lt;&gt;"",AB3464,Z3464)</f>
        <v/>
      </c>
      <c r="AF3464" t="inlineStr">
        <is>
          <t>P-5 Cost Analysis &gt; OPN_BA1 LI 1000 &gt;  U.S. Fleet Forces Ship Availabilities (139 entries)</t>
        </is>
      </c>
      <c r="AJ3464" t="inlineStr">
        <is>
          <t>U.S. Fleet Forces Ship Availabilities (139 entries)</t>
        </is>
      </c>
    </row>
    <row r="3465">
      <c r="A3465" t="inlineStr">
        <is>
          <t>OPN_BA1</t>
        </is>
      </c>
      <c r="B3465" t="inlineStr">
        <is>
          <t>Procurement</t>
        </is>
      </c>
      <c r="D3465" t="inlineStr">
        <is>
          <t>DDG Mod - P-3a - DDG Modernization HME (GEDMS)</t>
        </is>
      </c>
      <c r="E3465" t="inlineStr">
        <is>
          <t>[ALT_VIEW]</t>
        </is>
      </c>
      <c r="F3465" t="inlineStr">
        <is>
          <t>5 / DDG Mod</t>
        </is>
      </c>
      <c r="G3465" t="inlineStr">
        <is>
          <t>P-3a</t>
        </is>
      </c>
      <c r="H3465" t="inlineStr">
        <is>
          <t>Recurring</t>
        </is>
      </c>
      <c r="I3465" t="n">
        <v>4</v>
      </c>
      <c r="K3465" t="inlineStr">
        <is>
          <t>USN</t>
        </is>
      </c>
      <c r="L3465" t="inlineStr">
        <is>
          <t>Combatant Ships</t>
        </is>
      </c>
      <c r="M3465" t="inlineStr">
        <is>
          <t>Surface Combatants</t>
        </is>
      </c>
      <c r="S3465" t="n">
        <v>24122</v>
      </c>
      <c r="U3465" t="n">
        <v>24122</v>
      </c>
      <c r="AC3465">
        <f>IF(OR(E3465="",E3465="[PARENT]"),"ADD",IF(E3465="[ALT_VIEW]","ALT",""))</f>
        <v/>
      </c>
      <c r="AD3465">
        <f>IF(Y3465&lt;&gt;"",Y3465,IF(U3465&lt;&gt;"",U3465,S3465))</f>
        <v/>
      </c>
      <c r="AE3465">
        <f>IF(AB3465&lt;&gt;"",AB3465,Z3465)</f>
        <v/>
      </c>
      <c r="AF3465" t="inlineStr">
        <is>
          <t>P-3a Cost Analysis &gt; OPN_BA1 LI 0900 &gt; DM001 DDG Modernization HME (GEDMS)</t>
        </is>
      </c>
      <c r="AJ3465" t="inlineStr">
        <is>
          <t>DDG Modernization HME (GEDMS)</t>
        </is>
      </c>
    </row>
    <row r="3466">
      <c r="A3466" t="inlineStr">
        <is>
          <t>OPN_BA1</t>
        </is>
      </c>
      <c r="B3466" t="inlineStr">
        <is>
          <t>Procurement</t>
        </is>
      </c>
      <c r="D3466" t="inlineStr">
        <is>
          <t>DDG Mod - P-3a - DDG Modernization HME (MCS/DCS)</t>
        </is>
      </c>
      <c r="E3466" t="inlineStr">
        <is>
          <t>[ALT_VIEW]</t>
        </is>
      </c>
      <c r="F3466" t="inlineStr">
        <is>
          <t>5 / DDG Mod</t>
        </is>
      </c>
      <c r="G3466" t="inlineStr">
        <is>
          <t>P-3a</t>
        </is>
      </c>
      <c r="H3466" t="inlineStr">
        <is>
          <t>Recurring</t>
        </is>
      </c>
      <c r="I3466" t="n">
        <v>4</v>
      </c>
      <c r="K3466" t="inlineStr">
        <is>
          <t>USN</t>
        </is>
      </c>
      <c r="L3466" t="inlineStr">
        <is>
          <t>Combatant Ships</t>
        </is>
      </c>
      <c r="M3466" t="inlineStr">
        <is>
          <t>Surface Combatants</t>
        </is>
      </c>
      <c r="S3466" t="n">
        <v>45949</v>
      </c>
      <c r="U3466" t="n">
        <v>45949</v>
      </c>
      <c r="AC3466">
        <f>IF(OR(E3466="",E3466="[PARENT]"),"ADD",IF(E3466="[ALT_VIEW]","ALT",""))</f>
        <v/>
      </c>
      <c r="AD3466">
        <f>IF(Y3466&lt;&gt;"",Y3466,IF(U3466&lt;&gt;"",U3466,S3466))</f>
        <v/>
      </c>
      <c r="AE3466">
        <f>IF(AB3466&lt;&gt;"",AB3466,Z3466)</f>
        <v/>
      </c>
      <c r="AF3466" t="inlineStr">
        <is>
          <t>P-3a Cost Analysis &gt; OPN_BA1 LI 0900 &gt; DM001 DDG Modernization HME (MCS/DCS)</t>
        </is>
      </c>
      <c r="AJ3466" t="inlineStr">
        <is>
          <t>DDG Modernization HME (MCS/DCS)</t>
        </is>
      </c>
    </row>
    <row r="3467">
      <c r="A3467" t="inlineStr">
        <is>
          <t>OPN_BA1</t>
        </is>
      </c>
      <c r="B3467" t="inlineStr">
        <is>
          <t>Procurement</t>
        </is>
      </c>
      <c r="D3467" t="inlineStr">
        <is>
          <t>DDG Mod - P-3a - DDG Modernization HME (DVSS)</t>
        </is>
      </c>
      <c r="E3467" t="inlineStr">
        <is>
          <t>[ALT_VIEW]</t>
        </is>
      </c>
      <c r="F3467" t="inlineStr">
        <is>
          <t>5 / DDG Mod</t>
        </is>
      </c>
      <c r="G3467" t="inlineStr">
        <is>
          <t>P-3a</t>
        </is>
      </c>
      <c r="H3467" t="inlineStr">
        <is>
          <t>Recurring</t>
        </is>
      </c>
      <c r="I3467" t="n">
        <v>4</v>
      </c>
      <c r="K3467" t="inlineStr">
        <is>
          <t>USN</t>
        </is>
      </c>
      <c r="L3467" t="inlineStr">
        <is>
          <t>Combatant Ships</t>
        </is>
      </c>
      <c r="M3467" t="inlineStr">
        <is>
          <t>Surface Combatants</t>
        </is>
      </c>
      <c r="S3467" t="n">
        <v>2917</v>
      </c>
      <c r="U3467" t="n">
        <v>2917</v>
      </c>
      <c r="AC3467">
        <f>IF(OR(E3467="",E3467="[PARENT]"),"ADD",IF(E3467="[ALT_VIEW]","ALT",""))</f>
        <v/>
      </c>
      <c r="AD3467">
        <f>IF(Y3467&lt;&gt;"",Y3467,IF(U3467&lt;&gt;"",U3467,S3467))</f>
        <v/>
      </c>
      <c r="AE3467">
        <f>IF(AB3467&lt;&gt;"",AB3467,Z3467)</f>
        <v/>
      </c>
      <c r="AF3467" t="inlineStr">
        <is>
          <t>P-3a Cost Analysis &gt; OPN_BA1 LI 0900 &gt; DM001 DDG Modernization HME (DVSS)</t>
        </is>
      </c>
      <c r="AJ3467" t="inlineStr">
        <is>
          <t>DDG Modernization HME (DVSS)</t>
        </is>
      </c>
    </row>
    <row r="3468">
      <c r="A3468" t="inlineStr">
        <is>
          <t>OPN_BA1</t>
        </is>
      </c>
      <c r="B3468" t="inlineStr">
        <is>
          <t>Procurement</t>
        </is>
      </c>
      <c r="D3468" t="inlineStr">
        <is>
          <t>DDG Mod - P-3a - DDG Modernization HME (Wireless Communications)</t>
        </is>
      </c>
      <c r="E3468" t="inlineStr">
        <is>
          <t>[ALT_VIEW]</t>
        </is>
      </c>
      <c r="F3468" t="inlineStr">
        <is>
          <t>5 / DDG Mod</t>
        </is>
      </c>
      <c r="G3468" t="inlineStr">
        <is>
          <t>P-3a</t>
        </is>
      </c>
      <c r="H3468" t="inlineStr">
        <is>
          <t>Recurring</t>
        </is>
      </c>
      <c r="I3468" t="n">
        <v>4</v>
      </c>
      <c r="K3468" t="inlineStr">
        <is>
          <t>USN</t>
        </is>
      </c>
      <c r="L3468" t="inlineStr">
        <is>
          <t>Combatant Ships</t>
        </is>
      </c>
      <c r="M3468" t="inlineStr">
        <is>
          <t>Surface Combatants</t>
        </is>
      </c>
      <c r="S3468" t="n">
        <v>732</v>
      </c>
      <c r="U3468" t="n">
        <v>732</v>
      </c>
      <c r="AC3468">
        <f>IF(OR(E3468="",E3468="[PARENT]"),"ADD",IF(E3468="[ALT_VIEW]","ALT",""))</f>
        <v/>
      </c>
      <c r="AD3468">
        <f>IF(Y3468&lt;&gt;"",Y3468,IF(U3468&lt;&gt;"",U3468,S3468))</f>
        <v/>
      </c>
      <c r="AE3468">
        <f>IF(AB3468&lt;&gt;"",AB3468,Z3468)</f>
        <v/>
      </c>
      <c r="AF3468" t="inlineStr">
        <is>
          <t>P-3a Cost Analysis &gt; OPN_BA1 LI 0900 &gt; DM001 DDG Modernization HME (Wireless Communications)</t>
        </is>
      </c>
      <c r="AJ3468" t="inlineStr">
        <is>
          <t>DDG Modernization HME (Wireless Communications)</t>
        </is>
      </c>
    </row>
    <row r="3469">
      <c r="A3469" t="inlineStr">
        <is>
          <t>OPN_BA3</t>
        </is>
      </c>
      <c r="B3469" t="inlineStr">
        <is>
          <t>Procurement</t>
        </is>
      </c>
      <c r="D3469" t="inlineStr">
        <is>
          <t>Sonobuoys - All Types - P-5 1 / Sonobuoys All Types - AN/SSQ-36 (BT)</t>
        </is>
      </c>
      <c r="E3469" t="inlineStr">
        <is>
          <t>[ALT_VIEW]</t>
        </is>
      </c>
      <c r="F3469" t="inlineStr">
        <is>
          <t>112 / Sonobuoys - All Types</t>
        </is>
      </c>
      <c r="G3469" t="inlineStr">
        <is>
          <t>P-5</t>
        </is>
      </c>
      <c r="H3469" t="inlineStr">
        <is>
          <t>Recurring</t>
        </is>
      </c>
      <c r="I3469" t="n">
        <v>6</v>
      </c>
      <c r="S3469" t="n">
        <v>1590</v>
      </c>
      <c r="U3469" t="n">
        <v>1590</v>
      </c>
      <c r="AC3469">
        <f>IF(OR(E3469="",E3469="[PARENT]"),"ADD",IF(E3469="[ALT_VIEW]","ALT",""))</f>
        <v/>
      </c>
      <c r="AD3469">
        <f>IF(Y3469&lt;&gt;"",Y3469,IF(U3469&lt;&gt;"",U3469,S3469))</f>
        <v/>
      </c>
      <c r="AE3469">
        <f>IF(AB3469&lt;&gt;"",AB3469,Z3469)</f>
        <v/>
      </c>
      <c r="AF3469" t="inlineStr">
        <is>
          <t>P-5 Cost Analysis &gt; OPN_BA3 LI 4048 &gt; 1.1.1 AN/SSQ-36 (BT)</t>
        </is>
      </c>
      <c r="AJ3469" t="inlineStr">
        <is>
          <t>AN/SSQ-36 (BT)</t>
        </is>
      </c>
    </row>
    <row r="3470">
      <c r="A3470" t="inlineStr">
        <is>
          <t>OPN_BA3</t>
        </is>
      </c>
      <c r="B3470" t="inlineStr">
        <is>
          <t>Procurement</t>
        </is>
      </c>
      <c r="D3470" t="inlineStr">
        <is>
          <t>Sonobuoys - All Types - P-5 1 / Sonobuoys All Types - AN/SSQ-53 (DIFAR)</t>
        </is>
      </c>
      <c r="E3470" t="inlineStr">
        <is>
          <t>[ALT_VIEW]</t>
        </is>
      </c>
      <c r="F3470" t="inlineStr">
        <is>
          <t>112 / Sonobuoys - All Types</t>
        </is>
      </c>
      <c r="G3470" t="inlineStr">
        <is>
          <t>P-5</t>
        </is>
      </c>
      <c r="H3470" t="inlineStr">
        <is>
          <t>Recurring</t>
        </is>
      </c>
      <c r="I3470" t="n">
        <v>6</v>
      </c>
      <c r="S3470" t="n">
        <v>124802</v>
      </c>
      <c r="U3470" t="n">
        <v>124802</v>
      </c>
      <c r="AC3470">
        <f>IF(OR(E3470="",E3470="[PARENT]"),"ADD",IF(E3470="[ALT_VIEW]","ALT",""))</f>
        <v/>
      </c>
      <c r="AD3470">
        <f>IF(Y3470&lt;&gt;"",Y3470,IF(U3470&lt;&gt;"",U3470,S3470))</f>
        <v/>
      </c>
      <c r="AE3470">
        <f>IF(AB3470&lt;&gt;"",AB3470,Z3470)</f>
        <v/>
      </c>
      <c r="AF3470" t="inlineStr">
        <is>
          <t>P-5 Cost Analysis &gt; OPN_BA3 LI 4048 &gt; 1.1.2 AN/SSQ-53 (DIFAR)</t>
        </is>
      </c>
      <c r="AJ3470" t="inlineStr">
        <is>
          <t>AN/SSQ-53 (DIFAR)</t>
        </is>
      </c>
    </row>
    <row r="3471">
      <c r="A3471" t="inlineStr">
        <is>
          <t>OPN_BA3</t>
        </is>
      </c>
      <c r="B3471" t="inlineStr">
        <is>
          <t>Procurement</t>
        </is>
      </c>
      <c r="D3471" t="inlineStr">
        <is>
          <t>Sonobuoys - All Types - P-5 1 / Sonobuoys All Types - AN/SSQ-62 (DICASS)</t>
        </is>
      </c>
      <c r="E3471" t="inlineStr">
        <is>
          <t>[ALT_VIEW]</t>
        </is>
      </c>
      <c r="F3471" t="inlineStr">
        <is>
          <t>112 / Sonobuoys - All Types</t>
        </is>
      </c>
      <c r="G3471" t="inlineStr">
        <is>
          <t>P-5</t>
        </is>
      </c>
      <c r="H3471" t="inlineStr">
        <is>
          <t>Recurring</t>
        </is>
      </c>
      <c r="I3471" t="n">
        <v>6</v>
      </c>
      <c r="S3471" t="n">
        <v>27347</v>
      </c>
      <c r="U3471" t="n">
        <v>27347</v>
      </c>
      <c r="AC3471">
        <f>IF(OR(E3471="",E3471="[PARENT]"),"ADD",IF(E3471="[ALT_VIEW]","ALT",""))</f>
        <v/>
      </c>
      <c r="AD3471">
        <f>IF(Y3471&lt;&gt;"",Y3471,IF(U3471&lt;&gt;"",U3471,S3471))</f>
        <v/>
      </c>
      <c r="AE3471">
        <f>IF(AB3471&lt;&gt;"",AB3471,Z3471)</f>
        <v/>
      </c>
      <c r="AF3471" t="inlineStr">
        <is>
          <t>P-5 Cost Analysis &gt; OPN_BA3 LI 4048 &gt; 1.1.3 AN/SSQ-62 (DICASS)</t>
        </is>
      </c>
      <c r="AJ3471" t="inlineStr">
        <is>
          <t>AN/SSQ-62 (DICASS)</t>
        </is>
      </c>
    </row>
    <row r="3472">
      <c r="A3472" t="inlineStr">
        <is>
          <t>OPN_BA3</t>
        </is>
      </c>
      <c r="B3472" t="inlineStr">
        <is>
          <t>Procurement</t>
        </is>
      </c>
      <c r="D3472" t="inlineStr">
        <is>
          <t>Sonobuoys - All Types - P-5 1 / Sonobuoys All Types - AN/SSQ-101 (Multi-static Coherent Receiver)</t>
        </is>
      </c>
      <c r="E3472" t="inlineStr">
        <is>
          <t>[ALT_VIEW]</t>
        </is>
      </c>
      <c r="F3472" t="inlineStr">
        <is>
          <t>112 / Sonobuoys - All Types</t>
        </is>
      </c>
      <c r="G3472" t="inlineStr">
        <is>
          <t>P-5</t>
        </is>
      </c>
      <c r="H3472" t="inlineStr">
        <is>
          <t>Recurring</t>
        </is>
      </c>
      <c r="I3472" t="n">
        <v>6</v>
      </c>
      <c r="S3472" t="n">
        <v>18624</v>
      </c>
      <c r="U3472" t="n">
        <v>18624</v>
      </c>
      <c r="AC3472">
        <f>IF(OR(E3472="",E3472="[PARENT]"),"ADD",IF(E3472="[ALT_VIEW]","ALT",""))</f>
        <v/>
      </c>
      <c r="AD3472">
        <f>IF(Y3472&lt;&gt;"",Y3472,IF(U3472&lt;&gt;"",U3472,S3472))</f>
        <v/>
      </c>
      <c r="AE3472">
        <f>IF(AB3472&lt;&gt;"",AB3472,Z3472)</f>
        <v/>
      </c>
      <c r="AF3472" t="inlineStr">
        <is>
          <t>P-5 Cost Analysis &gt; OPN_BA3 LI 4048 &gt; 2.1.1 AN/SSQ-101 (Multi-static Coherent Receiver)</t>
        </is>
      </c>
      <c r="AJ3472" t="inlineStr">
        <is>
          <t>AN/SSQ-101 (Multi-static Coherent Receiver)</t>
        </is>
      </c>
    </row>
    <row r="3473">
      <c r="A3473" t="inlineStr">
        <is>
          <t>OPN_BA3</t>
        </is>
      </c>
      <c r="B3473" t="inlineStr">
        <is>
          <t>Procurement</t>
        </is>
      </c>
      <c r="D3473" t="inlineStr">
        <is>
          <t>Sonobuoys - All Types - P-5 1 / Sonobuoys All Types - AN/SSQ-125B (Multi-static Coherent Source)</t>
        </is>
      </c>
      <c r="E3473" t="inlineStr">
        <is>
          <t>[ALT_VIEW]</t>
        </is>
      </c>
      <c r="F3473" t="inlineStr">
        <is>
          <t>112 / Sonobuoys - All Types</t>
        </is>
      </c>
      <c r="G3473" t="inlineStr">
        <is>
          <t>P-5</t>
        </is>
      </c>
      <c r="H3473" t="inlineStr">
        <is>
          <t>Recurring</t>
        </is>
      </c>
      <c r="I3473" t="n">
        <v>6</v>
      </c>
      <c r="S3473" t="n">
        <v>64766</v>
      </c>
      <c r="U3473" t="n">
        <v>64766</v>
      </c>
      <c r="AC3473">
        <f>IF(OR(E3473="",E3473="[PARENT]"),"ADD",IF(E3473="[ALT_VIEW]","ALT",""))</f>
        <v/>
      </c>
      <c r="AD3473">
        <f>IF(Y3473&lt;&gt;"",Y3473,IF(U3473&lt;&gt;"",U3473,S3473))</f>
        <v/>
      </c>
      <c r="AE3473">
        <f>IF(AB3473&lt;&gt;"",AB3473,Z3473)</f>
        <v/>
      </c>
      <c r="AF3473" t="inlineStr">
        <is>
          <t>P-5 Cost Analysis &gt; OPN_BA3 LI 4048 &gt; 2.1.3 AN/SSQ-125B (Multi-static Coherent Source)</t>
        </is>
      </c>
      <c r="AJ3473" t="inlineStr">
        <is>
          <t>AN/SSQ-125B (Multi-static Coherent Source)</t>
        </is>
      </c>
    </row>
    <row r="3474">
      <c r="A3474" t="inlineStr">
        <is>
          <t>OPN_BA3</t>
        </is>
      </c>
      <c r="B3474" t="inlineStr">
        <is>
          <t>Procurement</t>
        </is>
      </c>
      <c r="D3474" t="inlineStr">
        <is>
          <t>Sonobuoys - All Types - P-5 1 / Sonobuoys All Types - Acceptance Testing - Common</t>
        </is>
      </c>
      <c r="E3474" t="inlineStr">
        <is>
          <t>[ALT_VIEW]</t>
        </is>
      </c>
      <c r="F3474" t="inlineStr">
        <is>
          <t>112 / Sonobuoys - All Types</t>
        </is>
      </c>
      <c r="G3474" t="inlineStr">
        <is>
          <t>P-5</t>
        </is>
      </c>
      <c r="H3474" t="inlineStr">
        <is>
          <t>Support</t>
        </is>
      </c>
      <c r="I3474" t="n">
        <v>6</v>
      </c>
      <c r="S3474" t="n">
        <v>3474</v>
      </c>
      <c r="U3474" t="n">
        <v>3474</v>
      </c>
      <c r="AC3474">
        <f>IF(OR(E3474="",E3474="[PARENT]"),"ADD",IF(E3474="[ALT_VIEW]","ALT",""))</f>
        <v/>
      </c>
      <c r="AD3474">
        <f>IF(Y3474&lt;&gt;"",Y3474,IF(U3474&lt;&gt;"",U3474,S3474))</f>
        <v/>
      </c>
      <c r="AE3474">
        <f>IF(AB3474&lt;&gt;"",AB3474,Z3474)</f>
        <v/>
      </c>
      <c r="AF3474" t="inlineStr">
        <is>
          <t>P-5 Cost Analysis &gt; OPN_BA3 LI 4048 &gt; 4.1.1 Acceptance Testing - Common</t>
        </is>
      </c>
      <c r="AJ3474" t="inlineStr">
        <is>
          <t>Acceptance Testing - Common</t>
        </is>
      </c>
    </row>
    <row r="3475">
      <c r="A3475" t="inlineStr">
        <is>
          <t>OPN_BA3</t>
        </is>
      </c>
      <c r="B3475" t="inlineStr">
        <is>
          <t>Procurement</t>
        </is>
      </c>
      <c r="D3475" t="inlineStr">
        <is>
          <t>Sonobuoys - All Types - P-5 1 / Sonobuoys All Types - Acceptance Testing - Multi-static</t>
        </is>
      </c>
      <c r="E3475" t="inlineStr">
        <is>
          <t>[ALT_VIEW]</t>
        </is>
      </c>
      <c r="F3475" t="inlineStr">
        <is>
          <t>112 / Sonobuoys - All Types</t>
        </is>
      </c>
      <c r="G3475" t="inlineStr">
        <is>
          <t>P-5</t>
        </is>
      </c>
      <c r="H3475" t="inlineStr">
        <is>
          <t>Support</t>
        </is>
      </c>
      <c r="I3475" t="n">
        <v>6</v>
      </c>
      <c r="S3475" t="n">
        <v>4041</v>
      </c>
      <c r="U3475" t="n">
        <v>4041</v>
      </c>
      <c r="AC3475">
        <f>IF(OR(E3475="",E3475="[PARENT]"),"ADD",IF(E3475="[ALT_VIEW]","ALT",""))</f>
        <v/>
      </c>
      <c r="AD3475">
        <f>IF(Y3475&lt;&gt;"",Y3475,IF(U3475&lt;&gt;"",U3475,S3475))</f>
        <v/>
      </c>
      <c r="AE3475">
        <f>IF(AB3475&lt;&gt;"",AB3475,Z3475)</f>
        <v/>
      </c>
      <c r="AF3475" t="inlineStr">
        <is>
          <t>P-5 Cost Analysis &gt; OPN_BA3 LI 4048 &gt; 4.1.2 Acceptance Testing - Multi-static</t>
        </is>
      </c>
      <c r="AJ3475" t="inlineStr">
        <is>
          <t>Acceptance Testing - Multi-static</t>
        </is>
      </c>
    </row>
    <row r="3476">
      <c r="A3476" t="inlineStr">
        <is>
          <t>OPN_BA3</t>
        </is>
      </c>
      <c r="B3476" t="inlineStr">
        <is>
          <t>Procurement</t>
        </is>
      </c>
      <c r="D3476" t="inlineStr">
        <is>
          <t>Sonobuoys - All Types - P-5 1 / Sonobuoys All Types - Production Engineering - Common</t>
        </is>
      </c>
      <c r="E3476" t="inlineStr">
        <is>
          <t>[ALT_VIEW]</t>
        </is>
      </c>
      <c r="F3476" t="inlineStr">
        <is>
          <t>112 / Sonobuoys - All Types</t>
        </is>
      </c>
      <c r="G3476" t="inlineStr">
        <is>
          <t>P-5</t>
        </is>
      </c>
      <c r="H3476" t="inlineStr">
        <is>
          <t>Support</t>
        </is>
      </c>
      <c r="I3476" t="n">
        <v>6</v>
      </c>
      <c r="S3476" t="n">
        <v>2626</v>
      </c>
      <c r="U3476" t="n">
        <v>2626</v>
      </c>
      <c r="AC3476">
        <f>IF(OR(E3476="",E3476="[PARENT]"),"ADD",IF(E3476="[ALT_VIEW]","ALT",""))</f>
        <v/>
      </c>
      <c r="AD3476">
        <f>IF(Y3476&lt;&gt;"",Y3476,IF(U3476&lt;&gt;"",U3476,S3476))</f>
        <v/>
      </c>
      <c r="AE3476">
        <f>IF(AB3476&lt;&gt;"",AB3476,Z3476)</f>
        <v/>
      </c>
      <c r="AF3476" t="inlineStr">
        <is>
          <t>P-5 Cost Analysis &gt; OPN_BA3 LI 4048 &gt; 6.1 Production Engineering - Common</t>
        </is>
      </c>
      <c r="AJ3476" t="inlineStr">
        <is>
          <t>Production Engineering - Common</t>
        </is>
      </c>
    </row>
    <row r="3477">
      <c r="A3477" t="inlineStr">
        <is>
          <t>OPN_BA3</t>
        </is>
      </c>
      <c r="B3477" t="inlineStr">
        <is>
          <t>Procurement</t>
        </is>
      </c>
      <c r="D3477" t="inlineStr">
        <is>
          <t>Sonobuoys - All Types - P-5 1 / Sonobuoys All Types - Production Engineering - Multi-static</t>
        </is>
      </c>
      <c r="E3477" t="inlineStr">
        <is>
          <t>[ALT_VIEW]</t>
        </is>
      </c>
      <c r="F3477" t="inlineStr">
        <is>
          <t>112 / Sonobuoys - All Types</t>
        </is>
      </c>
      <c r="G3477" t="inlineStr">
        <is>
          <t>P-5</t>
        </is>
      </c>
      <c r="H3477" t="inlineStr">
        <is>
          <t>Support</t>
        </is>
      </c>
      <c r="I3477" t="n">
        <v>6</v>
      </c>
      <c r="S3477" t="n">
        <v>2638</v>
      </c>
      <c r="U3477" t="n">
        <v>2638</v>
      </c>
      <c r="AC3477">
        <f>IF(OR(E3477="",E3477="[PARENT]"),"ADD",IF(E3477="[ALT_VIEW]","ALT",""))</f>
        <v/>
      </c>
      <c r="AD3477">
        <f>IF(Y3477&lt;&gt;"",Y3477,IF(U3477&lt;&gt;"",U3477,S3477))</f>
        <v/>
      </c>
      <c r="AE3477">
        <f>IF(AB3477&lt;&gt;"",AB3477,Z3477)</f>
        <v/>
      </c>
      <c r="AF3477" t="inlineStr">
        <is>
          <t>P-5 Cost Analysis &gt; OPN_BA3 LI 4048 &gt; 6.2 Production Engineering - Multi-static</t>
        </is>
      </c>
      <c r="AJ3477" t="inlineStr">
        <is>
          <t>Production Engineering - Multi-static</t>
        </is>
      </c>
    </row>
    <row r="3478">
      <c r="A3478" t="inlineStr">
        <is>
          <t>OPN_BA2</t>
        </is>
      </c>
      <c r="B3478" t="inlineStr">
        <is>
          <t>Procurement</t>
        </is>
      </c>
      <c r="D3478" t="inlineStr">
        <is>
          <t>CANES - P-3a Mod 1 / CANES Afloat - CANES - Afloat NonOrganic</t>
        </is>
      </c>
      <c r="E3478" t="inlineStr">
        <is>
          <t>[ALT_VIEW]</t>
        </is>
      </c>
      <c r="F3478" t="inlineStr">
        <is>
          <t>2915 / CANES</t>
        </is>
      </c>
      <c r="G3478" t="inlineStr">
        <is>
          <t>P-3a</t>
        </is>
      </c>
      <c r="H3478" t="inlineStr">
        <is>
          <t>Recurring</t>
        </is>
      </c>
      <c r="I3478" t="n">
        <v>4</v>
      </c>
      <c r="S3478" t="n">
        <v>29319</v>
      </c>
      <c r="U3478" t="n">
        <v>29319</v>
      </c>
      <c r="AC3478">
        <f>IF(OR(E3478="",E3478="[PARENT]"),"ADD",IF(E3478="[ALT_VIEW]","ALT",""))</f>
        <v/>
      </c>
      <c r="AD3478">
        <f>IF(Y3478&lt;&gt;"",Y3478,IF(U3478&lt;&gt;"",U3478,S3478))</f>
        <v/>
      </c>
      <c r="AE3478">
        <f>IF(AB3478&lt;&gt;"",AB3478,Z3478)</f>
        <v/>
      </c>
      <c r="AF3478" t="inlineStr">
        <is>
          <t>P-3a Cost Analysis &gt; OPN_BA2 LI 2915 &gt; 1.1.1 CANES - Afloat NonOrganic</t>
        </is>
      </c>
      <c r="AJ3478" t="inlineStr">
        <is>
          <t>CANES - Afloat NonOrganic</t>
        </is>
      </c>
    </row>
    <row r="3479">
      <c r="A3479" t="inlineStr">
        <is>
          <t>OPN_BA2</t>
        </is>
      </c>
      <c r="B3479" t="inlineStr">
        <is>
          <t>Procurement</t>
        </is>
      </c>
      <c r="D3479" t="inlineStr">
        <is>
          <t>CANES - P-3a Mod 1 / CANES Afloat - CANES - Afloat Technical Insertion NonOrganic</t>
        </is>
      </c>
      <c r="E3479" t="inlineStr">
        <is>
          <t>[ALT_VIEW]</t>
        </is>
      </c>
      <c r="F3479" t="inlineStr">
        <is>
          <t>2915 / CANES</t>
        </is>
      </c>
      <c r="G3479" t="inlineStr">
        <is>
          <t>P-3a</t>
        </is>
      </c>
      <c r="H3479" t="inlineStr">
        <is>
          <t>Recurring</t>
        </is>
      </c>
      <c r="I3479" t="n">
        <v>4</v>
      </c>
      <c r="S3479" t="n">
        <v>103568</v>
      </c>
      <c r="U3479" t="n">
        <v>103568</v>
      </c>
      <c r="AC3479">
        <f>IF(OR(E3479="",E3479="[PARENT]"),"ADD",IF(E3479="[ALT_VIEW]","ALT",""))</f>
        <v/>
      </c>
      <c r="AD3479">
        <f>IF(Y3479&lt;&gt;"",Y3479,IF(U3479&lt;&gt;"",U3479,S3479))</f>
        <v/>
      </c>
      <c r="AE3479">
        <f>IF(AB3479&lt;&gt;"",AB3479,Z3479)</f>
        <v/>
      </c>
      <c r="AF3479" t="inlineStr">
        <is>
          <t>P-3a Cost Analysis &gt; OPN_BA2 LI 2915 &gt; 1.1.2 CANES - Afloat Technical Insertion NonOrganic</t>
        </is>
      </c>
      <c r="AJ3479" t="inlineStr">
        <is>
          <t>CANES - Afloat Technical Insertion NonOrganic</t>
        </is>
      </c>
    </row>
    <row r="3480">
      <c r="A3480" t="inlineStr">
        <is>
          <t>OPN_BA2</t>
        </is>
      </c>
      <c r="B3480" t="inlineStr">
        <is>
          <t>Procurement</t>
        </is>
      </c>
      <c r="D3480" t="inlineStr">
        <is>
          <t>CANES - P-3a Mod 1 / CANES Afloat - Agile Enclave - NonOrganic</t>
        </is>
      </c>
      <c r="E3480" t="inlineStr">
        <is>
          <t>[ALT_VIEW]</t>
        </is>
      </c>
      <c r="F3480" t="inlineStr">
        <is>
          <t>2915 / CANES</t>
        </is>
      </c>
      <c r="G3480" t="inlineStr">
        <is>
          <t>P-3a</t>
        </is>
      </c>
      <c r="H3480" t="inlineStr">
        <is>
          <t>Recurring</t>
        </is>
      </c>
      <c r="I3480" t="n">
        <v>4</v>
      </c>
      <c r="S3480" t="n">
        <v>162831</v>
      </c>
      <c r="U3480" t="n">
        <v>162831</v>
      </c>
      <c r="AC3480">
        <f>IF(OR(E3480="",E3480="[PARENT]"),"ADD",IF(E3480="[ALT_VIEW]","ALT",""))</f>
        <v/>
      </c>
      <c r="AD3480">
        <f>IF(Y3480&lt;&gt;"",Y3480,IF(U3480&lt;&gt;"",U3480,S3480))</f>
        <v/>
      </c>
      <c r="AE3480">
        <f>IF(AB3480&lt;&gt;"",AB3480,Z3480)</f>
        <v/>
      </c>
      <c r="AF3480" t="inlineStr">
        <is>
          <t>P-3a Cost Analysis &gt; OPN_BA2 LI 2915 &gt; 1.1.3 Agile Enclave - NonOrganic</t>
        </is>
      </c>
      <c r="AJ3480" t="inlineStr">
        <is>
          <t>Agile Enclave - NonOrganic</t>
        </is>
      </c>
    </row>
    <row r="3481">
      <c r="A3481" t="inlineStr">
        <is>
          <t>OPN_BA2</t>
        </is>
      </c>
      <c r="B3481" t="inlineStr">
        <is>
          <t>Procurement</t>
        </is>
      </c>
      <c r="D3481" t="inlineStr">
        <is>
          <t>CANES - P-3a Mod 1 / CANES Afloat - Production Support + Design Service Agent</t>
        </is>
      </c>
      <c r="E3481" t="inlineStr">
        <is>
          <t>[ALT_VIEW]</t>
        </is>
      </c>
      <c r="F3481" t="inlineStr">
        <is>
          <t>2915 / CANES</t>
        </is>
      </c>
      <c r="G3481" t="inlineStr">
        <is>
          <t>P-3a</t>
        </is>
      </c>
      <c r="H3481" t="inlineStr">
        <is>
          <t>Support</t>
        </is>
      </c>
      <c r="I3481" t="n">
        <v>4</v>
      </c>
      <c r="S3481" t="n">
        <v>22264</v>
      </c>
      <c r="U3481" t="n">
        <v>22264</v>
      </c>
      <c r="AC3481">
        <f>IF(OR(E3481="",E3481="[PARENT]"),"ADD",IF(E3481="[ALT_VIEW]","ALT",""))</f>
        <v/>
      </c>
      <c r="AD3481">
        <f>IF(Y3481&lt;&gt;"",Y3481,IF(U3481&lt;&gt;"",U3481,S3481))</f>
        <v/>
      </c>
      <c r="AE3481">
        <f>IF(AB3481&lt;&gt;"",AB3481,Z3481)</f>
        <v/>
      </c>
      <c r="AF3481" t="inlineStr">
        <is>
          <t>P-3a Cost Analysis &gt; OPN_BA2 LI 2915 &gt;  Production Support + Design Service Agent</t>
        </is>
      </c>
      <c r="AJ3481" t="inlineStr">
        <is>
          <t>Production Support + Design Service Agent</t>
        </is>
      </c>
    </row>
    <row r="3482">
      <c r="A3482" t="inlineStr">
        <is>
          <t>OPN_BA2</t>
        </is>
      </c>
      <c r="B3482" t="inlineStr">
        <is>
          <t>Procurement</t>
        </is>
      </c>
      <c r="D3482" t="inlineStr">
        <is>
          <t>CANES - P-3a Mod 1 / CANES Afloat - Installation</t>
        </is>
      </c>
      <c r="E3482" t="inlineStr">
        <is>
          <t>[ALT_VIEW]</t>
        </is>
      </c>
      <c r="F3482" t="inlineStr">
        <is>
          <t>2915 / CANES</t>
        </is>
      </c>
      <c r="G3482" t="inlineStr">
        <is>
          <t>P-3a</t>
        </is>
      </c>
      <c r="H3482" t="inlineStr">
        <is>
          <t>Installation</t>
        </is>
      </c>
      <c r="I3482" t="n">
        <v>4</v>
      </c>
      <c r="S3482" t="n">
        <v>212426</v>
      </c>
      <c r="U3482" t="n">
        <v>212426</v>
      </c>
      <c r="AC3482">
        <f>IF(OR(E3482="",E3482="[PARENT]"),"ADD",IF(E3482="[ALT_VIEW]","ALT",""))</f>
        <v/>
      </c>
      <c r="AD3482">
        <f>IF(Y3482&lt;&gt;"",Y3482,IF(U3482&lt;&gt;"",U3482,S3482))</f>
        <v/>
      </c>
      <c r="AE3482">
        <f>IF(AB3482&lt;&gt;"",AB3482,Z3482)</f>
        <v/>
      </c>
      <c r="AF3482" t="inlineStr">
        <is>
          <t>P-3a Cost Analysis &gt; OPN_BA2 LI 2915 &gt;  Installation</t>
        </is>
      </c>
      <c r="AJ3482" t="inlineStr">
        <is>
          <t>Installation</t>
        </is>
      </c>
    </row>
    <row r="3483">
      <c r="A3483" t="inlineStr">
        <is>
          <t>OPN_BA2</t>
        </is>
      </c>
      <c r="B3483" t="inlineStr">
        <is>
          <t>Procurement</t>
        </is>
      </c>
      <c r="D3483" t="inlineStr">
        <is>
          <t>CANES - P-3a Mod 2 / CANES Ashore - CANES - Ashore Technical Insertion NonOrganic</t>
        </is>
      </c>
      <c r="E3483" t="inlineStr">
        <is>
          <t>[ALT_VIEW]</t>
        </is>
      </c>
      <c r="F3483" t="inlineStr">
        <is>
          <t>2915 / CANES</t>
        </is>
      </c>
      <c r="G3483" t="inlineStr">
        <is>
          <t>P-3a</t>
        </is>
      </c>
      <c r="H3483" t="inlineStr">
        <is>
          <t>Recurring</t>
        </is>
      </c>
      <c r="I3483" t="n">
        <v>4</v>
      </c>
      <c r="S3483" t="n">
        <v>3677</v>
      </c>
      <c r="U3483" t="n">
        <v>3677</v>
      </c>
      <c r="AC3483">
        <f>IF(OR(E3483="",E3483="[PARENT]"),"ADD",IF(E3483="[ALT_VIEW]","ALT",""))</f>
        <v/>
      </c>
      <c r="AD3483">
        <f>IF(Y3483&lt;&gt;"",Y3483,IF(U3483&lt;&gt;"",U3483,S3483))</f>
        <v/>
      </c>
      <c r="AE3483">
        <f>IF(AB3483&lt;&gt;"",AB3483,Z3483)</f>
        <v/>
      </c>
      <c r="AF3483" t="inlineStr">
        <is>
          <t>P-3a Cost Analysis &gt; OPN_BA2 LI 2915 &gt; 1.1.1 CANES - Ashore Technical Insertion NonOrganic</t>
        </is>
      </c>
      <c r="AJ3483" t="inlineStr">
        <is>
          <t>CANES - Ashore Technical Insertion NonOrganic</t>
        </is>
      </c>
    </row>
    <row r="3484">
      <c r="A3484" t="inlineStr">
        <is>
          <t>OPN_BA2</t>
        </is>
      </c>
      <c r="B3484" t="inlineStr">
        <is>
          <t>Procurement</t>
        </is>
      </c>
      <c r="D3484" t="inlineStr">
        <is>
          <t>CANES - P-3a Mod 2 / CANES Ashore - Support + Installation</t>
        </is>
      </c>
      <c r="E3484" t="inlineStr">
        <is>
          <t>[ALT_VIEW]</t>
        </is>
      </c>
      <c r="F3484" t="inlineStr">
        <is>
          <t>2915 / CANES</t>
        </is>
      </c>
      <c r="G3484" t="inlineStr">
        <is>
          <t>P-3a</t>
        </is>
      </c>
      <c r="H3484" t="inlineStr">
        <is>
          <t>Support</t>
        </is>
      </c>
      <c r="I3484" t="n">
        <v>4</v>
      </c>
      <c r="S3484" t="n">
        <v>239</v>
      </c>
      <c r="U3484" t="n">
        <v>239</v>
      </c>
      <c r="AC3484">
        <f>IF(OR(E3484="",E3484="[PARENT]"),"ADD",IF(E3484="[ALT_VIEW]","ALT",""))</f>
        <v/>
      </c>
      <c r="AD3484">
        <f>IF(Y3484&lt;&gt;"",Y3484,IF(U3484&lt;&gt;"",U3484,S3484))</f>
        <v/>
      </c>
      <c r="AE3484">
        <f>IF(AB3484&lt;&gt;"",AB3484,Z3484)</f>
        <v/>
      </c>
      <c r="AF3484" t="inlineStr">
        <is>
          <t>P-3a Cost Analysis &gt; OPN_BA2 LI 2915 &gt;  Support + Installation</t>
        </is>
      </c>
      <c r="AJ3484" t="inlineStr">
        <is>
          <t>Support + Installation</t>
        </is>
      </c>
    </row>
    <row r="3485">
      <c r="A3485" t="inlineStr">
        <is>
          <t>OPN_BA2</t>
        </is>
      </c>
      <c r="B3485" t="inlineStr">
        <is>
          <t>Procurement</t>
        </is>
      </c>
      <c r="D3485" t="inlineStr">
        <is>
          <t>SSN Acoustic Equipment - P-40a - Towed Systems</t>
        </is>
      </c>
      <c r="E3485" t="inlineStr">
        <is>
          <t>[ALT_VIEW]</t>
        </is>
      </c>
      <c r="F3485" t="inlineStr">
        <is>
          <t>2150 / SSN Acoustic Equipment</t>
        </is>
      </c>
      <c r="G3485" t="inlineStr">
        <is>
          <t>P-40a</t>
        </is>
      </c>
      <c r="H3485" t="inlineStr">
        <is>
          <t>Recurring</t>
        </is>
      </c>
      <c r="I3485" t="n">
        <v>4</v>
      </c>
      <c r="K3485" t="inlineStr">
        <is>
          <t>USN</t>
        </is>
      </c>
      <c r="L3485" t="inlineStr">
        <is>
          <t>Combatant Ships</t>
        </is>
      </c>
      <c r="M3485" t="inlineStr">
        <is>
          <t>Submarines</t>
        </is>
      </c>
      <c r="S3485" t="n">
        <v>70011</v>
      </c>
      <c r="U3485" t="n">
        <v>70011</v>
      </c>
      <c r="AC3485">
        <f>IF(OR(E3485="",E3485="[PARENT]"),"ADD",IF(E3485="[ALT_VIEW]","ALT",""))</f>
        <v/>
      </c>
      <c r="AD3485">
        <f>IF(Y3485&lt;&gt;"",Y3485,IF(U3485&lt;&gt;"",U3485,S3485))</f>
        <v/>
      </c>
      <c r="AE3485">
        <f>IF(AB3485&lt;&gt;"",AB3485,Z3485)</f>
        <v/>
      </c>
      <c r="AF3485" t="inlineStr">
        <is>
          <t>P-40a Cost Analysis &gt; OPN_BA2 LI 2150 &gt; SA102 Towed Systems</t>
        </is>
      </c>
      <c r="AJ3485" t="inlineStr">
        <is>
          <t>Towed Systems</t>
        </is>
      </c>
    </row>
    <row r="3486">
      <c r="A3486" t="inlineStr">
        <is>
          <t>OPN_BA2</t>
        </is>
      </c>
      <c r="B3486" t="inlineStr">
        <is>
          <t>Procurement</t>
        </is>
      </c>
      <c r="D3486" t="inlineStr">
        <is>
          <t>SSN Acoustic Equipment - P-40a - TB-34A Fatline Towed Arrays</t>
        </is>
      </c>
      <c r="E3486" t="inlineStr">
        <is>
          <t>[ALT_VIEW]</t>
        </is>
      </c>
      <c r="F3486" t="inlineStr">
        <is>
          <t>2150 / SSN Acoustic Equipment</t>
        </is>
      </c>
      <c r="G3486" t="inlineStr">
        <is>
          <t>P-40a</t>
        </is>
      </c>
      <c r="H3486" t="inlineStr">
        <is>
          <t>Recurring</t>
        </is>
      </c>
      <c r="I3486" t="n">
        <v>4</v>
      </c>
      <c r="K3486" t="inlineStr">
        <is>
          <t>USN</t>
        </is>
      </c>
      <c r="L3486" t="inlineStr">
        <is>
          <t>Combatant Ships</t>
        </is>
      </c>
      <c r="M3486" t="inlineStr">
        <is>
          <t>Submarines</t>
        </is>
      </c>
      <c r="S3486" t="n">
        <v>7461</v>
      </c>
      <c r="U3486" t="n">
        <v>7461</v>
      </c>
      <c r="AC3486">
        <f>IF(OR(E3486="",E3486="[PARENT]"),"ADD",IF(E3486="[ALT_VIEW]","ALT",""))</f>
        <v/>
      </c>
      <c r="AD3486">
        <f>IF(Y3486&lt;&gt;"",Y3486,IF(U3486&lt;&gt;"",U3486,S3486))</f>
        <v/>
      </c>
      <c r="AE3486">
        <f>IF(AB3486&lt;&gt;"",AB3486,Z3486)</f>
        <v/>
      </c>
      <c r="AF3486" t="inlineStr">
        <is>
          <t>P-40a Cost Analysis &gt; OPN_BA2 LI 2150 &gt; SA102-1.1 TB-34A Fatline Towed Arrays</t>
        </is>
      </c>
      <c r="AJ3486" t="inlineStr">
        <is>
          <t>TB-34A Fatline Towed Arrays</t>
        </is>
      </c>
    </row>
    <row r="3487">
      <c r="A3487" t="inlineStr">
        <is>
          <t>OPN_BA2</t>
        </is>
      </c>
      <c r="B3487" t="inlineStr">
        <is>
          <t>Procurement</t>
        </is>
      </c>
      <c r="D3487" t="inlineStr">
        <is>
          <t>SSN Acoustic Equipment - P-40a - TB-29C Thin Line Towed Arrays</t>
        </is>
      </c>
      <c r="E3487" t="inlineStr">
        <is>
          <t>[ALT_VIEW]</t>
        </is>
      </c>
      <c r="F3487" t="inlineStr">
        <is>
          <t>2150 / SSN Acoustic Equipment</t>
        </is>
      </c>
      <c r="G3487" t="inlineStr">
        <is>
          <t>P-40a</t>
        </is>
      </c>
      <c r="H3487" t="inlineStr">
        <is>
          <t>Recurring</t>
        </is>
      </c>
      <c r="I3487" t="n">
        <v>4</v>
      </c>
      <c r="K3487" t="inlineStr">
        <is>
          <t>USN</t>
        </is>
      </c>
      <c r="L3487" t="inlineStr">
        <is>
          <t>Combatant Ships</t>
        </is>
      </c>
      <c r="M3487" t="inlineStr">
        <is>
          <t>Submarines</t>
        </is>
      </c>
      <c r="S3487" t="n">
        <v>20078</v>
      </c>
      <c r="U3487" t="n">
        <v>20078</v>
      </c>
      <c r="AC3487">
        <f>IF(OR(E3487="",E3487="[PARENT]"),"ADD",IF(E3487="[ALT_VIEW]","ALT",""))</f>
        <v/>
      </c>
      <c r="AD3487">
        <f>IF(Y3487&lt;&gt;"",Y3487,IF(U3487&lt;&gt;"",U3487,S3487))</f>
        <v/>
      </c>
      <c r="AE3487">
        <f>IF(AB3487&lt;&gt;"",AB3487,Z3487)</f>
        <v/>
      </c>
      <c r="AF3487" t="inlineStr">
        <is>
          <t>P-40a Cost Analysis &gt; OPN_BA2 LI 2150 &gt; SA102-1.2 TB-29C Thin Line Towed Arrays</t>
        </is>
      </c>
      <c r="AJ3487" t="inlineStr">
        <is>
          <t>TB-29C Thin Line Towed Arrays</t>
        </is>
      </c>
    </row>
    <row r="3488">
      <c r="A3488" t="inlineStr">
        <is>
          <t>OPN_BA2</t>
        </is>
      </c>
      <c r="B3488" t="inlineStr">
        <is>
          <t>Procurement</t>
        </is>
      </c>
      <c r="D3488" t="inlineStr">
        <is>
          <t>SSN Acoustic Equipment - P-40a - Towed Array Refurbishment &amp; Upgrades</t>
        </is>
      </c>
      <c r="E3488" t="inlineStr">
        <is>
          <t>[ALT_VIEW]</t>
        </is>
      </c>
      <c r="F3488" t="inlineStr">
        <is>
          <t>2150 / SSN Acoustic Equipment</t>
        </is>
      </c>
      <c r="G3488" t="inlineStr">
        <is>
          <t>P-40a</t>
        </is>
      </c>
      <c r="H3488" t="inlineStr">
        <is>
          <t>Recurring</t>
        </is>
      </c>
      <c r="I3488" t="n">
        <v>4</v>
      </c>
      <c r="K3488" t="inlineStr">
        <is>
          <t>USN</t>
        </is>
      </c>
      <c r="L3488" t="inlineStr">
        <is>
          <t>Combatant Ships</t>
        </is>
      </c>
      <c r="M3488" t="inlineStr">
        <is>
          <t>Submarines</t>
        </is>
      </c>
      <c r="S3488" t="n">
        <v>33618</v>
      </c>
      <c r="U3488" t="n">
        <v>33618</v>
      </c>
      <c r="AC3488">
        <f>IF(OR(E3488="",E3488="[PARENT]"),"ADD",IF(E3488="[ALT_VIEW]","ALT",""))</f>
        <v/>
      </c>
      <c r="AD3488">
        <f>IF(Y3488&lt;&gt;"",Y3488,IF(U3488&lt;&gt;"",U3488,S3488))</f>
        <v/>
      </c>
      <c r="AE3488">
        <f>IF(AB3488&lt;&gt;"",AB3488,Z3488)</f>
        <v/>
      </c>
      <c r="AF3488" t="inlineStr">
        <is>
          <t>P-40a Cost Analysis &gt; OPN_BA2 LI 2150 &gt; SA102-1.3 Towed Array Refurbishment &amp; Upgrades</t>
        </is>
      </c>
      <c r="AJ3488" t="inlineStr">
        <is>
          <t>Towed Array Refurbishment &amp; Upgrades</t>
        </is>
      </c>
    </row>
    <row r="3489">
      <c r="A3489" t="inlineStr">
        <is>
          <t>OPN_BA2</t>
        </is>
      </c>
      <c r="B3489" t="inlineStr">
        <is>
          <t>Procurement</t>
        </is>
      </c>
      <c r="D3489" t="inlineStr">
        <is>
          <t>SSN Acoustic Equipment - P-40a - Towed Array Handler System Upgrade</t>
        </is>
      </c>
      <c r="E3489" t="inlineStr">
        <is>
          <t>[ALT_VIEW]</t>
        </is>
      </c>
      <c r="F3489" t="inlineStr">
        <is>
          <t>2150 / SSN Acoustic Equipment</t>
        </is>
      </c>
      <c r="G3489" t="inlineStr">
        <is>
          <t>P-40a</t>
        </is>
      </c>
      <c r="H3489" t="inlineStr">
        <is>
          <t>Recurring</t>
        </is>
      </c>
      <c r="I3489" t="n">
        <v>4</v>
      </c>
      <c r="K3489" t="inlineStr">
        <is>
          <t>USN</t>
        </is>
      </c>
      <c r="L3489" t="inlineStr">
        <is>
          <t>Combatant Ships</t>
        </is>
      </c>
      <c r="M3489" t="inlineStr">
        <is>
          <t>Submarines</t>
        </is>
      </c>
      <c r="S3489" t="n">
        <v>8854</v>
      </c>
      <c r="U3489" t="n">
        <v>8854</v>
      </c>
      <c r="AC3489">
        <f>IF(OR(E3489="",E3489="[PARENT]"),"ADD",IF(E3489="[ALT_VIEW]","ALT",""))</f>
        <v/>
      </c>
      <c r="AD3489">
        <f>IF(Y3489&lt;&gt;"",Y3489,IF(U3489&lt;&gt;"",U3489,S3489))</f>
        <v/>
      </c>
      <c r="AE3489">
        <f>IF(AB3489&lt;&gt;"",AB3489,Z3489)</f>
        <v/>
      </c>
      <c r="AF3489" t="inlineStr">
        <is>
          <t>P-40a Cost Analysis &gt; OPN_BA2 LI 2150 &gt; SA102-1.4 Towed Array Handler System Upgrade</t>
        </is>
      </c>
      <c r="AJ3489" t="inlineStr">
        <is>
          <t>Towed Array Handler System Upgrade</t>
        </is>
      </c>
    </row>
    <row r="3490">
      <c r="A3490" t="inlineStr">
        <is>
          <t>OPN_BA2</t>
        </is>
      </c>
      <c r="B3490" t="inlineStr">
        <is>
          <t>Procurement</t>
        </is>
      </c>
      <c r="D3490" t="inlineStr">
        <is>
          <t>SSN Acoustic Equipment - P-40a - Hull Sensors (VA Unique Sensor)</t>
        </is>
      </c>
      <c r="E3490" t="inlineStr">
        <is>
          <t>[ALT_VIEW]</t>
        </is>
      </c>
      <c r="F3490" t="inlineStr">
        <is>
          <t>2150 / SSN Acoustic Equipment</t>
        </is>
      </c>
      <c r="G3490" t="inlineStr">
        <is>
          <t>P-40a</t>
        </is>
      </c>
      <c r="H3490" t="inlineStr">
        <is>
          <t>Recurring</t>
        </is>
      </c>
      <c r="I3490" t="n">
        <v>4</v>
      </c>
      <c r="K3490" t="inlineStr">
        <is>
          <t>USN</t>
        </is>
      </c>
      <c r="L3490" t="inlineStr">
        <is>
          <t>Combatant Ships</t>
        </is>
      </c>
      <c r="M3490" t="inlineStr">
        <is>
          <t>Submarines</t>
        </is>
      </c>
      <c r="S3490" t="n">
        <v>14593</v>
      </c>
      <c r="U3490" t="n">
        <v>14593</v>
      </c>
      <c r="AC3490">
        <f>IF(OR(E3490="",E3490="[PARENT]"),"ADD",IF(E3490="[ALT_VIEW]","ALT",""))</f>
        <v/>
      </c>
      <c r="AD3490">
        <f>IF(Y3490&lt;&gt;"",Y3490,IF(U3490&lt;&gt;"",U3490,S3490))</f>
        <v/>
      </c>
      <c r="AE3490">
        <f>IF(AB3490&lt;&gt;"",AB3490,Z3490)</f>
        <v/>
      </c>
      <c r="AF3490" t="inlineStr">
        <is>
          <t>P-40a Cost Analysis &gt; OPN_BA2 LI 2150 &gt; SA106 Hull Sensors (VA Unique Sensor)</t>
        </is>
      </c>
      <c r="AJ3490" t="inlineStr">
        <is>
          <t>Hull Sensors (VA Unique Sensor)</t>
        </is>
      </c>
    </row>
    <row r="3491">
      <c r="A3491" t="inlineStr">
        <is>
          <t>OPN_BA2</t>
        </is>
      </c>
      <c r="B3491" t="inlineStr">
        <is>
          <t>Procurement</t>
        </is>
      </c>
      <c r="D3491" t="inlineStr">
        <is>
          <t>SSN Acoustic Equipment - P-40a - Block Changes</t>
        </is>
      </c>
      <c r="E3491" t="inlineStr">
        <is>
          <t>[ALT_VIEW]</t>
        </is>
      </c>
      <c r="F3491" t="inlineStr">
        <is>
          <t>2150 / SSN Acoustic Equipment</t>
        </is>
      </c>
      <c r="G3491" t="inlineStr">
        <is>
          <t>P-40a</t>
        </is>
      </c>
      <c r="H3491" t="inlineStr">
        <is>
          <t>Recurring</t>
        </is>
      </c>
      <c r="I3491" t="n">
        <v>4</v>
      </c>
      <c r="K3491" t="inlineStr">
        <is>
          <t>USN</t>
        </is>
      </c>
      <c r="L3491" t="inlineStr">
        <is>
          <t>Combatant Ships</t>
        </is>
      </c>
      <c r="M3491" t="inlineStr">
        <is>
          <t>Submarines</t>
        </is>
      </c>
      <c r="S3491" t="n">
        <v>5645</v>
      </c>
      <c r="U3491" t="n">
        <v>5645</v>
      </c>
      <c r="AC3491">
        <f>IF(OR(E3491="",E3491="[PARENT]"),"ADD",IF(E3491="[ALT_VIEW]","ALT",""))</f>
        <v/>
      </c>
      <c r="AD3491">
        <f>IF(Y3491&lt;&gt;"",Y3491,IF(U3491&lt;&gt;"",U3491,S3491))</f>
        <v/>
      </c>
      <c r="AE3491">
        <f>IF(AB3491&lt;&gt;"",AB3491,Z3491)</f>
        <v/>
      </c>
      <c r="AF3491" t="inlineStr">
        <is>
          <t>P-40a Cost Analysis &gt; OPN_BA2 LI 2150 &gt; SA201 Block Changes</t>
        </is>
      </c>
      <c r="AJ3491" t="inlineStr">
        <is>
          <t>Block Changes</t>
        </is>
      </c>
    </row>
    <row r="3492">
      <c r="A3492" t="inlineStr">
        <is>
          <t>OPN_BA2</t>
        </is>
      </c>
      <c r="B3492" t="inlineStr">
        <is>
          <t>Procurement</t>
        </is>
      </c>
      <c r="D3492" t="inlineStr">
        <is>
          <t>SSN Acoustic Equipment - P-40a - Production/Engineering Support</t>
        </is>
      </c>
      <c r="E3492" t="inlineStr">
        <is>
          <t>[ALT_VIEW]</t>
        </is>
      </c>
      <c r="F3492" t="inlineStr">
        <is>
          <t>2150 / SSN Acoustic Equipment</t>
        </is>
      </c>
      <c r="G3492" t="inlineStr">
        <is>
          <t>P-40a</t>
        </is>
      </c>
      <c r="H3492" t="inlineStr">
        <is>
          <t>Support</t>
        </is>
      </c>
      <c r="I3492" t="n">
        <v>4</v>
      </c>
      <c r="K3492" t="inlineStr">
        <is>
          <t>USN</t>
        </is>
      </c>
      <c r="L3492" t="inlineStr">
        <is>
          <t>Combatant Ships</t>
        </is>
      </c>
      <c r="M3492" t="inlineStr">
        <is>
          <t>Submarines</t>
        </is>
      </c>
      <c r="S3492" t="n">
        <v>42374</v>
      </c>
      <c r="U3492" t="n">
        <v>42374</v>
      </c>
      <c r="AC3492">
        <f>IF(OR(E3492="",E3492="[PARENT]"),"ADD",IF(E3492="[ALT_VIEW]","ALT",""))</f>
        <v/>
      </c>
      <c r="AD3492">
        <f>IF(Y3492&lt;&gt;"",Y3492,IF(U3492&lt;&gt;"",U3492,S3492))</f>
        <v/>
      </c>
      <c r="AE3492">
        <f>IF(AB3492&lt;&gt;"",AB3492,Z3492)</f>
        <v/>
      </c>
      <c r="AF3492" t="inlineStr">
        <is>
          <t>P-40a Cost Analysis &gt; OPN_BA2 LI 2150 &gt; SA202 Production/Engineering Support</t>
        </is>
      </c>
      <c r="AJ3492" t="inlineStr">
        <is>
          <t>Production/Engineering Support</t>
        </is>
      </c>
    </row>
    <row r="3493">
      <c r="A3493" t="inlineStr">
        <is>
          <t>OPN_BA2</t>
        </is>
      </c>
      <c r="B3493" t="inlineStr">
        <is>
          <t>Procurement</t>
        </is>
      </c>
      <c r="D3493" t="inlineStr">
        <is>
          <t>SSN Acoustic Equipment - P-40a - COTS Supportability Upgrades</t>
        </is>
      </c>
      <c r="E3493" t="inlineStr">
        <is>
          <t>[ALT_VIEW]</t>
        </is>
      </c>
      <c r="F3493" t="inlineStr">
        <is>
          <t>2150 / SSN Acoustic Equipment</t>
        </is>
      </c>
      <c r="G3493" t="inlineStr">
        <is>
          <t>P-40a</t>
        </is>
      </c>
      <c r="H3493" t="inlineStr">
        <is>
          <t>Recurring</t>
        </is>
      </c>
      <c r="I3493" t="n">
        <v>4</v>
      </c>
      <c r="K3493" t="inlineStr">
        <is>
          <t>USN</t>
        </is>
      </c>
      <c r="L3493" t="inlineStr">
        <is>
          <t>Combatant Ships</t>
        </is>
      </c>
      <c r="M3493" t="inlineStr">
        <is>
          <t>Submarines</t>
        </is>
      </c>
      <c r="S3493" t="n">
        <v>74582</v>
      </c>
      <c r="U3493" t="n">
        <v>74582</v>
      </c>
      <c r="AC3493">
        <f>IF(OR(E3493="",E3493="[PARENT]"),"ADD",IF(E3493="[ALT_VIEW]","ALT",""))</f>
        <v/>
      </c>
      <c r="AD3493">
        <f>IF(Y3493&lt;&gt;"",Y3493,IF(U3493&lt;&gt;"",U3493,S3493))</f>
        <v/>
      </c>
      <c r="AE3493">
        <f>IF(AB3493&lt;&gt;"",AB3493,Z3493)</f>
        <v/>
      </c>
      <c r="AF3493" t="inlineStr">
        <is>
          <t>P-40a Cost Analysis &gt; OPN_BA2 LI 2150 &gt; SA303 COTS Supportability Upgrades</t>
        </is>
      </c>
      <c r="AJ3493" t="inlineStr">
        <is>
          <t>COTS Supportability Upgrades</t>
        </is>
      </c>
    </row>
    <row r="3494">
      <c r="A3494" t="inlineStr">
        <is>
          <t>OPN_BA2</t>
        </is>
      </c>
      <c r="B3494" t="inlineStr">
        <is>
          <t>Procurement</t>
        </is>
      </c>
      <c r="D3494" t="inlineStr">
        <is>
          <t>SSN Acoustic Equipment - P-40a - Initial Training</t>
        </is>
      </c>
      <c r="E3494" t="inlineStr">
        <is>
          <t>[ALT_VIEW]</t>
        </is>
      </c>
      <c r="F3494" t="inlineStr">
        <is>
          <t>2150 / SSN Acoustic Equipment</t>
        </is>
      </c>
      <c r="G3494" t="inlineStr">
        <is>
          <t>P-40a</t>
        </is>
      </c>
      <c r="H3494" t="inlineStr">
        <is>
          <t>Support</t>
        </is>
      </c>
      <c r="I3494" t="n">
        <v>4</v>
      </c>
      <c r="K3494" t="inlineStr">
        <is>
          <t>USN</t>
        </is>
      </c>
      <c r="L3494" t="inlineStr">
        <is>
          <t>Combatant Ships</t>
        </is>
      </c>
      <c r="M3494" t="inlineStr">
        <is>
          <t>Submarines</t>
        </is>
      </c>
      <c r="S3494" t="n">
        <v>2920</v>
      </c>
      <c r="U3494" t="n">
        <v>2920</v>
      </c>
      <c r="AC3494">
        <f>IF(OR(E3494="",E3494="[PARENT]"),"ADD",IF(E3494="[ALT_VIEW]","ALT",""))</f>
        <v/>
      </c>
      <c r="AD3494">
        <f>IF(Y3494&lt;&gt;"",Y3494,IF(U3494&lt;&gt;"",U3494,S3494))</f>
        <v/>
      </c>
      <c r="AE3494">
        <f>IF(AB3494&lt;&gt;"",AB3494,Z3494)</f>
        <v/>
      </c>
      <c r="AF3494" t="inlineStr">
        <is>
          <t>P-40a Cost Analysis &gt; OPN_BA2 LI 2150 &gt; SA401 Initial Training</t>
        </is>
      </c>
      <c r="AJ3494" t="inlineStr">
        <is>
          <t>Initial Training</t>
        </is>
      </c>
    </row>
    <row r="3495">
      <c r="A3495" t="inlineStr">
        <is>
          <t>OPN_BA2</t>
        </is>
      </c>
      <c r="B3495" t="inlineStr">
        <is>
          <t>Procurement</t>
        </is>
      </c>
      <c r="D3495" t="inlineStr">
        <is>
          <t>AN/SLQ-32 - P-5a - SEWIP Block 1B2</t>
        </is>
      </c>
      <c r="E3495" t="inlineStr">
        <is>
          <t>[ALT_VIEW]</t>
        </is>
      </c>
      <c r="F3495" t="inlineStr">
        <is>
          <t>2312 / AN/SLQ-32</t>
        </is>
      </c>
      <c r="G3495" t="inlineStr">
        <is>
          <t>P-5a</t>
        </is>
      </c>
      <c r="H3495" t="inlineStr">
        <is>
          <t>Recurring</t>
        </is>
      </c>
      <c r="I3495" t="n">
        <v>4</v>
      </c>
      <c r="S3495" t="n">
        <v>1271</v>
      </c>
      <c r="U3495" t="n">
        <v>1271</v>
      </c>
      <c r="AC3495">
        <f>IF(OR(E3495="",E3495="[PARENT]"),"ADD",IF(E3495="[ALT_VIEW]","ALT",""))</f>
        <v/>
      </c>
      <c r="AD3495">
        <f>IF(Y3495&lt;&gt;"",Y3495,IF(U3495&lt;&gt;"",U3495,S3495))</f>
        <v/>
      </c>
      <c r="AE3495">
        <f>IF(AB3495&lt;&gt;"",AB3495,Z3495)</f>
        <v/>
      </c>
      <c r="AF3495" t="inlineStr">
        <is>
          <t>P-5a Cost Analysis &gt; OPN_BA2 LI 2312 &gt; TC959 SEWIP Block 1B2</t>
        </is>
      </c>
      <c r="AJ3495" t="inlineStr">
        <is>
          <t>SEWIP Block 1B2</t>
        </is>
      </c>
    </row>
    <row r="3496">
      <c r="A3496" t="inlineStr">
        <is>
          <t>OPN_BA2</t>
        </is>
      </c>
      <c r="B3496" t="inlineStr">
        <is>
          <t>Procurement</t>
        </is>
      </c>
      <c r="D3496" t="inlineStr">
        <is>
          <t>AN/SLQ-32 - P-5a - SEWIP Block 2 Lite</t>
        </is>
      </c>
      <c r="E3496" t="inlineStr">
        <is>
          <t>[ALT_VIEW]</t>
        </is>
      </c>
      <c r="F3496" t="inlineStr">
        <is>
          <t>2312 / AN/SLQ-32</t>
        </is>
      </c>
      <c r="G3496" t="inlineStr">
        <is>
          <t>P-5a</t>
        </is>
      </c>
      <c r="H3496" t="inlineStr">
        <is>
          <t>Recurring</t>
        </is>
      </c>
      <c r="I3496" t="n">
        <v>4</v>
      </c>
      <c r="S3496" t="n">
        <v>15630</v>
      </c>
      <c r="U3496" t="n">
        <v>15630</v>
      </c>
      <c r="AC3496">
        <f>IF(OR(E3496="",E3496="[PARENT]"),"ADD",IF(E3496="[ALT_VIEW]","ALT",""))</f>
        <v/>
      </c>
      <c r="AD3496">
        <f>IF(Y3496&lt;&gt;"",Y3496,IF(U3496&lt;&gt;"",U3496,S3496))</f>
        <v/>
      </c>
      <c r="AE3496">
        <f>IF(AB3496&lt;&gt;"",AB3496,Z3496)</f>
        <v/>
      </c>
      <c r="AF3496" t="inlineStr">
        <is>
          <t>P-5a Cost Analysis &gt; OPN_BA2 LI 2312 &gt; TC959 SEWIP Block 2 Lite</t>
        </is>
      </c>
      <c r="AJ3496" t="inlineStr">
        <is>
          <t>SEWIP Block 2 Lite</t>
        </is>
      </c>
    </row>
    <row r="3497">
      <c r="A3497" t="inlineStr">
        <is>
          <t>OPN_BA2</t>
        </is>
      </c>
      <c r="B3497" t="inlineStr">
        <is>
          <t>Procurement</t>
        </is>
      </c>
      <c r="D3497" t="inlineStr">
        <is>
          <t>AN/SLQ-32 - P-5a - SEWIP CPS and CDS for Lite</t>
        </is>
      </c>
      <c r="E3497" t="inlineStr">
        <is>
          <t>[ALT_VIEW]</t>
        </is>
      </c>
      <c r="F3497" t="inlineStr">
        <is>
          <t>2312 / AN/SLQ-32</t>
        </is>
      </c>
      <c r="G3497" t="inlineStr">
        <is>
          <t>P-5a</t>
        </is>
      </c>
      <c r="H3497" t="inlineStr">
        <is>
          <t>Recurring</t>
        </is>
      </c>
      <c r="I3497" t="n">
        <v>4</v>
      </c>
      <c r="S3497" t="n">
        <v>1545</v>
      </c>
      <c r="U3497" t="n">
        <v>1545</v>
      </c>
      <c r="AC3497">
        <f>IF(OR(E3497="",E3497="[PARENT]"),"ADD",IF(E3497="[ALT_VIEW]","ALT",""))</f>
        <v/>
      </c>
      <c r="AD3497">
        <f>IF(Y3497&lt;&gt;"",Y3497,IF(U3497&lt;&gt;"",U3497,S3497))</f>
        <v/>
      </c>
      <c r="AE3497">
        <f>IF(AB3497&lt;&gt;"",AB3497,Z3497)</f>
        <v/>
      </c>
      <c r="AF3497" t="inlineStr">
        <is>
          <t>P-5a Cost Analysis &gt; OPN_BA2 LI 2312 &gt; TC959 SEWIP CPS and CDS for Lite</t>
        </is>
      </c>
      <c r="AJ3497" t="inlineStr">
        <is>
          <t>SEWIP CPS and CDS for Lite</t>
        </is>
      </c>
    </row>
    <row r="3498">
      <c r="A3498" t="inlineStr">
        <is>
          <t>OPN_BA2</t>
        </is>
      </c>
      <c r="B3498" t="inlineStr">
        <is>
          <t>Procurement</t>
        </is>
      </c>
      <c r="D3498" t="inlineStr">
        <is>
          <t>AN/SLQ-32 - P-5a - SEWIP Production Support + ECPs + Spares</t>
        </is>
      </c>
      <c r="E3498" t="inlineStr">
        <is>
          <t>[ALT_VIEW]</t>
        </is>
      </c>
      <c r="F3498" t="inlineStr">
        <is>
          <t>2312 / AN/SLQ-32</t>
        </is>
      </c>
      <c r="G3498" t="inlineStr">
        <is>
          <t>P-5a</t>
        </is>
      </c>
      <c r="H3498" t="inlineStr">
        <is>
          <t>Support</t>
        </is>
      </c>
      <c r="I3498" t="n">
        <v>4</v>
      </c>
      <c r="S3498" t="n">
        <v>2934</v>
      </c>
      <c r="U3498" t="n">
        <v>2934</v>
      </c>
      <c r="AC3498">
        <f>IF(OR(E3498="",E3498="[PARENT]"),"ADD",IF(E3498="[ALT_VIEW]","ALT",""))</f>
        <v/>
      </c>
      <c r="AD3498">
        <f>IF(Y3498&lt;&gt;"",Y3498,IF(U3498&lt;&gt;"",U3498,S3498))</f>
        <v/>
      </c>
      <c r="AE3498">
        <f>IF(AB3498&lt;&gt;"",AB3498,Z3498)</f>
        <v/>
      </c>
      <c r="AF3498" t="inlineStr">
        <is>
          <t>P-5a Cost Analysis &gt; OPN_BA2 LI 2312 &gt; TC959 SEWIP Production Support + ECPs + Spares</t>
        </is>
      </c>
      <c r="AJ3498" t="inlineStr">
        <is>
          <t>SEWIP Production Support + ECPs + Spares</t>
        </is>
      </c>
    </row>
    <row r="3499">
      <c r="A3499" t="inlineStr">
        <is>
          <t>OPN_BA2</t>
        </is>
      </c>
      <c r="B3499" t="inlineStr">
        <is>
          <t>Procurement</t>
        </is>
      </c>
      <c r="D3499" t="inlineStr">
        <is>
          <t>AN/SLQ-32 - P-5a - Solid State PSI - High Band Transmit/Receive</t>
        </is>
      </c>
      <c r="E3499" t="inlineStr">
        <is>
          <t>[ALT_VIEW]</t>
        </is>
      </c>
      <c r="F3499" t="inlineStr">
        <is>
          <t>2312 / AN/SLQ-32</t>
        </is>
      </c>
      <c r="G3499" t="inlineStr">
        <is>
          <t>P-5a</t>
        </is>
      </c>
      <c r="H3499" t="inlineStr">
        <is>
          <t>Recurring</t>
        </is>
      </c>
      <c r="I3499" t="n">
        <v>4</v>
      </c>
      <c r="S3499" t="n">
        <v>875</v>
      </c>
      <c r="U3499" t="n">
        <v>875</v>
      </c>
      <c r="AC3499">
        <f>IF(OR(E3499="",E3499="[PARENT]"),"ADD",IF(E3499="[ALT_VIEW]","ALT",""))</f>
        <v/>
      </c>
      <c r="AD3499">
        <f>IF(Y3499&lt;&gt;"",Y3499,IF(U3499&lt;&gt;"",U3499,S3499))</f>
        <v/>
      </c>
      <c r="AE3499">
        <f>IF(AB3499&lt;&gt;"",AB3499,Z3499)</f>
        <v/>
      </c>
      <c r="AF3499" t="inlineStr">
        <is>
          <t>P-5a Cost Analysis &gt; OPN_BA2 LI 2312 &gt; TC961 Solid State PSI - High Band Transmit/Receive</t>
        </is>
      </c>
      <c r="AJ3499" t="inlineStr">
        <is>
          <t>Solid State PSI - High Band Transmit/Receive</t>
        </is>
      </c>
    </row>
    <row r="3500">
      <c r="A3500" t="inlineStr">
        <is>
          <t>OPN_BA2</t>
        </is>
      </c>
      <c r="B3500" t="inlineStr">
        <is>
          <t>Procurement</t>
        </is>
      </c>
      <c r="D3500" t="inlineStr">
        <is>
          <t>AN/SLQ-32 - P-5a - Solid State PSI - Engineering Support</t>
        </is>
      </c>
      <c r="E3500" t="inlineStr">
        <is>
          <t>[ALT_VIEW]</t>
        </is>
      </c>
      <c r="F3500" t="inlineStr">
        <is>
          <t>2312 / AN/SLQ-32</t>
        </is>
      </c>
      <c r="G3500" t="inlineStr">
        <is>
          <t>P-5a</t>
        </is>
      </c>
      <c r="H3500" t="inlineStr">
        <is>
          <t>Support</t>
        </is>
      </c>
      <c r="I3500" t="n">
        <v>4</v>
      </c>
      <c r="S3500" t="n">
        <v>1284</v>
      </c>
      <c r="U3500" t="n">
        <v>1284</v>
      </c>
      <c r="AC3500">
        <f>IF(OR(E3500="",E3500="[PARENT]"),"ADD",IF(E3500="[ALT_VIEW]","ALT",""))</f>
        <v/>
      </c>
      <c r="AD3500">
        <f>IF(Y3500&lt;&gt;"",Y3500,IF(U3500&lt;&gt;"",U3500,S3500))</f>
        <v/>
      </c>
      <c r="AE3500">
        <f>IF(AB3500&lt;&gt;"",AB3500,Z3500)</f>
        <v/>
      </c>
      <c r="AF3500" t="inlineStr">
        <is>
          <t>P-5a Cost Analysis &gt; OPN_BA2 LI 2312 &gt; TC961 Solid State PSI - Engineering Support</t>
        </is>
      </c>
      <c r="AJ3500" t="inlineStr">
        <is>
          <t>Solid State PSI - Engineering Support</t>
        </is>
      </c>
    </row>
    <row r="3501">
      <c r="A3501" t="inlineStr">
        <is>
          <t>OPN_BA2</t>
        </is>
      </c>
      <c r="B3501" t="inlineStr">
        <is>
          <t>Procurement</t>
        </is>
      </c>
      <c r="D3501" t="inlineStr">
        <is>
          <t>AN/SLQ-32 - P-5a - RMA/INT Kit Procurement (no install)</t>
        </is>
      </c>
      <c r="E3501" t="inlineStr">
        <is>
          <t>[ALT_VIEW]</t>
        </is>
      </c>
      <c r="F3501" t="inlineStr">
        <is>
          <t>2312 / AN/SLQ-32</t>
        </is>
      </c>
      <c r="G3501" t="inlineStr">
        <is>
          <t>P-5a</t>
        </is>
      </c>
      <c r="H3501" t="inlineStr">
        <is>
          <t>Recurring</t>
        </is>
      </c>
      <c r="I3501" t="n">
        <v>4</v>
      </c>
      <c r="S3501" t="n">
        <v>5160</v>
      </c>
      <c r="U3501" t="n">
        <v>5160</v>
      </c>
      <c r="AC3501">
        <f>IF(OR(E3501="",E3501="[PARENT]"),"ADD",IF(E3501="[ALT_VIEW]","ALT",""))</f>
        <v/>
      </c>
      <c r="AD3501">
        <f>IF(Y3501&lt;&gt;"",Y3501,IF(U3501&lt;&gt;"",U3501,S3501))</f>
        <v/>
      </c>
      <c r="AE3501">
        <f>IF(AB3501&lt;&gt;"",AB3501,Z3501)</f>
        <v/>
      </c>
      <c r="AF3501" t="inlineStr">
        <is>
          <t>P-5a Cost Analysis &gt; OPN_BA2 LI 2312 &gt; TC962 RMA/INT Kit Procurement (no install)</t>
        </is>
      </c>
      <c r="AJ3501" t="inlineStr">
        <is>
          <t>RMA/INT Kit Procurement (no install)</t>
        </is>
      </c>
    </row>
    <row r="3502">
      <c r="A3502" t="inlineStr">
        <is>
          <t>OPN_BA2</t>
        </is>
      </c>
      <c r="B3502" t="inlineStr">
        <is>
          <t>Procurement</t>
        </is>
      </c>
      <c r="D3502" t="inlineStr">
        <is>
          <t>AN/SLQ-32 - P-5a - Environmental Kit Procurement (no install)</t>
        </is>
      </c>
      <c r="E3502" t="inlineStr">
        <is>
          <t>[ALT_VIEW]</t>
        </is>
      </c>
      <c r="F3502" t="inlineStr">
        <is>
          <t>2312 / AN/SLQ-32</t>
        </is>
      </c>
      <c r="G3502" t="inlineStr">
        <is>
          <t>P-5a</t>
        </is>
      </c>
      <c r="H3502" t="inlineStr">
        <is>
          <t>Recurring</t>
        </is>
      </c>
      <c r="I3502" t="n">
        <v>4</v>
      </c>
      <c r="S3502" t="n">
        <v>849</v>
      </c>
      <c r="U3502" t="n">
        <v>849</v>
      </c>
      <c r="AC3502">
        <f>IF(OR(E3502="",E3502="[PARENT]"),"ADD",IF(E3502="[ALT_VIEW]","ALT",""))</f>
        <v/>
      </c>
      <c r="AD3502">
        <f>IF(Y3502&lt;&gt;"",Y3502,IF(U3502&lt;&gt;"",U3502,S3502))</f>
        <v/>
      </c>
      <c r="AE3502">
        <f>IF(AB3502&lt;&gt;"",AB3502,Z3502)</f>
        <v/>
      </c>
      <c r="AF3502" t="inlineStr">
        <is>
          <t>P-5a Cost Analysis &gt; OPN_BA2 LI 2312 &gt; TC962 Environmental Kit Procurement (no install)</t>
        </is>
      </c>
      <c r="AJ3502" t="inlineStr">
        <is>
          <t>Environmental Kit Procurement (no install)</t>
        </is>
      </c>
    </row>
    <row r="3503">
      <c r="A3503" t="inlineStr">
        <is>
          <t>OPN_BA2</t>
        </is>
      </c>
      <c r="B3503" t="inlineStr">
        <is>
          <t>Procurement</t>
        </is>
      </c>
      <c r="D3503" t="inlineStr">
        <is>
          <t>AN/SLQ-32 - P-5a - Obsolescence Kit Procurement (no install)</t>
        </is>
      </c>
      <c r="E3503" t="inlineStr">
        <is>
          <t>[ALT_VIEW]</t>
        </is>
      </c>
      <c r="F3503" t="inlineStr">
        <is>
          <t>2312 / AN/SLQ-32</t>
        </is>
      </c>
      <c r="G3503" t="inlineStr">
        <is>
          <t>P-5a</t>
        </is>
      </c>
      <c r="H3503" t="inlineStr">
        <is>
          <t>Recurring</t>
        </is>
      </c>
      <c r="I3503" t="n">
        <v>4</v>
      </c>
      <c r="S3503" t="n">
        <v>8240</v>
      </c>
      <c r="U3503" t="n">
        <v>8240</v>
      </c>
      <c r="AC3503">
        <f>IF(OR(E3503="",E3503="[PARENT]"),"ADD",IF(E3503="[ALT_VIEW]","ALT",""))</f>
        <v/>
      </c>
      <c r="AD3503">
        <f>IF(Y3503&lt;&gt;"",Y3503,IF(U3503&lt;&gt;"",U3503,S3503))</f>
        <v/>
      </c>
      <c r="AE3503">
        <f>IF(AB3503&lt;&gt;"",AB3503,Z3503)</f>
        <v/>
      </c>
      <c r="AF3503" t="inlineStr">
        <is>
          <t>P-5a Cost Analysis &gt; OPN_BA2 LI 2312 &gt; TC962 Obsolescence Kit Procurement (no install)</t>
        </is>
      </c>
      <c r="AJ3503" t="inlineStr">
        <is>
          <t>Obsolescence Kit Procurement (no install)</t>
        </is>
      </c>
    </row>
    <row r="3504">
      <c r="A3504" t="inlineStr">
        <is>
          <t>OPN_BA2</t>
        </is>
      </c>
      <c r="B3504" t="inlineStr">
        <is>
          <t>Procurement</t>
        </is>
      </c>
      <c r="D3504" t="inlineStr">
        <is>
          <t>AN/SLQ-32 - P-5a - AAPA Kit Procurement</t>
        </is>
      </c>
      <c r="E3504" t="inlineStr">
        <is>
          <t>[ALT_VIEW]</t>
        </is>
      </c>
      <c r="F3504" t="inlineStr">
        <is>
          <t>2312 / AN/SLQ-32</t>
        </is>
      </c>
      <c r="G3504" t="inlineStr">
        <is>
          <t>P-5a</t>
        </is>
      </c>
      <c r="H3504" t="inlineStr">
        <is>
          <t>Recurring</t>
        </is>
      </c>
      <c r="I3504" t="n">
        <v>4</v>
      </c>
      <c r="S3504" t="n">
        <v>38676</v>
      </c>
      <c r="U3504" t="n">
        <v>38676</v>
      </c>
      <c r="AC3504">
        <f>IF(OR(E3504="",E3504="[PARENT]"),"ADD",IF(E3504="[ALT_VIEW]","ALT",""))</f>
        <v/>
      </c>
      <c r="AD3504">
        <f>IF(Y3504&lt;&gt;"",Y3504,IF(U3504&lt;&gt;"",U3504,S3504))</f>
        <v/>
      </c>
      <c r="AE3504">
        <f>IF(AB3504&lt;&gt;"",AB3504,Z3504)</f>
        <v/>
      </c>
      <c r="AF3504" t="inlineStr">
        <is>
          <t>P-5a Cost Analysis &gt; OPN_BA2 LI 2312 &gt; TC962 AAPA Kit Procurement</t>
        </is>
      </c>
      <c r="AJ3504" t="inlineStr">
        <is>
          <t>AAPA Kit Procurement</t>
        </is>
      </c>
    </row>
    <row r="3505">
      <c r="A3505" t="inlineStr">
        <is>
          <t>OPN_BA2</t>
        </is>
      </c>
      <c r="B3505" t="inlineStr">
        <is>
          <t>Procurement</t>
        </is>
      </c>
      <c r="D3505" t="inlineStr">
        <is>
          <t>AN/SLQ-32 - P-5a - AN/SLQ-32(V)6 Test Sets</t>
        </is>
      </c>
      <c r="E3505" t="inlineStr">
        <is>
          <t>[ALT_VIEW]</t>
        </is>
      </c>
      <c r="F3505" t="inlineStr">
        <is>
          <t>2312 / AN/SLQ-32</t>
        </is>
      </c>
      <c r="G3505" t="inlineStr">
        <is>
          <t>P-5a</t>
        </is>
      </c>
      <c r="H3505" t="inlineStr">
        <is>
          <t>Recurring</t>
        </is>
      </c>
      <c r="I3505" t="n">
        <v>4</v>
      </c>
      <c r="S3505" t="n">
        <v>6899</v>
      </c>
      <c r="U3505" t="n">
        <v>6899</v>
      </c>
      <c r="AC3505">
        <f>IF(OR(E3505="",E3505="[PARENT]"),"ADD",IF(E3505="[ALT_VIEW]","ALT",""))</f>
        <v/>
      </c>
      <c r="AD3505">
        <f>IF(Y3505&lt;&gt;"",Y3505,IF(U3505&lt;&gt;"",U3505,S3505))</f>
        <v/>
      </c>
      <c r="AE3505">
        <f>IF(AB3505&lt;&gt;"",AB3505,Z3505)</f>
        <v/>
      </c>
      <c r="AF3505" t="inlineStr">
        <is>
          <t>P-5a Cost Analysis &gt; OPN_BA2 LI 2312 &gt; TC963 AN/SLQ-32(V)6 Test Sets</t>
        </is>
      </c>
      <c r="AJ3505" t="inlineStr">
        <is>
          <t>AN/SLQ-32(V)6 Test Sets</t>
        </is>
      </c>
    </row>
    <row r="3506">
      <c r="A3506" t="inlineStr">
        <is>
          <t>OPN_BA2</t>
        </is>
      </c>
      <c r="B3506" t="inlineStr">
        <is>
          <t>Procurement</t>
        </is>
      </c>
      <c r="D3506" t="inlineStr">
        <is>
          <t>AN/SLQ-32 - P-5a - AN/SLQ-32(V)7 Test Sets</t>
        </is>
      </c>
      <c r="E3506" t="inlineStr">
        <is>
          <t>[ALT_VIEW]</t>
        </is>
      </c>
      <c r="F3506" t="inlineStr">
        <is>
          <t>2312 / AN/SLQ-32</t>
        </is>
      </c>
      <c r="G3506" t="inlineStr">
        <is>
          <t>P-5a</t>
        </is>
      </c>
      <c r="H3506" t="inlineStr">
        <is>
          <t>Recurring</t>
        </is>
      </c>
      <c r="I3506" t="n">
        <v>4</v>
      </c>
      <c r="S3506" t="n">
        <v>7058</v>
      </c>
      <c r="U3506" t="n">
        <v>7058</v>
      </c>
      <c r="AC3506">
        <f>IF(OR(E3506="",E3506="[PARENT]"),"ADD",IF(E3506="[ALT_VIEW]","ALT",""))</f>
        <v/>
      </c>
      <c r="AD3506">
        <f>IF(Y3506&lt;&gt;"",Y3506,IF(U3506&lt;&gt;"",U3506,S3506))</f>
        <v/>
      </c>
      <c r="AE3506">
        <f>IF(AB3506&lt;&gt;"",AB3506,Z3506)</f>
        <v/>
      </c>
      <c r="AF3506" t="inlineStr">
        <is>
          <t>P-5a Cost Analysis &gt; OPN_BA2 LI 2312 &gt; TC963 AN/SLQ-32(V)7 Test Sets</t>
        </is>
      </c>
      <c r="AJ3506" t="inlineStr">
        <is>
          <t>AN/SLQ-32(V)7 Test Sets</t>
        </is>
      </c>
    </row>
    <row r="3507">
      <c r="A3507" t="inlineStr">
        <is>
          <t>OPN_BA2</t>
        </is>
      </c>
      <c r="B3507" t="inlineStr">
        <is>
          <t>Procurement</t>
        </is>
      </c>
      <c r="D3507" t="inlineStr">
        <is>
          <t>AN/SLQ-32 - P-5a - SLQ-32(V)7 EA Characterization Test Set</t>
        </is>
      </c>
      <c r="E3507" t="inlineStr">
        <is>
          <t>[ALT_VIEW]</t>
        </is>
      </c>
      <c r="F3507" t="inlineStr">
        <is>
          <t>2312 / AN/SLQ-32</t>
        </is>
      </c>
      <c r="G3507" t="inlineStr">
        <is>
          <t>P-5a</t>
        </is>
      </c>
      <c r="H3507" t="inlineStr">
        <is>
          <t>Recurring</t>
        </is>
      </c>
      <c r="I3507" t="n">
        <v>4</v>
      </c>
      <c r="S3507" t="n">
        <v>12012</v>
      </c>
      <c r="U3507" t="n">
        <v>12012</v>
      </c>
      <c r="AC3507">
        <f>IF(OR(E3507="",E3507="[PARENT]"),"ADD",IF(E3507="[ALT_VIEW]","ALT",""))</f>
        <v/>
      </c>
      <c r="AD3507">
        <f>IF(Y3507&lt;&gt;"",Y3507,IF(U3507&lt;&gt;"",U3507,S3507))</f>
        <v/>
      </c>
      <c r="AE3507">
        <f>IF(AB3507&lt;&gt;"",AB3507,Z3507)</f>
        <v/>
      </c>
      <c r="AF3507" t="inlineStr">
        <is>
          <t>P-5a Cost Analysis &gt; OPN_BA2 LI 2312 &gt; TC963 SLQ-32(V)7 EA Characterization Test Set</t>
        </is>
      </c>
      <c r="AJ3507" t="inlineStr">
        <is>
          <t>SLQ-32(V)7 EA Characterization Test Set</t>
        </is>
      </c>
    </row>
    <row r="3508">
      <c r="A3508" t="inlineStr">
        <is>
          <t>OPN_BA2</t>
        </is>
      </c>
      <c r="B3508" t="inlineStr">
        <is>
          <t>Procurement</t>
        </is>
      </c>
      <c r="D3508" t="inlineStr">
        <is>
          <t>AN/SLQ-32 - P-5a - NRE (RMA/INT + Environmental + Obsolescence)</t>
        </is>
      </c>
      <c r="E3508" t="inlineStr">
        <is>
          <t>[ALT_VIEW]</t>
        </is>
      </c>
      <c r="F3508" t="inlineStr">
        <is>
          <t>2312 / AN/SLQ-32</t>
        </is>
      </c>
      <c r="G3508" t="inlineStr">
        <is>
          <t>P-5a</t>
        </is>
      </c>
      <c r="H3508" t="inlineStr">
        <is>
          <t>Non-Recurring</t>
        </is>
      </c>
      <c r="I3508" t="n">
        <v>4</v>
      </c>
      <c r="S3508" t="n">
        <v>7767</v>
      </c>
      <c r="U3508" t="n">
        <v>7767</v>
      </c>
      <c r="AC3508">
        <f>IF(OR(E3508="",E3508="[PARENT]"),"ADD",IF(E3508="[ALT_VIEW]","ALT",""))</f>
        <v/>
      </c>
      <c r="AD3508">
        <f>IF(Y3508&lt;&gt;"",Y3508,IF(U3508&lt;&gt;"",U3508,S3508))</f>
        <v/>
      </c>
      <c r="AE3508">
        <f>IF(AB3508&lt;&gt;"",AB3508,Z3508)</f>
        <v/>
      </c>
      <c r="AF3508" t="inlineStr">
        <is>
          <t>P-5a Cost Analysis &gt; OPN_BA2 LI 2312 &gt; TC962-NRE NRE (RMA/INT + Environmental + Obsolescence)</t>
        </is>
      </c>
      <c r="AJ3508" t="inlineStr">
        <is>
          <t>NRE (RMA/INT + Environmental + Obsolescence)</t>
        </is>
      </c>
    </row>
    <row r="3509">
      <c r="A3509" t="inlineStr">
        <is>
          <t>OPN_BA2</t>
        </is>
      </c>
      <c r="B3509" t="inlineStr">
        <is>
          <t>Procurement</t>
        </is>
      </c>
      <c r="D3509" t="inlineStr">
        <is>
          <t>Shipboard IW Exploit - P-5 1 / Shipboard IW Exploit - Information Warfare (IW) Training Equipment</t>
        </is>
      </c>
      <c r="E3509" t="inlineStr">
        <is>
          <t>[ALT_VIEW]</t>
        </is>
      </c>
      <c r="F3509" t="inlineStr">
        <is>
          <t>2360 / Shipboard IW Exploit</t>
        </is>
      </c>
      <c r="G3509" t="inlineStr">
        <is>
          <t>P-5</t>
        </is>
      </c>
      <c r="H3509" t="inlineStr">
        <is>
          <t>Recurring</t>
        </is>
      </c>
      <c r="I3509" t="n">
        <v>4</v>
      </c>
      <c r="Q3509" t="n">
        <v>3421</v>
      </c>
      <c r="S3509" t="n">
        <v>3492</v>
      </c>
      <c r="U3509" t="n">
        <v>3492</v>
      </c>
      <c r="AC3509">
        <f>IF(OR(E3509="",E3509="[PARENT]"),"ADD",IF(E3509="[ALT_VIEW]","ALT",""))</f>
        <v/>
      </c>
      <c r="AD3509">
        <f>IF(Y3509&lt;&gt;"",Y3509,IF(U3509&lt;&gt;"",U3509,S3509))</f>
        <v/>
      </c>
      <c r="AE3509">
        <f>IF(AB3509&lt;&gt;"",AB3509,Z3509)</f>
        <v/>
      </c>
      <c r="AF3509" t="inlineStr">
        <is>
          <t>P-5 Cost Analysis &gt; OPN_BA2 LI 2360 &gt; 2.1.1 Information Warfare (IW) Training Equipment</t>
        </is>
      </c>
      <c r="AJ3509" t="inlineStr">
        <is>
          <t>Information Warfare (IW) Training Equipment</t>
        </is>
      </c>
    </row>
    <row r="3510">
      <c r="A3510" t="inlineStr">
        <is>
          <t>OPN_BA2</t>
        </is>
      </c>
      <c r="B3510" t="inlineStr">
        <is>
          <t>Procurement</t>
        </is>
      </c>
      <c r="D3510" t="inlineStr">
        <is>
          <t>Shipboard IW Exploit - P-5 1 / Shipboard IW Exploit - CCOP Systems &amp; Subsystems</t>
        </is>
      </c>
      <c r="E3510" t="inlineStr">
        <is>
          <t>[ALT_VIEW]</t>
        </is>
      </c>
      <c r="F3510" t="inlineStr">
        <is>
          <t>2360 / Shipboard IW Exploit</t>
        </is>
      </c>
      <c r="G3510" t="inlineStr">
        <is>
          <t>P-5</t>
        </is>
      </c>
      <c r="H3510" t="inlineStr">
        <is>
          <t>Recurring</t>
        </is>
      </c>
      <c r="I3510" t="n">
        <v>4</v>
      </c>
      <c r="S3510" t="n">
        <v>7144</v>
      </c>
      <c r="U3510" t="n">
        <v>7144</v>
      </c>
      <c r="AC3510">
        <f>IF(OR(E3510="",E3510="[PARENT]"),"ADD",IF(E3510="[ALT_VIEW]","ALT",""))</f>
        <v/>
      </c>
      <c r="AD3510">
        <f>IF(Y3510&lt;&gt;"",Y3510,IF(U3510&lt;&gt;"",U3510,S3510))</f>
        <v/>
      </c>
      <c r="AE3510">
        <f>IF(AB3510&lt;&gt;"",AB3510,Z3510)</f>
        <v/>
      </c>
      <c r="AF3510" t="inlineStr">
        <is>
          <t>P-5 Cost Analysis &gt; OPN_BA2 LI 2360 &gt; 6.1.1 CCOP Systems &amp; Subsystems</t>
        </is>
      </c>
      <c r="AJ3510" t="inlineStr">
        <is>
          <t>CCOP Systems &amp; Subsystems</t>
        </is>
      </c>
    </row>
    <row r="3511">
      <c r="A3511" t="inlineStr">
        <is>
          <t>OPN_BA2</t>
        </is>
      </c>
      <c r="B3511" t="inlineStr">
        <is>
          <t>Procurement</t>
        </is>
      </c>
      <c r="D3511" t="inlineStr">
        <is>
          <t>Shipboard IW Exploit - P-5 1 / Shipboard IW Exploit - Support + Installation</t>
        </is>
      </c>
      <c r="E3511" t="inlineStr">
        <is>
          <t>[ALT_VIEW]</t>
        </is>
      </c>
      <c r="F3511" t="inlineStr">
        <is>
          <t>2360 / Shipboard IW Exploit</t>
        </is>
      </c>
      <c r="G3511" t="inlineStr">
        <is>
          <t>P-5</t>
        </is>
      </c>
      <c r="H3511" t="inlineStr">
        <is>
          <t>Support</t>
        </is>
      </c>
      <c r="I3511" t="n">
        <v>4</v>
      </c>
      <c r="S3511" t="n">
        <v>638</v>
      </c>
      <c r="U3511" t="n">
        <v>638</v>
      </c>
      <c r="AC3511">
        <f>IF(OR(E3511="",E3511="[PARENT]"),"ADD",IF(E3511="[ALT_VIEW]","ALT",""))</f>
        <v/>
      </c>
      <c r="AD3511">
        <f>IF(Y3511&lt;&gt;"",Y3511,IF(U3511&lt;&gt;"",U3511,S3511))</f>
        <v/>
      </c>
      <c r="AE3511">
        <f>IF(AB3511&lt;&gt;"",AB3511,Z3511)</f>
        <v/>
      </c>
      <c r="AF3511" t="inlineStr">
        <is>
          <t>P-5 Cost Analysis &gt; OPN_BA2 LI 2360 &gt;  Support + Installation</t>
        </is>
      </c>
      <c r="AJ3511" t="inlineStr">
        <is>
          <t>Support + Installation</t>
        </is>
      </c>
    </row>
    <row r="3512">
      <c r="A3512" t="inlineStr">
        <is>
          <t>OPN_BA4</t>
        </is>
      </c>
      <c r="B3512" t="inlineStr">
        <is>
          <t>Procurement</t>
        </is>
      </c>
      <c r="D3512" t="inlineStr">
        <is>
          <t>Strategic Missile Systems Equip - P-5a - Shipboard Systems Modernization Portfolio (SSMP)</t>
        </is>
      </c>
      <c r="E3512" t="inlineStr">
        <is>
          <t>[ALT_VIEW]</t>
        </is>
      </c>
      <c r="F3512" t="inlineStr">
        <is>
          <t>5358 / Strategic Missile Systems Equip</t>
        </is>
      </c>
      <c r="G3512" t="inlineStr">
        <is>
          <t>P-5a</t>
        </is>
      </c>
      <c r="H3512" t="inlineStr">
        <is>
          <t>Recurring</t>
        </is>
      </c>
      <c r="I3512" t="n">
        <v>4</v>
      </c>
      <c r="K3512" t="inlineStr">
        <is>
          <t>USN</t>
        </is>
      </c>
      <c r="L3512" t="inlineStr">
        <is>
          <t>Combatant Ships</t>
        </is>
      </c>
      <c r="M3512" t="inlineStr">
        <is>
          <t>Submarines</t>
        </is>
      </c>
      <c r="S3512" t="n">
        <v>127209</v>
      </c>
      <c r="U3512" t="n">
        <v>127209</v>
      </c>
      <c r="AC3512">
        <f>IF(OR(E3512="",E3512="[PARENT]"),"ADD",IF(E3512="[ALT_VIEW]","ALT",""))</f>
        <v/>
      </c>
      <c r="AD3512">
        <f>IF(Y3512&lt;&gt;"",Y3512,IF(U3512&lt;&gt;"",U3512,S3512))</f>
        <v/>
      </c>
      <c r="AE3512">
        <f>IF(AB3512&lt;&gt;"",AB3512,Z3512)</f>
        <v/>
      </c>
      <c r="AF3512" t="inlineStr">
        <is>
          <t>P-5a Cost Analysis &gt; OPN_BA4 LI 5358 &gt; 14 Shipboard Systems Modernization Portfolio (SSMP)</t>
        </is>
      </c>
      <c r="AJ3512" t="inlineStr">
        <is>
          <t>Shipboard Systems Modernization Portfolio (SSMP)</t>
        </is>
      </c>
    </row>
    <row r="3513">
      <c r="A3513" t="inlineStr">
        <is>
          <t>OPN_BA4</t>
        </is>
      </c>
      <c r="B3513" t="inlineStr">
        <is>
          <t>Procurement</t>
        </is>
      </c>
      <c r="D3513" t="inlineStr">
        <is>
          <t>Strategic Missile Systems Equip - P-5a - Columbia Class</t>
        </is>
      </c>
      <c r="E3513" t="inlineStr">
        <is>
          <t>[ALT_VIEW]</t>
        </is>
      </c>
      <c r="F3513" t="inlineStr">
        <is>
          <t>5358 / Strategic Missile Systems Equip</t>
        </is>
      </c>
      <c r="G3513" t="inlineStr">
        <is>
          <t>P-5a</t>
        </is>
      </c>
      <c r="H3513" t="inlineStr">
        <is>
          <t>Recurring</t>
        </is>
      </c>
      <c r="I3513" t="n">
        <v>4</v>
      </c>
      <c r="K3513" t="inlineStr">
        <is>
          <t>USN</t>
        </is>
      </c>
      <c r="L3513" t="inlineStr">
        <is>
          <t>Combatant Ships</t>
        </is>
      </c>
      <c r="M3513" t="inlineStr">
        <is>
          <t>Submarines</t>
        </is>
      </c>
      <c r="S3513" t="n">
        <v>200317</v>
      </c>
      <c r="U3513" t="n">
        <v>200317</v>
      </c>
      <c r="AC3513">
        <f>IF(OR(E3513="",E3513="[PARENT]"),"ADD",IF(E3513="[ALT_VIEW]","ALT",""))</f>
        <v/>
      </c>
      <c r="AD3513">
        <f>IF(Y3513&lt;&gt;"",Y3513,IF(U3513&lt;&gt;"",U3513,S3513))</f>
        <v/>
      </c>
      <c r="AE3513">
        <f>IF(AB3513&lt;&gt;"",AB3513,Z3513)</f>
        <v/>
      </c>
      <c r="AF3513" t="inlineStr">
        <is>
          <t>P-5a Cost Analysis &gt; OPN_BA4 LI 5358 &gt; 16 Columbia Class</t>
        </is>
      </c>
      <c r="AJ3513" t="inlineStr">
        <is>
          <t>Columbia Class</t>
        </is>
      </c>
    </row>
    <row r="3514">
      <c r="A3514" t="inlineStr">
        <is>
          <t>OPN_BA4</t>
        </is>
      </c>
      <c r="B3514" t="inlineStr">
        <is>
          <t>Procurement</t>
        </is>
      </c>
      <c r="D3514" t="inlineStr">
        <is>
          <t>Strategic Missile Systems Equip - P-5a - Fire Control Equipment</t>
        </is>
      </c>
      <c r="E3514" t="inlineStr">
        <is>
          <t>[ALT_VIEW]</t>
        </is>
      </c>
      <c r="F3514" t="inlineStr">
        <is>
          <t>5358 / Strategic Missile Systems Equip</t>
        </is>
      </c>
      <c r="G3514" t="inlineStr">
        <is>
          <t>P-5a</t>
        </is>
      </c>
      <c r="H3514" t="inlineStr">
        <is>
          <t>Recurring</t>
        </is>
      </c>
      <c r="I3514" t="n">
        <v>4</v>
      </c>
      <c r="K3514" t="inlineStr">
        <is>
          <t>USN</t>
        </is>
      </c>
      <c r="L3514" t="inlineStr">
        <is>
          <t>Combatant Ships</t>
        </is>
      </c>
      <c r="M3514" t="inlineStr">
        <is>
          <t>Submarines</t>
        </is>
      </c>
      <c r="S3514" t="n">
        <v>32100</v>
      </c>
      <c r="U3514" t="n">
        <v>32100</v>
      </c>
      <c r="AC3514">
        <f>IF(OR(E3514="",E3514="[PARENT]"),"ADD",IF(E3514="[ALT_VIEW]","ALT",""))</f>
        <v/>
      </c>
      <c r="AD3514">
        <f>IF(Y3514&lt;&gt;"",Y3514,IF(U3514&lt;&gt;"",U3514,S3514))</f>
        <v/>
      </c>
      <c r="AE3514">
        <f>IF(AB3514&lt;&gt;"",AB3514,Z3514)</f>
        <v/>
      </c>
      <c r="AF3514" t="inlineStr">
        <is>
          <t>P-5a Cost Analysis &gt; OPN_BA4 LI 5358 &gt; 2 Fire Control Equipment</t>
        </is>
      </c>
      <c r="AJ3514" t="inlineStr">
        <is>
          <t>Fire Control Equipment</t>
        </is>
      </c>
    </row>
    <row r="3515">
      <c r="A3515" t="inlineStr">
        <is>
          <t>OPN_BA4</t>
        </is>
      </c>
      <c r="B3515" t="inlineStr">
        <is>
          <t>Procurement</t>
        </is>
      </c>
      <c r="D3515" t="inlineStr">
        <is>
          <t>Strategic Missile Systems Equip - P-5a - Instrumentation/Missile Checkout Equipment</t>
        </is>
      </c>
      <c r="E3515" t="inlineStr">
        <is>
          <t>[ALT_VIEW]</t>
        </is>
      </c>
      <c r="F3515" t="inlineStr">
        <is>
          <t>5358 / Strategic Missile Systems Equip</t>
        </is>
      </c>
      <c r="G3515" t="inlineStr">
        <is>
          <t>P-5a</t>
        </is>
      </c>
      <c r="H3515" t="inlineStr">
        <is>
          <t>Recurring</t>
        </is>
      </c>
      <c r="I3515" t="n">
        <v>4</v>
      </c>
      <c r="K3515" t="inlineStr">
        <is>
          <t>USN</t>
        </is>
      </c>
      <c r="L3515" t="inlineStr">
        <is>
          <t>Combatant Ships</t>
        </is>
      </c>
      <c r="M3515" t="inlineStr">
        <is>
          <t>Submarines</t>
        </is>
      </c>
      <c r="S3515" t="n">
        <v>29356</v>
      </c>
      <c r="U3515" t="n">
        <v>29356</v>
      </c>
      <c r="AC3515">
        <f>IF(OR(E3515="",E3515="[PARENT]"),"ADD",IF(E3515="[ALT_VIEW]","ALT",""))</f>
        <v/>
      </c>
      <c r="AD3515">
        <f>IF(Y3515&lt;&gt;"",Y3515,IF(U3515&lt;&gt;"",U3515,S3515))</f>
        <v/>
      </c>
      <c r="AE3515">
        <f>IF(AB3515&lt;&gt;"",AB3515,Z3515)</f>
        <v/>
      </c>
      <c r="AF3515" t="inlineStr">
        <is>
          <t>P-5a Cost Analysis &gt; OPN_BA4 LI 5358 &gt; 4 Instrumentation/Missile Checkout Equipment</t>
        </is>
      </c>
      <c r="AJ3515" t="inlineStr">
        <is>
          <t>Instrumentation/Missile Checkout Equipment</t>
        </is>
      </c>
    </row>
    <row r="3516">
      <c r="A3516" t="inlineStr">
        <is>
          <t>OPN_BA4</t>
        </is>
      </c>
      <c r="B3516" t="inlineStr">
        <is>
          <t>Procurement</t>
        </is>
      </c>
      <c r="D3516" t="inlineStr">
        <is>
          <t>Strategic Missile Systems Equip - P-5a - Training Support Equipment</t>
        </is>
      </c>
      <c r="E3516" t="inlineStr">
        <is>
          <t>[ALT_VIEW]</t>
        </is>
      </c>
      <c r="F3516" t="inlineStr">
        <is>
          <t>5358 / Strategic Missile Systems Equip</t>
        </is>
      </c>
      <c r="G3516" t="inlineStr">
        <is>
          <t>P-5a</t>
        </is>
      </c>
      <c r="H3516" t="inlineStr">
        <is>
          <t>Support</t>
        </is>
      </c>
      <c r="I3516" t="n">
        <v>4</v>
      </c>
      <c r="K3516" t="inlineStr">
        <is>
          <t>USN</t>
        </is>
      </c>
      <c r="L3516" t="inlineStr">
        <is>
          <t>Combatant Ships</t>
        </is>
      </c>
      <c r="M3516" t="inlineStr">
        <is>
          <t>Submarines</t>
        </is>
      </c>
      <c r="S3516" t="n">
        <v>12514</v>
      </c>
      <c r="U3516" t="n">
        <v>12514</v>
      </c>
      <c r="AC3516">
        <f>IF(OR(E3516="",E3516="[PARENT]"),"ADD",IF(E3516="[ALT_VIEW]","ALT",""))</f>
        <v/>
      </c>
      <c r="AD3516">
        <f>IF(Y3516&lt;&gt;"",Y3516,IF(U3516&lt;&gt;"",U3516,S3516))</f>
        <v/>
      </c>
      <c r="AE3516">
        <f>IF(AB3516&lt;&gt;"",AB3516,Z3516)</f>
        <v/>
      </c>
      <c r="AF3516" t="inlineStr">
        <is>
          <t>P-5a Cost Analysis &gt; OPN_BA4 LI 5358 &gt; 15 Training Support Equipment</t>
        </is>
      </c>
      <c r="AJ3516" t="inlineStr">
        <is>
          <t>Training Support Equipment</t>
        </is>
      </c>
    </row>
    <row r="3517">
      <c r="A3517" t="inlineStr">
        <is>
          <t>OPN_BA4</t>
        </is>
      </c>
      <c r="B3517" t="inlineStr">
        <is>
          <t>Procurement</t>
        </is>
      </c>
      <c r="D3517" t="inlineStr">
        <is>
          <t>Strategic Missile Systems Equip - P-5a - Alterations - Launcher &amp; Handling</t>
        </is>
      </c>
      <c r="E3517" t="inlineStr">
        <is>
          <t>[ALT_VIEW]</t>
        </is>
      </c>
      <c r="F3517" t="inlineStr">
        <is>
          <t>5358 / Strategic Missile Systems Equip</t>
        </is>
      </c>
      <c r="G3517" t="inlineStr">
        <is>
          <t>P-5a</t>
        </is>
      </c>
      <c r="H3517" t="inlineStr">
        <is>
          <t>Recurring</t>
        </is>
      </c>
      <c r="I3517" t="n">
        <v>4</v>
      </c>
      <c r="K3517" t="inlineStr">
        <is>
          <t>USN</t>
        </is>
      </c>
      <c r="L3517" t="inlineStr">
        <is>
          <t>Combatant Ships</t>
        </is>
      </c>
      <c r="M3517" t="inlineStr">
        <is>
          <t>Submarines</t>
        </is>
      </c>
      <c r="S3517" t="n">
        <v>13851</v>
      </c>
      <c r="U3517" t="n">
        <v>13851</v>
      </c>
      <c r="AC3517">
        <f>IF(OR(E3517="",E3517="[PARENT]"),"ADD",IF(E3517="[ALT_VIEW]","ALT",""))</f>
        <v/>
      </c>
      <c r="AD3517">
        <f>IF(Y3517&lt;&gt;"",Y3517,IF(U3517&lt;&gt;"",U3517,S3517))</f>
        <v/>
      </c>
      <c r="AE3517">
        <f>IF(AB3517&lt;&gt;"",AB3517,Z3517)</f>
        <v/>
      </c>
      <c r="AF3517" t="inlineStr">
        <is>
          <t>P-5a Cost Analysis &gt; OPN_BA4 LI 5358 &gt; 6 Alterations - Launcher &amp; Handling</t>
        </is>
      </c>
      <c r="AJ3517" t="inlineStr">
        <is>
          <t>Alterations - Launcher &amp; Handling</t>
        </is>
      </c>
    </row>
    <row r="3518">
      <c r="A3518" t="inlineStr">
        <is>
          <t>OPN_BA4</t>
        </is>
      </c>
      <c r="B3518" t="inlineStr">
        <is>
          <t>Procurement</t>
        </is>
      </c>
      <c r="D3518" t="inlineStr">
        <is>
          <t>Strategic Missile Systems Equip - P-5a - Alterations - Navigation Equipment</t>
        </is>
      </c>
      <c r="E3518" t="inlineStr">
        <is>
          <t>[ALT_VIEW]</t>
        </is>
      </c>
      <c r="F3518" t="inlineStr">
        <is>
          <t>5358 / Strategic Missile Systems Equip</t>
        </is>
      </c>
      <c r="G3518" t="inlineStr">
        <is>
          <t>P-5a</t>
        </is>
      </c>
      <c r="H3518" t="inlineStr">
        <is>
          <t>Recurring</t>
        </is>
      </c>
      <c r="I3518" t="n">
        <v>4</v>
      </c>
      <c r="K3518" t="inlineStr">
        <is>
          <t>USN</t>
        </is>
      </c>
      <c r="L3518" t="inlineStr">
        <is>
          <t>Combatant Ships</t>
        </is>
      </c>
      <c r="M3518" t="inlineStr">
        <is>
          <t>Submarines</t>
        </is>
      </c>
      <c r="S3518" t="n">
        <v>12188</v>
      </c>
      <c r="U3518" t="n">
        <v>12188</v>
      </c>
      <c r="AC3518">
        <f>IF(OR(E3518="",E3518="[PARENT]"),"ADD",IF(E3518="[ALT_VIEW]","ALT",""))</f>
        <v/>
      </c>
      <c r="AD3518">
        <f>IF(Y3518&lt;&gt;"",Y3518,IF(U3518&lt;&gt;"",U3518,S3518))</f>
        <v/>
      </c>
      <c r="AE3518">
        <f>IF(AB3518&lt;&gt;"",AB3518,Z3518)</f>
        <v/>
      </c>
      <c r="AF3518" t="inlineStr">
        <is>
          <t>P-5a Cost Analysis &gt; OPN_BA4 LI 5358 &gt; 8 Alterations - Navigation Equipment</t>
        </is>
      </c>
      <c r="AJ3518" t="inlineStr">
        <is>
          <t>Alterations - Navigation Equipment</t>
        </is>
      </c>
    </row>
    <row r="3519">
      <c r="A3519" t="inlineStr">
        <is>
          <t>OPN_BA4</t>
        </is>
      </c>
      <c r="B3519" t="inlineStr">
        <is>
          <t>Procurement</t>
        </is>
      </c>
      <c r="D3519" t="inlineStr">
        <is>
          <t>Strategic Missile Systems Equip - P-5a - Alterations - Fire Control Equipment</t>
        </is>
      </c>
      <c r="E3519" t="inlineStr">
        <is>
          <t>[ALT_VIEW]</t>
        </is>
      </c>
      <c r="F3519" t="inlineStr">
        <is>
          <t>5358 / Strategic Missile Systems Equip</t>
        </is>
      </c>
      <c r="G3519" t="inlineStr">
        <is>
          <t>P-5a</t>
        </is>
      </c>
      <c r="H3519" t="inlineStr">
        <is>
          <t>Recurring</t>
        </is>
      </c>
      <c r="I3519" t="n">
        <v>4</v>
      </c>
      <c r="K3519" t="inlineStr">
        <is>
          <t>USN</t>
        </is>
      </c>
      <c r="L3519" t="inlineStr">
        <is>
          <t>Combatant Ships</t>
        </is>
      </c>
      <c r="M3519" t="inlineStr">
        <is>
          <t>Submarines</t>
        </is>
      </c>
      <c r="S3519" t="n">
        <v>21442</v>
      </c>
      <c r="U3519" t="n">
        <v>21442</v>
      </c>
      <c r="AC3519">
        <f>IF(OR(E3519="",E3519="[PARENT]"),"ADD",IF(E3519="[ALT_VIEW]","ALT",""))</f>
        <v/>
      </c>
      <c r="AD3519">
        <f>IF(Y3519&lt;&gt;"",Y3519,IF(U3519&lt;&gt;"",U3519,S3519))</f>
        <v/>
      </c>
      <c r="AE3519">
        <f>IF(AB3519&lt;&gt;"",AB3519,Z3519)</f>
        <v/>
      </c>
      <c r="AF3519" t="inlineStr">
        <is>
          <t>P-5a Cost Analysis &gt; OPN_BA4 LI 5358 &gt; 7 Alterations - Fire Control Equipment</t>
        </is>
      </c>
      <c r="AJ3519" t="inlineStr">
        <is>
          <t>Alterations - Fire Control Equipment</t>
        </is>
      </c>
    </row>
    <row r="3520">
      <c r="A3520" t="inlineStr">
        <is>
          <t>OPN_BA4</t>
        </is>
      </c>
      <c r="B3520" t="inlineStr">
        <is>
          <t>Procurement</t>
        </is>
      </c>
      <c r="D3520" t="inlineStr">
        <is>
          <t>Strategic Missile Systems Equip - P-5a - Launcher &amp; Handling Equipment</t>
        </is>
      </c>
      <c r="E3520" t="inlineStr">
        <is>
          <t>[ALT_VIEW]</t>
        </is>
      </c>
      <c r="F3520" t="inlineStr">
        <is>
          <t>5358 / Strategic Missile Systems Equip</t>
        </is>
      </c>
      <c r="G3520" t="inlineStr">
        <is>
          <t>P-5a</t>
        </is>
      </c>
      <c r="H3520" t="inlineStr">
        <is>
          <t>Recurring</t>
        </is>
      </c>
      <c r="I3520" t="n">
        <v>4</v>
      </c>
      <c r="K3520" t="inlineStr">
        <is>
          <t>USN</t>
        </is>
      </c>
      <c r="L3520" t="inlineStr">
        <is>
          <t>Combatant Ships</t>
        </is>
      </c>
      <c r="M3520" t="inlineStr">
        <is>
          <t>Submarines</t>
        </is>
      </c>
      <c r="S3520" t="n">
        <v>8598</v>
      </c>
      <c r="U3520" t="n">
        <v>8598</v>
      </c>
      <c r="AC3520">
        <f>IF(OR(E3520="",E3520="[PARENT]"),"ADD",IF(E3520="[ALT_VIEW]","ALT",""))</f>
        <v/>
      </c>
      <c r="AD3520">
        <f>IF(Y3520&lt;&gt;"",Y3520,IF(U3520&lt;&gt;"",U3520,S3520))</f>
        <v/>
      </c>
      <c r="AE3520">
        <f>IF(AB3520&lt;&gt;"",AB3520,Z3520)</f>
        <v/>
      </c>
      <c r="AF3520" t="inlineStr">
        <is>
          <t>P-5a Cost Analysis &gt; OPN_BA4 LI 5358 &gt; 1 Launcher &amp; Handling Equipment</t>
        </is>
      </c>
      <c r="AJ3520" t="inlineStr">
        <is>
          <t>Launcher &amp; Handling Equipment</t>
        </is>
      </c>
    </row>
    <row r="3521">
      <c r="A3521" t="inlineStr">
        <is>
          <t>OPN_BA4</t>
        </is>
      </c>
      <c r="B3521" t="inlineStr">
        <is>
          <t>Procurement</t>
        </is>
      </c>
      <c r="D3521" t="inlineStr">
        <is>
          <t>Strategic Missile Systems Equip - P-5a - Navigation Equipment</t>
        </is>
      </c>
      <c r="E3521" t="inlineStr">
        <is>
          <t>[ALT_VIEW]</t>
        </is>
      </c>
      <c r="F3521" t="inlineStr">
        <is>
          <t>5358 / Strategic Missile Systems Equip</t>
        </is>
      </c>
      <c r="G3521" t="inlineStr">
        <is>
          <t>P-5a</t>
        </is>
      </c>
      <c r="H3521" t="inlineStr">
        <is>
          <t>Recurring</t>
        </is>
      </c>
      <c r="I3521" t="n">
        <v>4</v>
      </c>
      <c r="K3521" t="inlineStr">
        <is>
          <t>USN</t>
        </is>
      </c>
      <c r="L3521" t="inlineStr">
        <is>
          <t>Combatant Ships</t>
        </is>
      </c>
      <c r="M3521" t="inlineStr">
        <is>
          <t>Submarines</t>
        </is>
      </c>
      <c r="S3521" t="n">
        <v>7599</v>
      </c>
      <c r="U3521" t="n">
        <v>7599</v>
      </c>
      <c r="AC3521">
        <f>IF(OR(E3521="",E3521="[PARENT]"),"ADD",IF(E3521="[ALT_VIEW]","ALT",""))</f>
        <v/>
      </c>
      <c r="AD3521">
        <f>IF(Y3521&lt;&gt;"",Y3521,IF(U3521&lt;&gt;"",U3521,S3521))</f>
        <v/>
      </c>
      <c r="AE3521">
        <f>IF(AB3521&lt;&gt;"",AB3521,Z3521)</f>
        <v/>
      </c>
      <c r="AF3521" t="inlineStr">
        <is>
          <t>P-5a Cost Analysis &gt; OPN_BA4 LI 5358 &gt; 3 Navigation Equipment</t>
        </is>
      </c>
      <c r="AJ3521" t="inlineStr">
        <is>
          <t>Navigation Equipment</t>
        </is>
      </c>
    </row>
    <row r="3522">
      <c r="A3522" t="inlineStr">
        <is>
          <t>OPN_BA4</t>
        </is>
      </c>
      <c r="B3522" t="inlineStr">
        <is>
          <t>Procurement</t>
        </is>
      </c>
      <c r="D3522" t="inlineStr">
        <is>
          <t>Strategic Missile Systems Equip - P-5a - SSI Increment 15</t>
        </is>
      </c>
      <c r="E3522" t="inlineStr">
        <is>
          <t>[ALT_VIEW]</t>
        </is>
      </c>
      <c r="F3522" t="inlineStr">
        <is>
          <t>5358 / Strategic Missile Systems Equip</t>
        </is>
      </c>
      <c r="G3522" t="inlineStr">
        <is>
          <t>P-5a</t>
        </is>
      </c>
      <c r="H3522" t="inlineStr">
        <is>
          <t>Recurring</t>
        </is>
      </c>
      <c r="I3522" t="n">
        <v>4</v>
      </c>
      <c r="K3522" t="inlineStr">
        <is>
          <t>USN</t>
        </is>
      </c>
      <c r="L3522" t="inlineStr">
        <is>
          <t>Combatant Ships</t>
        </is>
      </c>
      <c r="M3522" t="inlineStr">
        <is>
          <t>Submarines</t>
        </is>
      </c>
      <c r="S3522" t="n">
        <v>8507</v>
      </c>
      <c r="U3522" t="n">
        <v>8507</v>
      </c>
      <c r="AC3522">
        <f>IF(OR(E3522="",E3522="[PARENT]"),"ADD",IF(E3522="[ALT_VIEW]","ALT",""))</f>
        <v/>
      </c>
      <c r="AD3522">
        <f>IF(Y3522&lt;&gt;"",Y3522,IF(U3522&lt;&gt;"",U3522,S3522))</f>
        <v/>
      </c>
      <c r="AE3522">
        <f>IF(AB3522&lt;&gt;"",AB3522,Z3522)</f>
        <v/>
      </c>
      <c r="AF3522" t="inlineStr">
        <is>
          <t>P-5a Cost Analysis &gt; OPN_BA4 LI 5358 &gt; 13 SSI Increment 15</t>
        </is>
      </c>
      <c r="AJ3522" t="inlineStr">
        <is>
          <t>SSI Increment 15</t>
        </is>
      </c>
    </row>
    <row r="3523">
      <c r="A3523" t="inlineStr">
        <is>
          <t>OPN_BA4</t>
        </is>
      </c>
      <c r="B3523" t="inlineStr">
        <is>
          <t>Procurement</t>
        </is>
      </c>
      <c r="D3523" t="inlineStr">
        <is>
          <t>Strategic Missile Systems Equip - P-5a - Information Technology</t>
        </is>
      </c>
      <c r="E3523" t="inlineStr">
        <is>
          <t>[ALT_VIEW]</t>
        </is>
      </c>
      <c r="F3523" t="inlineStr">
        <is>
          <t>5358 / Strategic Missile Systems Equip</t>
        </is>
      </c>
      <c r="G3523" t="inlineStr">
        <is>
          <t>P-5a</t>
        </is>
      </c>
      <c r="H3523" t="inlineStr">
        <is>
          <t>Recurring</t>
        </is>
      </c>
      <c r="I3523" t="n">
        <v>4</v>
      </c>
      <c r="K3523" t="inlineStr">
        <is>
          <t>USN</t>
        </is>
      </c>
      <c r="L3523" t="inlineStr">
        <is>
          <t>Combatant Ships</t>
        </is>
      </c>
      <c r="M3523" t="inlineStr">
        <is>
          <t>Submarines</t>
        </is>
      </c>
      <c r="S3523" t="n">
        <v>7938</v>
      </c>
      <c r="U3523" t="n">
        <v>7938</v>
      </c>
      <c r="AC3523">
        <f>IF(OR(E3523="",E3523="[PARENT]"),"ADD",IF(E3523="[ALT_VIEW]","ALT",""))</f>
        <v/>
      </c>
      <c r="AD3523">
        <f>IF(Y3523&lt;&gt;"",Y3523,IF(U3523&lt;&gt;"",U3523,S3523))</f>
        <v/>
      </c>
      <c r="AE3523">
        <f>IF(AB3523&lt;&gt;"",AB3523,Z3523)</f>
        <v/>
      </c>
      <c r="AF3523" t="inlineStr">
        <is>
          <t>P-5a Cost Analysis &gt; OPN_BA4 LI 5358 &gt; 5 Information Technology</t>
        </is>
      </c>
      <c r="AJ3523" t="inlineStr">
        <is>
          <t>Information Technology</t>
        </is>
      </c>
    </row>
    <row r="3524">
      <c r="A3524" t="inlineStr">
        <is>
          <t>OPN_BA4</t>
        </is>
      </c>
      <c r="B3524" t="inlineStr">
        <is>
          <t>Procurement</t>
        </is>
      </c>
      <c r="D3524" t="inlineStr">
        <is>
          <t>Strategic Missile Systems Equip - P-5a - SSI Increment 8</t>
        </is>
      </c>
      <c r="E3524" t="inlineStr">
        <is>
          <t>[ALT_VIEW]</t>
        </is>
      </c>
      <c r="F3524" t="inlineStr">
        <is>
          <t>5358 / Strategic Missile Systems Equip</t>
        </is>
      </c>
      <c r="G3524" t="inlineStr">
        <is>
          <t>P-5a</t>
        </is>
      </c>
      <c r="H3524" t="inlineStr">
        <is>
          <t>Recurring</t>
        </is>
      </c>
      <c r="I3524" t="n">
        <v>4</v>
      </c>
      <c r="K3524" t="inlineStr">
        <is>
          <t>USN</t>
        </is>
      </c>
      <c r="L3524" t="inlineStr">
        <is>
          <t>Combatant Ships</t>
        </is>
      </c>
      <c r="M3524" t="inlineStr">
        <is>
          <t>Submarines</t>
        </is>
      </c>
      <c r="S3524" t="n">
        <v>6377</v>
      </c>
      <c r="U3524" t="n">
        <v>6377</v>
      </c>
      <c r="AC3524">
        <f>IF(OR(E3524="",E3524="[PARENT]"),"ADD",IF(E3524="[ALT_VIEW]","ALT",""))</f>
        <v/>
      </c>
      <c r="AD3524">
        <f>IF(Y3524&lt;&gt;"",Y3524,IF(U3524&lt;&gt;"",U3524,S3524))</f>
        <v/>
      </c>
      <c r="AE3524">
        <f>IF(AB3524&lt;&gt;"",AB3524,Z3524)</f>
        <v/>
      </c>
      <c r="AF3524" t="inlineStr">
        <is>
          <t>P-5a Cost Analysis &gt; OPN_BA4 LI 5358 &gt; 10 SSI Increment 8</t>
        </is>
      </c>
      <c r="AJ3524" t="inlineStr">
        <is>
          <t>SSI Increment 8</t>
        </is>
      </c>
    </row>
    <row r="3525">
      <c r="A3525" t="inlineStr">
        <is>
          <t>OPN_BA4</t>
        </is>
      </c>
      <c r="B3525" t="inlineStr">
        <is>
          <t>Procurement</t>
        </is>
      </c>
      <c r="D3525" t="inlineStr">
        <is>
          <t>Strategic Missile Systems Equip - P-5a - Alterations - Instrumentation</t>
        </is>
      </c>
      <c r="E3525" t="inlineStr">
        <is>
          <t>[ALT_VIEW]</t>
        </is>
      </c>
      <c r="F3525" t="inlineStr">
        <is>
          <t>5358 / Strategic Missile Systems Equip</t>
        </is>
      </c>
      <c r="G3525" t="inlineStr">
        <is>
          <t>P-5a</t>
        </is>
      </c>
      <c r="H3525" t="inlineStr">
        <is>
          <t>Recurring</t>
        </is>
      </c>
      <c r="I3525" t="n">
        <v>4</v>
      </c>
      <c r="K3525" t="inlineStr">
        <is>
          <t>USN</t>
        </is>
      </c>
      <c r="L3525" t="inlineStr">
        <is>
          <t>Combatant Ships</t>
        </is>
      </c>
      <c r="M3525" t="inlineStr">
        <is>
          <t>Submarines</t>
        </is>
      </c>
      <c r="S3525" t="n">
        <v>3183</v>
      </c>
      <c r="U3525" t="n">
        <v>3183</v>
      </c>
      <c r="AC3525">
        <f>IF(OR(E3525="",E3525="[PARENT]"),"ADD",IF(E3525="[ALT_VIEW]","ALT",""))</f>
        <v/>
      </c>
      <c r="AD3525">
        <f>IF(Y3525&lt;&gt;"",Y3525,IF(U3525&lt;&gt;"",U3525,S3525))</f>
        <v/>
      </c>
      <c r="AE3525">
        <f>IF(AB3525&lt;&gt;"",AB3525,Z3525)</f>
        <v/>
      </c>
      <c r="AF3525" t="inlineStr">
        <is>
          <t>P-5a Cost Analysis &gt; OPN_BA4 LI 5358 &gt; 9 Alterations - Instrumentation</t>
        </is>
      </c>
      <c r="AJ3525" t="inlineStr">
        <is>
          <t>Alterations - Instrumentation</t>
        </is>
      </c>
    </row>
    <row r="3526">
      <c r="A3526" t="inlineStr">
        <is>
          <t>OPN_BA4</t>
        </is>
      </c>
      <c r="B3526" t="inlineStr">
        <is>
          <t>Procurement</t>
        </is>
      </c>
      <c r="D3526" t="inlineStr">
        <is>
          <t>Ship Missile Support Equipment - P-40a - AEGIS Support Equipment</t>
        </is>
      </c>
      <c r="E3526" t="inlineStr">
        <is>
          <t>[ALT_VIEW]</t>
        </is>
      </c>
      <c r="F3526" t="inlineStr">
        <is>
          <t>5231 / Ship Missile Support Equipment</t>
        </is>
      </c>
      <c r="G3526" t="inlineStr">
        <is>
          <t>P-40a</t>
        </is>
      </c>
      <c r="H3526" t="inlineStr">
        <is>
          <t>Recurring</t>
        </is>
      </c>
      <c r="I3526" t="n">
        <v>4</v>
      </c>
      <c r="S3526" t="n">
        <v>187988</v>
      </c>
      <c r="U3526" t="n">
        <v>187988</v>
      </c>
      <c r="AC3526">
        <f>IF(OR(E3526="",E3526="[PARENT]"),"ADD",IF(E3526="[ALT_VIEW]","ALT",""))</f>
        <v/>
      </c>
      <c r="AD3526">
        <f>IF(Y3526&lt;&gt;"",Y3526,IF(U3526&lt;&gt;"",U3526,S3526))</f>
        <v/>
      </c>
      <c r="AE3526">
        <f>IF(AB3526&lt;&gt;"",AB3526,Z3526)</f>
        <v/>
      </c>
      <c r="AF3526" t="inlineStr">
        <is>
          <t>P-40a Cost Analysis &gt; OPN_BA4 LI 5231 &gt;  AEGIS Support Equipment</t>
        </is>
      </c>
      <c r="AJ3526" t="inlineStr">
        <is>
          <t>AEGIS Support Equipment</t>
        </is>
      </c>
    </row>
    <row r="3527">
      <c r="A3527" t="inlineStr">
        <is>
          <t>OPN_BA4</t>
        </is>
      </c>
      <c r="B3527" t="inlineStr">
        <is>
          <t>Procurement</t>
        </is>
      </c>
      <c r="D3527" t="inlineStr">
        <is>
          <t>Ship Missile Support Equipment - P-40a - NATO SEASPARROW</t>
        </is>
      </c>
      <c r="E3527" t="inlineStr">
        <is>
          <t>[ALT_VIEW]</t>
        </is>
      </c>
      <c r="F3527" t="inlineStr">
        <is>
          <t>5231 / Ship Missile Support Equipment</t>
        </is>
      </c>
      <c r="G3527" t="inlineStr">
        <is>
          <t>P-40a</t>
        </is>
      </c>
      <c r="H3527" t="inlineStr">
        <is>
          <t>Recurring</t>
        </is>
      </c>
      <c r="I3527" t="n">
        <v>4</v>
      </c>
      <c r="S3527" t="n">
        <v>50282</v>
      </c>
      <c r="U3527" t="n">
        <v>50282</v>
      </c>
      <c r="AC3527">
        <f>IF(OR(E3527="",E3527="[PARENT]"),"ADD",IF(E3527="[ALT_VIEW]","ALT",""))</f>
        <v/>
      </c>
      <c r="AD3527">
        <f>IF(Y3527&lt;&gt;"",Y3527,IF(U3527&lt;&gt;"",U3527,S3527))</f>
        <v/>
      </c>
      <c r="AE3527">
        <f>IF(AB3527&lt;&gt;"",AB3527,Z3527)</f>
        <v/>
      </c>
      <c r="AF3527" t="inlineStr">
        <is>
          <t>P-40a Cost Analysis &gt; OPN_BA4 LI 5231 &gt;  NATO SEASPARROW</t>
        </is>
      </c>
      <c r="AJ3527" t="inlineStr">
        <is>
          <t>NATO SEASPARROW</t>
        </is>
      </c>
    </row>
    <row r="3528">
      <c r="A3528" t="inlineStr">
        <is>
          <t>OPN_BA4</t>
        </is>
      </c>
      <c r="B3528" t="inlineStr">
        <is>
          <t>Procurement</t>
        </is>
      </c>
      <c r="D3528" t="inlineStr">
        <is>
          <t>Ship Missile Support Equipment - P-40a - Ship Self Defense System</t>
        </is>
      </c>
      <c r="E3528" t="inlineStr">
        <is>
          <t>[ALT_VIEW]</t>
        </is>
      </c>
      <c r="F3528" t="inlineStr">
        <is>
          <t>5231 / Ship Missile Support Equipment</t>
        </is>
      </c>
      <c r="G3528" t="inlineStr">
        <is>
          <t>P-40a</t>
        </is>
      </c>
      <c r="H3528" t="inlineStr">
        <is>
          <t>Recurring</t>
        </is>
      </c>
      <c r="I3528" t="n">
        <v>4</v>
      </c>
      <c r="S3528" t="n">
        <v>28336</v>
      </c>
      <c r="U3528" t="n">
        <v>28336</v>
      </c>
      <c r="AC3528">
        <f>IF(OR(E3528="",E3528="[PARENT]"),"ADD",IF(E3528="[ALT_VIEW]","ALT",""))</f>
        <v/>
      </c>
      <c r="AD3528">
        <f>IF(Y3528&lt;&gt;"",Y3528,IF(U3528&lt;&gt;"",U3528,S3528))</f>
        <v/>
      </c>
      <c r="AE3528">
        <f>IF(AB3528&lt;&gt;"",AB3528,Z3528)</f>
        <v/>
      </c>
      <c r="AF3528" t="inlineStr">
        <is>
          <t>P-40a Cost Analysis &gt; OPN_BA4 LI 5231 &gt;  Ship Self Defense System</t>
        </is>
      </c>
      <c r="AJ3528" t="inlineStr">
        <is>
          <t>Ship Self Defense System</t>
        </is>
      </c>
    </row>
    <row r="3529">
      <c r="A3529" t="inlineStr">
        <is>
          <t>OPN_BA4</t>
        </is>
      </c>
      <c r="B3529" t="inlineStr">
        <is>
          <t>Procurement</t>
        </is>
      </c>
      <c r="D3529" t="inlineStr">
        <is>
          <t>Ship Missile Support Equipment - P-40a - Integrated Combat System (ICS) Equipment</t>
        </is>
      </c>
      <c r="E3529" t="inlineStr">
        <is>
          <t>[ALT_VIEW]</t>
        </is>
      </c>
      <c r="F3529" t="inlineStr">
        <is>
          <t>5231 / Ship Missile Support Equipment</t>
        </is>
      </c>
      <c r="G3529" t="inlineStr">
        <is>
          <t>P-40a</t>
        </is>
      </c>
      <c r="H3529" t="inlineStr">
        <is>
          <t>Recurring</t>
        </is>
      </c>
      <c r="I3529" t="n">
        <v>4</v>
      </c>
      <c r="S3529" t="n">
        <v>27333</v>
      </c>
      <c r="U3529" t="n">
        <v>27333</v>
      </c>
      <c r="AC3529">
        <f>IF(OR(E3529="",E3529="[PARENT]"),"ADD",IF(E3529="[ALT_VIEW]","ALT",""))</f>
        <v/>
      </c>
      <c r="AD3529">
        <f>IF(Y3529&lt;&gt;"",Y3529,IF(U3529&lt;&gt;"",U3529,S3529))</f>
        <v/>
      </c>
      <c r="AE3529">
        <f>IF(AB3529&lt;&gt;"",AB3529,Z3529)</f>
        <v/>
      </c>
      <c r="AF3529" t="inlineStr">
        <is>
          <t>P-40a Cost Analysis &gt; OPN_BA4 LI 5231 &gt;  Integrated Combat System (ICS) Equipment</t>
        </is>
      </c>
      <c r="AJ3529" t="inlineStr">
        <is>
          <t>Integrated Combat System (ICS) Equipment</t>
        </is>
      </c>
    </row>
    <row r="3530">
      <c r="A3530" t="inlineStr">
        <is>
          <t>OPN_BA4</t>
        </is>
      </c>
      <c r="B3530" t="inlineStr">
        <is>
          <t>Procurement</t>
        </is>
      </c>
      <c r="D3530" t="inlineStr">
        <is>
          <t>Ship Missile Support Equipment - P-40a - OTH Weapon System</t>
        </is>
      </c>
      <c r="E3530" t="inlineStr">
        <is>
          <t>[ALT_VIEW]</t>
        </is>
      </c>
      <c r="F3530" t="inlineStr">
        <is>
          <t>5231 / Ship Missile Support Equipment</t>
        </is>
      </c>
      <c r="G3530" t="inlineStr">
        <is>
          <t>P-40a</t>
        </is>
      </c>
      <c r="H3530" t="inlineStr">
        <is>
          <t>Recurring</t>
        </is>
      </c>
      <c r="I3530" t="n">
        <v>4</v>
      </c>
      <c r="S3530" t="n">
        <v>22415</v>
      </c>
      <c r="U3530" t="n">
        <v>22415</v>
      </c>
      <c r="AC3530">
        <f>IF(OR(E3530="",E3530="[PARENT]"),"ADD",IF(E3530="[ALT_VIEW]","ALT",""))</f>
        <v/>
      </c>
      <c r="AD3530">
        <f>IF(Y3530&lt;&gt;"",Y3530,IF(U3530&lt;&gt;"",U3530,S3530))</f>
        <v/>
      </c>
      <c r="AE3530">
        <f>IF(AB3530&lt;&gt;"",AB3530,Z3530)</f>
        <v/>
      </c>
      <c r="AF3530" t="inlineStr">
        <is>
          <t>P-40a Cost Analysis &gt; OPN_BA4 LI 5231 &gt;  OTH Weapon System</t>
        </is>
      </c>
      <c r="AJ3530" t="inlineStr">
        <is>
          <t>OTH Weapon System</t>
        </is>
      </c>
    </row>
    <row r="3531">
      <c r="A3531" t="inlineStr">
        <is>
          <t>OPN_BA4</t>
        </is>
      </c>
      <c r="B3531" t="inlineStr">
        <is>
          <t>Procurement</t>
        </is>
      </c>
      <c r="D3531" t="inlineStr">
        <is>
          <t>Ship Missile Support Equipment - P-40a - RAM Launchers (P-3a installation)</t>
        </is>
      </c>
      <c r="E3531" t="inlineStr">
        <is>
          <t>[ALT_VIEW]</t>
        </is>
      </c>
      <c r="F3531" t="inlineStr">
        <is>
          <t>5231 / Ship Missile Support Equipment</t>
        </is>
      </c>
      <c r="G3531" t="inlineStr">
        <is>
          <t>P-40a</t>
        </is>
      </c>
      <c r="H3531" t="inlineStr">
        <is>
          <t>Installation</t>
        </is>
      </c>
      <c r="I3531" t="n">
        <v>4</v>
      </c>
      <c r="S3531" t="n">
        <v>55986</v>
      </c>
      <c r="U3531" t="n">
        <v>55986</v>
      </c>
      <c r="AC3531">
        <f>IF(OR(E3531="",E3531="[PARENT]"),"ADD",IF(E3531="[ALT_VIEW]","ALT",""))</f>
        <v/>
      </c>
      <c r="AD3531">
        <f>IF(Y3531&lt;&gt;"",Y3531,IF(U3531&lt;&gt;"",U3531,S3531))</f>
        <v/>
      </c>
      <c r="AE3531">
        <f>IF(AB3531&lt;&gt;"",AB3531,Z3531)</f>
        <v/>
      </c>
      <c r="AF3531" t="inlineStr">
        <is>
          <t>P-40a Cost Analysis &gt; OPN_BA4 LI 5231 &gt;  RAM Launchers (P-3a installation)</t>
        </is>
      </c>
      <c r="AJ3531" t="inlineStr">
        <is>
          <t>RAM Launchers (P-3a installation)</t>
        </is>
      </c>
    </row>
    <row r="3532">
      <c r="A3532" t="inlineStr">
        <is>
          <t>OPN_BA4</t>
        </is>
      </c>
      <c r="B3532" t="inlineStr">
        <is>
          <t>Procurement</t>
        </is>
      </c>
      <c r="D3532" t="inlineStr">
        <is>
          <t>Ship Missile Support Equipment - P-40a - SSDS COTS Conversion Kits (P-3a)</t>
        </is>
      </c>
      <c r="E3532" t="inlineStr">
        <is>
          <t>[ALT_VIEW]</t>
        </is>
      </c>
      <c r="F3532" t="inlineStr">
        <is>
          <t>5231 / Ship Missile Support Equipment</t>
        </is>
      </c>
      <c r="G3532" t="inlineStr">
        <is>
          <t>P-40a</t>
        </is>
      </c>
      <c r="H3532" t="inlineStr">
        <is>
          <t>Recurring</t>
        </is>
      </c>
      <c r="I3532" t="n">
        <v>4</v>
      </c>
      <c r="S3532" t="n">
        <v>63776</v>
      </c>
      <c r="U3532" t="n">
        <v>63776</v>
      </c>
      <c r="AC3532">
        <f>IF(OR(E3532="",E3532="[PARENT]"),"ADD",IF(E3532="[ALT_VIEW]","ALT",""))</f>
        <v/>
      </c>
      <c r="AD3532">
        <f>IF(Y3532&lt;&gt;"",Y3532,IF(U3532&lt;&gt;"",U3532,S3532))</f>
        <v/>
      </c>
      <c r="AE3532">
        <f>IF(AB3532&lt;&gt;"",AB3532,Z3532)</f>
        <v/>
      </c>
      <c r="AF3532" t="inlineStr">
        <is>
          <t>P-40a Cost Analysis &gt; OPN_BA4 LI 5231 &gt;  SSDS COTS Conversion Kits (P-3a)</t>
        </is>
      </c>
      <c r="AJ3532" t="inlineStr">
        <is>
          <t>SSDS COTS Conversion Kits (P-3a)</t>
        </is>
      </c>
    </row>
    <row r="3533">
      <c r="A3533" t="inlineStr">
        <is>
          <t>OPN_BA2</t>
        </is>
      </c>
      <c r="B3533" t="inlineStr">
        <is>
          <t>Procurement</t>
        </is>
      </c>
      <c r="D3533" t="inlineStr">
        <is>
          <t>In-Service Radars and Sensors - P-5a - Dual Band Radar (DBR)</t>
        </is>
      </c>
      <c r="E3533" t="inlineStr">
        <is>
          <t>[ALT_VIEW]</t>
        </is>
      </c>
      <c r="F3533" t="inlineStr">
        <is>
          <t>2981 / In-Service Radars and Sensors</t>
        </is>
      </c>
      <c r="G3533" t="inlineStr">
        <is>
          <t>P-5a</t>
        </is>
      </c>
      <c r="H3533" t="inlineStr">
        <is>
          <t>Recurring</t>
        </is>
      </c>
      <c r="I3533" t="n">
        <v>4</v>
      </c>
      <c r="S3533" t="n">
        <v>37456</v>
      </c>
      <c r="U3533" t="n">
        <v>37456</v>
      </c>
      <c r="AC3533">
        <f>IF(OR(E3533="",E3533="[PARENT]"),"ADD",IF(E3533="[ALT_VIEW]","ALT",""))</f>
        <v/>
      </c>
      <c r="AD3533">
        <f>IF(Y3533&lt;&gt;"",Y3533,IF(U3533&lt;&gt;"",U3533,S3533))</f>
        <v/>
      </c>
      <c r="AE3533">
        <f>IF(AB3533&lt;&gt;"",AB3533,Z3533)</f>
        <v/>
      </c>
      <c r="AF3533" t="inlineStr">
        <is>
          <t>P-5a Cost Analysis &gt; OPN_BA2 LI 2981 &gt; DC020 Dual Band Radar (DBR)</t>
        </is>
      </c>
      <c r="AJ3533" t="inlineStr">
        <is>
          <t>Dual Band Radar (DBR)</t>
        </is>
      </c>
    </row>
    <row r="3534">
      <c r="A3534" t="inlineStr">
        <is>
          <t>OPN_BA2</t>
        </is>
      </c>
      <c r="B3534" t="inlineStr">
        <is>
          <t>Procurement</t>
        </is>
      </c>
      <c r="D3534" t="inlineStr">
        <is>
          <t>In-Service Radars and Sensors - P-5a - Radar Restoration Material</t>
        </is>
      </c>
      <c r="E3534" t="inlineStr">
        <is>
          <t>[ALT_VIEW]</t>
        </is>
      </c>
      <c r="F3534" t="inlineStr">
        <is>
          <t>2981 / In-Service Radars and Sensors</t>
        </is>
      </c>
      <c r="G3534" t="inlineStr">
        <is>
          <t>P-5a</t>
        </is>
      </c>
      <c r="H3534" t="inlineStr">
        <is>
          <t>Recurring</t>
        </is>
      </c>
      <c r="I3534" t="n">
        <v>4</v>
      </c>
      <c r="S3534" t="n">
        <v>5127</v>
      </c>
      <c r="U3534" t="n">
        <v>5127</v>
      </c>
      <c r="AC3534">
        <f>IF(OR(E3534="",E3534="[PARENT]"),"ADD",IF(E3534="[ALT_VIEW]","ALT",""))</f>
        <v/>
      </c>
      <c r="AD3534">
        <f>IF(Y3534&lt;&gt;"",Y3534,IF(U3534&lt;&gt;"",U3534,S3534))</f>
        <v/>
      </c>
      <c r="AE3534">
        <f>IF(AB3534&lt;&gt;"",AB3534,Z3534)</f>
        <v/>
      </c>
      <c r="AF3534" t="inlineStr">
        <is>
          <t>P-5a Cost Analysis &gt; OPN_BA2 LI 2981 &gt; DC022 Radar Restoration Material</t>
        </is>
      </c>
      <c r="AJ3534" t="inlineStr">
        <is>
          <t>Radar Restoration Material</t>
        </is>
      </c>
    </row>
    <row r="3535">
      <c r="A3535" t="inlineStr">
        <is>
          <t>OPN_BA2</t>
        </is>
      </c>
      <c r="B3535" t="inlineStr">
        <is>
          <t>Procurement</t>
        </is>
      </c>
      <c r="D3535" t="inlineStr">
        <is>
          <t>In-Service Radars and Sensors - P-5a - I-STALKER</t>
        </is>
      </c>
      <c r="E3535" t="inlineStr">
        <is>
          <t>[ALT_VIEW]</t>
        </is>
      </c>
      <c r="F3535" t="inlineStr">
        <is>
          <t>2981 / In-Service Radars and Sensors</t>
        </is>
      </c>
      <c r="G3535" t="inlineStr">
        <is>
          <t>P-5a</t>
        </is>
      </c>
      <c r="H3535" t="inlineStr">
        <is>
          <t>Recurring</t>
        </is>
      </c>
      <c r="I3535" t="n">
        <v>4</v>
      </c>
      <c r="S3535" t="n">
        <v>12732</v>
      </c>
      <c r="U3535" t="n">
        <v>12732</v>
      </c>
      <c r="AC3535">
        <f>IF(OR(E3535="",E3535="[PARENT]"),"ADD",IF(E3535="[ALT_VIEW]","ALT",""))</f>
        <v/>
      </c>
      <c r="AD3535">
        <f>IF(Y3535&lt;&gt;"",Y3535,IF(U3535&lt;&gt;"",U3535,S3535))</f>
        <v/>
      </c>
      <c r="AE3535">
        <f>IF(AB3535&lt;&gt;"",AB3535,Z3535)</f>
        <v/>
      </c>
      <c r="AF3535" t="inlineStr">
        <is>
          <t>P-5a Cost Analysis &gt; OPN_BA2 LI 2981 &gt; DC026 I-STALKER</t>
        </is>
      </c>
      <c r="AJ3535" t="inlineStr">
        <is>
          <t>I-STALKER</t>
        </is>
      </c>
    </row>
    <row r="3536">
      <c r="A3536" t="inlineStr">
        <is>
          <t>OPN_BA2</t>
        </is>
      </c>
      <c r="B3536" t="inlineStr">
        <is>
          <t>Procurement</t>
        </is>
      </c>
      <c r="D3536" t="inlineStr">
        <is>
          <t>Cooperative Engagement Capability - P-5a - Signal Data Processors (SDP) Capability Enhancement</t>
        </is>
      </c>
      <c r="E3536" t="inlineStr">
        <is>
          <t>[ALT_VIEW]</t>
        </is>
      </c>
      <c r="F3536" t="inlineStr">
        <is>
          <t>2606 / Cooperative Engagement Capability</t>
        </is>
      </c>
      <c r="G3536" t="inlineStr">
        <is>
          <t>P-5a</t>
        </is>
      </c>
      <c r="H3536" t="inlineStr">
        <is>
          <t>Recurring</t>
        </is>
      </c>
      <c r="I3536" t="n">
        <v>4</v>
      </c>
      <c r="S3536" t="n">
        <v>8646</v>
      </c>
      <c r="U3536" t="n">
        <v>8646</v>
      </c>
      <c r="AC3536">
        <f>IF(OR(E3536="",E3536="[PARENT]"),"ADD",IF(E3536="[ALT_VIEW]","ALT",""))</f>
        <v/>
      </c>
      <c r="AD3536">
        <f>IF(Y3536&lt;&gt;"",Y3536,IF(U3536&lt;&gt;"",U3536,S3536))</f>
        <v/>
      </c>
      <c r="AE3536">
        <f>IF(AB3536&lt;&gt;"",AB3536,Z3536)</f>
        <v/>
      </c>
      <c r="AF3536" t="inlineStr">
        <is>
          <t>P-5a Cost Analysis &gt; OPN_BA2 LI 2606 &gt; UC017 Signal Data Processors (SDP) Capability Enhancement</t>
        </is>
      </c>
      <c r="AJ3536" t="inlineStr">
        <is>
          <t>Signal Data Processors (SDP) Capability Enhancement</t>
        </is>
      </c>
    </row>
    <row r="3537">
      <c r="A3537" t="inlineStr">
        <is>
          <t>OPN_BA2</t>
        </is>
      </c>
      <c r="B3537" t="inlineStr">
        <is>
          <t>Procurement</t>
        </is>
      </c>
      <c r="D3537" t="inlineStr">
        <is>
          <t>Cooperative Engagement Capability - P-5a - ECP/Kit Procurement</t>
        </is>
      </c>
      <c r="E3537" t="inlineStr">
        <is>
          <t>[ALT_VIEW]</t>
        </is>
      </c>
      <c r="F3537" t="inlineStr">
        <is>
          <t>2606 / Cooperative Engagement Capability</t>
        </is>
      </c>
      <c r="G3537" t="inlineStr">
        <is>
          <t>P-5a</t>
        </is>
      </c>
      <c r="H3537" t="inlineStr">
        <is>
          <t>Recurring</t>
        </is>
      </c>
      <c r="I3537" t="n">
        <v>4</v>
      </c>
      <c r="S3537" t="n">
        <v>5302</v>
      </c>
      <c r="U3537" t="n">
        <v>5302</v>
      </c>
      <c r="AC3537">
        <f>IF(OR(E3537="",E3537="[PARENT]"),"ADD",IF(E3537="[ALT_VIEW]","ALT",""))</f>
        <v/>
      </c>
      <c r="AD3537">
        <f>IF(Y3537&lt;&gt;"",Y3537,IF(U3537&lt;&gt;"",U3537,S3537))</f>
        <v/>
      </c>
      <c r="AE3537">
        <f>IF(AB3537&lt;&gt;"",AB3537,Z3537)</f>
        <v/>
      </c>
      <c r="AF3537" t="inlineStr">
        <is>
          <t>P-5a Cost Analysis &gt; OPN_BA2 LI 2606 &gt; UC004 ECP/Kit Procurement</t>
        </is>
      </c>
      <c r="AJ3537" t="inlineStr">
        <is>
          <t>ECP/Kit Procurement</t>
        </is>
      </c>
    </row>
    <row r="3538">
      <c r="A3538" t="inlineStr">
        <is>
          <t>OPN_BA2</t>
        </is>
      </c>
      <c r="B3538" t="inlineStr">
        <is>
          <t>Procurement</t>
        </is>
      </c>
      <c r="D3538" t="inlineStr">
        <is>
          <t>Cooperative Engagement Capability - P-5a - Production Engineering Support</t>
        </is>
      </c>
      <c r="E3538" t="inlineStr">
        <is>
          <t>[ALT_VIEW]</t>
        </is>
      </c>
      <c r="F3538" t="inlineStr">
        <is>
          <t>2606 / Cooperative Engagement Capability</t>
        </is>
      </c>
      <c r="G3538" t="inlineStr">
        <is>
          <t>P-5a</t>
        </is>
      </c>
      <c r="H3538" t="inlineStr">
        <is>
          <t>Support</t>
        </is>
      </c>
      <c r="I3538" t="n">
        <v>4</v>
      </c>
      <c r="S3538" t="n">
        <v>5300</v>
      </c>
      <c r="U3538" t="n">
        <v>5300</v>
      </c>
      <c r="AC3538">
        <f>IF(OR(E3538="",E3538="[PARENT]"),"ADD",IF(E3538="[ALT_VIEW]","ALT",""))</f>
        <v/>
      </c>
      <c r="AD3538">
        <f>IF(Y3538&lt;&gt;"",Y3538,IF(U3538&lt;&gt;"",U3538,S3538))</f>
        <v/>
      </c>
      <c r="AE3538">
        <f>IF(AB3538&lt;&gt;"",AB3538,Z3538)</f>
        <v/>
      </c>
      <c r="AF3538" t="inlineStr">
        <is>
          <t>P-5a Cost Analysis &gt; OPN_BA2 LI 2606 &gt; UC830 Production Engineering Support</t>
        </is>
      </c>
      <c r="AJ3538" t="inlineStr">
        <is>
          <t>Production Engineering Support</t>
        </is>
      </c>
    </row>
    <row r="3539">
      <c r="A3539" t="inlineStr">
        <is>
          <t>OPN_BA2</t>
        </is>
      </c>
      <c r="B3539" t="inlineStr">
        <is>
          <t>Procurement</t>
        </is>
      </c>
      <c r="D3539" t="inlineStr">
        <is>
          <t>Cooperative Engagement Capability - P-5a - System Component Upgrades (AECU to ECSC)</t>
        </is>
      </c>
      <c r="E3539" t="inlineStr">
        <is>
          <t>[ALT_VIEW]</t>
        </is>
      </c>
      <c r="F3539" t="inlineStr">
        <is>
          <t>2606 / Cooperative Engagement Capability</t>
        </is>
      </c>
      <c r="G3539" t="inlineStr">
        <is>
          <t>P-5a</t>
        </is>
      </c>
      <c r="H3539" t="inlineStr">
        <is>
          <t>Recurring</t>
        </is>
      </c>
      <c r="I3539" t="n">
        <v>4</v>
      </c>
      <c r="S3539" t="n">
        <v>4310</v>
      </c>
      <c r="U3539" t="n">
        <v>4310</v>
      </c>
      <c r="AC3539">
        <f>IF(OR(E3539="",E3539="[PARENT]"),"ADD",IF(E3539="[ALT_VIEW]","ALT",""))</f>
        <v/>
      </c>
      <c r="AD3539">
        <f>IF(Y3539&lt;&gt;"",Y3539,IF(U3539&lt;&gt;"",U3539,S3539))</f>
        <v/>
      </c>
      <c r="AE3539">
        <f>IF(AB3539&lt;&gt;"",AB3539,Z3539)</f>
        <v/>
      </c>
      <c r="AF3539" t="inlineStr">
        <is>
          <t>P-5a Cost Analysis &gt; OPN_BA2 LI 2606 &gt; UC016 System Component Upgrades (AECU to ECSC)</t>
        </is>
      </c>
      <c r="AJ3539" t="inlineStr">
        <is>
          <t>System Component Upgrades (AECU to ECSC)</t>
        </is>
      </c>
    </row>
    <row r="3540">
      <c r="A3540" t="inlineStr">
        <is>
          <t>OPN_BA1</t>
        </is>
      </c>
      <c r="B3540" t="inlineStr">
        <is>
          <t>Procurement</t>
        </is>
      </c>
      <c r="D3540" t="inlineStr">
        <is>
          <t>Standard Boats - P-5a - CNIC Force Protection (Medium)</t>
        </is>
      </c>
      <c r="E3540" t="inlineStr">
        <is>
          <t>[ALT_VIEW]</t>
        </is>
      </c>
      <c r="F3540" t="inlineStr">
        <is>
          <t>31 / Standard Boats</t>
        </is>
      </c>
      <c r="G3540" t="inlineStr">
        <is>
          <t>P-5a</t>
        </is>
      </c>
      <c r="H3540" t="inlineStr">
        <is>
          <t>Recurring</t>
        </is>
      </c>
      <c r="I3540" t="n">
        <v>1</v>
      </c>
      <c r="S3540" t="n">
        <v>9607</v>
      </c>
      <c r="U3540" t="n">
        <v>9607</v>
      </c>
      <c r="AC3540">
        <f>IF(OR(E3540="",E3540="[PARENT]"),"ADD",IF(E3540="[ALT_VIEW]","ALT",""))</f>
        <v/>
      </c>
      <c r="AD3540">
        <f>IF(Y3540&lt;&gt;"",Y3540,IF(U3540&lt;&gt;"",U3540,S3540))</f>
        <v/>
      </c>
      <c r="AE3540">
        <f>IF(AB3540&lt;&gt;"",AB3540,Z3540)</f>
        <v/>
      </c>
      <c r="AF3540" t="inlineStr">
        <is>
          <t>P-5a Cost Analysis &gt; OPN_BA1 LI 1210 &gt; H0001-1.3 CNIC Force Protection (Medium)</t>
        </is>
      </c>
      <c r="AJ3540" t="inlineStr">
        <is>
          <t>CNIC Force Protection (Medium)</t>
        </is>
      </c>
    </row>
    <row r="3541">
      <c r="A3541" t="inlineStr">
        <is>
          <t>OPN_BA1</t>
        </is>
      </c>
      <c r="B3541" t="inlineStr">
        <is>
          <t>Procurement</t>
        </is>
      </c>
      <c r="D3541" t="inlineStr">
        <is>
          <t>Standard Boats - P-5a - 7M (24 ft) RIB</t>
        </is>
      </c>
      <c r="E3541" t="inlineStr">
        <is>
          <t>[ALT_VIEW]</t>
        </is>
      </c>
      <c r="F3541" t="inlineStr">
        <is>
          <t>31 / Standard Boats</t>
        </is>
      </c>
      <c r="G3541" t="inlineStr">
        <is>
          <t>P-5a</t>
        </is>
      </c>
      <c r="H3541" t="inlineStr">
        <is>
          <t>Recurring</t>
        </is>
      </c>
      <c r="I3541" t="n">
        <v>1</v>
      </c>
      <c r="S3541" t="n">
        <v>3892</v>
      </c>
      <c r="U3541" t="n">
        <v>3892</v>
      </c>
      <c r="AC3541">
        <f>IF(OR(E3541="",E3541="[PARENT]"),"ADD",IF(E3541="[ALT_VIEW]","ALT",""))</f>
        <v/>
      </c>
      <c r="AD3541">
        <f>IF(Y3541&lt;&gt;"",Y3541,IF(U3541&lt;&gt;"",U3541,S3541))</f>
        <v/>
      </c>
      <c r="AE3541">
        <f>IF(AB3541&lt;&gt;"",AB3541,Z3541)</f>
        <v/>
      </c>
      <c r="AF3541" t="inlineStr">
        <is>
          <t>P-5a Cost Analysis &gt; OPN_BA1 LI 1210 &gt; H0002-2.1 7M (24 ft) RIB</t>
        </is>
      </c>
      <c r="AJ3541" t="inlineStr">
        <is>
          <t>7M (24 ft) RIB</t>
        </is>
      </c>
    </row>
    <row r="3542">
      <c r="A3542" t="inlineStr">
        <is>
          <t>OPN_BA1</t>
        </is>
      </c>
      <c r="B3542" t="inlineStr">
        <is>
          <t>Procurement</t>
        </is>
      </c>
      <c r="D3542" t="inlineStr">
        <is>
          <t>Standard Boats - P-5a - 11M (36 ft) RIB</t>
        </is>
      </c>
      <c r="E3542" t="inlineStr">
        <is>
          <t>[ALT_VIEW]</t>
        </is>
      </c>
      <c r="F3542" t="inlineStr">
        <is>
          <t>31 / Standard Boats</t>
        </is>
      </c>
      <c r="G3542" t="inlineStr">
        <is>
          <t>P-5a</t>
        </is>
      </c>
      <c r="H3542" t="inlineStr">
        <is>
          <t>Recurring</t>
        </is>
      </c>
      <c r="I3542" t="n">
        <v>1</v>
      </c>
      <c r="S3542" t="n">
        <v>3588</v>
      </c>
      <c r="U3542" t="n">
        <v>3588</v>
      </c>
      <c r="AC3542">
        <f>IF(OR(E3542="",E3542="[PARENT]"),"ADD",IF(E3542="[ALT_VIEW]","ALT",""))</f>
        <v/>
      </c>
      <c r="AD3542">
        <f>IF(Y3542&lt;&gt;"",Y3542,IF(U3542&lt;&gt;"",U3542,S3542))</f>
        <v/>
      </c>
      <c r="AE3542">
        <f>IF(AB3542&lt;&gt;"",AB3542,Z3542)</f>
        <v/>
      </c>
      <c r="AF3542" t="inlineStr">
        <is>
          <t>P-5a Cost Analysis &gt; OPN_BA1 LI 1210 &gt; H0002-2.2 11M (36 ft) RIB</t>
        </is>
      </c>
      <c r="AJ3542" t="inlineStr">
        <is>
          <t>11M (36 ft) RIB</t>
        </is>
      </c>
    </row>
    <row r="3543">
      <c r="A3543" t="inlineStr">
        <is>
          <t>OPN_BA1</t>
        </is>
      </c>
      <c r="B3543" t="inlineStr">
        <is>
          <t>Procurement</t>
        </is>
      </c>
      <c r="D3543" t="inlineStr">
        <is>
          <t>Standard Boats - P-5a - EOD Support Craft RIB</t>
        </is>
      </c>
      <c r="E3543" t="inlineStr">
        <is>
          <t>[ALT_VIEW]</t>
        </is>
      </c>
      <c r="F3543" t="inlineStr">
        <is>
          <t>31 / Standard Boats</t>
        </is>
      </c>
      <c r="G3543" t="inlineStr">
        <is>
          <t>P-5a</t>
        </is>
      </c>
      <c r="H3543" t="inlineStr">
        <is>
          <t>Recurring</t>
        </is>
      </c>
      <c r="I3543" t="n">
        <v>1</v>
      </c>
      <c r="S3543" t="n">
        <v>7956</v>
      </c>
      <c r="U3543" t="n">
        <v>7956</v>
      </c>
      <c r="AC3543">
        <f>IF(OR(E3543="",E3543="[PARENT]"),"ADD",IF(E3543="[ALT_VIEW]","ALT",""))</f>
        <v/>
      </c>
      <c r="AD3543">
        <f>IF(Y3543&lt;&gt;"",Y3543,IF(U3543&lt;&gt;"",U3543,S3543))</f>
        <v/>
      </c>
      <c r="AE3543">
        <f>IF(AB3543&lt;&gt;"",AB3543,Z3543)</f>
        <v/>
      </c>
      <c r="AF3543" t="inlineStr">
        <is>
          <t>P-5a Cost Analysis &gt; OPN_BA1 LI 1210 &gt; H0003-3.1 EOD Support Craft RIB</t>
        </is>
      </c>
      <c r="AJ3543" t="inlineStr">
        <is>
          <t>EOD Support Craft RIB</t>
        </is>
      </c>
    </row>
    <row r="3544">
      <c r="A3544" t="inlineStr">
        <is>
          <t>OPN_BA1</t>
        </is>
      </c>
      <c r="B3544" t="inlineStr">
        <is>
          <t>Procurement</t>
        </is>
      </c>
      <c r="D3544" t="inlineStr">
        <is>
          <t>Standard Boats - P-5a - NSW Long Range Support Craft</t>
        </is>
      </c>
      <c r="E3544" t="inlineStr">
        <is>
          <t>[ALT_VIEW]</t>
        </is>
      </c>
      <c r="F3544" t="inlineStr">
        <is>
          <t>31 / Standard Boats</t>
        </is>
      </c>
      <c r="G3544" t="inlineStr">
        <is>
          <t>P-5a</t>
        </is>
      </c>
      <c r="H3544" t="inlineStr">
        <is>
          <t>Recurring</t>
        </is>
      </c>
      <c r="I3544" t="n">
        <v>1</v>
      </c>
      <c r="S3544" t="n">
        <v>4053</v>
      </c>
      <c r="U3544" t="n">
        <v>4053</v>
      </c>
      <c r="AC3544">
        <f>IF(OR(E3544="",E3544="[PARENT]"),"ADD",IF(E3544="[ALT_VIEW]","ALT",""))</f>
        <v/>
      </c>
      <c r="AD3544">
        <f>IF(Y3544&lt;&gt;"",Y3544,IF(U3544&lt;&gt;"",U3544,S3544))</f>
        <v/>
      </c>
      <c r="AE3544">
        <f>IF(AB3544&lt;&gt;"",AB3544,Z3544)</f>
        <v/>
      </c>
      <c r="AF3544" t="inlineStr">
        <is>
          <t>P-5a Cost Analysis &gt; OPN_BA1 LI 1210 &gt; H0004-4.1 NSW Long Range Support Craft</t>
        </is>
      </c>
      <c r="AJ3544" t="inlineStr">
        <is>
          <t>NSW Long Range Support Craft</t>
        </is>
      </c>
    </row>
    <row r="3545">
      <c r="A3545" t="inlineStr">
        <is>
          <t>OPN_BA1</t>
        </is>
      </c>
      <c r="B3545" t="inlineStr">
        <is>
          <t>Procurement</t>
        </is>
      </c>
      <c r="D3545" t="inlineStr">
        <is>
          <t>Standard Boats - P-5a - NSW Short Range Support Craft</t>
        </is>
      </c>
      <c r="E3545" t="inlineStr">
        <is>
          <t>[ALT_VIEW]</t>
        </is>
      </c>
      <c r="F3545" t="inlineStr">
        <is>
          <t>31 / Standard Boats</t>
        </is>
      </c>
      <c r="G3545" t="inlineStr">
        <is>
          <t>P-5a</t>
        </is>
      </c>
      <c r="H3545" t="inlineStr">
        <is>
          <t>Recurring</t>
        </is>
      </c>
      <c r="I3545" t="n">
        <v>1</v>
      </c>
      <c r="S3545" t="n">
        <v>3224</v>
      </c>
      <c r="U3545" t="n">
        <v>3224</v>
      </c>
      <c r="AC3545">
        <f>IF(OR(E3545="",E3545="[PARENT]"),"ADD",IF(E3545="[ALT_VIEW]","ALT",""))</f>
        <v/>
      </c>
      <c r="AD3545">
        <f>IF(Y3545&lt;&gt;"",Y3545,IF(U3545&lt;&gt;"",U3545,S3545))</f>
        <v/>
      </c>
      <c r="AE3545">
        <f>IF(AB3545&lt;&gt;"",AB3545,Z3545)</f>
        <v/>
      </c>
      <c r="AF3545" t="inlineStr">
        <is>
          <t>P-5a Cost Analysis &gt; OPN_BA1 LI 1210 &gt; H0004-4.2 NSW Short Range Support Craft</t>
        </is>
      </c>
      <c r="AJ3545" t="inlineStr">
        <is>
          <t>NSW Short Range Support Craft</t>
        </is>
      </c>
    </row>
    <row r="3546">
      <c r="A3546" t="inlineStr">
        <is>
          <t>OPN_BA1</t>
        </is>
      </c>
      <c r="B3546" t="inlineStr">
        <is>
          <t>Procurement</t>
        </is>
      </c>
      <c r="D3546" t="inlineStr">
        <is>
          <t>Standard Boats - P-5a - Submarine Warfare (Dive Boat)</t>
        </is>
      </c>
      <c r="E3546" t="inlineStr">
        <is>
          <t>[ALT_VIEW]</t>
        </is>
      </c>
      <c r="F3546" t="inlineStr">
        <is>
          <t>31 / Standard Boats</t>
        </is>
      </c>
      <c r="G3546" t="inlineStr">
        <is>
          <t>P-5a</t>
        </is>
      </c>
      <c r="H3546" t="inlineStr">
        <is>
          <t>Recurring</t>
        </is>
      </c>
      <c r="I3546" t="n">
        <v>1</v>
      </c>
      <c r="S3546" t="n">
        <v>4500</v>
      </c>
      <c r="U3546" t="n">
        <v>4500</v>
      </c>
      <c r="AC3546">
        <f>IF(OR(E3546="",E3546="[PARENT]"),"ADD",IF(E3546="[ALT_VIEW]","ALT",""))</f>
        <v/>
      </c>
      <c r="AD3546">
        <f>IF(Y3546&lt;&gt;"",Y3546,IF(U3546&lt;&gt;"",U3546,S3546))</f>
        <v/>
      </c>
      <c r="AE3546">
        <f>IF(AB3546&lt;&gt;"",AB3546,Z3546)</f>
        <v/>
      </c>
      <c r="AF3546" t="inlineStr">
        <is>
          <t>P-5a Cost Analysis &gt; OPN_BA1 LI 1210 &gt; H0009 Submarine Warfare (Dive Boat)</t>
        </is>
      </c>
      <c r="AJ3546" t="inlineStr">
        <is>
          <t>Submarine Warfare (Dive Boat)</t>
        </is>
      </c>
    </row>
    <row r="3547">
      <c r="A3547" t="inlineStr">
        <is>
          <t>OPN_BA1</t>
        </is>
      </c>
      <c r="B3547" t="inlineStr">
        <is>
          <t>Procurement</t>
        </is>
      </c>
      <c r="D3547" t="inlineStr">
        <is>
          <t>Standard Boats - P-5a - CNIC Workboat (Medium)</t>
        </is>
      </c>
      <c r="E3547" t="inlineStr">
        <is>
          <t>[ALT_VIEW]</t>
        </is>
      </c>
      <c r="F3547" t="inlineStr">
        <is>
          <t>31 / Standard Boats</t>
        </is>
      </c>
      <c r="G3547" t="inlineStr">
        <is>
          <t>P-5a</t>
        </is>
      </c>
      <c r="H3547" t="inlineStr">
        <is>
          <t>Recurring</t>
        </is>
      </c>
      <c r="I3547" t="n">
        <v>1</v>
      </c>
      <c r="S3547" t="n">
        <v>2231</v>
      </c>
      <c r="U3547" t="n">
        <v>2231</v>
      </c>
      <c r="AC3547">
        <f>IF(OR(E3547="",E3547="[PARENT]"),"ADD",IF(E3547="[ALT_VIEW]","ALT",""))</f>
        <v/>
      </c>
      <c r="AD3547">
        <f>IF(Y3547&lt;&gt;"",Y3547,IF(U3547&lt;&gt;"",U3547,S3547))</f>
        <v/>
      </c>
      <c r="AE3547">
        <f>IF(AB3547&lt;&gt;"",AB3547,Z3547)</f>
        <v/>
      </c>
      <c r="AF3547" t="inlineStr">
        <is>
          <t>P-5a Cost Analysis &gt; OPN_BA1 LI 1210 &gt; H0001-1.5 CNIC Workboat (Medium)</t>
        </is>
      </c>
      <c r="AJ3547" t="inlineStr">
        <is>
          <t>CNIC Workboat (Medium)</t>
        </is>
      </c>
    </row>
    <row r="3548">
      <c r="A3548" t="inlineStr">
        <is>
          <t>OPN_BA1</t>
        </is>
      </c>
      <c r="B3548" t="inlineStr">
        <is>
          <t>Procurement</t>
        </is>
      </c>
      <c r="D3548" t="inlineStr">
        <is>
          <t>Standard Boats - P-5a - Arizona Memorial Ferry</t>
        </is>
      </c>
      <c r="E3548" t="inlineStr">
        <is>
          <t>[ALT_VIEW]</t>
        </is>
      </c>
      <c r="F3548" t="inlineStr">
        <is>
          <t>31 / Standard Boats</t>
        </is>
      </c>
      <c r="G3548" t="inlineStr">
        <is>
          <t>P-5a</t>
        </is>
      </c>
      <c r="H3548" t="inlineStr">
        <is>
          <t>Recurring</t>
        </is>
      </c>
      <c r="I3548" t="n">
        <v>1</v>
      </c>
      <c r="S3548" t="n">
        <v>2000</v>
      </c>
      <c r="U3548" t="n">
        <v>2000</v>
      </c>
      <c r="AC3548">
        <f>IF(OR(E3548="",E3548="[PARENT]"),"ADD",IF(E3548="[ALT_VIEW]","ALT",""))</f>
        <v/>
      </c>
      <c r="AD3548">
        <f>IF(Y3548&lt;&gt;"",Y3548,IF(U3548&lt;&gt;"",U3548,S3548))</f>
        <v/>
      </c>
      <c r="AE3548">
        <f>IF(AB3548&lt;&gt;"",AB3548,Z3548)</f>
        <v/>
      </c>
      <c r="AF3548" t="inlineStr">
        <is>
          <t>P-5a Cost Analysis &gt; OPN_BA1 LI 1210 &gt; H0001-1.7 Arizona Memorial Ferry</t>
        </is>
      </c>
      <c r="AJ3548" t="inlineStr">
        <is>
          <t>Arizona Memorial Ferry</t>
        </is>
      </c>
    </row>
    <row r="3549">
      <c r="A3549" t="inlineStr">
        <is>
          <t>OPN_BA1</t>
        </is>
      </c>
      <c r="B3549" t="inlineStr">
        <is>
          <t>Procurement</t>
        </is>
      </c>
      <c r="D3549" t="inlineStr">
        <is>
          <t>Submarine Support Equipment - P-40a - Acoustic Superiority Machinery Alterations</t>
        </is>
      </c>
      <c r="E3549" t="inlineStr">
        <is>
          <t>[ALT_VIEW]</t>
        </is>
      </c>
      <c r="F3549" t="inlineStr">
        <is>
          <t>11 / Submarine Support Equipment</t>
        </is>
      </c>
      <c r="G3549" t="inlineStr">
        <is>
          <t>P-40a</t>
        </is>
      </c>
      <c r="H3549" t="inlineStr">
        <is>
          <t>Recurring</t>
        </is>
      </c>
      <c r="I3549" t="n">
        <v>4</v>
      </c>
      <c r="K3549" t="inlineStr">
        <is>
          <t>USN</t>
        </is>
      </c>
      <c r="L3549" t="inlineStr">
        <is>
          <t>Combatant Ships</t>
        </is>
      </c>
      <c r="M3549" t="inlineStr">
        <is>
          <t>Submarines</t>
        </is>
      </c>
      <c r="S3549" t="n">
        <v>5829</v>
      </c>
      <c r="U3549" t="n">
        <v>5829</v>
      </c>
      <c r="AC3549">
        <f>IF(OR(E3549="",E3549="[PARENT]"),"ADD",IF(E3549="[ALT_VIEW]","ALT",""))</f>
        <v/>
      </c>
      <c r="AD3549">
        <f>IF(Y3549&lt;&gt;"",Y3549,IF(U3549&lt;&gt;"",U3549,S3549))</f>
        <v/>
      </c>
      <c r="AE3549">
        <f>IF(AB3549&lt;&gt;"",AB3549,Z3549)</f>
        <v/>
      </c>
      <c r="AF3549" t="inlineStr">
        <is>
          <t>P-40a Cost Analysis &gt; OPN_BA1 LI 0941 &gt; PB002 Acoustic Superiority Machinery Alterations</t>
        </is>
      </c>
      <c r="AJ3549" t="inlineStr">
        <is>
          <t>Acoustic Superiority Machinery Alterations</t>
        </is>
      </c>
    </row>
    <row r="3550">
      <c r="AC3550">
        <f>IF(OR(E3550="",E3550="[PARENT]"),"ADD",IF(E3550="[ALT_VIEW]","ALT",""))</f>
        <v/>
      </c>
      <c r="AD3550">
        <f>IF(Y3550&lt;&gt;"",Y3550,IF(U3550&lt;&gt;"",U3550,S3550))</f>
        <v/>
      </c>
      <c r="AE3550">
        <f>IF(AB3550&lt;&gt;"",AB3550,Z3550)</f>
        <v/>
      </c>
    </row>
    <row r="3551">
      <c r="AC3551">
        <f>IF(OR(E3551="",E3551="[PARENT]"),"ADD",IF(E3551="[ALT_VIEW]","ALT",""))</f>
        <v/>
      </c>
      <c r="AD3551">
        <f>IF(Y3551&lt;&gt;"",Y3551,IF(U3551&lt;&gt;"",U3551,S3551))</f>
        <v/>
      </c>
      <c r="AE3551">
        <f>IF(AB3551&lt;&gt;"",AB3551,Z3551)</f>
        <v/>
      </c>
    </row>
    <row r="3552">
      <c r="AC3552">
        <f>IF(OR(E3552="",E3552="[PARENT]"),"ADD",IF(E3552="[ALT_VIEW]","ALT",""))</f>
        <v/>
      </c>
      <c r="AD3552">
        <f>IF(Y3552&lt;&gt;"",Y3552,IF(U3552&lt;&gt;"",U3552,S3552))</f>
        <v/>
      </c>
      <c r="AE3552">
        <f>IF(AB3552&lt;&gt;"",AB3552,Z3552)</f>
        <v/>
      </c>
    </row>
    <row r="3553">
      <c r="AC3553">
        <f>IF(OR(E3553="",E3553="[PARENT]"),"ADD",IF(E3553="[ALT_VIEW]","ALT",""))</f>
        <v/>
      </c>
      <c r="AD3553">
        <f>IF(Y3553&lt;&gt;"",Y3553,IF(U3553&lt;&gt;"",U3553,S3553))</f>
        <v/>
      </c>
      <c r="AE3553">
        <f>IF(AB3553&lt;&gt;"",AB3553,Z3553)</f>
        <v/>
      </c>
    </row>
    <row r="3554">
      <c r="AC3554">
        <f>IF(OR(E3554="",E3554="[PARENT]"),"ADD",IF(E3554="[ALT_VIEW]","ALT",""))</f>
        <v/>
      </c>
      <c r="AD3554">
        <f>IF(Y3554&lt;&gt;"",Y3554,IF(U3554&lt;&gt;"",U3554,S3554))</f>
        <v/>
      </c>
      <c r="AE3554">
        <f>IF(AB3554&lt;&gt;"",AB3554,Z3554)</f>
        <v/>
      </c>
    </row>
    <row r="3555">
      <c r="AC3555">
        <f>IF(OR(E3555="",E3555="[PARENT]"),"ADD",IF(E3555="[ALT_VIEW]","ALT",""))</f>
        <v/>
      </c>
      <c r="AD3555">
        <f>IF(Y3555&lt;&gt;"",Y3555,IF(U3555&lt;&gt;"",U3555,S3555))</f>
        <v/>
      </c>
      <c r="AE3555">
        <f>IF(AB3555&lt;&gt;"",AB3555,Z3555)</f>
        <v/>
      </c>
    </row>
    <row r="3556">
      <c r="AC3556">
        <f>IF(OR(E3556="",E3556="[PARENT]"),"ADD",IF(E3556="[ALT_VIEW]","ALT",""))</f>
        <v/>
      </c>
      <c r="AD3556">
        <f>IF(Y3556&lt;&gt;"",Y3556,IF(U3556&lt;&gt;"",U3556,S3556))</f>
        <v/>
      </c>
      <c r="AE3556">
        <f>IF(AB3556&lt;&gt;"",AB3556,Z3556)</f>
        <v/>
      </c>
    </row>
    <row r="3557">
      <c r="AC3557">
        <f>IF(OR(E3557="",E3557="[PARENT]"),"ADD",IF(E3557="[ALT_VIEW]","ALT",""))</f>
        <v/>
      </c>
      <c r="AD3557">
        <f>IF(Y3557&lt;&gt;"",Y3557,IF(U3557&lt;&gt;"",U3557,S3557))</f>
        <v/>
      </c>
      <c r="AE3557">
        <f>IF(AB3557&lt;&gt;"",AB3557,Z3557)</f>
        <v/>
      </c>
    </row>
    <row r="3558">
      <c r="AC3558">
        <f>IF(OR(E3558="",E3558="[PARENT]"),"ADD",IF(E3558="[ALT_VIEW]","ALT",""))</f>
        <v/>
      </c>
      <c r="AD3558">
        <f>IF(Y3558&lt;&gt;"",Y3558,IF(U3558&lt;&gt;"",U3558,S3558))</f>
        <v/>
      </c>
      <c r="AE3558">
        <f>IF(AB3558&lt;&gt;"",AB3558,Z3558)</f>
        <v/>
      </c>
    </row>
    <row r="3559">
      <c r="AC3559">
        <f>IF(OR(E3559="",E3559="[PARENT]"),"ADD",IF(E3559="[ALT_VIEW]","ALT",""))</f>
        <v/>
      </c>
      <c r="AD3559">
        <f>IF(Y3559&lt;&gt;"",Y3559,IF(U3559&lt;&gt;"",U3559,S3559))</f>
        <v/>
      </c>
      <c r="AE3559">
        <f>IF(AB3559&lt;&gt;"",AB3559,Z3559)</f>
        <v/>
      </c>
    </row>
    <row r="3560">
      <c r="AC3560">
        <f>IF(OR(E3560="",E3560="[PARENT]"),"ADD",IF(E3560="[ALT_VIEW]","ALT",""))</f>
        <v/>
      </c>
      <c r="AD3560">
        <f>IF(Y3560&lt;&gt;"",Y3560,IF(U3560&lt;&gt;"",U3560,S3560))</f>
        <v/>
      </c>
      <c r="AE3560">
        <f>IF(AB3560&lt;&gt;"",AB3560,Z3560)</f>
        <v/>
      </c>
    </row>
    <row r="3561">
      <c r="AC3561">
        <f>IF(OR(E3561="",E3561="[PARENT]"),"ADD",IF(E3561="[ALT_VIEW]","ALT",""))</f>
        <v/>
      </c>
      <c r="AD3561">
        <f>IF(Y3561&lt;&gt;"",Y3561,IF(U3561&lt;&gt;"",U3561,S3561))</f>
        <v/>
      </c>
      <c r="AE3561">
        <f>IF(AB3561&lt;&gt;"",AB3561,Z3561)</f>
        <v/>
      </c>
    </row>
    <row r="3562">
      <c r="AC3562">
        <f>IF(OR(E3562="",E3562="[PARENT]"),"ADD",IF(E3562="[ALT_VIEW]","ALT",""))</f>
        <v/>
      </c>
      <c r="AD3562">
        <f>IF(Y3562&lt;&gt;"",Y3562,IF(U3562&lt;&gt;"",U3562,S3562))</f>
        <v/>
      </c>
      <c r="AE3562">
        <f>IF(AB3562&lt;&gt;"",AB3562,Z3562)</f>
        <v/>
      </c>
    </row>
    <row r="3563">
      <c r="AC3563">
        <f>IF(OR(E3563="",E3563="[PARENT]"),"ADD",IF(E3563="[ALT_VIEW]","ALT",""))</f>
        <v/>
      </c>
      <c r="AD3563">
        <f>IF(Y3563&lt;&gt;"",Y3563,IF(U3563&lt;&gt;"",U3563,S3563))</f>
        <v/>
      </c>
      <c r="AE3563">
        <f>IF(AB3563&lt;&gt;"",AB3563,Z3563)</f>
        <v/>
      </c>
    </row>
    <row r="3564">
      <c r="AC3564">
        <f>IF(OR(E3564="",E3564="[PARENT]"),"ADD",IF(E3564="[ALT_VIEW]","ALT",""))</f>
        <v/>
      </c>
      <c r="AD3564">
        <f>IF(Y3564&lt;&gt;"",Y3564,IF(U3564&lt;&gt;"",U3564,S3564))</f>
        <v/>
      </c>
      <c r="AE3564">
        <f>IF(AB3564&lt;&gt;"",AB3564,Z3564)</f>
        <v/>
      </c>
    </row>
    <row r="3565">
      <c r="AC3565">
        <f>IF(OR(E3565="",E3565="[PARENT]"),"ADD",IF(E3565="[ALT_VIEW]","ALT",""))</f>
        <v/>
      </c>
      <c r="AD3565">
        <f>IF(Y3565&lt;&gt;"",Y3565,IF(U3565&lt;&gt;"",U3565,S3565))</f>
        <v/>
      </c>
      <c r="AE3565">
        <f>IF(AB3565&lt;&gt;"",AB3565,Z3565)</f>
        <v/>
      </c>
    </row>
    <row r="3566">
      <c r="AC3566">
        <f>IF(OR(E3566="",E3566="[PARENT]"),"ADD",IF(E3566="[ALT_VIEW]","ALT",""))</f>
        <v/>
      </c>
      <c r="AD3566">
        <f>IF(Y3566&lt;&gt;"",Y3566,IF(U3566&lt;&gt;"",U3566,S3566))</f>
        <v/>
      </c>
      <c r="AE3566">
        <f>IF(AB3566&lt;&gt;"",AB3566,Z3566)</f>
        <v/>
      </c>
    </row>
    <row r="3567">
      <c r="AC3567">
        <f>IF(OR(E3567="",E3567="[PARENT]"),"ADD",IF(E3567="[ALT_VIEW]","ALT",""))</f>
        <v/>
      </c>
      <c r="AD3567">
        <f>IF(Y3567&lt;&gt;"",Y3567,IF(U3567&lt;&gt;"",U3567,S3567))</f>
        <v/>
      </c>
      <c r="AE3567">
        <f>IF(AB3567&lt;&gt;"",AB3567,Z3567)</f>
        <v/>
      </c>
    </row>
    <row r="3568">
      <c r="AC3568">
        <f>IF(OR(E3568="",E3568="[PARENT]"),"ADD",IF(E3568="[ALT_VIEW]","ALT",""))</f>
        <v/>
      </c>
      <c r="AD3568">
        <f>IF(Y3568&lt;&gt;"",Y3568,IF(U3568&lt;&gt;"",U3568,S3568))</f>
        <v/>
      </c>
      <c r="AE3568">
        <f>IF(AB3568&lt;&gt;"",AB3568,Z3568)</f>
        <v/>
      </c>
    </row>
    <row r="3569">
      <c r="AC3569">
        <f>IF(OR(E3569="",E3569="[PARENT]"),"ADD",IF(E3569="[ALT_VIEW]","ALT",""))</f>
        <v/>
      </c>
      <c r="AD3569">
        <f>IF(Y3569&lt;&gt;"",Y3569,IF(U3569&lt;&gt;"",U3569,S3569))</f>
        <v/>
      </c>
      <c r="AE3569">
        <f>IF(AB3569&lt;&gt;"",AB3569,Z3569)</f>
        <v/>
      </c>
    </row>
    <row r="3570">
      <c r="AC3570">
        <f>IF(OR(E3570="",E3570="[PARENT]"),"ADD",IF(E3570="[ALT_VIEW]","ALT",""))</f>
        <v/>
      </c>
      <c r="AD3570">
        <f>IF(Y3570&lt;&gt;"",Y3570,IF(U3570&lt;&gt;"",U3570,S3570))</f>
        <v/>
      </c>
      <c r="AE3570">
        <f>IF(AB3570&lt;&gt;"",AB3570,Z3570)</f>
        <v/>
      </c>
    </row>
    <row r="3571">
      <c r="AC3571">
        <f>IF(OR(E3571="",E3571="[PARENT]"),"ADD",IF(E3571="[ALT_VIEW]","ALT",""))</f>
        <v/>
      </c>
      <c r="AD3571">
        <f>IF(Y3571&lt;&gt;"",Y3571,IF(U3571&lt;&gt;"",U3571,S3571))</f>
        <v/>
      </c>
      <c r="AE3571">
        <f>IF(AB3571&lt;&gt;"",AB3571,Z3571)</f>
        <v/>
      </c>
    </row>
    <row r="3572">
      <c r="AC3572">
        <f>IF(OR(E3572="",E3572="[PARENT]"),"ADD",IF(E3572="[ALT_VIEW]","ALT",""))</f>
        <v/>
      </c>
      <c r="AD3572">
        <f>IF(Y3572&lt;&gt;"",Y3572,IF(U3572&lt;&gt;"",U3572,S3572))</f>
        <v/>
      </c>
      <c r="AE3572">
        <f>IF(AB3572&lt;&gt;"",AB3572,Z3572)</f>
        <v/>
      </c>
    </row>
    <row r="3573">
      <c r="AC3573">
        <f>IF(OR(E3573="",E3573="[PARENT]"),"ADD",IF(E3573="[ALT_VIEW]","ALT",""))</f>
        <v/>
      </c>
      <c r="AD3573">
        <f>IF(Y3573&lt;&gt;"",Y3573,IF(U3573&lt;&gt;"",U3573,S3573))</f>
        <v/>
      </c>
      <c r="AE3573">
        <f>IF(AB3573&lt;&gt;"",AB3573,Z3573)</f>
        <v/>
      </c>
    </row>
    <row r="3574">
      <c r="AC3574">
        <f>IF(OR(E3574="",E3574="[PARENT]"),"ADD",IF(E3574="[ALT_VIEW]","ALT",""))</f>
        <v/>
      </c>
      <c r="AD3574">
        <f>IF(Y3574&lt;&gt;"",Y3574,IF(U3574&lt;&gt;"",U3574,S3574))</f>
        <v/>
      </c>
      <c r="AE3574">
        <f>IF(AB3574&lt;&gt;"",AB3574,Z3574)</f>
        <v/>
      </c>
    </row>
    <row r="3575">
      <c r="AC3575">
        <f>IF(OR(E3575="",E3575="[PARENT]"),"ADD",IF(E3575="[ALT_VIEW]","ALT",""))</f>
        <v/>
      </c>
      <c r="AD3575">
        <f>IF(Y3575&lt;&gt;"",Y3575,IF(U3575&lt;&gt;"",U3575,S3575))</f>
        <v/>
      </c>
      <c r="AE3575">
        <f>IF(AB3575&lt;&gt;"",AB3575,Z3575)</f>
        <v/>
      </c>
    </row>
    <row r="3576">
      <c r="AC3576">
        <f>IF(OR(E3576="",E3576="[PARENT]"),"ADD",IF(E3576="[ALT_VIEW]","ALT",""))</f>
        <v/>
      </c>
      <c r="AD3576">
        <f>IF(Y3576&lt;&gt;"",Y3576,IF(U3576&lt;&gt;"",U3576,S3576))</f>
        <v/>
      </c>
      <c r="AE3576">
        <f>IF(AB3576&lt;&gt;"",AB3576,Z3576)</f>
        <v/>
      </c>
    </row>
    <row r="3577">
      <c r="AC3577">
        <f>IF(OR(E3577="",E3577="[PARENT]"),"ADD",IF(E3577="[ALT_VIEW]","ALT",""))</f>
        <v/>
      </c>
      <c r="AD3577">
        <f>IF(Y3577&lt;&gt;"",Y3577,IF(U3577&lt;&gt;"",U3577,S3577))</f>
        <v/>
      </c>
      <c r="AE3577">
        <f>IF(AB3577&lt;&gt;"",AB3577,Z3577)</f>
        <v/>
      </c>
    </row>
    <row r="3578">
      <c r="AC3578">
        <f>IF(OR(E3578="",E3578="[PARENT]"),"ADD",IF(E3578="[ALT_VIEW]","ALT",""))</f>
        <v/>
      </c>
      <c r="AD3578">
        <f>IF(Y3578&lt;&gt;"",Y3578,IF(U3578&lt;&gt;"",U3578,S3578))</f>
        <v/>
      </c>
      <c r="AE3578">
        <f>IF(AB3578&lt;&gt;"",AB3578,Z3578)</f>
        <v/>
      </c>
    </row>
    <row r="3579">
      <c r="AC3579">
        <f>IF(OR(E3579="",E3579="[PARENT]"),"ADD",IF(E3579="[ALT_VIEW]","ALT",""))</f>
        <v/>
      </c>
      <c r="AD3579">
        <f>IF(Y3579&lt;&gt;"",Y3579,IF(U3579&lt;&gt;"",U3579,S3579))</f>
        <v/>
      </c>
      <c r="AE3579">
        <f>IF(AB3579&lt;&gt;"",AB3579,Z3579)</f>
        <v/>
      </c>
    </row>
    <row r="3580">
      <c r="AC3580">
        <f>IF(OR(E3580="",E3580="[PARENT]"),"ADD",IF(E3580="[ALT_VIEW]","ALT",""))</f>
        <v/>
      </c>
      <c r="AD3580">
        <f>IF(Y3580&lt;&gt;"",Y3580,IF(U3580&lt;&gt;"",U3580,S3580))</f>
        <v/>
      </c>
      <c r="AE3580">
        <f>IF(AB3580&lt;&gt;"",AB3580,Z3580)</f>
        <v/>
      </c>
    </row>
    <row r="3581">
      <c r="AC3581">
        <f>IF(OR(E3581="",E3581="[PARENT]"),"ADD",IF(E3581="[ALT_VIEW]","ALT",""))</f>
        <v/>
      </c>
      <c r="AD3581">
        <f>IF(Y3581&lt;&gt;"",Y3581,IF(U3581&lt;&gt;"",U3581,S3581))</f>
        <v/>
      </c>
      <c r="AE3581">
        <f>IF(AB3581&lt;&gt;"",AB3581,Z3581)</f>
        <v/>
      </c>
    </row>
    <row r="3582">
      <c r="AC3582">
        <f>IF(OR(E3582="",E3582="[PARENT]"),"ADD",IF(E3582="[ALT_VIEW]","ALT",""))</f>
        <v/>
      </c>
      <c r="AD3582">
        <f>IF(Y3582&lt;&gt;"",Y3582,IF(U3582&lt;&gt;"",U3582,S3582))</f>
        <v/>
      </c>
      <c r="AE3582">
        <f>IF(AB3582&lt;&gt;"",AB3582,Z3582)</f>
        <v/>
      </c>
    </row>
    <row r="3583">
      <c r="AC3583">
        <f>IF(OR(E3583="",E3583="[PARENT]"),"ADD",IF(E3583="[ALT_VIEW]","ALT",""))</f>
        <v/>
      </c>
      <c r="AD3583">
        <f>IF(Y3583&lt;&gt;"",Y3583,IF(U3583&lt;&gt;"",U3583,S3583))</f>
        <v/>
      </c>
      <c r="AE3583">
        <f>IF(AB3583&lt;&gt;"",AB3583,Z3583)</f>
        <v/>
      </c>
    </row>
    <row r="3584">
      <c r="AC3584">
        <f>IF(OR(E3584="",E3584="[PARENT]"),"ADD",IF(E3584="[ALT_VIEW]","ALT",""))</f>
        <v/>
      </c>
      <c r="AD3584">
        <f>IF(Y3584&lt;&gt;"",Y3584,IF(U3584&lt;&gt;"",U3584,S3584))</f>
        <v/>
      </c>
      <c r="AE3584">
        <f>IF(AB3584&lt;&gt;"",AB3584,Z3584)</f>
        <v/>
      </c>
    </row>
    <row r="3585">
      <c r="AC3585">
        <f>IF(OR(E3585="",E3585="[PARENT]"),"ADD",IF(E3585="[ALT_VIEW]","ALT",""))</f>
        <v/>
      </c>
      <c r="AD3585">
        <f>IF(Y3585&lt;&gt;"",Y3585,IF(U3585&lt;&gt;"",U3585,S3585))</f>
        <v/>
      </c>
      <c r="AE3585">
        <f>IF(AB3585&lt;&gt;"",AB3585,Z3585)</f>
        <v/>
      </c>
    </row>
    <row r="3586">
      <c r="AC3586">
        <f>IF(OR(E3586="",E3586="[PARENT]"),"ADD",IF(E3586="[ALT_VIEW]","ALT",""))</f>
        <v/>
      </c>
      <c r="AD3586">
        <f>IF(Y3586&lt;&gt;"",Y3586,IF(U3586&lt;&gt;"",U3586,S3586))</f>
        <v/>
      </c>
      <c r="AE3586">
        <f>IF(AB3586&lt;&gt;"",AB3586,Z3586)</f>
        <v/>
      </c>
    </row>
    <row r="3587">
      <c r="AC3587">
        <f>IF(OR(E3587="",E3587="[PARENT]"),"ADD",IF(E3587="[ALT_VIEW]","ALT",""))</f>
        <v/>
      </c>
      <c r="AD3587">
        <f>IF(Y3587&lt;&gt;"",Y3587,IF(U3587&lt;&gt;"",U3587,S3587))</f>
        <v/>
      </c>
      <c r="AE3587">
        <f>IF(AB3587&lt;&gt;"",AB3587,Z3587)</f>
        <v/>
      </c>
    </row>
    <row r="3588">
      <c r="AC3588">
        <f>IF(OR(E3588="",E3588="[PARENT]"),"ADD",IF(E3588="[ALT_VIEW]","ALT",""))</f>
        <v/>
      </c>
      <c r="AD3588">
        <f>IF(Y3588&lt;&gt;"",Y3588,IF(U3588&lt;&gt;"",U3588,S3588))</f>
        <v/>
      </c>
      <c r="AE3588">
        <f>IF(AB3588&lt;&gt;"",AB3588,Z3588)</f>
        <v/>
      </c>
    </row>
    <row r="3589">
      <c r="AC3589">
        <f>IF(OR(E3589="",E3589="[PARENT]"),"ADD",IF(E3589="[ALT_VIEW]","ALT",""))</f>
        <v/>
      </c>
      <c r="AD3589">
        <f>IF(Y3589&lt;&gt;"",Y3589,IF(U3589&lt;&gt;"",U3589,S3589))</f>
        <v/>
      </c>
      <c r="AE3589">
        <f>IF(AB3589&lt;&gt;"",AB3589,Z3589)</f>
        <v/>
      </c>
    </row>
    <row r="3590">
      <c r="AC3590">
        <f>IF(OR(E3590="",E3590="[PARENT]"),"ADD",IF(E3590="[ALT_VIEW]","ALT",""))</f>
        <v/>
      </c>
      <c r="AD3590">
        <f>IF(Y3590&lt;&gt;"",Y3590,IF(U3590&lt;&gt;"",U3590,S3590))</f>
        <v/>
      </c>
      <c r="AE3590">
        <f>IF(AB3590&lt;&gt;"",AB3590,Z3590)</f>
        <v/>
      </c>
    </row>
    <row r="3591">
      <c r="AC3591">
        <f>IF(OR(E3591="",E3591="[PARENT]"),"ADD",IF(E3591="[ALT_VIEW]","ALT",""))</f>
        <v/>
      </c>
      <c r="AD3591">
        <f>IF(Y3591&lt;&gt;"",Y3591,IF(U3591&lt;&gt;"",U3591,S3591))</f>
        <v/>
      </c>
      <c r="AE3591">
        <f>IF(AB3591&lt;&gt;"",AB3591,Z3591)</f>
        <v/>
      </c>
    </row>
    <row r="3592">
      <c r="AC3592">
        <f>IF(OR(E3592="",E3592="[PARENT]"),"ADD",IF(E3592="[ALT_VIEW]","ALT",""))</f>
        <v/>
      </c>
      <c r="AD3592">
        <f>IF(Y3592&lt;&gt;"",Y3592,IF(U3592&lt;&gt;"",U3592,S3592))</f>
        <v/>
      </c>
      <c r="AE3592">
        <f>IF(AB3592&lt;&gt;"",AB3592,Z3592)</f>
        <v/>
      </c>
    </row>
    <row r="3593">
      <c r="AC3593">
        <f>IF(OR(E3593="",E3593="[PARENT]"),"ADD",IF(E3593="[ALT_VIEW]","ALT",""))</f>
        <v/>
      </c>
      <c r="AD3593">
        <f>IF(Y3593&lt;&gt;"",Y3593,IF(U3593&lt;&gt;"",U3593,S3593))</f>
        <v/>
      </c>
      <c r="AE3593">
        <f>IF(AB3593&lt;&gt;"",AB3593,Z3593)</f>
        <v/>
      </c>
    </row>
    <row r="3594">
      <c r="AC3594">
        <f>IF(OR(E3594="",E3594="[PARENT]"),"ADD",IF(E3594="[ALT_VIEW]","ALT",""))</f>
        <v/>
      </c>
      <c r="AD3594">
        <f>IF(Y3594&lt;&gt;"",Y3594,IF(U3594&lt;&gt;"",U3594,S3594))</f>
        <v/>
      </c>
      <c r="AE3594">
        <f>IF(AB3594&lt;&gt;"",AB3594,Z3594)</f>
        <v/>
      </c>
    </row>
    <row r="3595">
      <c r="AC3595">
        <f>IF(OR(E3595="",E3595="[PARENT]"),"ADD",IF(E3595="[ALT_VIEW]","ALT",""))</f>
        <v/>
      </c>
      <c r="AD3595">
        <f>IF(Y3595&lt;&gt;"",Y3595,IF(U3595&lt;&gt;"",U3595,S3595))</f>
        <v/>
      </c>
      <c r="AE3595">
        <f>IF(AB3595&lt;&gt;"",AB3595,Z3595)</f>
        <v/>
      </c>
    </row>
    <row r="3596">
      <c r="AC3596">
        <f>IF(OR(E3596="",E3596="[PARENT]"),"ADD",IF(E3596="[ALT_VIEW]","ALT",""))</f>
        <v/>
      </c>
      <c r="AD3596">
        <f>IF(Y3596&lt;&gt;"",Y3596,IF(U3596&lt;&gt;"",U3596,S3596))</f>
        <v/>
      </c>
      <c r="AE3596">
        <f>IF(AB3596&lt;&gt;"",AB3596,Z3596)</f>
        <v/>
      </c>
    </row>
    <row r="3597">
      <c r="AC3597">
        <f>IF(OR(E3597="",E3597="[PARENT]"),"ADD",IF(E3597="[ALT_VIEW]","ALT",""))</f>
        <v/>
      </c>
      <c r="AD3597">
        <f>IF(Y3597&lt;&gt;"",Y3597,IF(U3597&lt;&gt;"",U3597,S3597))</f>
        <v/>
      </c>
      <c r="AE3597">
        <f>IF(AB3597&lt;&gt;"",AB3597,Z3597)</f>
        <v/>
      </c>
    </row>
    <row r="3598">
      <c r="AC3598">
        <f>IF(OR(E3598="",E3598="[PARENT]"),"ADD",IF(E3598="[ALT_VIEW]","ALT",""))</f>
        <v/>
      </c>
      <c r="AD3598">
        <f>IF(Y3598&lt;&gt;"",Y3598,IF(U3598&lt;&gt;"",U3598,S3598))</f>
        <v/>
      </c>
      <c r="AE3598">
        <f>IF(AB3598&lt;&gt;"",AB3598,Z3598)</f>
        <v/>
      </c>
    </row>
    <row r="3599">
      <c r="AC3599">
        <f>IF(OR(E3599="",E3599="[PARENT]"),"ADD",IF(E3599="[ALT_VIEW]","ALT",""))</f>
        <v/>
      </c>
      <c r="AD3599">
        <f>IF(Y3599&lt;&gt;"",Y3599,IF(U3599&lt;&gt;"",U3599,S3599))</f>
        <v/>
      </c>
      <c r="AE3599">
        <f>IF(AB3599&lt;&gt;"",AB3599,Z3599)</f>
        <v/>
      </c>
    </row>
    <row r="3600">
      <c r="AC3600">
        <f>IF(OR(E3600="",E3600="[PARENT]"),"ADD",IF(E3600="[ALT_VIEW]","ALT",""))</f>
        <v/>
      </c>
      <c r="AD3600">
        <f>IF(Y3600&lt;&gt;"",Y3600,IF(U3600&lt;&gt;"",U3600,S3600))</f>
        <v/>
      </c>
      <c r="AE3600">
        <f>IF(AB3600&lt;&gt;"",AB3600,Z3600)</f>
        <v/>
      </c>
    </row>
    <row r="3601">
      <c r="AC3601">
        <f>IF(OR(E3601="",E3601="[PARENT]"),"ADD",IF(E3601="[ALT_VIEW]","ALT",""))</f>
        <v/>
      </c>
      <c r="AD3601">
        <f>IF(Y3601&lt;&gt;"",Y3601,IF(U3601&lt;&gt;"",U3601,S3601))</f>
        <v/>
      </c>
      <c r="AE3601">
        <f>IF(AB3601&lt;&gt;"",AB3601,Z3601)</f>
        <v/>
      </c>
    </row>
    <row r="3602">
      <c r="AC3602">
        <f>IF(OR(E3602="",E3602="[PARENT]"),"ADD",IF(E3602="[ALT_VIEW]","ALT",""))</f>
        <v/>
      </c>
      <c r="AD3602">
        <f>IF(Y3602&lt;&gt;"",Y3602,IF(U3602&lt;&gt;"",U3602,S3602))</f>
        <v/>
      </c>
      <c r="AE3602">
        <f>IF(AB3602&lt;&gt;"",AB3602,Z3602)</f>
        <v/>
      </c>
    </row>
    <row r="3603">
      <c r="AC3603">
        <f>IF(OR(E3603="",E3603="[PARENT]"),"ADD",IF(E3603="[ALT_VIEW]","ALT",""))</f>
        <v/>
      </c>
      <c r="AD3603">
        <f>IF(Y3603&lt;&gt;"",Y3603,IF(U3603&lt;&gt;"",U3603,S3603))</f>
        <v/>
      </c>
      <c r="AE3603">
        <f>IF(AB3603&lt;&gt;"",AB3603,Z3603)</f>
        <v/>
      </c>
    </row>
    <row r="3604">
      <c r="AC3604">
        <f>IF(OR(E3604="",E3604="[PARENT]"),"ADD",IF(E3604="[ALT_VIEW]","ALT",""))</f>
        <v/>
      </c>
      <c r="AD3604">
        <f>IF(Y3604&lt;&gt;"",Y3604,IF(U3604&lt;&gt;"",U3604,S3604))</f>
        <v/>
      </c>
      <c r="AE3604">
        <f>IF(AB3604&lt;&gt;"",AB3604,Z3604)</f>
        <v/>
      </c>
    </row>
    <row r="3605">
      <c r="AC3605">
        <f>IF(OR(E3605="",E3605="[PARENT]"),"ADD",IF(E3605="[ALT_VIEW]","ALT",""))</f>
        <v/>
      </c>
      <c r="AD3605">
        <f>IF(Y3605&lt;&gt;"",Y3605,IF(U3605&lt;&gt;"",U3605,S3605))</f>
        <v/>
      </c>
      <c r="AE3605">
        <f>IF(AB3605&lt;&gt;"",AB3605,Z3605)</f>
        <v/>
      </c>
    </row>
    <row r="3606">
      <c r="AC3606">
        <f>IF(OR(E3606="",E3606="[PARENT]"),"ADD",IF(E3606="[ALT_VIEW]","ALT",""))</f>
        <v/>
      </c>
      <c r="AD3606">
        <f>IF(Y3606&lt;&gt;"",Y3606,IF(U3606&lt;&gt;"",U3606,S3606))</f>
        <v/>
      </c>
      <c r="AE3606">
        <f>IF(AB3606&lt;&gt;"",AB3606,Z3606)</f>
        <v/>
      </c>
    </row>
    <row r="3607">
      <c r="AC3607">
        <f>IF(OR(E3607="",E3607="[PARENT]"),"ADD",IF(E3607="[ALT_VIEW]","ALT",""))</f>
        <v/>
      </c>
      <c r="AD3607">
        <f>IF(Y3607&lt;&gt;"",Y3607,IF(U3607&lt;&gt;"",U3607,S3607))</f>
        <v/>
      </c>
      <c r="AE3607">
        <f>IF(AB3607&lt;&gt;"",AB3607,Z3607)</f>
        <v/>
      </c>
    </row>
    <row r="3608">
      <c r="AC3608">
        <f>IF(OR(E3608="",E3608="[PARENT]"),"ADD",IF(E3608="[ALT_VIEW]","ALT",""))</f>
        <v/>
      </c>
      <c r="AD3608">
        <f>IF(Y3608&lt;&gt;"",Y3608,IF(U3608&lt;&gt;"",U3608,S3608))</f>
        <v/>
      </c>
      <c r="AE3608">
        <f>IF(AB3608&lt;&gt;"",AB3608,Z3608)</f>
        <v/>
      </c>
    </row>
    <row r="3609">
      <c r="AC3609">
        <f>IF(OR(E3609="",E3609="[PARENT]"),"ADD",IF(E3609="[ALT_VIEW]","ALT",""))</f>
        <v/>
      </c>
      <c r="AD3609">
        <f>IF(Y3609&lt;&gt;"",Y3609,IF(U3609&lt;&gt;"",U3609,S3609))</f>
        <v/>
      </c>
      <c r="AE3609">
        <f>IF(AB3609&lt;&gt;"",AB3609,Z3609)</f>
        <v/>
      </c>
    </row>
    <row r="3610">
      <c r="AC3610">
        <f>IF(OR(E3610="",E3610="[PARENT]"),"ADD",IF(E3610="[ALT_VIEW]","ALT",""))</f>
        <v/>
      </c>
      <c r="AD3610">
        <f>IF(Y3610&lt;&gt;"",Y3610,IF(U3610&lt;&gt;"",U3610,S3610))</f>
        <v/>
      </c>
      <c r="AE3610">
        <f>IF(AB3610&lt;&gt;"",AB3610,Z3610)</f>
        <v/>
      </c>
    </row>
    <row r="3611">
      <c r="AC3611">
        <f>IF(OR(E3611="",E3611="[PARENT]"),"ADD",IF(E3611="[ALT_VIEW]","ALT",""))</f>
        <v/>
      </c>
      <c r="AD3611">
        <f>IF(Y3611&lt;&gt;"",Y3611,IF(U3611&lt;&gt;"",U3611,S3611))</f>
        <v/>
      </c>
      <c r="AE3611">
        <f>IF(AB3611&lt;&gt;"",AB3611,Z3611)</f>
        <v/>
      </c>
    </row>
    <row r="3612">
      <c r="AC3612">
        <f>IF(OR(E3612="",E3612="[PARENT]"),"ADD",IF(E3612="[ALT_VIEW]","ALT",""))</f>
        <v/>
      </c>
      <c r="AD3612">
        <f>IF(Y3612&lt;&gt;"",Y3612,IF(U3612&lt;&gt;"",U3612,S3612))</f>
        <v/>
      </c>
      <c r="AE3612">
        <f>IF(AB3612&lt;&gt;"",AB3612,Z3612)</f>
        <v/>
      </c>
    </row>
    <row r="3613">
      <c r="AC3613">
        <f>IF(OR(E3613="",E3613="[PARENT]"),"ADD",IF(E3613="[ALT_VIEW]","ALT",""))</f>
        <v/>
      </c>
      <c r="AD3613">
        <f>IF(Y3613&lt;&gt;"",Y3613,IF(U3613&lt;&gt;"",U3613,S3613))</f>
        <v/>
      </c>
      <c r="AE3613">
        <f>IF(AB3613&lt;&gt;"",AB3613,Z3613)</f>
        <v/>
      </c>
    </row>
    <row r="3614">
      <c r="AC3614">
        <f>IF(OR(E3614="",E3614="[PARENT]"),"ADD",IF(E3614="[ALT_VIEW]","ALT",""))</f>
        <v/>
      </c>
      <c r="AD3614">
        <f>IF(Y3614&lt;&gt;"",Y3614,IF(U3614&lt;&gt;"",U3614,S3614))</f>
        <v/>
      </c>
      <c r="AE3614">
        <f>IF(AB3614&lt;&gt;"",AB3614,Z3614)</f>
        <v/>
      </c>
    </row>
    <row r="3615">
      <c r="AC3615">
        <f>IF(OR(E3615="",E3615="[PARENT]"),"ADD",IF(E3615="[ALT_VIEW]","ALT",""))</f>
        <v/>
      </c>
      <c r="AD3615">
        <f>IF(Y3615&lt;&gt;"",Y3615,IF(U3615&lt;&gt;"",U3615,S3615))</f>
        <v/>
      </c>
      <c r="AE3615">
        <f>IF(AB3615&lt;&gt;"",AB3615,Z3615)</f>
        <v/>
      </c>
    </row>
    <row r="3616">
      <c r="AC3616">
        <f>IF(OR(E3616="",E3616="[PARENT]"),"ADD",IF(E3616="[ALT_VIEW]","ALT",""))</f>
        <v/>
      </c>
      <c r="AD3616">
        <f>IF(Y3616&lt;&gt;"",Y3616,IF(U3616&lt;&gt;"",U3616,S3616))</f>
        <v/>
      </c>
      <c r="AE3616">
        <f>IF(AB3616&lt;&gt;"",AB3616,Z3616)</f>
        <v/>
      </c>
    </row>
    <row r="3617">
      <c r="AC3617">
        <f>IF(OR(E3617="",E3617="[PARENT]"),"ADD",IF(E3617="[ALT_VIEW]","ALT",""))</f>
        <v/>
      </c>
      <c r="AD3617">
        <f>IF(Y3617&lt;&gt;"",Y3617,IF(U3617&lt;&gt;"",U3617,S3617))</f>
        <v/>
      </c>
      <c r="AE3617">
        <f>IF(AB3617&lt;&gt;"",AB3617,Z3617)</f>
        <v/>
      </c>
    </row>
    <row r="3618">
      <c r="AC3618">
        <f>IF(OR(E3618="",E3618="[PARENT]"),"ADD",IF(E3618="[ALT_VIEW]","ALT",""))</f>
        <v/>
      </c>
      <c r="AD3618">
        <f>IF(Y3618&lt;&gt;"",Y3618,IF(U3618&lt;&gt;"",U3618,S3618))</f>
        <v/>
      </c>
      <c r="AE3618">
        <f>IF(AB3618&lt;&gt;"",AB3618,Z3618)</f>
        <v/>
      </c>
    </row>
    <row r="3619">
      <c r="AC3619">
        <f>IF(OR(E3619="",E3619="[PARENT]"),"ADD",IF(E3619="[ALT_VIEW]","ALT",""))</f>
        <v/>
      </c>
      <c r="AD3619">
        <f>IF(Y3619&lt;&gt;"",Y3619,IF(U3619&lt;&gt;"",U3619,S3619))</f>
        <v/>
      </c>
      <c r="AE3619">
        <f>IF(AB3619&lt;&gt;"",AB3619,Z3619)</f>
        <v/>
      </c>
    </row>
    <row r="3620">
      <c r="AC3620">
        <f>IF(OR(E3620="",E3620="[PARENT]"),"ADD",IF(E3620="[ALT_VIEW]","ALT",""))</f>
        <v/>
      </c>
      <c r="AD3620">
        <f>IF(Y3620&lt;&gt;"",Y3620,IF(U3620&lt;&gt;"",U3620,S3620))</f>
        <v/>
      </c>
      <c r="AE3620">
        <f>IF(AB3620&lt;&gt;"",AB3620,Z3620)</f>
        <v/>
      </c>
    </row>
    <row r="3621">
      <c r="AC3621">
        <f>IF(OR(E3621="",E3621="[PARENT]"),"ADD",IF(E3621="[ALT_VIEW]","ALT",""))</f>
        <v/>
      </c>
      <c r="AD3621">
        <f>IF(Y3621&lt;&gt;"",Y3621,IF(U3621&lt;&gt;"",U3621,S3621))</f>
        <v/>
      </c>
      <c r="AE3621">
        <f>IF(AB3621&lt;&gt;"",AB3621,Z3621)</f>
        <v/>
      </c>
    </row>
    <row r="3622">
      <c r="AC3622">
        <f>IF(OR(E3622="",E3622="[PARENT]"),"ADD",IF(E3622="[ALT_VIEW]","ALT",""))</f>
        <v/>
      </c>
      <c r="AD3622">
        <f>IF(Y3622&lt;&gt;"",Y3622,IF(U3622&lt;&gt;"",U3622,S3622))</f>
        <v/>
      </c>
      <c r="AE3622">
        <f>IF(AB3622&lt;&gt;"",AB3622,Z3622)</f>
        <v/>
      </c>
    </row>
    <row r="3623">
      <c r="AC3623">
        <f>IF(OR(E3623="",E3623="[PARENT]"),"ADD",IF(E3623="[ALT_VIEW]","ALT",""))</f>
        <v/>
      </c>
      <c r="AD3623">
        <f>IF(Y3623&lt;&gt;"",Y3623,IF(U3623&lt;&gt;"",U3623,S3623))</f>
        <v/>
      </c>
      <c r="AE3623">
        <f>IF(AB3623&lt;&gt;"",AB3623,Z3623)</f>
        <v/>
      </c>
    </row>
    <row r="3624">
      <c r="AC3624">
        <f>IF(OR(E3624="",E3624="[PARENT]"),"ADD",IF(E3624="[ALT_VIEW]","ALT",""))</f>
        <v/>
      </c>
      <c r="AD3624">
        <f>IF(Y3624&lt;&gt;"",Y3624,IF(U3624&lt;&gt;"",U3624,S3624))</f>
        <v/>
      </c>
      <c r="AE3624">
        <f>IF(AB3624&lt;&gt;"",AB3624,Z3624)</f>
        <v/>
      </c>
    </row>
    <row r="3625">
      <c r="AC3625">
        <f>IF(OR(E3625="",E3625="[PARENT]"),"ADD",IF(E3625="[ALT_VIEW]","ALT",""))</f>
        <v/>
      </c>
      <c r="AD3625">
        <f>IF(Y3625&lt;&gt;"",Y3625,IF(U3625&lt;&gt;"",U3625,S3625))</f>
        <v/>
      </c>
      <c r="AE3625">
        <f>IF(AB3625&lt;&gt;"",AB3625,Z3625)</f>
        <v/>
      </c>
    </row>
    <row r="3626">
      <c r="AC3626">
        <f>IF(OR(E3626="",E3626="[PARENT]"),"ADD",IF(E3626="[ALT_VIEW]","ALT",""))</f>
        <v/>
      </c>
      <c r="AD3626">
        <f>IF(Y3626&lt;&gt;"",Y3626,IF(U3626&lt;&gt;"",U3626,S3626))</f>
        <v/>
      </c>
      <c r="AE3626">
        <f>IF(AB3626&lt;&gt;"",AB3626,Z3626)</f>
        <v/>
      </c>
    </row>
    <row r="3627">
      <c r="AC3627">
        <f>IF(OR(E3627="",E3627="[PARENT]"),"ADD",IF(E3627="[ALT_VIEW]","ALT",""))</f>
        <v/>
      </c>
      <c r="AD3627">
        <f>IF(Y3627&lt;&gt;"",Y3627,IF(U3627&lt;&gt;"",U3627,S3627))</f>
        <v/>
      </c>
      <c r="AE3627">
        <f>IF(AB3627&lt;&gt;"",AB3627,Z3627)</f>
        <v/>
      </c>
    </row>
    <row r="3628">
      <c r="AC3628">
        <f>IF(OR(E3628="",E3628="[PARENT]"),"ADD",IF(E3628="[ALT_VIEW]","ALT",""))</f>
        <v/>
      </c>
      <c r="AD3628">
        <f>IF(Y3628&lt;&gt;"",Y3628,IF(U3628&lt;&gt;"",U3628,S3628))</f>
        <v/>
      </c>
      <c r="AE3628">
        <f>IF(AB3628&lt;&gt;"",AB3628,Z3628)</f>
        <v/>
      </c>
    </row>
    <row r="3629">
      <c r="AC3629">
        <f>IF(OR(E3629="",E3629="[PARENT]"),"ADD",IF(E3629="[ALT_VIEW]","ALT",""))</f>
        <v/>
      </c>
      <c r="AD3629">
        <f>IF(Y3629&lt;&gt;"",Y3629,IF(U3629&lt;&gt;"",U3629,S3629))</f>
        <v/>
      </c>
      <c r="AE3629">
        <f>IF(AB3629&lt;&gt;"",AB3629,Z3629)</f>
        <v/>
      </c>
    </row>
    <row r="3630">
      <c r="AC3630">
        <f>IF(OR(E3630="",E3630="[PARENT]"),"ADD",IF(E3630="[ALT_VIEW]","ALT",""))</f>
        <v/>
      </c>
      <c r="AD3630">
        <f>IF(Y3630&lt;&gt;"",Y3630,IF(U3630&lt;&gt;"",U3630,S3630))</f>
        <v/>
      </c>
      <c r="AE3630">
        <f>IF(AB3630&lt;&gt;"",AB3630,Z3630)</f>
        <v/>
      </c>
    </row>
    <row r="3631">
      <c r="AC3631">
        <f>IF(OR(E3631="",E3631="[PARENT]"),"ADD",IF(E3631="[ALT_VIEW]","ALT",""))</f>
        <v/>
      </c>
      <c r="AD3631">
        <f>IF(Y3631&lt;&gt;"",Y3631,IF(U3631&lt;&gt;"",U3631,S3631))</f>
        <v/>
      </c>
      <c r="AE3631">
        <f>IF(AB3631&lt;&gt;"",AB3631,Z3631)</f>
        <v/>
      </c>
    </row>
    <row r="3632">
      <c r="AC3632">
        <f>IF(OR(E3632="",E3632="[PARENT]"),"ADD",IF(E3632="[ALT_VIEW]","ALT",""))</f>
        <v/>
      </c>
      <c r="AD3632">
        <f>IF(Y3632&lt;&gt;"",Y3632,IF(U3632&lt;&gt;"",U3632,S3632))</f>
        <v/>
      </c>
      <c r="AE3632">
        <f>IF(AB3632&lt;&gt;"",AB3632,Z3632)</f>
        <v/>
      </c>
    </row>
    <row r="3633">
      <c r="AC3633">
        <f>IF(OR(E3633="",E3633="[PARENT]"),"ADD",IF(E3633="[ALT_VIEW]","ALT",""))</f>
        <v/>
      </c>
      <c r="AD3633">
        <f>IF(Y3633&lt;&gt;"",Y3633,IF(U3633&lt;&gt;"",U3633,S3633))</f>
        <v/>
      </c>
      <c r="AE3633">
        <f>IF(AB3633&lt;&gt;"",AB3633,Z3633)</f>
        <v/>
      </c>
    </row>
    <row r="3634">
      <c r="AC3634">
        <f>IF(OR(E3634="",E3634="[PARENT]"),"ADD",IF(E3634="[ALT_VIEW]","ALT",""))</f>
        <v/>
      </c>
      <c r="AD3634">
        <f>IF(Y3634&lt;&gt;"",Y3634,IF(U3634&lt;&gt;"",U3634,S3634))</f>
        <v/>
      </c>
      <c r="AE3634">
        <f>IF(AB3634&lt;&gt;"",AB3634,Z3634)</f>
        <v/>
      </c>
    </row>
    <row r="3635">
      <c r="AC3635">
        <f>IF(OR(E3635="",E3635="[PARENT]"),"ADD",IF(E3635="[ALT_VIEW]","ALT",""))</f>
        <v/>
      </c>
      <c r="AD3635">
        <f>IF(Y3635&lt;&gt;"",Y3635,IF(U3635&lt;&gt;"",U3635,S3635))</f>
        <v/>
      </c>
      <c r="AE3635">
        <f>IF(AB3635&lt;&gt;"",AB3635,Z3635)</f>
        <v/>
      </c>
    </row>
    <row r="3636">
      <c r="AC3636">
        <f>IF(OR(E3636="",E3636="[PARENT]"),"ADD",IF(E3636="[ALT_VIEW]","ALT",""))</f>
        <v/>
      </c>
      <c r="AD3636">
        <f>IF(Y3636&lt;&gt;"",Y3636,IF(U3636&lt;&gt;"",U3636,S3636))</f>
        <v/>
      </c>
      <c r="AE3636">
        <f>IF(AB3636&lt;&gt;"",AB3636,Z3636)</f>
        <v/>
      </c>
    </row>
    <row r="3637">
      <c r="AC3637">
        <f>IF(OR(E3637="",E3637="[PARENT]"),"ADD",IF(E3637="[ALT_VIEW]","ALT",""))</f>
        <v/>
      </c>
      <c r="AD3637">
        <f>IF(Y3637&lt;&gt;"",Y3637,IF(U3637&lt;&gt;"",U3637,S3637))</f>
        <v/>
      </c>
      <c r="AE3637">
        <f>IF(AB3637&lt;&gt;"",AB3637,Z3637)</f>
        <v/>
      </c>
    </row>
    <row r="3638">
      <c r="AC3638">
        <f>IF(OR(E3638="",E3638="[PARENT]"),"ADD",IF(E3638="[ALT_VIEW]","ALT",""))</f>
        <v/>
      </c>
      <c r="AD3638">
        <f>IF(Y3638&lt;&gt;"",Y3638,IF(U3638&lt;&gt;"",U3638,S3638))</f>
        <v/>
      </c>
      <c r="AE3638">
        <f>IF(AB3638&lt;&gt;"",AB3638,Z3638)</f>
        <v/>
      </c>
    </row>
    <row r="3639">
      <c r="AC3639">
        <f>IF(OR(E3639="",E3639="[PARENT]"),"ADD",IF(E3639="[ALT_VIEW]","ALT",""))</f>
        <v/>
      </c>
      <c r="AD3639">
        <f>IF(Y3639&lt;&gt;"",Y3639,IF(U3639&lt;&gt;"",U3639,S3639))</f>
        <v/>
      </c>
      <c r="AE3639">
        <f>IF(AB3639&lt;&gt;"",AB3639,Z3639)</f>
        <v/>
      </c>
    </row>
    <row r="3640">
      <c r="AC3640">
        <f>IF(OR(E3640="",E3640="[PARENT]"),"ADD",IF(E3640="[ALT_VIEW]","ALT",""))</f>
        <v/>
      </c>
      <c r="AD3640">
        <f>IF(Y3640&lt;&gt;"",Y3640,IF(U3640&lt;&gt;"",U3640,S3640))</f>
        <v/>
      </c>
      <c r="AE3640">
        <f>IF(AB3640&lt;&gt;"",AB3640,Z3640)</f>
        <v/>
      </c>
    </row>
    <row r="3641">
      <c r="AC3641">
        <f>IF(OR(E3641="",E3641="[PARENT]"),"ADD",IF(E3641="[ALT_VIEW]","ALT",""))</f>
        <v/>
      </c>
      <c r="AD3641">
        <f>IF(Y3641&lt;&gt;"",Y3641,IF(U3641&lt;&gt;"",U3641,S3641))</f>
        <v/>
      </c>
      <c r="AE3641">
        <f>IF(AB3641&lt;&gt;"",AB3641,Z3641)</f>
        <v/>
      </c>
    </row>
    <row r="3642">
      <c r="AC3642">
        <f>IF(OR(E3642="",E3642="[PARENT]"),"ADD",IF(E3642="[ALT_VIEW]","ALT",""))</f>
        <v/>
      </c>
      <c r="AD3642">
        <f>IF(Y3642&lt;&gt;"",Y3642,IF(U3642&lt;&gt;"",U3642,S3642))</f>
        <v/>
      </c>
      <c r="AE3642">
        <f>IF(AB3642&lt;&gt;"",AB3642,Z3642)</f>
        <v/>
      </c>
    </row>
    <row r="3643">
      <c r="AC3643">
        <f>IF(OR(E3643="",E3643="[PARENT]"),"ADD",IF(E3643="[ALT_VIEW]","ALT",""))</f>
        <v/>
      </c>
      <c r="AD3643">
        <f>IF(Y3643&lt;&gt;"",Y3643,IF(U3643&lt;&gt;"",U3643,S3643))</f>
        <v/>
      </c>
      <c r="AE3643">
        <f>IF(AB3643&lt;&gt;"",AB3643,Z3643)</f>
        <v/>
      </c>
    </row>
    <row r="3644">
      <c r="AC3644">
        <f>IF(OR(E3644="",E3644="[PARENT]"),"ADD",IF(E3644="[ALT_VIEW]","ALT",""))</f>
        <v/>
      </c>
      <c r="AD3644">
        <f>IF(Y3644&lt;&gt;"",Y3644,IF(U3644&lt;&gt;"",U3644,S3644))</f>
        <v/>
      </c>
      <c r="AE3644">
        <f>IF(AB3644&lt;&gt;"",AB3644,Z3644)</f>
        <v/>
      </c>
    </row>
    <row r="3645">
      <c r="AC3645">
        <f>IF(OR(E3645="",E3645="[PARENT]"),"ADD",IF(E3645="[ALT_VIEW]","ALT",""))</f>
        <v/>
      </c>
      <c r="AD3645">
        <f>IF(Y3645&lt;&gt;"",Y3645,IF(U3645&lt;&gt;"",U3645,S3645))</f>
        <v/>
      </c>
      <c r="AE3645">
        <f>IF(AB3645&lt;&gt;"",AB3645,Z3645)</f>
        <v/>
      </c>
    </row>
    <row r="3646">
      <c r="AC3646">
        <f>IF(OR(E3646="",E3646="[PARENT]"),"ADD",IF(E3646="[ALT_VIEW]","ALT",""))</f>
        <v/>
      </c>
      <c r="AD3646">
        <f>IF(Y3646&lt;&gt;"",Y3646,IF(U3646&lt;&gt;"",U3646,S3646))</f>
        <v/>
      </c>
      <c r="AE3646">
        <f>IF(AB3646&lt;&gt;"",AB3646,Z3646)</f>
        <v/>
      </c>
    </row>
    <row r="3647">
      <c r="AC3647">
        <f>IF(OR(E3647="",E3647="[PARENT]"),"ADD",IF(E3647="[ALT_VIEW]","ALT",""))</f>
        <v/>
      </c>
      <c r="AD3647">
        <f>IF(Y3647&lt;&gt;"",Y3647,IF(U3647&lt;&gt;"",U3647,S3647))</f>
        <v/>
      </c>
      <c r="AE3647">
        <f>IF(AB3647&lt;&gt;"",AB3647,Z3647)</f>
        <v/>
      </c>
    </row>
    <row r="3648">
      <c r="AC3648">
        <f>IF(OR(E3648="",E3648="[PARENT]"),"ADD",IF(E3648="[ALT_VIEW]","ALT",""))</f>
        <v/>
      </c>
      <c r="AD3648">
        <f>IF(Y3648&lt;&gt;"",Y3648,IF(U3648&lt;&gt;"",U3648,S3648))</f>
        <v/>
      </c>
      <c r="AE3648">
        <f>IF(AB3648&lt;&gt;"",AB3648,Z3648)</f>
        <v/>
      </c>
    </row>
    <row r="3649">
      <c r="AC3649">
        <f>IF(OR(E3649="",E3649="[PARENT]"),"ADD",IF(E3649="[ALT_VIEW]","ALT",""))</f>
        <v/>
      </c>
      <c r="AD3649">
        <f>IF(Y3649&lt;&gt;"",Y3649,IF(U3649&lt;&gt;"",U3649,S3649))</f>
        <v/>
      </c>
      <c r="AE3649">
        <f>IF(AB3649&lt;&gt;"",AB3649,Z3649)</f>
        <v/>
      </c>
    </row>
    <row r="3650">
      <c r="AC3650">
        <f>IF(OR(E3650="",E3650="[PARENT]"),"ADD",IF(E3650="[ALT_VIEW]","ALT",""))</f>
        <v/>
      </c>
      <c r="AD3650">
        <f>IF(Y3650&lt;&gt;"",Y3650,IF(U3650&lt;&gt;"",U3650,S3650))</f>
        <v/>
      </c>
      <c r="AE3650">
        <f>IF(AB3650&lt;&gt;"",AB3650,Z3650)</f>
        <v/>
      </c>
    </row>
    <row r="3651">
      <c r="AC3651">
        <f>IF(OR(E3651="",E3651="[PARENT]"),"ADD",IF(E3651="[ALT_VIEW]","ALT",""))</f>
        <v/>
      </c>
      <c r="AD3651">
        <f>IF(Y3651&lt;&gt;"",Y3651,IF(U3651&lt;&gt;"",U3651,S3651))</f>
        <v/>
      </c>
      <c r="AE3651">
        <f>IF(AB3651&lt;&gt;"",AB3651,Z3651)</f>
        <v/>
      </c>
    </row>
    <row r="3652">
      <c r="AC3652">
        <f>IF(OR(E3652="",E3652="[PARENT]"),"ADD",IF(E3652="[ALT_VIEW]","ALT",""))</f>
        <v/>
      </c>
      <c r="AD3652">
        <f>IF(Y3652&lt;&gt;"",Y3652,IF(U3652&lt;&gt;"",U3652,S3652))</f>
        <v/>
      </c>
      <c r="AE3652">
        <f>IF(AB3652&lt;&gt;"",AB3652,Z3652)</f>
        <v/>
      </c>
    </row>
    <row r="3653">
      <c r="AC3653">
        <f>IF(OR(E3653="",E3653="[PARENT]"),"ADD",IF(E3653="[ALT_VIEW]","ALT",""))</f>
        <v/>
      </c>
      <c r="AD3653">
        <f>IF(Y3653&lt;&gt;"",Y3653,IF(U3653&lt;&gt;"",U3653,S3653))</f>
        <v/>
      </c>
      <c r="AE3653">
        <f>IF(AB3653&lt;&gt;"",AB3653,Z3653)</f>
        <v/>
      </c>
    </row>
    <row r="3654">
      <c r="AC3654">
        <f>IF(OR(E3654="",E3654="[PARENT]"),"ADD",IF(E3654="[ALT_VIEW]","ALT",""))</f>
        <v/>
      </c>
      <c r="AD3654">
        <f>IF(Y3654&lt;&gt;"",Y3654,IF(U3654&lt;&gt;"",U3654,S3654))</f>
        <v/>
      </c>
      <c r="AE3654">
        <f>IF(AB3654&lt;&gt;"",AB3654,Z3654)</f>
        <v/>
      </c>
    </row>
    <row r="3655">
      <c r="AC3655">
        <f>IF(OR(E3655="",E3655="[PARENT]"),"ADD",IF(E3655="[ALT_VIEW]","ALT",""))</f>
        <v/>
      </c>
      <c r="AD3655">
        <f>IF(Y3655&lt;&gt;"",Y3655,IF(U3655&lt;&gt;"",U3655,S3655))</f>
        <v/>
      </c>
      <c r="AE3655">
        <f>IF(AB3655&lt;&gt;"",AB3655,Z3655)</f>
        <v/>
      </c>
    </row>
    <row r="3656">
      <c r="AC3656">
        <f>IF(OR(E3656="",E3656="[PARENT]"),"ADD",IF(E3656="[ALT_VIEW]","ALT",""))</f>
        <v/>
      </c>
      <c r="AD3656">
        <f>IF(Y3656&lt;&gt;"",Y3656,IF(U3656&lt;&gt;"",U3656,S3656))</f>
        <v/>
      </c>
      <c r="AE3656">
        <f>IF(AB3656&lt;&gt;"",AB3656,Z3656)</f>
        <v/>
      </c>
    </row>
    <row r="3657">
      <c r="AC3657">
        <f>IF(OR(E3657="",E3657="[PARENT]"),"ADD",IF(E3657="[ALT_VIEW]","ALT",""))</f>
        <v/>
      </c>
      <c r="AD3657">
        <f>IF(Y3657&lt;&gt;"",Y3657,IF(U3657&lt;&gt;"",U3657,S3657))</f>
        <v/>
      </c>
      <c r="AE3657">
        <f>IF(AB3657&lt;&gt;"",AB3657,Z3657)</f>
        <v/>
      </c>
    </row>
    <row r="3658">
      <c r="AC3658">
        <f>IF(OR(E3658="",E3658="[PARENT]"),"ADD",IF(E3658="[ALT_VIEW]","ALT",""))</f>
        <v/>
      </c>
      <c r="AD3658">
        <f>IF(Y3658&lt;&gt;"",Y3658,IF(U3658&lt;&gt;"",U3658,S3658))</f>
        <v/>
      </c>
      <c r="AE3658">
        <f>IF(AB3658&lt;&gt;"",AB3658,Z3658)</f>
        <v/>
      </c>
    </row>
    <row r="3659">
      <c r="AC3659">
        <f>IF(OR(E3659="",E3659="[PARENT]"),"ADD",IF(E3659="[ALT_VIEW]","ALT",""))</f>
        <v/>
      </c>
      <c r="AD3659">
        <f>IF(Y3659&lt;&gt;"",Y3659,IF(U3659&lt;&gt;"",U3659,S3659))</f>
        <v/>
      </c>
      <c r="AE3659">
        <f>IF(AB3659&lt;&gt;"",AB3659,Z3659)</f>
        <v/>
      </c>
    </row>
    <row r="3660">
      <c r="AC3660">
        <f>IF(OR(E3660="",E3660="[PARENT]"),"ADD",IF(E3660="[ALT_VIEW]","ALT",""))</f>
        <v/>
      </c>
      <c r="AD3660">
        <f>IF(Y3660&lt;&gt;"",Y3660,IF(U3660&lt;&gt;"",U3660,S3660))</f>
        <v/>
      </c>
      <c r="AE3660">
        <f>IF(AB3660&lt;&gt;"",AB3660,Z3660)</f>
        <v/>
      </c>
    </row>
    <row r="3661">
      <c r="AC3661">
        <f>IF(OR(E3661="",E3661="[PARENT]"),"ADD",IF(E3661="[ALT_VIEW]","ALT",""))</f>
        <v/>
      </c>
      <c r="AD3661">
        <f>IF(Y3661&lt;&gt;"",Y3661,IF(U3661&lt;&gt;"",U3661,S3661))</f>
        <v/>
      </c>
      <c r="AE3661">
        <f>IF(AB3661&lt;&gt;"",AB3661,Z3661)</f>
        <v/>
      </c>
    </row>
    <row r="3662">
      <c r="AC3662">
        <f>IF(OR(E3662="",E3662="[PARENT]"),"ADD",IF(E3662="[ALT_VIEW]","ALT",""))</f>
        <v/>
      </c>
      <c r="AD3662">
        <f>IF(Y3662&lt;&gt;"",Y3662,IF(U3662&lt;&gt;"",U3662,S3662))</f>
        <v/>
      </c>
      <c r="AE3662">
        <f>IF(AB3662&lt;&gt;"",AB3662,Z3662)</f>
        <v/>
      </c>
    </row>
    <row r="3663">
      <c r="AC3663">
        <f>IF(OR(E3663="",E3663="[PARENT]"),"ADD",IF(E3663="[ALT_VIEW]","ALT",""))</f>
        <v/>
      </c>
      <c r="AD3663">
        <f>IF(Y3663&lt;&gt;"",Y3663,IF(U3663&lt;&gt;"",U3663,S3663))</f>
        <v/>
      </c>
      <c r="AE3663">
        <f>IF(AB3663&lt;&gt;"",AB3663,Z3663)</f>
        <v/>
      </c>
    </row>
    <row r="3664">
      <c r="AC3664">
        <f>IF(OR(E3664="",E3664="[PARENT]"),"ADD",IF(E3664="[ALT_VIEW]","ALT",""))</f>
        <v/>
      </c>
      <c r="AD3664">
        <f>IF(Y3664&lt;&gt;"",Y3664,IF(U3664&lt;&gt;"",U3664,S3664))</f>
        <v/>
      </c>
      <c r="AE3664">
        <f>IF(AB3664&lt;&gt;"",AB3664,Z3664)</f>
        <v/>
      </c>
    </row>
    <row r="3665">
      <c r="AC3665">
        <f>IF(OR(E3665="",E3665="[PARENT]"),"ADD",IF(E3665="[ALT_VIEW]","ALT",""))</f>
        <v/>
      </c>
      <c r="AD3665">
        <f>IF(Y3665&lt;&gt;"",Y3665,IF(U3665&lt;&gt;"",U3665,S3665))</f>
        <v/>
      </c>
      <c r="AE3665">
        <f>IF(AB3665&lt;&gt;"",AB3665,Z3665)</f>
        <v/>
      </c>
    </row>
    <row r="3666">
      <c r="AC3666">
        <f>IF(OR(E3666="",E3666="[PARENT]"),"ADD",IF(E3666="[ALT_VIEW]","ALT",""))</f>
        <v/>
      </c>
      <c r="AD3666">
        <f>IF(Y3666&lt;&gt;"",Y3666,IF(U3666&lt;&gt;"",U3666,S3666))</f>
        <v/>
      </c>
      <c r="AE3666">
        <f>IF(AB3666&lt;&gt;"",AB3666,Z3666)</f>
        <v/>
      </c>
    </row>
    <row r="3667">
      <c r="AC3667">
        <f>IF(OR(E3667="",E3667="[PARENT]"),"ADD",IF(E3667="[ALT_VIEW]","ALT",""))</f>
        <v/>
      </c>
      <c r="AD3667">
        <f>IF(Y3667&lt;&gt;"",Y3667,IF(U3667&lt;&gt;"",U3667,S3667))</f>
        <v/>
      </c>
      <c r="AE3667">
        <f>IF(AB3667&lt;&gt;"",AB3667,Z3667)</f>
        <v/>
      </c>
    </row>
    <row r="3668">
      <c r="AC3668">
        <f>IF(OR(E3668="",E3668="[PARENT]"),"ADD",IF(E3668="[ALT_VIEW]","ALT",""))</f>
        <v/>
      </c>
      <c r="AD3668">
        <f>IF(Y3668&lt;&gt;"",Y3668,IF(U3668&lt;&gt;"",U3668,S3668))</f>
        <v/>
      </c>
      <c r="AE3668">
        <f>IF(AB3668&lt;&gt;"",AB3668,Z3668)</f>
        <v/>
      </c>
    </row>
    <row r="3669">
      <c r="AC3669">
        <f>IF(OR(E3669="",E3669="[PARENT]"),"ADD",IF(E3669="[ALT_VIEW]","ALT",""))</f>
        <v/>
      </c>
      <c r="AD3669">
        <f>IF(Y3669&lt;&gt;"",Y3669,IF(U3669&lt;&gt;"",U3669,S3669))</f>
        <v/>
      </c>
      <c r="AE3669">
        <f>IF(AB3669&lt;&gt;"",AB3669,Z3669)</f>
        <v/>
      </c>
    </row>
    <row r="3670">
      <c r="AC3670">
        <f>IF(OR(E3670="",E3670="[PARENT]"),"ADD",IF(E3670="[ALT_VIEW]","ALT",""))</f>
        <v/>
      </c>
      <c r="AD3670">
        <f>IF(Y3670&lt;&gt;"",Y3670,IF(U3670&lt;&gt;"",U3670,S3670))</f>
        <v/>
      </c>
      <c r="AE3670">
        <f>IF(AB3670&lt;&gt;"",AB3670,Z3670)</f>
        <v/>
      </c>
    </row>
    <row r="3671">
      <c r="AC3671">
        <f>IF(OR(E3671="",E3671="[PARENT]"),"ADD",IF(E3671="[ALT_VIEW]","ALT",""))</f>
        <v/>
      </c>
      <c r="AD3671">
        <f>IF(Y3671&lt;&gt;"",Y3671,IF(U3671&lt;&gt;"",U3671,S3671))</f>
        <v/>
      </c>
      <c r="AE3671">
        <f>IF(AB3671&lt;&gt;"",AB3671,Z3671)</f>
        <v/>
      </c>
    </row>
    <row r="3672">
      <c r="AC3672">
        <f>IF(OR(E3672="",E3672="[PARENT]"),"ADD",IF(E3672="[ALT_VIEW]","ALT",""))</f>
        <v/>
      </c>
      <c r="AD3672">
        <f>IF(Y3672&lt;&gt;"",Y3672,IF(U3672&lt;&gt;"",U3672,S3672))</f>
        <v/>
      </c>
      <c r="AE3672">
        <f>IF(AB3672&lt;&gt;"",AB3672,Z3672)</f>
        <v/>
      </c>
    </row>
    <row r="3673">
      <c r="AC3673">
        <f>IF(OR(E3673="",E3673="[PARENT]"),"ADD",IF(E3673="[ALT_VIEW]","ALT",""))</f>
        <v/>
      </c>
      <c r="AD3673">
        <f>IF(Y3673&lt;&gt;"",Y3673,IF(U3673&lt;&gt;"",U3673,S3673))</f>
        <v/>
      </c>
      <c r="AE3673">
        <f>IF(AB3673&lt;&gt;"",AB3673,Z3673)</f>
        <v/>
      </c>
    </row>
    <row r="3674">
      <c r="AC3674">
        <f>IF(OR(E3674="",E3674="[PARENT]"),"ADD",IF(E3674="[ALT_VIEW]","ALT",""))</f>
        <v/>
      </c>
      <c r="AD3674">
        <f>IF(Y3674&lt;&gt;"",Y3674,IF(U3674&lt;&gt;"",U3674,S3674))</f>
        <v/>
      </c>
      <c r="AE3674">
        <f>IF(AB3674&lt;&gt;"",AB3674,Z3674)</f>
        <v/>
      </c>
    </row>
    <row r="3675">
      <c r="AC3675">
        <f>IF(OR(E3675="",E3675="[PARENT]"),"ADD",IF(E3675="[ALT_VIEW]","ALT",""))</f>
        <v/>
      </c>
      <c r="AD3675">
        <f>IF(Y3675&lt;&gt;"",Y3675,IF(U3675&lt;&gt;"",U3675,S3675))</f>
        <v/>
      </c>
      <c r="AE3675">
        <f>IF(AB3675&lt;&gt;"",AB3675,Z3675)</f>
        <v/>
      </c>
    </row>
    <row r="3676">
      <c r="AC3676">
        <f>IF(OR(E3676="",E3676="[PARENT]"),"ADD",IF(E3676="[ALT_VIEW]","ALT",""))</f>
        <v/>
      </c>
      <c r="AD3676">
        <f>IF(Y3676&lt;&gt;"",Y3676,IF(U3676&lt;&gt;"",U3676,S3676))</f>
        <v/>
      </c>
      <c r="AE3676">
        <f>IF(AB3676&lt;&gt;"",AB3676,Z3676)</f>
        <v/>
      </c>
    </row>
    <row r="3677">
      <c r="AC3677">
        <f>IF(OR(E3677="",E3677="[PARENT]"),"ADD",IF(E3677="[ALT_VIEW]","ALT",""))</f>
        <v/>
      </c>
      <c r="AD3677">
        <f>IF(Y3677&lt;&gt;"",Y3677,IF(U3677&lt;&gt;"",U3677,S3677))</f>
        <v/>
      </c>
      <c r="AE3677">
        <f>IF(AB3677&lt;&gt;"",AB3677,Z3677)</f>
        <v/>
      </c>
    </row>
    <row r="3678">
      <c r="AC3678">
        <f>IF(OR(E3678="",E3678="[PARENT]"),"ADD",IF(E3678="[ALT_VIEW]","ALT",""))</f>
        <v/>
      </c>
      <c r="AD3678">
        <f>IF(Y3678&lt;&gt;"",Y3678,IF(U3678&lt;&gt;"",U3678,S3678))</f>
        <v/>
      </c>
      <c r="AE3678">
        <f>IF(AB3678&lt;&gt;"",AB3678,Z3678)</f>
        <v/>
      </c>
    </row>
    <row r="3679">
      <c r="AC3679">
        <f>IF(OR(E3679="",E3679="[PARENT]"),"ADD",IF(E3679="[ALT_VIEW]","ALT",""))</f>
        <v/>
      </c>
      <c r="AD3679">
        <f>IF(Y3679&lt;&gt;"",Y3679,IF(U3679&lt;&gt;"",U3679,S3679))</f>
        <v/>
      </c>
      <c r="AE3679">
        <f>IF(AB3679&lt;&gt;"",AB3679,Z3679)</f>
        <v/>
      </c>
    </row>
    <row r="3680">
      <c r="AC3680">
        <f>IF(OR(E3680="",E3680="[PARENT]"),"ADD",IF(E3680="[ALT_VIEW]","ALT",""))</f>
        <v/>
      </c>
      <c r="AD3680">
        <f>IF(Y3680&lt;&gt;"",Y3680,IF(U3680&lt;&gt;"",U3680,S3680))</f>
        <v/>
      </c>
      <c r="AE3680">
        <f>IF(AB3680&lt;&gt;"",AB3680,Z3680)</f>
        <v/>
      </c>
    </row>
    <row r="3681">
      <c r="AC3681">
        <f>IF(OR(E3681="",E3681="[PARENT]"),"ADD",IF(E3681="[ALT_VIEW]","ALT",""))</f>
        <v/>
      </c>
      <c r="AD3681">
        <f>IF(Y3681&lt;&gt;"",Y3681,IF(U3681&lt;&gt;"",U3681,S3681))</f>
        <v/>
      </c>
      <c r="AE3681">
        <f>IF(AB3681&lt;&gt;"",AB3681,Z3681)</f>
        <v/>
      </c>
    </row>
    <row r="3682">
      <c r="AC3682">
        <f>IF(OR(E3682="",E3682="[PARENT]"),"ADD",IF(E3682="[ALT_VIEW]","ALT",""))</f>
        <v/>
      </c>
      <c r="AD3682">
        <f>IF(Y3682&lt;&gt;"",Y3682,IF(U3682&lt;&gt;"",U3682,S3682))</f>
        <v/>
      </c>
      <c r="AE3682">
        <f>IF(AB3682&lt;&gt;"",AB3682,Z3682)</f>
        <v/>
      </c>
    </row>
    <row r="3683">
      <c r="AC3683">
        <f>IF(OR(E3683="",E3683="[PARENT]"),"ADD",IF(E3683="[ALT_VIEW]","ALT",""))</f>
        <v/>
      </c>
      <c r="AD3683">
        <f>IF(Y3683&lt;&gt;"",Y3683,IF(U3683&lt;&gt;"",U3683,S3683))</f>
        <v/>
      </c>
      <c r="AE3683">
        <f>IF(AB3683&lt;&gt;"",AB3683,Z3683)</f>
        <v/>
      </c>
    </row>
    <row r="3684">
      <c r="AC3684">
        <f>IF(OR(E3684="",E3684="[PARENT]"),"ADD",IF(E3684="[ALT_VIEW]","ALT",""))</f>
        <v/>
      </c>
      <c r="AD3684">
        <f>IF(Y3684&lt;&gt;"",Y3684,IF(U3684&lt;&gt;"",U3684,S3684))</f>
        <v/>
      </c>
      <c r="AE3684">
        <f>IF(AB3684&lt;&gt;"",AB3684,Z3684)</f>
        <v/>
      </c>
    </row>
    <row r="3685">
      <c r="AC3685">
        <f>IF(OR(E3685="",E3685="[PARENT]"),"ADD",IF(E3685="[ALT_VIEW]","ALT",""))</f>
        <v/>
      </c>
      <c r="AD3685">
        <f>IF(Y3685&lt;&gt;"",Y3685,IF(U3685&lt;&gt;"",U3685,S3685))</f>
        <v/>
      </c>
      <c r="AE3685">
        <f>IF(AB3685&lt;&gt;"",AB3685,Z3685)</f>
        <v/>
      </c>
    </row>
    <row r="3686">
      <c r="AC3686">
        <f>IF(OR(E3686="",E3686="[PARENT]"),"ADD",IF(E3686="[ALT_VIEW]","ALT",""))</f>
        <v/>
      </c>
      <c r="AD3686">
        <f>IF(Y3686&lt;&gt;"",Y3686,IF(U3686&lt;&gt;"",U3686,S3686))</f>
        <v/>
      </c>
      <c r="AE3686">
        <f>IF(AB3686&lt;&gt;"",AB3686,Z3686)</f>
        <v/>
      </c>
    </row>
    <row r="3687">
      <c r="AC3687">
        <f>IF(OR(E3687="",E3687="[PARENT]"),"ADD",IF(E3687="[ALT_VIEW]","ALT",""))</f>
        <v/>
      </c>
      <c r="AD3687">
        <f>IF(Y3687&lt;&gt;"",Y3687,IF(U3687&lt;&gt;"",U3687,S3687))</f>
        <v/>
      </c>
      <c r="AE3687">
        <f>IF(AB3687&lt;&gt;"",AB3687,Z3687)</f>
        <v/>
      </c>
    </row>
    <row r="3688">
      <c r="AC3688">
        <f>IF(OR(E3688="",E3688="[PARENT]"),"ADD",IF(E3688="[ALT_VIEW]","ALT",""))</f>
        <v/>
      </c>
      <c r="AD3688">
        <f>IF(Y3688&lt;&gt;"",Y3688,IF(U3688&lt;&gt;"",U3688,S3688))</f>
        <v/>
      </c>
      <c r="AE3688">
        <f>IF(AB3688&lt;&gt;"",AB3688,Z3688)</f>
        <v/>
      </c>
    </row>
    <row r="3689">
      <c r="AC3689">
        <f>IF(OR(E3689="",E3689="[PARENT]"),"ADD",IF(E3689="[ALT_VIEW]","ALT",""))</f>
        <v/>
      </c>
      <c r="AD3689">
        <f>IF(Y3689&lt;&gt;"",Y3689,IF(U3689&lt;&gt;"",U3689,S3689))</f>
        <v/>
      </c>
      <c r="AE3689">
        <f>IF(AB3689&lt;&gt;"",AB3689,Z3689)</f>
        <v/>
      </c>
    </row>
    <row r="3690">
      <c r="AC3690">
        <f>IF(OR(E3690="",E3690="[PARENT]"),"ADD",IF(E3690="[ALT_VIEW]","ALT",""))</f>
        <v/>
      </c>
      <c r="AD3690">
        <f>IF(Y3690&lt;&gt;"",Y3690,IF(U3690&lt;&gt;"",U3690,S3690))</f>
        <v/>
      </c>
      <c r="AE3690">
        <f>IF(AB3690&lt;&gt;"",AB3690,Z3690)</f>
        <v/>
      </c>
    </row>
    <row r="3691">
      <c r="AC3691">
        <f>IF(OR(E3691="",E3691="[PARENT]"),"ADD",IF(E3691="[ALT_VIEW]","ALT",""))</f>
        <v/>
      </c>
      <c r="AD3691">
        <f>IF(Y3691&lt;&gt;"",Y3691,IF(U3691&lt;&gt;"",U3691,S3691))</f>
        <v/>
      </c>
      <c r="AE3691">
        <f>IF(AB3691&lt;&gt;"",AB3691,Z3691)</f>
        <v/>
      </c>
    </row>
    <row r="3692">
      <c r="AC3692">
        <f>IF(OR(E3692="",E3692="[PARENT]"),"ADD",IF(E3692="[ALT_VIEW]","ALT",""))</f>
        <v/>
      </c>
      <c r="AD3692">
        <f>IF(Y3692&lt;&gt;"",Y3692,IF(U3692&lt;&gt;"",U3692,S3692))</f>
        <v/>
      </c>
      <c r="AE3692">
        <f>IF(AB3692&lt;&gt;"",AB3692,Z3692)</f>
        <v/>
      </c>
    </row>
    <row r="3693">
      <c r="AC3693">
        <f>IF(OR(E3693="",E3693="[PARENT]"),"ADD",IF(E3693="[ALT_VIEW]","ALT",""))</f>
        <v/>
      </c>
      <c r="AD3693">
        <f>IF(Y3693&lt;&gt;"",Y3693,IF(U3693&lt;&gt;"",U3693,S3693))</f>
        <v/>
      </c>
      <c r="AE3693">
        <f>IF(AB3693&lt;&gt;"",AB3693,Z3693)</f>
        <v/>
      </c>
    </row>
    <row r="3694">
      <c r="AC3694">
        <f>IF(OR(E3694="",E3694="[PARENT]"),"ADD",IF(E3694="[ALT_VIEW]","ALT",""))</f>
        <v/>
      </c>
      <c r="AD3694">
        <f>IF(Y3694&lt;&gt;"",Y3694,IF(U3694&lt;&gt;"",U3694,S3694))</f>
        <v/>
      </c>
      <c r="AE3694">
        <f>IF(AB3694&lt;&gt;"",AB3694,Z3694)</f>
        <v/>
      </c>
    </row>
    <row r="3695">
      <c r="AC3695">
        <f>IF(OR(E3695="",E3695="[PARENT]"),"ADD",IF(E3695="[ALT_VIEW]","ALT",""))</f>
        <v/>
      </c>
      <c r="AD3695">
        <f>IF(Y3695&lt;&gt;"",Y3695,IF(U3695&lt;&gt;"",U3695,S3695))</f>
        <v/>
      </c>
      <c r="AE3695">
        <f>IF(AB3695&lt;&gt;"",AB3695,Z3695)</f>
        <v/>
      </c>
    </row>
    <row r="3696">
      <c r="AC3696">
        <f>IF(OR(E3696="",E3696="[PARENT]"),"ADD",IF(E3696="[ALT_VIEW]","ALT",""))</f>
        <v/>
      </c>
      <c r="AD3696">
        <f>IF(Y3696&lt;&gt;"",Y3696,IF(U3696&lt;&gt;"",U3696,S3696))</f>
        <v/>
      </c>
      <c r="AE3696">
        <f>IF(AB3696&lt;&gt;"",AB3696,Z3696)</f>
        <v/>
      </c>
    </row>
    <row r="3697">
      <c r="AC3697">
        <f>IF(OR(E3697="",E3697="[PARENT]"),"ADD",IF(E3697="[ALT_VIEW]","ALT",""))</f>
        <v/>
      </c>
      <c r="AD3697">
        <f>IF(Y3697&lt;&gt;"",Y3697,IF(U3697&lt;&gt;"",U3697,S3697))</f>
        <v/>
      </c>
      <c r="AE3697">
        <f>IF(AB3697&lt;&gt;"",AB3697,Z3697)</f>
        <v/>
      </c>
    </row>
    <row r="3698">
      <c r="AC3698">
        <f>IF(OR(E3698="",E3698="[PARENT]"),"ADD",IF(E3698="[ALT_VIEW]","ALT",""))</f>
        <v/>
      </c>
      <c r="AD3698">
        <f>IF(Y3698&lt;&gt;"",Y3698,IF(U3698&lt;&gt;"",U3698,S3698))</f>
        <v/>
      </c>
      <c r="AE3698">
        <f>IF(AB3698&lt;&gt;"",AB3698,Z3698)</f>
        <v/>
      </c>
    </row>
    <row r="3699">
      <c r="AC3699">
        <f>IF(OR(E3699="",E3699="[PARENT]"),"ADD",IF(E3699="[ALT_VIEW]","ALT",""))</f>
        <v/>
      </c>
      <c r="AD3699">
        <f>IF(Y3699&lt;&gt;"",Y3699,IF(U3699&lt;&gt;"",U3699,S3699))</f>
        <v/>
      </c>
      <c r="AE3699">
        <f>IF(AB3699&lt;&gt;"",AB3699,Z3699)</f>
        <v/>
      </c>
    </row>
    <row r="3700">
      <c r="AC3700">
        <f>IF(OR(E3700="",E3700="[PARENT]"),"ADD",IF(E3700="[ALT_VIEW]","ALT",""))</f>
        <v/>
      </c>
      <c r="AD3700">
        <f>IF(Y3700&lt;&gt;"",Y3700,IF(U3700&lt;&gt;"",U3700,S3700))</f>
        <v/>
      </c>
      <c r="AE3700">
        <f>IF(AB3700&lt;&gt;"",AB3700,Z3700)</f>
        <v/>
      </c>
    </row>
    <row r="3701">
      <c r="AC3701">
        <f>IF(OR(E3701="",E3701="[PARENT]"),"ADD",IF(E3701="[ALT_VIEW]","ALT",""))</f>
        <v/>
      </c>
      <c r="AD3701">
        <f>IF(Y3701&lt;&gt;"",Y3701,IF(U3701&lt;&gt;"",U3701,S3701))</f>
        <v/>
      </c>
      <c r="AE3701">
        <f>IF(AB3701&lt;&gt;"",AB3701,Z3701)</f>
        <v/>
      </c>
    </row>
    <row r="3702">
      <c r="AC3702">
        <f>IF(OR(E3702="",E3702="[PARENT]"),"ADD",IF(E3702="[ALT_VIEW]","ALT",""))</f>
        <v/>
      </c>
      <c r="AD3702">
        <f>IF(Y3702&lt;&gt;"",Y3702,IF(U3702&lt;&gt;"",U3702,S3702))</f>
        <v/>
      </c>
      <c r="AE3702">
        <f>IF(AB3702&lt;&gt;"",AB3702,Z3702)</f>
        <v/>
      </c>
    </row>
    <row r="3703">
      <c r="AC3703">
        <f>IF(OR(E3703="",E3703="[PARENT]"),"ADD",IF(E3703="[ALT_VIEW]","ALT",""))</f>
        <v/>
      </c>
      <c r="AD3703">
        <f>IF(Y3703&lt;&gt;"",Y3703,IF(U3703&lt;&gt;"",U3703,S3703))</f>
        <v/>
      </c>
      <c r="AE3703">
        <f>IF(AB3703&lt;&gt;"",AB3703,Z3703)</f>
        <v/>
      </c>
    </row>
    <row r="3704">
      <c r="AC3704">
        <f>IF(OR(E3704="",E3704="[PARENT]"),"ADD",IF(E3704="[ALT_VIEW]","ALT",""))</f>
        <v/>
      </c>
      <c r="AD3704">
        <f>IF(Y3704&lt;&gt;"",Y3704,IF(U3704&lt;&gt;"",U3704,S3704))</f>
        <v/>
      </c>
      <c r="AE3704">
        <f>IF(AB3704&lt;&gt;"",AB3704,Z3704)</f>
        <v/>
      </c>
    </row>
    <row r="3705">
      <c r="AC3705">
        <f>IF(OR(E3705="",E3705="[PARENT]"),"ADD",IF(E3705="[ALT_VIEW]","ALT",""))</f>
        <v/>
      </c>
      <c r="AD3705">
        <f>IF(Y3705&lt;&gt;"",Y3705,IF(U3705&lt;&gt;"",U3705,S3705))</f>
        <v/>
      </c>
      <c r="AE3705">
        <f>IF(AB3705&lt;&gt;"",AB3705,Z3705)</f>
        <v/>
      </c>
    </row>
    <row r="3706">
      <c r="AC3706">
        <f>IF(OR(E3706="",E3706="[PARENT]"),"ADD",IF(E3706="[ALT_VIEW]","ALT",""))</f>
        <v/>
      </c>
      <c r="AD3706">
        <f>IF(Y3706&lt;&gt;"",Y3706,IF(U3706&lt;&gt;"",U3706,S3706))</f>
        <v/>
      </c>
      <c r="AE3706">
        <f>IF(AB3706&lt;&gt;"",AB3706,Z3706)</f>
        <v/>
      </c>
    </row>
    <row r="3707">
      <c r="AC3707">
        <f>IF(OR(E3707="",E3707="[PARENT]"),"ADD",IF(E3707="[ALT_VIEW]","ALT",""))</f>
        <v/>
      </c>
      <c r="AD3707">
        <f>IF(Y3707&lt;&gt;"",Y3707,IF(U3707&lt;&gt;"",U3707,S3707))</f>
        <v/>
      </c>
      <c r="AE3707">
        <f>IF(AB3707&lt;&gt;"",AB3707,Z3707)</f>
        <v/>
      </c>
    </row>
    <row r="3708">
      <c r="AC3708">
        <f>IF(OR(E3708="",E3708="[PARENT]"),"ADD",IF(E3708="[ALT_VIEW]","ALT",""))</f>
        <v/>
      </c>
      <c r="AD3708">
        <f>IF(Y3708&lt;&gt;"",Y3708,IF(U3708&lt;&gt;"",U3708,S3708))</f>
        <v/>
      </c>
      <c r="AE3708">
        <f>IF(AB3708&lt;&gt;"",AB3708,Z3708)</f>
        <v/>
      </c>
    </row>
    <row r="3709">
      <c r="AC3709">
        <f>IF(OR(E3709="",E3709="[PARENT]"),"ADD",IF(E3709="[ALT_VIEW]","ALT",""))</f>
        <v/>
      </c>
      <c r="AD3709">
        <f>IF(Y3709&lt;&gt;"",Y3709,IF(U3709&lt;&gt;"",U3709,S3709))</f>
        <v/>
      </c>
      <c r="AE3709">
        <f>IF(AB3709&lt;&gt;"",AB3709,Z3709)</f>
        <v/>
      </c>
    </row>
    <row r="3710">
      <c r="AC3710">
        <f>IF(OR(E3710="",E3710="[PARENT]"),"ADD",IF(E3710="[ALT_VIEW]","ALT",""))</f>
        <v/>
      </c>
      <c r="AD3710">
        <f>IF(Y3710&lt;&gt;"",Y3710,IF(U3710&lt;&gt;"",U3710,S3710))</f>
        <v/>
      </c>
      <c r="AE3710">
        <f>IF(AB3710&lt;&gt;"",AB3710,Z3710)</f>
        <v/>
      </c>
    </row>
    <row r="3711">
      <c r="AC3711">
        <f>IF(OR(E3711="",E3711="[PARENT]"),"ADD",IF(E3711="[ALT_VIEW]","ALT",""))</f>
        <v/>
      </c>
      <c r="AD3711">
        <f>IF(Y3711&lt;&gt;"",Y3711,IF(U3711&lt;&gt;"",U3711,S3711))</f>
        <v/>
      </c>
      <c r="AE3711">
        <f>IF(AB3711&lt;&gt;"",AB3711,Z3711)</f>
        <v/>
      </c>
    </row>
    <row r="3712">
      <c r="AC3712">
        <f>IF(OR(E3712="",E3712="[PARENT]"),"ADD",IF(E3712="[ALT_VIEW]","ALT",""))</f>
        <v/>
      </c>
      <c r="AD3712">
        <f>IF(Y3712&lt;&gt;"",Y3712,IF(U3712&lt;&gt;"",U3712,S3712))</f>
        <v/>
      </c>
      <c r="AE3712">
        <f>IF(AB3712&lt;&gt;"",AB3712,Z3712)</f>
        <v/>
      </c>
    </row>
    <row r="3713">
      <c r="AC3713">
        <f>IF(OR(E3713="",E3713="[PARENT]"),"ADD",IF(E3713="[ALT_VIEW]","ALT",""))</f>
        <v/>
      </c>
      <c r="AD3713">
        <f>IF(Y3713&lt;&gt;"",Y3713,IF(U3713&lt;&gt;"",U3713,S3713))</f>
        <v/>
      </c>
      <c r="AE3713">
        <f>IF(AB3713&lt;&gt;"",AB3713,Z3713)</f>
        <v/>
      </c>
    </row>
    <row r="3714">
      <c r="AC3714">
        <f>IF(OR(E3714="",E3714="[PARENT]"),"ADD",IF(E3714="[ALT_VIEW]","ALT",""))</f>
        <v/>
      </c>
      <c r="AD3714">
        <f>IF(Y3714&lt;&gt;"",Y3714,IF(U3714&lt;&gt;"",U3714,S3714))</f>
        <v/>
      </c>
      <c r="AE3714">
        <f>IF(AB3714&lt;&gt;"",AB3714,Z3714)</f>
        <v/>
      </c>
    </row>
    <row r="3715">
      <c r="AC3715">
        <f>IF(OR(E3715="",E3715="[PARENT]"),"ADD",IF(E3715="[ALT_VIEW]","ALT",""))</f>
        <v/>
      </c>
      <c r="AD3715">
        <f>IF(Y3715&lt;&gt;"",Y3715,IF(U3715&lt;&gt;"",U3715,S3715))</f>
        <v/>
      </c>
      <c r="AE3715">
        <f>IF(AB3715&lt;&gt;"",AB3715,Z3715)</f>
        <v/>
      </c>
    </row>
    <row r="3716">
      <c r="AC3716">
        <f>IF(OR(E3716="",E3716="[PARENT]"),"ADD",IF(E3716="[ALT_VIEW]","ALT",""))</f>
        <v/>
      </c>
      <c r="AD3716">
        <f>IF(Y3716&lt;&gt;"",Y3716,IF(U3716&lt;&gt;"",U3716,S3716))</f>
        <v/>
      </c>
      <c r="AE3716">
        <f>IF(AB3716&lt;&gt;"",AB3716,Z3716)</f>
        <v/>
      </c>
    </row>
    <row r="3717">
      <c r="AC3717">
        <f>IF(OR(E3717="",E3717="[PARENT]"),"ADD",IF(E3717="[ALT_VIEW]","ALT",""))</f>
        <v/>
      </c>
      <c r="AD3717">
        <f>IF(Y3717&lt;&gt;"",Y3717,IF(U3717&lt;&gt;"",U3717,S3717))</f>
        <v/>
      </c>
      <c r="AE3717">
        <f>IF(AB3717&lt;&gt;"",AB3717,Z3717)</f>
        <v/>
      </c>
    </row>
    <row r="3718">
      <c r="AC3718">
        <f>IF(OR(E3718="",E3718="[PARENT]"),"ADD",IF(E3718="[ALT_VIEW]","ALT",""))</f>
        <v/>
      </c>
      <c r="AD3718">
        <f>IF(Y3718&lt;&gt;"",Y3718,IF(U3718&lt;&gt;"",U3718,S3718))</f>
        <v/>
      </c>
      <c r="AE3718">
        <f>IF(AB3718&lt;&gt;"",AB3718,Z3718)</f>
        <v/>
      </c>
    </row>
    <row r="3719">
      <c r="AC3719">
        <f>IF(OR(E3719="",E3719="[PARENT]"),"ADD",IF(E3719="[ALT_VIEW]","ALT",""))</f>
        <v/>
      </c>
      <c r="AD3719">
        <f>IF(Y3719&lt;&gt;"",Y3719,IF(U3719&lt;&gt;"",U3719,S3719))</f>
        <v/>
      </c>
      <c r="AE3719">
        <f>IF(AB3719&lt;&gt;"",AB3719,Z3719)</f>
        <v/>
      </c>
    </row>
    <row r="3720">
      <c r="AC3720">
        <f>IF(OR(E3720="",E3720="[PARENT]"),"ADD",IF(E3720="[ALT_VIEW]","ALT",""))</f>
        <v/>
      </c>
      <c r="AD3720">
        <f>IF(Y3720&lt;&gt;"",Y3720,IF(U3720&lt;&gt;"",U3720,S3720))</f>
        <v/>
      </c>
      <c r="AE3720">
        <f>IF(AB3720&lt;&gt;"",AB3720,Z3720)</f>
        <v/>
      </c>
    </row>
    <row r="3721">
      <c r="AC3721">
        <f>IF(OR(E3721="",E3721="[PARENT]"),"ADD",IF(E3721="[ALT_VIEW]","ALT",""))</f>
        <v/>
      </c>
      <c r="AD3721">
        <f>IF(Y3721&lt;&gt;"",Y3721,IF(U3721&lt;&gt;"",U3721,S3721))</f>
        <v/>
      </c>
      <c r="AE3721">
        <f>IF(AB3721&lt;&gt;"",AB3721,Z3721)</f>
        <v/>
      </c>
    </row>
    <row r="3722">
      <c r="AC3722">
        <f>IF(OR(E3722="",E3722="[PARENT]"),"ADD",IF(E3722="[ALT_VIEW]","ALT",""))</f>
        <v/>
      </c>
      <c r="AD3722">
        <f>IF(Y3722&lt;&gt;"",Y3722,IF(U3722&lt;&gt;"",U3722,S3722))</f>
        <v/>
      </c>
      <c r="AE3722">
        <f>IF(AB3722&lt;&gt;"",AB3722,Z3722)</f>
        <v/>
      </c>
    </row>
    <row r="3723">
      <c r="AC3723">
        <f>IF(OR(E3723="",E3723="[PARENT]"),"ADD",IF(E3723="[ALT_VIEW]","ALT",""))</f>
        <v/>
      </c>
      <c r="AD3723">
        <f>IF(Y3723&lt;&gt;"",Y3723,IF(U3723&lt;&gt;"",U3723,S3723))</f>
        <v/>
      </c>
      <c r="AE3723">
        <f>IF(AB3723&lt;&gt;"",AB3723,Z3723)</f>
        <v/>
      </c>
    </row>
    <row r="3724">
      <c r="AC3724">
        <f>IF(OR(E3724="",E3724="[PARENT]"),"ADD",IF(E3724="[ALT_VIEW]","ALT",""))</f>
        <v/>
      </c>
      <c r="AD3724">
        <f>IF(Y3724&lt;&gt;"",Y3724,IF(U3724&lt;&gt;"",U3724,S3724))</f>
        <v/>
      </c>
      <c r="AE3724">
        <f>IF(AB3724&lt;&gt;"",AB3724,Z3724)</f>
        <v/>
      </c>
    </row>
    <row r="3725">
      <c r="AC3725">
        <f>IF(OR(E3725="",E3725="[PARENT]"),"ADD",IF(E3725="[ALT_VIEW]","ALT",""))</f>
        <v/>
      </c>
      <c r="AD3725">
        <f>IF(Y3725&lt;&gt;"",Y3725,IF(U3725&lt;&gt;"",U3725,S3725))</f>
        <v/>
      </c>
      <c r="AE3725">
        <f>IF(AB3725&lt;&gt;"",AB3725,Z3725)</f>
        <v/>
      </c>
    </row>
    <row r="3726">
      <c r="AC3726">
        <f>IF(OR(E3726="",E3726="[PARENT]"),"ADD",IF(E3726="[ALT_VIEW]","ALT",""))</f>
        <v/>
      </c>
      <c r="AD3726">
        <f>IF(Y3726&lt;&gt;"",Y3726,IF(U3726&lt;&gt;"",U3726,S3726))</f>
        <v/>
      </c>
      <c r="AE3726">
        <f>IF(AB3726&lt;&gt;"",AB3726,Z3726)</f>
        <v/>
      </c>
    </row>
    <row r="3727">
      <c r="AC3727">
        <f>IF(OR(E3727="",E3727="[PARENT]"),"ADD",IF(E3727="[ALT_VIEW]","ALT",""))</f>
        <v/>
      </c>
      <c r="AD3727">
        <f>IF(Y3727&lt;&gt;"",Y3727,IF(U3727&lt;&gt;"",U3727,S3727))</f>
        <v/>
      </c>
      <c r="AE3727">
        <f>IF(AB3727&lt;&gt;"",AB3727,Z3727)</f>
        <v/>
      </c>
    </row>
    <row r="3728">
      <c r="AC3728">
        <f>IF(OR(E3728="",E3728="[PARENT]"),"ADD",IF(E3728="[ALT_VIEW]","ALT",""))</f>
        <v/>
      </c>
      <c r="AD3728">
        <f>IF(Y3728&lt;&gt;"",Y3728,IF(U3728&lt;&gt;"",U3728,S3728))</f>
        <v/>
      </c>
      <c r="AE3728">
        <f>IF(AB3728&lt;&gt;"",AB3728,Z3728)</f>
        <v/>
      </c>
    </row>
    <row r="3729">
      <c r="AC3729">
        <f>IF(OR(E3729="",E3729="[PARENT]"),"ADD",IF(E3729="[ALT_VIEW]","ALT",""))</f>
        <v/>
      </c>
      <c r="AD3729">
        <f>IF(Y3729&lt;&gt;"",Y3729,IF(U3729&lt;&gt;"",U3729,S3729))</f>
        <v/>
      </c>
      <c r="AE3729">
        <f>IF(AB3729&lt;&gt;"",AB3729,Z3729)</f>
        <v/>
      </c>
    </row>
    <row r="3730">
      <c r="AC3730">
        <f>IF(OR(E3730="",E3730="[PARENT]"),"ADD",IF(E3730="[ALT_VIEW]","ALT",""))</f>
        <v/>
      </c>
      <c r="AD3730">
        <f>IF(Y3730&lt;&gt;"",Y3730,IF(U3730&lt;&gt;"",U3730,S3730))</f>
        <v/>
      </c>
      <c r="AE3730">
        <f>IF(AB3730&lt;&gt;"",AB3730,Z3730)</f>
        <v/>
      </c>
    </row>
    <row r="3731">
      <c r="AC3731">
        <f>IF(OR(E3731="",E3731="[PARENT]"),"ADD",IF(E3731="[ALT_VIEW]","ALT",""))</f>
        <v/>
      </c>
      <c r="AD3731">
        <f>IF(Y3731&lt;&gt;"",Y3731,IF(U3731&lt;&gt;"",U3731,S3731))</f>
        <v/>
      </c>
      <c r="AE3731">
        <f>IF(AB3731&lt;&gt;"",AB3731,Z3731)</f>
        <v/>
      </c>
    </row>
    <row r="3732">
      <c r="AC3732">
        <f>IF(OR(E3732="",E3732="[PARENT]"),"ADD",IF(E3732="[ALT_VIEW]","ALT",""))</f>
        <v/>
      </c>
      <c r="AD3732">
        <f>IF(Y3732&lt;&gt;"",Y3732,IF(U3732&lt;&gt;"",U3732,S3732))</f>
        <v/>
      </c>
      <c r="AE3732">
        <f>IF(AB3732&lt;&gt;"",AB3732,Z3732)</f>
        <v/>
      </c>
    </row>
    <row r="3733">
      <c r="AC3733">
        <f>IF(OR(E3733="",E3733="[PARENT]"),"ADD",IF(E3733="[ALT_VIEW]","ALT",""))</f>
        <v/>
      </c>
      <c r="AD3733">
        <f>IF(Y3733&lt;&gt;"",Y3733,IF(U3733&lt;&gt;"",U3733,S3733))</f>
        <v/>
      </c>
      <c r="AE3733">
        <f>IF(AB3733&lt;&gt;"",AB3733,Z3733)</f>
        <v/>
      </c>
    </row>
    <row r="3734">
      <c r="AC3734">
        <f>IF(OR(E3734="",E3734="[PARENT]"),"ADD",IF(E3734="[ALT_VIEW]","ALT",""))</f>
        <v/>
      </c>
      <c r="AD3734">
        <f>IF(Y3734&lt;&gt;"",Y3734,IF(U3734&lt;&gt;"",U3734,S3734))</f>
        <v/>
      </c>
      <c r="AE3734">
        <f>IF(AB3734&lt;&gt;"",AB3734,Z3734)</f>
        <v/>
      </c>
    </row>
    <row r="3735">
      <c r="AC3735">
        <f>IF(OR(E3735="",E3735="[PARENT]"),"ADD",IF(E3735="[ALT_VIEW]","ALT",""))</f>
        <v/>
      </c>
      <c r="AD3735">
        <f>IF(Y3735&lt;&gt;"",Y3735,IF(U3735&lt;&gt;"",U3735,S3735))</f>
        <v/>
      </c>
      <c r="AE3735">
        <f>IF(AB3735&lt;&gt;"",AB3735,Z3735)</f>
        <v/>
      </c>
    </row>
    <row r="3736">
      <c r="AC3736">
        <f>IF(OR(E3736="",E3736="[PARENT]"),"ADD",IF(E3736="[ALT_VIEW]","ALT",""))</f>
        <v/>
      </c>
      <c r="AD3736">
        <f>IF(Y3736&lt;&gt;"",Y3736,IF(U3736&lt;&gt;"",U3736,S3736))</f>
        <v/>
      </c>
      <c r="AE3736">
        <f>IF(AB3736&lt;&gt;"",AB3736,Z3736)</f>
        <v/>
      </c>
    </row>
    <row r="3737">
      <c r="AC3737">
        <f>IF(OR(E3737="",E3737="[PARENT]"),"ADD",IF(E3737="[ALT_VIEW]","ALT",""))</f>
        <v/>
      </c>
      <c r="AD3737">
        <f>IF(Y3737&lt;&gt;"",Y3737,IF(U3737&lt;&gt;"",U3737,S3737))</f>
        <v/>
      </c>
      <c r="AE3737">
        <f>IF(AB3737&lt;&gt;"",AB3737,Z3737)</f>
        <v/>
      </c>
    </row>
    <row r="3738">
      <c r="AC3738">
        <f>IF(OR(E3738="",E3738="[PARENT]"),"ADD",IF(E3738="[ALT_VIEW]","ALT",""))</f>
        <v/>
      </c>
      <c r="AD3738">
        <f>IF(Y3738&lt;&gt;"",Y3738,IF(U3738&lt;&gt;"",U3738,S3738))</f>
        <v/>
      </c>
      <c r="AE3738">
        <f>IF(AB3738&lt;&gt;"",AB3738,Z3738)</f>
        <v/>
      </c>
    </row>
    <row r="3739">
      <c r="AC3739">
        <f>IF(OR(E3739="",E3739="[PARENT]"),"ADD",IF(E3739="[ALT_VIEW]","ALT",""))</f>
        <v/>
      </c>
      <c r="AD3739">
        <f>IF(Y3739&lt;&gt;"",Y3739,IF(U3739&lt;&gt;"",U3739,S3739))</f>
        <v/>
      </c>
      <c r="AE3739">
        <f>IF(AB3739&lt;&gt;"",AB3739,Z3739)</f>
        <v/>
      </c>
    </row>
    <row r="3740">
      <c r="AC3740">
        <f>IF(OR(E3740="",E3740="[PARENT]"),"ADD",IF(E3740="[ALT_VIEW]","ALT",""))</f>
        <v/>
      </c>
      <c r="AD3740">
        <f>IF(Y3740&lt;&gt;"",Y3740,IF(U3740&lt;&gt;"",U3740,S3740))</f>
        <v/>
      </c>
      <c r="AE3740">
        <f>IF(AB3740&lt;&gt;"",AB3740,Z3740)</f>
        <v/>
      </c>
    </row>
    <row r="3741">
      <c r="AC3741">
        <f>IF(OR(E3741="",E3741="[PARENT]"),"ADD",IF(E3741="[ALT_VIEW]","ALT",""))</f>
        <v/>
      </c>
      <c r="AD3741">
        <f>IF(Y3741&lt;&gt;"",Y3741,IF(U3741&lt;&gt;"",U3741,S3741))</f>
        <v/>
      </c>
      <c r="AE3741">
        <f>IF(AB3741&lt;&gt;"",AB3741,Z3741)</f>
        <v/>
      </c>
    </row>
    <row r="3742">
      <c r="AC3742">
        <f>IF(OR(E3742="",E3742="[PARENT]"),"ADD",IF(E3742="[ALT_VIEW]","ALT",""))</f>
        <v/>
      </c>
      <c r="AD3742">
        <f>IF(Y3742&lt;&gt;"",Y3742,IF(U3742&lt;&gt;"",U3742,S3742))</f>
        <v/>
      </c>
      <c r="AE3742">
        <f>IF(AB3742&lt;&gt;"",AB3742,Z3742)</f>
        <v/>
      </c>
    </row>
    <row r="3743">
      <c r="AC3743">
        <f>IF(OR(E3743="",E3743="[PARENT]"),"ADD",IF(E3743="[ALT_VIEW]","ALT",""))</f>
        <v/>
      </c>
      <c r="AD3743">
        <f>IF(Y3743&lt;&gt;"",Y3743,IF(U3743&lt;&gt;"",U3743,S3743))</f>
        <v/>
      </c>
      <c r="AE3743">
        <f>IF(AB3743&lt;&gt;"",AB3743,Z3743)</f>
        <v/>
      </c>
    </row>
    <row r="3744">
      <c r="AC3744">
        <f>IF(OR(E3744="",E3744="[PARENT]"),"ADD",IF(E3744="[ALT_VIEW]","ALT",""))</f>
        <v/>
      </c>
      <c r="AD3744">
        <f>IF(Y3744&lt;&gt;"",Y3744,IF(U3744&lt;&gt;"",U3744,S3744))</f>
        <v/>
      </c>
      <c r="AE3744">
        <f>IF(AB3744&lt;&gt;"",AB3744,Z3744)</f>
        <v/>
      </c>
    </row>
    <row r="3745">
      <c r="AC3745">
        <f>IF(OR(E3745="",E3745="[PARENT]"),"ADD",IF(E3745="[ALT_VIEW]","ALT",""))</f>
        <v/>
      </c>
      <c r="AD3745">
        <f>IF(Y3745&lt;&gt;"",Y3745,IF(U3745&lt;&gt;"",U3745,S3745))</f>
        <v/>
      </c>
      <c r="AE3745">
        <f>IF(AB3745&lt;&gt;"",AB3745,Z3745)</f>
        <v/>
      </c>
    </row>
    <row r="3746">
      <c r="AC3746">
        <f>IF(OR(E3746="",E3746="[PARENT]"),"ADD",IF(E3746="[ALT_VIEW]","ALT",""))</f>
        <v/>
      </c>
      <c r="AD3746">
        <f>IF(Y3746&lt;&gt;"",Y3746,IF(U3746&lt;&gt;"",U3746,S3746))</f>
        <v/>
      </c>
      <c r="AE3746">
        <f>IF(AB3746&lt;&gt;"",AB3746,Z3746)</f>
        <v/>
      </c>
    </row>
    <row r="3747">
      <c r="AC3747">
        <f>IF(OR(E3747="",E3747="[PARENT]"),"ADD",IF(E3747="[ALT_VIEW]","ALT",""))</f>
        <v/>
      </c>
      <c r="AD3747">
        <f>IF(Y3747&lt;&gt;"",Y3747,IF(U3747&lt;&gt;"",U3747,S3747))</f>
        <v/>
      </c>
      <c r="AE3747">
        <f>IF(AB3747&lt;&gt;"",AB3747,Z3747)</f>
        <v/>
      </c>
    </row>
    <row r="3748">
      <c r="AC3748">
        <f>IF(OR(E3748="",E3748="[PARENT]"),"ADD",IF(E3748="[ALT_VIEW]","ALT",""))</f>
        <v/>
      </c>
      <c r="AD3748">
        <f>IF(Y3748&lt;&gt;"",Y3748,IF(U3748&lt;&gt;"",U3748,S3748))</f>
        <v/>
      </c>
      <c r="AE3748">
        <f>IF(AB3748&lt;&gt;"",AB3748,Z3748)</f>
        <v/>
      </c>
    </row>
    <row r="3749">
      <c r="AC3749">
        <f>IF(OR(E3749="",E3749="[PARENT]"),"ADD",IF(E3749="[ALT_VIEW]","ALT",""))</f>
        <v/>
      </c>
      <c r="AD3749">
        <f>IF(Y3749&lt;&gt;"",Y3749,IF(U3749&lt;&gt;"",U3749,S3749))</f>
        <v/>
      </c>
      <c r="AE3749">
        <f>IF(AB3749&lt;&gt;"",AB3749,Z3749)</f>
        <v/>
      </c>
    </row>
    <row r="3750">
      <c r="AC3750">
        <f>IF(OR(E3750="",E3750="[PARENT]"),"ADD",IF(E3750="[ALT_VIEW]","ALT",""))</f>
        <v/>
      </c>
      <c r="AD3750">
        <f>IF(Y3750&lt;&gt;"",Y3750,IF(U3750&lt;&gt;"",U3750,S3750))</f>
        <v/>
      </c>
      <c r="AE3750">
        <f>IF(AB3750&lt;&gt;"",AB3750,Z3750)</f>
        <v/>
      </c>
    </row>
    <row r="3751">
      <c r="AC3751">
        <f>IF(OR(E3751="",E3751="[PARENT]"),"ADD",IF(E3751="[ALT_VIEW]","ALT",""))</f>
        <v/>
      </c>
      <c r="AD3751">
        <f>IF(Y3751&lt;&gt;"",Y3751,IF(U3751&lt;&gt;"",U3751,S3751))</f>
        <v/>
      </c>
      <c r="AE3751">
        <f>IF(AB3751&lt;&gt;"",AB3751,Z3751)</f>
        <v/>
      </c>
    </row>
    <row r="3752">
      <c r="AC3752">
        <f>IF(OR(E3752="",E3752="[PARENT]"),"ADD",IF(E3752="[ALT_VIEW]","ALT",""))</f>
        <v/>
      </c>
      <c r="AD3752">
        <f>IF(Y3752&lt;&gt;"",Y3752,IF(U3752&lt;&gt;"",U3752,S3752))</f>
        <v/>
      </c>
      <c r="AE3752">
        <f>IF(AB3752&lt;&gt;"",AB3752,Z3752)</f>
        <v/>
      </c>
    </row>
    <row r="3753">
      <c r="AC3753">
        <f>IF(OR(E3753="",E3753="[PARENT]"),"ADD",IF(E3753="[ALT_VIEW]","ALT",""))</f>
        <v/>
      </c>
      <c r="AD3753">
        <f>IF(Y3753&lt;&gt;"",Y3753,IF(U3753&lt;&gt;"",U3753,S3753))</f>
        <v/>
      </c>
      <c r="AE3753">
        <f>IF(AB3753&lt;&gt;"",AB3753,Z3753)</f>
        <v/>
      </c>
    </row>
    <row r="3754">
      <c r="AC3754">
        <f>IF(OR(E3754="",E3754="[PARENT]"),"ADD",IF(E3754="[ALT_VIEW]","ALT",""))</f>
        <v/>
      </c>
      <c r="AD3754">
        <f>IF(Y3754&lt;&gt;"",Y3754,IF(U3754&lt;&gt;"",U3754,S3754))</f>
        <v/>
      </c>
      <c r="AE3754">
        <f>IF(AB3754&lt;&gt;"",AB3754,Z3754)</f>
        <v/>
      </c>
    </row>
    <row r="3755">
      <c r="AC3755">
        <f>IF(OR(E3755="",E3755="[PARENT]"),"ADD",IF(E3755="[ALT_VIEW]","ALT",""))</f>
        <v/>
      </c>
      <c r="AD3755">
        <f>IF(Y3755&lt;&gt;"",Y3755,IF(U3755&lt;&gt;"",U3755,S3755))</f>
        <v/>
      </c>
      <c r="AE3755">
        <f>IF(AB3755&lt;&gt;"",AB3755,Z3755)</f>
        <v/>
      </c>
    </row>
    <row r="3756">
      <c r="AC3756">
        <f>IF(OR(E3756="",E3756="[PARENT]"),"ADD",IF(E3756="[ALT_VIEW]","ALT",""))</f>
        <v/>
      </c>
      <c r="AD3756">
        <f>IF(Y3756&lt;&gt;"",Y3756,IF(U3756&lt;&gt;"",U3756,S3756))</f>
        <v/>
      </c>
      <c r="AE3756">
        <f>IF(AB3756&lt;&gt;"",AB3756,Z3756)</f>
        <v/>
      </c>
    </row>
    <row r="3757">
      <c r="AC3757">
        <f>IF(OR(E3757="",E3757="[PARENT]"),"ADD",IF(E3757="[ALT_VIEW]","ALT",""))</f>
        <v/>
      </c>
      <c r="AD3757">
        <f>IF(Y3757&lt;&gt;"",Y3757,IF(U3757&lt;&gt;"",U3757,S3757))</f>
        <v/>
      </c>
      <c r="AE3757">
        <f>IF(AB3757&lt;&gt;"",AB3757,Z3757)</f>
        <v/>
      </c>
    </row>
    <row r="3758">
      <c r="AC3758">
        <f>IF(OR(E3758="",E3758="[PARENT]"),"ADD",IF(E3758="[ALT_VIEW]","ALT",""))</f>
        <v/>
      </c>
      <c r="AD3758">
        <f>IF(Y3758&lt;&gt;"",Y3758,IF(U3758&lt;&gt;"",U3758,S3758))</f>
        <v/>
      </c>
      <c r="AE3758">
        <f>IF(AB3758&lt;&gt;"",AB3758,Z3758)</f>
        <v/>
      </c>
    </row>
    <row r="3759">
      <c r="AC3759">
        <f>IF(OR(E3759="",E3759="[PARENT]"),"ADD",IF(E3759="[ALT_VIEW]","ALT",""))</f>
        <v/>
      </c>
      <c r="AD3759">
        <f>IF(Y3759&lt;&gt;"",Y3759,IF(U3759&lt;&gt;"",U3759,S3759))</f>
        <v/>
      </c>
      <c r="AE3759">
        <f>IF(AB3759&lt;&gt;"",AB3759,Z3759)</f>
        <v/>
      </c>
    </row>
    <row r="3760">
      <c r="AC3760">
        <f>IF(OR(E3760="",E3760="[PARENT]"),"ADD",IF(E3760="[ALT_VIEW]","ALT",""))</f>
        <v/>
      </c>
      <c r="AD3760">
        <f>IF(Y3760&lt;&gt;"",Y3760,IF(U3760&lt;&gt;"",U3760,S3760))</f>
        <v/>
      </c>
      <c r="AE3760">
        <f>IF(AB3760&lt;&gt;"",AB3760,Z3760)</f>
        <v/>
      </c>
    </row>
    <row r="3761">
      <c r="AC3761">
        <f>IF(OR(E3761="",E3761="[PARENT]"),"ADD",IF(E3761="[ALT_VIEW]","ALT",""))</f>
        <v/>
      </c>
      <c r="AD3761">
        <f>IF(Y3761&lt;&gt;"",Y3761,IF(U3761&lt;&gt;"",U3761,S3761))</f>
        <v/>
      </c>
      <c r="AE3761">
        <f>IF(AB3761&lt;&gt;"",AB3761,Z3761)</f>
        <v/>
      </c>
    </row>
    <row r="3762">
      <c r="AC3762">
        <f>IF(OR(E3762="",E3762="[PARENT]"),"ADD",IF(E3762="[ALT_VIEW]","ALT",""))</f>
        <v/>
      </c>
      <c r="AD3762">
        <f>IF(Y3762&lt;&gt;"",Y3762,IF(U3762&lt;&gt;"",U3762,S3762))</f>
        <v/>
      </c>
      <c r="AE3762">
        <f>IF(AB3762&lt;&gt;"",AB3762,Z3762)</f>
        <v/>
      </c>
    </row>
    <row r="3763">
      <c r="AC3763">
        <f>IF(OR(E3763="",E3763="[PARENT]"),"ADD",IF(E3763="[ALT_VIEW]","ALT",""))</f>
        <v/>
      </c>
      <c r="AD3763">
        <f>IF(Y3763&lt;&gt;"",Y3763,IF(U3763&lt;&gt;"",U3763,S3763))</f>
        <v/>
      </c>
      <c r="AE3763">
        <f>IF(AB3763&lt;&gt;"",AB3763,Z3763)</f>
        <v/>
      </c>
    </row>
    <row r="3764">
      <c r="AC3764">
        <f>IF(OR(E3764="",E3764="[PARENT]"),"ADD",IF(E3764="[ALT_VIEW]","ALT",""))</f>
        <v/>
      </c>
      <c r="AD3764">
        <f>IF(Y3764&lt;&gt;"",Y3764,IF(U3764&lt;&gt;"",U3764,S3764))</f>
        <v/>
      </c>
      <c r="AE3764">
        <f>IF(AB3764&lt;&gt;"",AB3764,Z3764)</f>
        <v/>
      </c>
    </row>
    <row r="3765">
      <c r="AC3765">
        <f>IF(OR(E3765="",E3765="[PARENT]"),"ADD",IF(E3765="[ALT_VIEW]","ALT",""))</f>
        <v/>
      </c>
      <c r="AD3765">
        <f>IF(Y3765&lt;&gt;"",Y3765,IF(U3765&lt;&gt;"",U3765,S3765))</f>
        <v/>
      </c>
      <c r="AE3765">
        <f>IF(AB3765&lt;&gt;"",AB3765,Z3765)</f>
        <v/>
      </c>
    </row>
    <row r="3766">
      <c r="AC3766">
        <f>IF(OR(E3766="",E3766="[PARENT]"),"ADD",IF(E3766="[ALT_VIEW]","ALT",""))</f>
        <v/>
      </c>
      <c r="AD3766">
        <f>IF(Y3766&lt;&gt;"",Y3766,IF(U3766&lt;&gt;"",U3766,S3766))</f>
        <v/>
      </c>
      <c r="AE3766">
        <f>IF(AB3766&lt;&gt;"",AB3766,Z3766)</f>
        <v/>
      </c>
    </row>
    <row r="3767">
      <c r="AC3767">
        <f>IF(OR(E3767="",E3767="[PARENT]"),"ADD",IF(E3767="[ALT_VIEW]","ALT",""))</f>
        <v/>
      </c>
      <c r="AD3767">
        <f>IF(Y3767&lt;&gt;"",Y3767,IF(U3767&lt;&gt;"",U3767,S3767))</f>
        <v/>
      </c>
      <c r="AE3767">
        <f>IF(AB3767&lt;&gt;"",AB3767,Z3767)</f>
        <v/>
      </c>
    </row>
    <row r="3768">
      <c r="AC3768">
        <f>IF(OR(E3768="",E3768="[PARENT]"),"ADD",IF(E3768="[ALT_VIEW]","ALT",""))</f>
        <v/>
      </c>
      <c r="AD3768">
        <f>IF(Y3768&lt;&gt;"",Y3768,IF(U3768&lt;&gt;"",U3768,S3768))</f>
        <v/>
      </c>
      <c r="AE3768">
        <f>IF(AB3768&lt;&gt;"",AB3768,Z3768)</f>
        <v/>
      </c>
    </row>
    <row r="3769">
      <c r="AC3769">
        <f>IF(OR(E3769="",E3769="[PARENT]"),"ADD",IF(E3769="[ALT_VIEW]","ALT",""))</f>
        <v/>
      </c>
      <c r="AD3769">
        <f>IF(Y3769&lt;&gt;"",Y3769,IF(U3769&lt;&gt;"",U3769,S3769))</f>
        <v/>
      </c>
      <c r="AE3769">
        <f>IF(AB3769&lt;&gt;"",AB3769,Z3769)</f>
        <v/>
      </c>
    </row>
    <row r="3770">
      <c r="AC3770">
        <f>IF(OR(E3770="",E3770="[PARENT]"),"ADD",IF(E3770="[ALT_VIEW]","ALT",""))</f>
        <v/>
      </c>
      <c r="AD3770">
        <f>IF(Y3770&lt;&gt;"",Y3770,IF(U3770&lt;&gt;"",U3770,S3770))</f>
        <v/>
      </c>
      <c r="AE3770">
        <f>IF(AB3770&lt;&gt;"",AB3770,Z3770)</f>
        <v/>
      </c>
    </row>
    <row r="3771">
      <c r="AC3771">
        <f>IF(OR(E3771="",E3771="[PARENT]"),"ADD",IF(E3771="[ALT_VIEW]","ALT",""))</f>
        <v/>
      </c>
      <c r="AD3771">
        <f>IF(Y3771&lt;&gt;"",Y3771,IF(U3771&lt;&gt;"",U3771,S3771))</f>
        <v/>
      </c>
      <c r="AE3771">
        <f>IF(AB3771&lt;&gt;"",AB3771,Z3771)</f>
        <v/>
      </c>
    </row>
    <row r="3772">
      <c r="AC3772">
        <f>IF(OR(E3772="",E3772="[PARENT]"),"ADD",IF(E3772="[ALT_VIEW]","ALT",""))</f>
        <v/>
      </c>
      <c r="AD3772">
        <f>IF(Y3772&lt;&gt;"",Y3772,IF(U3772&lt;&gt;"",U3772,S3772))</f>
        <v/>
      </c>
      <c r="AE3772">
        <f>IF(AB3772&lt;&gt;"",AB3772,Z3772)</f>
        <v/>
      </c>
    </row>
    <row r="3773">
      <c r="AC3773">
        <f>IF(OR(E3773="",E3773="[PARENT]"),"ADD",IF(E3773="[ALT_VIEW]","ALT",""))</f>
        <v/>
      </c>
      <c r="AD3773">
        <f>IF(Y3773&lt;&gt;"",Y3773,IF(U3773&lt;&gt;"",U3773,S3773))</f>
        <v/>
      </c>
      <c r="AE3773">
        <f>IF(AB3773&lt;&gt;"",AB3773,Z3773)</f>
        <v/>
      </c>
    </row>
    <row r="3774">
      <c r="AC3774">
        <f>IF(OR(E3774="",E3774="[PARENT]"),"ADD",IF(E3774="[ALT_VIEW]","ALT",""))</f>
        <v/>
      </c>
      <c r="AD3774">
        <f>IF(Y3774&lt;&gt;"",Y3774,IF(U3774&lt;&gt;"",U3774,S3774))</f>
        <v/>
      </c>
      <c r="AE3774">
        <f>IF(AB3774&lt;&gt;"",AB3774,Z3774)</f>
        <v/>
      </c>
    </row>
    <row r="3775">
      <c r="AC3775">
        <f>IF(OR(E3775="",E3775="[PARENT]"),"ADD",IF(E3775="[ALT_VIEW]","ALT",""))</f>
        <v/>
      </c>
      <c r="AD3775">
        <f>IF(Y3775&lt;&gt;"",Y3775,IF(U3775&lt;&gt;"",U3775,S3775))</f>
        <v/>
      </c>
      <c r="AE3775">
        <f>IF(AB3775&lt;&gt;"",AB3775,Z3775)</f>
        <v/>
      </c>
    </row>
    <row r="3776">
      <c r="AC3776">
        <f>IF(OR(E3776="",E3776="[PARENT]"),"ADD",IF(E3776="[ALT_VIEW]","ALT",""))</f>
        <v/>
      </c>
      <c r="AD3776">
        <f>IF(Y3776&lt;&gt;"",Y3776,IF(U3776&lt;&gt;"",U3776,S3776))</f>
        <v/>
      </c>
      <c r="AE3776">
        <f>IF(AB3776&lt;&gt;"",AB3776,Z3776)</f>
        <v/>
      </c>
    </row>
    <row r="3777">
      <c r="AC3777">
        <f>IF(OR(E3777="",E3777="[PARENT]"),"ADD",IF(E3777="[ALT_VIEW]","ALT",""))</f>
        <v/>
      </c>
      <c r="AD3777">
        <f>IF(Y3777&lt;&gt;"",Y3777,IF(U3777&lt;&gt;"",U3777,S3777))</f>
        <v/>
      </c>
      <c r="AE3777">
        <f>IF(AB3777&lt;&gt;"",AB3777,Z3777)</f>
        <v/>
      </c>
    </row>
    <row r="3778">
      <c r="AC3778">
        <f>IF(OR(E3778="",E3778="[PARENT]"),"ADD",IF(E3778="[ALT_VIEW]","ALT",""))</f>
        <v/>
      </c>
      <c r="AD3778">
        <f>IF(Y3778&lt;&gt;"",Y3778,IF(U3778&lt;&gt;"",U3778,S3778))</f>
        <v/>
      </c>
      <c r="AE3778">
        <f>IF(AB3778&lt;&gt;"",AB3778,Z3778)</f>
        <v/>
      </c>
    </row>
    <row r="3779">
      <c r="AC3779">
        <f>IF(OR(E3779="",E3779="[PARENT]"),"ADD",IF(E3779="[ALT_VIEW]","ALT",""))</f>
        <v/>
      </c>
      <c r="AD3779">
        <f>IF(Y3779&lt;&gt;"",Y3779,IF(U3779&lt;&gt;"",U3779,S3779))</f>
        <v/>
      </c>
      <c r="AE3779">
        <f>IF(AB3779&lt;&gt;"",AB3779,Z3779)</f>
        <v/>
      </c>
    </row>
    <row r="3780">
      <c r="AC3780">
        <f>IF(OR(E3780="",E3780="[PARENT]"),"ADD",IF(E3780="[ALT_VIEW]","ALT",""))</f>
        <v/>
      </c>
      <c r="AD3780">
        <f>IF(Y3780&lt;&gt;"",Y3780,IF(U3780&lt;&gt;"",U3780,S3780))</f>
        <v/>
      </c>
      <c r="AE3780">
        <f>IF(AB3780&lt;&gt;"",AB3780,Z3780)</f>
        <v/>
      </c>
    </row>
    <row r="3781">
      <c r="AC3781">
        <f>IF(OR(E3781="",E3781="[PARENT]"),"ADD",IF(E3781="[ALT_VIEW]","ALT",""))</f>
        <v/>
      </c>
      <c r="AD3781">
        <f>IF(Y3781&lt;&gt;"",Y3781,IF(U3781&lt;&gt;"",U3781,S3781))</f>
        <v/>
      </c>
      <c r="AE3781">
        <f>IF(AB3781&lt;&gt;"",AB3781,Z3781)</f>
        <v/>
      </c>
    </row>
    <row r="3782">
      <c r="AC3782">
        <f>IF(OR(E3782="",E3782="[PARENT]"),"ADD",IF(E3782="[ALT_VIEW]","ALT",""))</f>
        <v/>
      </c>
      <c r="AD3782">
        <f>IF(Y3782&lt;&gt;"",Y3782,IF(U3782&lt;&gt;"",U3782,S3782))</f>
        <v/>
      </c>
      <c r="AE3782">
        <f>IF(AB3782&lt;&gt;"",AB3782,Z3782)</f>
        <v/>
      </c>
    </row>
    <row r="3783">
      <c r="AC3783">
        <f>IF(OR(E3783="",E3783="[PARENT]"),"ADD",IF(E3783="[ALT_VIEW]","ALT",""))</f>
        <v/>
      </c>
      <c r="AD3783">
        <f>IF(Y3783&lt;&gt;"",Y3783,IF(U3783&lt;&gt;"",U3783,S3783))</f>
        <v/>
      </c>
      <c r="AE3783">
        <f>IF(AB3783&lt;&gt;"",AB3783,Z3783)</f>
        <v/>
      </c>
    </row>
    <row r="3784">
      <c r="AC3784">
        <f>IF(OR(E3784="",E3784="[PARENT]"),"ADD",IF(E3784="[ALT_VIEW]","ALT",""))</f>
        <v/>
      </c>
      <c r="AD3784">
        <f>IF(Y3784&lt;&gt;"",Y3784,IF(U3784&lt;&gt;"",U3784,S3784))</f>
        <v/>
      </c>
      <c r="AE3784">
        <f>IF(AB3784&lt;&gt;"",AB3784,Z3784)</f>
        <v/>
      </c>
    </row>
    <row r="3785">
      <c r="AC3785">
        <f>IF(OR(E3785="",E3785="[PARENT]"),"ADD",IF(E3785="[ALT_VIEW]","ALT",""))</f>
        <v/>
      </c>
      <c r="AD3785">
        <f>IF(Y3785&lt;&gt;"",Y3785,IF(U3785&lt;&gt;"",U3785,S3785))</f>
        <v/>
      </c>
      <c r="AE3785">
        <f>IF(AB3785&lt;&gt;"",AB3785,Z3785)</f>
        <v/>
      </c>
    </row>
    <row r="3786">
      <c r="AC3786">
        <f>IF(OR(E3786="",E3786="[PARENT]"),"ADD",IF(E3786="[ALT_VIEW]","ALT",""))</f>
        <v/>
      </c>
      <c r="AD3786">
        <f>IF(Y3786&lt;&gt;"",Y3786,IF(U3786&lt;&gt;"",U3786,S3786))</f>
        <v/>
      </c>
      <c r="AE3786">
        <f>IF(AB3786&lt;&gt;"",AB3786,Z3786)</f>
        <v/>
      </c>
    </row>
    <row r="3787">
      <c r="AC3787">
        <f>IF(OR(E3787="",E3787="[PARENT]"),"ADD",IF(E3787="[ALT_VIEW]","ALT",""))</f>
        <v/>
      </c>
      <c r="AD3787">
        <f>IF(Y3787&lt;&gt;"",Y3787,IF(U3787&lt;&gt;"",U3787,S3787))</f>
        <v/>
      </c>
      <c r="AE3787">
        <f>IF(AB3787&lt;&gt;"",AB3787,Z3787)</f>
        <v/>
      </c>
    </row>
    <row r="3788">
      <c r="AC3788">
        <f>IF(OR(E3788="",E3788="[PARENT]"),"ADD",IF(E3788="[ALT_VIEW]","ALT",""))</f>
        <v/>
      </c>
      <c r="AD3788">
        <f>IF(Y3788&lt;&gt;"",Y3788,IF(U3788&lt;&gt;"",U3788,S3788))</f>
        <v/>
      </c>
      <c r="AE3788">
        <f>IF(AB3788&lt;&gt;"",AB3788,Z3788)</f>
        <v/>
      </c>
    </row>
    <row r="3789">
      <c r="AC3789">
        <f>IF(OR(E3789="",E3789="[PARENT]"),"ADD",IF(E3789="[ALT_VIEW]","ALT",""))</f>
        <v/>
      </c>
      <c r="AD3789">
        <f>IF(Y3789&lt;&gt;"",Y3789,IF(U3789&lt;&gt;"",U3789,S3789))</f>
        <v/>
      </c>
      <c r="AE3789">
        <f>IF(AB3789&lt;&gt;"",AB3789,Z3789)</f>
        <v/>
      </c>
    </row>
    <row r="3790">
      <c r="AC3790">
        <f>IF(OR(E3790="",E3790="[PARENT]"),"ADD",IF(E3790="[ALT_VIEW]","ALT",""))</f>
        <v/>
      </c>
      <c r="AD3790">
        <f>IF(Y3790&lt;&gt;"",Y3790,IF(U3790&lt;&gt;"",U3790,S3790))</f>
        <v/>
      </c>
      <c r="AE3790">
        <f>IF(AB3790&lt;&gt;"",AB3790,Z3790)</f>
        <v/>
      </c>
    </row>
    <row r="3791">
      <c r="AC3791">
        <f>IF(OR(E3791="",E3791="[PARENT]"),"ADD",IF(E3791="[ALT_VIEW]","ALT",""))</f>
        <v/>
      </c>
      <c r="AD3791">
        <f>IF(Y3791&lt;&gt;"",Y3791,IF(U3791&lt;&gt;"",U3791,S3791))</f>
        <v/>
      </c>
      <c r="AE3791">
        <f>IF(AB3791&lt;&gt;"",AB3791,Z3791)</f>
        <v/>
      </c>
    </row>
    <row r="3792">
      <c r="AC3792">
        <f>IF(OR(E3792="",E3792="[PARENT]"),"ADD",IF(E3792="[ALT_VIEW]","ALT",""))</f>
        <v/>
      </c>
      <c r="AD3792">
        <f>IF(Y3792&lt;&gt;"",Y3792,IF(U3792&lt;&gt;"",U3792,S3792))</f>
        <v/>
      </c>
      <c r="AE3792">
        <f>IF(AB3792&lt;&gt;"",AB3792,Z3792)</f>
        <v/>
      </c>
    </row>
    <row r="3793">
      <c r="AC3793">
        <f>IF(OR(E3793="",E3793="[PARENT]"),"ADD",IF(E3793="[ALT_VIEW]","ALT",""))</f>
        <v/>
      </c>
      <c r="AD3793">
        <f>IF(Y3793&lt;&gt;"",Y3793,IF(U3793&lt;&gt;"",U3793,S3793))</f>
        <v/>
      </c>
      <c r="AE3793">
        <f>IF(AB3793&lt;&gt;"",AB3793,Z3793)</f>
        <v/>
      </c>
    </row>
    <row r="3794">
      <c r="AC3794">
        <f>IF(OR(E3794="",E3794="[PARENT]"),"ADD",IF(E3794="[ALT_VIEW]","ALT",""))</f>
        <v/>
      </c>
      <c r="AD3794">
        <f>IF(Y3794&lt;&gt;"",Y3794,IF(U3794&lt;&gt;"",U3794,S3794))</f>
        <v/>
      </c>
      <c r="AE3794">
        <f>IF(AB3794&lt;&gt;"",AB3794,Z3794)</f>
        <v/>
      </c>
    </row>
    <row r="3795">
      <c r="AC3795">
        <f>IF(OR(E3795="",E3795="[PARENT]"),"ADD",IF(E3795="[ALT_VIEW]","ALT",""))</f>
        <v/>
      </c>
      <c r="AD3795">
        <f>IF(Y3795&lt;&gt;"",Y3795,IF(U3795&lt;&gt;"",U3795,S3795))</f>
        <v/>
      </c>
      <c r="AE3795">
        <f>IF(AB3795&lt;&gt;"",AB3795,Z3795)</f>
        <v/>
      </c>
    </row>
    <row r="3796">
      <c r="AC3796">
        <f>IF(OR(E3796="",E3796="[PARENT]"),"ADD",IF(E3796="[ALT_VIEW]","ALT",""))</f>
        <v/>
      </c>
      <c r="AD3796">
        <f>IF(Y3796&lt;&gt;"",Y3796,IF(U3796&lt;&gt;"",U3796,S3796))</f>
        <v/>
      </c>
      <c r="AE3796">
        <f>IF(AB3796&lt;&gt;"",AB3796,Z3796)</f>
        <v/>
      </c>
    </row>
    <row r="3797">
      <c r="AC3797">
        <f>IF(OR(E3797="",E3797="[PARENT]"),"ADD",IF(E3797="[ALT_VIEW]","ALT",""))</f>
        <v/>
      </c>
      <c r="AD3797">
        <f>IF(Y3797&lt;&gt;"",Y3797,IF(U3797&lt;&gt;"",U3797,S3797))</f>
        <v/>
      </c>
      <c r="AE3797">
        <f>IF(AB3797&lt;&gt;"",AB3797,Z3797)</f>
        <v/>
      </c>
    </row>
    <row r="3798">
      <c r="AC3798">
        <f>IF(OR(E3798="",E3798="[PARENT]"),"ADD",IF(E3798="[ALT_VIEW]","ALT",""))</f>
        <v/>
      </c>
      <c r="AD3798">
        <f>IF(Y3798&lt;&gt;"",Y3798,IF(U3798&lt;&gt;"",U3798,S3798))</f>
        <v/>
      </c>
      <c r="AE3798">
        <f>IF(AB3798&lt;&gt;"",AB3798,Z3798)</f>
        <v/>
      </c>
    </row>
    <row r="3799">
      <c r="AC3799">
        <f>IF(OR(E3799="",E3799="[PARENT]"),"ADD",IF(E3799="[ALT_VIEW]","ALT",""))</f>
        <v/>
      </c>
      <c r="AD3799">
        <f>IF(Y3799&lt;&gt;"",Y3799,IF(U3799&lt;&gt;"",U3799,S3799))</f>
        <v/>
      </c>
      <c r="AE3799">
        <f>IF(AB3799&lt;&gt;"",AB3799,Z3799)</f>
        <v/>
      </c>
    </row>
    <row r="3800">
      <c r="AC3800">
        <f>IF(OR(E3800="",E3800="[PARENT]"),"ADD",IF(E3800="[ALT_VIEW]","ALT",""))</f>
        <v/>
      </c>
      <c r="AD3800">
        <f>IF(Y3800&lt;&gt;"",Y3800,IF(U3800&lt;&gt;"",U3800,S3800))</f>
        <v/>
      </c>
      <c r="AE3800">
        <f>IF(AB3800&lt;&gt;"",AB3800,Z3800)</f>
        <v/>
      </c>
    </row>
    <row r="3801">
      <c r="AC3801">
        <f>IF(OR(E3801="",E3801="[PARENT]"),"ADD",IF(E3801="[ALT_VIEW]","ALT",""))</f>
        <v/>
      </c>
      <c r="AD3801">
        <f>IF(Y3801&lt;&gt;"",Y3801,IF(U3801&lt;&gt;"",U3801,S3801))</f>
        <v/>
      </c>
      <c r="AE3801">
        <f>IF(AB3801&lt;&gt;"",AB3801,Z3801)</f>
        <v/>
      </c>
    </row>
    <row r="3802">
      <c r="AC3802">
        <f>IF(OR(E3802="",E3802="[PARENT]"),"ADD",IF(E3802="[ALT_VIEW]","ALT",""))</f>
        <v/>
      </c>
      <c r="AD3802">
        <f>IF(Y3802&lt;&gt;"",Y3802,IF(U3802&lt;&gt;"",U3802,S3802))</f>
        <v/>
      </c>
      <c r="AE3802">
        <f>IF(AB3802&lt;&gt;"",AB3802,Z3802)</f>
        <v/>
      </c>
    </row>
    <row r="3803">
      <c r="AC3803">
        <f>IF(OR(E3803="",E3803="[PARENT]"),"ADD",IF(E3803="[ALT_VIEW]","ALT",""))</f>
        <v/>
      </c>
      <c r="AD3803">
        <f>IF(Y3803&lt;&gt;"",Y3803,IF(U3803&lt;&gt;"",U3803,S3803))</f>
        <v/>
      </c>
      <c r="AE3803">
        <f>IF(AB3803&lt;&gt;"",AB3803,Z3803)</f>
        <v/>
      </c>
    </row>
    <row r="3804">
      <c r="AC3804">
        <f>IF(OR(E3804="",E3804="[PARENT]"),"ADD",IF(E3804="[ALT_VIEW]","ALT",""))</f>
        <v/>
      </c>
      <c r="AD3804">
        <f>IF(Y3804&lt;&gt;"",Y3804,IF(U3804&lt;&gt;"",U3804,S3804))</f>
        <v/>
      </c>
      <c r="AE3804">
        <f>IF(AB3804&lt;&gt;"",AB3804,Z3804)</f>
        <v/>
      </c>
    </row>
    <row r="3805">
      <c r="AC3805">
        <f>IF(OR(E3805="",E3805="[PARENT]"),"ADD",IF(E3805="[ALT_VIEW]","ALT",""))</f>
        <v/>
      </c>
      <c r="AD3805">
        <f>IF(Y3805&lt;&gt;"",Y3805,IF(U3805&lt;&gt;"",U3805,S3805))</f>
        <v/>
      </c>
      <c r="AE3805">
        <f>IF(AB3805&lt;&gt;"",AB3805,Z3805)</f>
        <v/>
      </c>
    </row>
    <row r="3806">
      <c r="AC3806">
        <f>IF(OR(E3806="",E3806="[PARENT]"),"ADD",IF(E3806="[ALT_VIEW]","ALT",""))</f>
        <v/>
      </c>
      <c r="AD3806">
        <f>IF(Y3806&lt;&gt;"",Y3806,IF(U3806&lt;&gt;"",U3806,S3806))</f>
        <v/>
      </c>
      <c r="AE3806">
        <f>IF(AB3806&lt;&gt;"",AB3806,Z3806)</f>
        <v/>
      </c>
    </row>
    <row r="3807">
      <c r="AC3807">
        <f>IF(OR(E3807="",E3807="[PARENT]"),"ADD",IF(E3807="[ALT_VIEW]","ALT",""))</f>
        <v/>
      </c>
      <c r="AD3807">
        <f>IF(Y3807&lt;&gt;"",Y3807,IF(U3807&lt;&gt;"",U3807,S3807))</f>
        <v/>
      </c>
      <c r="AE3807">
        <f>IF(AB3807&lt;&gt;"",AB3807,Z3807)</f>
        <v/>
      </c>
    </row>
    <row r="3808">
      <c r="AC3808">
        <f>IF(OR(E3808="",E3808="[PARENT]"),"ADD",IF(E3808="[ALT_VIEW]","ALT",""))</f>
        <v/>
      </c>
      <c r="AD3808">
        <f>IF(Y3808&lt;&gt;"",Y3808,IF(U3808&lt;&gt;"",U3808,S3808))</f>
        <v/>
      </c>
      <c r="AE3808">
        <f>IF(AB3808&lt;&gt;"",AB3808,Z3808)</f>
        <v/>
      </c>
    </row>
    <row r="3809">
      <c r="AC3809">
        <f>IF(OR(E3809="",E3809="[PARENT]"),"ADD",IF(E3809="[ALT_VIEW]","ALT",""))</f>
        <v/>
      </c>
      <c r="AD3809">
        <f>IF(Y3809&lt;&gt;"",Y3809,IF(U3809&lt;&gt;"",U3809,S3809))</f>
        <v/>
      </c>
      <c r="AE3809">
        <f>IF(AB3809&lt;&gt;"",AB3809,Z3809)</f>
        <v/>
      </c>
    </row>
    <row r="3810">
      <c r="AC3810">
        <f>IF(OR(E3810="",E3810="[PARENT]"),"ADD",IF(E3810="[ALT_VIEW]","ALT",""))</f>
        <v/>
      </c>
      <c r="AD3810">
        <f>IF(Y3810&lt;&gt;"",Y3810,IF(U3810&lt;&gt;"",U3810,S3810))</f>
        <v/>
      </c>
      <c r="AE3810">
        <f>IF(AB3810&lt;&gt;"",AB3810,Z3810)</f>
        <v/>
      </c>
    </row>
    <row r="3811">
      <c r="AC3811">
        <f>IF(OR(E3811="",E3811="[PARENT]"),"ADD",IF(E3811="[ALT_VIEW]","ALT",""))</f>
        <v/>
      </c>
      <c r="AD3811">
        <f>IF(Y3811&lt;&gt;"",Y3811,IF(U3811&lt;&gt;"",U3811,S3811))</f>
        <v/>
      </c>
      <c r="AE3811">
        <f>IF(AB3811&lt;&gt;"",AB3811,Z3811)</f>
        <v/>
      </c>
    </row>
    <row r="3812">
      <c r="AC3812">
        <f>IF(OR(E3812="",E3812="[PARENT]"),"ADD",IF(E3812="[ALT_VIEW]","ALT",""))</f>
        <v/>
      </c>
      <c r="AD3812">
        <f>IF(Y3812&lt;&gt;"",Y3812,IF(U3812&lt;&gt;"",U3812,S3812))</f>
        <v/>
      </c>
      <c r="AE3812">
        <f>IF(AB3812&lt;&gt;"",AB3812,Z3812)</f>
        <v/>
      </c>
    </row>
    <row r="3813">
      <c r="AC3813">
        <f>IF(OR(E3813="",E3813="[PARENT]"),"ADD",IF(E3813="[ALT_VIEW]","ALT",""))</f>
        <v/>
      </c>
      <c r="AD3813">
        <f>IF(Y3813&lt;&gt;"",Y3813,IF(U3813&lt;&gt;"",U3813,S3813))</f>
        <v/>
      </c>
      <c r="AE3813">
        <f>IF(AB3813&lt;&gt;"",AB3813,Z3813)</f>
        <v/>
      </c>
    </row>
    <row r="3814">
      <c r="AC3814">
        <f>IF(OR(E3814="",E3814="[PARENT]"),"ADD",IF(E3814="[ALT_VIEW]","ALT",""))</f>
        <v/>
      </c>
      <c r="AD3814">
        <f>IF(Y3814&lt;&gt;"",Y3814,IF(U3814&lt;&gt;"",U3814,S3814))</f>
        <v/>
      </c>
      <c r="AE3814">
        <f>IF(AB3814&lt;&gt;"",AB3814,Z3814)</f>
        <v/>
      </c>
    </row>
    <row r="3815">
      <c r="AC3815">
        <f>IF(OR(E3815="",E3815="[PARENT]"),"ADD",IF(E3815="[ALT_VIEW]","ALT",""))</f>
        <v/>
      </c>
      <c r="AD3815">
        <f>IF(Y3815&lt;&gt;"",Y3815,IF(U3815&lt;&gt;"",U3815,S3815))</f>
        <v/>
      </c>
      <c r="AE3815">
        <f>IF(AB3815&lt;&gt;"",AB3815,Z3815)</f>
        <v/>
      </c>
    </row>
    <row r="3816">
      <c r="AC3816">
        <f>IF(OR(E3816="",E3816="[PARENT]"),"ADD",IF(E3816="[ALT_VIEW]","ALT",""))</f>
        <v/>
      </c>
      <c r="AD3816">
        <f>IF(Y3816&lt;&gt;"",Y3816,IF(U3816&lt;&gt;"",U3816,S3816))</f>
        <v/>
      </c>
      <c r="AE3816">
        <f>IF(AB3816&lt;&gt;"",AB3816,Z3816)</f>
        <v/>
      </c>
    </row>
    <row r="3817">
      <c r="AC3817">
        <f>IF(OR(E3817="",E3817="[PARENT]"),"ADD",IF(E3817="[ALT_VIEW]","ALT",""))</f>
        <v/>
      </c>
      <c r="AD3817">
        <f>IF(Y3817&lt;&gt;"",Y3817,IF(U3817&lt;&gt;"",U3817,S3817))</f>
        <v/>
      </c>
      <c r="AE3817">
        <f>IF(AB3817&lt;&gt;"",AB3817,Z3817)</f>
        <v/>
      </c>
    </row>
    <row r="3818">
      <c r="AC3818">
        <f>IF(OR(E3818="",E3818="[PARENT]"),"ADD",IF(E3818="[ALT_VIEW]","ALT",""))</f>
        <v/>
      </c>
      <c r="AD3818">
        <f>IF(Y3818&lt;&gt;"",Y3818,IF(U3818&lt;&gt;"",U3818,S3818))</f>
        <v/>
      </c>
      <c r="AE3818">
        <f>IF(AB3818&lt;&gt;"",AB3818,Z3818)</f>
        <v/>
      </c>
    </row>
    <row r="3819">
      <c r="AC3819">
        <f>IF(OR(E3819="",E3819="[PARENT]"),"ADD",IF(E3819="[ALT_VIEW]","ALT",""))</f>
        <v/>
      </c>
      <c r="AD3819">
        <f>IF(Y3819&lt;&gt;"",Y3819,IF(U3819&lt;&gt;"",U3819,S3819))</f>
        <v/>
      </c>
      <c r="AE3819">
        <f>IF(AB3819&lt;&gt;"",AB3819,Z3819)</f>
        <v/>
      </c>
    </row>
    <row r="3820">
      <c r="AC3820">
        <f>IF(OR(E3820="",E3820="[PARENT]"),"ADD",IF(E3820="[ALT_VIEW]","ALT",""))</f>
        <v/>
      </c>
      <c r="AD3820">
        <f>IF(Y3820&lt;&gt;"",Y3820,IF(U3820&lt;&gt;"",U3820,S3820))</f>
        <v/>
      </c>
      <c r="AE3820">
        <f>IF(AB3820&lt;&gt;"",AB3820,Z3820)</f>
        <v/>
      </c>
    </row>
    <row r="3821">
      <c r="AC3821">
        <f>IF(OR(E3821="",E3821="[PARENT]"),"ADD",IF(E3821="[ALT_VIEW]","ALT",""))</f>
        <v/>
      </c>
      <c r="AD3821">
        <f>IF(Y3821&lt;&gt;"",Y3821,IF(U3821&lt;&gt;"",U3821,S3821))</f>
        <v/>
      </c>
      <c r="AE3821">
        <f>IF(AB3821&lt;&gt;"",AB3821,Z3821)</f>
        <v/>
      </c>
    </row>
    <row r="3822">
      <c r="AC3822">
        <f>IF(OR(E3822="",E3822="[PARENT]"),"ADD",IF(E3822="[ALT_VIEW]","ALT",""))</f>
        <v/>
      </c>
      <c r="AD3822">
        <f>IF(Y3822&lt;&gt;"",Y3822,IF(U3822&lt;&gt;"",U3822,S3822))</f>
        <v/>
      </c>
      <c r="AE3822">
        <f>IF(AB3822&lt;&gt;"",AB3822,Z3822)</f>
        <v/>
      </c>
    </row>
    <row r="3823">
      <c r="AC3823">
        <f>IF(OR(E3823="",E3823="[PARENT]"),"ADD",IF(E3823="[ALT_VIEW]","ALT",""))</f>
        <v/>
      </c>
      <c r="AD3823">
        <f>IF(Y3823&lt;&gt;"",Y3823,IF(U3823&lt;&gt;"",U3823,S3823))</f>
        <v/>
      </c>
      <c r="AE3823">
        <f>IF(AB3823&lt;&gt;"",AB3823,Z3823)</f>
        <v/>
      </c>
    </row>
    <row r="3824">
      <c r="AC3824">
        <f>IF(OR(E3824="",E3824="[PARENT]"),"ADD",IF(E3824="[ALT_VIEW]","ALT",""))</f>
        <v/>
      </c>
      <c r="AD3824">
        <f>IF(Y3824&lt;&gt;"",Y3824,IF(U3824&lt;&gt;"",U3824,S3824))</f>
        <v/>
      </c>
      <c r="AE3824">
        <f>IF(AB3824&lt;&gt;"",AB3824,Z3824)</f>
        <v/>
      </c>
    </row>
    <row r="3825">
      <c r="AC3825">
        <f>IF(OR(E3825="",E3825="[PARENT]"),"ADD",IF(E3825="[ALT_VIEW]","ALT",""))</f>
        <v/>
      </c>
      <c r="AD3825">
        <f>IF(Y3825&lt;&gt;"",Y3825,IF(U3825&lt;&gt;"",U3825,S3825))</f>
        <v/>
      </c>
      <c r="AE3825">
        <f>IF(AB3825&lt;&gt;"",AB3825,Z3825)</f>
        <v/>
      </c>
    </row>
    <row r="3826">
      <c r="AC3826">
        <f>IF(OR(E3826="",E3826="[PARENT]"),"ADD",IF(E3826="[ALT_VIEW]","ALT",""))</f>
        <v/>
      </c>
      <c r="AD3826">
        <f>IF(Y3826&lt;&gt;"",Y3826,IF(U3826&lt;&gt;"",U3826,S3826))</f>
        <v/>
      </c>
      <c r="AE3826">
        <f>IF(AB3826&lt;&gt;"",AB3826,Z3826)</f>
        <v/>
      </c>
    </row>
    <row r="3827">
      <c r="AC3827">
        <f>IF(OR(E3827="",E3827="[PARENT]"),"ADD",IF(E3827="[ALT_VIEW]","ALT",""))</f>
        <v/>
      </c>
      <c r="AD3827">
        <f>IF(Y3827&lt;&gt;"",Y3827,IF(U3827&lt;&gt;"",U3827,S3827))</f>
        <v/>
      </c>
      <c r="AE3827">
        <f>IF(AB3827&lt;&gt;"",AB3827,Z3827)</f>
        <v/>
      </c>
    </row>
    <row r="3828">
      <c r="AC3828">
        <f>IF(OR(E3828="",E3828="[PARENT]"),"ADD",IF(E3828="[ALT_VIEW]","ALT",""))</f>
        <v/>
      </c>
      <c r="AD3828">
        <f>IF(Y3828&lt;&gt;"",Y3828,IF(U3828&lt;&gt;"",U3828,S3828))</f>
        <v/>
      </c>
      <c r="AE3828">
        <f>IF(AB3828&lt;&gt;"",AB3828,Z3828)</f>
        <v/>
      </c>
    </row>
    <row r="3829">
      <c r="AC3829">
        <f>IF(OR(E3829="",E3829="[PARENT]"),"ADD",IF(E3829="[ALT_VIEW]","ALT",""))</f>
        <v/>
      </c>
      <c r="AD3829">
        <f>IF(Y3829&lt;&gt;"",Y3829,IF(U3829&lt;&gt;"",U3829,S3829))</f>
        <v/>
      </c>
      <c r="AE3829">
        <f>IF(AB3829&lt;&gt;"",AB3829,Z3829)</f>
        <v/>
      </c>
    </row>
    <row r="3830">
      <c r="AC3830">
        <f>IF(OR(E3830="",E3830="[PARENT]"),"ADD",IF(E3830="[ALT_VIEW]","ALT",""))</f>
        <v/>
      </c>
      <c r="AD3830">
        <f>IF(Y3830&lt;&gt;"",Y3830,IF(U3830&lt;&gt;"",U3830,S3830))</f>
        <v/>
      </c>
      <c r="AE3830">
        <f>IF(AB3830&lt;&gt;"",AB3830,Z3830)</f>
        <v/>
      </c>
    </row>
    <row r="3831">
      <c r="AC3831">
        <f>IF(OR(E3831="",E3831="[PARENT]"),"ADD",IF(E3831="[ALT_VIEW]","ALT",""))</f>
        <v/>
      </c>
      <c r="AD3831">
        <f>IF(Y3831&lt;&gt;"",Y3831,IF(U3831&lt;&gt;"",U3831,S3831))</f>
        <v/>
      </c>
      <c r="AE3831">
        <f>IF(AB3831&lt;&gt;"",AB3831,Z3831)</f>
        <v/>
      </c>
    </row>
    <row r="3832">
      <c r="AC3832">
        <f>IF(OR(E3832="",E3832="[PARENT]"),"ADD",IF(E3832="[ALT_VIEW]","ALT",""))</f>
        <v/>
      </c>
      <c r="AD3832">
        <f>IF(Y3832&lt;&gt;"",Y3832,IF(U3832&lt;&gt;"",U3832,S3832))</f>
        <v/>
      </c>
      <c r="AE3832">
        <f>IF(AB3832&lt;&gt;"",AB3832,Z3832)</f>
        <v/>
      </c>
    </row>
    <row r="3833">
      <c r="AC3833">
        <f>IF(OR(E3833="",E3833="[PARENT]"),"ADD",IF(E3833="[ALT_VIEW]","ALT",""))</f>
        <v/>
      </c>
      <c r="AD3833">
        <f>IF(Y3833&lt;&gt;"",Y3833,IF(U3833&lt;&gt;"",U3833,S3833))</f>
        <v/>
      </c>
      <c r="AE3833">
        <f>IF(AB3833&lt;&gt;"",AB3833,Z3833)</f>
        <v/>
      </c>
    </row>
    <row r="3834">
      <c r="AC3834">
        <f>IF(OR(E3834="",E3834="[PARENT]"),"ADD",IF(E3834="[ALT_VIEW]","ALT",""))</f>
        <v/>
      </c>
      <c r="AD3834">
        <f>IF(Y3834&lt;&gt;"",Y3834,IF(U3834&lt;&gt;"",U3834,S3834))</f>
        <v/>
      </c>
      <c r="AE3834">
        <f>IF(AB3834&lt;&gt;"",AB3834,Z3834)</f>
        <v/>
      </c>
    </row>
    <row r="3835">
      <c r="AC3835">
        <f>IF(OR(E3835="",E3835="[PARENT]"),"ADD",IF(E3835="[ALT_VIEW]","ALT",""))</f>
        <v/>
      </c>
      <c r="AD3835">
        <f>IF(Y3835&lt;&gt;"",Y3835,IF(U3835&lt;&gt;"",U3835,S3835))</f>
        <v/>
      </c>
      <c r="AE3835">
        <f>IF(AB3835&lt;&gt;"",AB3835,Z3835)</f>
        <v/>
      </c>
    </row>
    <row r="3836">
      <c r="AC3836">
        <f>IF(OR(E3836="",E3836="[PARENT]"),"ADD",IF(E3836="[ALT_VIEW]","ALT",""))</f>
        <v/>
      </c>
      <c r="AD3836">
        <f>IF(Y3836&lt;&gt;"",Y3836,IF(U3836&lt;&gt;"",U3836,S3836))</f>
        <v/>
      </c>
      <c r="AE3836">
        <f>IF(AB3836&lt;&gt;"",AB3836,Z3836)</f>
        <v/>
      </c>
    </row>
    <row r="3837">
      <c r="AC3837">
        <f>IF(OR(E3837="",E3837="[PARENT]"),"ADD",IF(E3837="[ALT_VIEW]","ALT",""))</f>
        <v/>
      </c>
      <c r="AD3837">
        <f>IF(Y3837&lt;&gt;"",Y3837,IF(U3837&lt;&gt;"",U3837,S3837))</f>
        <v/>
      </c>
      <c r="AE3837">
        <f>IF(AB3837&lt;&gt;"",AB3837,Z3837)</f>
        <v/>
      </c>
    </row>
    <row r="3838">
      <c r="AC3838">
        <f>IF(OR(E3838="",E3838="[PARENT]"),"ADD",IF(E3838="[ALT_VIEW]","ALT",""))</f>
        <v/>
      </c>
      <c r="AD3838">
        <f>IF(Y3838&lt;&gt;"",Y3838,IF(U3838&lt;&gt;"",U3838,S3838))</f>
        <v/>
      </c>
      <c r="AE3838">
        <f>IF(AB3838&lt;&gt;"",AB3838,Z3838)</f>
        <v/>
      </c>
    </row>
    <row r="3839">
      <c r="AC3839">
        <f>IF(OR(E3839="",E3839="[PARENT]"),"ADD",IF(E3839="[ALT_VIEW]","ALT",""))</f>
        <v/>
      </c>
      <c r="AD3839">
        <f>IF(Y3839&lt;&gt;"",Y3839,IF(U3839&lt;&gt;"",U3839,S3839))</f>
        <v/>
      </c>
      <c r="AE3839">
        <f>IF(AB3839&lt;&gt;"",AB3839,Z3839)</f>
        <v/>
      </c>
    </row>
    <row r="3840">
      <c r="AC3840">
        <f>IF(OR(E3840="",E3840="[PARENT]"),"ADD",IF(E3840="[ALT_VIEW]","ALT",""))</f>
        <v/>
      </c>
      <c r="AD3840">
        <f>IF(Y3840&lt;&gt;"",Y3840,IF(U3840&lt;&gt;"",U3840,S3840))</f>
        <v/>
      </c>
      <c r="AE3840">
        <f>IF(AB3840&lt;&gt;"",AB3840,Z3840)</f>
        <v/>
      </c>
    </row>
    <row r="3841">
      <c r="AC3841">
        <f>IF(OR(E3841="",E3841="[PARENT]"),"ADD",IF(E3841="[ALT_VIEW]","ALT",""))</f>
        <v/>
      </c>
      <c r="AD3841">
        <f>IF(Y3841&lt;&gt;"",Y3841,IF(U3841&lt;&gt;"",U3841,S3841))</f>
        <v/>
      </c>
      <c r="AE3841">
        <f>IF(AB3841&lt;&gt;"",AB3841,Z3841)</f>
        <v/>
      </c>
    </row>
    <row r="3842">
      <c r="AC3842">
        <f>IF(OR(E3842="",E3842="[PARENT]"),"ADD",IF(E3842="[ALT_VIEW]","ALT",""))</f>
        <v/>
      </c>
      <c r="AD3842">
        <f>IF(Y3842&lt;&gt;"",Y3842,IF(U3842&lt;&gt;"",U3842,S3842))</f>
        <v/>
      </c>
      <c r="AE3842">
        <f>IF(AB3842&lt;&gt;"",AB3842,Z3842)</f>
        <v/>
      </c>
    </row>
    <row r="3843">
      <c r="AC3843">
        <f>IF(OR(E3843="",E3843="[PARENT]"),"ADD",IF(E3843="[ALT_VIEW]","ALT",""))</f>
        <v/>
      </c>
      <c r="AD3843">
        <f>IF(Y3843&lt;&gt;"",Y3843,IF(U3843&lt;&gt;"",U3843,S3843))</f>
        <v/>
      </c>
      <c r="AE3843">
        <f>IF(AB3843&lt;&gt;"",AB3843,Z3843)</f>
        <v/>
      </c>
    </row>
    <row r="3844">
      <c r="AC3844">
        <f>IF(OR(E3844="",E3844="[PARENT]"),"ADD",IF(E3844="[ALT_VIEW]","ALT",""))</f>
        <v/>
      </c>
      <c r="AD3844">
        <f>IF(Y3844&lt;&gt;"",Y3844,IF(U3844&lt;&gt;"",U3844,S3844))</f>
        <v/>
      </c>
      <c r="AE3844">
        <f>IF(AB3844&lt;&gt;"",AB3844,Z3844)</f>
        <v/>
      </c>
    </row>
    <row r="3845">
      <c r="AC3845">
        <f>IF(OR(E3845="",E3845="[PARENT]"),"ADD",IF(E3845="[ALT_VIEW]","ALT",""))</f>
        <v/>
      </c>
      <c r="AD3845">
        <f>IF(Y3845&lt;&gt;"",Y3845,IF(U3845&lt;&gt;"",U3845,S3845))</f>
        <v/>
      </c>
      <c r="AE3845">
        <f>IF(AB3845&lt;&gt;"",AB3845,Z3845)</f>
        <v/>
      </c>
    </row>
    <row r="3846">
      <c r="AC3846">
        <f>IF(OR(E3846="",E3846="[PARENT]"),"ADD",IF(E3846="[ALT_VIEW]","ALT",""))</f>
        <v/>
      </c>
      <c r="AD3846">
        <f>IF(Y3846&lt;&gt;"",Y3846,IF(U3846&lt;&gt;"",U3846,S3846))</f>
        <v/>
      </c>
      <c r="AE3846">
        <f>IF(AB3846&lt;&gt;"",AB3846,Z3846)</f>
        <v/>
      </c>
    </row>
    <row r="3847">
      <c r="AC3847">
        <f>IF(OR(E3847="",E3847="[PARENT]"),"ADD",IF(E3847="[ALT_VIEW]","ALT",""))</f>
        <v/>
      </c>
      <c r="AD3847">
        <f>IF(Y3847&lt;&gt;"",Y3847,IF(U3847&lt;&gt;"",U3847,S3847))</f>
        <v/>
      </c>
      <c r="AE3847">
        <f>IF(AB3847&lt;&gt;"",AB3847,Z3847)</f>
        <v/>
      </c>
    </row>
    <row r="3848">
      <c r="AC3848">
        <f>IF(OR(E3848="",E3848="[PARENT]"),"ADD",IF(E3848="[ALT_VIEW]","ALT",""))</f>
        <v/>
      </c>
      <c r="AD3848">
        <f>IF(Y3848&lt;&gt;"",Y3848,IF(U3848&lt;&gt;"",U3848,S3848))</f>
        <v/>
      </c>
      <c r="AE3848">
        <f>IF(AB3848&lt;&gt;"",AB3848,Z3848)</f>
        <v/>
      </c>
    </row>
    <row r="3849">
      <c r="AC3849">
        <f>IF(OR(E3849="",E3849="[PARENT]"),"ADD",IF(E3849="[ALT_VIEW]","ALT",""))</f>
        <v/>
      </c>
      <c r="AD3849">
        <f>IF(Y3849&lt;&gt;"",Y3849,IF(U3849&lt;&gt;"",U3849,S3849))</f>
        <v/>
      </c>
      <c r="AE3849">
        <f>IF(AB3849&lt;&gt;"",AB3849,Z3849)</f>
        <v/>
      </c>
    </row>
    <row r="3850">
      <c r="AC3850">
        <f>IF(OR(E3850="",E3850="[PARENT]"),"ADD",IF(E3850="[ALT_VIEW]","ALT",""))</f>
        <v/>
      </c>
      <c r="AD3850">
        <f>IF(Y3850&lt;&gt;"",Y3850,IF(U3850&lt;&gt;"",U3850,S3850))</f>
        <v/>
      </c>
      <c r="AE3850">
        <f>IF(AB3850&lt;&gt;"",AB3850,Z3850)</f>
        <v/>
      </c>
    </row>
    <row r="3851">
      <c r="AC3851">
        <f>IF(OR(E3851="",E3851="[PARENT]"),"ADD",IF(E3851="[ALT_VIEW]","ALT",""))</f>
        <v/>
      </c>
      <c r="AD3851">
        <f>IF(Y3851&lt;&gt;"",Y3851,IF(U3851&lt;&gt;"",U3851,S3851))</f>
        <v/>
      </c>
      <c r="AE3851">
        <f>IF(AB3851&lt;&gt;"",AB3851,Z3851)</f>
        <v/>
      </c>
    </row>
    <row r="3852">
      <c r="AC3852">
        <f>IF(OR(E3852="",E3852="[PARENT]"),"ADD",IF(E3852="[ALT_VIEW]","ALT",""))</f>
        <v/>
      </c>
      <c r="AD3852">
        <f>IF(Y3852&lt;&gt;"",Y3852,IF(U3852&lt;&gt;"",U3852,S3852))</f>
        <v/>
      </c>
      <c r="AE3852">
        <f>IF(AB3852&lt;&gt;"",AB3852,Z3852)</f>
        <v/>
      </c>
    </row>
    <row r="3853">
      <c r="AC3853">
        <f>IF(OR(E3853="",E3853="[PARENT]"),"ADD",IF(E3853="[ALT_VIEW]","ALT",""))</f>
        <v/>
      </c>
      <c r="AD3853">
        <f>IF(Y3853&lt;&gt;"",Y3853,IF(U3853&lt;&gt;"",U3853,S3853))</f>
        <v/>
      </c>
      <c r="AE3853">
        <f>IF(AB3853&lt;&gt;"",AB3853,Z3853)</f>
        <v/>
      </c>
    </row>
    <row r="3854">
      <c r="AC3854">
        <f>IF(OR(E3854="",E3854="[PARENT]"),"ADD",IF(E3854="[ALT_VIEW]","ALT",""))</f>
        <v/>
      </c>
      <c r="AD3854">
        <f>IF(Y3854&lt;&gt;"",Y3854,IF(U3854&lt;&gt;"",U3854,S3854))</f>
        <v/>
      </c>
      <c r="AE3854">
        <f>IF(AB3854&lt;&gt;"",AB3854,Z3854)</f>
        <v/>
      </c>
    </row>
    <row r="3855">
      <c r="AC3855">
        <f>IF(OR(E3855="",E3855="[PARENT]"),"ADD",IF(E3855="[ALT_VIEW]","ALT",""))</f>
        <v/>
      </c>
      <c r="AD3855">
        <f>IF(Y3855&lt;&gt;"",Y3855,IF(U3855&lt;&gt;"",U3855,S3855))</f>
        <v/>
      </c>
      <c r="AE3855">
        <f>IF(AB3855&lt;&gt;"",AB3855,Z3855)</f>
        <v/>
      </c>
    </row>
    <row r="3856">
      <c r="AC3856">
        <f>IF(OR(E3856="",E3856="[PARENT]"),"ADD",IF(E3856="[ALT_VIEW]","ALT",""))</f>
        <v/>
      </c>
      <c r="AD3856">
        <f>IF(Y3856&lt;&gt;"",Y3856,IF(U3856&lt;&gt;"",U3856,S3856))</f>
        <v/>
      </c>
      <c r="AE3856">
        <f>IF(AB3856&lt;&gt;"",AB3856,Z3856)</f>
        <v/>
      </c>
    </row>
    <row r="3857">
      <c r="AC3857">
        <f>IF(OR(E3857="",E3857="[PARENT]"),"ADD",IF(E3857="[ALT_VIEW]","ALT",""))</f>
        <v/>
      </c>
      <c r="AD3857">
        <f>IF(Y3857&lt;&gt;"",Y3857,IF(U3857&lt;&gt;"",U3857,S3857))</f>
        <v/>
      </c>
      <c r="AE3857">
        <f>IF(AB3857&lt;&gt;"",AB3857,Z3857)</f>
        <v/>
      </c>
    </row>
    <row r="3858">
      <c r="AC3858">
        <f>IF(OR(E3858="",E3858="[PARENT]"),"ADD",IF(E3858="[ALT_VIEW]","ALT",""))</f>
        <v/>
      </c>
      <c r="AD3858">
        <f>IF(Y3858&lt;&gt;"",Y3858,IF(U3858&lt;&gt;"",U3858,S3858))</f>
        <v/>
      </c>
      <c r="AE3858">
        <f>IF(AB3858&lt;&gt;"",AB3858,Z3858)</f>
        <v/>
      </c>
    </row>
    <row r="3859">
      <c r="AC3859">
        <f>IF(OR(E3859="",E3859="[PARENT]"),"ADD",IF(E3859="[ALT_VIEW]","ALT",""))</f>
        <v/>
      </c>
      <c r="AD3859">
        <f>IF(Y3859&lt;&gt;"",Y3859,IF(U3859&lt;&gt;"",U3859,S3859))</f>
        <v/>
      </c>
      <c r="AE3859">
        <f>IF(AB3859&lt;&gt;"",AB3859,Z3859)</f>
        <v/>
      </c>
    </row>
    <row r="3860">
      <c r="AC3860">
        <f>IF(OR(E3860="",E3860="[PARENT]"),"ADD",IF(E3860="[ALT_VIEW]","ALT",""))</f>
        <v/>
      </c>
      <c r="AD3860">
        <f>IF(Y3860&lt;&gt;"",Y3860,IF(U3860&lt;&gt;"",U3860,S3860))</f>
        <v/>
      </c>
      <c r="AE3860">
        <f>IF(AB3860&lt;&gt;"",AB3860,Z3860)</f>
        <v/>
      </c>
    </row>
    <row r="3861">
      <c r="AC3861">
        <f>IF(OR(E3861="",E3861="[PARENT]"),"ADD",IF(E3861="[ALT_VIEW]","ALT",""))</f>
        <v/>
      </c>
      <c r="AD3861">
        <f>IF(Y3861&lt;&gt;"",Y3861,IF(U3861&lt;&gt;"",U3861,S3861))</f>
        <v/>
      </c>
      <c r="AE3861">
        <f>IF(AB3861&lt;&gt;"",AB3861,Z3861)</f>
        <v/>
      </c>
    </row>
    <row r="3862">
      <c r="AC3862">
        <f>IF(OR(E3862="",E3862="[PARENT]"),"ADD",IF(E3862="[ALT_VIEW]","ALT",""))</f>
        <v/>
      </c>
      <c r="AD3862">
        <f>IF(Y3862&lt;&gt;"",Y3862,IF(U3862&lt;&gt;"",U3862,S3862))</f>
        <v/>
      </c>
      <c r="AE3862">
        <f>IF(AB3862&lt;&gt;"",AB3862,Z3862)</f>
        <v/>
      </c>
    </row>
    <row r="3863">
      <c r="AC3863">
        <f>IF(OR(E3863="",E3863="[PARENT]"),"ADD",IF(E3863="[ALT_VIEW]","ALT",""))</f>
        <v/>
      </c>
      <c r="AD3863">
        <f>IF(Y3863&lt;&gt;"",Y3863,IF(U3863&lt;&gt;"",U3863,S3863))</f>
        <v/>
      </c>
      <c r="AE3863">
        <f>IF(AB3863&lt;&gt;"",AB3863,Z3863)</f>
        <v/>
      </c>
    </row>
    <row r="3864">
      <c r="AC3864">
        <f>IF(OR(E3864="",E3864="[PARENT]"),"ADD",IF(E3864="[ALT_VIEW]","ALT",""))</f>
        <v/>
      </c>
      <c r="AD3864">
        <f>IF(Y3864&lt;&gt;"",Y3864,IF(U3864&lt;&gt;"",U3864,S3864))</f>
        <v/>
      </c>
      <c r="AE3864">
        <f>IF(AB3864&lt;&gt;"",AB3864,Z3864)</f>
        <v/>
      </c>
    </row>
    <row r="3865">
      <c r="AC3865">
        <f>IF(OR(E3865="",E3865="[PARENT]"),"ADD",IF(E3865="[ALT_VIEW]","ALT",""))</f>
        <v/>
      </c>
      <c r="AD3865">
        <f>IF(Y3865&lt;&gt;"",Y3865,IF(U3865&lt;&gt;"",U3865,S3865))</f>
        <v/>
      </c>
      <c r="AE3865">
        <f>IF(AB3865&lt;&gt;"",AB3865,Z3865)</f>
        <v/>
      </c>
    </row>
    <row r="3866">
      <c r="AC3866">
        <f>IF(OR(E3866="",E3866="[PARENT]"),"ADD",IF(E3866="[ALT_VIEW]","ALT",""))</f>
        <v/>
      </c>
      <c r="AD3866">
        <f>IF(Y3866&lt;&gt;"",Y3866,IF(U3866&lt;&gt;"",U3866,S3866))</f>
        <v/>
      </c>
      <c r="AE3866">
        <f>IF(AB3866&lt;&gt;"",AB3866,Z3866)</f>
        <v/>
      </c>
    </row>
    <row r="3867">
      <c r="AC3867">
        <f>IF(OR(E3867="",E3867="[PARENT]"),"ADD",IF(E3867="[ALT_VIEW]","ALT",""))</f>
        <v/>
      </c>
      <c r="AD3867">
        <f>IF(Y3867&lt;&gt;"",Y3867,IF(U3867&lt;&gt;"",U3867,S3867))</f>
        <v/>
      </c>
      <c r="AE3867">
        <f>IF(AB3867&lt;&gt;"",AB3867,Z3867)</f>
        <v/>
      </c>
    </row>
    <row r="3868">
      <c r="AC3868">
        <f>IF(OR(E3868="",E3868="[PARENT]"),"ADD",IF(E3868="[ALT_VIEW]","ALT",""))</f>
        <v/>
      </c>
      <c r="AD3868">
        <f>IF(Y3868&lt;&gt;"",Y3868,IF(U3868&lt;&gt;"",U3868,S3868))</f>
        <v/>
      </c>
      <c r="AE3868">
        <f>IF(AB3868&lt;&gt;"",AB3868,Z3868)</f>
        <v/>
      </c>
    </row>
    <row r="3869">
      <c r="AC3869">
        <f>IF(OR(E3869="",E3869="[PARENT]"),"ADD",IF(E3869="[ALT_VIEW]","ALT",""))</f>
        <v/>
      </c>
      <c r="AD3869">
        <f>IF(Y3869&lt;&gt;"",Y3869,IF(U3869&lt;&gt;"",U3869,S3869))</f>
        <v/>
      </c>
      <c r="AE3869">
        <f>IF(AB3869&lt;&gt;"",AB3869,Z3869)</f>
        <v/>
      </c>
    </row>
    <row r="3870">
      <c r="AC3870">
        <f>IF(OR(E3870="",E3870="[PARENT]"),"ADD",IF(E3870="[ALT_VIEW]","ALT",""))</f>
        <v/>
      </c>
      <c r="AD3870">
        <f>IF(Y3870&lt;&gt;"",Y3870,IF(U3870&lt;&gt;"",U3870,S3870))</f>
        <v/>
      </c>
      <c r="AE3870">
        <f>IF(AB3870&lt;&gt;"",AB3870,Z3870)</f>
        <v/>
      </c>
    </row>
    <row r="3871">
      <c r="AC3871">
        <f>IF(OR(E3871="",E3871="[PARENT]"),"ADD",IF(E3871="[ALT_VIEW]","ALT",""))</f>
        <v/>
      </c>
      <c r="AD3871">
        <f>IF(Y3871&lt;&gt;"",Y3871,IF(U3871&lt;&gt;"",U3871,S3871))</f>
        <v/>
      </c>
      <c r="AE3871">
        <f>IF(AB3871&lt;&gt;"",AB3871,Z3871)</f>
        <v/>
      </c>
    </row>
    <row r="3872">
      <c r="AC3872">
        <f>IF(OR(E3872="",E3872="[PARENT]"),"ADD",IF(E3872="[ALT_VIEW]","ALT",""))</f>
        <v/>
      </c>
      <c r="AD3872">
        <f>IF(Y3872&lt;&gt;"",Y3872,IF(U3872&lt;&gt;"",U3872,S3872))</f>
        <v/>
      </c>
      <c r="AE3872">
        <f>IF(AB3872&lt;&gt;"",AB3872,Z3872)</f>
        <v/>
      </c>
    </row>
    <row r="3873">
      <c r="AC3873">
        <f>IF(OR(E3873="",E3873="[PARENT]"),"ADD",IF(E3873="[ALT_VIEW]","ALT",""))</f>
        <v/>
      </c>
      <c r="AD3873">
        <f>IF(Y3873&lt;&gt;"",Y3873,IF(U3873&lt;&gt;"",U3873,S3873))</f>
        <v/>
      </c>
      <c r="AE3873">
        <f>IF(AB3873&lt;&gt;"",AB3873,Z3873)</f>
        <v/>
      </c>
    </row>
    <row r="3874">
      <c r="AC3874">
        <f>IF(OR(E3874="",E3874="[PARENT]"),"ADD",IF(E3874="[ALT_VIEW]","ALT",""))</f>
        <v/>
      </c>
      <c r="AD3874">
        <f>IF(Y3874&lt;&gt;"",Y3874,IF(U3874&lt;&gt;"",U3874,S3874))</f>
        <v/>
      </c>
      <c r="AE3874">
        <f>IF(AB3874&lt;&gt;"",AB3874,Z3874)</f>
        <v/>
      </c>
    </row>
    <row r="3875">
      <c r="AC3875">
        <f>IF(OR(E3875="",E3875="[PARENT]"),"ADD",IF(E3875="[ALT_VIEW]","ALT",""))</f>
        <v/>
      </c>
      <c r="AD3875">
        <f>IF(Y3875&lt;&gt;"",Y3875,IF(U3875&lt;&gt;"",U3875,S3875))</f>
        <v/>
      </c>
      <c r="AE3875">
        <f>IF(AB3875&lt;&gt;"",AB3875,Z3875)</f>
        <v/>
      </c>
    </row>
    <row r="3876">
      <c r="AC3876">
        <f>IF(OR(E3876="",E3876="[PARENT]"),"ADD",IF(E3876="[ALT_VIEW]","ALT",""))</f>
        <v/>
      </c>
      <c r="AD3876">
        <f>IF(Y3876&lt;&gt;"",Y3876,IF(U3876&lt;&gt;"",U3876,S3876))</f>
        <v/>
      </c>
      <c r="AE3876">
        <f>IF(AB3876&lt;&gt;"",AB3876,Z3876)</f>
        <v/>
      </c>
    </row>
    <row r="3877">
      <c r="AC3877">
        <f>IF(OR(E3877="",E3877="[PARENT]"),"ADD",IF(E3877="[ALT_VIEW]","ALT",""))</f>
        <v/>
      </c>
      <c r="AD3877">
        <f>IF(Y3877&lt;&gt;"",Y3877,IF(U3877&lt;&gt;"",U3877,S3877))</f>
        <v/>
      </c>
      <c r="AE3877">
        <f>IF(AB3877&lt;&gt;"",AB3877,Z3877)</f>
        <v/>
      </c>
    </row>
    <row r="3878">
      <c r="AC3878">
        <f>IF(OR(E3878="",E3878="[PARENT]"),"ADD",IF(E3878="[ALT_VIEW]","ALT",""))</f>
        <v/>
      </c>
      <c r="AD3878">
        <f>IF(Y3878&lt;&gt;"",Y3878,IF(U3878&lt;&gt;"",U3878,S3878))</f>
        <v/>
      </c>
      <c r="AE3878">
        <f>IF(AB3878&lt;&gt;"",AB3878,Z3878)</f>
        <v/>
      </c>
    </row>
    <row r="3879">
      <c r="AC3879">
        <f>IF(OR(E3879="",E3879="[PARENT]"),"ADD",IF(E3879="[ALT_VIEW]","ALT",""))</f>
        <v/>
      </c>
      <c r="AD3879">
        <f>IF(Y3879&lt;&gt;"",Y3879,IF(U3879&lt;&gt;"",U3879,S3879))</f>
        <v/>
      </c>
      <c r="AE3879">
        <f>IF(AB3879&lt;&gt;"",AB3879,Z3879)</f>
        <v/>
      </c>
    </row>
    <row r="3880">
      <c r="AC3880">
        <f>IF(OR(E3880="",E3880="[PARENT]"),"ADD",IF(E3880="[ALT_VIEW]","ALT",""))</f>
        <v/>
      </c>
      <c r="AD3880">
        <f>IF(Y3880&lt;&gt;"",Y3880,IF(U3880&lt;&gt;"",U3880,S3880))</f>
        <v/>
      </c>
      <c r="AE3880">
        <f>IF(AB3880&lt;&gt;"",AB3880,Z3880)</f>
        <v/>
      </c>
    </row>
    <row r="3881">
      <c r="AC3881">
        <f>IF(OR(E3881="",E3881="[PARENT]"),"ADD",IF(E3881="[ALT_VIEW]","ALT",""))</f>
        <v/>
      </c>
      <c r="AD3881">
        <f>IF(Y3881&lt;&gt;"",Y3881,IF(U3881&lt;&gt;"",U3881,S3881))</f>
        <v/>
      </c>
      <c r="AE3881">
        <f>IF(AB3881&lt;&gt;"",AB3881,Z3881)</f>
        <v/>
      </c>
    </row>
    <row r="3882">
      <c r="AC3882">
        <f>IF(OR(E3882="",E3882="[PARENT]"),"ADD",IF(E3882="[ALT_VIEW]","ALT",""))</f>
        <v/>
      </c>
      <c r="AD3882">
        <f>IF(Y3882&lt;&gt;"",Y3882,IF(U3882&lt;&gt;"",U3882,S3882))</f>
        <v/>
      </c>
      <c r="AE3882">
        <f>IF(AB3882&lt;&gt;"",AB3882,Z3882)</f>
        <v/>
      </c>
    </row>
    <row r="3883">
      <c r="AC3883">
        <f>IF(OR(E3883="",E3883="[PARENT]"),"ADD",IF(E3883="[ALT_VIEW]","ALT",""))</f>
        <v/>
      </c>
      <c r="AD3883">
        <f>IF(Y3883&lt;&gt;"",Y3883,IF(U3883&lt;&gt;"",U3883,S3883))</f>
        <v/>
      </c>
      <c r="AE3883">
        <f>IF(AB3883&lt;&gt;"",AB3883,Z3883)</f>
        <v/>
      </c>
    </row>
    <row r="3884">
      <c r="AC3884">
        <f>IF(OR(E3884="",E3884="[PARENT]"),"ADD",IF(E3884="[ALT_VIEW]","ALT",""))</f>
        <v/>
      </c>
      <c r="AD3884">
        <f>IF(Y3884&lt;&gt;"",Y3884,IF(U3884&lt;&gt;"",U3884,S3884))</f>
        <v/>
      </c>
      <c r="AE3884">
        <f>IF(AB3884&lt;&gt;"",AB3884,Z3884)</f>
        <v/>
      </c>
    </row>
    <row r="3885">
      <c r="AC3885">
        <f>IF(OR(E3885="",E3885="[PARENT]"),"ADD",IF(E3885="[ALT_VIEW]","ALT",""))</f>
        <v/>
      </c>
      <c r="AD3885">
        <f>IF(Y3885&lt;&gt;"",Y3885,IF(U3885&lt;&gt;"",U3885,S3885))</f>
        <v/>
      </c>
      <c r="AE3885">
        <f>IF(AB3885&lt;&gt;"",AB3885,Z3885)</f>
        <v/>
      </c>
    </row>
    <row r="3886">
      <c r="AC3886">
        <f>IF(OR(E3886="",E3886="[PARENT]"),"ADD",IF(E3886="[ALT_VIEW]","ALT",""))</f>
        <v/>
      </c>
      <c r="AD3886">
        <f>IF(Y3886&lt;&gt;"",Y3886,IF(U3886&lt;&gt;"",U3886,S3886))</f>
        <v/>
      </c>
      <c r="AE3886">
        <f>IF(AB3886&lt;&gt;"",AB3886,Z3886)</f>
        <v/>
      </c>
    </row>
    <row r="3887">
      <c r="AC3887">
        <f>IF(OR(E3887="",E3887="[PARENT]"),"ADD",IF(E3887="[ALT_VIEW]","ALT",""))</f>
        <v/>
      </c>
      <c r="AD3887">
        <f>IF(Y3887&lt;&gt;"",Y3887,IF(U3887&lt;&gt;"",U3887,S3887))</f>
        <v/>
      </c>
      <c r="AE3887">
        <f>IF(AB3887&lt;&gt;"",AB3887,Z3887)</f>
        <v/>
      </c>
    </row>
    <row r="3888">
      <c r="AC3888">
        <f>IF(OR(E3888="",E3888="[PARENT]"),"ADD",IF(E3888="[ALT_VIEW]","ALT",""))</f>
        <v/>
      </c>
      <c r="AD3888">
        <f>IF(Y3888&lt;&gt;"",Y3888,IF(U3888&lt;&gt;"",U3888,S3888))</f>
        <v/>
      </c>
      <c r="AE3888">
        <f>IF(AB3888&lt;&gt;"",AB3888,Z3888)</f>
        <v/>
      </c>
    </row>
    <row r="3889">
      <c r="AC3889">
        <f>IF(OR(E3889="",E3889="[PARENT]"),"ADD",IF(E3889="[ALT_VIEW]","ALT",""))</f>
        <v/>
      </c>
      <c r="AD3889">
        <f>IF(Y3889&lt;&gt;"",Y3889,IF(U3889&lt;&gt;"",U3889,S3889))</f>
        <v/>
      </c>
      <c r="AE3889">
        <f>IF(AB3889&lt;&gt;"",AB3889,Z3889)</f>
        <v/>
      </c>
    </row>
    <row r="3890">
      <c r="AC3890">
        <f>IF(OR(E3890="",E3890="[PARENT]"),"ADD",IF(E3890="[ALT_VIEW]","ALT",""))</f>
        <v/>
      </c>
      <c r="AD3890">
        <f>IF(Y3890&lt;&gt;"",Y3890,IF(U3890&lt;&gt;"",U3890,S3890))</f>
        <v/>
      </c>
      <c r="AE3890">
        <f>IF(AB3890&lt;&gt;"",AB3890,Z3890)</f>
        <v/>
      </c>
    </row>
    <row r="3891">
      <c r="AC3891">
        <f>IF(OR(E3891="",E3891="[PARENT]"),"ADD",IF(E3891="[ALT_VIEW]","ALT",""))</f>
        <v/>
      </c>
      <c r="AD3891">
        <f>IF(Y3891&lt;&gt;"",Y3891,IF(U3891&lt;&gt;"",U3891,S3891))</f>
        <v/>
      </c>
      <c r="AE3891">
        <f>IF(AB3891&lt;&gt;"",AB3891,Z3891)</f>
        <v/>
      </c>
    </row>
    <row r="3892">
      <c r="AC3892">
        <f>IF(OR(E3892="",E3892="[PARENT]"),"ADD",IF(E3892="[ALT_VIEW]","ALT",""))</f>
        <v/>
      </c>
      <c r="AD3892">
        <f>IF(Y3892&lt;&gt;"",Y3892,IF(U3892&lt;&gt;"",U3892,S3892))</f>
        <v/>
      </c>
      <c r="AE3892">
        <f>IF(AB3892&lt;&gt;"",AB3892,Z3892)</f>
        <v/>
      </c>
    </row>
    <row r="3893">
      <c r="AC3893">
        <f>IF(OR(E3893="",E3893="[PARENT]"),"ADD",IF(E3893="[ALT_VIEW]","ALT",""))</f>
        <v/>
      </c>
      <c r="AD3893">
        <f>IF(Y3893&lt;&gt;"",Y3893,IF(U3893&lt;&gt;"",U3893,S3893))</f>
        <v/>
      </c>
      <c r="AE3893">
        <f>IF(AB3893&lt;&gt;"",AB3893,Z3893)</f>
        <v/>
      </c>
    </row>
    <row r="3894">
      <c r="AC3894">
        <f>IF(OR(E3894="",E3894="[PARENT]"),"ADD",IF(E3894="[ALT_VIEW]","ALT",""))</f>
        <v/>
      </c>
      <c r="AD3894">
        <f>IF(Y3894&lt;&gt;"",Y3894,IF(U3894&lt;&gt;"",U3894,S3894))</f>
        <v/>
      </c>
      <c r="AE3894">
        <f>IF(AB3894&lt;&gt;"",AB3894,Z3894)</f>
        <v/>
      </c>
    </row>
    <row r="3895">
      <c r="AC3895">
        <f>IF(OR(E3895="",E3895="[PARENT]"),"ADD",IF(E3895="[ALT_VIEW]","ALT",""))</f>
        <v/>
      </c>
      <c r="AD3895">
        <f>IF(Y3895&lt;&gt;"",Y3895,IF(U3895&lt;&gt;"",U3895,S3895))</f>
        <v/>
      </c>
      <c r="AE3895">
        <f>IF(AB3895&lt;&gt;"",AB3895,Z3895)</f>
        <v/>
      </c>
    </row>
    <row r="3896">
      <c r="AC3896">
        <f>IF(OR(E3896="",E3896="[PARENT]"),"ADD",IF(E3896="[ALT_VIEW]","ALT",""))</f>
        <v/>
      </c>
      <c r="AD3896">
        <f>IF(Y3896&lt;&gt;"",Y3896,IF(U3896&lt;&gt;"",U3896,S3896))</f>
        <v/>
      </c>
      <c r="AE3896">
        <f>IF(AB3896&lt;&gt;"",AB3896,Z3896)</f>
        <v/>
      </c>
    </row>
    <row r="3897">
      <c r="AC3897">
        <f>IF(OR(E3897="",E3897="[PARENT]"),"ADD",IF(E3897="[ALT_VIEW]","ALT",""))</f>
        <v/>
      </c>
      <c r="AD3897">
        <f>IF(Y3897&lt;&gt;"",Y3897,IF(U3897&lt;&gt;"",U3897,S3897))</f>
        <v/>
      </c>
      <c r="AE3897">
        <f>IF(AB3897&lt;&gt;"",AB3897,Z3897)</f>
        <v/>
      </c>
    </row>
    <row r="3898">
      <c r="AC3898">
        <f>IF(OR(E3898="",E3898="[PARENT]"),"ADD",IF(E3898="[ALT_VIEW]","ALT",""))</f>
        <v/>
      </c>
      <c r="AD3898">
        <f>IF(Y3898&lt;&gt;"",Y3898,IF(U3898&lt;&gt;"",U3898,S3898))</f>
        <v/>
      </c>
      <c r="AE3898">
        <f>IF(AB3898&lt;&gt;"",AB3898,Z3898)</f>
        <v/>
      </c>
    </row>
    <row r="3899">
      <c r="AC3899">
        <f>IF(OR(E3899="",E3899="[PARENT]"),"ADD",IF(E3899="[ALT_VIEW]","ALT",""))</f>
        <v/>
      </c>
      <c r="AD3899">
        <f>IF(Y3899&lt;&gt;"",Y3899,IF(U3899&lt;&gt;"",U3899,S3899))</f>
        <v/>
      </c>
      <c r="AE3899">
        <f>IF(AB3899&lt;&gt;"",AB3899,Z3899)</f>
        <v/>
      </c>
    </row>
    <row r="3900">
      <c r="AC3900">
        <f>IF(OR(E3900="",E3900="[PARENT]"),"ADD",IF(E3900="[ALT_VIEW]","ALT",""))</f>
        <v/>
      </c>
      <c r="AD3900">
        <f>IF(Y3900&lt;&gt;"",Y3900,IF(U3900&lt;&gt;"",U3900,S3900))</f>
        <v/>
      </c>
      <c r="AE3900">
        <f>IF(AB3900&lt;&gt;"",AB3900,Z3900)</f>
        <v/>
      </c>
    </row>
    <row r="3901">
      <c r="AC3901">
        <f>IF(OR(E3901="",E3901="[PARENT]"),"ADD",IF(E3901="[ALT_VIEW]","ALT",""))</f>
        <v/>
      </c>
      <c r="AD3901">
        <f>IF(Y3901&lt;&gt;"",Y3901,IF(U3901&lt;&gt;"",U3901,S3901))</f>
        <v/>
      </c>
      <c r="AE3901">
        <f>IF(AB3901&lt;&gt;"",AB3901,Z3901)</f>
        <v/>
      </c>
    </row>
    <row r="3902">
      <c r="AC3902">
        <f>IF(OR(E3902="",E3902="[PARENT]"),"ADD",IF(E3902="[ALT_VIEW]","ALT",""))</f>
        <v/>
      </c>
      <c r="AD3902">
        <f>IF(Y3902&lt;&gt;"",Y3902,IF(U3902&lt;&gt;"",U3902,S3902))</f>
        <v/>
      </c>
      <c r="AE3902">
        <f>IF(AB3902&lt;&gt;"",AB3902,Z3902)</f>
        <v/>
      </c>
    </row>
    <row r="3903">
      <c r="AC3903">
        <f>IF(OR(E3903="",E3903="[PARENT]"),"ADD",IF(E3903="[ALT_VIEW]","ALT",""))</f>
        <v/>
      </c>
      <c r="AD3903">
        <f>IF(Y3903&lt;&gt;"",Y3903,IF(U3903&lt;&gt;"",U3903,S3903))</f>
        <v/>
      </c>
      <c r="AE3903">
        <f>IF(AB3903&lt;&gt;"",AB3903,Z3903)</f>
        <v/>
      </c>
    </row>
    <row r="3904">
      <c r="AC3904">
        <f>IF(OR(E3904="",E3904="[PARENT]"),"ADD",IF(E3904="[ALT_VIEW]","ALT",""))</f>
        <v/>
      </c>
      <c r="AD3904">
        <f>IF(Y3904&lt;&gt;"",Y3904,IF(U3904&lt;&gt;"",U3904,S3904))</f>
        <v/>
      </c>
      <c r="AE3904">
        <f>IF(AB3904&lt;&gt;"",AB3904,Z3904)</f>
        <v/>
      </c>
    </row>
    <row r="3905">
      <c r="AC3905">
        <f>IF(OR(E3905="",E3905="[PARENT]"),"ADD",IF(E3905="[ALT_VIEW]","ALT",""))</f>
        <v/>
      </c>
      <c r="AD3905">
        <f>IF(Y3905&lt;&gt;"",Y3905,IF(U3905&lt;&gt;"",U3905,S3905))</f>
        <v/>
      </c>
      <c r="AE3905">
        <f>IF(AB3905&lt;&gt;"",AB3905,Z3905)</f>
        <v/>
      </c>
    </row>
    <row r="3906">
      <c r="AC3906">
        <f>IF(OR(E3906="",E3906="[PARENT]"),"ADD",IF(E3906="[ALT_VIEW]","ALT",""))</f>
        <v/>
      </c>
      <c r="AD3906">
        <f>IF(Y3906&lt;&gt;"",Y3906,IF(U3906&lt;&gt;"",U3906,S3906))</f>
        <v/>
      </c>
      <c r="AE3906">
        <f>IF(AB3906&lt;&gt;"",AB3906,Z3906)</f>
        <v/>
      </c>
    </row>
    <row r="3907">
      <c r="AC3907">
        <f>IF(OR(E3907="",E3907="[PARENT]"),"ADD",IF(E3907="[ALT_VIEW]","ALT",""))</f>
        <v/>
      </c>
      <c r="AD3907">
        <f>IF(Y3907&lt;&gt;"",Y3907,IF(U3907&lt;&gt;"",U3907,S3907))</f>
        <v/>
      </c>
      <c r="AE3907">
        <f>IF(AB3907&lt;&gt;"",AB3907,Z3907)</f>
        <v/>
      </c>
    </row>
    <row r="3908">
      <c r="AC3908">
        <f>IF(OR(E3908="",E3908="[PARENT]"),"ADD",IF(E3908="[ALT_VIEW]","ALT",""))</f>
        <v/>
      </c>
      <c r="AD3908">
        <f>IF(Y3908&lt;&gt;"",Y3908,IF(U3908&lt;&gt;"",U3908,S3908))</f>
        <v/>
      </c>
      <c r="AE3908">
        <f>IF(AB3908&lt;&gt;"",AB3908,Z3908)</f>
        <v/>
      </c>
    </row>
    <row r="3909">
      <c r="AC3909">
        <f>IF(OR(E3909="",E3909="[PARENT]"),"ADD",IF(E3909="[ALT_VIEW]","ALT",""))</f>
        <v/>
      </c>
      <c r="AD3909">
        <f>IF(Y3909&lt;&gt;"",Y3909,IF(U3909&lt;&gt;"",U3909,S3909))</f>
        <v/>
      </c>
      <c r="AE3909">
        <f>IF(AB3909&lt;&gt;"",AB3909,Z3909)</f>
        <v/>
      </c>
    </row>
    <row r="3910">
      <c r="AC3910">
        <f>IF(OR(E3910="",E3910="[PARENT]"),"ADD",IF(E3910="[ALT_VIEW]","ALT",""))</f>
        <v/>
      </c>
      <c r="AD3910">
        <f>IF(Y3910&lt;&gt;"",Y3910,IF(U3910&lt;&gt;"",U3910,S3910))</f>
        <v/>
      </c>
      <c r="AE3910">
        <f>IF(AB3910&lt;&gt;"",AB3910,Z3910)</f>
        <v/>
      </c>
    </row>
    <row r="3911">
      <c r="AC3911">
        <f>IF(OR(E3911="",E3911="[PARENT]"),"ADD",IF(E3911="[ALT_VIEW]","ALT",""))</f>
        <v/>
      </c>
      <c r="AD3911">
        <f>IF(Y3911&lt;&gt;"",Y3911,IF(U3911&lt;&gt;"",U3911,S3911))</f>
        <v/>
      </c>
      <c r="AE3911">
        <f>IF(AB3911&lt;&gt;"",AB3911,Z3911)</f>
        <v/>
      </c>
    </row>
    <row r="3912">
      <c r="AC3912">
        <f>IF(OR(E3912="",E3912="[PARENT]"),"ADD",IF(E3912="[ALT_VIEW]","ALT",""))</f>
        <v/>
      </c>
      <c r="AD3912">
        <f>IF(Y3912&lt;&gt;"",Y3912,IF(U3912&lt;&gt;"",U3912,S3912))</f>
        <v/>
      </c>
      <c r="AE3912">
        <f>IF(AB3912&lt;&gt;"",AB3912,Z3912)</f>
        <v/>
      </c>
    </row>
    <row r="3913">
      <c r="AC3913">
        <f>IF(OR(E3913="",E3913="[PARENT]"),"ADD",IF(E3913="[ALT_VIEW]","ALT",""))</f>
        <v/>
      </c>
      <c r="AD3913">
        <f>IF(Y3913&lt;&gt;"",Y3913,IF(U3913&lt;&gt;"",U3913,S3913))</f>
        <v/>
      </c>
      <c r="AE3913">
        <f>IF(AB3913&lt;&gt;"",AB3913,Z3913)</f>
        <v/>
      </c>
    </row>
    <row r="3914">
      <c r="AC3914">
        <f>IF(OR(E3914="",E3914="[PARENT]"),"ADD",IF(E3914="[ALT_VIEW]","ALT",""))</f>
        <v/>
      </c>
      <c r="AD3914">
        <f>IF(Y3914&lt;&gt;"",Y3914,IF(U3914&lt;&gt;"",U3914,S3914))</f>
        <v/>
      </c>
      <c r="AE3914">
        <f>IF(AB3914&lt;&gt;"",AB3914,Z3914)</f>
        <v/>
      </c>
    </row>
    <row r="3915">
      <c r="AC3915">
        <f>IF(OR(E3915="",E3915="[PARENT]"),"ADD",IF(E3915="[ALT_VIEW]","ALT",""))</f>
        <v/>
      </c>
      <c r="AD3915">
        <f>IF(Y3915&lt;&gt;"",Y3915,IF(U3915&lt;&gt;"",U3915,S3915))</f>
        <v/>
      </c>
      <c r="AE3915">
        <f>IF(AB3915&lt;&gt;"",AB3915,Z3915)</f>
        <v/>
      </c>
    </row>
    <row r="3916">
      <c r="AC3916">
        <f>IF(OR(E3916="",E3916="[PARENT]"),"ADD",IF(E3916="[ALT_VIEW]","ALT",""))</f>
        <v/>
      </c>
      <c r="AD3916">
        <f>IF(Y3916&lt;&gt;"",Y3916,IF(U3916&lt;&gt;"",U3916,S3916))</f>
        <v/>
      </c>
      <c r="AE3916">
        <f>IF(AB3916&lt;&gt;"",AB3916,Z3916)</f>
        <v/>
      </c>
    </row>
    <row r="3917">
      <c r="AC3917">
        <f>IF(OR(E3917="",E3917="[PARENT]"),"ADD",IF(E3917="[ALT_VIEW]","ALT",""))</f>
        <v/>
      </c>
      <c r="AD3917">
        <f>IF(Y3917&lt;&gt;"",Y3917,IF(U3917&lt;&gt;"",U3917,S3917))</f>
        <v/>
      </c>
      <c r="AE3917">
        <f>IF(AB3917&lt;&gt;"",AB3917,Z3917)</f>
        <v/>
      </c>
    </row>
    <row r="3918">
      <c r="AC3918">
        <f>IF(OR(E3918="",E3918="[PARENT]"),"ADD",IF(E3918="[ALT_VIEW]","ALT",""))</f>
        <v/>
      </c>
      <c r="AD3918">
        <f>IF(Y3918&lt;&gt;"",Y3918,IF(U3918&lt;&gt;"",U3918,S3918))</f>
        <v/>
      </c>
      <c r="AE3918">
        <f>IF(AB3918&lt;&gt;"",AB3918,Z3918)</f>
        <v/>
      </c>
    </row>
    <row r="3919">
      <c r="AC3919">
        <f>IF(OR(E3919="",E3919="[PARENT]"),"ADD",IF(E3919="[ALT_VIEW]","ALT",""))</f>
        <v/>
      </c>
      <c r="AD3919">
        <f>IF(Y3919&lt;&gt;"",Y3919,IF(U3919&lt;&gt;"",U3919,S3919))</f>
        <v/>
      </c>
      <c r="AE3919">
        <f>IF(AB3919&lt;&gt;"",AB3919,Z3919)</f>
        <v/>
      </c>
    </row>
    <row r="3920">
      <c r="AC3920">
        <f>IF(OR(E3920="",E3920="[PARENT]"),"ADD",IF(E3920="[ALT_VIEW]","ALT",""))</f>
        <v/>
      </c>
      <c r="AD3920">
        <f>IF(Y3920&lt;&gt;"",Y3920,IF(U3920&lt;&gt;"",U3920,S3920))</f>
        <v/>
      </c>
      <c r="AE3920">
        <f>IF(AB3920&lt;&gt;"",AB3920,Z3920)</f>
        <v/>
      </c>
    </row>
    <row r="3921">
      <c r="AC3921">
        <f>IF(OR(E3921="",E3921="[PARENT]"),"ADD",IF(E3921="[ALT_VIEW]","ALT",""))</f>
        <v/>
      </c>
      <c r="AD3921">
        <f>IF(Y3921&lt;&gt;"",Y3921,IF(U3921&lt;&gt;"",U3921,S3921))</f>
        <v/>
      </c>
      <c r="AE3921">
        <f>IF(AB3921&lt;&gt;"",AB3921,Z3921)</f>
        <v/>
      </c>
    </row>
    <row r="3922">
      <c r="AC3922">
        <f>IF(OR(E3922="",E3922="[PARENT]"),"ADD",IF(E3922="[ALT_VIEW]","ALT",""))</f>
        <v/>
      </c>
      <c r="AD3922">
        <f>IF(Y3922&lt;&gt;"",Y3922,IF(U3922&lt;&gt;"",U3922,S3922))</f>
        <v/>
      </c>
      <c r="AE3922">
        <f>IF(AB3922&lt;&gt;"",AB3922,Z3922)</f>
        <v/>
      </c>
    </row>
    <row r="3923">
      <c r="AC3923">
        <f>IF(OR(E3923="",E3923="[PARENT]"),"ADD",IF(E3923="[ALT_VIEW]","ALT",""))</f>
        <v/>
      </c>
      <c r="AD3923">
        <f>IF(Y3923&lt;&gt;"",Y3923,IF(U3923&lt;&gt;"",U3923,S3923))</f>
        <v/>
      </c>
      <c r="AE3923">
        <f>IF(AB3923&lt;&gt;"",AB3923,Z3923)</f>
        <v/>
      </c>
    </row>
    <row r="3924">
      <c r="AC3924">
        <f>IF(OR(E3924="",E3924="[PARENT]"),"ADD",IF(E3924="[ALT_VIEW]","ALT",""))</f>
        <v/>
      </c>
      <c r="AD3924">
        <f>IF(Y3924&lt;&gt;"",Y3924,IF(U3924&lt;&gt;"",U3924,S3924))</f>
        <v/>
      </c>
      <c r="AE3924">
        <f>IF(AB3924&lt;&gt;"",AB3924,Z3924)</f>
        <v/>
      </c>
    </row>
    <row r="3925">
      <c r="AC3925">
        <f>IF(OR(E3925="",E3925="[PARENT]"),"ADD",IF(E3925="[ALT_VIEW]","ALT",""))</f>
        <v/>
      </c>
      <c r="AD3925">
        <f>IF(Y3925&lt;&gt;"",Y3925,IF(U3925&lt;&gt;"",U3925,S3925))</f>
        <v/>
      </c>
      <c r="AE3925">
        <f>IF(AB3925&lt;&gt;"",AB3925,Z3925)</f>
        <v/>
      </c>
    </row>
    <row r="3926">
      <c r="AC3926">
        <f>IF(OR(E3926="",E3926="[PARENT]"),"ADD",IF(E3926="[ALT_VIEW]","ALT",""))</f>
        <v/>
      </c>
      <c r="AD3926">
        <f>IF(Y3926&lt;&gt;"",Y3926,IF(U3926&lt;&gt;"",U3926,S3926))</f>
        <v/>
      </c>
      <c r="AE3926">
        <f>IF(AB3926&lt;&gt;"",AB3926,Z3926)</f>
        <v/>
      </c>
    </row>
    <row r="3927">
      <c r="AC3927">
        <f>IF(OR(E3927="",E3927="[PARENT]"),"ADD",IF(E3927="[ALT_VIEW]","ALT",""))</f>
        <v/>
      </c>
      <c r="AD3927">
        <f>IF(Y3927&lt;&gt;"",Y3927,IF(U3927&lt;&gt;"",U3927,S3927))</f>
        <v/>
      </c>
      <c r="AE3927">
        <f>IF(AB3927&lt;&gt;"",AB3927,Z3927)</f>
        <v/>
      </c>
    </row>
    <row r="3928">
      <c r="AC3928">
        <f>IF(OR(E3928="",E3928="[PARENT]"),"ADD",IF(E3928="[ALT_VIEW]","ALT",""))</f>
        <v/>
      </c>
      <c r="AD3928">
        <f>IF(Y3928&lt;&gt;"",Y3928,IF(U3928&lt;&gt;"",U3928,S3928))</f>
        <v/>
      </c>
      <c r="AE3928">
        <f>IF(AB3928&lt;&gt;"",AB3928,Z3928)</f>
        <v/>
      </c>
    </row>
    <row r="3929">
      <c r="AC3929">
        <f>IF(OR(E3929="",E3929="[PARENT]"),"ADD",IF(E3929="[ALT_VIEW]","ALT",""))</f>
        <v/>
      </c>
      <c r="AD3929">
        <f>IF(Y3929&lt;&gt;"",Y3929,IF(U3929&lt;&gt;"",U3929,S3929))</f>
        <v/>
      </c>
      <c r="AE3929">
        <f>IF(AB3929&lt;&gt;"",AB3929,Z3929)</f>
        <v/>
      </c>
    </row>
    <row r="3930">
      <c r="AC3930">
        <f>IF(OR(E3930="",E3930="[PARENT]"),"ADD",IF(E3930="[ALT_VIEW]","ALT",""))</f>
        <v/>
      </c>
      <c r="AD3930">
        <f>IF(Y3930&lt;&gt;"",Y3930,IF(U3930&lt;&gt;"",U3930,S3930))</f>
        <v/>
      </c>
      <c r="AE3930">
        <f>IF(AB3930&lt;&gt;"",AB3930,Z3930)</f>
        <v/>
      </c>
    </row>
    <row r="3931">
      <c r="AC3931">
        <f>IF(OR(E3931="",E3931="[PARENT]"),"ADD",IF(E3931="[ALT_VIEW]","ALT",""))</f>
        <v/>
      </c>
      <c r="AD3931">
        <f>IF(Y3931&lt;&gt;"",Y3931,IF(U3931&lt;&gt;"",U3931,S3931))</f>
        <v/>
      </c>
      <c r="AE3931">
        <f>IF(AB3931&lt;&gt;"",AB3931,Z3931)</f>
        <v/>
      </c>
    </row>
    <row r="3932">
      <c r="AC3932">
        <f>IF(OR(E3932="",E3932="[PARENT]"),"ADD",IF(E3932="[ALT_VIEW]","ALT",""))</f>
        <v/>
      </c>
      <c r="AD3932">
        <f>IF(Y3932&lt;&gt;"",Y3932,IF(U3932&lt;&gt;"",U3932,S3932))</f>
        <v/>
      </c>
      <c r="AE3932">
        <f>IF(AB3932&lt;&gt;"",AB3932,Z3932)</f>
        <v/>
      </c>
    </row>
    <row r="3933">
      <c r="AC3933">
        <f>IF(OR(E3933="",E3933="[PARENT]"),"ADD",IF(E3933="[ALT_VIEW]","ALT",""))</f>
        <v/>
      </c>
      <c r="AD3933">
        <f>IF(Y3933&lt;&gt;"",Y3933,IF(U3933&lt;&gt;"",U3933,S3933))</f>
        <v/>
      </c>
      <c r="AE3933">
        <f>IF(AB3933&lt;&gt;"",AB3933,Z3933)</f>
        <v/>
      </c>
    </row>
    <row r="3934">
      <c r="AC3934">
        <f>IF(OR(E3934="",E3934="[PARENT]"),"ADD",IF(E3934="[ALT_VIEW]","ALT",""))</f>
        <v/>
      </c>
      <c r="AD3934">
        <f>IF(Y3934&lt;&gt;"",Y3934,IF(U3934&lt;&gt;"",U3934,S3934))</f>
        <v/>
      </c>
      <c r="AE3934">
        <f>IF(AB3934&lt;&gt;"",AB3934,Z3934)</f>
        <v/>
      </c>
    </row>
    <row r="3935">
      <c r="AC3935">
        <f>IF(OR(E3935="",E3935="[PARENT]"),"ADD",IF(E3935="[ALT_VIEW]","ALT",""))</f>
        <v/>
      </c>
      <c r="AD3935">
        <f>IF(Y3935&lt;&gt;"",Y3935,IF(U3935&lt;&gt;"",U3935,S3935))</f>
        <v/>
      </c>
      <c r="AE3935">
        <f>IF(AB3935&lt;&gt;"",AB3935,Z3935)</f>
        <v/>
      </c>
    </row>
    <row r="3936">
      <c r="AC3936">
        <f>IF(OR(E3936="",E3936="[PARENT]"),"ADD",IF(E3936="[ALT_VIEW]","ALT",""))</f>
        <v/>
      </c>
      <c r="AD3936">
        <f>IF(Y3936&lt;&gt;"",Y3936,IF(U3936&lt;&gt;"",U3936,S3936))</f>
        <v/>
      </c>
      <c r="AE3936">
        <f>IF(AB3936&lt;&gt;"",AB3936,Z3936)</f>
        <v/>
      </c>
    </row>
    <row r="3937">
      <c r="AC3937">
        <f>IF(OR(E3937="",E3937="[PARENT]"),"ADD",IF(E3937="[ALT_VIEW]","ALT",""))</f>
        <v/>
      </c>
      <c r="AD3937">
        <f>IF(Y3937&lt;&gt;"",Y3937,IF(U3937&lt;&gt;"",U3937,S3937))</f>
        <v/>
      </c>
      <c r="AE3937">
        <f>IF(AB3937&lt;&gt;"",AB3937,Z3937)</f>
        <v/>
      </c>
    </row>
    <row r="3938">
      <c r="AC3938">
        <f>IF(OR(E3938="",E3938="[PARENT]"),"ADD",IF(E3938="[ALT_VIEW]","ALT",""))</f>
        <v/>
      </c>
      <c r="AD3938">
        <f>IF(Y3938&lt;&gt;"",Y3938,IF(U3938&lt;&gt;"",U3938,S3938))</f>
        <v/>
      </c>
      <c r="AE3938">
        <f>IF(AB3938&lt;&gt;"",AB3938,Z3938)</f>
        <v/>
      </c>
    </row>
    <row r="3939">
      <c r="AC3939">
        <f>IF(OR(E3939="",E3939="[PARENT]"),"ADD",IF(E3939="[ALT_VIEW]","ALT",""))</f>
        <v/>
      </c>
      <c r="AD3939">
        <f>IF(Y3939&lt;&gt;"",Y3939,IF(U3939&lt;&gt;"",U3939,S3939))</f>
        <v/>
      </c>
      <c r="AE3939">
        <f>IF(AB3939&lt;&gt;"",AB3939,Z3939)</f>
        <v/>
      </c>
    </row>
    <row r="3940">
      <c r="AC3940">
        <f>IF(OR(E3940="",E3940="[PARENT]"),"ADD",IF(E3940="[ALT_VIEW]","ALT",""))</f>
        <v/>
      </c>
      <c r="AD3940">
        <f>IF(Y3940&lt;&gt;"",Y3940,IF(U3940&lt;&gt;"",U3940,S3940))</f>
        <v/>
      </c>
      <c r="AE3940">
        <f>IF(AB3940&lt;&gt;"",AB3940,Z3940)</f>
        <v/>
      </c>
    </row>
    <row r="3941">
      <c r="AC3941">
        <f>IF(OR(E3941="",E3941="[PARENT]"),"ADD",IF(E3941="[ALT_VIEW]","ALT",""))</f>
        <v/>
      </c>
      <c r="AD3941">
        <f>IF(Y3941&lt;&gt;"",Y3941,IF(U3941&lt;&gt;"",U3941,S3941))</f>
        <v/>
      </c>
      <c r="AE3941">
        <f>IF(AB3941&lt;&gt;"",AB3941,Z3941)</f>
        <v/>
      </c>
    </row>
    <row r="3942">
      <c r="AC3942">
        <f>IF(OR(E3942="",E3942="[PARENT]"),"ADD",IF(E3942="[ALT_VIEW]","ALT",""))</f>
        <v/>
      </c>
      <c r="AD3942">
        <f>IF(Y3942&lt;&gt;"",Y3942,IF(U3942&lt;&gt;"",U3942,S3942))</f>
        <v/>
      </c>
      <c r="AE3942">
        <f>IF(AB3942&lt;&gt;"",AB3942,Z3942)</f>
        <v/>
      </c>
    </row>
    <row r="3943">
      <c r="AC3943">
        <f>IF(OR(E3943="",E3943="[PARENT]"),"ADD",IF(E3943="[ALT_VIEW]","ALT",""))</f>
        <v/>
      </c>
      <c r="AD3943">
        <f>IF(Y3943&lt;&gt;"",Y3943,IF(U3943&lt;&gt;"",U3943,S3943))</f>
        <v/>
      </c>
      <c r="AE3943">
        <f>IF(AB3943&lt;&gt;"",AB3943,Z3943)</f>
        <v/>
      </c>
    </row>
    <row r="3944">
      <c r="AC3944">
        <f>IF(OR(E3944="",E3944="[PARENT]"),"ADD",IF(E3944="[ALT_VIEW]","ALT",""))</f>
        <v/>
      </c>
      <c r="AD3944">
        <f>IF(Y3944&lt;&gt;"",Y3944,IF(U3944&lt;&gt;"",U3944,S3944))</f>
        <v/>
      </c>
      <c r="AE3944">
        <f>IF(AB3944&lt;&gt;"",AB3944,Z3944)</f>
        <v/>
      </c>
    </row>
    <row r="3945">
      <c r="AC3945">
        <f>IF(OR(E3945="",E3945="[PARENT]"),"ADD",IF(E3945="[ALT_VIEW]","ALT",""))</f>
        <v/>
      </c>
      <c r="AD3945">
        <f>IF(Y3945&lt;&gt;"",Y3945,IF(U3945&lt;&gt;"",U3945,S3945))</f>
        <v/>
      </c>
      <c r="AE3945">
        <f>IF(AB3945&lt;&gt;"",AB3945,Z3945)</f>
        <v/>
      </c>
    </row>
    <row r="3946">
      <c r="AC3946">
        <f>IF(OR(E3946="",E3946="[PARENT]"),"ADD",IF(E3946="[ALT_VIEW]","ALT",""))</f>
        <v/>
      </c>
      <c r="AD3946">
        <f>IF(Y3946&lt;&gt;"",Y3946,IF(U3946&lt;&gt;"",U3946,S3946))</f>
        <v/>
      </c>
      <c r="AE3946">
        <f>IF(AB3946&lt;&gt;"",AB3946,Z3946)</f>
        <v/>
      </c>
    </row>
    <row r="3947">
      <c r="AC3947">
        <f>IF(OR(E3947="",E3947="[PARENT]"),"ADD",IF(E3947="[ALT_VIEW]","ALT",""))</f>
        <v/>
      </c>
      <c r="AD3947">
        <f>IF(Y3947&lt;&gt;"",Y3947,IF(U3947&lt;&gt;"",U3947,S3947))</f>
        <v/>
      </c>
      <c r="AE3947">
        <f>IF(AB3947&lt;&gt;"",AB3947,Z3947)</f>
        <v/>
      </c>
    </row>
    <row r="3948">
      <c r="AC3948">
        <f>IF(OR(E3948="",E3948="[PARENT]"),"ADD",IF(E3948="[ALT_VIEW]","ALT",""))</f>
        <v/>
      </c>
      <c r="AD3948">
        <f>IF(Y3948&lt;&gt;"",Y3948,IF(U3948&lt;&gt;"",U3948,S3948))</f>
        <v/>
      </c>
      <c r="AE3948">
        <f>IF(AB3948&lt;&gt;"",AB3948,Z3948)</f>
        <v/>
      </c>
    </row>
    <row r="3949">
      <c r="AC3949">
        <f>IF(OR(E3949="",E3949="[PARENT]"),"ADD",IF(E3949="[ALT_VIEW]","ALT",""))</f>
        <v/>
      </c>
      <c r="AD3949">
        <f>IF(Y3949&lt;&gt;"",Y3949,IF(U3949&lt;&gt;"",U3949,S3949))</f>
        <v/>
      </c>
      <c r="AE3949">
        <f>IF(AB3949&lt;&gt;"",AB3949,Z3949)</f>
        <v/>
      </c>
    </row>
    <row r="3950">
      <c r="AC3950">
        <f>IF(OR(E3950="",E3950="[PARENT]"),"ADD",IF(E3950="[ALT_VIEW]","ALT",""))</f>
        <v/>
      </c>
      <c r="AD3950">
        <f>IF(Y3950&lt;&gt;"",Y3950,IF(U3950&lt;&gt;"",U3950,S3950))</f>
        <v/>
      </c>
      <c r="AE3950">
        <f>IF(AB3950&lt;&gt;"",AB3950,Z3950)</f>
        <v/>
      </c>
    </row>
    <row r="3951">
      <c r="AC3951">
        <f>IF(OR(E3951="",E3951="[PARENT]"),"ADD",IF(E3951="[ALT_VIEW]","ALT",""))</f>
        <v/>
      </c>
      <c r="AD3951">
        <f>IF(Y3951&lt;&gt;"",Y3951,IF(U3951&lt;&gt;"",U3951,S3951))</f>
        <v/>
      </c>
      <c r="AE3951">
        <f>IF(AB3951&lt;&gt;"",AB3951,Z3951)</f>
        <v/>
      </c>
    </row>
    <row r="3952">
      <c r="AC3952">
        <f>IF(OR(E3952="",E3952="[PARENT]"),"ADD",IF(E3952="[ALT_VIEW]","ALT",""))</f>
        <v/>
      </c>
      <c r="AD3952">
        <f>IF(Y3952&lt;&gt;"",Y3952,IF(U3952&lt;&gt;"",U3952,S3952))</f>
        <v/>
      </c>
      <c r="AE3952">
        <f>IF(AB3952&lt;&gt;"",AB3952,Z3952)</f>
        <v/>
      </c>
    </row>
    <row r="3953">
      <c r="AC3953">
        <f>IF(OR(E3953="",E3953="[PARENT]"),"ADD",IF(E3953="[ALT_VIEW]","ALT",""))</f>
        <v/>
      </c>
      <c r="AD3953">
        <f>IF(Y3953&lt;&gt;"",Y3953,IF(U3953&lt;&gt;"",U3953,S3953))</f>
        <v/>
      </c>
      <c r="AE3953">
        <f>IF(AB3953&lt;&gt;"",AB3953,Z3953)</f>
        <v/>
      </c>
    </row>
    <row r="3954">
      <c r="AC3954">
        <f>IF(OR(E3954="",E3954="[PARENT]"),"ADD",IF(E3954="[ALT_VIEW]","ALT",""))</f>
        <v/>
      </c>
      <c r="AD3954">
        <f>IF(Y3954&lt;&gt;"",Y3954,IF(U3954&lt;&gt;"",U3954,S3954))</f>
        <v/>
      </c>
      <c r="AE3954">
        <f>IF(AB3954&lt;&gt;"",AB3954,Z3954)</f>
        <v/>
      </c>
    </row>
    <row r="3955">
      <c r="AC3955">
        <f>IF(OR(E3955="",E3955="[PARENT]"),"ADD",IF(E3955="[ALT_VIEW]","ALT",""))</f>
        <v/>
      </c>
      <c r="AD3955">
        <f>IF(Y3955&lt;&gt;"",Y3955,IF(U3955&lt;&gt;"",U3955,S3955))</f>
        <v/>
      </c>
      <c r="AE3955">
        <f>IF(AB3955&lt;&gt;"",AB3955,Z3955)</f>
        <v/>
      </c>
    </row>
    <row r="3956">
      <c r="AC3956">
        <f>IF(OR(E3956="",E3956="[PARENT]"),"ADD",IF(E3956="[ALT_VIEW]","ALT",""))</f>
        <v/>
      </c>
      <c r="AD3956">
        <f>IF(Y3956&lt;&gt;"",Y3956,IF(U3956&lt;&gt;"",U3956,S3956))</f>
        <v/>
      </c>
      <c r="AE3956">
        <f>IF(AB3956&lt;&gt;"",AB3956,Z3956)</f>
        <v/>
      </c>
    </row>
    <row r="3957">
      <c r="AC3957">
        <f>IF(OR(E3957="",E3957="[PARENT]"),"ADD",IF(E3957="[ALT_VIEW]","ALT",""))</f>
        <v/>
      </c>
      <c r="AD3957">
        <f>IF(Y3957&lt;&gt;"",Y3957,IF(U3957&lt;&gt;"",U3957,S3957))</f>
        <v/>
      </c>
      <c r="AE3957">
        <f>IF(AB3957&lt;&gt;"",AB3957,Z3957)</f>
        <v/>
      </c>
    </row>
    <row r="3958">
      <c r="AC3958">
        <f>IF(OR(E3958="",E3958="[PARENT]"),"ADD",IF(E3958="[ALT_VIEW]","ALT",""))</f>
        <v/>
      </c>
      <c r="AD3958">
        <f>IF(Y3958&lt;&gt;"",Y3958,IF(U3958&lt;&gt;"",U3958,S3958))</f>
        <v/>
      </c>
      <c r="AE3958">
        <f>IF(AB3958&lt;&gt;"",AB3958,Z3958)</f>
        <v/>
      </c>
    </row>
    <row r="3959">
      <c r="AC3959">
        <f>IF(OR(E3959="",E3959="[PARENT]"),"ADD",IF(E3959="[ALT_VIEW]","ALT",""))</f>
        <v/>
      </c>
      <c r="AD3959">
        <f>IF(Y3959&lt;&gt;"",Y3959,IF(U3959&lt;&gt;"",U3959,S3959))</f>
        <v/>
      </c>
      <c r="AE3959">
        <f>IF(AB3959&lt;&gt;"",AB3959,Z3959)</f>
        <v/>
      </c>
    </row>
    <row r="3960">
      <c r="AC3960">
        <f>IF(OR(E3960="",E3960="[PARENT]"),"ADD",IF(E3960="[ALT_VIEW]","ALT",""))</f>
        <v/>
      </c>
      <c r="AD3960">
        <f>IF(Y3960&lt;&gt;"",Y3960,IF(U3960&lt;&gt;"",U3960,S3960))</f>
        <v/>
      </c>
      <c r="AE3960">
        <f>IF(AB3960&lt;&gt;"",AB3960,Z3960)</f>
        <v/>
      </c>
    </row>
    <row r="3961">
      <c r="AC3961">
        <f>IF(OR(E3961="",E3961="[PARENT]"),"ADD",IF(E3961="[ALT_VIEW]","ALT",""))</f>
        <v/>
      </c>
      <c r="AD3961">
        <f>IF(Y3961&lt;&gt;"",Y3961,IF(U3961&lt;&gt;"",U3961,S3961))</f>
        <v/>
      </c>
      <c r="AE3961">
        <f>IF(AB3961&lt;&gt;"",AB3961,Z3961)</f>
        <v/>
      </c>
    </row>
    <row r="3962">
      <c r="AC3962">
        <f>IF(OR(E3962="",E3962="[PARENT]"),"ADD",IF(E3962="[ALT_VIEW]","ALT",""))</f>
        <v/>
      </c>
      <c r="AD3962">
        <f>IF(Y3962&lt;&gt;"",Y3962,IF(U3962&lt;&gt;"",U3962,S3962))</f>
        <v/>
      </c>
      <c r="AE3962">
        <f>IF(AB3962&lt;&gt;"",AB3962,Z3962)</f>
        <v/>
      </c>
    </row>
    <row r="3963">
      <c r="AC3963">
        <f>IF(OR(E3963="",E3963="[PARENT]"),"ADD",IF(E3963="[ALT_VIEW]","ALT",""))</f>
        <v/>
      </c>
      <c r="AD3963">
        <f>IF(Y3963&lt;&gt;"",Y3963,IF(U3963&lt;&gt;"",U3963,S3963))</f>
        <v/>
      </c>
      <c r="AE3963">
        <f>IF(AB3963&lt;&gt;"",AB3963,Z3963)</f>
        <v/>
      </c>
    </row>
    <row r="3964">
      <c r="AC3964">
        <f>IF(OR(E3964="",E3964="[PARENT]"),"ADD",IF(E3964="[ALT_VIEW]","ALT",""))</f>
        <v/>
      </c>
      <c r="AD3964">
        <f>IF(Y3964&lt;&gt;"",Y3964,IF(U3964&lt;&gt;"",U3964,S3964))</f>
        <v/>
      </c>
      <c r="AE3964">
        <f>IF(AB3964&lt;&gt;"",AB3964,Z3964)</f>
        <v/>
      </c>
    </row>
    <row r="3965">
      <c r="AC3965">
        <f>IF(OR(E3965="",E3965="[PARENT]"),"ADD",IF(E3965="[ALT_VIEW]","ALT",""))</f>
        <v/>
      </c>
      <c r="AD3965">
        <f>IF(Y3965&lt;&gt;"",Y3965,IF(U3965&lt;&gt;"",U3965,S3965))</f>
        <v/>
      </c>
      <c r="AE3965">
        <f>IF(AB3965&lt;&gt;"",AB3965,Z3965)</f>
        <v/>
      </c>
    </row>
    <row r="3966">
      <c r="AC3966">
        <f>IF(OR(E3966="",E3966="[PARENT]"),"ADD",IF(E3966="[ALT_VIEW]","ALT",""))</f>
        <v/>
      </c>
      <c r="AD3966">
        <f>IF(Y3966&lt;&gt;"",Y3966,IF(U3966&lt;&gt;"",U3966,S3966))</f>
        <v/>
      </c>
      <c r="AE3966">
        <f>IF(AB3966&lt;&gt;"",AB3966,Z3966)</f>
        <v/>
      </c>
    </row>
    <row r="3967">
      <c r="AC3967">
        <f>IF(OR(E3967="",E3967="[PARENT]"),"ADD",IF(E3967="[ALT_VIEW]","ALT",""))</f>
        <v/>
      </c>
      <c r="AD3967">
        <f>IF(Y3967&lt;&gt;"",Y3967,IF(U3967&lt;&gt;"",U3967,S3967))</f>
        <v/>
      </c>
      <c r="AE3967">
        <f>IF(AB3967&lt;&gt;"",AB3967,Z3967)</f>
        <v/>
      </c>
    </row>
    <row r="3968">
      <c r="AC3968">
        <f>IF(OR(E3968="",E3968="[PARENT]"),"ADD",IF(E3968="[ALT_VIEW]","ALT",""))</f>
        <v/>
      </c>
      <c r="AD3968">
        <f>IF(Y3968&lt;&gt;"",Y3968,IF(U3968&lt;&gt;"",U3968,S3968))</f>
        <v/>
      </c>
      <c r="AE3968">
        <f>IF(AB3968&lt;&gt;"",AB3968,Z3968)</f>
        <v/>
      </c>
    </row>
    <row r="3969">
      <c r="AC3969">
        <f>IF(OR(E3969="",E3969="[PARENT]"),"ADD",IF(E3969="[ALT_VIEW]","ALT",""))</f>
        <v/>
      </c>
      <c r="AD3969">
        <f>IF(Y3969&lt;&gt;"",Y3969,IF(U3969&lt;&gt;"",U3969,S3969))</f>
        <v/>
      </c>
      <c r="AE3969">
        <f>IF(AB3969&lt;&gt;"",AB3969,Z3969)</f>
        <v/>
      </c>
    </row>
    <row r="3970">
      <c r="AC3970">
        <f>IF(OR(E3970="",E3970="[PARENT]"),"ADD",IF(E3970="[ALT_VIEW]","ALT",""))</f>
        <v/>
      </c>
      <c r="AD3970">
        <f>IF(Y3970&lt;&gt;"",Y3970,IF(U3970&lt;&gt;"",U3970,S3970))</f>
        <v/>
      </c>
      <c r="AE3970">
        <f>IF(AB3970&lt;&gt;"",AB3970,Z3970)</f>
        <v/>
      </c>
    </row>
    <row r="3971">
      <c r="AC3971">
        <f>IF(OR(E3971="",E3971="[PARENT]"),"ADD",IF(E3971="[ALT_VIEW]","ALT",""))</f>
        <v/>
      </c>
      <c r="AD3971">
        <f>IF(Y3971&lt;&gt;"",Y3971,IF(U3971&lt;&gt;"",U3971,S3971))</f>
        <v/>
      </c>
      <c r="AE3971">
        <f>IF(AB3971&lt;&gt;"",AB3971,Z3971)</f>
        <v/>
      </c>
    </row>
    <row r="3972">
      <c r="AC3972">
        <f>IF(OR(E3972="",E3972="[PARENT]"),"ADD",IF(E3972="[ALT_VIEW]","ALT",""))</f>
        <v/>
      </c>
      <c r="AD3972">
        <f>IF(Y3972&lt;&gt;"",Y3972,IF(U3972&lt;&gt;"",U3972,S3972))</f>
        <v/>
      </c>
      <c r="AE3972">
        <f>IF(AB3972&lt;&gt;"",AB3972,Z3972)</f>
        <v/>
      </c>
    </row>
    <row r="3973">
      <c r="AC3973">
        <f>IF(OR(E3973="",E3973="[PARENT]"),"ADD",IF(E3973="[ALT_VIEW]","ALT",""))</f>
        <v/>
      </c>
      <c r="AD3973">
        <f>IF(Y3973&lt;&gt;"",Y3973,IF(U3973&lt;&gt;"",U3973,S3973))</f>
        <v/>
      </c>
      <c r="AE3973">
        <f>IF(AB3973&lt;&gt;"",AB3973,Z3973)</f>
        <v/>
      </c>
    </row>
    <row r="3974">
      <c r="AC3974">
        <f>IF(OR(E3974="",E3974="[PARENT]"),"ADD",IF(E3974="[ALT_VIEW]","ALT",""))</f>
        <v/>
      </c>
      <c r="AD3974">
        <f>IF(Y3974&lt;&gt;"",Y3974,IF(U3974&lt;&gt;"",U3974,S3974))</f>
        <v/>
      </c>
      <c r="AE3974">
        <f>IF(AB3974&lt;&gt;"",AB3974,Z3974)</f>
        <v/>
      </c>
    </row>
    <row r="3975">
      <c r="AC3975">
        <f>IF(OR(E3975="",E3975="[PARENT]"),"ADD",IF(E3975="[ALT_VIEW]","ALT",""))</f>
        <v/>
      </c>
      <c r="AD3975">
        <f>IF(Y3975&lt;&gt;"",Y3975,IF(U3975&lt;&gt;"",U3975,S3975))</f>
        <v/>
      </c>
      <c r="AE3975">
        <f>IF(AB3975&lt;&gt;"",AB3975,Z3975)</f>
        <v/>
      </c>
    </row>
    <row r="3976">
      <c r="AC3976">
        <f>IF(OR(E3976="",E3976="[PARENT]"),"ADD",IF(E3976="[ALT_VIEW]","ALT",""))</f>
        <v/>
      </c>
      <c r="AD3976">
        <f>IF(Y3976&lt;&gt;"",Y3976,IF(U3976&lt;&gt;"",U3976,S3976))</f>
        <v/>
      </c>
      <c r="AE3976">
        <f>IF(AB3976&lt;&gt;"",AB3976,Z3976)</f>
        <v/>
      </c>
    </row>
    <row r="3977">
      <c r="AC3977">
        <f>IF(OR(E3977="",E3977="[PARENT]"),"ADD",IF(E3977="[ALT_VIEW]","ALT",""))</f>
        <v/>
      </c>
      <c r="AD3977">
        <f>IF(Y3977&lt;&gt;"",Y3977,IF(U3977&lt;&gt;"",U3977,S3977))</f>
        <v/>
      </c>
      <c r="AE3977">
        <f>IF(AB3977&lt;&gt;"",AB3977,Z3977)</f>
        <v/>
      </c>
    </row>
    <row r="3978">
      <c r="AC3978">
        <f>IF(OR(E3978="",E3978="[PARENT]"),"ADD",IF(E3978="[ALT_VIEW]","ALT",""))</f>
        <v/>
      </c>
      <c r="AD3978">
        <f>IF(Y3978&lt;&gt;"",Y3978,IF(U3978&lt;&gt;"",U3978,S3978))</f>
        <v/>
      </c>
      <c r="AE3978">
        <f>IF(AB3978&lt;&gt;"",AB3978,Z3978)</f>
        <v/>
      </c>
    </row>
    <row r="3979">
      <c r="AC3979">
        <f>IF(OR(E3979="",E3979="[PARENT]"),"ADD",IF(E3979="[ALT_VIEW]","ALT",""))</f>
        <v/>
      </c>
      <c r="AD3979">
        <f>IF(Y3979&lt;&gt;"",Y3979,IF(U3979&lt;&gt;"",U3979,S3979))</f>
        <v/>
      </c>
      <c r="AE3979">
        <f>IF(AB3979&lt;&gt;"",AB3979,Z3979)</f>
        <v/>
      </c>
    </row>
    <row r="3980">
      <c r="AC3980">
        <f>IF(OR(E3980="",E3980="[PARENT]"),"ADD",IF(E3980="[ALT_VIEW]","ALT",""))</f>
        <v/>
      </c>
      <c r="AD3980">
        <f>IF(Y3980&lt;&gt;"",Y3980,IF(U3980&lt;&gt;"",U3980,S3980))</f>
        <v/>
      </c>
      <c r="AE3980">
        <f>IF(AB3980&lt;&gt;"",AB3980,Z3980)</f>
        <v/>
      </c>
    </row>
    <row r="3981">
      <c r="AC3981">
        <f>IF(OR(E3981="",E3981="[PARENT]"),"ADD",IF(E3981="[ALT_VIEW]","ALT",""))</f>
        <v/>
      </c>
      <c r="AD3981">
        <f>IF(Y3981&lt;&gt;"",Y3981,IF(U3981&lt;&gt;"",U3981,S3981))</f>
        <v/>
      </c>
      <c r="AE3981">
        <f>IF(AB3981&lt;&gt;"",AB3981,Z3981)</f>
        <v/>
      </c>
    </row>
    <row r="3982">
      <c r="AC3982">
        <f>IF(OR(E3982="",E3982="[PARENT]"),"ADD",IF(E3982="[ALT_VIEW]","ALT",""))</f>
        <v/>
      </c>
      <c r="AD3982">
        <f>IF(Y3982&lt;&gt;"",Y3982,IF(U3982&lt;&gt;"",U3982,S3982))</f>
        <v/>
      </c>
      <c r="AE3982">
        <f>IF(AB3982&lt;&gt;"",AB3982,Z3982)</f>
        <v/>
      </c>
    </row>
    <row r="3983">
      <c r="AC3983">
        <f>IF(OR(E3983="",E3983="[PARENT]"),"ADD",IF(E3983="[ALT_VIEW]","ALT",""))</f>
        <v/>
      </c>
      <c r="AD3983">
        <f>IF(Y3983&lt;&gt;"",Y3983,IF(U3983&lt;&gt;"",U3983,S3983))</f>
        <v/>
      </c>
      <c r="AE3983">
        <f>IF(AB3983&lt;&gt;"",AB3983,Z3983)</f>
        <v/>
      </c>
    </row>
    <row r="3984">
      <c r="AC3984">
        <f>IF(OR(E3984="",E3984="[PARENT]"),"ADD",IF(E3984="[ALT_VIEW]","ALT",""))</f>
        <v/>
      </c>
      <c r="AD3984">
        <f>IF(Y3984&lt;&gt;"",Y3984,IF(U3984&lt;&gt;"",U3984,S3984))</f>
        <v/>
      </c>
      <c r="AE3984">
        <f>IF(AB3984&lt;&gt;"",AB3984,Z3984)</f>
        <v/>
      </c>
    </row>
    <row r="3985">
      <c r="AC3985">
        <f>IF(OR(E3985="",E3985="[PARENT]"),"ADD",IF(E3985="[ALT_VIEW]","ALT",""))</f>
        <v/>
      </c>
      <c r="AD3985">
        <f>IF(Y3985&lt;&gt;"",Y3985,IF(U3985&lt;&gt;"",U3985,S3985))</f>
        <v/>
      </c>
      <c r="AE3985">
        <f>IF(AB3985&lt;&gt;"",AB3985,Z3985)</f>
        <v/>
      </c>
    </row>
    <row r="3986">
      <c r="AC3986">
        <f>IF(OR(E3986="",E3986="[PARENT]"),"ADD",IF(E3986="[ALT_VIEW]","ALT",""))</f>
        <v/>
      </c>
      <c r="AD3986">
        <f>IF(Y3986&lt;&gt;"",Y3986,IF(U3986&lt;&gt;"",U3986,S3986))</f>
        <v/>
      </c>
      <c r="AE3986">
        <f>IF(AB3986&lt;&gt;"",AB3986,Z3986)</f>
        <v/>
      </c>
    </row>
    <row r="3987">
      <c r="AC3987">
        <f>IF(OR(E3987="",E3987="[PARENT]"),"ADD",IF(E3987="[ALT_VIEW]","ALT",""))</f>
        <v/>
      </c>
      <c r="AD3987">
        <f>IF(Y3987&lt;&gt;"",Y3987,IF(U3987&lt;&gt;"",U3987,S3987))</f>
        <v/>
      </c>
      <c r="AE3987">
        <f>IF(AB3987&lt;&gt;"",AB3987,Z3987)</f>
        <v/>
      </c>
    </row>
    <row r="3988">
      <c r="AC3988">
        <f>IF(OR(E3988="",E3988="[PARENT]"),"ADD",IF(E3988="[ALT_VIEW]","ALT",""))</f>
        <v/>
      </c>
      <c r="AD3988">
        <f>IF(Y3988&lt;&gt;"",Y3988,IF(U3988&lt;&gt;"",U3988,S3988))</f>
        <v/>
      </c>
      <c r="AE3988">
        <f>IF(AB3988&lt;&gt;"",AB3988,Z3988)</f>
        <v/>
      </c>
    </row>
    <row r="3989">
      <c r="AC3989">
        <f>IF(OR(E3989="",E3989="[PARENT]"),"ADD",IF(E3989="[ALT_VIEW]","ALT",""))</f>
        <v/>
      </c>
      <c r="AD3989">
        <f>IF(Y3989&lt;&gt;"",Y3989,IF(U3989&lt;&gt;"",U3989,S3989))</f>
        <v/>
      </c>
      <c r="AE3989">
        <f>IF(AB3989&lt;&gt;"",AB3989,Z3989)</f>
        <v/>
      </c>
    </row>
    <row r="3990">
      <c r="AC3990">
        <f>IF(OR(E3990="",E3990="[PARENT]"),"ADD",IF(E3990="[ALT_VIEW]","ALT",""))</f>
        <v/>
      </c>
      <c r="AD3990">
        <f>IF(Y3990&lt;&gt;"",Y3990,IF(U3990&lt;&gt;"",U3990,S3990))</f>
        <v/>
      </c>
      <c r="AE3990">
        <f>IF(AB3990&lt;&gt;"",AB3990,Z3990)</f>
        <v/>
      </c>
    </row>
    <row r="3991">
      <c r="AC3991">
        <f>IF(OR(E3991="",E3991="[PARENT]"),"ADD",IF(E3991="[ALT_VIEW]","ALT",""))</f>
        <v/>
      </c>
      <c r="AD3991">
        <f>IF(Y3991&lt;&gt;"",Y3991,IF(U3991&lt;&gt;"",U3991,S3991))</f>
        <v/>
      </c>
      <c r="AE3991">
        <f>IF(AB3991&lt;&gt;"",AB3991,Z3991)</f>
        <v/>
      </c>
    </row>
    <row r="3992">
      <c r="AC3992">
        <f>IF(OR(E3992="",E3992="[PARENT]"),"ADD",IF(E3992="[ALT_VIEW]","ALT",""))</f>
        <v/>
      </c>
      <c r="AD3992">
        <f>IF(Y3992&lt;&gt;"",Y3992,IF(U3992&lt;&gt;"",U3992,S3992))</f>
        <v/>
      </c>
      <c r="AE3992">
        <f>IF(AB3992&lt;&gt;"",AB3992,Z3992)</f>
        <v/>
      </c>
    </row>
    <row r="3993">
      <c r="AC3993">
        <f>IF(OR(E3993="",E3993="[PARENT]"),"ADD",IF(E3993="[ALT_VIEW]","ALT",""))</f>
        <v/>
      </c>
      <c r="AD3993">
        <f>IF(Y3993&lt;&gt;"",Y3993,IF(U3993&lt;&gt;"",U3993,S3993))</f>
        <v/>
      </c>
      <c r="AE3993">
        <f>IF(AB3993&lt;&gt;"",AB3993,Z3993)</f>
        <v/>
      </c>
    </row>
    <row r="3994">
      <c r="AC3994">
        <f>IF(OR(E3994="",E3994="[PARENT]"),"ADD",IF(E3994="[ALT_VIEW]","ALT",""))</f>
        <v/>
      </c>
      <c r="AD3994">
        <f>IF(Y3994&lt;&gt;"",Y3994,IF(U3994&lt;&gt;"",U3994,S3994))</f>
        <v/>
      </c>
      <c r="AE3994">
        <f>IF(AB3994&lt;&gt;"",AB3994,Z3994)</f>
        <v/>
      </c>
    </row>
    <row r="3995">
      <c r="AC3995">
        <f>IF(OR(E3995="",E3995="[PARENT]"),"ADD",IF(E3995="[ALT_VIEW]","ALT",""))</f>
        <v/>
      </c>
      <c r="AD3995">
        <f>IF(Y3995&lt;&gt;"",Y3995,IF(U3995&lt;&gt;"",U3995,S3995))</f>
        <v/>
      </c>
      <c r="AE3995">
        <f>IF(AB3995&lt;&gt;"",AB3995,Z3995)</f>
        <v/>
      </c>
    </row>
    <row r="3996">
      <c r="AC3996">
        <f>IF(OR(E3996="",E3996="[PARENT]"),"ADD",IF(E3996="[ALT_VIEW]","ALT",""))</f>
        <v/>
      </c>
      <c r="AD3996">
        <f>IF(Y3996&lt;&gt;"",Y3996,IF(U3996&lt;&gt;"",U3996,S3996))</f>
        <v/>
      </c>
      <c r="AE3996">
        <f>IF(AB3996&lt;&gt;"",AB3996,Z3996)</f>
        <v/>
      </c>
    </row>
    <row r="3997">
      <c r="AC3997">
        <f>IF(OR(E3997="",E3997="[PARENT]"),"ADD",IF(E3997="[ALT_VIEW]","ALT",""))</f>
        <v/>
      </c>
      <c r="AD3997">
        <f>IF(Y3997&lt;&gt;"",Y3997,IF(U3997&lt;&gt;"",U3997,S3997))</f>
        <v/>
      </c>
      <c r="AE3997">
        <f>IF(AB3997&lt;&gt;"",AB3997,Z3997)</f>
        <v/>
      </c>
    </row>
    <row r="3998">
      <c r="AC3998">
        <f>IF(OR(E3998="",E3998="[PARENT]"),"ADD",IF(E3998="[ALT_VIEW]","ALT",""))</f>
        <v/>
      </c>
      <c r="AD3998">
        <f>IF(Y3998&lt;&gt;"",Y3998,IF(U3998&lt;&gt;"",U3998,S3998))</f>
        <v/>
      </c>
      <c r="AE3998">
        <f>IF(AB3998&lt;&gt;"",AB3998,Z3998)</f>
        <v/>
      </c>
    </row>
    <row r="3999">
      <c r="AC3999">
        <f>IF(OR(E3999="",E3999="[PARENT]"),"ADD",IF(E3999="[ALT_VIEW]","ALT",""))</f>
        <v/>
      </c>
      <c r="AD3999">
        <f>IF(Y3999&lt;&gt;"",Y3999,IF(U3999&lt;&gt;"",U3999,S3999))</f>
        <v/>
      </c>
      <c r="AE3999">
        <f>IF(AB3999&lt;&gt;"",AB3999,Z3999)</f>
        <v/>
      </c>
    </row>
    <row r="4000">
      <c r="AC4000">
        <f>IF(OR(E4000="",E4000="[PARENT]"),"ADD",IF(E4000="[ALT_VIEW]","ALT",""))</f>
        <v/>
      </c>
      <c r="AD4000">
        <f>IF(Y4000&lt;&gt;"",Y4000,IF(U4000&lt;&gt;"",U4000,S4000))</f>
        <v/>
      </c>
      <c r="AE4000">
        <f>IF(AB4000&lt;&gt;"",AB4000,Z4000)</f>
        <v/>
      </c>
    </row>
  </sheetData>
  <pageMargins left="0.75" right="0.75" top="1" bottom="1" header="0.5" footer="0.5"/>
</worksheet>
</file>

<file path=xl/worksheets/sheet2.xml><?xml version="1.0" encoding="utf-8"?>
<worksheet xmlns="http://schemas.openxmlformats.org/spreadsheetml/2006/main">
  <sheetPr>
    <tabColor rgb="004472C4"/>
    <outlinePr summaryBelow="1" summaryRight="1"/>
    <pageSetUpPr/>
  </sheetPr>
  <dimension ref="A1:F1"/>
  <sheetViews>
    <sheetView showGridLines="0" workbookViewId="0">
      <selection activeCell="A1" sqref="A1"/>
    </sheetView>
  </sheetViews>
  <sheetFormatPr baseColWidth="8" defaultRowHeight="15"/>
  <sheetData>
    <row r="1" ht="10" customHeight="1">
      <c r="A1" s="24" t="inlineStr">
        <is>
          <t>FY2026</t>
        </is>
      </c>
      <c r="B1" s="25" t="n"/>
      <c r="C1" s="25" t="n"/>
      <c r="D1" s="25" t="n"/>
      <c r="E1" s="25" t="n"/>
      <c r="F1" s="25" t="n"/>
    </row>
  </sheetData>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C43"/>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24" t="inlineStr">
        <is>
          <t>Total Funding</t>
        </is>
      </c>
      <c r="B1" s="25" t="n"/>
      <c r="C1" s="25" t="n"/>
    </row>
    <row r="2" ht="10" customHeight="1">
      <c r="A2" s="26" t="inlineStr">
        <is>
          <t>All USN, MSC &amp; USCG budget authority for any type of work on any type of vessel — from new construction through depot maintenance, modernization, sustainment, and end-of-life. Includes line items that lack vessel type or work type attribution. FY2026 ($K)</t>
        </is>
      </c>
    </row>
    <row r="3" ht="10" customHeight="1"/>
    <row r="4" ht="10" customHeight="1">
      <c r="A4" s="27" t="inlineStr">
        <is>
          <t>(A) FY2026 Total Funding by Work Type</t>
        </is>
      </c>
      <c r="B4" s="28" t="n"/>
    </row>
    <row r="5" ht="10" customHeight="1">
      <c r="A5" s="29" t="inlineStr">
        <is>
          <t>Work Type</t>
        </is>
      </c>
      <c r="B5" s="29" t="inlineStr">
        <is>
          <t>FY2026 ($K)</t>
        </is>
      </c>
    </row>
    <row r="6" ht="10" customHeight="1">
      <c r="A6" s="30" t="inlineStr">
        <is>
          <t>New Construction</t>
        </is>
      </c>
      <c r="B6" s="31">
        <f>SUMIFS(JB_26BV,JB_B,1,JB_RC,"ADD")</f>
        <v/>
      </c>
    </row>
    <row r="7" ht="10" customHeight="1">
      <c r="A7" s="30" t="inlineStr">
        <is>
          <t>Scheduled Depot Maintenance &amp; Repair</t>
        </is>
      </c>
      <c r="B7" s="31">
        <f>SUMIFS(JB_26BV,JB_B,2,JB_RC,"ADD")</f>
        <v/>
      </c>
    </row>
    <row r="8" ht="10" customHeight="1">
      <c r="A8" s="30" t="inlineStr">
        <is>
          <t>Continuous / Intermediate / Emergent Maintenance</t>
        </is>
      </c>
      <c r="B8" s="31">
        <f>SUMIFS(JB_26BV,JB_B,3,JB_RC,"ADD")</f>
        <v/>
      </c>
    </row>
    <row r="9" ht="10" customHeight="1">
      <c r="A9" s="30" t="inlineStr">
        <is>
          <t>Modernization &amp; Alteration Installation</t>
        </is>
      </c>
      <c r="B9" s="31">
        <f>SUMIFS(JB_26BV,JB_B,4,JB_RC,"ADD")</f>
        <v/>
      </c>
    </row>
    <row r="10" ht="10" customHeight="1">
      <c r="A10" s="30" t="inlineStr">
        <is>
          <t>Major Life-Cycle Events / SLEP / MMA / RCOH</t>
        </is>
      </c>
      <c r="B10" s="31">
        <f>SUMIFS(JB_26BV,JB_B,5,JB_RC,"ADD")</f>
        <v/>
      </c>
    </row>
    <row r="11" ht="10" customHeight="1">
      <c r="A11" s="30" t="inlineStr">
        <is>
          <t>Sustainment Engineering / Planning / Obsolescence Support</t>
        </is>
      </c>
      <c r="B11" s="31">
        <f>SUMIFS(JB_26BV,JB_B,6,JB_RC,"ADD")</f>
        <v/>
      </c>
    </row>
    <row r="12" ht="10" customHeight="1">
      <c r="A12" s="30" t="inlineStr">
        <is>
          <t>Availability Support / Husbanding / Port Services</t>
        </is>
      </c>
      <c r="B12" s="31">
        <f>SUMIFS(JB_26BV,JB_B,7,JB_RC,"ADD")</f>
        <v/>
      </c>
    </row>
    <row r="13" ht="10" customHeight="1">
      <c r="A13" s="32" t="inlineStr">
        <is>
          <t>Total</t>
        </is>
      </c>
      <c r="B13" s="33">
        <f>SUM(B6:B12)</f>
        <v/>
      </c>
    </row>
    <row r="14" ht="10" customHeight="1"/>
    <row r="15" ht="10" customHeight="1"/>
    <row r="16" ht="10" customHeight="1">
      <c r="A16" s="27" t="inlineStr">
        <is>
          <t>(B) FY2026 Total Funding by Vessel Category</t>
        </is>
      </c>
      <c r="B16" s="28" t="n"/>
      <c r="C16" s="28" t="n"/>
    </row>
    <row r="17" ht="10" customHeight="1">
      <c r="A17" s="29" t="inlineStr">
        <is>
          <t>Category</t>
        </is>
      </c>
      <c r="B17" s="29" t="inlineStr">
        <is>
          <t>FY2026 ($K)</t>
        </is>
      </c>
      <c r="C17" s="29" t="inlineStr">
        <is>
          <t>TAM Scope</t>
        </is>
      </c>
    </row>
    <row r="18" ht="10" customHeight="1">
      <c r="A18" s="30" t="inlineStr">
        <is>
          <t>Combatant Ships</t>
        </is>
      </c>
      <c r="B18" s="31">
        <f>SUMIFS(JB_26BV,JB_V,"Combatant Ships",JB_RC,"ADD")</f>
        <v/>
      </c>
      <c r="C18" s="26" t="inlineStr">
        <is>
          <t>YES → TAM</t>
        </is>
      </c>
    </row>
    <row r="19" ht="10" customHeight="1">
      <c r="A19" s="30" t="inlineStr">
        <is>
          <t>Auxiliary Ships</t>
        </is>
      </c>
      <c r="B19" s="31">
        <f>SUMIFS(JB_26BV,JB_V,"Auxiliary Ships",JB_RC,"ADD")</f>
        <v/>
      </c>
      <c r="C19" s="26" t="inlineStr">
        <is>
          <t>YES → TAM</t>
        </is>
      </c>
    </row>
    <row r="20" ht="10" customHeight="1">
      <c r="A20" s="30" t="inlineStr">
        <is>
          <t>Cutters</t>
        </is>
      </c>
      <c r="B20" s="31">
        <f>SUMIFS(JB_26BV,JB_V,"Cutters",JB_RC,"ADD")</f>
        <v/>
      </c>
      <c r="C20" s="26" t="inlineStr">
        <is>
          <t>YES → TAM</t>
        </is>
      </c>
    </row>
    <row r="21" ht="10" customHeight="1">
      <c r="A21" s="30" t="inlineStr">
        <is>
          <t>Unmanned Maritime Platforms</t>
        </is>
      </c>
      <c r="B21" s="31">
        <f>SUMIFS(JB_26BV,JB_V,"Unmanned Maritime Platforms",JB_RC,"ADD")</f>
        <v/>
      </c>
      <c r="C21" s="26" t="inlineStr">
        <is>
          <t>YES → TAM</t>
        </is>
      </c>
    </row>
    <row r="22" ht="10" customHeight="1">
      <c r="A22" s="30" t="inlineStr">
        <is>
          <t>Combatant Crafts</t>
        </is>
      </c>
      <c r="B22" s="31">
        <f>SUMIFS(JB_26BV,JB_V,"Combatant Crafts",JB_RC,"ADD")</f>
        <v/>
      </c>
      <c r="C22" s="26" t="inlineStr">
        <is>
          <t>No — small craft</t>
        </is>
      </c>
    </row>
    <row r="23" ht="10" customHeight="1">
      <c r="A23" s="30" t="inlineStr">
        <is>
          <t>Support Crafts</t>
        </is>
      </c>
      <c r="B23" s="31">
        <f>SUMIFS(JB_26BV,JB_V,"Support Crafts",JB_RC,"ADD")</f>
        <v/>
      </c>
      <c r="C23" s="26" t="inlineStr">
        <is>
          <t>No — non-oceangoing</t>
        </is>
      </c>
    </row>
    <row r="24" ht="10" customHeight="1">
      <c r="A24" s="30" t="inlineStr">
        <is>
          <t>Boats</t>
        </is>
      </c>
      <c r="B24" s="31">
        <f>SUMIFS(JB_26BV,JB_V,"Boats",JB_RC,"ADD")</f>
        <v/>
      </c>
      <c r="C24" s="26" t="inlineStr">
        <is>
          <t>No — under 65 ft</t>
        </is>
      </c>
    </row>
    <row r="25" ht="10" customHeight="1">
      <c r="A25" s="30" t="inlineStr">
        <is>
          <t>Unattributed (fleet-wide)</t>
        </is>
      </c>
      <c r="B25" s="31">
        <f>SUMIFS(JB_26BV,JB_V,"",JB_RC,"ADD")</f>
        <v/>
      </c>
      <c r="C25" s="26" t="inlineStr">
        <is>
          <t>No — not vessel-specific</t>
        </is>
      </c>
    </row>
    <row r="26" ht="10" customHeight="1">
      <c r="A26" s="32" t="inlineStr">
        <is>
          <t>Total</t>
        </is>
      </c>
      <c r="B26" s="33">
        <f>SUM(B18:B25)</f>
        <v/>
      </c>
      <c r="C26" s="34" t="n"/>
    </row>
    <row r="27" ht="10" customHeight="1">
      <c r="A27" s="35" t="inlineStr">
        <is>
          <t>TAM-eligible</t>
        </is>
      </c>
      <c r="B27" s="36">
        <f>B18+B19+B20+B21</f>
        <v/>
      </c>
    </row>
    <row r="28" ht="10" customHeight="1"/>
    <row r="29" ht="10" customHeight="1"/>
    <row r="30" ht="10" customHeight="1">
      <c r="A30" s="27" t="inlineStr">
        <is>
          <t>(C) FY2026 Total Funding by Source Book</t>
        </is>
      </c>
      <c r="B30" s="28" t="n"/>
    </row>
    <row r="31" ht="10" customHeight="1">
      <c r="A31" s="29" t="inlineStr">
        <is>
          <t>Source Book</t>
        </is>
      </c>
      <c r="B31" s="29" t="inlineStr">
        <is>
          <t>FY2026 ($K)</t>
        </is>
      </c>
    </row>
    <row r="32" ht="10" customHeight="1">
      <c r="A32" s="30" t="inlineStr">
        <is>
          <t>NWCF</t>
        </is>
      </c>
      <c r="B32" s="31">
        <f>SUMIFS(JB_26BV,JB_A,"NWCF",JB_RC,"ADD")</f>
        <v/>
      </c>
    </row>
    <row r="33" ht="10" customHeight="1">
      <c r="A33" s="30" t="inlineStr">
        <is>
          <t>OMN_Vol2</t>
        </is>
      </c>
      <c r="B33" s="31">
        <f>SUMIFS(JB_26BV,JB_A,"OMN_Vol2",JB_RC,"ADD")</f>
        <v/>
      </c>
    </row>
    <row r="34" ht="10" customHeight="1">
      <c r="A34" s="30" t="inlineStr">
        <is>
          <t>SCN</t>
        </is>
      </c>
      <c r="B34" s="31">
        <f>SUMIFS(JB_26BV,JB_A,"SCN",JB_RC,"ADD")</f>
        <v/>
      </c>
    </row>
    <row r="35" ht="10" customHeight="1">
      <c r="A35" s="30" t="inlineStr">
        <is>
          <t>OMN</t>
        </is>
      </c>
      <c r="B35" s="31">
        <f>SUMIFS(JB_26BV,JB_A,"OMN",JB_RC,"ADD")</f>
        <v/>
      </c>
    </row>
    <row r="36" ht="10" customHeight="1">
      <c r="A36" s="30" t="inlineStr">
        <is>
          <t>OPN_BA1</t>
        </is>
      </c>
      <c r="B36" s="31">
        <f>SUMIFS(JB_26BV,JB_A,"OPN_BA1",JB_RC,"ADD")</f>
        <v/>
      </c>
    </row>
    <row r="37" ht="10" customHeight="1">
      <c r="A37" s="30" t="inlineStr">
        <is>
          <t>WPN</t>
        </is>
      </c>
      <c r="B37" s="31">
        <f>SUMIFS(JB_26BV,JB_A,"WPN",JB_RC,"ADD")</f>
        <v/>
      </c>
    </row>
    <row r="38" ht="10" customHeight="1">
      <c r="A38" s="30" t="inlineStr">
        <is>
          <t>OPN_BA2</t>
        </is>
      </c>
      <c r="B38" s="31">
        <f>SUMIFS(JB_26BV,JB_A,"OPN_BA2",JB_RC,"ADD")</f>
        <v/>
      </c>
    </row>
    <row r="39" ht="10" customHeight="1">
      <c r="A39" s="30" t="inlineStr">
        <is>
          <t>USCG</t>
        </is>
      </c>
      <c r="B39" s="31">
        <f>SUMIFS(JB_26BV,JB_A,"USCG",JB_RC,"ADD")</f>
        <v/>
      </c>
    </row>
    <row r="40" ht="10" customHeight="1">
      <c r="A40" s="30" t="inlineStr">
        <is>
          <t>OPN_BA5-8</t>
        </is>
      </c>
      <c r="B40" s="31">
        <f>SUMIFS(JB_26BV,JB_A,"OPN_BA5-8",JB_RC,"ADD")</f>
        <v/>
      </c>
    </row>
    <row r="41" ht="10" customHeight="1">
      <c r="A41" s="30" t="inlineStr">
        <is>
          <t>OPN_BA3</t>
        </is>
      </c>
      <c r="B41" s="31">
        <f>SUMIFS(JB_26BV,JB_A,"OPN_BA3",JB_RC,"ADD")</f>
        <v/>
      </c>
    </row>
    <row r="42" ht="10" customHeight="1">
      <c r="A42" s="30" t="inlineStr">
        <is>
          <t>OPN_BA4</t>
        </is>
      </c>
      <c r="B42" s="31">
        <f>SUMIFS(JB_26BV,JB_A,"OPN_BA4",JB_RC,"ADD")</f>
        <v/>
      </c>
    </row>
    <row r="43" ht="10" customHeight="1">
      <c r="A43" s="32" t="inlineStr">
        <is>
          <t>Total</t>
        </is>
      </c>
      <c r="B43" s="33">
        <f>SUM(B32:B42)</f>
        <v/>
      </c>
    </row>
  </sheetData>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U88"/>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s>
  <sheetData>
    <row r="1" ht="10" customHeight="1">
      <c r="A1" s="24" t="inlineStr">
        <is>
          <t>Newbuild TAM — FY2026 ($K)</t>
        </is>
      </c>
      <c r="B1" s="25" t="n"/>
      <c r="C1" s="25" t="n"/>
      <c r="D1" s="25" t="n"/>
      <c r="E1" s="25" t="n"/>
      <c r="F1" s="25" t="n"/>
      <c r="G1" s="25" t="n"/>
      <c r="H1" s="25" t="n"/>
      <c r="I1" s="25" t="n"/>
      <c r="J1" s="25" t="n"/>
      <c r="K1" s="25" t="n"/>
      <c r="L1" s="25" t="n"/>
      <c r="M1" s="25" t="n"/>
      <c r="N1" s="25" t="n"/>
      <c r="O1" s="25" t="n"/>
      <c r="P1" s="25" t="n"/>
      <c r="Q1" s="25" t="n"/>
      <c r="R1" s="25" t="n"/>
      <c r="S1" s="25" t="n"/>
      <c r="T1" s="25" t="n"/>
      <c r="U1" s="25" t="n"/>
    </row>
    <row r="2" ht="10" customHeight="1">
      <c r="A2" s="26" t="inlineStr">
        <is>
          <t>Total Funding narrowed to new construction only and only oceangoing vessels — excludes small craft (Combatant Crafts, Support Crafts) and USCG Boats. Limited to line items with clear vessel type designation; unattributed fleet-wide items are excluded.</t>
        </is>
      </c>
    </row>
    <row r="3" ht="10" customHeight="1"/>
    <row r="4" ht="10" customHeight="1">
      <c r="A4" s="27" t="inlineStr">
        <is>
          <t>(A) Bridge: Total NC Funding → Newbuild TAM</t>
        </is>
      </c>
      <c r="B4" s="28" t="n"/>
    </row>
    <row r="5" ht="10" customHeight="1">
      <c r="A5" s="30" t="inlineStr">
        <is>
          <t>Total New Construction Funding</t>
        </is>
      </c>
      <c r="B5" s="31">
        <f>SUMIFS(JB_26BV,JB_B,1,JB_RC,"ADD")</f>
        <v/>
      </c>
    </row>
    <row r="6" ht="10" customHeight="1">
      <c r="A6" s="30" t="inlineStr">
        <is>
          <t xml:space="preserve">  Less: Unattributed (fleet-wide NC items)</t>
        </is>
      </c>
      <c r="B6" s="31">
        <f>-SUMIFS(JB_26BV,JB_B,1,JB_V,"",JB_RC,"ADD")</f>
        <v/>
      </c>
    </row>
    <row r="7" ht="10" customHeight="1">
      <c r="A7" s="30" t="inlineStr">
        <is>
          <t xml:space="preserve">  Less: Combatant Crafts</t>
        </is>
      </c>
      <c r="B7" s="31">
        <f>-SUMIFS(JB_26BV,JB_B,1,JB_V,"Combatant Crafts",JB_RC,"ADD")</f>
        <v/>
      </c>
    </row>
    <row r="8" ht="10" customHeight="1">
      <c r="A8" s="30" t="inlineStr">
        <is>
          <t xml:space="preserve">  Less: Support Crafts</t>
        </is>
      </c>
      <c r="B8" s="31">
        <f>-SUMIFS(JB_26BV,JB_B,1,JB_V,"Support Crafts",JB_RC,"ADD")</f>
        <v/>
      </c>
    </row>
    <row r="9" ht="10" customHeight="1">
      <c r="A9" s="30" t="inlineStr">
        <is>
          <t xml:space="preserve">  Less: Boats</t>
        </is>
      </c>
      <c r="B9" s="31">
        <f>-SUMIFS(JB_26BV,JB_B,1,JB_V,"Boats",JB_RC,"ADD")</f>
        <v/>
      </c>
    </row>
    <row r="10" ht="10" customHeight="1">
      <c r="A10" s="30" t="inlineStr">
        <is>
          <t xml:space="preserve">  Less: No vessel type designation</t>
        </is>
      </c>
      <c r="B10" s="31">
        <f>-(SUMIFS(JB_26BV,JB_B,1,JB_V,"Auxiliary Ships",JB_W,"",JB_RC,"ADD")+SUMIFS(JB_26BV,JB_B,1,JB_V,"Combatant Ships",JB_W,"",JB_RC,"ADD")+SUMIFS(JB_26BV,JB_B,1,JB_V,"Cutters",JB_W,"",JB_RC,"ADD")+SUMIFS(JB_26BV,JB_B,1,JB_V,"Unmanned Maritime Platforms",JB_W,"",JB_RC,"ADD"))</f>
        <v/>
      </c>
    </row>
    <row r="11" ht="10" customHeight="1">
      <c r="A11" s="32" t="inlineStr">
        <is>
          <t>Newbuild TAM</t>
        </is>
      </c>
      <c r="B11" s="33">
        <f>SUM(B5:B10)</f>
        <v/>
      </c>
    </row>
    <row r="12" ht="10" customHeight="1"/>
    <row r="13" ht="10" customHeight="1"/>
    <row r="14" ht="10" customHeight="1">
      <c r="A14" s="27" t="inlineStr">
        <is>
          <t>(B) Newbuild TAM by Vessel Type</t>
        </is>
      </c>
      <c r="B14" s="28" t="n"/>
      <c r="C14" s="28" t="n"/>
      <c r="D14" s="28" t="n"/>
    </row>
    <row r="15" ht="10" customHeight="1">
      <c r="A15" s="29" t="inlineStr">
        <is>
          <t>Vessel Type</t>
        </is>
      </c>
      <c r="B15" s="29" t="inlineStr">
        <is>
          <t>Service</t>
        </is>
      </c>
      <c r="C15" s="29" t="inlineStr">
        <is>
          <t>FY2026 ($K)</t>
        </is>
      </c>
      <c r="D15" s="29" t="inlineStr">
        <is>
          <t>% of TAM</t>
        </is>
      </c>
    </row>
    <row r="16" ht="10" customHeight="1">
      <c r="A16" s="30" t="inlineStr">
        <is>
          <t>Submarines</t>
        </is>
      </c>
      <c r="B16" s="30" t="inlineStr">
        <is>
          <t>USN</t>
        </is>
      </c>
      <c r="C16" s="31">
        <f>SUMIFS(JB_26BV,JB_B,1,JB_W,"Submarines",JB_RC,"ADD")</f>
        <v/>
      </c>
      <c r="D16" s="37">
        <f>IFERROR(C16/C$44,0)</f>
        <v/>
      </c>
    </row>
    <row r="17" ht="10" customHeight="1">
      <c r="A17" s="30" t="inlineStr">
        <is>
          <t>Surface Combatants</t>
        </is>
      </c>
      <c r="B17" s="30" t="inlineStr">
        <is>
          <t>USN</t>
        </is>
      </c>
      <c r="C17" s="31">
        <f>SUMIFS(JB_26BV,JB_B,1,JB_W,"Surface Combatants",JB_RC,"ADD")</f>
        <v/>
      </c>
      <c r="D17" s="37">
        <f>IFERROR(C17/C$44,0)</f>
        <v/>
      </c>
    </row>
    <row r="18" ht="10" customHeight="1">
      <c r="A18" s="30" t="inlineStr">
        <is>
          <t>Aircraft Carriers</t>
        </is>
      </c>
      <c r="B18" s="30" t="inlineStr">
        <is>
          <t>USN</t>
        </is>
      </c>
      <c r="C18" s="31">
        <f>SUMIFS(JB_26BV,JB_B,1,JB_W,"Aircraft Carriers",JB_RC,"ADD")</f>
        <v/>
      </c>
      <c r="D18" s="37">
        <f>IFERROR(C18/C$44,0)</f>
        <v/>
      </c>
    </row>
    <row r="19" ht="10" customHeight="1">
      <c r="A19" s="30" t="inlineStr">
        <is>
          <t>Expeditionary &amp; Seabasing Ships</t>
        </is>
      </c>
      <c r="B19" s="30" t="inlineStr">
        <is>
          <t>USN</t>
        </is>
      </c>
      <c r="C19" s="31">
        <f>SUMIFS(JB_26BV,JB_B,1,JB_W,"Expeditionary &amp; Seabasing Ships",JB_RC,"ADD")</f>
        <v/>
      </c>
      <c r="D19" s="37">
        <f>IFERROR(C19/C$44,0)</f>
        <v/>
      </c>
    </row>
    <row r="20" ht="10" customHeight="1">
      <c r="A20" s="30" t="inlineStr">
        <is>
          <t>Combat Logistics Ships</t>
        </is>
      </c>
      <c r="B20" s="30" t="inlineStr">
        <is>
          <t>MSC</t>
        </is>
      </c>
      <c r="C20" s="31">
        <f>SUMIFS(JB_26BV,JB_B,1,JB_W,"Combat Logistics Ships",JB_RC,"ADD")</f>
        <v/>
      </c>
      <c r="D20" s="37">
        <f>IFERROR(C20/C$44,0)</f>
        <v/>
      </c>
    </row>
    <row r="21" ht="10" customHeight="1">
      <c r="A21" s="30" t="inlineStr">
        <is>
          <t>Amphibious Warfare Ships</t>
        </is>
      </c>
      <c r="B21" s="30" t="inlineStr">
        <is>
          <t>USN</t>
        </is>
      </c>
      <c r="C21" s="31">
        <f>SUMIFS(JB_26BV,JB_B,1,JB_W,"Amphibious Warfare Ships",JB_RC,"ADD")</f>
        <v/>
      </c>
      <c r="D21" s="37">
        <f>IFERROR(C21/C$44,0)</f>
        <v/>
      </c>
    </row>
    <row r="22" ht="10" customHeight="1">
      <c r="A22" s="30" t="inlineStr">
        <is>
          <t>Unmanned Surface Vehicles</t>
        </is>
      </c>
      <c r="B22" s="30" t="inlineStr">
        <is>
          <t>USN</t>
        </is>
      </c>
      <c r="C22" s="31">
        <f>SUMIFS(JB_26BV,JB_B,1,JB_W,"Unmanned Surface Vehicles",JB_RC,"ADD")</f>
        <v/>
      </c>
      <c r="D22" s="37">
        <f>IFERROR(C22/C$44,0)</f>
        <v/>
      </c>
    </row>
    <row r="23" ht="10" customHeight="1">
      <c r="A23" s="30" t="inlineStr">
        <is>
          <t>Cargo &amp; Vehicle Cargo Ships</t>
        </is>
      </c>
      <c r="B23" s="30" t="inlineStr">
        <is>
          <t>USN</t>
        </is>
      </c>
      <c r="C23" s="31">
        <f>SUMIFS(JB_26BV,JB_B,1,JB_W,"Cargo &amp; Vehicle Cargo Ships",JB_RC,"ADD")</f>
        <v/>
      </c>
      <c r="D23" s="37">
        <f>IFERROR(C23/C$44,0)</f>
        <v/>
      </c>
    </row>
    <row r="24" ht="10" customHeight="1">
      <c r="A24" s="30" t="inlineStr">
        <is>
          <t>Surveillance Ships</t>
        </is>
      </c>
      <c r="B24" s="30" t="inlineStr">
        <is>
          <t>USN</t>
        </is>
      </c>
      <c r="C24" s="31">
        <f>SUMIFS(JB_26BV,JB_B,1,JB_W,"Surveillance Ships",JB_RC,"ADD")</f>
        <v/>
      </c>
      <c r="D24" s="37">
        <f>IFERROR(C24/C$44,0)</f>
        <v/>
      </c>
    </row>
    <row r="25" ht="10" customHeight="1">
      <c r="A25" s="30" t="inlineStr">
        <is>
          <t>Unmanned Undersea Vehicles</t>
        </is>
      </c>
      <c r="B25" s="30" t="inlineStr">
        <is>
          <t>USN</t>
        </is>
      </c>
      <c r="C25" s="31">
        <f>SUMIFS(JB_26BV,JB_B,1,JB_W,"Unmanned Undersea Vehicles",JB_RC,"ADD")</f>
        <v/>
      </c>
      <c r="D25" s="37">
        <f>IFERROR(C25/C$44,0)</f>
        <v/>
      </c>
    </row>
    <row r="26" ht="10" customHeight="1">
      <c r="A26" s="30" t="inlineStr">
        <is>
          <t>Salvage Ships &amp; Fleet Ocean Tugs</t>
        </is>
      </c>
      <c r="B26" s="30" t="inlineStr">
        <is>
          <t>MSC</t>
        </is>
      </c>
      <c r="C26" s="31">
        <f>SUMIFS(JB_26BV,JB_B,1,JB_W,"Salvage Ships &amp; Fleet Ocean Tugs",JB_RC,"ADD")</f>
        <v/>
      </c>
      <c r="D26" s="37">
        <f>IFERROR(C26/C$44,0)</f>
        <v/>
      </c>
    </row>
    <row r="27" ht="10" customHeight="1">
      <c r="A27" s="30" t="inlineStr">
        <is>
          <t>Command Ships</t>
        </is>
      </c>
      <c r="B27" s="30" t="inlineStr">
        <is>
          <t>USN</t>
        </is>
      </c>
      <c r="C27" s="31">
        <f>SUMIFS(JB_26BV,JB_B,1,JB_W,"Command Ships",JB_RC,"ADD")</f>
        <v/>
      </c>
      <c r="D27" s="37">
        <f>IFERROR(C27/C$44,0)</f>
        <v/>
      </c>
    </row>
    <row r="28" ht="10" customHeight="1">
      <c r="A28" s="30" t="inlineStr">
        <is>
          <t>Mine Warfare</t>
        </is>
      </c>
      <c r="B28" s="30" t="inlineStr">
        <is>
          <t>USN</t>
        </is>
      </c>
      <c r="C28" s="31">
        <f>SUMIFS(JB_26BV,JB_B,1,JB_W,"Mine Warfare",JB_RC,"ADD")</f>
        <v/>
      </c>
      <c r="D28" s="37">
        <f>IFERROR(C28/C$44,0)</f>
        <v/>
      </c>
    </row>
    <row r="29" ht="10" customHeight="1">
      <c r="A29" s="30" t="inlineStr">
        <is>
          <t>Submarine Escort Ship</t>
        </is>
      </c>
      <c r="B29" s="30" t="inlineStr">
        <is>
          <t>USN</t>
        </is>
      </c>
      <c r="C29" s="31">
        <f>SUMIFS(JB_26BV,JB_B,1,JB_W,"Submarine Escort Ship",JB_RC,"ADD")</f>
        <v/>
      </c>
      <c r="D29" s="37">
        <f>IFERROR(C29/C$44,0)</f>
        <v/>
      </c>
    </row>
    <row r="30" ht="10" customHeight="1">
      <c r="A30" s="30" t="inlineStr">
        <is>
          <t>High Speed Transport</t>
        </is>
      </c>
      <c r="B30" s="30" t="inlineStr">
        <is>
          <t>USN</t>
        </is>
      </c>
      <c r="C30" s="31">
        <f>SUMIFS(JB_26BV,JB_B,1,JB_W,"High Speed Transport",JB_RC,"ADD")</f>
        <v/>
      </c>
      <c r="D30" s="37">
        <f>IFERROR(C30/C$44,0)</f>
        <v/>
      </c>
    </row>
    <row r="31" ht="10" customHeight="1">
      <c r="A31" s="30" t="inlineStr">
        <is>
          <t>General Auxiliary</t>
        </is>
      </c>
      <c r="B31" s="30" t="inlineStr">
        <is>
          <t>USN</t>
        </is>
      </c>
      <c r="C31" s="31">
        <f>SUMIFS(JB_26BV,JB_B,1,JB_W,"General Auxiliary",JB_RC,"ADD")</f>
        <v/>
      </c>
      <c r="D31" s="37">
        <f>IFERROR(C31/C$44,0)</f>
        <v/>
      </c>
    </row>
    <row r="32" ht="10" customHeight="1">
      <c r="A32" s="30" t="inlineStr">
        <is>
          <t>Crane Ship</t>
        </is>
      </c>
      <c r="B32" s="30" t="inlineStr">
        <is>
          <t>USN</t>
        </is>
      </c>
      <c r="C32" s="31">
        <f>SUMIFS(JB_26BV,JB_B,1,JB_W,"Crane Ship",JB_RC,"ADD")</f>
        <v/>
      </c>
      <c r="D32" s="37">
        <f>IFERROR(C32/C$44,0)</f>
        <v/>
      </c>
    </row>
    <row r="33" ht="10" customHeight="1">
      <c r="A33" s="30" t="inlineStr">
        <is>
          <t>Aviation Logistics Support Ship</t>
        </is>
      </c>
      <c r="B33" s="30" t="inlineStr">
        <is>
          <t>USN</t>
        </is>
      </c>
      <c r="C33" s="31">
        <f>SUMIFS(JB_26BV,JB_B,1,JB_W,"Aviation Logistics Support Ship",JB_RC,"ADD")</f>
        <v/>
      </c>
      <c r="D33" s="37">
        <f>IFERROR(C33/C$44,0)</f>
        <v/>
      </c>
    </row>
    <row r="34" ht="10" customHeight="1">
      <c r="A34" s="30" t="inlineStr">
        <is>
          <t>Research, Survey &amp; Instrumentation Ships</t>
        </is>
      </c>
      <c r="B34" s="30" t="inlineStr">
        <is>
          <t>MSC</t>
        </is>
      </c>
      <c r="C34" s="31">
        <f>SUMIFS(JB_26BV,JB_B,1,JB_W,"Research, Survey &amp; Instrumentation Ships",JB_RC,"ADD")</f>
        <v/>
      </c>
      <c r="D34" s="37">
        <f>IFERROR(C34/C$44,0)</f>
        <v/>
      </c>
    </row>
    <row r="35" ht="10" customHeight="1">
      <c r="A35" s="30" t="inlineStr">
        <is>
          <t>Material Support Ships</t>
        </is>
      </c>
      <c r="B35" s="30" t="inlineStr">
        <is>
          <t>USN</t>
        </is>
      </c>
      <c r="C35" s="31">
        <f>SUMIFS(JB_26BV,JB_B,1,JB_W,"Material Support Ships",JB_RC,"ADD")</f>
        <v/>
      </c>
      <c r="D35" s="37">
        <f>IFERROR(C35/C$44,0)</f>
        <v/>
      </c>
    </row>
    <row r="36" ht="10" customHeight="1">
      <c r="A36" s="30" t="inlineStr">
        <is>
          <t>Hospital Ship</t>
        </is>
      </c>
      <c r="B36" s="30" t="inlineStr">
        <is>
          <t>MSC</t>
        </is>
      </c>
      <c r="C36" s="31">
        <f>SUMIFS(JB_26BV,JB_B,1,JB_W,"Hospital Ship",JB_RC,"ADD")</f>
        <v/>
      </c>
      <c r="D36" s="37">
        <f>IFERROR(C36/C$44,0)</f>
        <v/>
      </c>
    </row>
    <row r="37" ht="10" customHeight="1">
      <c r="A37" s="30" t="inlineStr">
        <is>
          <t>Offshore Patrol Cutter</t>
        </is>
      </c>
      <c r="B37" s="30" t="inlineStr">
        <is>
          <t>USCG</t>
        </is>
      </c>
      <c r="C37" s="31">
        <f>SUMIFS(JB_26BV,JB_B,1,JB_W,"Offshore Patrol Cutter",JB_RC,"ADD")</f>
        <v/>
      </c>
      <c r="D37" s="37">
        <f>IFERROR(C37/C$44,0)</f>
        <v/>
      </c>
    </row>
    <row r="38" ht="10" customHeight="1">
      <c r="A38" s="30" t="inlineStr">
        <is>
          <t>Fast Response Cutters</t>
        </is>
      </c>
      <c r="B38" s="30" t="inlineStr">
        <is>
          <t>USCG</t>
        </is>
      </c>
      <c r="C38" s="31">
        <f>SUMIFS(JB_26BV,JB_B,1,JB_W,"Fast Response Cutters",JB_RC,"ADD")</f>
        <v/>
      </c>
      <c r="D38" s="37">
        <f>IFERROR(C38/C$44,0)</f>
        <v/>
      </c>
    </row>
    <row r="39" ht="10" customHeight="1">
      <c r="A39" s="30" t="inlineStr">
        <is>
          <t>Icebreakers, Oceangoing</t>
        </is>
      </c>
      <c r="B39" s="30" t="inlineStr">
        <is>
          <t>USCG</t>
        </is>
      </c>
      <c r="C39" s="31">
        <f>SUMIFS(JB_26BV,JB_B,1,JB_W,"Icebreakers, Oceangoing",JB_RC,"ADD")</f>
        <v/>
      </c>
      <c r="D39" s="37">
        <f>IFERROR(C39/C$44,0)</f>
        <v/>
      </c>
    </row>
    <row r="40" ht="10" customHeight="1">
      <c r="A40" s="30" t="inlineStr">
        <is>
          <t>Waterways Commerce Cutters</t>
        </is>
      </c>
      <c r="B40" s="30" t="inlineStr">
        <is>
          <t>USCG</t>
        </is>
      </c>
      <c r="C40" s="31">
        <f>SUMIFS(JB_26BV,JB_B,1,JB_W,"Waterways Commerce Cutters",JB_RC,"ADD")</f>
        <v/>
      </c>
      <c r="D40" s="37">
        <f>IFERROR(C40/C$44,0)</f>
        <v/>
      </c>
    </row>
    <row r="41" ht="10" customHeight="1">
      <c r="A41" s="30" t="inlineStr">
        <is>
          <t>Coastal Buoy Tenders</t>
        </is>
      </c>
      <c r="B41" s="30" t="inlineStr">
        <is>
          <t>USCG</t>
        </is>
      </c>
      <c r="C41" s="31">
        <f>SUMIFS(JB_26BV,JB_B,1,JB_W,"Coastal Buoy Tenders",JB_RC,"ADD")</f>
        <v/>
      </c>
      <c r="D41" s="37">
        <f>IFERROR(C41/C$44,0)</f>
        <v/>
      </c>
    </row>
    <row r="42" ht="10" customHeight="1">
      <c r="A42" s="30" t="inlineStr">
        <is>
          <t>National Security Cutters</t>
        </is>
      </c>
      <c r="B42" s="30" t="inlineStr">
        <is>
          <t>USCG</t>
        </is>
      </c>
      <c r="C42" s="31">
        <f>SUMIFS(JB_26BV,JB_B,1,JB_W,"National Security Cutters",JB_RC,"ADD")</f>
        <v/>
      </c>
      <c r="D42" s="37">
        <f>IFERROR(C42/C$44,0)</f>
        <v/>
      </c>
    </row>
    <row r="43" ht="10" customHeight="1">
      <c r="A43" s="30" t="inlineStr">
        <is>
          <t>Icebreakers, Great Lakes</t>
        </is>
      </c>
      <c r="B43" s="30" t="inlineStr">
        <is>
          <t>USCG</t>
        </is>
      </c>
      <c r="C43" s="31">
        <f>SUMIFS(JB_26BV,JB_B,1,JB_W,"Icebreakers, Great Lakes",JB_RC,"ADD")</f>
        <v/>
      </c>
      <c r="D43" s="37">
        <f>IFERROR(C43/C$44,0)</f>
        <v/>
      </c>
    </row>
    <row r="44" ht="10" customHeight="1">
      <c r="A44" s="32" t="inlineStr">
        <is>
          <t>Newbuild TAM</t>
        </is>
      </c>
      <c r="B44" s="32" t="inlineStr"/>
      <c r="C44" s="33">
        <f>SUM(C16:C43)</f>
        <v/>
      </c>
      <c r="D44" s="38" t="n">
        <v>1</v>
      </c>
    </row>
    <row r="45" ht="10" customHeight="1"/>
    <row r="46" ht="10" customHeight="1"/>
    <row r="47" ht="10" customHeight="1">
      <c r="A47" s="27" t="inlineStr">
        <is>
          <t>(C) Newbuild TAM by Hull Program — FY2026 ($K)</t>
        </is>
      </c>
      <c r="B47" s="28" t="n"/>
      <c r="C47" s="28" t="n"/>
      <c r="D47" s="28" t="n"/>
      <c r="E47" s="28" t="n"/>
    </row>
    <row r="48" ht="10" customHeight="1">
      <c r="A48" s="26" t="inlineStr">
        <is>
          <t>Same funding as (B) broken down to individual hull programs.</t>
        </is>
      </c>
    </row>
    <row r="49" ht="10" customHeight="1">
      <c r="A49" s="29" t="inlineStr">
        <is>
          <t>Hull Program</t>
        </is>
      </c>
      <c r="B49" s="29" t="inlineStr">
        <is>
          <t>Vessel Type</t>
        </is>
      </c>
      <c r="C49" s="29" t="inlineStr">
        <is>
          <t>Service</t>
        </is>
      </c>
      <c r="D49" s="29" t="inlineStr">
        <is>
          <t>FY2026 ($K)</t>
        </is>
      </c>
      <c r="E49" s="29" t="inlineStr">
        <is>
          <t>% of TAM</t>
        </is>
      </c>
    </row>
    <row r="50" ht="10" customHeight="1">
      <c r="A50" s="30" t="inlineStr">
        <is>
          <t>SSN</t>
        </is>
      </c>
      <c r="B50" s="30" t="inlineStr">
        <is>
          <t>Submarines</t>
        </is>
      </c>
      <c r="C50" s="30" t="inlineStr">
        <is>
          <t>USN</t>
        </is>
      </c>
      <c r="D50" s="31">
        <f>SUMIFS(JB_26BV,JB_B,1,JB_H,"SSN",JB_RC,"ADD")</f>
        <v/>
      </c>
      <c r="E50" s="37">
        <f>IFERROR(D50/D$68,0)</f>
        <v/>
      </c>
    </row>
    <row r="51" ht="10" customHeight="1">
      <c r="A51" s="30" t="inlineStr">
        <is>
          <t>SSBN</t>
        </is>
      </c>
      <c r="B51" s="30" t="inlineStr">
        <is>
          <t>Submarines</t>
        </is>
      </c>
      <c r="C51" s="30" t="inlineStr">
        <is>
          <t>USN</t>
        </is>
      </c>
      <c r="D51" s="31">
        <f>SUMIFS(JB_26BV,JB_B,1,JB_H,"SSBN",JB_RC,"ADD")</f>
        <v/>
      </c>
      <c r="E51" s="37">
        <f>IFERROR(D51/D$68,0)</f>
        <v/>
      </c>
    </row>
    <row r="52" ht="10" customHeight="1">
      <c r="A52" s="30" t="inlineStr">
        <is>
          <t>DDG</t>
        </is>
      </c>
      <c r="B52" s="30" t="inlineStr">
        <is>
          <t>Surface Combatants</t>
        </is>
      </c>
      <c r="C52" s="30" t="inlineStr">
        <is>
          <t>USN</t>
        </is>
      </c>
      <c r="D52" s="31">
        <f>SUMIFS(JB_26BV,JB_B,1,JB_H,"DDG",JB_RC,"ADD")</f>
        <v/>
      </c>
      <c r="E52" s="37">
        <f>IFERROR(D52/D$68,0)</f>
        <v/>
      </c>
    </row>
    <row r="53" ht="10" customHeight="1">
      <c r="A53" s="30" t="inlineStr">
        <is>
          <t>CVN</t>
        </is>
      </c>
      <c r="B53" s="30" t="inlineStr">
        <is>
          <t>Aircraft Carriers</t>
        </is>
      </c>
      <c r="C53" s="30" t="inlineStr">
        <is>
          <t>USN</t>
        </is>
      </c>
      <c r="D53" s="31">
        <f>SUMIFS(JB_26BV,JB_B,1,JB_H,"CVN",JB_RC,"ADD")</f>
        <v/>
      </c>
      <c r="E53" s="37">
        <f>IFERROR(D53/D$68,0)</f>
        <v/>
      </c>
    </row>
    <row r="54" ht="10" customHeight="1">
      <c r="A54" s="30" t="inlineStr">
        <is>
          <t>LSM</t>
        </is>
      </c>
      <c r="B54" s="30" t="inlineStr">
        <is>
          <t>Expeditionary &amp; Seabasing Ships</t>
        </is>
      </c>
      <c r="C54" s="30" t="inlineStr">
        <is>
          <t>USN</t>
        </is>
      </c>
      <c r="D54" s="31">
        <f>SUMIFS(JB_26BV,JB_B,1,JB_H,"LSM",JB_RC,"ADD")</f>
        <v/>
      </c>
      <c r="E54" s="37">
        <f>IFERROR(D54/D$68,0)</f>
        <v/>
      </c>
    </row>
    <row r="55" ht="10" customHeight="1">
      <c r="A55" s="30" t="inlineStr">
        <is>
          <t>T-AO</t>
        </is>
      </c>
      <c r="B55" s="30" t="inlineStr">
        <is>
          <t>Combat Logistics Ships</t>
        </is>
      </c>
      <c r="C55" s="30" t="inlineStr">
        <is>
          <t>MSC</t>
        </is>
      </c>
      <c r="D55" s="31">
        <f>SUMIFS(JB_26BV,JB_B,1,JB_H,"T-AO",JB_RC,"ADD")</f>
        <v/>
      </c>
      <c r="E55" s="37">
        <f>IFERROR(D55/D$68,0)</f>
        <v/>
      </c>
    </row>
    <row r="56" ht="10" customHeight="1">
      <c r="A56" s="30" t="inlineStr">
        <is>
          <t>MUSV</t>
        </is>
      </c>
      <c r="B56" s="30" t="inlineStr">
        <is>
          <t>Unmanned Surface Vehicles</t>
        </is>
      </c>
      <c r="C56" s="30" t="inlineStr">
        <is>
          <t>USN</t>
        </is>
      </c>
      <c r="D56" s="31">
        <f>SUMIFS(JB_26BV,JB_B,1,JB_H,"MUSV",JB_RC,"ADD")</f>
        <v/>
      </c>
      <c r="E56" s="37">
        <f>IFERROR(D56/D$68,0)</f>
        <v/>
      </c>
    </row>
    <row r="57" ht="10" customHeight="1">
      <c r="A57" s="30" t="inlineStr">
        <is>
          <t>LPD</t>
        </is>
      </c>
      <c r="B57" s="30" t="inlineStr">
        <is>
          <t>Amphibious Warfare Ships</t>
        </is>
      </c>
      <c r="C57" s="30" t="inlineStr">
        <is>
          <t>USN</t>
        </is>
      </c>
      <c r="D57" s="31">
        <f>SUMIFS(JB_26BV,JB_B,1,JB_H,"LPD",JB_RC,"ADD")</f>
        <v/>
      </c>
      <c r="E57" s="37">
        <f>IFERROR(D57/D$68,0)</f>
        <v/>
      </c>
    </row>
    <row r="58" ht="10" customHeight="1">
      <c r="A58" s="30" t="inlineStr">
        <is>
          <t>T-AKR</t>
        </is>
      </c>
      <c r="B58" s="30" t="inlineStr">
        <is>
          <t>Cargo &amp; Vehicle Cargo Ships</t>
        </is>
      </c>
      <c r="C58" s="30" t="inlineStr">
        <is>
          <t>MSC</t>
        </is>
      </c>
      <c r="D58" s="31">
        <f>SUMIFS(JB_26BV,JB_B,1,JB_H,"T-AKR",JB_RC,"ADD")</f>
        <v/>
      </c>
      <c r="E58" s="37">
        <f>IFERROR(D58/D$68,0)</f>
        <v/>
      </c>
    </row>
    <row r="59" ht="10" customHeight="1">
      <c r="A59" s="30" t="inlineStr">
        <is>
          <t>LHA</t>
        </is>
      </c>
      <c r="B59" s="30" t="inlineStr">
        <is>
          <t>Amphibious Warfare Ships</t>
        </is>
      </c>
      <c r="C59" s="30" t="inlineStr">
        <is>
          <t>USN</t>
        </is>
      </c>
      <c r="D59" s="31">
        <f>SUMIFS(JB_26BV,JB_B,1,JB_H,"LHA",JB_RC,"ADD")</f>
        <v/>
      </c>
      <c r="E59" s="37">
        <f>IFERROR(D59/D$68,0)</f>
        <v/>
      </c>
    </row>
    <row r="60" ht="10" customHeight="1">
      <c r="A60" s="30" t="inlineStr">
        <is>
          <t>T-AGOS</t>
        </is>
      </c>
      <c r="B60" s="30" t="inlineStr">
        <is>
          <t>Surveillance Ships</t>
        </is>
      </c>
      <c r="C60" s="30" t="inlineStr">
        <is>
          <t>MSC</t>
        </is>
      </c>
      <c r="D60" s="31">
        <f>SUMIFS(JB_26BV,JB_B,1,JB_H,"T-AGOS",JB_RC,"ADD")</f>
        <v/>
      </c>
      <c r="E60" s="37">
        <f>IFERROR(D60/D$68,0)</f>
        <v/>
      </c>
    </row>
    <row r="61" ht="10" customHeight="1">
      <c r="A61" s="30" t="inlineStr">
        <is>
          <t>FFG</t>
        </is>
      </c>
      <c r="B61" s="30" t="inlineStr">
        <is>
          <t>Surface Combatants</t>
        </is>
      </c>
      <c r="C61" s="30" t="inlineStr">
        <is>
          <t>USN</t>
        </is>
      </c>
      <c r="D61" s="31">
        <f>SUMIFS(JB_26BV,JB_B,1,JB_H,"FFG",JB_RC,"ADD")</f>
        <v/>
      </c>
      <c r="E61" s="37">
        <f>IFERROR(D61/D$68,0)</f>
        <v/>
      </c>
    </row>
    <row r="62" ht="10" customHeight="1">
      <c r="A62" s="30" t="inlineStr">
        <is>
          <t>UUV</t>
        </is>
      </c>
      <c r="B62" s="30" t="inlineStr">
        <is>
          <t>Unmanned Undersea Vehicles</t>
        </is>
      </c>
      <c r="C62" s="30" t="inlineStr">
        <is>
          <t>USN</t>
        </is>
      </c>
      <c r="D62" s="31">
        <f>SUMIFS(JB_26BV,JB_B,1,JB_H,"UUV",JB_RC,"ADD")</f>
        <v/>
      </c>
      <c r="E62" s="37">
        <f>IFERROR(D62/D$68,0)</f>
        <v/>
      </c>
    </row>
    <row r="63" ht="10" customHeight="1">
      <c r="A63" s="30" t="inlineStr">
        <is>
          <t>T-ATS</t>
        </is>
      </c>
      <c r="B63" s="30" t="inlineStr">
        <is>
          <t>Salvage Ships &amp; Fleet Ocean Tugs</t>
        </is>
      </c>
      <c r="C63" s="30" t="inlineStr">
        <is>
          <t>MSC</t>
        </is>
      </c>
      <c r="D63" s="31">
        <f>SUMIFS(JB_26BV,JB_B,1,JB_H,"T-ATS",JB_RC,"ADD")</f>
        <v/>
      </c>
      <c r="E63" s="37">
        <f>IFERROR(D63/D$68,0)</f>
        <v/>
      </c>
    </row>
    <row r="64" ht="10" customHeight="1">
      <c r="A64" s="30" t="inlineStr">
        <is>
          <t>WMSM</t>
        </is>
      </c>
      <c r="B64" s="30" t="inlineStr">
        <is>
          <t>Offshore Patrol Cutter</t>
        </is>
      </c>
      <c r="C64" s="30" t="inlineStr">
        <is>
          <t>USCG</t>
        </is>
      </c>
      <c r="D64" s="31">
        <f>SUMIFS(JB_26BV,JB_B,1,JB_H,"WMSM",JB_RC,"ADD")</f>
        <v/>
      </c>
      <c r="E64" s="37">
        <f>IFERROR(D64/D$68,0)</f>
        <v/>
      </c>
    </row>
    <row r="65" ht="10" customHeight="1">
      <c r="A65" s="30" t="inlineStr">
        <is>
          <t>WPC</t>
        </is>
      </c>
      <c r="B65" s="30" t="inlineStr">
        <is>
          <t>Fast Response Cutters</t>
        </is>
      </c>
      <c r="C65" s="30" t="inlineStr">
        <is>
          <t>USCG</t>
        </is>
      </c>
      <c r="D65" s="31">
        <f>SUMIFS(JB_26BV,JB_B,1,JB_H,"WPC",JB_RC,"ADD")</f>
        <v/>
      </c>
      <c r="E65" s="37">
        <f>IFERROR(D65/D$68,0)</f>
        <v/>
      </c>
    </row>
    <row r="66" ht="10" customHeight="1">
      <c r="A66" s="30" t="inlineStr">
        <is>
          <t>WAGB</t>
        </is>
      </c>
      <c r="B66" s="30" t="inlineStr">
        <is>
          <t>Icebreakers, Oceangoing</t>
        </is>
      </c>
      <c r="C66" s="30" t="inlineStr">
        <is>
          <t>USCG</t>
        </is>
      </c>
      <c r="D66" s="31">
        <f>SUMIFS(JB_26BV,JB_B,1,JB_H,"WAGB",JB_RC,"ADD")</f>
        <v/>
      </c>
      <c r="E66" s="37">
        <f>IFERROR(D66/D$68,0)</f>
        <v/>
      </c>
    </row>
    <row r="67" ht="10" customHeight="1">
      <c r="A67" s="30" t="inlineStr">
        <is>
          <t>WCC</t>
        </is>
      </c>
      <c r="B67" s="30" t="inlineStr">
        <is>
          <t>Waterways Commerce Cutters</t>
        </is>
      </c>
      <c r="C67" s="30" t="inlineStr">
        <is>
          <t>USCG</t>
        </is>
      </c>
      <c r="D67" s="31">
        <f>SUMIFS(JB_26BV,JB_B,1,JB_H,"WCC",JB_RC,"ADD")</f>
        <v/>
      </c>
      <c r="E67" s="37">
        <f>IFERROR(D67/D$68,0)</f>
        <v/>
      </c>
    </row>
    <row r="68" ht="10" customHeight="1">
      <c r="A68" s="32" t="inlineStr">
        <is>
          <t>Newbuild TAM</t>
        </is>
      </c>
      <c r="B68" s="32" t="inlineStr"/>
      <c r="C68" s="32" t="inlineStr"/>
      <c r="D68" s="33">
        <f>SUM(D50:D67)</f>
        <v/>
      </c>
      <c r="E68" s="38" t="n">
        <v>1</v>
      </c>
    </row>
    <row r="69" ht="10" customHeight="1"/>
    <row r="70" ht="10" customHeight="1"/>
    <row r="71" ht="10" customHeight="1">
      <c r="A71" s="27" t="inlineStr">
        <is>
          <t>(D) Newbuild TAM — Sub-Category Mix by Vessel Type (Mekko)</t>
        </is>
      </c>
      <c r="B71" s="28" t="n"/>
      <c r="C71" s="28" t="n"/>
      <c r="D71" s="28" t="n"/>
      <c r="E71" s="28" t="n"/>
      <c r="F71" s="28" t="n"/>
      <c r="G71" s="28" t="n"/>
      <c r="H71" s="28" t="n"/>
      <c r="I71" s="28" t="n"/>
      <c r="J71" s="28" t="n"/>
      <c r="K71" s="28" t="n"/>
      <c r="L71" s="28" t="n"/>
      <c r="M71" s="28" t="n"/>
      <c r="N71" s="28" t="n"/>
      <c r="O71" s="28" t="n"/>
      <c r="P71" s="28" t="n"/>
      <c r="Q71" s="28" t="n"/>
    </row>
    <row r="72" ht="10" customHeight="1">
      <c r="A72" s="39" t="n"/>
      <c r="B72" s="40" t="inlineStr">
        <is>
          <t>USN</t>
        </is>
      </c>
      <c r="C72" s="39" t="n"/>
      <c r="D72" s="39" t="n"/>
      <c r="E72" s="39" t="n"/>
      <c r="F72" s="39" t="n"/>
      <c r="G72" s="39" t="n"/>
      <c r="H72" s="39" t="n"/>
      <c r="I72" s="39" t="n"/>
      <c r="J72" s="39" t="n"/>
      <c r="K72" s="39" t="n"/>
      <c r="L72" s="39" t="n"/>
      <c r="M72" s="40" t="inlineStr">
        <is>
          <t>USCG</t>
        </is>
      </c>
      <c r="N72" s="39" t="n"/>
      <c r="O72" s="39" t="n"/>
      <c r="P72" s="39" t="n"/>
      <c r="Q72" s="41" t="n"/>
    </row>
    <row r="73" ht="10" customHeight="1">
      <c r="A73" s="29" t="inlineStr">
        <is>
          <t>Sub-Category</t>
        </is>
      </c>
      <c r="B73" s="42" t="inlineStr">
        <is>
          <t>Submarines</t>
        </is>
      </c>
      <c r="C73" s="29" t="inlineStr">
        <is>
          <t>Surface Combatants</t>
        </is>
      </c>
      <c r="D73" s="29" t="inlineStr">
        <is>
          <t>Aircraft Carriers</t>
        </is>
      </c>
      <c r="E73" s="29" t="inlineStr">
        <is>
          <t>Expeditionary &amp; Seabasing Ships</t>
        </is>
      </c>
      <c r="F73" s="29" t="inlineStr">
        <is>
          <t>Combat Logistics Ships</t>
        </is>
      </c>
      <c r="G73" s="29" t="inlineStr">
        <is>
          <t>Amphibious Warfare Ships</t>
        </is>
      </c>
      <c r="H73" s="29" t="inlineStr">
        <is>
          <t>Unmanned Surface Vehicles</t>
        </is>
      </c>
      <c r="I73" s="29" t="inlineStr">
        <is>
          <t>Cargo &amp; Vehicle Cargo Ships</t>
        </is>
      </c>
      <c r="J73" s="29" t="inlineStr">
        <is>
          <t>Surveillance Ships</t>
        </is>
      </c>
      <c r="K73" s="29" t="inlineStr">
        <is>
          <t>Unmanned Undersea Vehicles</t>
        </is>
      </c>
      <c r="L73" s="29" t="inlineStr">
        <is>
          <t>Salvage Ships &amp; Fleet Ocean Tugs</t>
        </is>
      </c>
      <c r="M73" s="42" t="inlineStr">
        <is>
          <t>Offshore Patrol Cutter</t>
        </is>
      </c>
      <c r="N73" s="29" t="inlineStr">
        <is>
          <t>Fast Response Cutters</t>
        </is>
      </c>
      <c r="O73" s="29" t="inlineStr">
        <is>
          <t>Icebreakers, Oceangoing</t>
        </is>
      </c>
      <c r="P73" s="29" t="inlineStr">
        <is>
          <t>Waterways Commerce Cutters</t>
        </is>
      </c>
      <c r="Q73" s="42" t="inlineStr">
        <is>
          <t>Total</t>
        </is>
      </c>
    </row>
    <row r="74" ht="10" customHeight="1">
      <c r="A74" s="30" t="inlineStr">
        <is>
          <t>Full Ship DD&amp;C</t>
        </is>
      </c>
      <c r="B74" s="43">
        <f>IFERROR((SUMIFS(JB_26BV,JB_B,1,JB_W,"Submarines",JB_F,"Full ship DD&amp;C",JB_RC,"ADD")+SUMIFS(JB_26BV,JB_B,1,JB_W,"Submarines",JB_F,"Full ship DD&amp;C / LLTM",JB_RC,"ADD")+SUMIFS(JB_26BV,JB_B,1,JB_W,"Submarines",JB_F,"Full vessel procurement",JB_RC,"ADD"))/B$78,0)</f>
        <v/>
      </c>
      <c r="C74" s="37">
        <f>IFERROR((SUMIFS(JB_26BV,JB_B,1,JB_W,"Surface Combatants",JB_F,"Full ship DD&amp;C",JB_RC,"ADD")+SUMIFS(JB_26BV,JB_B,1,JB_W,"Surface Combatants",JB_F,"Full ship DD&amp;C / LLTM",JB_RC,"ADD")+SUMIFS(JB_26BV,JB_B,1,JB_W,"Surface Combatants",JB_F,"Full vessel procurement",JB_RC,"ADD"))/C$78,0)</f>
        <v/>
      </c>
      <c r="D74" s="37">
        <f>IFERROR((SUMIFS(JB_26BV,JB_B,1,JB_W,"Aircraft Carriers",JB_F,"Full ship DD&amp;C",JB_RC,"ADD")+SUMIFS(JB_26BV,JB_B,1,JB_W,"Aircraft Carriers",JB_F,"Full ship DD&amp;C / LLTM",JB_RC,"ADD")+SUMIFS(JB_26BV,JB_B,1,JB_W,"Aircraft Carriers",JB_F,"Full vessel procurement",JB_RC,"ADD"))/D$78,0)</f>
        <v/>
      </c>
      <c r="E74" s="37">
        <f>IFERROR((SUMIFS(JB_26BV,JB_B,1,JB_W,"Expeditionary &amp; Seabasing Ships",JB_F,"Full ship DD&amp;C",JB_RC,"ADD")+SUMIFS(JB_26BV,JB_B,1,JB_W,"Expeditionary &amp; Seabasing Ships",JB_F,"Full ship DD&amp;C / LLTM",JB_RC,"ADD")+SUMIFS(JB_26BV,JB_B,1,JB_W,"Expeditionary &amp; Seabasing Ships",JB_F,"Full vessel procurement",JB_RC,"ADD"))/E$78,0)</f>
        <v/>
      </c>
      <c r="F74" s="37">
        <f>IFERROR((SUMIFS(JB_26BV,JB_B,1,JB_W,"Combat Logistics Ships",JB_F,"Full ship DD&amp;C",JB_RC,"ADD")+SUMIFS(JB_26BV,JB_B,1,JB_W,"Combat Logistics Ships",JB_F,"Full ship DD&amp;C / LLTM",JB_RC,"ADD")+SUMIFS(JB_26BV,JB_B,1,JB_W,"Combat Logistics Ships",JB_F,"Full vessel procurement",JB_RC,"ADD"))/F$78,0)</f>
        <v/>
      </c>
      <c r="G74" s="37">
        <f>IFERROR((SUMIFS(JB_26BV,JB_B,1,JB_W,"Amphibious Warfare Ships",JB_F,"Full ship DD&amp;C",JB_RC,"ADD")+SUMIFS(JB_26BV,JB_B,1,JB_W,"Amphibious Warfare Ships",JB_F,"Full ship DD&amp;C / LLTM",JB_RC,"ADD")+SUMIFS(JB_26BV,JB_B,1,JB_W,"Amphibious Warfare Ships",JB_F,"Full vessel procurement",JB_RC,"ADD"))/G$78,0)</f>
        <v/>
      </c>
      <c r="H74" s="37">
        <f>IFERROR((SUMIFS(JB_26BV,JB_B,1,JB_W,"Unmanned Surface Vehicles",JB_F,"Full ship DD&amp;C",JB_RC,"ADD")+SUMIFS(JB_26BV,JB_B,1,JB_W,"Unmanned Surface Vehicles",JB_F,"Full ship DD&amp;C / LLTM",JB_RC,"ADD")+SUMIFS(JB_26BV,JB_B,1,JB_W,"Unmanned Surface Vehicles",JB_F,"Full vessel procurement",JB_RC,"ADD"))/H$78,0)</f>
        <v/>
      </c>
      <c r="I74" s="37">
        <f>IFERROR((SUMIFS(JB_26BV,JB_B,1,JB_W,"Cargo &amp; Vehicle Cargo Ships",JB_F,"Full ship DD&amp;C",JB_RC,"ADD")+SUMIFS(JB_26BV,JB_B,1,JB_W,"Cargo &amp; Vehicle Cargo Ships",JB_F,"Full ship DD&amp;C / LLTM",JB_RC,"ADD")+SUMIFS(JB_26BV,JB_B,1,JB_W,"Cargo &amp; Vehicle Cargo Ships",JB_F,"Full vessel procurement",JB_RC,"ADD"))/I$78,0)</f>
        <v/>
      </c>
      <c r="J74" s="37">
        <f>IFERROR((SUMIFS(JB_26BV,JB_B,1,JB_W,"Surveillance Ships",JB_F,"Full ship DD&amp;C",JB_RC,"ADD")+SUMIFS(JB_26BV,JB_B,1,JB_W,"Surveillance Ships",JB_F,"Full ship DD&amp;C / LLTM",JB_RC,"ADD")+SUMIFS(JB_26BV,JB_B,1,JB_W,"Surveillance Ships",JB_F,"Full vessel procurement",JB_RC,"ADD"))/J$78,0)</f>
        <v/>
      </c>
      <c r="K74" s="37">
        <f>IFERROR((SUMIFS(JB_26BV,JB_B,1,JB_W,"Unmanned Undersea Vehicles",JB_F,"Full ship DD&amp;C",JB_RC,"ADD")+SUMIFS(JB_26BV,JB_B,1,JB_W,"Unmanned Undersea Vehicles",JB_F,"Full ship DD&amp;C / LLTM",JB_RC,"ADD")+SUMIFS(JB_26BV,JB_B,1,JB_W,"Unmanned Undersea Vehicles",JB_F,"Full vessel procurement",JB_RC,"ADD"))/K$78,0)</f>
        <v/>
      </c>
      <c r="L74" s="37">
        <f>IFERROR((SUMIFS(JB_26BV,JB_B,1,JB_W,"Salvage Ships &amp; Fleet Ocean Tugs",JB_F,"Full ship DD&amp;C",JB_RC,"ADD")+SUMIFS(JB_26BV,JB_B,1,JB_W,"Salvage Ships &amp; Fleet Ocean Tugs",JB_F,"Full ship DD&amp;C / LLTM",JB_RC,"ADD")+SUMIFS(JB_26BV,JB_B,1,JB_W,"Salvage Ships &amp; Fleet Ocean Tugs",JB_F,"Full vessel procurement",JB_RC,"ADD"))/L$78,0)</f>
        <v/>
      </c>
      <c r="M74" s="43">
        <f>IFERROR((SUMIFS(JB_26BV,JB_B,1,JB_W,"Offshore Patrol Cutter",JB_F,"Full ship DD&amp;C",JB_RC,"ADD")+SUMIFS(JB_26BV,JB_B,1,JB_W,"Offshore Patrol Cutter",JB_F,"Full ship DD&amp;C / LLTM",JB_RC,"ADD")+SUMIFS(JB_26BV,JB_B,1,JB_W,"Offshore Patrol Cutter",JB_F,"Full vessel procurement",JB_RC,"ADD"))/M$78,0)</f>
        <v/>
      </c>
      <c r="N74" s="37">
        <f>IFERROR((SUMIFS(JB_26BV,JB_B,1,JB_W,"Fast Response Cutters",JB_F,"Full ship DD&amp;C",JB_RC,"ADD")+SUMIFS(JB_26BV,JB_B,1,JB_W,"Fast Response Cutters",JB_F,"Full ship DD&amp;C / LLTM",JB_RC,"ADD")+SUMIFS(JB_26BV,JB_B,1,JB_W,"Fast Response Cutters",JB_F,"Full vessel procurement",JB_RC,"ADD"))/N$78,0)</f>
        <v/>
      </c>
      <c r="O74" s="37">
        <f>IFERROR((SUMIFS(JB_26BV,JB_B,1,JB_W,"Icebreakers, Oceangoing",JB_F,"Full ship DD&amp;C",JB_RC,"ADD")+SUMIFS(JB_26BV,JB_B,1,JB_W,"Icebreakers, Oceangoing",JB_F,"Full ship DD&amp;C / LLTM",JB_RC,"ADD")+SUMIFS(JB_26BV,JB_B,1,JB_W,"Icebreakers, Oceangoing",JB_F,"Full vessel procurement",JB_RC,"ADD"))/O$78,0)</f>
        <v/>
      </c>
      <c r="P74" s="37">
        <f>IFERROR((SUMIFS(JB_26BV,JB_B,1,JB_W,"Waterways Commerce Cutters",JB_F,"Full ship DD&amp;C",JB_RC,"ADD")+SUMIFS(JB_26BV,JB_B,1,JB_W,"Waterways Commerce Cutters",JB_F,"Full ship DD&amp;C / LLTM",JB_RC,"ADD")+SUMIFS(JB_26BV,JB_B,1,JB_W,"Waterways Commerce Cutters",JB_F,"Full vessel procurement",JB_RC,"ADD"))/P$78,0)</f>
        <v/>
      </c>
      <c r="Q74" s="43">
        <f>IFERROR(SUMPRODUCT(B74:P74,B$78:P$78)/Q$78,0)</f>
        <v/>
      </c>
    </row>
    <row r="75" ht="10" customHeight="1">
      <c r="A75" s="30" t="inlineStr">
        <is>
          <t>Advance Procurement / LLTM</t>
        </is>
      </c>
      <c r="B75" s="43">
        <f>IFERROR((SUMIFS(JB_26BV,JB_B,1,JB_W,"Submarines",JB_F,"Advance procurement / LLTM",JB_RC,"ADD"))/B$78,0)</f>
        <v/>
      </c>
      <c r="C75" s="37">
        <f>IFERROR((SUMIFS(JB_26BV,JB_B,1,JB_W,"Surface Combatants",JB_F,"Advance procurement / LLTM",JB_RC,"ADD"))/C$78,0)</f>
        <v/>
      </c>
      <c r="D75" s="37">
        <f>IFERROR((SUMIFS(JB_26BV,JB_B,1,JB_W,"Aircraft Carriers",JB_F,"Advance procurement / LLTM",JB_RC,"ADD"))/D$78,0)</f>
        <v/>
      </c>
      <c r="E75" s="37">
        <f>IFERROR((SUMIFS(JB_26BV,JB_B,1,JB_W,"Expeditionary &amp; Seabasing Ships",JB_F,"Advance procurement / LLTM",JB_RC,"ADD"))/E$78,0)</f>
        <v/>
      </c>
      <c r="F75" s="37">
        <f>IFERROR((SUMIFS(JB_26BV,JB_B,1,JB_W,"Combat Logistics Ships",JB_F,"Advance procurement / LLTM",JB_RC,"ADD"))/F$78,0)</f>
        <v/>
      </c>
      <c r="G75" s="37">
        <f>IFERROR((SUMIFS(JB_26BV,JB_B,1,JB_W,"Amphibious Warfare Ships",JB_F,"Advance procurement / LLTM",JB_RC,"ADD"))/G$78,0)</f>
        <v/>
      </c>
      <c r="H75" s="37">
        <f>IFERROR((SUMIFS(JB_26BV,JB_B,1,JB_W,"Unmanned Surface Vehicles",JB_F,"Advance procurement / LLTM",JB_RC,"ADD"))/H$78,0)</f>
        <v/>
      </c>
      <c r="I75" s="37">
        <f>IFERROR((SUMIFS(JB_26BV,JB_B,1,JB_W,"Cargo &amp; Vehicle Cargo Ships",JB_F,"Advance procurement / LLTM",JB_RC,"ADD"))/I$78,0)</f>
        <v/>
      </c>
      <c r="J75" s="37">
        <f>IFERROR((SUMIFS(JB_26BV,JB_B,1,JB_W,"Surveillance Ships",JB_F,"Advance procurement / LLTM",JB_RC,"ADD"))/J$78,0)</f>
        <v/>
      </c>
      <c r="K75" s="37">
        <f>IFERROR((SUMIFS(JB_26BV,JB_B,1,JB_W,"Unmanned Undersea Vehicles",JB_F,"Advance procurement / LLTM",JB_RC,"ADD"))/K$78,0)</f>
        <v/>
      </c>
      <c r="L75" s="37">
        <f>IFERROR((SUMIFS(JB_26BV,JB_B,1,JB_W,"Salvage Ships &amp; Fleet Ocean Tugs",JB_F,"Advance procurement / LLTM",JB_RC,"ADD"))/L$78,0)</f>
        <v/>
      </c>
      <c r="M75" s="43">
        <f>IFERROR((SUMIFS(JB_26BV,JB_B,1,JB_W,"Offshore Patrol Cutter",JB_F,"Advance procurement / LLTM",JB_RC,"ADD"))/M$78,0)</f>
        <v/>
      </c>
      <c r="N75" s="37">
        <f>IFERROR((SUMIFS(JB_26BV,JB_B,1,JB_W,"Fast Response Cutters",JB_F,"Advance procurement / LLTM",JB_RC,"ADD"))/N$78,0)</f>
        <v/>
      </c>
      <c r="O75" s="37">
        <f>IFERROR((SUMIFS(JB_26BV,JB_B,1,JB_W,"Icebreakers, Oceangoing",JB_F,"Advance procurement / LLTM",JB_RC,"ADD"))/O$78,0)</f>
        <v/>
      </c>
      <c r="P75" s="37">
        <f>IFERROR((SUMIFS(JB_26BV,JB_B,1,JB_W,"Waterways Commerce Cutters",JB_F,"Advance procurement / LLTM",JB_RC,"ADD"))/P$78,0)</f>
        <v/>
      </c>
      <c r="Q75" s="43">
        <f>IFERROR(SUMPRODUCT(B75:P75,B$78:P$78)/Q$78,0)</f>
        <v/>
      </c>
    </row>
    <row r="76" ht="10" customHeight="1">
      <c r="A76" s="30" t="inlineStr">
        <is>
          <t>RCOH</t>
        </is>
      </c>
      <c r="B76" s="43">
        <f>IFERROR((SUMIFS(JB_26BV,JB_B,1,JB_W,"Submarines",JB_F,"RCOH",JB_RC,"ADD"))/B$78,0)</f>
        <v/>
      </c>
      <c r="C76" s="37">
        <f>IFERROR((SUMIFS(JB_26BV,JB_B,1,JB_W,"Surface Combatants",JB_F,"RCOH",JB_RC,"ADD"))/C$78,0)</f>
        <v/>
      </c>
      <c r="D76" s="37">
        <f>IFERROR((SUMIFS(JB_26BV,JB_B,1,JB_W,"Aircraft Carriers",JB_F,"RCOH",JB_RC,"ADD"))/D$78,0)</f>
        <v/>
      </c>
      <c r="E76" s="37">
        <f>IFERROR((SUMIFS(JB_26BV,JB_B,1,JB_W,"Expeditionary &amp; Seabasing Ships",JB_F,"RCOH",JB_RC,"ADD"))/E$78,0)</f>
        <v/>
      </c>
      <c r="F76" s="37">
        <f>IFERROR((SUMIFS(JB_26BV,JB_B,1,JB_W,"Combat Logistics Ships",JB_F,"RCOH",JB_RC,"ADD"))/F$78,0)</f>
        <v/>
      </c>
      <c r="G76" s="37">
        <f>IFERROR((SUMIFS(JB_26BV,JB_B,1,JB_W,"Amphibious Warfare Ships",JB_F,"RCOH",JB_RC,"ADD"))/G$78,0)</f>
        <v/>
      </c>
      <c r="H76" s="37">
        <f>IFERROR((SUMIFS(JB_26BV,JB_B,1,JB_W,"Unmanned Surface Vehicles",JB_F,"RCOH",JB_RC,"ADD"))/H$78,0)</f>
        <v/>
      </c>
      <c r="I76" s="37">
        <f>IFERROR((SUMIFS(JB_26BV,JB_B,1,JB_W,"Cargo &amp; Vehicle Cargo Ships",JB_F,"RCOH",JB_RC,"ADD"))/I$78,0)</f>
        <v/>
      </c>
      <c r="J76" s="37">
        <f>IFERROR((SUMIFS(JB_26BV,JB_B,1,JB_W,"Surveillance Ships",JB_F,"RCOH",JB_RC,"ADD"))/J$78,0)</f>
        <v/>
      </c>
      <c r="K76" s="37">
        <f>IFERROR((SUMIFS(JB_26BV,JB_B,1,JB_W,"Unmanned Undersea Vehicles",JB_F,"RCOH",JB_RC,"ADD"))/K$78,0)</f>
        <v/>
      </c>
      <c r="L76" s="37">
        <f>IFERROR((SUMIFS(JB_26BV,JB_B,1,JB_W,"Salvage Ships &amp; Fleet Ocean Tugs",JB_F,"RCOH",JB_RC,"ADD"))/L$78,0)</f>
        <v/>
      </c>
      <c r="M76" s="43">
        <f>IFERROR((SUMIFS(JB_26BV,JB_B,1,JB_W,"Offshore Patrol Cutter",JB_F,"RCOH",JB_RC,"ADD"))/M$78,0)</f>
        <v/>
      </c>
      <c r="N76" s="37">
        <f>IFERROR((SUMIFS(JB_26BV,JB_B,1,JB_W,"Fast Response Cutters",JB_F,"RCOH",JB_RC,"ADD"))/N$78,0)</f>
        <v/>
      </c>
      <c r="O76" s="37">
        <f>IFERROR((SUMIFS(JB_26BV,JB_B,1,JB_W,"Icebreakers, Oceangoing",JB_F,"RCOH",JB_RC,"ADD"))/O$78,0)</f>
        <v/>
      </c>
      <c r="P76" s="37">
        <f>IFERROR((SUMIFS(JB_26BV,JB_B,1,JB_W,"Waterways Commerce Cutters",JB_F,"RCOH",JB_RC,"ADD"))/P$78,0)</f>
        <v/>
      </c>
      <c r="Q76" s="43">
        <f>IFERROR(SUMPRODUCT(B76:P76,B$78:P$78)/Q$78,0)</f>
        <v/>
      </c>
    </row>
    <row r="77" ht="10" customHeight="1">
      <c r="A77" s="30" t="inlineStr">
        <is>
          <t>SLEP</t>
        </is>
      </c>
      <c r="B77" s="43">
        <f>IFERROR((SUMIFS(JB_26BV,JB_B,1,JB_W,"Submarines",JB_F,"SLEP",JB_RC,"ADD"))/B$78,0)</f>
        <v/>
      </c>
      <c r="C77" s="37">
        <f>IFERROR((SUMIFS(JB_26BV,JB_B,1,JB_W,"Surface Combatants",JB_F,"SLEP",JB_RC,"ADD"))/C$78,0)</f>
        <v/>
      </c>
      <c r="D77" s="37">
        <f>IFERROR((SUMIFS(JB_26BV,JB_B,1,JB_W,"Aircraft Carriers",JB_F,"SLEP",JB_RC,"ADD"))/D$78,0)</f>
        <v/>
      </c>
      <c r="E77" s="37">
        <f>IFERROR((SUMIFS(JB_26BV,JB_B,1,JB_W,"Expeditionary &amp; Seabasing Ships",JB_F,"SLEP",JB_RC,"ADD"))/E$78,0)</f>
        <v/>
      </c>
      <c r="F77" s="37">
        <f>IFERROR((SUMIFS(JB_26BV,JB_B,1,JB_W,"Combat Logistics Ships",JB_F,"SLEP",JB_RC,"ADD"))/F$78,0)</f>
        <v/>
      </c>
      <c r="G77" s="37">
        <f>IFERROR((SUMIFS(JB_26BV,JB_B,1,JB_W,"Amphibious Warfare Ships",JB_F,"SLEP",JB_RC,"ADD"))/G$78,0)</f>
        <v/>
      </c>
      <c r="H77" s="37">
        <f>IFERROR((SUMIFS(JB_26BV,JB_B,1,JB_W,"Unmanned Surface Vehicles",JB_F,"SLEP",JB_RC,"ADD"))/H$78,0)</f>
        <v/>
      </c>
      <c r="I77" s="37">
        <f>IFERROR((SUMIFS(JB_26BV,JB_B,1,JB_W,"Cargo &amp; Vehicle Cargo Ships",JB_F,"SLEP",JB_RC,"ADD"))/I$78,0)</f>
        <v/>
      </c>
      <c r="J77" s="37">
        <f>IFERROR((SUMIFS(JB_26BV,JB_B,1,JB_W,"Surveillance Ships",JB_F,"SLEP",JB_RC,"ADD"))/J$78,0)</f>
        <v/>
      </c>
      <c r="K77" s="37">
        <f>IFERROR((SUMIFS(JB_26BV,JB_B,1,JB_W,"Unmanned Undersea Vehicles",JB_F,"SLEP",JB_RC,"ADD"))/K$78,0)</f>
        <v/>
      </c>
      <c r="L77" s="37">
        <f>IFERROR((SUMIFS(JB_26BV,JB_B,1,JB_W,"Salvage Ships &amp; Fleet Ocean Tugs",JB_F,"SLEP",JB_RC,"ADD"))/L$78,0)</f>
        <v/>
      </c>
      <c r="M77" s="43">
        <f>IFERROR((SUMIFS(JB_26BV,JB_B,1,JB_W,"Offshore Patrol Cutter",JB_F,"SLEP",JB_RC,"ADD"))/M$78,0)</f>
        <v/>
      </c>
      <c r="N77" s="37">
        <f>IFERROR((SUMIFS(JB_26BV,JB_B,1,JB_W,"Fast Response Cutters",JB_F,"SLEP",JB_RC,"ADD"))/N$78,0)</f>
        <v/>
      </c>
      <c r="O77" s="37">
        <f>IFERROR((SUMIFS(JB_26BV,JB_B,1,JB_W,"Icebreakers, Oceangoing",JB_F,"SLEP",JB_RC,"ADD"))/O$78,0)</f>
        <v/>
      </c>
      <c r="P77" s="37">
        <f>IFERROR((SUMIFS(JB_26BV,JB_B,1,JB_W,"Waterways Commerce Cutters",JB_F,"SLEP",JB_RC,"ADD"))/P$78,0)</f>
        <v/>
      </c>
      <c r="Q77" s="43">
        <f>IFERROR(SUMPRODUCT(B77:P77,B$78:P$78)/Q$78,0)</f>
        <v/>
      </c>
    </row>
    <row r="78" ht="10" customHeight="1">
      <c r="A78" s="32" t="inlineStr">
        <is>
          <t>Total ($K)</t>
        </is>
      </c>
      <c r="B78" s="44">
        <f>SUMIFS(JB_26BV,JB_B,1,JB_W,"Submarines",JB_RC,"ADD")</f>
        <v/>
      </c>
      <c r="C78" s="33">
        <f>SUMIFS(JB_26BV,JB_B,1,JB_W,"Surface Combatants",JB_RC,"ADD")</f>
        <v/>
      </c>
      <c r="D78" s="33">
        <f>SUMIFS(JB_26BV,JB_B,1,JB_W,"Aircraft Carriers",JB_RC,"ADD")</f>
        <v/>
      </c>
      <c r="E78" s="33">
        <f>SUMIFS(JB_26BV,JB_B,1,JB_W,"Expeditionary &amp; Seabasing Ships",JB_RC,"ADD")</f>
        <v/>
      </c>
      <c r="F78" s="33">
        <f>SUMIFS(JB_26BV,JB_B,1,JB_W,"Combat Logistics Ships",JB_RC,"ADD")</f>
        <v/>
      </c>
      <c r="G78" s="33">
        <f>SUMIFS(JB_26BV,JB_B,1,JB_W,"Amphibious Warfare Ships",JB_RC,"ADD")</f>
        <v/>
      </c>
      <c r="H78" s="33">
        <f>SUMIFS(JB_26BV,JB_B,1,JB_W,"Unmanned Surface Vehicles",JB_RC,"ADD")</f>
        <v/>
      </c>
      <c r="I78" s="33">
        <f>SUMIFS(JB_26BV,JB_B,1,JB_W,"Cargo &amp; Vehicle Cargo Ships",JB_RC,"ADD")</f>
        <v/>
      </c>
      <c r="J78" s="33">
        <f>SUMIFS(JB_26BV,JB_B,1,JB_W,"Surveillance Ships",JB_RC,"ADD")</f>
        <v/>
      </c>
      <c r="K78" s="33">
        <f>SUMIFS(JB_26BV,JB_B,1,JB_W,"Unmanned Undersea Vehicles",JB_RC,"ADD")</f>
        <v/>
      </c>
      <c r="L78" s="33">
        <f>SUMIFS(JB_26BV,JB_B,1,JB_W,"Salvage Ships &amp; Fleet Ocean Tugs",JB_RC,"ADD")</f>
        <v/>
      </c>
      <c r="M78" s="44">
        <f>SUMIFS(JB_26BV,JB_B,1,JB_W,"Offshore Patrol Cutter",JB_RC,"ADD")</f>
        <v/>
      </c>
      <c r="N78" s="33">
        <f>SUMIFS(JB_26BV,JB_B,1,JB_W,"Fast Response Cutters",JB_RC,"ADD")</f>
        <v/>
      </c>
      <c r="O78" s="33">
        <f>SUMIFS(JB_26BV,JB_B,1,JB_W,"Icebreakers, Oceangoing",JB_RC,"ADD")</f>
        <v/>
      </c>
      <c r="P78" s="33">
        <f>SUMIFS(JB_26BV,JB_B,1,JB_W,"Waterways Commerce Cutters",JB_RC,"ADD")</f>
        <v/>
      </c>
      <c r="Q78" s="44">
        <f>SUM(B78:P78)</f>
        <v/>
      </c>
    </row>
    <row r="79" ht="10" customHeight="1"/>
    <row r="80" ht="10" customHeight="1"/>
    <row r="81" ht="10" customHeight="1">
      <c r="A81" s="27" t="inlineStr">
        <is>
          <t>(E) Newbuild TAM — Sub-Category Mix by Hull Program (Mekko)</t>
        </is>
      </c>
      <c r="B81" s="28" t="n"/>
      <c r="C81" s="28" t="n"/>
      <c r="D81" s="28" t="n"/>
      <c r="E81" s="28" t="n"/>
      <c r="F81" s="28" t="n"/>
      <c r="G81" s="28" t="n"/>
      <c r="H81" s="28" t="n"/>
      <c r="I81" s="28" t="n"/>
      <c r="J81" s="28" t="n"/>
      <c r="K81" s="28" t="n"/>
      <c r="L81" s="28" t="n"/>
      <c r="M81" s="28" t="n"/>
      <c r="N81" s="28" t="n"/>
      <c r="O81" s="28" t="n"/>
      <c r="P81" s="28" t="n"/>
      <c r="Q81" s="28" t="n"/>
      <c r="R81" s="28" t="n"/>
      <c r="S81" s="28" t="n"/>
      <c r="T81" s="28" t="n"/>
    </row>
    <row r="82" ht="10" customHeight="1">
      <c r="A82" s="39" t="n"/>
      <c r="B82" s="40" t="inlineStr">
        <is>
          <t>USN</t>
        </is>
      </c>
      <c r="C82" s="39" t="n"/>
      <c r="D82" s="39" t="n"/>
      <c r="E82" s="39" t="n"/>
      <c r="F82" s="39" t="n"/>
      <c r="G82" s="39" t="n"/>
      <c r="H82" s="39" t="n"/>
      <c r="I82" s="39" t="n"/>
      <c r="J82" s="39" t="n"/>
      <c r="K82" s="39" t="n"/>
      <c r="L82" s="39" t="n"/>
      <c r="M82" s="39" t="n"/>
      <c r="N82" s="39" t="n"/>
      <c r="O82" s="39" t="n"/>
      <c r="P82" s="40" t="inlineStr">
        <is>
          <t>USCG</t>
        </is>
      </c>
      <c r="Q82" s="39" t="n"/>
      <c r="R82" s="39" t="n"/>
      <c r="S82" s="39" t="n"/>
      <c r="T82" s="41" t="n"/>
    </row>
    <row r="83" ht="10" customHeight="1">
      <c r="A83" s="29" t="inlineStr">
        <is>
          <t>Sub-Category</t>
        </is>
      </c>
      <c r="B83" s="42" t="inlineStr">
        <is>
          <t>SSN</t>
        </is>
      </c>
      <c r="C83" s="29" t="inlineStr">
        <is>
          <t>SSBN</t>
        </is>
      </c>
      <c r="D83" s="29" t="inlineStr">
        <is>
          <t>DDG</t>
        </is>
      </c>
      <c r="E83" s="29" t="inlineStr">
        <is>
          <t>CVN</t>
        </is>
      </c>
      <c r="F83" s="29" t="inlineStr">
        <is>
          <t>LSM</t>
        </is>
      </c>
      <c r="G83" s="29" t="inlineStr">
        <is>
          <t>T-AO</t>
        </is>
      </c>
      <c r="H83" s="29" t="inlineStr">
        <is>
          <t>MUSV</t>
        </is>
      </c>
      <c r="I83" s="29" t="inlineStr">
        <is>
          <t>LPD</t>
        </is>
      </c>
      <c r="J83" s="29" t="inlineStr">
        <is>
          <t>T-AKR</t>
        </is>
      </c>
      <c r="K83" s="29" t="inlineStr">
        <is>
          <t>LHA</t>
        </is>
      </c>
      <c r="L83" s="29" t="inlineStr">
        <is>
          <t>T-AGOS</t>
        </is>
      </c>
      <c r="M83" s="29" t="inlineStr">
        <is>
          <t>FFG</t>
        </is>
      </c>
      <c r="N83" s="29" t="inlineStr">
        <is>
          <t>UUV</t>
        </is>
      </c>
      <c r="O83" s="29" t="inlineStr">
        <is>
          <t>T-ATS</t>
        </is>
      </c>
      <c r="P83" s="42" t="inlineStr">
        <is>
          <t>WMSM</t>
        </is>
      </c>
      <c r="Q83" s="29" t="inlineStr">
        <is>
          <t>WPC</t>
        </is>
      </c>
      <c r="R83" s="29" t="inlineStr">
        <is>
          <t>WAGB</t>
        </is>
      </c>
      <c r="S83" s="29" t="inlineStr">
        <is>
          <t>WCC</t>
        </is>
      </c>
      <c r="T83" s="42" t="inlineStr">
        <is>
          <t>Total</t>
        </is>
      </c>
    </row>
    <row r="84" ht="10" customHeight="1">
      <c r="A84" s="30" t="inlineStr">
        <is>
          <t>Full Ship DD&amp;C</t>
        </is>
      </c>
      <c r="B84" s="43">
        <f>IFERROR((SUMIFS(JB_26BV,JB_B,1,JB_H,"SSN",JB_F,"Full ship DD&amp;C",JB_RC,"ADD")+SUMIFS(JB_26BV,JB_B,1,JB_H,"SSN",JB_F,"Full ship DD&amp;C / LLTM",JB_RC,"ADD")+SUMIFS(JB_26BV,JB_B,1,JB_H,"SSN",JB_F,"Full vessel procurement",JB_RC,"ADD"))/B$88,0)</f>
        <v/>
      </c>
      <c r="C84" s="37">
        <f>IFERROR((SUMIFS(JB_26BV,JB_B,1,JB_H,"SSBN",JB_F,"Full ship DD&amp;C",JB_RC,"ADD")+SUMIFS(JB_26BV,JB_B,1,JB_H,"SSBN",JB_F,"Full ship DD&amp;C / LLTM",JB_RC,"ADD")+SUMIFS(JB_26BV,JB_B,1,JB_H,"SSBN",JB_F,"Full vessel procurement",JB_RC,"ADD"))/C$88,0)</f>
        <v/>
      </c>
      <c r="D84" s="37">
        <f>IFERROR((SUMIFS(JB_26BV,JB_B,1,JB_H,"DDG",JB_F,"Full ship DD&amp;C",JB_RC,"ADD")+SUMIFS(JB_26BV,JB_B,1,JB_H,"DDG",JB_F,"Full ship DD&amp;C / LLTM",JB_RC,"ADD")+SUMIFS(JB_26BV,JB_B,1,JB_H,"DDG",JB_F,"Full vessel procurement",JB_RC,"ADD"))/D$88,0)</f>
        <v/>
      </c>
      <c r="E84" s="37">
        <f>IFERROR((SUMIFS(JB_26BV,JB_B,1,JB_H,"CVN",JB_F,"Full ship DD&amp;C",JB_RC,"ADD")+SUMIFS(JB_26BV,JB_B,1,JB_H,"CVN",JB_F,"Full ship DD&amp;C / LLTM",JB_RC,"ADD")+SUMIFS(JB_26BV,JB_B,1,JB_H,"CVN",JB_F,"Full vessel procurement",JB_RC,"ADD"))/E$88,0)</f>
        <v/>
      </c>
      <c r="F84" s="37">
        <f>IFERROR((SUMIFS(JB_26BV,JB_B,1,JB_H,"LSM",JB_F,"Full ship DD&amp;C",JB_RC,"ADD")+SUMIFS(JB_26BV,JB_B,1,JB_H,"LSM",JB_F,"Full ship DD&amp;C / LLTM",JB_RC,"ADD")+SUMIFS(JB_26BV,JB_B,1,JB_H,"LSM",JB_F,"Full vessel procurement",JB_RC,"ADD"))/F$88,0)</f>
        <v/>
      </c>
      <c r="G84" s="37">
        <f>IFERROR((SUMIFS(JB_26BV,JB_B,1,JB_H,"T-AO",JB_F,"Full ship DD&amp;C",JB_RC,"ADD")+SUMIFS(JB_26BV,JB_B,1,JB_H,"T-AO",JB_F,"Full ship DD&amp;C / LLTM",JB_RC,"ADD")+SUMIFS(JB_26BV,JB_B,1,JB_H,"T-AO",JB_F,"Full vessel procurement",JB_RC,"ADD"))/G$88,0)</f>
        <v/>
      </c>
      <c r="H84" s="37">
        <f>IFERROR((SUMIFS(JB_26BV,JB_B,1,JB_H,"MUSV",JB_F,"Full ship DD&amp;C",JB_RC,"ADD")+SUMIFS(JB_26BV,JB_B,1,JB_H,"MUSV",JB_F,"Full ship DD&amp;C / LLTM",JB_RC,"ADD")+SUMIFS(JB_26BV,JB_B,1,JB_H,"MUSV",JB_F,"Full vessel procurement",JB_RC,"ADD"))/H$88,0)</f>
        <v/>
      </c>
      <c r="I84" s="37">
        <f>IFERROR((SUMIFS(JB_26BV,JB_B,1,JB_H,"LPD",JB_F,"Full ship DD&amp;C",JB_RC,"ADD")+SUMIFS(JB_26BV,JB_B,1,JB_H,"LPD",JB_F,"Full ship DD&amp;C / LLTM",JB_RC,"ADD")+SUMIFS(JB_26BV,JB_B,1,JB_H,"LPD",JB_F,"Full vessel procurement",JB_RC,"ADD"))/I$88,0)</f>
        <v/>
      </c>
      <c r="J84" s="37">
        <f>IFERROR((SUMIFS(JB_26BV,JB_B,1,JB_H,"T-AKR",JB_F,"Full ship DD&amp;C",JB_RC,"ADD")+SUMIFS(JB_26BV,JB_B,1,JB_H,"T-AKR",JB_F,"Full ship DD&amp;C / LLTM",JB_RC,"ADD")+SUMIFS(JB_26BV,JB_B,1,JB_H,"T-AKR",JB_F,"Full vessel procurement",JB_RC,"ADD"))/J$88,0)</f>
        <v/>
      </c>
      <c r="K84" s="37">
        <f>IFERROR((SUMIFS(JB_26BV,JB_B,1,JB_H,"LHA",JB_F,"Full ship DD&amp;C",JB_RC,"ADD")+SUMIFS(JB_26BV,JB_B,1,JB_H,"LHA",JB_F,"Full ship DD&amp;C / LLTM",JB_RC,"ADD")+SUMIFS(JB_26BV,JB_B,1,JB_H,"LHA",JB_F,"Full vessel procurement",JB_RC,"ADD"))/K$88,0)</f>
        <v/>
      </c>
      <c r="L84" s="37">
        <f>IFERROR((SUMIFS(JB_26BV,JB_B,1,JB_H,"T-AGOS",JB_F,"Full ship DD&amp;C",JB_RC,"ADD")+SUMIFS(JB_26BV,JB_B,1,JB_H,"T-AGOS",JB_F,"Full ship DD&amp;C / LLTM",JB_RC,"ADD")+SUMIFS(JB_26BV,JB_B,1,JB_H,"T-AGOS",JB_F,"Full vessel procurement",JB_RC,"ADD"))/L$88,0)</f>
        <v/>
      </c>
      <c r="M84" s="37">
        <f>IFERROR((SUMIFS(JB_26BV,JB_B,1,JB_H,"FFG",JB_F,"Full ship DD&amp;C",JB_RC,"ADD")+SUMIFS(JB_26BV,JB_B,1,JB_H,"FFG",JB_F,"Full ship DD&amp;C / LLTM",JB_RC,"ADD")+SUMIFS(JB_26BV,JB_B,1,JB_H,"FFG",JB_F,"Full vessel procurement",JB_RC,"ADD"))/M$88,0)</f>
        <v/>
      </c>
      <c r="N84" s="37">
        <f>IFERROR((SUMIFS(JB_26BV,JB_B,1,JB_H,"UUV",JB_F,"Full ship DD&amp;C",JB_RC,"ADD")+SUMIFS(JB_26BV,JB_B,1,JB_H,"UUV",JB_F,"Full ship DD&amp;C / LLTM",JB_RC,"ADD")+SUMIFS(JB_26BV,JB_B,1,JB_H,"UUV",JB_F,"Full vessel procurement",JB_RC,"ADD"))/N$88,0)</f>
        <v/>
      </c>
      <c r="O84" s="37">
        <f>IFERROR((SUMIFS(JB_26BV,JB_B,1,JB_H,"T-ATS",JB_F,"Full ship DD&amp;C",JB_RC,"ADD")+SUMIFS(JB_26BV,JB_B,1,JB_H,"T-ATS",JB_F,"Full ship DD&amp;C / LLTM",JB_RC,"ADD")+SUMIFS(JB_26BV,JB_B,1,JB_H,"T-ATS",JB_F,"Full vessel procurement",JB_RC,"ADD"))/O$88,0)</f>
        <v/>
      </c>
      <c r="P84" s="43">
        <f>IFERROR((SUMIFS(JB_26BV,JB_B,1,JB_H,"WMSM",JB_F,"Full ship DD&amp;C",JB_RC,"ADD")+SUMIFS(JB_26BV,JB_B,1,JB_H,"WMSM",JB_F,"Full ship DD&amp;C / LLTM",JB_RC,"ADD")+SUMIFS(JB_26BV,JB_B,1,JB_H,"WMSM",JB_F,"Full vessel procurement",JB_RC,"ADD"))/P$88,0)</f>
        <v/>
      </c>
      <c r="Q84" s="37">
        <f>IFERROR((SUMIFS(JB_26BV,JB_B,1,JB_H,"WPC",JB_F,"Full ship DD&amp;C",JB_RC,"ADD")+SUMIFS(JB_26BV,JB_B,1,JB_H,"WPC",JB_F,"Full ship DD&amp;C / LLTM",JB_RC,"ADD")+SUMIFS(JB_26BV,JB_B,1,JB_H,"WPC",JB_F,"Full vessel procurement",JB_RC,"ADD"))/Q$88,0)</f>
        <v/>
      </c>
      <c r="R84" s="37">
        <f>IFERROR((SUMIFS(JB_26BV,JB_B,1,JB_H,"WAGB",JB_F,"Full ship DD&amp;C",JB_RC,"ADD")+SUMIFS(JB_26BV,JB_B,1,JB_H,"WAGB",JB_F,"Full ship DD&amp;C / LLTM",JB_RC,"ADD")+SUMIFS(JB_26BV,JB_B,1,JB_H,"WAGB",JB_F,"Full vessel procurement",JB_RC,"ADD"))/R$88,0)</f>
        <v/>
      </c>
      <c r="S84" s="37">
        <f>IFERROR((SUMIFS(JB_26BV,JB_B,1,JB_H,"WCC",JB_F,"Full ship DD&amp;C",JB_RC,"ADD")+SUMIFS(JB_26BV,JB_B,1,JB_H,"WCC",JB_F,"Full ship DD&amp;C / LLTM",JB_RC,"ADD")+SUMIFS(JB_26BV,JB_B,1,JB_H,"WCC",JB_F,"Full vessel procurement",JB_RC,"ADD"))/S$88,0)</f>
        <v/>
      </c>
      <c r="T84" s="43">
        <f>IFERROR((SUMIFS(JB_26BV,JB_B,1,JB_V,"Auxiliary Ships",JB_F,"Full ship DD&amp;C",JB_RC,"ADD")+SUMIFS(JB_26BV,JB_B,1,JB_V,"Auxiliary Ships",JB_F,"Full ship DD&amp;C / LLTM",JB_RC,"ADD")+SUMIFS(JB_26BV,JB_B,1,JB_V,"Auxiliary Ships",JB_F,"Full vessel procurement",JB_RC,"ADD")+SUMIFS(JB_26BV,JB_B,1,JB_V,"Combatant Ships",JB_F,"Full ship DD&amp;C",JB_RC,"ADD")+SUMIFS(JB_26BV,JB_B,1,JB_V,"Combatant Ships",JB_F,"Full ship DD&amp;C / LLTM",JB_RC,"ADD")+SUMIFS(JB_26BV,JB_B,1,JB_V,"Combatant Ships",JB_F,"Full vessel procurement",JB_RC,"ADD")+SUMIFS(JB_26BV,JB_B,1,JB_V,"Cutters",JB_F,"Full ship DD&amp;C",JB_RC,"ADD")+SUMIFS(JB_26BV,JB_B,1,JB_V,"Cutters",JB_F,"Full ship DD&amp;C / LLTM",JB_RC,"ADD")+SUMIFS(JB_26BV,JB_B,1,JB_V,"Cutters",JB_F,"Full vessel procurement",JB_RC,"ADD")+SUMIFS(JB_26BV,JB_B,1,JB_V,"Unmanned Maritime Platforms",JB_F,"Full ship DD&amp;C",JB_RC,"ADD")+SUMIFS(JB_26BV,JB_B,1,JB_V,"Unmanned Maritime Platforms",JB_F,"Full ship DD&amp;C / LLTM",JB_RC,"ADD")+SUMIFS(JB_26BV,JB_B,1,JB_V,"Unmanned Maritime Platforms",JB_F,"Full vessel procurement",JB_RC,"ADD"))/T$88,0)</f>
        <v/>
      </c>
    </row>
    <row r="85" ht="10" customHeight="1">
      <c r="A85" s="30" t="inlineStr">
        <is>
          <t>Advance Procurement / LLTM</t>
        </is>
      </c>
      <c r="B85" s="43">
        <f>IFERROR((SUMIFS(JB_26BV,JB_B,1,JB_H,"SSN",JB_F,"Advance procurement / LLTM",JB_RC,"ADD"))/B$88,0)</f>
        <v/>
      </c>
      <c r="C85" s="37">
        <f>IFERROR((SUMIFS(JB_26BV,JB_B,1,JB_H,"SSBN",JB_F,"Advance procurement / LLTM",JB_RC,"ADD"))/C$88,0)</f>
        <v/>
      </c>
      <c r="D85" s="37">
        <f>IFERROR((SUMIFS(JB_26BV,JB_B,1,JB_H,"DDG",JB_F,"Advance procurement / LLTM",JB_RC,"ADD"))/D$88,0)</f>
        <v/>
      </c>
      <c r="E85" s="37">
        <f>IFERROR((SUMIFS(JB_26BV,JB_B,1,JB_H,"CVN",JB_F,"Advance procurement / LLTM",JB_RC,"ADD"))/E$88,0)</f>
        <v/>
      </c>
      <c r="F85" s="37">
        <f>IFERROR((SUMIFS(JB_26BV,JB_B,1,JB_H,"LSM",JB_F,"Advance procurement / LLTM",JB_RC,"ADD"))/F$88,0)</f>
        <v/>
      </c>
      <c r="G85" s="37">
        <f>IFERROR((SUMIFS(JB_26BV,JB_B,1,JB_H,"T-AO",JB_F,"Advance procurement / LLTM",JB_RC,"ADD"))/G$88,0)</f>
        <v/>
      </c>
      <c r="H85" s="37">
        <f>IFERROR((SUMIFS(JB_26BV,JB_B,1,JB_H,"MUSV",JB_F,"Advance procurement / LLTM",JB_RC,"ADD"))/H$88,0)</f>
        <v/>
      </c>
      <c r="I85" s="37">
        <f>IFERROR((SUMIFS(JB_26BV,JB_B,1,JB_H,"LPD",JB_F,"Advance procurement / LLTM",JB_RC,"ADD"))/I$88,0)</f>
        <v/>
      </c>
      <c r="J85" s="37">
        <f>IFERROR((SUMIFS(JB_26BV,JB_B,1,JB_H,"T-AKR",JB_F,"Advance procurement / LLTM",JB_RC,"ADD"))/J$88,0)</f>
        <v/>
      </c>
      <c r="K85" s="37">
        <f>IFERROR((SUMIFS(JB_26BV,JB_B,1,JB_H,"LHA",JB_F,"Advance procurement / LLTM",JB_RC,"ADD"))/K$88,0)</f>
        <v/>
      </c>
      <c r="L85" s="37">
        <f>IFERROR((SUMIFS(JB_26BV,JB_B,1,JB_H,"T-AGOS",JB_F,"Advance procurement / LLTM",JB_RC,"ADD"))/L$88,0)</f>
        <v/>
      </c>
      <c r="M85" s="37">
        <f>IFERROR((SUMIFS(JB_26BV,JB_B,1,JB_H,"FFG",JB_F,"Advance procurement / LLTM",JB_RC,"ADD"))/M$88,0)</f>
        <v/>
      </c>
      <c r="N85" s="37">
        <f>IFERROR((SUMIFS(JB_26BV,JB_B,1,JB_H,"UUV",JB_F,"Advance procurement / LLTM",JB_RC,"ADD"))/N$88,0)</f>
        <v/>
      </c>
      <c r="O85" s="37">
        <f>IFERROR((SUMIFS(JB_26BV,JB_B,1,JB_H,"T-ATS",JB_F,"Advance procurement / LLTM",JB_RC,"ADD"))/O$88,0)</f>
        <v/>
      </c>
      <c r="P85" s="43">
        <f>IFERROR((SUMIFS(JB_26BV,JB_B,1,JB_H,"WMSM",JB_F,"Advance procurement / LLTM",JB_RC,"ADD"))/P$88,0)</f>
        <v/>
      </c>
      <c r="Q85" s="37">
        <f>IFERROR((SUMIFS(JB_26BV,JB_B,1,JB_H,"WPC",JB_F,"Advance procurement / LLTM",JB_RC,"ADD"))/Q$88,0)</f>
        <v/>
      </c>
      <c r="R85" s="37">
        <f>IFERROR((SUMIFS(JB_26BV,JB_B,1,JB_H,"WAGB",JB_F,"Advance procurement / LLTM",JB_RC,"ADD"))/R$88,0)</f>
        <v/>
      </c>
      <c r="S85" s="37">
        <f>IFERROR((SUMIFS(JB_26BV,JB_B,1,JB_H,"WCC",JB_F,"Advance procurement / LLTM",JB_RC,"ADD"))/S$88,0)</f>
        <v/>
      </c>
      <c r="T85" s="43">
        <f>IFERROR((SUMIFS(JB_26BV,JB_B,1,JB_V,"Auxiliary Ships",JB_F,"Advance procurement / LLTM",JB_RC,"ADD")+SUMIFS(JB_26BV,JB_B,1,JB_V,"Combatant Ships",JB_F,"Advance procurement / LLTM",JB_RC,"ADD")+SUMIFS(JB_26BV,JB_B,1,JB_V,"Cutters",JB_F,"Advance procurement / LLTM",JB_RC,"ADD")+SUMIFS(JB_26BV,JB_B,1,JB_V,"Unmanned Maritime Platforms",JB_F,"Advance procurement / LLTM",JB_RC,"ADD"))/T$88,0)</f>
        <v/>
      </c>
    </row>
    <row r="86" ht="10" customHeight="1">
      <c r="A86" s="30" t="inlineStr">
        <is>
          <t>RCOH</t>
        </is>
      </c>
      <c r="B86" s="43">
        <f>IFERROR((SUMIFS(JB_26BV,JB_B,1,JB_H,"SSN",JB_F,"RCOH",JB_RC,"ADD"))/B$88,0)</f>
        <v/>
      </c>
      <c r="C86" s="37">
        <f>IFERROR((SUMIFS(JB_26BV,JB_B,1,JB_H,"SSBN",JB_F,"RCOH",JB_RC,"ADD"))/C$88,0)</f>
        <v/>
      </c>
      <c r="D86" s="37">
        <f>IFERROR((SUMIFS(JB_26BV,JB_B,1,JB_H,"DDG",JB_F,"RCOH",JB_RC,"ADD"))/D$88,0)</f>
        <v/>
      </c>
      <c r="E86" s="37">
        <f>IFERROR((SUMIFS(JB_26BV,JB_B,1,JB_H,"CVN",JB_F,"RCOH",JB_RC,"ADD"))/E$88,0)</f>
        <v/>
      </c>
      <c r="F86" s="37">
        <f>IFERROR((SUMIFS(JB_26BV,JB_B,1,JB_H,"LSM",JB_F,"RCOH",JB_RC,"ADD"))/F$88,0)</f>
        <v/>
      </c>
      <c r="G86" s="37">
        <f>IFERROR((SUMIFS(JB_26BV,JB_B,1,JB_H,"T-AO",JB_F,"RCOH",JB_RC,"ADD"))/G$88,0)</f>
        <v/>
      </c>
      <c r="H86" s="37">
        <f>IFERROR((SUMIFS(JB_26BV,JB_B,1,JB_H,"MUSV",JB_F,"RCOH",JB_RC,"ADD"))/H$88,0)</f>
        <v/>
      </c>
      <c r="I86" s="37">
        <f>IFERROR((SUMIFS(JB_26BV,JB_B,1,JB_H,"LPD",JB_F,"RCOH",JB_RC,"ADD"))/I$88,0)</f>
        <v/>
      </c>
      <c r="J86" s="37">
        <f>IFERROR((SUMIFS(JB_26BV,JB_B,1,JB_H,"T-AKR",JB_F,"RCOH",JB_RC,"ADD"))/J$88,0)</f>
        <v/>
      </c>
      <c r="K86" s="37">
        <f>IFERROR((SUMIFS(JB_26BV,JB_B,1,JB_H,"LHA",JB_F,"RCOH",JB_RC,"ADD"))/K$88,0)</f>
        <v/>
      </c>
      <c r="L86" s="37">
        <f>IFERROR((SUMIFS(JB_26BV,JB_B,1,JB_H,"T-AGOS",JB_F,"RCOH",JB_RC,"ADD"))/L$88,0)</f>
        <v/>
      </c>
      <c r="M86" s="37">
        <f>IFERROR((SUMIFS(JB_26BV,JB_B,1,JB_H,"FFG",JB_F,"RCOH",JB_RC,"ADD"))/M$88,0)</f>
        <v/>
      </c>
      <c r="N86" s="37">
        <f>IFERROR((SUMIFS(JB_26BV,JB_B,1,JB_H,"UUV",JB_F,"RCOH",JB_RC,"ADD"))/N$88,0)</f>
        <v/>
      </c>
      <c r="O86" s="37">
        <f>IFERROR((SUMIFS(JB_26BV,JB_B,1,JB_H,"T-ATS",JB_F,"RCOH",JB_RC,"ADD"))/O$88,0)</f>
        <v/>
      </c>
      <c r="P86" s="43">
        <f>IFERROR((SUMIFS(JB_26BV,JB_B,1,JB_H,"WMSM",JB_F,"RCOH",JB_RC,"ADD"))/P$88,0)</f>
        <v/>
      </c>
      <c r="Q86" s="37">
        <f>IFERROR((SUMIFS(JB_26BV,JB_B,1,JB_H,"WPC",JB_F,"RCOH",JB_RC,"ADD"))/Q$88,0)</f>
        <v/>
      </c>
      <c r="R86" s="37">
        <f>IFERROR((SUMIFS(JB_26BV,JB_B,1,JB_H,"WAGB",JB_F,"RCOH",JB_RC,"ADD"))/R$88,0)</f>
        <v/>
      </c>
      <c r="S86" s="37">
        <f>IFERROR((SUMIFS(JB_26BV,JB_B,1,JB_H,"WCC",JB_F,"RCOH",JB_RC,"ADD"))/S$88,0)</f>
        <v/>
      </c>
      <c r="T86" s="43">
        <f>IFERROR((SUMIFS(JB_26BV,JB_B,1,JB_V,"Auxiliary Ships",JB_F,"RCOH",JB_RC,"ADD")+SUMIFS(JB_26BV,JB_B,1,JB_V,"Combatant Ships",JB_F,"RCOH",JB_RC,"ADD")+SUMIFS(JB_26BV,JB_B,1,JB_V,"Cutters",JB_F,"RCOH",JB_RC,"ADD")+SUMIFS(JB_26BV,JB_B,1,JB_V,"Unmanned Maritime Platforms",JB_F,"RCOH",JB_RC,"ADD"))/T$88,0)</f>
        <v/>
      </c>
    </row>
    <row r="87" ht="10" customHeight="1">
      <c r="A87" s="30" t="inlineStr">
        <is>
          <t>SLEP</t>
        </is>
      </c>
      <c r="B87" s="43">
        <f>IFERROR((SUMIFS(JB_26BV,JB_B,1,JB_H,"SSN",JB_F,"SLEP",JB_RC,"ADD"))/B$88,0)</f>
        <v/>
      </c>
      <c r="C87" s="37">
        <f>IFERROR((SUMIFS(JB_26BV,JB_B,1,JB_H,"SSBN",JB_F,"SLEP",JB_RC,"ADD"))/C$88,0)</f>
        <v/>
      </c>
      <c r="D87" s="37">
        <f>IFERROR((SUMIFS(JB_26BV,JB_B,1,JB_H,"DDG",JB_F,"SLEP",JB_RC,"ADD"))/D$88,0)</f>
        <v/>
      </c>
      <c r="E87" s="37">
        <f>IFERROR((SUMIFS(JB_26BV,JB_B,1,JB_H,"CVN",JB_F,"SLEP",JB_RC,"ADD"))/E$88,0)</f>
        <v/>
      </c>
      <c r="F87" s="37">
        <f>IFERROR((SUMIFS(JB_26BV,JB_B,1,JB_H,"LSM",JB_F,"SLEP",JB_RC,"ADD"))/F$88,0)</f>
        <v/>
      </c>
      <c r="G87" s="37">
        <f>IFERROR((SUMIFS(JB_26BV,JB_B,1,JB_H,"T-AO",JB_F,"SLEP",JB_RC,"ADD"))/G$88,0)</f>
        <v/>
      </c>
      <c r="H87" s="37">
        <f>IFERROR((SUMIFS(JB_26BV,JB_B,1,JB_H,"MUSV",JB_F,"SLEP",JB_RC,"ADD"))/H$88,0)</f>
        <v/>
      </c>
      <c r="I87" s="37">
        <f>IFERROR((SUMIFS(JB_26BV,JB_B,1,JB_H,"LPD",JB_F,"SLEP",JB_RC,"ADD"))/I$88,0)</f>
        <v/>
      </c>
      <c r="J87" s="37">
        <f>IFERROR((SUMIFS(JB_26BV,JB_B,1,JB_H,"T-AKR",JB_F,"SLEP",JB_RC,"ADD"))/J$88,0)</f>
        <v/>
      </c>
      <c r="K87" s="37">
        <f>IFERROR((SUMIFS(JB_26BV,JB_B,1,JB_H,"LHA",JB_F,"SLEP",JB_RC,"ADD"))/K$88,0)</f>
        <v/>
      </c>
      <c r="L87" s="37">
        <f>IFERROR((SUMIFS(JB_26BV,JB_B,1,JB_H,"T-AGOS",JB_F,"SLEP",JB_RC,"ADD"))/L$88,0)</f>
        <v/>
      </c>
      <c r="M87" s="37">
        <f>IFERROR((SUMIFS(JB_26BV,JB_B,1,JB_H,"FFG",JB_F,"SLEP",JB_RC,"ADD"))/M$88,0)</f>
        <v/>
      </c>
      <c r="N87" s="37">
        <f>IFERROR((SUMIFS(JB_26BV,JB_B,1,JB_H,"UUV",JB_F,"SLEP",JB_RC,"ADD"))/N$88,0)</f>
        <v/>
      </c>
      <c r="O87" s="37">
        <f>IFERROR((SUMIFS(JB_26BV,JB_B,1,JB_H,"T-ATS",JB_F,"SLEP",JB_RC,"ADD"))/O$88,0)</f>
        <v/>
      </c>
      <c r="P87" s="43">
        <f>IFERROR((SUMIFS(JB_26BV,JB_B,1,JB_H,"WMSM",JB_F,"SLEP",JB_RC,"ADD"))/P$88,0)</f>
        <v/>
      </c>
      <c r="Q87" s="37">
        <f>IFERROR((SUMIFS(JB_26BV,JB_B,1,JB_H,"WPC",JB_F,"SLEP",JB_RC,"ADD"))/Q$88,0)</f>
        <v/>
      </c>
      <c r="R87" s="37">
        <f>IFERROR((SUMIFS(JB_26BV,JB_B,1,JB_H,"WAGB",JB_F,"SLEP",JB_RC,"ADD"))/R$88,0)</f>
        <v/>
      </c>
      <c r="S87" s="37">
        <f>IFERROR((SUMIFS(JB_26BV,JB_B,1,JB_H,"WCC",JB_F,"SLEP",JB_RC,"ADD"))/S$88,0)</f>
        <v/>
      </c>
      <c r="T87" s="43">
        <f>IFERROR((SUMIFS(JB_26BV,JB_B,1,JB_V,"Auxiliary Ships",JB_F,"SLEP",JB_RC,"ADD")+SUMIFS(JB_26BV,JB_B,1,JB_V,"Combatant Ships",JB_F,"SLEP",JB_RC,"ADD")+SUMIFS(JB_26BV,JB_B,1,JB_V,"Cutters",JB_F,"SLEP",JB_RC,"ADD")+SUMIFS(JB_26BV,JB_B,1,JB_V,"Unmanned Maritime Platforms",JB_F,"SLEP",JB_RC,"ADD"))/T$88,0)</f>
        <v/>
      </c>
    </row>
    <row r="88" ht="10" customHeight="1">
      <c r="A88" s="32" t="inlineStr">
        <is>
          <t>Total ($K)</t>
        </is>
      </c>
      <c r="B88" s="44">
        <f>SUMIFS(JB_26BV,JB_B,1,JB_H,"SSN",JB_RC,"ADD")</f>
        <v/>
      </c>
      <c r="C88" s="33">
        <f>SUMIFS(JB_26BV,JB_B,1,JB_H,"SSBN",JB_RC,"ADD")</f>
        <v/>
      </c>
      <c r="D88" s="33">
        <f>SUMIFS(JB_26BV,JB_B,1,JB_H,"DDG",JB_RC,"ADD")</f>
        <v/>
      </c>
      <c r="E88" s="33">
        <f>SUMIFS(JB_26BV,JB_B,1,JB_H,"CVN",JB_RC,"ADD")</f>
        <v/>
      </c>
      <c r="F88" s="33">
        <f>SUMIFS(JB_26BV,JB_B,1,JB_H,"LSM",JB_RC,"ADD")</f>
        <v/>
      </c>
      <c r="G88" s="33">
        <f>SUMIFS(JB_26BV,JB_B,1,JB_H,"T-AO",JB_RC,"ADD")</f>
        <v/>
      </c>
      <c r="H88" s="33">
        <f>SUMIFS(JB_26BV,JB_B,1,JB_H,"MUSV",JB_RC,"ADD")</f>
        <v/>
      </c>
      <c r="I88" s="33">
        <f>SUMIFS(JB_26BV,JB_B,1,JB_H,"LPD",JB_RC,"ADD")</f>
        <v/>
      </c>
      <c r="J88" s="33">
        <f>SUMIFS(JB_26BV,JB_B,1,JB_H,"T-AKR",JB_RC,"ADD")</f>
        <v/>
      </c>
      <c r="K88" s="33">
        <f>SUMIFS(JB_26BV,JB_B,1,JB_H,"LHA",JB_RC,"ADD")</f>
        <v/>
      </c>
      <c r="L88" s="33">
        <f>SUMIFS(JB_26BV,JB_B,1,JB_H,"T-AGOS",JB_RC,"ADD")</f>
        <v/>
      </c>
      <c r="M88" s="33">
        <f>SUMIFS(JB_26BV,JB_B,1,JB_H,"FFG",JB_RC,"ADD")</f>
        <v/>
      </c>
      <c r="N88" s="33">
        <f>SUMIFS(JB_26BV,JB_B,1,JB_H,"UUV",JB_RC,"ADD")</f>
        <v/>
      </c>
      <c r="O88" s="33">
        <f>SUMIFS(JB_26BV,JB_B,1,JB_H,"T-ATS",JB_RC,"ADD")</f>
        <v/>
      </c>
      <c r="P88" s="44">
        <f>SUMIFS(JB_26BV,JB_B,1,JB_H,"WMSM",JB_RC,"ADD")</f>
        <v/>
      </c>
      <c r="Q88" s="33">
        <f>SUMIFS(JB_26BV,JB_B,1,JB_H,"WPC",JB_RC,"ADD")</f>
        <v/>
      </c>
      <c r="R88" s="33">
        <f>SUMIFS(JB_26BV,JB_B,1,JB_H,"WAGB",JB_RC,"ADD")</f>
        <v/>
      </c>
      <c r="S88" s="33">
        <f>SUMIFS(JB_26BV,JB_B,1,JB_H,"WCC",JB_RC,"ADD")</f>
        <v/>
      </c>
      <c r="T88" s="44">
        <f>SUM(B88:S88)</f>
        <v/>
      </c>
    </row>
  </sheetData>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S200"/>
  <sheetViews>
    <sheetView showGridLines="0" workbookViewId="0">
      <selection activeCell="A1" sqref="A1"/>
    </sheetView>
  </sheetViews>
  <sheetFormatPr baseColWidth="8" defaultRowHeight="15"/>
  <cols>
    <col width="32" customWidth="1" min="1" max="1"/>
    <col width="22" customWidth="1" min="2" max="2"/>
    <col width="14" customWidth="1" min="3" max="3"/>
    <col width="10" customWidth="1" min="4" max="4"/>
    <col width="14" customWidth="1" min="5" max="5"/>
    <col width="32" customWidth="1" min="6" max="6"/>
    <col width="22" customWidth="1" min="7" max="7"/>
    <col width="14" customWidth="1" min="8" max="8"/>
    <col width="10" customWidth="1" min="9" max="9"/>
    <col width="32" customWidth="1" min="11" max="11"/>
    <col width="22" customWidth="1" min="12" max="12"/>
    <col width="14" customWidth="1" min="13" max="13"/>
    <col width="10" customWidth="1" min="14" max="14"/>
    <col width="32" customWidth="1" min="16" max="16"/>
    <col width="22" customWidth="1" min="17" max="17"/>
    <col width="14" customWidth="1" min="18" max="18"/>
    <col width="10" customWidth="1" min="19" max="19"/>
  </cols>
  <sheetData>
    <row r="1" ht="10" customHeight="1">
      <c r="A1" s="24" t="inlineStr">
        <is>
          <t>Newbuild SAM — FY2026 ($K)</t>
        </is>
      </c>
      <c r="B1" s="25" t="n"/>
      <c r="C1" s="25" t="n"/>
      <c r="D1" s="25" t="n"/>
      <c r="E1" s="25" t="n"/>
      <c r="F1" s="25" t="n"/>
      <c r="G1" s="25" t="n"/>
      <c r="H1" s="25" t="n"/>
      <c r="I1" s="25" t="n"/>
      <c r="J1" s="25" t="n"/>
    </row>
    <row r="2" ht="10" customHeight="1">
      <c r="A2" s="26" t="inlineStr">
        <is>
          <t>Outsourceable new construction sized at cost-element level. Starts from Newbuild TAM, excludes single-yard/nuclear programs (Submarines, Aircraft Carriers, UUVs), then narrows to hull programs with P-5c exhibit data. P-5c percentage mix applied to net budget authority gives the Newbuild SAM — the market a company could compete in, broken by component.</t>
        </is>
      </c>
    </row>
    <row r="3" ht="10" customHeight="1"/>
    <row r="4" ht="10" customHeight="1">
      <c r="A4" s="27" t="inlineStr">
        <is>
          <t>(A) Bridge: Newbuild TAM → Newbuild SAM (all programs)</t>
        </is>
      </c>
      <c r="B4" s="28" t="n"/>
    </row>
    <row r="5" ht="10" customHeight="1">
      <c r="A5" s="30" t="inlineStr">
        <is>
          <t>Newbuild TAM</t>
        </is>
      </c>
      <c r="B5" s="31">
        <f>SUMIFS(JB_26BV,JB_B,1,JB_V,"Auxiliary Ships",JB_RC,"ADD")+SUMIFS(JB_26BV,JB_B,1,JB_V,"Combatant Ships",JB_RC,"ADD")+SUMIFS(JB_26BV,JB_B,1,JB_V,"Cutters",JB_RC,"ADD")+SUMIFS(JB_26BV,JB_B,1,JB_V,"Unmanned Maritime Platforms",JB_RC,"ADD")</f>
        <v/>
      </c>
    </row>
    <row r="6" ht="10" customHeight="1">
      <c r="A6" s="30" t="inlineStr">
        <is>
          <t xml:space="preserve">  Less: Submarines</t>
        </is>
      </c>
      <c r="B6" s="31">
        <f>-SUMIFS(JB_26BV,JB_B,1,JB_W,"Submarines",JB_RC,"ADD")</f>
        <v/>
      </c>
    </row>
    <row r="7" ht="10" customHeight="1">
      <c r="A7" s="30" t="inlineStr">
        <is>
          <t xml:space="preserve">  Less: Aircraft Carriers</t>
        </is>
      </c>
      <c r="B7" s="31">
        <f>-SUMIFS(JB_26BV,JB_B,1,JB_W,"Aircraft Carriers",JB_RC,"ADD")</f>
        <v/>
      </c>
    </row>
    <row r="8" ht="10" customHeight="1">
      <c r="A8" s="30" t="inlineStr">
        <is>
          <t xml:space="preserve">  Less: Unmanned Undersea Vehicles</t>
        </is>
      </c>
      <c r="B8" s="31">
        <f>-SUMIFS(JB_26BV,JB_B,1,JB_W,"Unmanned Undersea Vehicles",JB_RC,"ADD")</f>
        <v/>
      </c>
    </row>
    <row r="9" ht="10" customHeight="1">
      <c r="A9" s="32" t="inlineStr">
        <is>
          <t>Newbuild SAM (all programs)</t>
        </is>
      </c>
      <c r="B9" s="33">
        <f>SUM(B5:B8)</f>
        <v/>
      </c>
    </row>
    <row r="10" ht="10" customHeight="1"/>
    <row r="11" ht="10" customHeight="1"/>
    <row r="12" ht="10" customHeight="1">
      <c r="A12" s="27" t="inlineStr">
        <is>
          <t>(B) Newbuild SAM (all programs) by Vessel Type &amp; Sub-Category — FY2026 ($K)</t>
        </is>
      </c>
      <c r="B12" s="28" t="n"/>
      <c r="C12" s="28" t="n"/>
      <c r="D12" s="28" t="n"/>
      <c r="E12" s="28" t="n"/>
      <c r="F12" s="28" t="n"/>
      <c r="G12" s="28" t="n"/>
      <c r="H12" s="28" t="n"/>
    </row>
    <row r="13" ht="10" customHeight="1">
      <c r="A13" s="29" t="inlineStr">
        <is>
          <t>Vessel Type</t>
        </is>
      </c>
      <c r="B13" s="29" t="inlineStr">
        <is>
          <t>Service</t>
        </is>
      </c>
      <c r="C13" s="29" t="inlineStr">
        <is>
          <t>DD&amp;C</t>
        </is>
      </c>
      <c r="D13" s="29" t="inlineStr">
        <is>
          <t>AP/LLTM</t>
        </is>
      </c>
      <c r="E13" s="29" t="inlineStr">
        <is>
          <t>RCOH</t>
        </is>
      </c>
      <c r="F13" s="29" t="inlineStr">
        <is>
          <t>SLEP</t>
        </is>
      </c>
      <c r="G13" s="29" t="inlineStr">
        <is>
          <t>Total</t>
        </is>
      </c>
      <c r="H13" s="29" t="inlineStr">
        <is>
          <t>% of Total</t>
        </is>
      </c>
    </row>
    <row r="14" ht="10" customHeight="1">
      <c r="A14" s="30" t="inlineStr">
        <is>
          <t>Surface Combatants</t>
        </is>
      </c>
      <c r="B14" s="30" t="inlineStr">
        <is>
          <t>USN</t>
        </is>
      </c>
      <c r="C14" s="31">
        <f>SUMIFS(JB_26BV,JB_B,1,JB_W,"Surface Combatants",JB_F,"Full ship DD&amp;C",JB_RC,"ADD")+SUMIFS(JB_26BV,JB_B,1,JB_W,"Surface Combatants",JB_F,"Full ship DD&amp;C / LLTM",JB_RC,"ADD")+SUMIFS(JB_26BV,JB_B,1,JB_W,"Surface Combatants",JB_F,"Full vessel procurement",JB_RC,"ADD")</f>
        <v/>
      </c>
      <c r="D14" s="31">
        <f>SUMIFS(JB_26BV,JB_B,1,JB_W,"Surface Combatants",JB_F,"Advance procurement / LLTM",JB_RC,"ADD")</f>
        <v/>
      </c>
      <c r="E14" s="31">
        <f>SUMIFS(JB_26BV,JB_B,1,JB_W,"Surface Combatants",JB_F,"RCOH",JB_RC,"ADD")</f>
        <v/>
      </c>
      <c r="F14" s="31">
        <f>SUMIFS(JB_26BV,JB_B,1,JB_W,"Surface Combatants",JB_F,"SLEP",JB_RC,"ADD")</f>
        <v/>
      </c>
      <c r="G14" s="31">
        <f>SUMIFS(JB_26BV,JB_B,1,JB_W,"Surface Combatants",JB_RC,"ADD")</f>
        <v/>
      </c>
      <c r="H14" s="37">
        <f>IFERROR(G14/G$26,0)</f>
        <v/>
      </c>
    </row>
    <row r="15" ht="10" customHeight="1">
      <c r="A15" s="30" t="inlineStr">
        <is>
          <t>Expeditionary &amp; Seabasing Ships</t>
        </is>
      </c>
      <c r="B15" s="30" t="inlineStr">
        <is>
          <t>USN</t>
        </is>
      </c>
      <c r="C15" s="31">
        <f>SUMIFS(JB_26BV,JB_B,1,JB_W,"Expeditionary &amp; Seabasing Ships",JB_F,"Full ship DD&amp;C",JB_RC,"ADD")+SUMIFS(JB_26BV,JB_B,1,JB_W,"Expeditionary &amp; Seabasing Ships",JB_F,"Full ship DD&amp;C / LLTM",JB_RC,"ADD")+SUMIFS(JB_26BV,JB_B,1,JB_W,"Expeditionary &amp; Seabasing Ships",JB_F,"Full vessel procurement",JB_RC,"ADD")</f>
        <v/>
      </c>
      <c r="D15" s="31">
        <f>SUMIFS(JB_26BV,JB_B,1,JB_W,"Expeditionary &amp; Seabasing Ships",JB_F,"Advance procurement / LLTM",JB_RC,"ADD")</f>
        <v/>
      </c>
      <c r="E15" s="31">
        <f>SUMIFS(JB_26BV,JB_B,1,JB_W,"Expeditionary &amp; Seabasing Ships",JB_F,"RCOH",JB_RC,"ADD")</f>
        <v/>
      </c>
      <c r="F15" s="31">
        <f>SUMIFS(JB_26BV,JB_B,1,JB_W,"Expeditionary &amp; Seabasing Ships",JB_F,"SLEP",JB_RC,"ADD")</f>
        <v/>
      </c>
      <c r="G15" s="31">
        <f>SUMIFS(JB_26BV,JB_B,1,JB_W,"Expeditionary &amp; Seabasing Ships",JB_RC,"ADD")</f>
        <v/>
      </c>
      <c r="H15" s="37">
        <f>IFERROR(G15/G$26,0)</f>
        <v/>
      </c>
    </row>
    <row r="16" ht="10" customHeight="1">
      <c r="A16" s="30" t="inlineStr">
        <is>
          <t>Combat Logistics Ships</t>
        </is>
      </c>
      <c r="B16" s="30" t="inlineStr">
        <is>
          <t>MSC</t>
        </is>
      </c>
      <c r="C16" s="31">
        <f>SUMIFS(JB_26BV,JB_B,1,JB_W,"Combat Logistics Ships",JB_F,"Full ship DD&amp;C",JB_RC,"ADD")+SUMIFS(JB_26BV,JB_B,1,JB_W,"Combat Logistics Ships",JB_F,"Full ship DD&amp;C / LLTM",JB_RC,"ADD")+SUMIFS(JB_26BV,JB_B,1,JB_W,"Combat Logistics Ships",JB_F,"Full vessel procurement",JB_RC,"ADD")</f>
        <v/>
      </c>
      <c r="D16" s="31">
        <f>SUMIFS(JB_26BV,JB_B,1,JB_W,"Combat Logistics Ships",JB_F,"Advance procurement / LLTM",JB_RC,"ADD")</f>
        <v/>
      </c>
      <c r="E16" s="31">
        <f>SUMIFS(JB_26BV,JB_B,1,JB_W,"Combat Logistics Ships",JB_F,"RCOH",JB_RC,"ADD")</f>
        <v/>
      </c>
      <c r="F16" s="31">
        <f>SUMIFS(JB_26BV,JB_B,1,JB_W,"Combat Logistics Ships",JB_F,"SLEP",JB_RC,"ADD")</f>
        <v/>
      </c>
      <c r="G16" s="31">
        <f>SUMIFS(JB_26BV,JB_B,1,JB_W,"Combat Logistics Ships",JB_RC,"ADD")</f>
        <v/>
      </c>
      <c r="H16" s="37">
        <f>IFERROR(G16/G$26,0)</f>
        <v/>
      </c>
    </row>
    <row r="17" ht="10" customHeight="1">
      <c r="A17" s="30" t="inlineStr">
        <is>
          <t>Amphibious Warfare Ships</t>
        </is>
      </c>
      <c r="B17" s="30" t="inlineStr">
        <is>
          <t>USN</t>
        </is>
      </c>
      <c r="C17" s="31">
        <f>SUMIFS(JB_26BV,JB_B,1,JB_W,"Amphibious Warfare Ships",JB_F,"Full ship DD&amp;C",JB_RC,"ADD")+SUMIFS(JB_26BV,JB_B,1,JB_W,"Amphibious Warfare Ships",JB_F,"Full ship DD&amp;C / LLTM",JB_RC,"ADD")+SUMIFS(JB_26BV,JB_B,1,JB_W,"Amphibious Warfare Ships",JB_F,"Full vessel procurement",JB_RC,"ADD")</f>
        <v/>
      </c>
      <c r="D17" s="31">
        <f>SUMIFS(JB_26BV,JB_B,1,JB_W,"Amphibious Warfare Ships",JB_F,"Advance procurement / LLTM",JB_RC,"ADD")</f>
        <v/>
      </c>
      <c r="E17" s="31">
        <f>SUMIFS(JB_26BV,JB_B,1,JB_W,"Amphibious Warfare Ships",JB_F,"RCOH",JB_RC,"ADD")</f>
        <v/>
      </c>
      <c r="F17" s="31">
        <f>SUMIFS(JB_26BV,JB_B,1,JB_W,"Amphibious Warfare Ships",JB_F,"SLEP",JB_RC,"ADD")</f>
        <v/>
      </c>
      <c r="G17" s="31">
        <f>SUMIFS(JB_26BV,JB_B,1,JB_W,"Amphibious Warfare Ships",JB_RC,"ADD")</f>
        <v/>
      </c>
      <c r="H17" s="37">
        <f>IFERROR(G17/G$26,0)</f>
        <v/>
      </c>
    </row>
    <row r="18" ht="10" customHeight="1">
      <c r="A18" s="30" t="inlineStr">
        <is>
          <t>Unmanned Surface Vehicles</t>
        </is>
      </c>
      <c r="B18" s="30" t="inlineStr">
        <is>
          <t>USN</t>
        </is>
      </c>
      <c r="C18" s="31">
        <f>SUMIFS(JB_26BV,JB_B,1,JB_W,"Unmanned Surface Vehicles",JB_F,"Full ship DD&amp;C",JB_RC,"ADD")+SUMIFS(JB_26BV,JB_B,1,JB_W,"Unmanned Surface Vehicles",JB_F,"Full ship DD&amp;C / LLTM",JB_RC,"ADD")+SUMIFS(JB_26BV,JB_B,1,JB_W,"Unmanned Surface Vehicles",JB_F,"Full vessel procurement",JB_RC,"ADD")</f>
        <v/>
      </c>
      <c r="D18" s="31">
        <f>SUMIFS(JB_26BV,JB_B,1,JB_W,"Unmanned Surface Vehicles",JB_F,"Advance procurement / LLTM",JB_RC,"ADD")</f>
        <v/>
      </c>
      <c r="E18" s="31">
        <f>SUMIFS(JB_26BV,JB_B,1,JB_W,"Unmanned Surface Vehicles",JB_F,"RCOH",JB_RC,"ADD")</f>
        <v/>
      </c>
      <c r="F18" s="31">
        <f>SUMIFS(JB_26BV,JB_B,1,JB_W,"Unmanned Surface Vehicles",JB_F,"SLEP",JB_RC,"ADD")</f>
        <v/>
      </c>
      <c r="G18" s="31">
        <f>SUMIFS(JB_26BV,JB_B,1,JB_W,"Unmanned Surface Vehicles",JB_RC,"ADD")</f>
        <v/>
      </c>
      <c r="H18" s="37">
        <f>IFERROR(G18/G$26,0)</f>
        <v/>
      </c>
    </row>
    <row r="19" ht="10" customHeight="1">
      <c r="A19" s="30" t="inlineStr">
        <is>
          <t>Cargo &amp; Vehicle Cargo Ships</t>
        </is>
      </c>
      <c r="B19" s="30" t="inlineStr">
        <is>
          <t>USN</t>
        </is>
      </c>
      <c r="C19" s="31">
        <f>SUMIFS(JB_26BV,JB_B,1,JB_W,"Cargo &amp; Vehicle Cargo Ships",JB_F,"Full ship DD&amp;C",JB_RC,"ADD")+SUMIFS(JB_26BV,JB_B,1,JB_W,"Cargo &amp; Vehicle Cargo Ships",JB_F,"Full ship DD&amp;C / LLTM",JB_RC,"ADD")+SUMIFS(JB_26BV,JB_B,1,JB_W,"Cargo &amp; Vehicle Cargo Ships",JB_F,"Full vessel procurement",JB_RC,"ADD")</f>
        <v/>
      </c>
      <c r="D19" s="31">
        <f>SUMIFS(JB_26BV,JB_B,1,JB_W,"Cargo &amp; Vehicle Cargo Ships",JB_F,"Advance procurement / LLTM",JB_RC,"ADD")</f>
        <v/>
      </c>
      <c r="E19" s="31">
        <f>SUMIFS(JB_26BV,JB_B,1,JB_W,"Cargo &amp; Vehicle Cargo Ships",JB_F,"RCOH",JB_RC,"ADD")</f>
        <v/>
      </c>
      <c r="F19" s="31">
        <f>SUMIFS(JB_26BV,JB_B,1,JB_W,"Cargo &amp; Vehicle Cargo Ships",JB_F,"SLEP",JB_RC,"ADD")</f>
        <v/>
      </c>
      <c r="G19" s="31">
        <f>SUMIFS(JB_26BV,JB_B,1,JB_W,"Cargo &amp; Vehicle Cargo Ships",JB_RC,"ADD")</f>
        <v/>
      </c>
      <c r="H19" s="37">
        <f>IFERROR(G19/G$26,0)</f>
        <v/>
      </c>
    </row>
    <row r="20" ht="10" customHeight="1">
      <c r="A20" s="30" t="inlineStr">
        <is>
          <t>Surveillance Ships</t>
        </is>
      </c>
      <c r="B20" s="30" t="inlineStr">
        <is>
          <t>USN</t>
        </is>
      </c>
      <c r="C20" s="31">
        <f>SUMIFS(JB_26BV,JB_B,1,JB_W,"Surveillance Ships",JB_F,"Full ship DD&amp;C",JB_RC,"ADD")+SUMIFS(JB_26BV,JB_B,1,JB_W,"Surveillance Ships",JB_F,"Full ship DD&amp;C / LLTM",JB_RC,"ADD")+SUMIFS(JB_26BV,JB_B,1,JB_W,"Surveillance Ships",JB_F,"Full vessel procurement",JB_RC,"ADD")</f>
        <v/>
      </c>
      <c r="D20" s="31">
        <f>SUMIFS(JB_26BV,JB_B,1,JB_W,"Surveillance Ships",JB_F,"Advance procurement / LLTM",JB_RC,"ADD")</f>
        <v/>
      </c>
      <c r="E20" s="31">
        <f>SUMIFS(JB_26BV,JB_B,1,JB_W,"Surveillance Ships",JB_F,"RCOH",JB_RC,"ADD")</f>
        <v/>
      </c>
      <c r="F20" s="31">
        <f>SUMIFS(JB_26BV,JB_B,1,JB_W,"Surveillance Ships",JB_F,"SLEP",JB_RC,"ADD")</f>
        <v/>
      </c>
      <c r="G20" s="31">
        <f>SUMIFS(JB_26BV,JB_B,1,JB_W,"Surveillance Ships",JB_RC,"ADD")</f>
        <v/>
      </c>
      <c r="H20" s="37">
        <f>IFERROR(G20/G$26,0)</f>
        <v/>
      </c>
    </row>
    <row r="21" ht="10" customHeight="1">
      <c r="A21" s="30" t="inlineStr">
        <is>
          <t>Salvage Ships &amp; Fleet Ocean Tugs</t>
        </is>
      </c>
      <c r="B21" s="30" t="inlineStr">
        <is>
          <t>MSC</t>
        </is>
      </c>
      <c r="C21" s="31">
        <f>SUMIFS(JB_26BV,JB_B,1,JB_W,"Salvage Ships &amp; Fleet Ocean Tugs",JB_F,"Full ship DD&amp;C",JB_RC,"ADD")+SUMIFS(JB_26BV,JB_B,1,JB_W,"Salvage Ships &amp; Fleet Ocean Tugs",JB_F,"Full ship DD&amp;C / LLTM",JB_RC,"ADD")+SUMIFS(JB_26BV,JB_B,1,JB_W,"Salvage Ships &amp; Fleet Ocean Tugs",JB_F,"Full vessel procurement",JB_RC,"ADD")</f>
        <v/>
      </c>
      <c r="D21" s="31">
        <f>SUMIFS(JB_26BV,JB_B,1,JB_W,"Salvage Ships &amp; Fleet Ocean Tugs",JB_F,"Advance procurement / LLTM",JB_RC,"ADD")</f>
        <v/>
      </c>
      <c r="E21" s="31">
        <f>SUMIFS(JB_26BV,JB_B,1,JB_W,"Salvage Ships &amp; Fleet Ocean Tugs",JB_F,"RCOH",JB_RC,"ADD")</f>
        <v/>
      </c>
      <c r="F21" s="31">
        <f>SUMIFS(JB_26BV,JB_B,1,JB_W,"Salvage Ships &amp; Fleet Ocean Tugs",JB_F,"SLEP",JB_RC,"ADD")</f>
        <v/>
      </c>
      <c r="G21" s="31">
        <f>SUMIFS(JB_26BV,JB_B,1,JB_W,"Salvage Ships &amp; Fleet Ocean Tugs",JB_RC,"ADD")</f>
        <v/>
      </c>
      <c r="H21" s="37">
        <f>IFERROR(G21/G$26,0)</f>
        <v/>
      </c>
    </row>
    <row r="22" ht="10" customHeight="1">
      <c r="A22" s="30" t="inlineStr">
        <is>
          <t>Offshore Patrol Cutter</t>
        </is>
      </c>
      <c r="B22" s="30" t="inlineStr">
        <is>
          <t>USCG</t>
        </is>
      </c>
      <c r="C22" s="31">
        <f>SUMIFS(JB_26BV,JB_B,1,JB_W,"Offshore Patrol Cutter",JB_F,"Full ship DD&amp;C",JB_RC,"ADD")+SUMIFS(JB_26BV,JB_B,1,JB_W,"Offshore Patrol Cutter",JB_F,"Full ship DD&amp;C / LLTM",JB_RC,"ADD")+SUMIFS(JB_26BV,JB_B,1,JB_W,"Offshore Patrol Cutter",JB_F,"Full vessel procurement",JB_RC,"ADD")</f>
        <v/>
      </c>
      <c r="D22" s="31">
        <f>SUMIFS(JB_26BV,JB_B,1,JB_W,"Offshore Patrol Cutter",JB_F,"Advance procurement / LLTM",JB_RC,"ADD")</f>
        <v/>
      </c>
      <c r="E22" s="31">
        <f>SUMIFS(JB_26BV,JB_B,1,JB_W,"Offshore Patrol Cutter",JB_F,"RCOH",JB_RC,"ADD")</f>
        <v/>
      </c>
      <c r="F22" s="31">
        <f>SUMIFS(JB_26BV,JB_B,1,JB_W,"Offshore Patrol Cutter",JB_F,"SLEP",JB_RC,"ADD")</f>
        <v/>
      </c>
      <c r="G22" s="31">
        <f>SUMIFS(JB_26BV,JB_B,1,JB_W,"Offshore Patrol Cutter",JB_RC,"ADD")</f>
        <v/>
      </c>
      <c r="H22" s="37">
        <f>IFERROR(G22/G$26,0)</f>
        <v/>
      </c>
    </row>
    <row r="23" ht="10" customHeight="1">
      <c r="A23" s="30" t="inlineStr">
        <is>
          <t>Fast Response Cutters</t>
        </is>
      </c>
      <c r="B23" s="30" t="inlineStr">
        <is>
          <t>USCG</t>
        </is>
      </c>
      <c r="C23" s="31">
        <f>SUMIFS(JB_26BV,JB_B,1,JB_W,"Fast Response Cutters",JB_F,"Full ship DD&amp;C",JB_RC,"ADD")+SUMIFS(JB_26BV,JB_B,1,JB_W,"Fast Response Cutters",JB_F,"Full ship DD&amp;C / LLTM",JB_RC,"ADD")+SUMIFS(JB_26BV,JB_B,1,JB_W,"Fast Response Cutters",JB_F,"Full vessel procurement",JB_RC,"ADD")</f>
        <v/>
      </c>
      <c r="D23" s="31">
        <f>SUMIFS(JB_26BV,JB_B,1,JB_W,"Fast Response Cutters",JB_F,"Advance procurement / LLTM",JB_RC,"ADD")</f>
        <v/>
      </c>
      <c r="E23" s="31">
        <f>SUMIFS(JB_26BV,JB_B,1,JB_W,"Fast Response Cutters",JB_F,"RCOH",JB_RC,"ADD")</f>
        <v/>
      </c>
      <c r="F23" s="31">
        <f>SUMIFS(JB_26BV,JB_B,1,JB_W,"Fast Response Cutters",JB_F,"SLEP",JB_RC,"ADD")</f>
        <v/>
      </c>
      <c r="G23" s="31">
        <f>SUMIFS(JB_26BV,JB_B,1,JB_W,"Fast Response Cutters",JB_RC,"ADD")</f>
        <v/>
      </c>
      <c r="H23" s="37">
        <f>IFERROR(G23/G$26,0)</f>
        <v/>
      </c>
    </row>
    <row r="24" ht="10" customHeight="1">
      <c r="A24" s="30" t="inlineStr">
        <is>
          <t>Icebreakers, Oceangoing</t>
        </is>
      </c>
      <c r="B24" s="30" t="inlineStr">
        <is>
          <t>USCG</t>
        </is>
      </c>
      <c r="C24" s="31">
        <f>SUMIFS(JB_26BV,JB_B,1,JB_W,"Icebreakers, Oceangoing",JB_F,"Full ship DD&amp;C",JB_RC,"ADD")+SUMIFS(JB_26BV,JB_B,1,JB_W,"Icebreakers, Oceangoing",JB_F,"Full ship DD&amp;C / LLTM",JB_RC,"ADD")+SUMIFS(JB_26BV,JB_B,1,JB_W,"Icebreakers, Oceangoing",JB_F,"Full vessel procurement",JB_RC,"ADD")</f>
        <v/>
      </c>
      <c r="D24" s="31">
        <f>SUMIFS(JB_26BV,JB_B,1,JB_W,"Icebreakers, Oceangoing",JB_F,"Advance procurement / LLTM",JB_RC,"ADD")</f>
        <v/>
      </c>
      <c r="E24" s="31">
        <f>SUMIFS(JB_26BV,JB_B,1,JB_W,"Icebreakers, Oceangoing",JB_F,"RCOH",JB_RC,"ADD")</f>
        <v/>
      </c>
      <c r="F24" s="31">
        <f>SUMIFS(JB_26BV,JB_B,1,JB_W,"Icebreakers, Oceangoing",JB_F,"SLEP",JB_RC,"ADD")</f>
        <v/>
      </c>
      <c r="G24" s="31">
        <f>SUMIFS(JB_26BV,JB_B,1,JB_W,"Icebreakers, Oceangoing",JB_RC,"ADD")</f>
        <v/>
      </c>
      <c r="H24" s="37">
        <f>IFERROR(G24/G$26,0)</f>
        <v/>
      </c>
    </row>
    <row r="25" ht="10" customHeight="1">
      <c r="A25" s="30" t="inlineStr">
        <is>
          <t>Waterways Commerce Cutters</t>
        </is>
      </c>
      <c r="B25" s="30" t="inlineStr">
        <is>
          <t>USCG</t>
        </is>
      </c>
      <c r="C25" s="31">
        <f>SUMIFS(JB_26BV,JB_B,1,JB_W,"Waterways Commerce Cutters",JB_F,"Full ship DD&amp;C",JB_RC,"ADD")+SUMIFS(JB_26BV,JB_B,1,JB_W,"Waterways Commerce Cutters",JB_F,"Full ship DD&amp;C / LLTM",JB_RC,"ADD")+SUMIFS(JB_26BV,JB_B,1,JB_W,"Waterways Commerce Cutters",JB_F,"Full vessel procurement",JB_RC,"ADD")</f>
        <v/>
      </c>
      <c r="D25" s="31">
        <f>SUMIFS(JB_26BV,JB_B,1,JB_W,"Waterways Commerce Cutters",JB_F,"Advance procurement / LLTM",JB_RC,"ADD")</f>
        <v/>
      </c>
      <c r="E25" s="31">
        <f>SUMIFS(JB_26BV,JB_B,1,JB_W,"Waterways Commerce Cutters",JB_F,"RCOH",JB_RC,"ADD")</f>
        <v/>
      </c>
      <c r="F25" s="31">
        <f>SUMIFS(JB_26BV,JB_B,1,JB_W,"Waterways Commerce Cutters",JB_F,"SLEP",JB_RC,"ADD")</f>
        <v/>
      </c>
      <c r="G25" s="31">
        <f>SUMIFS(JB_26BV,JB_B,1,JB_W,"Waterways Commerce Cutters",JB_RC,"ADD")</f>
        <v/>
      </c>
      <c r="H25" s="37">
        <f>IFERROR(G25/G$26,0)</f>
        <v/>
      </c>
    </row>
    <row r="26" ht="10" customHeight="1">
      <c r="A26" s="32" t="inlineStr">
        <is>
          <t>Newbuild SAM (all programs)</t>
        </is>
      </c>
      <c r="B26" s="32" t="inlineStr"/>
      <c r="C26" s="33">
        <f>SUM(C14:C25)</f>
        <v/>
      </c>
      <c r="D26" s="33">
        <f>SUM(D14:D25)</f>
        <v/>
      </c>
      <c r="E26" s="33">
        <f>SUM(E14:E25)</f>
        <v/>
      </c>
      <c r="F26" s="33">
        <f>SUM(F14:F25)</f>
        <v/>
      </c>
      <c r="G26" s="33">
        <f>SUM(G14:G25)</f>
        <v/>
      </c>
      <c r="H26" s="38" t="n">
        <v>1</v>
      </c>
    </row>
    <row r="27" ht="10" customHeight="1"/>
    <row r="28" ht="10" customHeight="1"/>
    <row r="29" ht="10" customHeight="1">
      <c r="A29" s="27" t="inlineStr">
        <is>
          <t>(C) Newbuild SAM (all programs) by Hull Program — FY2026 ($K)</t>
        </is>
      </c>
      <c r="B29" s="28" t="n"/>
      <c r="C29" s="28" t="n"/>
      <c r="D29" s="28" t="n"/>
      <c r="E29" s="28" t="n"/>
      <c r="F29" s="28" t="n"/>
      <c r="G29" s="28" t="n"/>
      <c r="H29" s="28" t="n"/>
      <c r="I29" s="28" t="n"/>
    </row>
    <row r="30" ht="10" customHeight="1">
      <c r="A30" s="26" t="inlineStr">
        <is>
          <t>Same funding as (B) broken down to individual hull programs — the level at which budget line items are traceable.</t>
        </is>
      </c>
    </row>
    <row r="31" ht="10" customHeight="1">
      <c r="A31" s="29" t="inlineStr">
        <is>
          <t>Hull Program</t>
        </is>
      </c>
      <c r="B31" s="29" t="inlineStr">
        <is>
          <t>Vessel Type</t>
        </is>
      </c>
      <c r="C31" s="29" t="inlineStr">
        <is>
          <t>Service</t>
        </is>
      </c>
      <c r="D31" s="29" t="inlineStr">
        <is>
          <t>DD&amp;C</t>
        </is>
      </c>
      <c r="E31" s="29" t="inlineStr">
        <is>
          <t>AP/LLTM</t>
        </is>
      </c>
      <c r="F31" s="29" t="inlineStr">
        <is>
          <t>RCOH</t>
        </is>
      </c>
      <c r="G31" s="29" t="inlineStr">
        <is>
          <t>SLEP</t>
        </is>
      </c>
      <c r="H31" s="29" t="inlineStr">
        <is>
          <t>Total</t>
        </is>
      </c>
      <c r="I31" s="29" t="inlineStr">
        <is>
          <t>% of Total</t>
        </is>
      </c>
    </row>
    <row r="32" ht="10" customHeight="1">
      <c r="A32" s="30" t="inlineStr">
        <is>
          <t>DDG</t>
        </is>
      </c>
      <c r="B32" s="30" t="inlineStr">
        <is>
          <t>Surface Combatants</t>
        </is>
      </c>
      <c r="C32" s="30" t="inlineStr">
        <is>
          <t>USN</t>
        </is>
      </c>
      <c r="D32" s="31">
        <f>SUMIFS(JB_26BV,JB_B,1,JB_H,"DDG",JB_F,"Full ship DD&amp;C",JB_RC,"ADD")+SUMIFS(JB_26BV,JB_B,1,JB_H,"DDG",JB_F,"Full ship DD&amp;C / LLTM",JB_RC,"ADD")+SUMIFS(JB_26BV,JB_B,1,JB_H,"DDG",JB_F,"Full vessel procurement",JB_RC,"ADD")</f>
        <v/>
      </c>
      <c r="E32" s="31">
        <f>SUMIFS(JB_26BV,JB_B,1,JB_H,"DDG",JB_F,"Advance procurement / LLTM",JB_RC,"ADD")</f>
        <v/>
      </c>
      <c r="F32" s="31">
        <f>SUMIFS(JB_26BV,JB_B,1,JB_H,"DDG",JB_F,"RCOH",JB_RC,"ADD")</f>
        <v/>
      </c>
      <c r="G32" s="31">
        <f>SUMIFS(JB_26BV,JB_B,1,JB_H,"DDG",JB_F,"SLEP",JB_RC,"ADD")</f>
        <v/>
      </c>
      <c r="H32" s="31">
        <f>SUMIFS(JB_26BV,JB_B,1,JB_H,"DDG",JB_RC,"ADD")</f>
        <v/>
      </c>
      <c r="I32" s="37">
        <f>IFERROR(H32/H$46,0)</f>
        <v/>
      </c>
    </row>
    <row r="33" ht="10" customHeight="1">
      <c r="A33" s="30" t="inlineStr">
        <is>
          <t>LSM</t>
        </is>
      </c>
      <c r="B33" s="30" t="inlineStr">
        <is>
          <t>Expeditionary &amp; Seabasing Ships</t>
        </is>
      </c>
      <c r="C33" s="30" t="inlineStr">
        <is>
          <t>USN</t>
        </is>
      </c>
      <c r="D33" s="31">
        <f>SUMIFS(JB_26BV,JB_B,1,JB_H,"LSM",JB_F,"Full ship DD&amp;C",JB_RC,"ADD")+SUMIFS(JB_26BV,JB_B,1,JB_H,"LSM",JB_F,"Full ship DD&amp;C / LLTM",JB_RC,"ADD")+SUMIFS(JB_26BV,JB_B,1,JB_H,"LSM",JB_F,"Full vessel procurement",JB_RC,"ADD")</f>
        <v/>
      </c>
      <c r="E33" s="31">
        <f>SUMIFS(JB_26BV,JB_B,1,JB_H,"LSM",JB_F,"Advance procurement / LLTM",JB_RC,"ADD")</f>
        <v/>
      </c>
      <c r="F33" s="31">
        <f>SUMIFS(JB_26BV,JB_B,1,JB_H,"LSM",JB_F,"RCOH",JB_RC,"ADD")</f>
        <v/>
      </c>
      <c r="G33" s="31">
        <f>SUMIFS(JB_26BV,JB_B,1,JB_H,"LSM",JB_F,"SLEP",JB_RC,"ADD")</f>
        <v/>
      </c>
      <c r="H33" s="31">
        <f>SUMIFS(JB_26BV,JB_B,1,JB_H,"LSM",JB_RC,"ADD")</f>
        <v/>
      </c>
      <c r="I33" s="37">
        <f>IFERROR(H33/H$46,0)</f>
        <v/>
      </c>
    </row>
    <row r="34" ht="10" customHeight="1">
      <c r="A34" s="30" t="inlineStr">
        <is>
          <t>T-AO</t>
        </is>
      </c>
      <c r="B34" s="30" t="inlineStr">
        <is>
          <t>Combat Logistics Ships</t>
        </is>
      </c>
      <c r="C34" s="30" t="inlineStr">
        <is>
          <t>MSC</t>
        </is>
      </c>
      <c r="D34" s="31">
        <f>SUMIFS(JB_26BV,JB_B,1,JB_H,"T-AO",JB_F,"Full ship DD&amp;C",JB_RC,"ADD")+SUMIFS(JB_26BV,JB_B,1,JB_H,"T-AO",JB_F,"Full ship DD&amp;C / LLTM",JB_RC,"ADD")+SUMIFS(JB_26BV,JB_B,1,JB_H,"T-AO",JB_F,"Full vessel procurement",JB_RC,"ADD")</f>
        <v/>
      </c>
      <c r="E34" s="31">
        <f>SUMIFS(JB_26BV,JB_B,1,JB_H,"T-AO",JB_F,"Advance procurement / LLTM",JB_RC,"ADD")</f>
        <v/>
      </c>
      <c r="F34" s="31">
        <f>SUMIFS(JB_26BV,JB_B,1,JB_H,"T-AO",JB_F,"RCOH",JB_RC,"ADD")</f>
        <v/>
      </c>
      <c r="G34" s="31">
        <f>SUMIFS(JB_26BV,JB_B,1,JB_H,"T-AO",JB_F,"SLEP",JB_RC,"ADD")</f>
        <v/>
      </c>
      <c r="H34" s="31">
        <f>SUMIFS(JB_26BV,JB_B,1,JB_H,"T-AO",JB_RC,"ADD")</f>
        <v/>
      </c>
      <c r="I34" s="37">
        <f>IFERROR(H34/H$46,0)</f>
        <v/>
      </c>
    </row>
    <row r="35" ht="10" customHeight="1">
      <c r="A35" s="30" t="inlineStr">
        <is>
          <t>MUSV</t>
        </is>
      </c>
      <c r="B35" s="30" t="inlineStr">
        <is>
          <t>Unmanned Surface Vehicles</t>
        </is>
      </c>
      <c r="C35" s="30" t="inlineStr">
        <is>
          <t>USN</t>
        </is>
      </c>
      <c r="D35" s="31">
        <f>SUMIFS(JB_26BV,JB_B,1,JB_H,"MUSV",JB_F,"Full ship DD&amp;C",JB_RC,"ADD")+SUMIFS(JB_26BV,JB_B,1,JB_H,"MUSV",JB_F,"Full ship DD&amp;C / LLTM",JB_RC,"ADD")+SUMIFS(JB_26BV,JB_B,1,JB_H,"MUSV",JB_F,"Full vessel procurement",JB_RC,"ADD")</f>
        <v/>
      </c>
      <c r="E35" s="31">
        <f>SUMIFS(JB_26BV,JB_B,1,JB_H,"MUSV",JB_F,"Advance procurement / LLTM",JB_RC,"ADD")</f>
        <v/>
      </c>
      <c r="F35" s="31">
        <f>SUMIFS(JB_26BV,JB_B,1,JB_H,"MUSV",JB_F,"RCOH",JB_RC,"ADD")</f>
        <v/>
      </c>
      <c r="G35" s="31">
        <f>SUMIFS(JB_26BV,JB_B,1,JB_H,"MUSV",JB_F,"SLEP",JB_RC,"ADD")</f>
        <v/>
      </c>
      <c r="H35" s="31">
        <f>SUMIFS(JB_26BV,JB_B,1,JB_H,"MUSV",JB_RC,"ADD")</f>
        <v/>
      </c>
      <c r="I35" s="37">
        <f>IFERROR(H35/H$46,0)</f>
        <v/>
      </c>
    </row>
    <row r="36" ht="10" customHeight="1">
      <c r="A36" s="30" t="inlineStr">
        <is>
          <t>LPD</t>
        </is>
      </c>
      <c r="B36" s="30" t="inlineStr">
        <is>
          <t>Amphibious Warfare Ships</t>
        </is>
      </c>
      <c r="C36" s="30" t="inlineStr">
        <is>
          <t>USN</t>
        </is>
      </c>
      <c r="D36" s="31">
        <f>SUMIFS(JB_26BV,JB_B,1,JB_H,"LPD",JB_F,"Full ship DD&amp;C",JB_RC,"ADD")+SUMIFS(JB_26BV,JB_B,1,JB_H,"LPD",JB_F,"Full ship DD&amp;C / LLTM",JB_RC,"ADD")+SUMIFS(JB_26BV,JB_B,1,JB_H,"LPD",JB_F,"Full vessel procurement",JB_RC,"ADD")</f>
        <v/>
      </c>
      <c r="E36" s="31">
        <f>SUMIFS(JB_26BV,JB_B,1,JB_H,"LPD",JB_F,"Advance procurement / LLTM",JB_RC,"ADD")</f>
        <v/>
      </c>
      <c r="F36" s="31">
        <f>SUMIFS(JB_26BV,JB_B,1,JB_H,"LPD",JB_F,"RCOH",JB_RC,"ADD")</f>
        <v/>
      </c>
      <c r="G36" s="31">
        <f>SUMIFS(JB_26BV,JB_B,1,JB_H,"LPD",JB_F,"SLEP",JB_RC,"ADD")</f>
        <v/>
      </c>
      <c r="H36" s="31">
        <f>SUMIFS(JB_26BV,JB_B,1,JB_H,"LPD",JB_RC,"ADD")</f>
        <v/>
      </c>
      <c r="I36" s="37">
        <f>IFERROR(H36/H$46,0)</f>
        <v/>
      </c>
    </row>
    <row r="37" ht="10" customHeight="1">
      <c r="A37" s="30" t="inlineStr">
        <is>
          <t>T-AKR</t>
        </is>
      </c>
      <c r="B37" s="30" t="inlineStr">
        <is>
          <t>Cargo &amp; Vehicle Cargo Ships</t>
        </is>
      </c>
      <c r="C37" s="30" t="inlineStr">
        <is>
          <t>MSC</t>
        </is>
      </c>
      <c r="D37" s="31">
        <f>SUMIFS(JB_26BV,JB_B,1,JB_H,"T-AKR",JB_F,"Full ship DD&amp;C",JB_RC,"ADD")+SUMIFS(JB_26BV,JB_B,1,JB_H,"T-AKR",JB_F,"Full ship DD&amp;C / LLTM",JB_RC,"ADD")+SUMIFS(JB_26BV,JB_B,1,JB_H,"T-AKR",JB_F,"Full vessel procurement",JB_RC,"ADD")</f>
        <v/>
      </c>
      <c r="E37" s="31">
        <f>SUMIFS(JB_26BV,JB_B,1,JB_H,"T-AKR",JB_F,"Advance procurement / LLTM",JB_RC,"ADD")</f>
        <v/>
      </c>
      <c r="F37" s="31">
        <f>SUMIFS(JB_26BV,JB_B,1,JB_H,"T-AKR",JB_F,"RCOH",JB_RC,"ADD")</f>
        <v/>
      </c>
      <c r="G37" s="31">
        <f>SUMIFS(JB_26BV,JB_B,1,JB_H,"T-AKR",JB_F,"SLEP",JB_RC,"ADD")</f>
        <v/>
      </c>
      <c r="H37" s="31">
        <f>SUMIFS(JB_26BV,JB_B,1,JB_H,"T-AKR",JB_RC,"ADD")</f>
        <v/>
      </c>
      <c r="I37" s="37">
        <f>IFERROR(H37/H$46,0)</f>
        <v/>
      </c>
    </row>
    <row r="38" ht="10" customHeight="1">
      <c r="A38" s="30" t="inlineStr">
        <is>
          <t>LHA</t>
        </is>
      </c>
      <c r="B38" s="30" t="inlineStr">
        <is>
          <t>Amphibious Warfare Ships</t>
        </is>
      </c>
      <c r="C38" s="30" t="inlineStr">
        <is>
          <t>USN</t>
        </is>
      </c>
      <c r="D38" s="31">
        <f>SUMIFS(JB_26BV,JB_B,1,JB_H,"LHA",JB_F,"Full ship DD&amp;C",JB_RC,"ADD")+SUMIFS(JB_26BV,JB_B,1,JB_H,"LHA",JB_F,"Full ship DD&amp;C / LLTM",JB_RC,"ADD")+SUMIFS(JB_26BV,JB_B,1,JB_H,"LHA",JB_F,"Full vessel procurement",JB_RC,"ADD")</f>
        <v/>
      </c>
      <c r="E38" s="31">
        <f>SUMIFS(JB_26BV,JB_B,1,JB_H,"LHA",JB_F,"Advance procurement / LLTM",JB_RC,"ADD")</f>
        <v/>
      </c>
      <c r="F38" s="31">
        <f>SUMIFS(JB_26BV,JB_B,1,JB_H,"LHA",JB_F,"RCOH",JB_RC,"ADD")</f>
        <v/>
      </c>
      <c r="G38" s="31">
        <f>SUMIFS(JB_26BV,JB_B,1,JB_H,"LHA",JB_F,"SLEP",JB_RC,"ADD")</f>
        <v/>
      </c>
      <c r="H38" s="31">
        <f>SUMIFS(JB_26BV,JB_B,1,JB_H,"LHA",JB_RC,"ADD")</f>
        <v/>
      </c>
      <c r="I38" s="37">
        <f>IFERROR(H38/H$46,0)</f>
        <v/>
      </c>
    </row>
    <row r="39" ht="10" customHeight="1">
      <c r="A39" s="30" t="inlineStr">
        <is>
          <t>T-AGOS</t>
        </is>
      </c>
      <c r="B39" s="30" t="inlineStr">
        <is>
          <t>Surveillance Ships</t>
        </is>
      </c>
      <c r="C39" s="30" t="inlineStr">
        <is>
          <t>MSC</t>
        </is>
      </c>
      <c r="D39" s="31">
        <f>SUMIFS(JB_26BV,JB_B,1,JB_H,"T-AGOS",JB_F,"Full ship DD&amp;C",JB_RC,"ADD")+SUMIFS(JB_26BV,JB_B,1,JB_H,"T-AGOS",JB_F,"Full ship DD&amp;C / LLTM",JB_RC,"ADD")+SUMIFS(JB_26BV,JB_B,1,JB_H,"T-AGOS",JB_F,"Full vessel procurement",JB_RC,"ADD")</f>
        <v/>
      </c>
      <c r="E39" s="31">
        <f>SUMIFS(JB_26BV,JB_B,1,JB_H,"T-AGOS",JB_F,"Advance procurement / LLTM",JB_RC,"ADD")</f>
        <v/>
      </c>
      <c r="F39" s="31">
        <f>SUMIFS(JB_26BV,JB_B,1,JB_H,"T-AGOS",JB_F,"RCOH",JB_RC,"ADD")</f>
        <v/>
      </c>
      <c r="G39" s="31">
        <f>SUMIFS(JB_26BV,JB_B,1,JB_H,"T-AGOS",JB_F,"SLEP",JB_RC,"ADD")</f>
        <v/>
      </c>
      <c r="H39" s="31">
        <f>SUMIFS(JB_26BV,JB_B,1,JB_H,"T-AGOS",JB_RC,"ADD")</f>
        <v/>
      </c>
      <c r="I39" s="37">
        <f>IFERROR(H39/H$46,0)</f>
        <v/>
      </c>
    </row>
    <row r="40" ht="10" customHeight="1">
      <c r="A40" s="30" t="inlineStr">
        <is>
          <t>FFG</t>
        </is>
      </c>
      <c r="B40" s="30" t="inlineStr">
        <is>
          <t>Surface Combatants</t>
        </is>
      </c>
      <c r="C40" s="30" t="inlineStr">
        <is>
          <t>USN</t>
        </is>
      </c>
      <c r="D40" s="31">
        <f>SUMIFS(JB_26BV,JB_B,1,JB_H,"FFG",JB_F,"Full ship DD&amp;C",JB_RC,"ADD")+SUMIFS(JB_26BV,JB_B,1,JB_H,"FFG",JB_F,"Full ship DD&amp;C / LLTM",JB_RC,"ADD")+SUMIFS(JB_26BV,JB_B,1,JB_H,"FFG",JB_F,"Full vessel procurement",JB_RC,"ADD")</f>
        <v/>
      </c>
      <c r="E40" s="31">
        <f>SUMIFS(JB_26BV,JB_B,1,JB_H,"FFG",JB_F,"Advance procurement / LLTM",JB_RC,"ADD")</f>
        <v/>
      </c>
      <c r="F40" s="31">
        <f>SUMIFS(JB_26BV,JB_B,1,JB_H,"FFG",JB_F,"RCOH",JB_RC,"ADD")</f>
        <v/>
      </c>
      <c r="G40" s="31">
        <f>SUMIFS(JB_26BV,JB_B,1,JB_H,"FFG",JB_F,"SLEP",JB_RC,"ADD")</f>
        <v/>
      </c>
      <c r="H40" s="31">
        <f>SUMIFS(JB_26BV,JB_B,1,JB_H,"FFG",JB_RC,"ADD")</f>
        <v/>
      </c>
      <c r="I40" s="37">
        <f>IFERROR(H40/H$46,0)</f>
        <v/>
      </c>
    </row>
    <row r="41" ht="10" customHeight="1">
      <c r="A41" s="30" t="inlineStr">
        <is>
          <t>T-ATS</t>
        </is>
      </c>
      <c r="B41" s="30" t="inlineStr">
        <is>
          <t>Salvage Ships &amp; Fleet Ocean Tugs</t>
        </is>
      </c>
      <c r="C41" s="30" t="inlineStr">
        <is>
          <t>MSC</t>
        </is>
      </c>
      <c r="D41" s="31">
        <f>SUMIFS(JB_26BV,JB_B,1,JB_H,"T-ATS",JB_F,"Full ship DD&amp;C",JB_RC,"ADD")+SUMIFS(JB_26BV,JB_B,1,JB_H,"T-ATS",JB_F,"Full ship DD&amp;C / LLTM",JB_RC,"ADD")+SUMIFS(JB_26BV,JB_B,1,JB_H,"T-ATS",JB_F,"Full vessel procurement",JB_RC,"ADD")</f>
        <v/>
      </c>
      <c r="E41" s="31">
        <f>SUMIFS(JB_26BV,JB_B,1,JB_H,"T-ATS",JB_F,"Advance procurement / LLTM",JB_RC,"ADD")</f>
        <v/>
      </c>
      <c r="F41" s="31">
        <f>SUMIFS(JB_26BV,JB_B,1,JB_H,"T-ATS",JB_F,"RCOH",JB_RC,"ADD")</f>
        <v/>
      </c>
      <c r="G41" s="31">
        <f>SUMIFS(JB_26BV,JB_B,1,JB_H,"T-ATS",JB_F,"SLEP",JB_RC,"ADD")</f>
        <v/>
      </c>
      <c r="H41" s="31">
        <f>SUMIFS(JB_26BV,JB_B,1,JB_H,"T-ATS",JB_RC,"ADD")</f>
        <v/>
      </c>
      <c r="I41" s="37">
        <f>IFERROR(H41/H$46,0)</f>
        <v/>
      </c>
    </row>
    <row r="42" ht="10" customHeight="1">
      <c r="A42" s="30" t="inlineStr">
        <is>
          <t>WMSM</t>
        </is>
      </c>
      <c r="B42" s="30" t="inlineStr">
        <is>
          <t>Offshore Patrol Cutter</t>
        </is>
      </c>
      <c r="C42" s="30" t="inlineStr">
        <is>
          <t>USCG</t>
        </is>
      </c>
      <c r="D42" s="31">
        <f>SUMIFS(JB_26BV,JB_B,1,JB_H,"WMSM",JB_F,"Full ship DD&amp;C",JB_RC,"ADD")+SUMIFS(JB_26BV,JB_B,1,JB_H,"WMSM",JB_F,"Full ship DD&amp;C / LLTM",JB_RC,"ADD")+SUMIFS(JB_26BV,JB_B,1,JB_H,"WMSM",JB_F,"Full vessel procurement",JB_RC,"ADD")</f>
        <v/>
      </c>
      <c r="E42" s="31">
        <f>SUMIFS(JB_26BV,JB_B,1,JB_H,"WMSM",JB_F,"Advance procurement / LLTM",JB_RC,"ADD")</f>
        <v/>
      </c>
      <c r="F42" s="31">
        <f>SUMIFS(JB_26BV,JB_B,1,JB_H,"WMSM",JB_F,"RCOH",JB_RC,"ADD")</f>
        <v/>
      </c>
      <c r="G42" s="31">
        <f>SUMIFS(JB_26BV,JB_B,1,JB_H,"WMSM",JB_F,"SLEP",JB_RC,"ADD")</f>
        <v/>
      </c>
      <c r="H42" s="31">
        <f>SUMIFS(JB_26BV,JB_B,1,JB_H,"WMSM",JB_RC,"ADD")</f>
        <v/>
      </c>
      <c r="I42" s="37">
        <f>IFERROR(H42/H$46,0)</f>
        <v/>
      </c>
    </row>
    <row r="43" ht="10" customHeight="1">
      <c r="A43" s="30" t="inlineStr">
        <is>
          <t>WPC</t>
        </is>
      </c>
      <c r="B43" s="30" t="inlineStr">
        <is>
          <t>Fast Response Cutters</t>
        </is>
      </c>
      <c r="C43" s="30" t="inlineStr">
        <is>
          <t>USCG</t>
        </is>
      </c>
      <c r="D43" s="31">
        <f>SUMIFS(JB_26BV,JB_B,1,JB_H,"WPC",JB_F,"Full ship DD&amp;C",JB_RC,"ADD")+SUMIFS(JB_26BV,JB_B,1,JB_H,"WPC",JB_F,"Full ship DD&amp;C / LLTM",JB_RC,"ADD")+SUMIFS(JB_26BV,JB_B,1,JB_H,"WPC",JB_F,"Full vessel procurement",JB_RC,"ADD")</f>
        <v/>
      </c>
      <c r="E43" s="31">
        <f>SUMIFS(JB_26BV,JB_B,1,JB_H,"WPC",JB_F,"Advance procurement / LLTM",JB_RC,"ADD")</f>
        <v/>
      </c>
      <c r="F43" s="31">
        <f>SUMIFS(JB_26BV,JB_B,1,JB_H,"WPC",JB_F,"RCOH",JB_RC,"ADD")</f>
        <v/>
      </c>
      <c r="G43" s="31">
        <f>SUMIFS(JB_26BV,JB_B,1,JB_H,"WPC",JB_F,"SLEP",JB_RC,"ADD")</f>
        <v/>
      </c>
      <c r="H43" s="31">
        <f>SUMIFS(JB_26BV,JB_B,1,JB_H,"WPC",JB_RC,"ADD")</f>
        <v/>
      </c>
      <c r="I43" s="37">
        <f>IFERROR(H43/H$46,0)</f>
        <v/>
      </c>
    </row>
    <row r="44" ht="10" customHeight="1">
      <c r="A44" s="30" t="inlineStr">
        <is>
          <t>WAGB</t>
        </is>
      </c>
      <c r="B44" s="30" t="inlineStr">
        <is>
          <t>Icebreakers, Oceangoing</t>
        </is>
      </c>
      <c r="C44" s="30" t="inlineStr">
        <is>
          <t>USCG</t>
        </is>
      </c>
      <c r="D44" s="31">
        <f>SUMIFS(JB_26BV,JB_B,1,JB_H,"WAGB",JB_F,"Full ship DD&amp;C",JB_RC,"ADD")+SUMIFS(JB_26BV,JB_B,1,JB_H,"WAGB",JB_F,"Full ship DD&amp;C / LLTM",JB_RC,"ADD")+SUMIFS(JB_26BV,JB_B,1,JB_H,"WAGB",JB_F,"Full vessel procurement",JB_RC,"ADD")</f>
        <v/>
      </c>
      <c r="E44" s="31">
        <f>SUMIFS(JB_26BV,JB_B,1,JB_H,"WAGB",JB_F,"Advance procurement / LLTM",JB_RC,"ADD")</f>
        <v/>
      </c>
      <c r="F44" s="31">
        <f>SUMIFS(JB_26BV,JB_B,1,JB_H,"WAGB",JB_F,"RCOH",JB_RC,"ADD")</f>
        <v/>
      </c>
      <c r="G44" s="31">
        <f>SUMIFS(JB_26BV,JB_B,1,JB_H,"WAGB",JB_F,"SLEP",JB_RC,"ADD")</f>
        <v/>
      </c>
      <c r="H44" s="31">
        <f>SUMIFS(JB_26BV,JB_B,1,JB_H,"WAGB",JB_RC,"ADD")</f>
        <v/>
      </c>
      <c r="I44" s="37">
        <f>IFERROR(H44/H$46,0)</f>
        <v/>
      </c>
    </row>
    <row r="45" ht="10" customHeight="1">
      <c r="A45" s="30" t="inlineStr">
        <is>
          <t>WCC</t>
        </is>
      </c>
      <c r="B45" s="30" t="inlineStr">
        <is>
          <t>Waterways Commerce Cutters</t>
        </is>
      </c>
      <c r="C45" s="30" t="inlineStr">
        <is>
          <t>USCG</t>
        </is>
      </c>
      <c r="D45" s="31">
        <f>SUMIFS(JB_26BV,JB_B,1,JB_H,"WCC",JB_F,"Full ship DD&amp;C",JB_RC,"ADD")+SUMIFS(JB_26BV,JB_B,1,JB_H,"WCC",JB_F,"Full ship DD&amp;C / LLTM",JB_RC,"ADD")+SUMIFS(JB_26BV,JB_B,1,JB_H,"WCC",JB_F,"Full vessel procurement",JB_RC,"ADD")</f>
        <v/>
      </c>
      <c r="E45" s="31">
        <f>SUMIFS(JB_26BV,JB_B,1,JB_H,"WCC",JB_F,"Advance procurement / LLTM",JB_RC,"ADD")</f>
        <v/>
      </c>
      <c r="F45" s="31">
        <f>SUMIFS(JB_26BV,JB_B,1,JB_H,"WCC",JB_F,"RCOH",JB_RC,"ADD")</f>
        <v/>
      </c>
      <c r="G45" s="31">
        <f>SUMIFS(JB_26BV,JB_B,1,JB_H,"WCC",JB_F,"SLEP",JB_RC,"ADD")</f>
        <v/>
      </c>
      <c r="H45" s="31">
        <f>SUMIFS(JB_26BV,JB_B,1,JB_H,"WCC",JB_RC,"ADD")</f>
        <v/>
      </c>
      <c r="I45" s="37">
        <f>IFERROR(H45/H$46,0)</f>
        <v/>
      </c>
    </row>
    <row r="46" ht="10" customHeight="1">
      <c r="A46" s="32" t="inlineStr">
        <is>
          <t>Newbuild SAM (all programs)</t>
        </is>
      </c>
      <c r="B46" s="32" t="inlineStr"/>
      <c r="C46" s="32" t="inlineStr"/>
      <c r="D46" s="33">
        <f>SUM(D32:D45)</f>
        <v/>
      </c>
      <c r="E46" s="33">
        <f>SUM(E32:E45)</f>
        <v/>
      </c>
      <c r="F46" s="33">
        <f>SUM(F32:F45)</f>
        <v/>
      </c>
      <c r="G46" s="33">
        <f>SUM(G32:G45)</f>
        <v/>
      </c>
      <c r="H46" s="33">
        <f>SUM(H32:H45)</f>
        <v/>
      </c>
      <c r="I46" s="38" t="n">
        <v>1</v>
      </c>
    </row>
    <row r="47" ht="10" customHeight="1"/>
    <row r="48" ht="10" customHeight="1"/>
    <row r="49" ht="10" customHeight="1">
      <c r="A49" s="27" t="inlineStr">
        <is>
          <t>(C→D) Bridge: All Programs → Cost-Element Coverage</t>
        </is>
      </c>
      <c r="B49" s="28" t="n"/>
    </row>
    <row r="50" ht="10" customHeight="1">
      <c r="A50" s="30" t="inlineStr">
        <is>
          <t>Newbuild SAM (all programs)</t>
        </is>
      </c>
      <c r="B50" s="31">
        <f>H46</f>
        <v/>
      </c>
    </row>
    <row r="51" ht="10" customHeight="1">
      <c r="A51" s="30" t="inlineStr">
        <is>
          <t xml:space="preserve">  Less: WMSM (Offshore Patrol Cutter, USCG — no P-5c)</t>
        </is>
      </c>
      <c r="B51" s="31">
        <f>-SUMIFS(JB_26BV,JB_B,1,JB_H,"WMSM",JB_RC,"ADD")</f>
        <v/>
      </c>
    </row>
    <row r="52" ht="10" customHeight="1">
      <c r="A52" s="30" t="inlineStr">
        <is>
          <t xml:space="preserve">  Less: WPC (Fast Response Cutters, USCG — no P-5c)</t>
        </is>
      </c>
      <c r="B52" s="31">
        <f>-SUMIFS(JB_26BV,JB_B,1,JB_H,"WPC",JB_RC,"ADD")</f>
        <v/>
      </c>
    </row>
    <row r="53" ht="10" customHeight="1">
      <c r="A53" s="30" t="inlineStr">
        <is>
          <t xml:space="preserve">  Less: WAGB (Icebreakers, Oceangoing, USCG — no P-5c)</t>
        </is>
      </c>
      <c r="B53" s="31">
        <f>-SUMIFS(JB_26BV,JB_B,1,JB_H,"WAGB",JB_RC,"ADD")</f>
        <v/>
      </c>
    </row>
    <row r="54" ht="10" customHeight="1">
      <c r="A54" s="30" t="inlineStr">
        <is>
          <t xml:space="preserve">  Less: WCC (Waterways Commerce Cutters, USCG — no P-5c)</t>
        </is>
      </c>
      <c r="B54" s="31">
        <f>-SUMIFS(JB_26BV,JB_B,1,JB_H,"WCC",JB_RC,"ADD")</f>
        <v/>
      </c>
    </row>
    <row r="55" ht="10" customHeight="1">
      <c r="A55" s="30" t="inlineStr">
        <is>
          <t xml:space="preserve">  Less: LSM (Expeditionary &amp; Seabasing Ships — no P-5c)</t>
        </is>
      </c>
      <c r="B55" s="31">
        <f>-SUMIFS(JB_26BV,JB_B,1,JB_H,"LSM",JB_RC,"ADD")</f>
        <v/>
      </c>
    </row>
    <row r="56" ht="10" customHeight="1">
      <c r="A56" s="30" t="inlineStr">
        <is>
          <t xml:space="preserve">  Less: MUSV (Unmanned Surface Vehicles — no P-5c)</t>
        </is>
      </c>
      <c r="B56" s="31">
        <f>-SUMIFS(JB_26BV,JB_B,1,JB_H,"MUSV",JB_RC,"ADD")</f>
        <v/>
      </c>
    </row>
    <row r="57" ht="10" customHeight="1">
      <c r="A57" s="30" t="inlineStr">
        <is>
          <t xml:space="preserve">  Less: T-AKR (Cargo &amp; Vehicle Cargo Ships — no P-5c)</t>
        </is>
      </c>
      <c r="B57" s="31">
        <f>-SUMIFS(JB_26BV,JB_B,1,JB_H,"T-AKR",JB_RC,"ADD")</f>
        <v/>
      </c>
    </row>
    <row r="58" ht="10" customHeight="1">
      <c r="A58" s="32" t="inlineStr">
        <is>
          <t>Newbuild SAM (cost-element coverage)</t>
        </is>
      </c>
      <c r="B58" s="33">
        <f>SUM(B50:B57)</f>
        <v/>
      </c>
    </row>
    <row r="59" ht="10" customHeight="1"/>
    <row r="60" ht="10" customHeight="1"/>
    <row r="61" ht="10" customHeight="1">
      <c r="A61" s="27" t="inlineStr">
        <is>
          <t>(D) P-5c Gross Cost Category Breakdown by Hull — FY2026 ($K)</t>
        </is>
      </c>
      <c r="B61" s="28" t="n"/>
      <c r="C61" s="28" t="n"/>
      <c r="D61" s="28" t="n"/>
      <c r="E61" s="28" t="n"/>
      <c r="F61" s="28" t="n"/>
      <c r="G61" s="28" t="n"/>
      <c r="H61" s="28" t="n"/>
      <c r="I61" s="28" t="n"/>
    </row>
    <row r="62" ht="10" customHeight="1">
      <c r="A62" s="26" t="inlineStr">
        <is>
          <t>Total estimated cost of each ship by component, from Exhibit P-5c. These are full ship-cost estimates — not single-year budget authority. Section (E) applies this cost mix to FY2026 net funding.</t>
        </is>
      </c>
    </row>
    <row r="63" ht="10" customHeight="1">
      <c r="A63" s="39" t="n"/>
      <c r="B63" s="40" t="inlineStr">
        <is>
          <t>USN</t>
        </is>
      </c>
      <c r="C63" s="39" t="n"/>
      <c r="D63" s="39" t="n"/>
      <c r="E63" s="39" t="n"/>
      <c r="F63" s="39" t="n"/>
      <c r="G63" s="39" t="n"/>
      <c r="H63" s="39" t="n"/>
      <c r="I63" s="41" t="n"/>
    </row>
    <row r="64" ht="10" customHeight="1">
      <c r="A64" s="29" t="inlineStr">
        <is>
          <t>Cost Category</t>
        </is>
      </c>
      <c r="B64" s="42" t="inlineStr">
        <is>
          <t>DDG</t>
        </is>
      </c>
      <c r="C64" s="29" t="inlineStr">
        <is>
          <t>FFG</t>
        </is>
      </c>
      <c r="D64" s="29" t="inlineStr">
        <is>
          <t>LPD</t>
        </is>
      </c>
      <c r="E64" s="29" t="inlineStr">
        <is>
          <t>LHA</t>
        </is>
      </c>
      <c r="F64" s="29" t="inlineStr">
        <is>
          <t>T-AGOS</t>
        </is>
      </c>
      <c r="G64" s="29" t="inlineStr">
        <is>
          <t>T-AO</t>
        </is>
      </c>
      <c r="H64" s="29" t="inlineStr">
        <is>
          <t>T-ATS</t>
        </is>
      </c>
      <c r="I64" s="42" t="inlineStr">
        <is>
          <t>Total</t>
        </is>
      </c>
    </row>
    <row r="65" ht="10" customHeight="1">
      <c r="A65" s="30" t="inlineStr">
        <is>
          <t>Plan Costs</t>
        </is>
      </c>
      <c r="B65" s="45">
        <f>SUMIFS(JB_26BV,JB_B,1,JB_EX,"P-5c",JB_CC,"Plan Costs",JB_H,"DDG",JB_RC,"ALT")</f>
        <v/>
      </c>
      <c r="C65" s="31">
        <f>SUMIFS(JB_26BV,JB_B,1,JB_EX,"P-5c",JB_CC,"Plan Costs",JB_H,"FFG",JB_RC,"ALT")</f>
        <v/>
      </c>
      <c r="D65" s="31">
        <f>SUMIFS(JB_26BV,JB_B,1,JB_EX,"P-5c",JB_CC,"Plan Costs",JB_H,"LPD",JB_RC,"ALT")</f>
        <v/>
      </c>
      <c r="E65" s="31">
        <f>SUMIFS(JB_26BV,JB_B,1,JB_EX,"P-5c",JB_CC,"Plan Costs",JB_H,"LHA",JB_RC,"ALT")</f>
        <v/>
      </c>
      <c r="F65" s="31">
        <f>SUMIFS(JB_26BV,JB_B,1,JB_EX,"P-5c",JB_CC,"Plan Costs",JB_H,"T-AGOS",JB_RC,"ALT")</f>
        <v/>
      </c>
      <c r="G65" s="31">
        <f>SUMIFS(JB_26BV,JB_B,1,JB_EX,"P-5c",JB_CC,"Plan Costs",JB_H,"T-AO",JB_RC,"ALT")</f>
        <v/>
      </c>
      <c r="H65" s="31">
        <f>SUMIFS(JB_26BV,JB_B,1,JB_EX,"P-5c",JB_CC,"Plan Costs",JB_H,"T-ATS",JB_RC,"ALT")</f>
        <v/>
      </c>
      <c r="I65" s="45">
        <f>SUM(B65:H65)</f>
        <v/>
      </c>
    </row>
    <row r="66" ht="10" customHeight="1">
      <c r="A66" s="30" t="inlineStr">
        <is>
          <t>Basic Construction</t>
        </is>
      </c>
      <c r="B66" s="45">
        <f>SUMIFS(JB_26BV,JB_B,1,JB_EX,"P-5c",JB_CC,"Basic Construction",JB_H,"DDG",JB_RC,"ALT")</f>
        <v/>
      </c>
      <c r="C66" s="31">
        <f>SUMIFS(JB_26BV,JB_B,1,JB_EX,"P-5c",JB_CC,"Basic Construction",JB_H,"FFG",JB_RC,"ALT")</f>
        <v/>
      </c>
      <c r="D66" s="31">
        <f>SUMIFS(JB_26BV,JB_B,1,JB_EX,"P-5c",JB_CC,"Basic Construction",JB_H,"LPD",JB_RC,"ALT")</f>
        <v/>
      </c>
      <c r="E66" s="31">
        <f>SUMIFS(JB_26BV,JB_B,1,JB_EX,"P-5c",JB_CC,"Basic Construction",JB_H,"LHA",JB_RC,"ALT")</f>
        <v/>
      </c>
      <c r="F66" s="31">
        <f>SUMIFS(JB_26BV,JB_B,1,JB_EX,"P-5c",JB_CC,"Basic Construction",JB_H,"T-AGOS",JB_RC,"ALT")</f>
        <v/>
      </c>
      <c r="G66" s="31">
        <f>SUMIFS(JB_26BV,JB_B,1,JB_EX,"P-5c",JB_CC,"Basic Construction",JB_H,"T-AO",JB_RC,"ALT")</f>
        <v/>
      </c>
      <c r="H66" s="31">
        <f>SUMIFS(JB_26BV,JB_B,1,JB_EX,"P-5c",JB_CC,"Basic Construction",JB_H,"T-ATS",JB_RC,"ALT")</f>
        <v/>
      </c>
      <c r="I66" s="45">
        <f>SUM(B66:H66)</f>
        <v/>
      </c>
    </row>
    <row r="67" ht="10" customHeight="1">
      <c r="A67" s="30" t="inlineStr">
        <is>
          <t>Change Orders</t>
        </is>
      </c>
      <c r="B67" s="45">
        <f>SUMIFS(JB_26BV,JB_B,1,JB_EX,"P-5c",JB_CC,"Change Orders",JB_H,"DDG",JB_RC,"ALT")</f>
        <v/>
      </c>
      <c r="C67" s="31">
        <f>SUMIFS(JB_26BV,JB_B,1,JB_EX,"P-5c",JB_CC,"Change Orders",JB_H,"FFG",JB_RC,"ALT")</f>
        <v/>
      </c>
      <c r="D67" s="31">
        <f>SUMIFS(JB_26BV,JB_B,1,JB_EX,"P-5c",JB_CC,"Change Orders",JB_H,"LPD",JB_RC,"ALT")</f>
        <v/>
      </c>
      <c r="E67" s="31">
        <f>SUMIFS(JB_26BV,JB_B,1,JB_EX,"P-5c",JB_CC,"Change Orders",JB_H,"LHA",JB_RC,"ALT")</f>
        <v/>
      </c>
      <c r="F67" s="31">
        <f>SUMIFS(JB_26BV,JB_B,1,JB_EX,"P-5c",JB_CC,"Change Orders",JB_H,"T-AGOS",JB_RC,"ALT")</f>
        <v/>
      </c>
      <c r="G67" s="31">
        <f>SUMIFS(JB_26BV,JB_B,1,JB_EX,"P-5c",JB_CC,"Change Orders",JB_H,"T-AO",JB_RC,"ALT")</f>
        <v/>
      </c>
      <c r="H67" s="31">
        <f>SUMIFS(JB_26BV,JB_B,1,JB_EX,"P-5c",JB_CC,"Change Orders",JB_H,"T-ATS",JB_RC,"ALT")</f>
        <v/>
      </c>
      <c r="I67" s="45">
        <f>SUM(B67:H67)</f>
        <v/>
      </c>
    </row>
    <row r="68" ht="10" customHeight="1">
      <c r="A68" s="30" t="inlineStr">
        <is>
          <t>Electronics</t>
        </is>
      </c>
      <c r="B68" s="45">
        <f>SUMIFS(JB_26BV,JB_B,1,JB_EX,"P-5c",JB_CC,"Electronics",JB_H,"DDG",JB_RC,"ALT")</f>
        <v/>
      </c>
      <c r="C68" s="31">
        <f>SUMIFS(JB_26BV,JB_B,1,JB_EX,"P-5c",JB_CC,"Electronics",JB_H,"FFG",JB_RC,"ALT")</f>
        <v/>
      </c>
      <c r="D68" s="31">
        <f>SUMIFS(JB_26BV,JB_B,1,JB_EX,"P-5c",JB_CC,"Electronics",JB_H,"LPD",JB_RC,"ALT")</f>
        <v/>
      </c>
      <c r="E68" s="31">
        <f>SUMIFS(JB_26BV,JB_B,1,JB_EX,"P-5c",JB_CC,"Electronics",JB_H,"LHA",JB_RC,"ALT")</f>
        <v/>
      </c>
      <c r="F68" s="31">
        <f>SUMIFS(JB_26BV,JB_B,1,JB_EX,"P-5c",JB_CC,"Electronics",JB_H,"T-AGOS",JB_RC,"ALT")</f>
        <v/>
      </c>
      <c r="G68" s="31">
        <f>SUMIFS(JB_26BV,JB_B,1,JB_EX,"P-5c",JB_CC,"Electronics",JB_H,"T-AO",JB_RC,"ALT")</f>
        <v/>
      </c>
      <c r="H68" s="31">
        <f>SUMIFS(JB_26BV,JB_B,1,JB_EX,"P-5c",JB_CC,"Electronics",JB_H,"T-ATS",JB_RC,"ALT")</f>
        <v/>
      </c>
      <c r="I68" s="45">
        <f>SUM(B68:H68)</f>
        <v/>
      </c>
    </row>
    <row r="69" ht="10" customHeight="1">
      <c r="A69" s="30" t="inlineStr">
        <is>
          <t>Hull, Mechanical, and Electrical</t>
        </is>
      </c>
      <c r="B69" s="45">
        <f>SUMIFS(JB_26BV,JB_B,1,JB_EX,"P-5c",JB_CC,"Hull, Mechanical, and Electrical",JB_H,"DDG",JB_RC,"ALT")</f>
        <v/>
      </c>
      <c r="C69" s="31">
        <f>SUMIFS(JB_26BV,JB_B,1,JB_EX,"P-5c",JB_CC,"Hull, Mechanical, and Electrical",JB_H,"FFG",JB_RC,"ALT")</f>
        <v/>
      </c>
      <c r="D69" s="31">
        <f>SUMIFS(JB_26BV,JB_B,1,JB_EX,"P-5c",JB_CC,"Hull, Mechanical, and Electrical",JB_H,"LPD",JB_RC,"ALT")</f>
        <v/>
      </c>
      <c r="E69" s="31">
        <f>SUMIFS(JB_26BV,JB_B,1,JB_EX,"P-5c",JB_CC,"Hull, Mechanical, and Electrical",JB_H,"LHA",JB_RC,"ALT")</f>
        <v/>
      </c>
      <c r="F69" s="31">
        <f>SUMIFS(JB_26BV,JB_B,1,JB_EX,"P-5c",JB_CC,"Hull, Mechanical, and Electrical",JB_H,"T-AGOS",JB_RC,"ALT")</f>
        <v/>
      </c>
      <c r="G69" s="31">
        <f>SUMIFS(JB_26BV,JB_B,1,JB_EX,"P-5c",JB_CC,"Hull, Mechanical, and Electrical",JB_H,"T-AO",JB_RC,"ALT")</f>
        <v/>
      </c>
      <c r="H69" s="31">
        <f>SUMIFS(JB_26BV,JB_B,1,JB_EX,"P-5c",JB_CC,"Hull, Mechanical, and Electrical",JB_H,"T-ATS",JB_RC,"ALT")</f>
        <v/>
      </c>
      <c r="I69" s="45">
        <f>SUM(B69:H69)</f>
        <v/>
      </c>
    </row>
    <row r="70" ht="10" customHeight="1">
      <c r="A70" s="30" t="inlineStr">
        <is>
          <t>Ordnance</t>
        </is>
      </c>
      <c r="B70" s="45">
        <f>SUMIFS(JB_26BV,JB_B,1,JB_EX,"P-5c",JB_CC,"Ordnance",JB_H,"DDG",JB_RC,"ALT")</f>
        <v/>
      </c>
      <c r="C70" s="31">
        <f>SUMIFS(JB_26BV,JB_B,1,JB_EX,"P-5c",JB_CC,"Ordnance",JB_H,"FFG",JB_RC,"ALT")</f>
        <v/>
      </c>
      <c r="D70" s="31">
        <f>SUMIFS(JB_26BV,JB_B,1,JB_EX,"P-5c",JB_CC,"Ordnance",JB_H,"LPD",JB_RC,"ALT")</f>
        <v/>
      </c>
      <c r="E70" s="31">
        <f>SUMIFS(JB_26BV,JB_B,1,JB_EX,"P-5c",JB_CC,"Ordnance",JB_H,"LHA",JB_RC,"ALT")</f>
        <v/>
      </c>
      <c r="F70" s="31">
        <f>SUMIFS(JB_26BV,JB_B,1,JB_EX,"P-5c",JB_CC,"Ordnance",JB_H,"T-AGOS",JB_RC,"ALT")</f>
        <v/>
      </c>
      <c r="G70" s="31">
        <f>SUMIFS(JB_26BV,JB_B,1,JB_EX,"P-5c",JB_CC,"Ordnance",JB_H,"T-AO",JB_RC,"ALT")</f>
        <v/>
      </c>
      <c r="H70" s="31">
        <f>SUMIFS(JB_26BV,JB_B,1,JB_EX,"P-5c",JB_CC,"Ordnance",JB_H,"T-ATS",JB_RC,"ALT")</f>
        <v/>
      </c>
      <c r="I70" s="45">
        <f>SUM(B70:H70)</f>
        <v/>
      </c>
    </row>
    <row r="71" ht="10" customHeight="1">
      <c r="A71" s="30" t="inlineStr">
        <is>
          <t>Other Cost</t>
        </is>
      </c>
      <c r="B71" s="45">
        <f>SUMIFS(JB_26BV,JB_B,1,JB_EX,"P-5c",JB_CC,"Other Cost",JB_H,"DDG",JB_RC,"ALT")</f>
        <v/>
      </c>
      <c r="C71" s="31">
        <f>SUMIFS(JB_26BV,JB_B,1,JB_EX,"P-5c",JB_CC,"Other Cost",JB_H,"FFG",JB_RC,"ALT")</f>
        <v/>
      </c>
      <c r="D71" s="31">
        <f>SUMIFS(JB_26BV,JB_B,1,JB_EX,"P-5c",JB_CC,"Other Cost",JB_H,"LPD",JB_RC,"ALT")</f>
        <v/>
      </c>
      <c r="E71" s="31">
        <f>SUMIFS(JB_26BV,JB_B,1,JB_EX,"P-5c",JB_CC,"Other Cost",JB_H,"LHA",JB_RC,"ALT")</f>
        <v/>
      </c>
      <c r="F71" s="31">
        <f>SUMIFS(JB_26BV,JB_B,1,JB_EX,"P-5c",JB_CC,"Other Cost",JB_H,"T-AGOS",JB_RC,"ALT")</f>
        <v/>
      </c>
      <c r="G71" s="31">
        <f>SUMIFS(JB_26BV,JB_B,1,JB_EX,"P-5c",JB_CC,"Other Cost",JB_H,"T-AO",JB_RC,"ALT")</f>
        <v/>
      </c>
      <c r="H71" s="31">
        <f>SUMIFS(JB_26BV,JB_B,1,JB_EX,"P-5c",JB_CC,"Other Cost",JB_H,"T-ATS",JB_RC,"ALT")</f>
        <v/>
      </c>
      <c r="I71" s="45">
        <f>SUM(B71:H71)</f>
        <v/>
      </c>
    </row>
    <row r="72" ht="10" customHeight="1">
      <c r="A72" s="32" t="inlineStr">
        <is>
          <t>Gross Total ($K)</t>
        </is>
      </c>
      <c r="B72" s="44">
        <f>SUM(B65:B71)</f>
        <v/>
      </c>
      <c r="C72" s="33">
        <f>SUM(C65:C71)</f>
        <v/>
      </c>
      <c r="D72" s="33">
        <f>SUM(D65:D71)</f>
        <v/>
      </c>
      <c r="E72" s="33">
        <f>SUM(E65:E71)</f>
        <v/>
      </c>
      <c r="F72" s="33">
        <f>SUM(F65:F71)</f>
        <v/>
      </c>
      <c r="G72" s="33">
        <f>SUM(G65:G71)</f>
        <v/>
      </c>
      <c r="H72" s="33">
        <f>SUM(H65:H71)</f>
        <v/>
      </c>
      <c r="I72" s="44">
        <f>SUM(I65:I71)</f>
        <v/>
      </c>
    </row>
    <row r="73" ht="10" customHeight="1"/>
    <row r="74" ht="10" customHeight="1">
      <c r="A74" s="46" t="inlineStr">
        <is>
          <t>Cost category mix (% of gross total per hull program)</t>
        </is>
      </c>
      <c r="B74" s="41" t="n"/>
      <c r="C74" s="39" t="n"/>
      <c r="D74" s="39" t="n"/>
      <c r="E74" s="39" t="n"/>
      <c r="F74" s="39" t="n"/>
      <c r="G74" s="39" t="n"/>
      <c r="H74" s="39" t="n"/>
      <c r="I74" s="41" t="n"/>
    </row>
    <row r="75" ht="10" customHeight="1">
      <c r="A75" s="29" t="inlineStr">
        <is>
          <t>Cost Category</t>
        </is>
      </c>
      <c r="B75" s="42" t="inlineStr">
        <is>
          <t>DDG</t>
        </is>
      </c>
      <c r="C75" s="29" t="inlineStr">
        <is>
          <t>FFG</t>
        </is>
      </c>
      <c r="D75" s="29" t="inlineStr">
        <is>
          <t>LPD</t>
        </is>
      </c>
      <c r="E75" s="29" t="inlineStr">
        <is>
          <t>LHA</t>
        </is>
      </c>
      <c r="F75" s="29" t="inlineStr">
        <is>
          <t>T-AGOS</t>
        </is>
      </c>
      <c r="G75" s="29" t="inlineStr">
        <is>
          <t>T-AO</t>
        </is>
      </c>
      <c r="H75" s="29" t="inlineStr">
        <is>
          <t>T-ATS</t>
        </is>
      </c>
      <c r="I75" s="42" t="inlineStr">
        <is>
          <t>Total</t>
        </is>
      </c>
    </row>
    <row r="76" ht="10" customHeight="1">
      <c r="A76" s="30" t="inlineStr">
        <is>
          <t>Plan Costs</t>
        </is>
      </c>
      <c r="B76" s="43">
        <f>IFERROR(B65/B$72,0)</f>
        <v/>
      </c>
      <c r="C76" s="37">
        <f>IFERROR(C65/C$72,0)</f>
        <v/>
      </c>
      <c r="D76" s="37">
        <f>IFERROR(D65/D$72,0)</f>
        <v/>
      </c>
      <c r="E76" s="37">
        <f>IFERROR(E65/E$72,0)</f>
        <v/>
      </c>
      <c r="F76" s="37">
        <f>IFERROR(F65/F$72,0)</f>
        <v/>
      </c>
      <c r="G76" s="37">
        <f>IFERROR(G65/G$72,0)</f>
        <v/>
      </c>
      <c r="H76" s="37">
        <f>IFERROR(H65/H$72,0)</f>
        <v/>
      </c>
      <c r="I76" s="43">
        <f>IFERROR(I65/I$72,0)</f>
        <v/>
      </c>
    </row>
    <row r="77" ht="10" customHeight="1">
      <c r="A77" s="30" t="inlineStr">
        <is>
          <t>Basic Construction</t>
        </is>
      </c>
      <c r="B77" s="43">
        <f>IFERROR(B66/B$72,0)</f>
        <v/>
      </c>
      <c r="C77" s="37">
        <f>IFERROR(C66/C$72,0)</f>
        <v/>
      </c>
      <c r="D77" s="37">
        <f>IFERROR(D66/D$72,0)</f>
        <v/>
      </c>
      <c r="E77" s="37">
        <f>IFERROR(E66/E$72,0)</f>
        <v/>
      </c>
      <c r="F77" s="37">
        <f>IFERROR(F66/F$72,0)</f>
        <v/>
      </c>
      <c r="G77" s="37">
        <f>IFERROR(G66/G$72,0)</f>
        <v/>
      </c>
      <c r="H77" s="37">
        <f>IFERROR(H66/H$72,0)</f>
        <v/>
      </c>
      <c r="I77" s="43">
        <f>IFERROR(I66/I$72,0)</f>
        <v/>
      </c>
    </row>
    <row r="78" ht="10" customHeight="1">
      <c r="A78" s="30" t="inlineStr">
        <is>
          <t>Change Orders</t>
        </is>
      </c>
      <c r="B78" s="43">
        <f>IFERROR(B67/B$72,0)</f>
        <v/>
      </c>
      <c r="C78" s="37">
        <f>IFERROR(C67/C$72,0)</f>
        <v/>
      </c>
      <c r="D78" s="37">
        <f>IFERROR(D67/D$72,0)</f>
        <v/>
      </c>
      <c r="E78" s="37">
        <f>IFERROR(E67/E$72,0)</f>
        <v/>
      </c>
      <c r="F78" s="37">
        <f>IFERROR(F67/F$72,0)</f>
        <v/>
      </c>
      <c r="G78" s="37">
        <f>IFERROR(G67/G$72,0)</f>
        <v/>
      </c>
      <c r="H78" s="37">
        <f>IFERROR(H67/H$72,0)</f>
        <v/>
      </c>
      <c r="I78" s="43">
        <f>IFERROR(I67/I$72,0)</f>
        <v/>
      </c>
    </row>
    <row r="79" ht="10" customHeight="1">
      <c r="A79" s="30" t="inlineStr">
        <is>
          <t>Electronics</t>
        </is>
      </c>
      <c r="B79" s="43">
        <f>IFERROR(B68/B$72,0)</f>
        <v/>
      </c>
      <c r="C79" s="37">
        <f>IFERROR(C68/C$72,0)</f>
        <v/>
      </c>
      <c r="D79" s="37">
        <f>IFERROR(D68/D$72,0)</f>
        <v/>
      </c>
      <c r="E79" s="37">
        <f>IFERROR(E68/E$72,0)</f>
        <v/>
      </c>
      <c r="F79" s="37">
        <f>IFERROR(F68/F$72,0)</f>
        <v/>
      </c>
      <c r="G79" s="37">
        <f>IFERROR(G68/G$72,0)</f>
        <v/>
      </c>
      <c r="H79" s="37">
        <f>IFERROR(H68/H$72,0)</f>
        <v/>
      </c>
      <c r="I79" s="43">
        <f>IFERROR(I68/I$72,0)</f>
        <v/>
      </c>
    </row>
    <row r="80" ht="10" customHeight="1">
      <c r="A80" s="30" t="inlineStr">
        <is>
          <t>Hull, Mechanical, and Electrical</t>
        </is>
      </c>
      <c r="B80" s="43">
        <f>IFERROR(B69/B$72,0)</f>
        <v/>
      </c>
      <c r="C80" s="37">
        <f>IFERROR(C69/C$72,0)</f>
        <v/>
      </c>
      <c r="D80" s="37">
        <f>IFERROR(D69/D$72,0)</f>
        <v/>
      </c>
      <c r="E80" s="37">
        <f>IFERROR(E69/E$72,0)</f>
        <v/>
      </c>
      <c r="F80" s="37">
        <f>IFERROR(F69/F$72,0)</f>
        <v/>
      </c>
      <c r="G80" s="37">
        <f>IFERROR(G69/G$72,0)</f>
        <v/>
      </c>
      <c r="H80" s="37">
        <f>IFERROR(H69/H$72,0)</f>
        <v/>
      </c>
      <c r="I80" s="43">
        <f>IFERROR(I69/I$72,0)</f>
        <v/>
      </c>
    </row>
    <row r="81" ht="10" customHeight="1">
      <c r="A81" s="30" t="inlineStr">
        <is>
          <t>Ordnance</t>
        </is>
      </c>
      <c r="B81" s="43">
        <f>IFERROR(B70/B$72,0)</f>
        <v/>
      </c>
      <c r="C81" s="37">
        <f>IFERROR(C70/C$72,0)</f>
        <v/>
      </c>
      <c r="D81" s="37">
        <f>IFERROR(D70/D$72,0)</f>
        <v/>
      </c>
      <c r="E81" s="37">
        <f>IFERROR(E70/E$72,0)</f>
        <v/>
      </c>
      <c r="F81" s="37">
        <f>IFERROR(F70/F$72,0)</f>
        <v/>
      </c>
      <c r="G81" s="37">
        <f>IFERROR(G70/G$72,0)</f>
        <v/>
      </c>
      <c r="H81" s="37">
        <f>IFERROR(H70/H$72,0)</f>
        <v/>
      </c>
      <c r="I81" s="43">
        <f>IFERROR(I70/I$72,0)</f>
        <v/>
      </c>
    </row>
    <row r="82" ht="10" customHeight="1">
      <c r="A82" s="30" t="inlineStr">
        <is>
          <t>Other Cost</t>
        </is>
      </c>
      <c r="B82" s="43">
        <f>IFERROR(B71/B$72,0)</f>
        <v/>
      </c>
      <c r="C82" s="37">
        <f>IFERROR(C71/C$72,0)</f>
        <v/>
      </c>
      <c r="D82" s="37">
        <f>IFERROR(D71/D$72,0)</f>
        <v/>
      </c>
      <c r="E82" s="37">
        <f>IFERROR(E71/E$72,0)</f>
        <v/>
      </c>
      <c r="F82" s="37">
        <f>IFERROR(F71/F$72,0)</f>
        <v/>
      </c>
      <c r="G82" s="37">
        <f>IFERROR(G71/G$72,0)</f>
        <v/>
      </c>
      <c r="H82" s="37">
        <f>IFERROR(H71/H$72,0)</f>
        <v/>
      </c>
      <c r="I82" s="43">
        <f>IFERROR(I71/I$72,0)</f>
        <v/>
      </c>
    </row>
    <row r="83" ht="10" customHeight="1">
      <c r="A83" s="32" t="inlineStr">
        <is>
          <t>Total</t>
        </is>
      </c>
      <c r="B83" s="47" t="n">
        <v>1</v>
      </c>
      <c r="C83" s="38" t="n">
        <v>1</v>
      </c>
      <c r="D83" s="38" t="n">
        <v>1</v>
      </c>
      <c r="E83" s="38" t="n">
        <v>1</v>
      </c>
      <c r="F83" s="38" t="n">
        <v>1</v>
      </c>
      <c r="G83" s="38" t="n">
        <v>1</v>
      </c>
      <c r="H83" s="38" t="n">
        <v>1</v>
      </c>
      <c r="I83" s="47" t="n">
        <v>1</v>
      </c>
    </row>
    <row r="84" ht="10" customHeight="1"/>
    <row r="85" ht="10" customHeight="1"/>
    <row r="86" ht="10" customHeight="1">
      <c r="A86" s="27" t="inlineStr">
        <is>
          <t>(E) Newbuild SAM (cost-element coverage) — FY2026 ($K)</t>
        </is>
      </c>
      <c r="B86" s="28" t="n"/>
      <c r="C86" s="28" t="n"/>
      <c r="D86" s="28" t="n"/>
      <c r="E86" s="28" t="n"/>
      <c r="F86" s="28" t="n"/>
      <c r="G86" s="28" t="n"/>
      <c r="H86" s="28" t="n"/>
      <c r="I86" s="28" t="n"/>
    </row>
    <row r="87" ht="10" customHeight="1">
      <c r="A87" s="26" t="inlineStr">
        <is>
          <t>P-5c percentage mix from (D) applied to SAM net budget-authority totals. This is the Newbuild SAM — the outsourceable new-construction market sized at component level.</t>
        </is>
      </c>
    </row>
    <row r="88" ht="10" customHeight="1">
      <c r="A88" s="39" t="n"/>
      <c r="B88" s="40" t="inlineStr">
        <is>
          <t>USN</t>
        </is>
      </c>
      <c r="C88" s="39" t="n"/>
      <c r="D88" s="39" t="n"/>
      <c r="E88" s="39" t="n"/>
      <c r="F88" s="39" t="n"/>
      <c r="G88" s="39" t="n"/>
      <c r="H88" s="39" t="n"/>
      <c r="I88" s="41" t="n"/>
    </row>
    <row r="89" ht="10" customHeight="1">
      <c r="A89" s="29" t="inlineStr">
        <is>
          <t>Cost Category</t>
        </is>
      </c>
      <c r="B89" s="42" t="inlineStr">
        <is>
          <t>DDG</t>
        </is>
      </c>
      <c r="C89" s="29" t="inlineStr">
        <is>
          <t>T-AO</t>
        </is>
      </c>
      <c r="D89" s="29" t="inlineStr">
        <is>
          <t>LPD</t>
        </is>
      </c>
      <c r="E89" s="29" t="inlineStr">
        <is>
          <t>LHA</t>
        </is>
      </c>
      <c r="F89" s="29" t="inlineStr">
        <is>
          <t>T-AGOS</t>
        </is>
      </c>
      <c r="G89" s="29" t="inlineStr">
        <is>
          <t>FFG</t>
        </is>
      </c>
      <c r="H89" s="29" t="inlineStr">
        <is>
          <t>T-ATS</t>
        </is>
      </c>
      <c r="I89" s="42" t="inlineStr">
        <is>
          <t>Total</t>
        </is>
      </c>
    </row>
    <row r="90" ht="10" customHeight="1">
      <c r="A90" s="35" t="inlineStr">
        <is>
          <t>SAM Net Total ($K)</t>
        </is>
      </c>
      <c r="B90" s="48">
        <f>SUMIFS(JB_26BV,JB_B,1,JB_H,"DDG",JB_RC,"ADD")</f>
        <v/>
      </c>
      <c r="C90" s="36">
        <f>SUMIFS(JB_26BV,JB_B,1,JB_H,"T-AO",JB_RC,"ADD")</f>
        <v/>
      </c>
      <c r="D90" s="36">
        <f>SUMIFS(JB_26BV,JB_B,1,JB_H,"LPD",JB_RC,"ADD")</f>
        <v/>
      </c>
      <c r="E90" s="36">
        <f>SUMIFS(JB_26BV,JB_B,1,JB_H,"LHA",JB_RC,"ADD")</f>
        <v/>
      </c>
      <c r="F90" s="36">
        <f>SUMIFS(JB_26BV,JB_B,1,JB_H,"T-AGOS",JB_RC,"ADD")</f>
        <v/>
      </c>
      <c r="G90" s="36">
        <f>SUMIFS(JB_26BV,JB_B,1,JB_H,"FFG",JB_RC,"ADD")</f>
        <v/>
      </c>
      <c r="H90" s="36">
        <f>SUMIFS(JB_26BV,JB_B,1,JB_H,"T-ATS",JB_RC,"ADD")</f>
        <v/>
      </c>
      <c r="I90" s="48">
        <f>SUM(B90:H90)</f>
        <v/>
      </c>
    </row>
    <row r="91" ht="10" customHeight="1">
      <c r="A91" s="30" t="inlineStr">
        <is>
          <t>Plan Costs</t>
        </is>
      </c>
      <c r="B91" s="45">
        <f>IFERROR(B$90*(SUMIFS(JB_26BV,JB_B,1,JB_EX,"P-5c",JB_CC,"Plan Costs",JB_H,"DDG",JB_RC,"ALT"))/(SUMIFS(JB_26BV,JB_B,1,JB_EX,"P-5c",JB_H,"DDG",JB_RC,"ALT")),0)</f>
        <v/>
      </c>
      <c r="C91" s="31">
        <f>IFERROR(C$90*(SUMIFS(JB_26BV,JB_B,1,JB_EX,"P-5c",JB_CC,"Plan Costs",JB_H,"T-AO",JB_RC,"ALT"))/(SUMIFS(JB_26BV,JB_B,1,JB_EX,"P-5c",JB_H,"T-AO",JB_RC,"ALT")),0)</f>
        <v/>
      </c>
      <c r="D91" s="31">
        <f>IFERROR(D$90*(SUMIFS(JB_26BV,JB_B,1,JB_EX,"P-5c",JB_CC,"Plan Costs",JB_H,"LPD",JB_RC,"ALT"))/(SUMIFS(JB_26BV,JB_B,1,JB_EX,"P-5c",JB_H,"LPD",JB_RC,"ALT")),0)</f>
        <v/>
      </c>
      <c r="E91" s="31">
        <f>IFERROR(E$90*(SUMIFS(JB_26BV,JB_B,1,JB_EX,"P-5c",JB_CC,"Plan Costs",JB_H,"LHA",JB_RC,"ALT"))/(SUMIFS(JB_26BV,JB_B,1,JB_EX,"P-5c",JB_H,"LHA",JB_RC,"ALT")),0)</f>
        <v/>
      </c>
      <c r="F91" s="31">
        <f>IFERROR(F$90*(SUMIFS(JB_26BV,JB_B,1,JB_EX,"P-5c",JB_CC,"Plan Costs",JB_H,"T-AGOS",JB_RC,"ALT"))/(SUMIFS(JB_26BV,JB_B,1,JB_EX,"P-5c",JB_H,"T-AGOS",JB_RC,"ALT")),0)</f>
        <v/>
      </c>
      <c r="G91" s="31">
        <f>IFERROR(G$90*(SUMIFS(JB_26BV,JB_B,1,JB_EX,"P-5c",JB_CC,"Plan Costs",JB_H,"FFG",JB_RC,"ALT"))/(SUMIFS(JB_26BV,JB_B,1,JB_EX,"P-5c",JB_H,"FFG",JB_RC,"ALT")),0)</f>
        <v/>
      </c>
      <c r="H91" s="31">
        <f>IFERROR(H$90*(SUMIFS(JB_26BV,JB_B,1,JB_EX,"P-5c",JB_CC,"Plan Costs",JB_H,"T-ATS",JB_RC,"ALT"))/(SUMIFS(JB_26BV,JB_B,1,JB_EX,"P-5c",JB_H,"T-ATS",JB_RC,"ALT")),0)</f>
        <v/>
      </c>
      <c r="I91" s="45">
        <f>SUM(B91:H91)</f>
        <v/>
      </c>
    </row>
    <row r="92" ht="10" customHeight="1">
      <c r="A92" s="30" t="inlineStr">
        <is>
          <t>Basic Construction</t>
        </is>
      </c>
      <c r="B92" s="45">
        <f>IFERROR(B$90*(SUMIFS(JB_26BV,JB_B,1,JB_EX,"P-5c",JB_CC,"Basic Construction",JB_H,"DDG",JB_RC,"ALT"))/(SUMIFS(JB_26BV,JB_B,1,JB_EX,"P-5c",JB_H,"DDG",JB_RC,"ALT")),0)</f>
        <v/>
      </c>
      <c r="C92" s="31">
        <f>IFERROR(C$90*(SUMIFS(JB_26BV,JB_B,1,JB_EX,"P-5c",JB_CC,"Basic Construction",JB_H,"T-AO",JB_RC,"ALT"))/(SUMIFS(JB_26BV,JB_B,1,JB_EX,"P-5c",JB_H,"T-AO",JB_RC,"ALT")),0)</f>
        <v/>
      </c>
      <c r="D92" s="31">
        <f>IFERROR(D$90*(SUMIFS(JB_26BV,JB_B,1,JB_EX,"P-5c",JB_CC,"Basic Construction",JB_H,"LPD",JB_RC,"ALT"))/(SUMIFS(JB_26BV,JB_B,1,JB_EX,"P-5c",JB_H,"LPD",JB_RC,"ALT")),0)</f>
        <v/>
      </c>
      <c r="E92" s="31">
        <f>IFERROR(E$90*(SUMIFS(JB_26BV,JB_B,1,JB_EX,"P-5c",JB_CC,"Basic Construction",JB_H,"LHA",JB_RC,"ALT"))/(SUMIFS(JB_26BV,JB_B,1,JB_EX,"P-5c",JB_H,"LHA",JB_RC,"ALT")),0)</f>
        <v/>
      </c>
      <c r="F92" s="31">
        <f>IFERROR(F$90*(SUMIFS(JB_26BV,JB_B,1,JB_EX,"P-5c",JB_CC,"Basic Construction",JB_H,"T-AGOS",JB_RC,"ALT"))/(SUMIFS(JB_26BV,JB_B,1,JB_EX,"P-5c",JB_H,"T-AGOS",JB_RC,"ALT")),0)</f>
        <v/>
      </c>
      <c r="G92" s="31">
        <f>IFERROR(G$90*(SUMIFS(JB_26BV,JB_B,1,JB_EX,"P-5c",JB_CC,"Basic Construction",JB_H,"FFG",JB_RC,"ALT"))/(SUMIFS(JB_26BV,JB_B,1,JB_EX,"P-5c",JB_H,"FFG",JB_RC,"ALT")),0)</f>
        <v/>
      </c>
      <c r="H92" s="31">
        <f>IFERROR(H$90*(SUMIFS(JB_26BV,JB_B,1,JB_EX,"P-5c",JB_CC,"Basic Construction",JB_H,"T-ATS",JB_RC,"ALT"))/(SUMIFS(JB_26BV,JB_B,1,JB_EX,"P-5c",JB_H,"T-ATS",JB_RC,"ALT")),0)</f>
        <v/>
      </c>
      <c r="I92" s="45">
        <f>SUM(B92:H92)</f>
        <v/>
      </c>
    </row>
    <row r="93" ht="10" customHeight="1">
      <c r="A93" s="30" t="inlineStr">
        <is>
          <t>Change Orders</t>
        </is>
      </c>
      <c r="B93" s="45">
        <f>IFERROR(B$90*(SUMIFS(JB_26BV,JB_B,1,JB_EX,"P-5c",JB_CC,"Change Orders",JB_H,"DDG",JB_RC,"ALT"))/(SUMIFS(JB_26BV,JB_B,1,JB_EX,"P-5c",JB_H,"DDG",JB_RC,"ALT")),0)</f>
        <v/>
      </c>
      <c r="C93" s="31">
        <f>IFERROR(C$90*(SUMIFS(JB_26BV,JB_B,1,JB_EX,"P-5c",JB_CC,"Change Orders",JB_H,"T-AO",JB_RC,"ALT"))/(SUMIFS(JB_26BV,JB_B,1,JB_EX,"P-5c",JB_H,"T-AO",JB_RC,"ALT")),0)</f>
        <v/>
      </c>
      <c r="D93" s="31">
        <f>IFERROR(D$90*(SUMIFS(JB_26BV,JB_B,1,JB_EX,"P-5c",JB_CC,"Change Orders",JB_H,"LPD",JB_RC,"ALT"))/(SUMIFS(JB_26BV,JB_B,1,JB_EX,"P-5c",JB_H,"LPD",JB_RC,"ALT")),0)</f>
        <v/>
      </c>
      <c r="E93" s="31">
        <f>IFERROR(E$90*(SUMIFS(JB_26BV,JB_B,1,JB_EX,"P-5c",JB_CC,"Change Orders",JB_H,"LHA",JB_RC,"ALT"))/(SUMIFS(JB_26BV,JB_B,1,JB_EX,"P-5c",JB_H,"LHA",JB_RC,"ALT")),0)</f>
        <v/>
      </c>
      <c r="F93" s="31">
        <f>IFERROR(F$90*(SUMIFS(JB_26BV,JB_B,1,JB_EX,"P-5c",JB_CC,"Change Orders",JB_H,"T-AGOS",JB_RC,"ALT"))/(SUMIFS(JB_26BV,JB_B,1,JB_EX,"P-5c",JB_H,"T-AGOS",JB_RC,"ALT")),0)</f>
        <v/>
      </c>
      <c r="G93" s="31">
        <f>IFERROR(G$90*(SUMIFS(JB_26BV,JB_B,1,JB_EX,"P-5c",JB_CC,"Change Orders",JB_H,"FFG",JB_RC,"ALT"))/(SUMIFS(JB_26BV,JB_B,1,JB_EX,"P-5c",JB_H,"FFG",JB_RC,"ALT")),0)</f>
        <v/>
      </c>
      <c r="H93" s="31">
        <f>IFERROR(H$90*(SUMIFS(JB_26BV,JB_B,1,JB_EX,"P-5c",JB_CC,"Change Orders",JB_H,"T-ATS",JB_RC,"ALT"))/(SUMIFS(JB_26BV,JB_B,1,JB_EX,"P-5c",JB_H,"T-ATS",JB_RC,"ALT")),0)</f>
        <v/>
      </c>
      <c r="I93" s="45">
        <f>SUM(B93:H93)</f>
        <v/>
      </c>
    </row>
    <row r="94" ht="10" customHeight="1">
      <c r="A94" s="30" t="inlineStr">
        <is>
          <t>Electronics</t>
        </is>
      </c>
      <c r="B94" s="45">
        <f>IFERROR(B$90*(SUMIFS(JB_26BV,JB_B,1,JB_EX,"P-5c",JB_CC,"Electronics",JB_H,"DDG",JB_RC,"ALT"))/(SUMIFS(JB_26BV,JB_B,1,JB_EX,"P-5c",JB_H,"DDG",JB_RC,"ALT")),0)</f>
        <v/>
      </c>
      <c r="C94" s="31">
        <f>IFERROR(C$90*(SUMIFS(JB_26BV,JB_B,1,JB_EX,"P-5c",JB_CC,"Electronics",JB_H,"T-AO",JB_RC,"ALT"))/(SUMIFS(JB_26BV,JB_B,1,JB_EX,"P-5c",JB_H,"T-AO",JB_RC,"ALT")),0)</f>
        <v/>
      </c>
      <c r="D94" s="31">
        <f>IFERROR(D$90*(SUMIFS(JB_26BV,JB_B,1,JB_EX,"P-5c",JB_CC,"Electronics",JB_H,"LPD",JB_RC,"ALT"))/(SUMIFS(JB_26BV,JB_B,1,JB_EX,"P-5c",JB_H,"LPD",JB_RC,"ALT")),0)</f>
        <v/>
      </c>
      <c r="E94" s="31">
        <f>IFERROR(E$90*(SUMIFS(JB_26BV,JB_B,1,JB_EX,"P-5c",JB_CC,"Electronics",JB_H,"LHA",JB_RC,"ALT"))/(SUMIFS(JB_26BV,JB_B,1,JB_EX,"P-5c",JB_H,"LHA",JB_RC,"ALT")),0)</f>
        <v/>
      </c>
      <c r="F94" s="31">
        <f>IFERROR(F$90*(SUMIFS(JB_26BV,JB_B,1,JB_EX,"P-5c",JB_CC,"Electronics",JB_H,"T-AGOS",JB_RC,"ALT"))/(SUMIFS(JB_26BV,JB_B,1,JB_EX,"P-5c",JB_H,"T-AGOS",JB_RC,"ALT")),0)</f>
        <v/>
      </c>
      <c r="G94" s="31">
        <f>IFERROR(G$90*(SUMIFS(JB_26BV,JB_B,1,JB_EX,"P-5c",JB_CC,"Electronics",JB_H,"FFG",JB_RC,"ALT"))/(SUMIFS(JB_26BV,JB_B,1,JB_EX,"P-5c",JB_H,"FFG",JB_RC,"ALT")),0)</f>
        <v/>
      </c>
      <c r="H94" s="31">
        <f>IFERROR(H$90*(SUMIFS(JB_26BV,JB_B,1,JB_EX,"P-5c",JB_CC,"Electronics",JB_H,"T-ATS",JB_RC,"ALT"))/(SUMIFS(JB_26BV,JB_B,1,JB_EX,"P-5c",JB_H,"T-ATS",JB_RC,"ALT")),0)</f>
        <v/>
      </c>
      <c r="I94" s="45">
        <f>SUM(B94:H94)</f>
        <v/>
      </c>
    </row>
    <row r="95" ht="10" customHeight="1">
      <c r="A95" s="30" t="inlineStr">
        <is>
          <t>Hull, Mechanical, and Electrical</t>
        </is>
      </c>
      <c r="B95" s="45">
        <f>IFERROR(B$90*(SUMIFS(JB_26BV,JB_B,1,JB_EX,"P-5c",JB_CC,"Hull, Mechanical, and Electrical",JB_H,"DDG",JB_RC,"ALT"))/(SUMIFS(JB_26BV,JB_B,1,JB_EX,"P-5c",JB_H,"DDG",JB_RC,"ALT")),0)</f>
        <v/>
      </c>
      <c r="C95" s="31">
        <f>IFERROR(C$90*(SUMIFS(JB_26BV,JB_B,1,JB_EX,"P-5c",JB_CC,"Hull, Mechanical, and Electrical",JB_H,"T-AO",JB_RC,"ALT"))/(SUMIFS(JB_26BV,JB_B,1,JB_EX,"P-5c",JB_H,"T-AO",JB_RC,"ALT")),0)</f>
        <v/>
      </c>
      <c r="D95" s="31">
        <f>IFERROR(D$90*(SUMIFS(JB_26BV,JB_B,1,JB_EX,"P-5c",JB_CC,"Hull, Mechanical, and Electrical",JB_H,"LPD",JB_RC,"ALT"))/(SUMIFS(JB_26BV,JB_B,1,JB_EX,"P-5c",JB_H,"LPD",JB_RC,"ALT")),0)</f>
        <v/>
      </c>
      <c r="E95" s="31">
        <f>IFERROR(E$90*(SUMIFS(JB_26BV,JB_B,1,JB_EX,"P-5c",JB_CC,"Hull, Mechanical, and Electrical",JB_H,"LHA",JB_RC,"ALT"))/(SUMIFS(JB_26BV,JB_B,1,JB_EX,"P-5c",JB_H,"LHA",JB_RC,"ALT")),0)</f>
        <v/>
      </c>
      <c r="F95" s="31">
        <f>IFERROR(F$90*(SUMIFS(JB_26BV,JB_B,1,JB_EX,"P-5c",JB_CC,"Hull, Mechanical, and Electrical",JB_H,"T-AGOS",JB_RC,"ALT"))/(SUMIFS(JB_26BV,JB_B,1,JB_EX,"P-5c",JB_H,"T-AGOS",JB_RC,"ALT")),0)</f>
        <v/>
      </c>
      <c r="G95" s="31">
        <f>IFERROR(G$90*(SUMIFS(JB_26BV,JB_B,1,JB_EX,"P-5c",JB_CC,"Hull, Mechanical, and Electrical",JB_H,"FFG",JB_RC,"ALT"))/(SUMIFS(JB_26BV,JB_B,1,JB_EX,"P-5c",JB_H,"FFG",JB_RC,"ALT")),0)</f>
        <v/>
      </c>
      <c r="H95" s="31">
        <f>IFERROR(H$90*(SUMIFS(JB_26BV,JB_B,1,JB_EX,"P-5c",JB_CC,"Hull, Mechanical, and Electrical",JB_H,"T-ATS",JB_RC,"ALT"))/(SUMIFS(JB_26BV,JB_B,1,JB_EX,"P-5c",JB_H,"T-ATS",JB_RC,"ALT")),0)</f>
        <v/>
      </c>
      <c r="I95" s="45">
        <f>SUM(B95:H95)</f>
        <v/>
      </c>
    </row>
    <row r="96" ht="10" customHeight="1">
      <c r="A96" s="30" t="inlineStr">
        <is>
          <t>Ordnance</t>
        </is>
      </c>
      <c r="B96" s="45">
        <f>IFERROR(B$90*(SUMIFS(JB_26BV,JB_B,1,JB_EX,"P-5c",JB_CC,"Ordnance",JB_H,"DDG",JB_RC,"ALT"))/(SUMIFS(JB_26BV,JB_B,1,JB_EX,"P-5c",JB_H,"DDG",JB_RC,"ALT")),0)</f>
        <v/>
      </c>
      <c r="C96" s="31">
        <f>IFERROR(C$90*(SUMIFS(JB_26BV,JB_B,1,JB_EX,"P-5c",JB_CC,"Ordnance",JB_H,"T-AO",JB_RC,"ALT"))/(SUMIFS(JB_26BV,JB_B,1,JB_EX,"P-5c",JB_H,"T-AO",JB_RC,"ALT")),0)</f>
        <v/>
      </c>
      <c r="D96" s="31">
        <f>IFERROR(D$90*(SUMIFS(JB_26BV,JB_B,1,JB_EX,"P-5c",JB_CC,"Ordnance",JB_H,"LPD",JB_RC,"ALT"))/(SUMIFS(JB_26BV,JB_B,1,JB_EX,"P-5c",JB_H,"LPD",JB_RC,"ALT")),0)</f>
        <v/>
      </c>
      <c r="E96" s="31">
        <f>IFERROR(E$90*(SUMIFS(JB_26BV,JB_B,1,JB_EX,"P-5c",JB_CC,"Ordnance",JB_H,"LHA",JB_RC,"ALT"))/(SUMIFS(JB_26BV,JB_B,1,JB_EX,"P-5c",JB_H,"LHA",JB_RC,"ALT")),0)</f>
        <v/>
      </c>
      <c r="F96" s="31">
        <f>IFERROR(F$90*(SUMIFS(JB_26BV,JB_B,1,JB_EX,"P-5c",JB_CC,"Ordnance",JB_H,"T-AGOS",JB_RC,"ALT"))/(SUMIFS(JB_26BV,JB_B,1,JB_EX,"P-5c",JB_H,"T-AGOS",JB_RC,"ALT")),0)</f>
        <v/>
      </c>
      <c r="G96" s="31">
        <f>IFERROR(G$90*(SUMIFS(JB_26BV,JB_B,1,JB_EX,"P-5c",JB_CC,"Ordnance",JB_H,"FFG",JB_RC,"ALT"))/(SUMIFS(JB_26BV,JB_B,1,JB_EX,"P-5c",JB_H,"FFG",JB_RC,"ALT")),0)</f>
        <v/>
      </c>
      <c r="H96" s="31">
        <f>IFERROR(H$90*(SUMIFS(JB_26BV,JB_B,1,JB_EX,"P-5c",JB_CC,"Ordnance",JB_H,"T-ATS",JB_RC,"ALT"))/(SUMIFS(JB_26BV,JB_B,1,JB_EX,"P-5c",JB_H,"T-ATS",JB_RC,"ALT")),0)</f>
        <v/>
      </c>
      <c r="I96" s="45">
        <f>SUM(B96:H96)</f>
        <v/>
      </c>
    </row>
    <row r="97" ht="10" customHeight="1">
      <c r="A97" s="30" t="inlineStr">
        <is>
          <t>Other Cost</t>
        </is>
      </c>
      <c r="B97" s="45">
        <f>IFERROR(B$90*(SUMIFS(JB_26BV,JB_B,1,JB_EX,"P-5c",JB_CC,"Other Cost",JB_H,"DDG",JB_RC,"ALT"))/(SUMIFS(JB_26BV,JB_B,1,JB_EX,"P-5c",JB_H,"DDG",JB_RC,"ALT")),0)</f>
        <v/>
      </c>
      <c r="C97" s="31">
        <f>IFERROR(C$90*(SUMIFS(JB_26BV,JB_B,1,JB_EX,"P-5c",JB_CC,"Other Cost",JB_H,"T-AO",JB_RC,"ALT"))/(SUMIFS(JB_26BV,JB_B,1,JB_EX,"P-5c",JB_H,"T-AO",JB_RC,"ALT")),0)</f>
        <v/>
      </c>
      <c r="D97" s="31">
        <f>IFERROR(D$90*(SUMIFS(JB_26BV,JB_B,1,JB_EX,"P-5c",JB_CC,"Other Cost",JB_H,"LPD",JB_RC,"ALT"))/(SUMIFS(JB_26BV,JB_B,1,JB_EX,"P-5c",JB_H,"LPD",JB_RC,"ALT")),0)</f>
        <v/>
      </c>
      <c r="E97" s="31">
        <f>IFERROR(E$90*(SUMIFS(JB_26BV,JB_B,1,JB_EX,"P-5c",JB_CC,"Other Cost",JB_H,"LHA",JB_RC,"ALT"))/(SUMIFS(JB_26BV,JB_B,1,JB_EX,"P-5c",JB_H,"LHA",JB_RC,"ALT")),0)</f>
        <v/>
      </c>
      <c r="F97" s="31">
        <f>IFERROR(F$90*(SUMIFS(JB_26BV,JB_B,1,JB_EX,"P-5c",JB_CC,"Other Cost",JB_H,"T-AGOS",JB_RC,"ALT"))/(SUMIFS(JB_26BV,JB_B,1,JB_EX,"P-5c",JB_H,"T-AGOS",JB_RC,"ALT")),0)</f>
        <v/>
      </c>
      <c r="G97" s="31">
        <f>IFERROR(G$90*(SUMIFS(JB_26BV,JB_B,1,JB_EX,"P-5c",JB_CC,"Other Cost",JB_H,"FFG",JB_RC,"ALT"))/(SUMIFS(JB_26BV,JB_B,1,JB_EX,"P-5c",JB_H,"FFG",JB_RC,"ALT")),0)</f>
        <v/>
      </c>
      <c r="H97" s="31">
        <f>IFERROR(H$90*(SUMIFS(JB_26BV,JB_B,1,JB_EX,"P-5c",JB_CC,"Other Cost",JB_H,"T-ATS",JB_RC,"ALT"))/(SUMIFS(JB_26BV,JB_B,1,JB_EX,"P-5c",JB_H,"T-ATS",JB_RC,"ALT")),0)</f>
        <v/>
      </c>
      <c r="I97" s="45">
        <f>SUM(B97:H97)</f>
        <v/>
      </c>
    </row>
    <row r="98" ht="10" customHeight="1">
      <c r="A98" s="32" t="inlineStr">
        <is>
          <t>Newbuild SAM ($K)</t>
        </is>
      </c>
      <c r="B98" s="44">
        <f>SUM(B91:B97)</f>
        <v/>
      </c>
      <c r="C98" s="33">
        <f>SUM(C91:C97)</f>
        <v/>
      </c>
      <c r="D98" s="33">
        <f>SUM(D91:D97)</f>
        <v/>
      </c>
      <c r="E98" s="33">
        <f>SUM(E91:E97)</f>
        <v/>
      </c>
      <c r="F98" s="33">
        <f>SUM(F91:F97)</f>
        <v/>
      </c>
      <c r="G98" s="33">
        <f>SUM(G91:G97)</f>
        <v/>
      </c>
      <c r="H98" s="33">
        <f>SUM(H91:H97)</f>
        <v/>
      </c>
      <c r="I98" s="44">
        <f>SUM(I91:I97)</f>
        <v/>
      </c>
    </row>
    <row r="99" ht="10" customHeight="1"/>
    <row r="100" ht="10" customHeight="1"/>
    <row r="101" ht="10" customHeight="1">
      <c r="A101" s="27" t="inlineStr">
        <is>
          <t>(F) Newbuild SAM — Cost Category Mix by Hull (Mekko)</t>
        </is>
      </c>
      <c r="B101" s="28" t="n"/>
      <c r="C101" s="28" t="n"/>
      <c r="D101" s="28" t="n"/>
      <c r="E101" s="28" t="n"/>
      <c r="F101" s="28" t="n"/>
      <c r="G101" s="28" t="n"/>
      <c r="H101" s="28" t="n"/>
      <c r="I101" s="28" t="n"/>
    </row>
    <row r="102" ht="10" customHeight="1">
      <c r="A102" s="39" t="n"/>
      <c r="B102" s="40" t="inlineStr">
        <is>
          <t>USN</t>
        </is>
      </c>
      <c r="C102" s="39" t="n"/>
      <c r="D102" s="39" t="n"/>
      <c r="E102" s="39" t="n"/>
      <c r="F102" s="39" t="n"/>
      <c r="G102" s="39" t="n"/>
      <c r="H102" s="39" t="n"/>
      <c r="I102" s="41" t="n"/>
    </row>
    <row r="103" ht="10" customHeight="1">
      <c r="A103" s="29" t="inlineStr">
        <is>
          <t>Cost Category</t>
        </is>
      </c>
      <c r="B103" s="42" t="inlineStr">
        <is>
          <t>DDG</t>
        </is>
      </c>
      <c r="C103" s="29" t="inlineStr">
        <is>
          <t>T-AO</t>
        </is>
      </c>
      <c r="D103" s="29" t="inlineStr">
        <is>
          <t>LPD</t>
        </is>
      </c>
      <c r="E103" s="29" t="inlineStr">
        <is>
          <t>LHA</t>
        </is>
      </c>
      <c r="F103" s="29" t="inlineStr">
        <is>
          <t>T-AGOS</t>
        </is>
      </c>
      <c r="G103" s="29" t="inlineStr">
        <is>
          <t>FFG</t>
        </is>
      </c>
      <c r="H103" s="29" t="inlineStr">
        <is>
          <t>T-ATS</t>
        </is>
      </c>
      <c r="I103" s="42" t="inlineStr">
        <is>
          <t>Total</t>
        </is>
      </c>
    </row>
    <row r="104" ht="10" customHeight="1">
      <c r="A104" s="30" t="inlineStr">
        <is>
          <t>Plan Costs</t>
        </is>
      </c>
      <c r="B104" s="43">
        <f>IFERROR((SUMIFS(JB_26BV,JB_B,1,JB_EX,"P-5c",JB_CC,"Plan Costs",JB_H,"DDG",JB_RC,"ALT"))/(SUMIFS(JB_26BV,JB_B,1,JB_EX,"P-5c",JB_H,"DDG",JB_RC,"ALT")),0)</f>
        <v/>
      </c>
      <c r="C104" s="37">
        <f>IFERROR((SUMIFS(JB_26BV,JB_B,1,JB_EX,"P-5c",JB_CC,"Plan Costs",JB_H,"T-AO",JB_RC,"ALT"))/(SUMIFS(JB_26BV,JB_B,1,JB_EX,"P-5c",JB_H,"T-AO",JB_RC,"ALT")),0)</f>
        <v/>
      </c>
      <c r="D104" s="37">
        <f>IFERROR((SUMIFS(JB_26BV,JB_B,1,JB_EX,"P-5c",JB_CC,"Plan Costs",JB_H,"LPD",JB_RC,"ALT"))/(SUMIFS(JB_26BV,JB_B,1,JB_EX,"P-5c",JB_H,"LPD",JB_RC,"ALT")),0)</f>
        <v/>
      </c>
      <c r="E104" s="37">
        <f>IFERROR((SUMIFS(JB_26BV,JB_B,1,JB_EX,"P-5c",JB_CC,"Plan Costs",JB_H,"LHA",JB_RC,"ALT"))/(SUMIFS(JB_26BV,JB_B,1,JB_EX,"P-5c",JB_H,"LHA",JB_RC,"ALT")),0)</f>
        <v/>
      </c>
      <c r="F104" s="37">
        <f>IFERROR((SUMIFS(JB_26BV,JB_B,1,JB_EX,"P-5c",JB_CC,"Plan Costs",JB_H,"T-AGOS",JB_RC,"ALT"))/(SUMIFS(JB_26BV,JB_B,1,JB_EX,"P-5c",JB_H,"T-AGOS",JB_RC,"ALT")),0)</f>
        <v/>
      </c>
      <c r="G104" s="37">
        <f>IFERROR((SUMIFS(JB_26BV,JB_B,1,JB_EX,"P-5c",JB_CC,"Plan Costs",JB_H,"FFG",JB_RC,"ALT"))/(SUMIFS(JB_26BV,JB_B,1,JB_EX,"P-5c",JB_H,"FFG",JB_RC,"ALT")),0)</f>
        <v/>
      </c>
      <c r="H104" s="37">
        <f>IFERROR((SUMIFS(JB_26BV,JB_B,1,JB_EX,"P-5c",JB_CC,"Plan Costs",JB_H,"T-ATS",JB_RC,"ALT"))/(SUMIFS(JB_26BV,JB_B,1,JB_EX,"P-5c",JB_H,"T-ATS",JB_RC,"ALT")),0)</f>
        <v/>
      </c>
      <c r="I104" s="43">
        <f>IFERROR(SUMPRODUCT(B104:H104,B$111:H$111)/I$111,0)</f>
        <v/>
      </c>
    </row>
    <row r="105" ht="10" customHeight="1">
      <c r="A105" s="30" t="inlineStr">
        <is>
          <t>Basic Construction</t>
        </is>
      </c>
      <c r="B105" s="43">
        <f>IFERROR((SUMIFS(JB_26BV,JB_B,1,JB_EX,"P-5c",JB_CC,"Basic Construction",JB_H,"DDG",JB_RC,"ALT"))/(SUMIFS(JB_26BV,JB_B,1,JB_EX,"P-5c",JB_H,"DDG",JB_RC,"ALT")),0)</f>
        <v/>
      </c>
      <c r="C105" s="37">
        <f>IFERROR((SUMIFS(JB_26BV,JB_B,1,JB_EX,"P-5c",JB_CC,"Basic Construction",JB_H,"T-AO",JB_RC,"ALT"))/(SUMIFS(JB_26BV,JB_B,1,JB_EX,"P-5c",JB_H,"T-AO",JB_RC,"ALT")),0)</f>
        <v/>
      </c>
      <c r="D105" s="37">
        <f>IFERROR((SUMIFS(JB_26BV,JB_B,1,JB_EX,"P-5c",JB_CC,"Basic Construction",JB_H,"LPD",JB_RC,"ALT"))/(SUMIFS(JB_26BV,JB_B,1,JB_EX,"P-5c",JB_H,"LPD",JB_RC,"ALT")),0)</f>
        <v/>
      </c>
      <c r="E105" s="37">
        <f>IFERROR((SUMIFS(JB_26BV,JB_B,1,JB_EX,"P-5c",JB_CC,"Basic Construction",JB_H,"LHA",JB_RC,"ALT"))/(SUMIFS(JB_26BV,JB_B,1,JB_EX,"P-5c",JB_H,"LHA",JB_RC,"ALT")),0)</f>
        <v/>
      </c>
      <c r="F105" s="37">
        <f>IFERROR((SUMIFS(JB_26BV,JB_B,1,JB_EX,"P-5c",JB_CC,"Basic Construction",JB_H,"T-AGOS",JB_RC,"ALT"))/(SUMIFS(JB_26BV,JB_B,1,JB_EX,"P-5c",JB_H,"T-AGOS",JB_RC,"ALT")),0)</f>
        <v/>
      </c>
      <c r="G105" s="37">
        <f>IFERROR((SUMIFS(JB_26BV,JB_B,1,JB_EX,"P-5c",JB_CC,"Basic Construction",JB_H,"FFG",JB_RC,"ALT"))/(SUMIFS(JB_26BV,JB_B,1,JB_EX,"P-5c",JB_H,"FFG",JB_RC,"ALT")),0)</f>
        <v/>
      </c>
      <c r="H105" s="37">
        <f>IFERROR((SUMIFS(JB_26BV,JB_B,1,JB_EX,"P-5c",JB_CC,"Basic Construction",JB_H,"T-ATS",JB_RC,"ALT"))/(SUMIFS(JB_26BV,JB_B,1,JB_EX,"P-5c",JB_H,"T-ATS",JB_RC,"ALT")),0)</f>
        <v/>
      </c>
      <c r="I105" s="43">
        <f>IFERROR(SUMPRODUCT(B105:H105,B$111:H$111)/I$111,0)</f>
        <v/>
      </c>
    </row>
    <row r="106" ht="10" customHeight="1">
      <c r="A106" s="30" t="inlineStr">
        <is>
          <t>Change Orders</t>
        </is>
      </c>
      <c r="B106" s="43">
        <f>IFERROR((SUMIFS(JB_26BV,JB_B,1,JB_EX,"P-5c",JB_CC,"Change Orders",JB_H,"DDG",JB_RC,"ALT"))/(SUMIFS(JB_26BV,JB_B,1,JB_EX,"P-5c",JB_H,"DDG",JB_RC,"ALT")),0)</f>
        <v/>
      </c>
      <c r="C106" s="37">
        <f>IFERROR((SUMIFS(JB_26BV,JB_B,1,JB_EX,"P-5c",JB_CC,"Change Orders",JB_H,"T-AO",JB_RC,"ALT"))/(SUMIFS(JB_26BV,JB_B,1,JB_EX,"P-5c",JB_H,"T-AO",JB_RC,"ALT")),0)</f>
        <v/>
      </c>
      <c r="D106" s="37">
        <f>IFERROR((SUMIFS(JB_26BV,JB_B,1,JB_EX,"P-5c",JB_CC,"Change Orders",JB_H,"LPD",JB_RC,"ALT"))/(SUMIFS(JB_26BV,JB_B,1,JB_EX,"P-5c",JB_H,"LPD",JB_RC,"ALT")),0)</f>
        <v/>
      </c>
      <c r="E106" s="37">
        <f>IFERROR((SUMIFS(JB_26BV,JB_B,1,JB_EX,"P-5c",JB_CC,"Change Orders",JB_H,"LHA",JB_RC,"ALT"))/(SUMIFS(JB_26BV,JB_B,1,JB_EX,"P-5c",JB_H,"LHA",JB_RC,"ALT")),0)</f>
        <v/>
      </c>
      <c r="F106" s="37">
        <f>IFERROR((SUMIFS(JB_26BV,JB_B,1,JB_EX,"P-5c",JB_CC,"Change Orders",JB_H,"T-AGOS",JB_RC,"ALT"))/(SUMIFS(JB_26BV,JB_B,1,JB_EX,"P-5c",JB_H,"T-AGOS",JB_RC,"ALT")),0)</f>
        <v/>
      </c>
      <c r="G106" s="37">
        <f>IFERROR((SUMIFS(JB_26BV,JB_B,1,JB_EX,"P-5c",JB_CC,"Change Orders",JB_H,"FFG",JB_RC,"ALT"))/(SUMIFS(JB_26BV,JB_B,1,JB_EX,"P-5c",JB_H,"FFG",JB_RC,"ALT")),0)</f>
        <v/>
      </c>
      <c r="H106" s="37">
        <f>IFERROR((SUMIFS(JB_26BV,JB_B,1,JB_EX,"P-5c",JB_CC,"Change Orders",JB_H,"T-ATS",JB_RC,"ALT"))/(SUMIFS(JB_26BV,JB_B,1,JB_EX,"P-5c",JB_H,"T-ATS",JB_RC,"ALT")),0)</f>
        <v/>
      </c>
      <c r="I106" s="43">
        <f>IFERROR(SUMPRODUCT(B106:H106,B$111:H$111)/I$111,0)</f>
        <v/>
      </c>
    </row>
    <row r="107" ht="10" customHeight="1">
      <c r="A107" s="30" t="inlineStr">
        <is>
          <t>Electronics</t>
        </is>
      </c>
      <c r="B107" s="43">
        <f>IFERROR((SUMIFS(JB_26BV,JB_B,1,JB_EX,"P-5c",JB_CC,"Electronics",JB_H,"DDG",JB_RC,"ALT"))/(SUMIFS(JB_26BV,JB_B,1,JB_EX,"P-5c",JB_H,"DDG",JB_RC,"ALT")),0)</f>
        <v/>
      </c>
      <c r="C107" s="37">
        <f>IFERROR((SUMIFS(JB_26BV,JB_B,1,JB_EX,"P-5c",JB_CC,"Electronics",JB_H,"T-AO",JB_RC,"ALT"))/(SUMIFS(JB_26BV,JB_B,1,JB_EX,"P-5c",JB_H,"T-AO",JB_RC,"ALT")),0)</f>
        <v/>
      </c>
      <c r="D107" s="37">
        <f>IFERROR((SUMIFS(JB_26BV,JB_B,1,JB_EX,"P-5c",JB_CC,"Electronics",JB_H,"LPD",JB_RC,"ALT"))/(SUMIFS(JB_26BV,JB_B,1,JB_EX,"P-5c",JB_H,"LPD",JB_RC,"ALT")),0)</f>
        <v/>
      </c>
      <c r="E107" s="37">
        <f>IFERROR((SUMIFS(JB_26BV,JB_B,1,JB_EX,"P-5c",JB_CC,"Electronics",JB_H,"LHA",JB_RC,"ALT"))/(SUMIFS(JB_26BV,JB_B,1,JB_EX,"P-5c",JB_H,"LHA",JB_RC,"ALT")),0)</f>
        <v/>
      </c>
      <c r="F107" s="37">
        <f>IFERROR((SUMIFS(JB_26BV,JB_B,1,JB_EX,"P-5c",JB_CC,"Electronics",JB_H,"T-AGOS",JB_RC,"ALT"))/(SUMIFS(JB_26BV,JB_B,1,JB_EX,"P-5c",JB_H,"T-AGOS",JB_RC,"ALT")),0)</f>
        <v/>
      </c>
      <c r="G107" s="37">
        <f>IFERROR((SUMIFS(JB_26BV,JB_B,1,JB_EX,"P-5c",JB_CC,"Electronics",JB_H,"FFG",JB_RC,"ALT"))/(SUMIFS(JB_26BV,JB_B,1,JB_EX,"P-5c",JB_H,"FFG",JB_RC,"ALT")),0)</f>
        <v/>
      </c>
      <c r="H107" s="37">
        <f>IFERROR((SUMIFS(JB_26BV,JB_B,1,JB_EX,"P-5c",JB_CC,"Electronics",JB_H,"T-ATS",JB_RC,"ALT"))/(SUMIFS(JB_26BV,JB_B,1,JB_EX,"P-5c",JB_H,"T-ATS",JB_RC,"ALT")),0)</f>
        <v/>
      </c>
      <c r="I107" s="43">
        <f>IFERROR(SUMPRODUCT(B107:H107,B$111:H$111)/I$111,0)</f>
        <v/>
      </c>
    </row>
    <row r="108" ht="10" customHeight="1">
      <c r="A108" s="30" t="inlineStr">
        <is>
          <t>Hull, Mechanical, and Electrical</t>
        </is>
      </c>
      <c r="B108" s="43">
        <f>IFERROR((SUMIFS(JB_26BV,JB_B,1,JB_EX,"P-5c",JB_CC,"Hull, Mechanical, and Electrical",JB_H,"DDG",JB_RC,"ALT"))/(SUMIFS(JB_26BV,JB_B,1,JB_EX,"P-5c",JB_H,"DDG",JB_RC,"ALT")),0)</f>
        <v/>
      </c>
      <c r="C108" s="37">
        <f>IFERROR((SUMIFS(JB_26BV,JB_B,1,JB_EX,"P-5c",JB_CC,"Hull, Mechanical, and Electrical",JB_H,"T-AO",JB_RC,"ALT"))/(SUMIFS(JB_26BV,JB_B,1,JB_EX,"P-5c",JB_H,"T-AO",JB_RC,"ALT")),0)</f>
        <v/>
      </c>
      <c r="D108" s="37">
        <f>IFERROR((SUMIFS(JB_26BV,JB_B,1,JB_EX,"P-5c",JB_CC,"Hull, Mechanical, and Electrical",JB_H,"LPD",JB_RC,"ALT"))/(SUMIFS(JB_26BV,JB_B,1,JB_EX,"P-5c",JB_H,"LPD",JB_RC,"ALT")),0)</f>
        <v/>
      </c>
      <c r="E108" s="37">
        <f>IFERROR((SUMIFS(JB_26BV,JB_B,1,JB_EX,"P-5c",JB_CC,"Hull, Mechanical, and Electrical",JB_H,"LHA",JB_RC,"ALT"))/(SUMIFS(JB_26BV,JB_B,1,JB_EX,"P-5c",JB_H,"LHA",JB_RC,"ALT")),0)</f>
        <v/>
      </c>
      <c r="F108" s="37">
        <f>IFERROR((SUMIFS(JB_26BV,JB_B,1,JB_EX,"P-5c",JB_CC,"Hull, Mechanical, and Electrical",JB_H,"T-AGOS",JB_RC,"ALT"))/(SUMIFS(JB_26BV,JB_B,1,JB_EX,"P-5c",JB_H,"T-AGOS",JB_RC,"ALT")),0)</f>
        <v/>
      </c>
      <c r="G108" s="37">
        <f>IFERROR((SUMIFS(JB_26BV,JB_B,1,JB_EX,"P-5c",JB_CC,"Hull, Mechanical, and Electrical",JB_H,"FFG",JB_RC,"ALT"))/(SUMIFS(JB_26BV,JB_B,1,JB_EX,"P-5c",JB_H,"FFG",JB_RC,"ALT")),0)</f>
        <v/>
      </c>
      <c r="H108" s="37">
        <f>IFERROR((SUMIFS(JB_26BV,JB_B,1,JB_EX,"P-5c",JB_CC,"Hull, Mechanical, and Electrical",JB_H,"T-ATS",JB_RC,"ALT"))/(SUMIFS(JB_26BV,JB_B,1,JB_EX,"P-5c",JB_H,"T-ATS",JB_RC,"ALT")),0)</f>
        <v/>
      </c>
      <c r="I108" s="43">
        <f>IFERROR(SUMPRODUCT(B108:H108,B$111:H$111)/I$111,0)</f>
        <v/>
      </c>
    </row>
    <row r="109" ht="10" customHeight="1">
      <c r="A109" s="30" t="inlineStr">
        <is>
          <t>Ordnance</t>
        </is>
      </c>
      <c r="B109" s="43">
        <f>IFERROR((SUMIFS(JB_26BV,JB_B,1,JB_EX,"P-5c",JB_CC,"Ordnance",JB_H,"DDG",JB_RC,"ALT"))/(SUMIFS(JB_26BV,JB_B,1,JB_EX,"P-5c",JB_H,"DDG",JB_RC,"ALT")),0)</f>
        <v/>
      </c>
      <c r="C109" s="37">
        <f>IFERROR((SUMIFS(JB_26BV,JB_B,1,JB_EX,"P-5c",JB_CC,"Ordnance",JB_H,"T-AO",JB_RC,"ALT"))/(SUMIFS(JB_26BV,JB_B,1,JB_EX,"P-5c",JB_H,"T-AO",JB_RC,"ALT")),0)</f>
        <v/>
      </c>
      <c r="D109" s="37">
        <f>IFERROR((SUMIFS(JB_26BV,JB_B,1,JB_EX,"P-5c",JB_CC,"Ordnance",JB_H,"LPD",JB_RC,"ALT"))/(SUMIFS(JB_26BV,JB_B,1,JB_EX,"P-5c",JB_H,"LPD",JB_RC,"ALT")),0)</f>
        <v/>
      </c>
      <c r="E109" s="37">
        <f>IFERROR((SUMIFS(JB_26BV,JB_B,1,JB_EX,"P-5c",JB_CC,"Ordnance",JB_H,"LHA",JB_RC,"ALT"))/(SUMIFS(JB_26BV,JB_B,1,JB_EX,"P-5c",JB_H,"LHA",JB_RC,"ALT")),0)</f>
        <v/>
      </c>
      <c r="F109" s="37">
        <f>IFERROR((SUMIFS(JB_26BV,JB_B,1,JB_EX,"P-5c",JB_CC,"Ordnance",JB_H,"T-AGOS",JB_RC,"ALT"))/(SUMIFS(JB_26BV,JB_B,1,JB_EX,"P-5c",JB_H,"T-AGOS",JB_RC,"ALT")),0)</f>
        <v/>
      </c>
      <c r="G109" s="37">
        <f>IFERROR((SUMIFS(JB_26BV,JB_B,1,JB_EX,"P-5c",JB_CC,"Ordnance",JB_H,"FFG",JB_RC,"ALT"))/(SUMIFS(JB_26BV,JB_B,1,JB_EX,"P-5c",JB_H,"FFG",JB_RC,"ALT")),0)</f>
        <v/>
      </c>
      <c r="H109" s="37">
        <f>IFERROR((SUMIFS(JB_26BV,JB_B,1,JB_EX,"P-5c",JB_CC,"Ordnance",JB_H,"T-ATS",JB_RC,"ALT"))/(SUMIFS(JB_26BV,JB_B,1,JB_EX,"P-5c",JB_H,"T-ATS",JB_RC,"ALT")),0)</f>
        <v/>
      </c>
      <c r="I109" s="43">
        <f>IFERROR(SUMPRODUCT(B109:H109,B$111:H$111)/I$111,0)</f>
        <v/>
      </c>
    </row>
    <row r="110" ht="10" customHeight="1">
      <c r="A110" s="30" t="inlineStr">
        <is>
          <t>Other Cost</t>
        </is>
      </c>
      <c r="B110" s="43">
        <f>IFERROR((SUMIFS(JB_26BV,JB_B,1,JB_EX,"P-5c",JB_CC,"Other Cost",JB_H,"DDG",JB_RC,"ALT"))/(SUMIFS(JB_26BV,JB_B,1,JB_EX,"P-5c",JB_H,"DDG",JB_RC,"ALT")),0)</f>
        <v/>
      </c>
      <c r="C110" s="37">
        <f>IFERROR((SUMIFS(JB_26BV,JB_B,1,JB_EX,"P-5c",JB_CC,"Other Cost",JB_H,"T-AO",JB_RC,"ALT"))/(SUMIFS(JB_26BV,JB_B,1,JB_EX,"P-5c",JB_H,"T-AO",JB_RC,"ALT")),0)</f>
        <v/>
      </c>
      <c r="D110" s="37">
        <f>IFERROR((SUMIFS(JB_26BV,JB_B,1,JB_EX,"P-5c",JB_CC,"Other Cost",JB_H,"LPD",JB_RC,"ALT"))/(SUMIFS(JB_26BV,JB_B,1,JB_EX,"P-5c",JB_H,"LPD",JB_RC,"ALT")),0)</f>
        <v/>
      </c>
      <c r="E110" s="37">
        <f>IFERROR((SUMIFS(JB_26BV,JB_B,1,JB_EX,"P-5c",JB_CC,"Other Cost",JB_H,"LHA",JB_RC,"ALT"))/(SUMIFS(JB_26BV,JB_B,1,JB_EX,"P-5c",JB_H,"LHA",JB_RC,"ALT")),0)</f>
        <v/>
      </c>
      <c r="F110" s="37">
        <f>IFERROR((SUMIFS(JB_26BV,JB_B,1,JB_EX,"P-5c",JB_CC,"Other Cost",JB_H,"T-AGOS",JB_RC,"ALT"))/(SUMIFS(JB_26BV,JB_B,1,JB_EX,"P-5c",JB_H,"T-AGOS",JB_RC,"ALT")),0)</f>
        <v/>
      </c>
      <c r="G110" s="37">
        <f>IFERROR((SUMIFS(JB_26BV,JB_B,1,JB_EX,"P-5c",JB_CC,"Other Cost",JB_H,"FFG",JB_RC,"ALT"))/(SUMIFS(JB_26BV,JB_B,1,JB_EX,"P-5c",JB_H,"FFG",JB_RC,"ALT")),0)</f>
        <v/>
      </c>
      <c r="H110" s="37">
        <f>IFERROR((SUMIFS(JB_26BV,JB_B,1,JB_EX,"P-5c",JB_CC,"Other Cost",JB_H,"T-ATS",JB_RC,"ALT"))/(SUMIFS(JB_26BV,JB_B,1,JB_EX,"P-5c",JB_H,"T-ATS",JB_RC,"ALT")),0)</f>
        <v/>
      </c>
      <c r="I110" s="43">
        <f>IFERROR(SUMPRODUCT(B110:H110,B$111:H$111)/I$111,0)</f>
        <v/>
      </c>
    </row>
    <row r="111" ht="10" customHeight="1">
      <c r="A111" s="32" t="inlineStr">
        <is>
          <t>Total ($K)</t>
        </is>
      </c>
      <c r="B111" s="44">
        <f>SUMIFS(JB_26BV,JB_B,1,JB_H,"DDG",JB_RC,"ADD")</f>
        <v/>
      </c>
      <c r="C111" s="33">
        <f>SUMIFS(JB_26BV,JB_B,1,JB_H,"T-AO",JB_RC,"ADD")</f>
        <v/>
      </c>
      <c r="D111" s="33">
        <f>SUMIFS(JB_26BV,JB_B,1,JB_H,"LPD",JB_RC,"ADD")</f>
        <v/>
      </c>
      <c r="E111" s="33">
        <f>SUMIFS(JB_26BV,JB_B,1,JB_H,"LHA",JB_RC,"ADD")</f>
        <v/>
      </c>
      <c r="F111" s="33">
        <f>SUMIFS(JB_26BV,JB_B,1,JB_H,"T-AGOS",JB_RC,"ADD")</f>
        <v/>
      </c>
      <c r="G111" s="33">
        <f>SUMIFS(JB_26BV,JB_B,1,JB_H,"FFG",JB_RC,"ADD")</f>
        <v/>
      </c>
      <c r="H111" s="33">
        <f>SUMIFS(JB_26BV,JB_B,1,JB_H,"T-ATS",JB_RC,"ADD")</f>
        <v/>
      </c>
      <c r="I111" s="44">
        <f>SUM(B111:H111)</f>
        <v/>
      </c>
    </row>
    <row r="112" ht="10" customHeight="1"/>
    <row r="113" ht="10" customHeight="1"/>
    <row r="114" ht="10" customHeight="1">
      <c r="A114" s="27" t="inlineStr">
        <is>
          <t>(G) P-8a System-Level Detail by Hull Program — FY2026 ($K)</t>
        </is>
      </c>
      <c r="B114" s="28" t="n"/>
      <c r="C114" s="28" t="n"/>
      <c r="D114" s="28" t="n"/>
      <c r="E114" s="28" t="n"/>
      <c r="F114" s="28" t="n"/>
      <c r="G114" s="28" t="n"/>
      <c r="H114" s="28" t="n"/>
      <c r="I114" s="28" t="n"/>
      <c r="J114" s="28" t="n"/>
      <c r="K114" s="28" t="n"/>
      <c r="L114" s="28" t="n"/>
      <c r="M114" s="28" t="n"/>
      <c r="N114" s="28" t="n"/>
      <c r="O114" s="28" t="n"/>
      <c r="P114" s="28" t="n"/>
      <c r="Q114" s="28" t="n"/>
      <c r="R114" s="28" t="n"/>
      <c r="S114" s="28" t="n"/>
    </row>
    <row r="115" ht="10" customHeight="1">
      <c r="A115" s="26" t="inlineStr">
        <is>
          <t>Individual GFE systems from Exhibit P-8a (radars, weapons, electronics, propulsion), grouped by cost category within each hull program. Gross values from SCN justification books.</t>
        </is>
      </c>
    </row>
    <row r="116" ht="10" customHeight="1"/>
    <row r="117" ht="10" customHeight="1">
      <c r="A117" s="46" t="inlineStr">
        <is>
          <t>DDG (Surface Combatants)</t>
        </is>
      </c>
      <c r="B117" s="39" t="n"/>
      <c r="C117" s="39" t="n"/>
      <c r="D117" s="39" t="n"/>
      <c r="F117" s="46" t="inlineStr">
        <is>
          <t>LHA (Amphibious Warfare Ships)</t>
        </is>
      </c>
      <c r="G117" s="39" t="n"/>
      <c r="H117" s="39" t="n"/>
      <c r="I117" s="39" t="n"/>
      <c r="K117" s="46" t="inlineStr">
        <is>
          <t>FFG (Surface Combatants)</t>
        </is>
      </c>
      <c r="L117" s="39" t="n"/>
      <c r="M117" s="39" t="n"/>
      <c r="N117" s="39" t="n"/>
      <c r="P117" s="46" t="inlineStr">
        <is>
          <t>LPD (Amphibious Warfare Ships)</t>
        </is>
      </c>
      <c r="Q117" s="39" t="n"/>
      <c r="R117" s="39" t="n"/>
      <c r="S117" s="39" t="n"/>
    </row>
    <row r="118" ht="10" customHeight="1">
      <c r="A118" s="29" t="inlineStr">
        <is>
          <t>System</t>
        </is>
      </c>
      <c r="B118" s="29" t="inlineStr">
        <is>
          <t>Cost Category</t>
        </is>
      </c>
      <c r="C118" s="29" t="inlineStr">
        <is>
          <t>FY2026 ($K)</t>
        </is>
      </c>
      <c r="D118" s="29" t="inlineStr">
        <is>
          <t>% of Hull</t>
        </is>
      </c>
      <c r="F118" s="29" t="inlineStr">
        <is>
          <t>System</t>
        </is>
      </c>
      <c r="G118" s="29" t="inlineStr">
        <is>
          <t>Cost Category</t>
        </is>
      </c>
      <c r="H118" s="29" t="inlineStr">
        <is>
          <t>FY2026 ($K)</t>
        </is>
      </c>
      <c r="I118" s="29" t="inlineStr">
        <is>
          <t>% of Hull</t>
        </is>
      </c>
      <c r="K118" s="29" t="inlineStr">
        <is>
          <t>System</t>
        </is>
      </c>
      <c r="L118" s="29" t="inlineStr">
        <is>
          <t>Cost Category</t>
        </is>
      </c>
      <c r="M118" s="29" t="inlineStr">
        <is>
          <t>FY2026 ($K)</t>
        </is>
      </c>
      <c r="N118" s="29" t="inlineStr">
        <is>
          <t>% of Hull</t>
        </is>
      </c>
      <c r="P118" s="29" t="inlineStr">
        <is>
          <t>System</t>
        </is>
      </c>
      <c r="Q118" s="29" t="inlineStr">
        <is>
          <t>Cost Category</t>
        </is>
      </c>
      <c r="R118" s="29" t="inlineStr">
        <is>
          <t>FY2026 ($K)</t>
        </is>
      </c>
      <c r="S118" s="29" t="inlineStr">
        <is>
          <t>% of Hull</t>
        </is>
      </c>
    </row>
    <row r="119" ht="10" customHeight="1">
      <c r="A119" s="49" t="inlineStr">
        <is>
          <t>Electronics</t>
        </is>
      </c>
      <c r="C119" s="50">
        <f>SUM(C120:C151)</f>
        <v/>
      </c>
      <c r="D119" s="51">
        <f>IFERROR(C119/C$180,0)</f>
        <v/>
      </c>
      <c r="F119" s="49" t="inlineStr">
        <is>
          <t>Electronics</t>
        </is>
      </c>
      <c r="H119" s="50">
        <f>SUM(H120:H144)</f>
        <v/>
      </c>
      <c r="I119" s="51">
        <f>IFERROR(H119/H$180,0)</f>
        <v/>
      </c>
      <c r="K119" s="49" t="inlineStr">
        <is>
          <t>Electronics</t>
        </is>
      </c>
      <c r="M119" s="50">
        <f>SUM(M120:M126)</f>
        <v/>
      </c>
      <c r="N119" s="51">
        <f>IFERROR(M119/M$180,0)</f>
        <v/>
      </c>
      <c r="P119" s="49" t="inlineStr">
        <is>
          <t>Electronics</t>
        </is>
      </c>
      <c r="R119" s="50">
        <f>SUM(R120:R136)</f>
        <v/>
      </c>
      <c r="S119" s="51">
        <f>IFERROR(R119/R$180,0)</f>
        <v/>
      </c>
    </row>
    <row r="120" ht="10" customHeight="1">
      <c r="A120" s="52" t="inlineStr">
        <is>
          <t xml:space="preserve">  VERTICAL LAUNCHING SYSTEM (VLS) MK 57 4-CELL MODULES</t>
        </is>
      </c>
      <c r="B120" s="52" t="inlineStr">
        <is>
          <t>Electronics</t>
        </is>
      </c>
      <c r="C120" s="53">
        <f>SUMIFS(JB_26BV,JB_B,1,JB_EX,"P-8a",JB_CC,"Electronics",JB_H,"DDG",JB_CE,"VERTICAL LAUNCHING SYSTEM (VLS) MK 57 4-CELL MODULES",JB_RC,"ALT")</f>
        <v/>
      </c>
      <c r="D120" s="37">
        <f>IFERROR(C120/C$180,0)</f>
        <v/>
      </c>
      <c r="F120" s="52" t="inlineStr">
        <is>
          <t xml:space="preserve">  Command, Control, Communication, Computer Intelligence Surveillance and Reconnaissance (C4ISR)</t>
        </is>
      </c>
      <c r="G120" s="52" t="inlineStr">
        <is>
          <t>Electronics</t>
        </is>
      </c>
      <c r="H120" s="53">
        <f>SUMIFS(JB_26BV,JB_B,1,JB_EX,"P-8a",JB_CC,"Electronics",JB_H,"LHA",JB_CE,"Command, Control, Communication, Computer Intelligence Surveillance and Reconnaissance (C4ISR)",JB_RC,"ALT")</f>
        <v/>
      </c>
      <c r="I120" s="37">
        <f>IFERROR(H120/H$180,0)</f>
        <v/>
      </c>
      <c r="K120" s="52" t="inlineStr">
        <is>
          <t xml:space="preserve">  Enterprise Air Surveillance Radar (EASR)</t>
        </is>
      </c>
      <c r="L120" s="52" t="inlineStr">
        <is>
          <t>Electronics</t>
        </is>
      </c>
      <c r="M120" s="53">
        <f>SUMIFS(JB_26BV,JB_B,1,JB_EX,"P-8a",JB_CC,"Electronics",JB_H,"FFG",JB_CE,"Enterprise Air Surveillance Radar (EASR)",JB_RC,"ALT")</f>
        <v/>
      </c>
      <c r="N120" s="37">
        <f>IFERROR(M120/M$180,0)</f>
        <v/>
      </c>
      <c r="P120" s="52" t="inlineStr">
        <is>
          <t xml:space="preserve">  C4ISR</t>
        </is>
      </c>
      <c r="Q120" s="52" t="inlineStr">
        <is>
          <t>Electronics</t>
        </is>
      </c>
      <c r="R120" s="53">
        <f>SUMIFS(JB_26BV,JB_B,1,JB_EX,"P-8a",JB_CC,"Electronics",JB_H,"LPD",JB_CE,"C4ISR",JB_RC,"ALT")</f>
        <v/>
      </c>
      <c r="S120" s="37">
        <f>IFERROR(R120/R$180,0)</f>
        <v/>
      </c>
    </row>
    <row r="121" ht="10" customHeight="1">
      <c r="A121" s="52" t="inlineStr">
        <is>
          <t xml:space="preserve">  MULTI FUNCTION RADAR (MFR)</t>
        </is>
      </c>
      <c r="B121" s="52" t="inlineStr">
        <is>
          <t>Electronics</t>
        </is>
      </c>
      <c r="C121" s="53">
        <f>SUMIFS(JB_26BV,JB_B,1,JB_EX,"P-8a",JB_CC,"Electronics",JB_H,"DDG",JB_CE,"MULTI FUNCTION RADAR (MFR)",JB_RC,"ALT")</f>
        <v/>
      </c>
      <c r="D121" s="37">
        <f>IFERROR(C121/C$180,0)</f>
        <v/>
      </c>
      <c r="F121" s="52" t="inlineStr">
        <is>
          <t xml:space="preserve">  MK 2 MOD 4E Ship Self Defense System (SSDS)</t>
        </is>
      </c>
      <c r="G121" s="52" t="inlineStr">
        <is>
          <t>Electronics</t>
        </is>
      </c>
      <c r="H121" s="53">
        <f>SUMIFS(JB_26BV,JB_B,1,JB_EX,"P-8a",JB_CC,"Electronics",JB_H,"LHA",JB_CE,"MK 2 MOD 4E Ship Self Defense System (SSDS)",JB_RC,"ALT")</f>
        <v/>
      </c>
      <c r="I121" s="37">
        <f>IFERROR(H121/H$180,0)</f>
        <v/>
      </c>
      <c r="K121" s="52" t="inlineStr">
        <is>
          <t xml:space="preserve">  AEGIS Weapon System (AWS)</t>
        </is>
      </c>
      <c r="L121" s="52" t="inlineStr">
        <is>
          <t>Electronics</t>
        </is>
      </c>
      <c r="M121" s="53">
        <f>SUMIFS(JB_26BV,JB_B,1,JB_EX,"P-8a",JB_CC,"Electronics",JB_H,"FFG",JB_CE,"AEGIS Weapon System (AWS)",JB_RC,"ALT")</f>
        <v/>
      </c>
      <c r="N121" s="37">
        <f>IFERROR(M121/M$180,0)</f>
        <v/>
      </c>
      <c r="P121" s="52" t="inlineStr">
        <is>
          <t xml:space="preserve">  Mission Systems</t>
        </is>
      </c>
      <c r="Q121" s="52" t="inlineStr">
        <is>
          <t>Electronics</t>
        </is>
      </c>
      <c r="R121" s="53">
        <f>SUMIFS(JB_26BV,JB_B,1,JB_EX,"P-8a",JB_CC,"Electronics",JB_H,"LPD",JB_CE,"Mission Systems",JB_RC,"ALT")</f>
        <v/>
      </c>
      <c r="S121" s="37">
        <f>IFERROR(R121/R$180,0)</f>
        <v/>
      </c>
    </row>
    <row r="122" ht="10" customHeight="1">
      <c r="A122" s="52" t="inlineStr">
        <is>
          <t xml:space="preserve">  TOTAL SHIP COMPUTING ENVIRONMENT (TSCE)</t>
        </is>
      </c>
      <c r="B122" s="52" t="inlineStr">
        <is>
          <t>Electronics</t>
        </is>
      </c>
      <c r="C122" s="53">
        <f>SUMIFS(JB_26BV,JB_B,1,JB_EX,"P-8a",JB_CC,"Electronics",JB_H,"DDG",JB_CE,"TOTAL SHIP COMPUTING ENVIRONMENT (TSCE)",JB_RC,"ALT")</f>
        <v/>
      </c>
      <c r="D122" s="37">
        <f>IFERROR(C122/C$180,0)</f>
        <v/>
      </c>
      <c r="F122" s="52" t="inlineStr">
        <is>
          <t xml:space="preserve">  AN/SPN-50 (V)1</t>
        </is>
      </c>
      <c r="G122" s="52" t="inlineStr">
        <is>
          <t>Electronics</t>
        </is>
      </c>
      <c r="H122" s="53">
        <f>SUMIFS(JB_26BV,JB_B,1,JB_EX,"P-8a",JB_CC,"Electronics",JB_H,"LHA",JB_CE,"AN/SPN-50 (V)1",JB_RC,"ALT")</f>
        <v/>
      </c>
      <c r="I122" s="37">
        <f>IFERROR(H122/H$180,0)</f>
        <v/>
      </c>
      <c r="K122" s="52" t="inlineStr">
        <is>
          <t xml:space="preserve">  Anti-Submarine Warfare (ASW) Combat Suite</t>
        </is>
      </c>
      <c r="L122" s="52" t="inlineStr">
        <is>
          <t>Electronics</t>
        </is>
      </c>
      <c r="M122" s="53">
        <f>SUMIFS(JB_26BV,JB_B,1,JB_EX,"P-8a",JB_CC,"Electronics",JB_H,"FFG",JB_CE,"Anti-Submarine Warfare (ASW) Combat Suite",JB_RC,"ALT")</f>
        <v/>
      </c>
      <c r="N122" s="37">
        <f>IFERROR(M122/M$180,0)</f>
        <v/>
      </c>
      <c r="P122" s="52" t="inlineStr">
        <is>
          <t xml:space="preserve">  Miscellaneous Electronics</t>
        </is>
      </c>
      <c r="Q122" s="52" t="inlineStr">
        <is>
          <t>Electronics</t>
        </is>
      </c>
      <c r="R122" s="53">
        <f>SUMIFS(JB_26BV,JB_B,1,JB_EX,"P-8a",JB_CC,"Electronics",JB_H,"LPD",JB_CE,"Miscellaneous Electronics",JB_RC,"ALT")</f>
        <v/>
      </c>
      <c r="S122" s="37">
        <f>IFERROR(R122/R$180,0)</f>
        <v/>
      </c>
    </row>
    <row r="123" ht="10" customHeight="1">
      <c r="A123" s="52" t="inlineStr">
        <is>
          <t xml:space="preserve">  AN/SLQ-32 SEWIP V(7)</t>
        </is>
      </c>
      <c r="B123" s="52" t="inlineStr">
        <is>
          <t>Electronics</t>
        </is>
      </c>
      <c r="C123" s="53">
        <f>SUMIFS(JB_26BV,JB_B,1,JB_EX,"P-8a",JB_CC,"Electronics",JB_H,"DDG",JB_CE,"AN/SLQ-32 SEWIP V(7)",JB_RC,"ALT")</f>
        <v/>
      </c>
      <c r="D123" s="37">
        <f>IFERROR(C123/C$180,0)</f>
        <v/>
      </c>
      <c r="F123" s="52" t="inlineStr">
        <is>
          <t xml:space="preserve">  AN/SLQ-32(V), Surface Warfare Improvement Program (SEWIP)</t>
        </is>
      </c>
      <c r="G123" s="52" t="inlineStr">
        <is>
          <t>Electronics</t>
        </is>
      </c>
      <c r="H123" s="53">
        <f>SUMIFS(JB_26BV,JB_B,1,JB_EX,"P-8a",JB_CC,"Electronics",JB_H,"LHA",JB_CE,"AN/SLQ-32(V), Surface Warfare Improvement Program (SEWIP)",JB_RC,"ALT")</f>
        <v/>
      </c>
      <c r="I123" s="37">
        <f>IFERROR(H123/H$180,0)</f>
        <v/>
      </c>
      <c r="K123" s="52" t="inlineStr">
        <is>
          <t xml:space="preserve">  Tactical COMINT System- Spectral</t>
        </is>
      </c>
      <c r="L123" s="52" t="inlineStr">
        <is>
          <t>Electronics</t>
        </is>
      </c>
      <c r="M123" s="53">
        <f>SUMIFS(JB_26BV,JB_B,1,JB_EX,"P-8a",JB_CC,"Electronics",JB_H,"FFG",JB_CE,"Tactical COMINT System- Spectral",JB_RC,"ALT")</f>
        <v/>
      </c>
      <c r="N123" s="37">
        <f>IFERROR(M123/M$180,0)</f>
        <v/>
      </c>
      <c r="P123" s="52" t="inlineStr">
        <is>
          <t xml:space="preserve">  Ship Self Defense System (SSDS)</t>
        </is>
      </c>
      <c r="Q123" s="52" t="inlineStr">
        <is>
          <t>Electronics</t>
        </is>
      </c>
      <c r="R123" s="53">
        <f>SUMIFS(JB_26BV,JB_B,1,JB_EX,"P-8a",JB_CC,"Electronics",JB_H,"LPD",JB_CE,"Ship Self Defense System (SSDS)",JB_RC,"ALT")</f>
        <v/>
      </c>
      <c r="S123" s="37">
        <f>IFERROR(R123/R$180,0)</f>
        <v/>
      </c>
    </row>
    <row r="124" ht="10" customHeight="1">
      <c r="A124" s="52" t="inlineStr">
        <is>
          <t xml:space="preserve">  EXCOMM</t>
        </is>
      </c>
      <c r="B124" s="52" t="inlineStr">
        <is>
          <t>Electronics</t>
        </is>
      </c>
      <c r="C124" s="53">
        <f>SUMIFS(JB_26BV,JB_B,1,JB_EX,"P-8a",JB_CC,"Electronics",JB_H,"DDG",JB_CE,"EXCOMM",JB_RC,"ALT")</f>
        <v/>
      </c>
      <c r="D124" s="37">
        <f>IFERROR(C124/C$180,0)</f>
        <v/>
      </c>
      <c r="F124" s="52" t="inlineStr">
        <is>
          <t xml:space="preserve">  Miscellaneous Electronics</t>
        </is>
      </c>
      <c r="G124" s="52" t="inlineStr">
        <is>
          <t>Electronics</t>
        </is>
      </c>
      <c r="H124" s="53">
        <f>SUMIFS(JB_26BV,JB_B,1,JB_EX,"P-8a",JB_CC,"Electronics",JB_H,"LHA",JB_CE,"Miscellaneous Electronics",JB_RC,"ALT")</f>
        <v/>
      </c>
      <c r="I124" s="37">
        <f>IFERROR(H124/H$180,0)</f>
        <v/>
      </c>
      <c r="K124" s="52" t="inlineStr">
        <is>
          <t xml:space="preserve">  External Communication Suite (EXCOMM)</t>
        </is>
      </c>
      <c r="L124" s="52" t="inlineStr">
        <is>
          <t>Electronics</t>
        </is>
      </c>
      <c r="M124" s="53">
        <f>SUMIFS(JB_26BV,JB_B,1,JB_EX,"P-8a",JB_CC,"Electronics",JB_H,"FFG",JB_CE,"External Communication Suite (EXCOMM)",JB_RC,"ALT")</f>
        <v/>
      </c>
      <c r="N124" s="37">
        <f>IFERROR(M124/M$180,0)</f>
        <v/>
      </c>
      <c r="P124" s="52" t="inlineStr">
        <is>
          <t xml:space="preserve">  AN/SLQ-32(V)6 Surface Electronic Warfare Improvement Program (SEWIP)</t>
        </is>
      </c>
      <c r="Q124" s="52" t="inlineStr">
        <is>
          <t>Electronics</t>
        </is>
      </c>
      <c r="R124" s="53">
        <f>SUMIFS(JB_26BV,JB_B,1,JB_EX,"P-8a",JB_CC,"Electronics",JB_H,"LPD",JB_CE,"AN/SLQ-32(V)6 Surface Electronic Warfare Improvement Program (SEWIP)",JB_RC,"ALT")</f>
        <v/>
      </c>
      <c r="S124" s="37">
        <f>IFERROR(R124/R$180,0)</f>
        <v/>
      </c>
    </row>
    <row r="125" ht="10" customHeight="1">
      <c r="A125" s="52" t="inlineStr">
        <is>
          <t xml:space="preserve">  SQQ 89 ASW</t>
        </is>
      </c>
      <c r="B125" s="52" t="inlineStr">
        <is>
          <t>Electronics</t>
        </is>
      </c>
      <c r="C125" s="53">
        <f>SUMIFS(JB_26BV,JB_B,1,JB_EX,"P-8a",JB_CC,"Electronics",JB_H,"DDG",JB_CE,"SQQ 89 ASW",JB_RC,"ALT")</f>
        <v/>
      </c>
      <c r="D125" s="37">
        <f>IFERROR(C125/C$180,0)</f>
        <v/>
      </c>
      <c r="F125" s="52" t="inlineStr">
        <is>
          <t xml:space="preserve">  Integrated Voice Network (IVN)</t>
        </is>
      </c>
      <c r="G125" s="52" t="inlineStr">
        <is>
          <t>Electronics</t>
        </is>
      </c>
      <c r="H125" s="53">
        <f>SUMIFS(JB_26BV,JB_B,1,JB_EX,"P-8a",JB_CC,"Electronics",JB_H,"LHA",JB_CE,"Integrated Voice Network (IVN)",JB_RC,"ALT")</f>
        <v/>
      </c>
      <c r="I125" s="37">
        <f>IFERROR(H125/H$180,0)</f>
        <v/>
      </c>
      <c r="K125" s="52" t="inlineStr">
        <is>
          <t xml:space="preserve">  Cooperative Engagement Capability (CEC)</t>
        </is>
      </c>
      <c r="L125" s="52" t="inlineStr">
        <is>
          <t>Electronics</t>
        </is>
      </c>
      <c r="M125" s="53">
        <f>SUMIFS(JB_26BV,JB_B,1,JB_EX,"P-8a",JB_CC,"Electronics",JB_H,"FFG",JB_CE,"Cooperative Engagement Capability (CEC)",JB_RC,"ALT")</f>
        <v/>
      </c>
      <c r="N125" s="37">
        <f>IFERROR(M125/M$180,0)</f>
        <v/>
      </c>
      <c r="P125" s="52" t="inlineStr">
        <is>
          <t xml:space="preserve">  Cooperative Engagement Capability (CEC)</t>
        </is>
      </c>
      <c r="Q125" s="52" t="inlineStr">
        <is>
          <t>Electronics</t>
        </is>
      </c>
      <c r="R125" s="53">
        <f>SUMIFS(JB_26BV,JB_B,1,JB_EX,"P-8a",JB_CC,"Electronics",JB_H,"LPD",JB_CE,"Cooperative Engagement Capability (CEC)",JB_RC,"ALT")</f>
        <v/>
      </c>
      <c r="S125" s="37">
        <f>IFERROR(R125/R$180,0)</f>
        <v/>
      </c>
    </row>
    <row r="126" ht="10" customHeight="1">
      <c r="A126" s="52" t="inlineStr">
        <is>
          <t xml:space="preserve">  MISSION SYSTEM ENGR INTEGR &amp; TEST (MSEIT)</t>
        </is>
      </c>
      <c r="B126" s="52" t="inlineStr">
        <is>
          <t>Electronics</t>
        </is>
      </c>
      <c r="C126" s="53">
        <f>SUMIFS(JB_26BV,JB_B,1,JB_EX,"P-8a",JB_CC,"Electronics",JB_H,"DDG",JB_CE,"MISSION SYSTEM ENGR INTEGR &amp; TEST (MSEIT)",JB_RC,"ALT")</f>
        <v/>
      </c>
      <c r="D126" s="37">
        <f>IFERROR(C126/C$180,0)</f>
        <v/>
      </c>
      <c r="F126" s="52" t="inlineStr">
        <is>
          <t xml:space="preserve">  AN/UPX-29(V), Identification Friend or Foe (IFF) MK12</t>
        </is>
      </c>
      <c r="G126" s="52" t="inlineStr">
        <is>
          <t>Electronics</t>
        </is>
      </c>
      <c r="H126" s="53">
        <f>SUMIFS(JB_26BV,JB_B,1,JB_EX,"P-8a",JB_CC,"Electronics",JB_H,"LHA",JB_CE,"AN/UPX-29(V), Identification Friend or Foe (IFF) MK12",JB_RC,"ALT")</f>
        <v/>
      </c>
      <c r="I126" s="37">
        <f>IFERROR(H126/H$180,0)</f>
        <v/>
      </c>
      <c r="K126" s="52" t="inlineStr">
        <is>
          <t xml:space="preserve">  Identification Friend or Foe (IFF) UPX-29</t>
        </is>
      </c>
      <c r="L126" s="52" t="inlineStr">
        <is>
          <t>Electronics</t>
        </is>
      </c>
      <c r="M126" s="53">
        <f>SUMIFS(JB_26BV,JB_B,1,JB_EX,"P-8a",JB_CC,"Electronics",JB_H,"FFG",JB_CE,"Identification Friend or Foe (IFF) UPX-29",JB_RC,"ALT")</f>
        <v/>
      </c>
      <c r="N126" s="37">
        <f>IFERROR(M126/M$180,0)</f>
        <v/>
      </c>
      <c r="P126" s="52" t="inlineStr">
        <is>
          <t xml:space="preserve">  Interrogator System IFF (Identification Friend or Foe)</t>
        </is>
      </c>
      <c r="Q126" s="52" t="inlineStr">
        <is>
          <t>Electronics</t>
        </is>
      </c>
      <c r="R126" s="53">
        <f>SUMIFS(JB_26BV,JB_B,1,JB_EX,"P-8a",JB_CC,"Electronics",JB_H,"LPD",JB_CE,"Interrogator System IFF (Identification Friend or Foe)",JB_RC,"ALT")</f>
        <v/>
      </c>
      <c r="S126" s="37">
        <f>IFERROR(R126/R$180,0)</f>
        <v/>
      </c>
    </row>
    <row r="127" ht="10" customHeight="1">
      <c r="A127" s="52" t="inlineStr">
        <is>
          <t xml:space="preserve">  MISSION SYSTEM ACTIVATION</t>
        </is>
      </c>
      <c r="B127" s="52" t="inlineStr">
        <is>
          <t>Electronics</t>
        </is>
      </c>
      <c r="C127" s="53">
        <f>SUMIFS(JB_26BV,JB_B,1,JB_EX,"P-8a",JB_CC,"Electronics",JB_H,"DDG",JB_CE,"MISSION SYSTEM ACTIVATION",JB_RC,"ALT")</f>
        <v/>
      </c>
      <c r="D127" s="37">
        <f>IFERROR(C127/C$180,0)</f>
        <v/>
      </c>
      <c r="F127" s="52" t="inlineStr">
        <is>
          <t xml:space="preserve">  AN/USG-2, Cooperative Engagement Transmission Processing Set (CETPS)</t>
        </is>
      </c>
      <c r="G127" s="52" t="inlineStr">
        <is>
          <t>Electronics</t>
        </is>
      </c>
      <c r="H127" s="53">
        <f>SUMIFS(JB_26BV,JB_B,1,JB_EX,"P-8a",JB_CC,"Electronics",JB_H,"LHA",JB_CE,"AN/USG-2, Cooperative Engagement Transmission Processing Set (CETPS)",JB_RC,"ALT")</f>
        <v/>
      </c>
      <c r="I127" s="37">
        <f>IFERROR(H127/H$180,0)</f>
        <v/>
      </c>
      <c r="K127" s="49" t="inlineStr">
        <is>
          <t>Hull, Mechanical, and Electrical</t>
        </is>
      </c>
      <c r="M127" s="50">
        <f>SUM(M128:M134)</f>
        <v/>
      </c>
      <c r="N127" s="51">
        <f>IFERROR(M127/M$180,0)</f>
        <v/>
      </c>
      <c r="P127" s="52" t="inlineStr">
        <is>
          <t xml:space="preserve">  IWS CSI</t>
        </is>
      </c>
      <c r="Q127" s="52" t="inlineStr">
        <is>
          <t>Electronics</t>
        </is>
      </c>
      <c r="R127" s="53">
        <f>SUMIFS(JB_26BV,JB_B,1,JB_EX,"P-8a",JB_CC,"Electronics",JB_H,"LPD",JB_CE,"IWS CSI",JB_RC,"ALT")</f>
        <v/>
      </c>
      <c r="S127" s="37">
        <f>IFERROR(R127/R$180,0)</f>
        <v/>
      </c>
    </row>
    <row r="128" ht="10" customHeight="1">
      <c r="A128" s="52" t="inlineStr">
        <is>
          <t xml:space="preserve">  SHIP CONTROL SYSTEM (SCS)</t>
        </is>
      </c>
      <c r="B128" s="52" t="inlineStr">
        <is>
          <t>Electronics</t>
        </is>
      </c>
      <c r="C128" s="53">
        <f>SUMIFS(JB_26BV,JB_B,1,JB_EX,"P-8a",JB_CC,"Electronics",JB_H,"DDG",JB_CE,"SHIP CONTROL SYSTEM (SCS)",JB_RC,"ALT")</f>
        <v/>
      </c>
      <c r="D128" s="37">
        <f>IFERROR(C128/C$180,0)</f>
        <v/>
      </c>
      <c r="F128" s="52" t="inlineStr">
        <is>
          <t xml:space="preserve">  Joint Precision Approach and Landing System (JPALS) (AN/USN-3(V)1, SSLS)</t>
        </is>
      </c>
      <c r="G128" s="52" t="inlineStr">
        <is>
          <t>Electronics</t>
        </is>
      </c>
      <c r="H128" s="53">
        <f>SUMIFS(JB_26BV,JB_B,1,JB_EX,"P-8a",JB_CC,"Electronics",JB_H,"LHA",JB_CE,"Joint Precision Approach and Landing System (JPALS) (AN/USN-3(V)1, SSLS)",JB_RC,"ALT")</f>
        <v/>
      </c>
      <c r="I128" s="37">
        <f>IFERROR(H128/H$180,0)</f>
        <v/>
      </c>
      <c r="K128" s="52" t="inlineStr">
        <is>
          <t xml:space="preserve">  Aircraft Ship Integrated Securing and Traversing System (ASIST)</t>
        </is>
      </c>
      <c r="L128" s="52" t="inlineStr">
        <is>
          <t>Hull, Mechanical, and Electrical</t>
        </is>
      </c>
      <c r="M128" s="53">
        <f>SUMIFS(JB_26BV,JB_B,1,JB_EX,"P-8a",JB_CC,"Hull, Mechanical, and Electrical",JB_H,"FFG",JB_CE,"Aircraft Ship Integrated Securing and Traversing System (ASIST)",JB_RC,"ALT")</f>
        <v/>
      </c>
      <c r="N128" s="37">
        <f>IFERROR(M128/M$180,0)</f>
        <v/>
      </c>
      <c r="P128" s="52" t="inlineStr">
        <is>
          <t xml:space="preserve">  AN/WSN-7(RLGN)</t>
        </is>
      </c>
      <c r="Q128" s="52" t="inlineStr">
        <is>
          <t>Electronics</t>
        </is>
      </c>
      <c r="R128" s="53">
        <f>SUMIFS(JB_26BV,JB_B,1,JB_EX,"P-8a",JB_CC,"Electronics",JB_H,"LPD",JB_CE,"AN/WSN-7(RLGN)",JB_RC,"ALT")</f>
        <v/>
      </c>
      <c r="S128" s="37">
        <f>IFERROR(R128/R$180,0)</f>
        <v/>
      </c>
    </row>
    <row r="129" ht="10" customHeight="1">
      <c r="A129" s="52" t="inlineStr">
        <is>
          <t xml:space="preserve">  INTEGRATED UNDERSEA WARFARE (IUSW) SYSTEM</t>
        </is>
      </c>
      <c r="B129" s="52" t="inlineStr">
        <is>
          <t>Electronics</t>
        </is>
      </c>
      <c r="C129" s="53">
        <f>SUMIFS(JB_26BV,JB_B,1,JB_EX,"P-8a",JB_CC,"Electronics",JB_H,"DDG",JB_CE,"INTEGRATED UNDERSEA WARFARE (IUSW) SYSTEM",JB_RC,"ALT")</f>
        <v/>
      </c>
      <c r="D129" s="37">
        <f>IFERROR(C129/C$180,0)</f>
        <v/>
      </c>
      <c r="F129" s="52" t="inlineStr">
        <is>
          <t xml:space="preserve">  USQ-82, Gigabit Ethernet Data Multiplex System (GEDMS)</t>
        </is>
      </c>
      <c r="G129" s="52" t="inlineStr">
        <is>
          <t>Electronics</t>
        </is>
      </c>
      <c r="H129" s="53">
        <f>SUMIFS(JB_26BV,JB_B,1,JB_EX,"P-8a",JB_CC,"Electronics",JB_H,"LHA",JB_CE,"USQ-82, Gigabit Ethernet Data Multiplex System (GEDMS)",JB_RC,"ALT")</f>
        <v/>
      </c>
      <c r="I129" s="37">
        <f>IFERROR(H129/H$180,0)</f>
        <v/>
      </c>
      <c r="K129" s="52" t="inlineStr">
        <is>
          <t xml:space="preserve">  Other HM&amp;E</t>
        </is>
      </c>
      <c r="L129" s="52" t="inlineStr">
        <is>
          <t>Hull, Mechanical, and Electrical</t>
        </is>
      </c>
      <c r="M129" s="53">
        <f>SUMIFS(JB_26BV,JB_B,1,JB_EX,"P-8a",JB_CC,"Hull, Mechanical, and Electrical",JB_H,"FFG",JB_CE,"Other HM&amp;E",JB_RC,"ALT")</f>
        <v/>
      </c>
      <c r="N129" s="37">
        <f>IFERROR(M129/M$180,0)</f>
        <v/>
      </c>
      <c r="P129" s="52" t="inlineStr">
        <is>
          <t xml:space="preserve">  HM&amp;E Condition System (HMECS)</t>
        </is>
      </c>
      <c r="Q129" s="52" t="inlineStr">
        <is>
          <t>Electronics</t>
        </is>
      </c>
      <c r="R129" s="53">
        <f>SUMIFS(JB_26BV,JB_B,1,JB_EX,"P-8a",JB_CC,"Electronics",JB_H,"LPD",JB_CE,"HM&amp;E Condition System (HMECS)",JB_RC,"ALT")</f>
        <v/>
      </c>
      <c r="S129" s="37">
        <f>IFERROR(R129/R$180,0)</f>
        <v/>
      </c>
    </row>
    <row r="130" ht="10" customHeight="1">
      <c r="A130" s="52" t="inlineStr">
        <is>
          <t xml:space="preserve">  MISC. ELECTRONICS</t>
        </is>
      </c>
      <c r="B130" s="52" t="inlineStr">
        <is>
          <t>Electronics</t>
        </is>
      </c>
      <c r="C130" s="53">
        <f>SUMIFS(JB_26BV,JB_B,1,JB_EX,"P-8a",JB_CC,"Electronics",JB_H,"DDG",JB_CE,"MISC. ELECTRONICS",JB_RC,"ALT")</f>
        <v/>
      </c>
      <c r="D130" s="37">
        <f>IFERROR(C130/C$180,0)</f>
        <v/>
      </c>
      <c r="F130" s="52" t="inlineStr">
        <is>
          <t xml:space="preserve">  Aircraft Control Approach Central AN/SPN-35C</t>
        </is>
      </c>
      <c r="G130" s="52" t="inlineStr">
        <is>
          <t>Electronics</t>
        </is>
      </c>
      <c r="H130" s="53">
        <f>SUMIFS(JB_26BV,JB_B,1,JB_EX,"P-8a",JB_CC,"Electronics",JB_H,"LHA",JB_CE,"Aircraft Control Approach Central AN/SPN-35C",JB_RC,"ALT")</f>
        <v/>
      </c>
      <c r="I130" s="37">
        <f>IFERROR(H130/H$180,0)</f>
        <v/>
      </c>
      <c r="K130" s="52" t="inlineStr">
        <is>
          <t xml:space="preserve">  Internal Communication (IC) Voice</t>
        </is>
      </c>
      <c r="L130" s="52" t="inlineStr">
        <is>
          <t>Hull, Mechanical, and Electrical</t>
        </is>
      </c>
      <c r="M130" s="53">
        <f>SUMIFS(JB_26BV,JB_B,1,JB_EX,"P-8a",JB_CC,"Hull, Mechanical, and Electrical",JB_H,"FFG",JB_CE,"Internal Communication (IC) Voice",JB_RC,"ALT")</f>
        <v/>
      </c>
      <c r="N130" s="37">
        <f>IFERROR(M130/M$180,0)</f>
        <v/>
      </c>
      <c r="P130" s="52" t="inlineStr">
        <is>
          <t xml:space="preserve">  Electronic Charting Display and Information Systems-Navy (ECDIS-N)</t>
        </is>
      </c>
      <c r="Q130" s="52" t="inlineStr">
        <is>
          <t>Electronics</t>
        </is>
      </c>
      <c r="R130" s="53">
        <f>SUMIFS(JB_26BV,JB_B,1,JB_EX,"P-8a",JB_CC,"Electronics",JB_H,"LPD",JB_CE,"Electronic Charting Display and Information Systems-Navy (ECDIS-N)",JB_RC,"ALT")</f>
        <v/>
      </c>
      <c r="S130" s="37">
        <f>IFERROR(R130/R$180,0)</f>
        <v/>
      </c>
    </row>
    <row r="131" ht="10" customHeight="1">
      <c r="A131" s="52" t="inlineStr">
        <is>
          <t xml:space="preserve">  EXTERIOR COMMUNICATIONS (EXCOMMS)</t>
        </is>
      </c>
      <c r="B131" s="52" t="inlineStr">
        <is>
          <t>Electronics</t>
        </is>
      </c>
      <c r="C131" s="53">
        <f>SUMIFS(JB_26BV,JB_B,1,JB_EX,"P-8a",JB_CC,"Electronics",JB_H,"DDG",JB_CE,"EXTERIOR COMMUNICATIONS (EXCOMMS)",JB_RC,"ALT")</f>
        <v/>
      </c>
      <c r="D131" s="37">
        <f>IFERROR(C131/C$180,0)</f>
        <v/>
      </c>
      <c r="F131" s="52" t="inlineStr">
        <is>
          <t xml:space="preserve">  Hierarchical Yet Dynamically Reprogrammable Architecture (HYDRA) AN/SRC-55</t>
        </is>
      </c>
      <c r="G131" s="52" t="inlineStr">
        <is>
          <t>Electronics</t>
        </is>
      </c>
      <c r="H131" s="53">
        <f>SUMIFS(JB_26BV,JB_B,1,JB_EX,"P-8a",JB_CC,"Electronics",JB_H,"LHA",JB_CE,"Hierarchical Yet Dynamically Reprogrammable Architecture (HYDRA) AN/SRC-55",JB_RC,"ALT")</f>
        <v/>
      </c>
      <c r="I131" s="37">
        <f>IFERROR(H131/H$180,0)</f>
        <v/>
      </c>
      <c r="K131" s="52" t="inlineStr">
        <is>
          <t xml:space="preserve">  Interior Wireless Communication System (IWCS)</t>
        </is>
      </c>
      <c r="L131" s="52" t="inlineStr">
        <is>
          <t>Hull, Mechanical, and Electrical</t>
        </is>
      </c>
      <c r="M131" s="53">
        <f>SUMIFS(JB_26BV,JB_B,1,JB_EX,"P-8a",JB_CC,"Hull, Mechanical, and Electrical",JB_H,"FFG",JB_CE,"Interior Wireless Communication System (IWCS)",JB_RC,"ALT")</f>
        <v/>
      </c>
      <c r="N131" s="37">
        <f>IFERROR(M131/M$180,0)</f>
        <v/>
      </c>
      <c r="P131" s="52" t="inlineStr">
        <is>
          <t xml:space="preserve">  Nulka Decoy Launching System (DLS)</t>
        </is>
      </c>
      <c r="Q131" s="52" t="inlineStr">
        <is>
          <t>Electronics</t>
        </is>
      </c>
      <c r="R131" s="53">
        <f>SUMIFS(JB_26BV,JB_B,1,JB_EX,"P-8a",JB_CC,"Electronics",JB_H,"LPD",JB_CE,"Nulka Decoy Launching System (DLS)",JB_RC,"ALT")</f>
        <v/>
      </c>
      <c r="S131" s="37">
        <f>IFERROR(R131/R$180,0)</f>
        <v/>
      </c>
    </row>
    <row r="132" ht="10" customHeight="1">
      <c r="A132" s="52" t="inlineStr">
        <is>
          <t xml:space="preserve">  SPECTRAL</t>
        </is>
      </c>
      <c r="B132" s="52" t="inlineStr">
        <is>
          <t>Electronics</t>
        </is>
      </c>
      <c r="C132" s="53">
        <f>SUMIFS(JB_26BV,JB_B,1,JB_EX,"P-8a",JB_CC,"Electronics",JB_H,"DDG",JB_CE,"SPECTRAL",JB_RC,"ALT")</f>
        <v/>
      </c>
      <c r="D132" s="37">
        <f>IFERROR(C132/C$180,0)</f>
        <v/>
      </c>
      <c r="F132" s="52" t="inlineStr">
        <is>
          <t xml:space="preserve">  AN/SLQ-25C, Torpedo Countermeasures Transmitting Set (NIXIE)</t>
        </is>
      </c>
      <c r="G132" s="52" t="inlineStr">
        <is>
          <t>Electronics</t>
        </is>
      </c>
      <c r="H132" s="53">
        <f>SUMIFS(JB_26BV,JB_B,1,JB_EX,"P-8a",JB_CC,"Electronics",JB_H,"LHA",JB_CE,"AN/SLQ-25C, Torpedo Countermeasures Transmitting Set (NIXIE)",JB_RC,"ALT")</f>
        <v/>
      </c>
      <c r="I132" s="37">
        <f>IFERROR(H132/H$180,0)</f>
        <v/>
      </c>
      <c r="K132" s="52" t="inlineStr">
        <is>
          <t xml:space="preserve">  Unclassified Video System (UVS)</t>
        </is>
      </c>
      <c r="L132" s="52" t="inlineStr">
        <is>
          <t>Hull, Mechanical, and Electrical</t>
        </is>
      </c>
      <c r="M132" s="53">
        <f>SUMIFS(JB_26BV,JB_B,1,JB_EX,"P-8a",JB_CC,"Hull, Mechanical, and Electrical",JB_H,"FFG",JB_CE,"Unclassified Video System (UVS)",JB_RC,"ALT")</f>
        <v/>
      </c>
      <c r="N132" s="37">
        <f>IFERROR(M132/M$180,0)</f>
        <v/>
      </c>
      <c r="P132" s="52" t="inlineStr">
        <is>
          <t xml:space="preserve">  Advanced Training Domain (ATD)</t>
        </is>
      </c>
      <c r="Q132" s="52" t="inlineStr">
        <is>
          <t>Electronics</t>
        </is>
      </c>
      <c r="R132" s="53">
        <f>SUMIFS(JB_26BV,JB_B,1,JB_EX,"P-8a",JB_CC,"Electronics",JB_H,"LPD",JB_CE,"Advanced Training Domain (ATD)",JB_RC,"ALT")</f>
        <v/>
      </c>
      <c r="S132" s="37">
        <f>IFERROR(R132/R$180,0)</f>
        <v/>
      </c>
    </row>
    <row r="133" ht="10" customHeight="1">
      <c r="A133" s="52" t="inlineStr">
        <is>
          <t xml:space="preserve">  DDG 1002 TSCE MODERNIZATION</t>
        </is>
      </c>
      <c r="B133" s="52" t="inlineStr">
        <is>
          <t>Electronics</t>
        </is>
      </c>
      <c r="C133" s="53">
        <f>SUMIFS(JB_26BV,JB_B,1,JB_EX,"P-8a",JB_CC,"Electronics",JB_H,"DDG",JB_CE,"DDG 1002 TSCE MODERNIZATION",JB_RC,"ALT")</f>
        <v/>
      </c>
      <c r="D133" s="37">
        <f>IFERROR(C133/C$180,0)</f>
        <v/>
      </c>
      <c r="F133" s="52" t="inlineStr">
        <is>
          <t xml:space="preserve">  Ring Laser Gyro Navigator (RLGN) AN/WSN-7</t>
        </is>
      </c>
      <c r="G133" s="52" t="inlineStr">
        <is>
          <t>Electronics</t>
        </is>
      </c>
      <c r="H133" s="53">
        <f>SUMIFS(JB_26BV,JB_B,1,JB_EX,"P-8a",JB_CC,"Electronics",JB_H,"LHA",JB_CE,"Ring Laser Gyro Navigator (RLGN) AN/WSN-7",JB_RC,"ALT")</f>
        <v/>
      </c>
      <c r="I133" s="37">
        <f>IFERROR(H133/H$180,0)</f>
        <v/>
      </c>
      <c r="K133" s="52" t="inlineStr">
        <is>
          <t xml:space="preserve">  Ship Control System-Government (SCS GOV)</t>
        </is>
      </c>
      <c r="L133" s="52" t="inlineStr">
        <is>
          <t>Hull, Mechanical, and Electrical</t>
        </is>
      </c>
      <c r="M133" s="53">
        <f>SUMIFS(JB_26BV,JB_B,1,JB_EX,"P-8a",JB_CC,"Hull, Mechanical, and Electrical",JB_H,"FFG",JB_CE,"Ship Control System-Government (SCS GOV)",JB_RC,"ALT")</f>
        <v/>
      </c>
      <c r="N133" s="37">
        <f>IFERROR(M133/M$180,0)</f>
        <v/>
      </c>
      <c r="P133" s="52" t="inlineStr">
        <is>
          <t xml:space="preserve">  Amphibious Assault Direction System (AADS)</t>
        </is>
      </c>
      <c r="Q133" s="52" t="inlineStr">
        <is>
          <t>Electronics</t>
        </is>
      </c>
      <c r="R133" s="53">
        <f>SUMIFS(JB_26BV,JB_B,1,JB_EX,"P-8a",JB_CC,"Electronics",JB_H,"LPD",JB_CE,"Amphibious Assault Direction System (AADS)",JB_RC,"ALT")</f>
        <v/>
      </c>
      <c r="S133" s="37">
        <f>IFERROR(R133/R$180,0)</f>
        <v/>
      </c>
    </row>
    <row r="134" ht="10" customHeight="1">
      <c r="A134" s="52" t="inlineStr">
        <is>
          <t xml:space="preserve">  USQ 82(V) GEDMS</t>
        </is>
      </c>
      <c r="B134" s="52" t="inlineStr">
        <is>
          <t>Electronics</t>
        </is>
      </c>
      <c r="C134" s="53">
        <f>SUMIFS(JB_26BV,JB_B,1,JB_EX,"P-8a",JB_CC,"Electronics",JB_H,"DDG",JB_CE,"USQ 82(V) GEDMS",JB_RC,"ALT")</f>
        <v/>
      </c>
      <c r="D134" s="37">
        <f>IFERROR(C134/C$180,0)</f>
        <v/>
      </c>
      <c r="F134" s="52" t="inlineStr">
        <is>
          <t xml:space="preserve">  Amphibious Air Traffic Control Direct Altitude and Identity Readout (AATC-DAIR)</t>
        </is>
      </c>
      <c r="G134" s="52" t="inlineStr">
        <is>
          <t>Electronics</t>
        </is>
      </c>
      <c r="H134" s="53">
        <f>SUMIFS(JB_26BV,JB_B,1,JB_EX,"P-8a",JB_CC,"Electronics",JB_H,"LHA",JB_CE,"Amphibious Air Traffic Control Direct Altitude and Identity Readout (AATC-DAIR)",JB_RC,"ALT")</f>
        <v/>
      </c>
      <c r="I134" s="37">
        <f>IFERROR(H134/H$180,0)</f>
        <v/>
      </c>
      <c r="K134" s="52" t="inlineStr">
        <is>
          <t xml:space="preserve">  Advanced Flight Deck Lighting System (AFDLS)</t>
        </is>
      </c>
      <c r="L134" s="52" t="inlineStr">
        <is>
          <t>Hull, Mechanical, and Electrical</t>
        </is>
      </c>
      <c r="M134" s="53">
        <f>SUMIFS(JB_26BV,JB_B,1,JB_EX,"P-8a",JB_CC,"Hull, Mechanical, and Electrical",JB_H,"FFG",JB_CE,"Advanced Flight Deck Lighting System (AFDLS)",JB_RC,"ALT")</f>
        <v/>
      </c>
      <c r="N134" s="37">
        <f>IFERROR(M134/M$180,0)</f>
        <v/>
      </c>
      <c r="P134" s="52" t="inlineStr">
        <is>
          <t xml:space="preserve">  DHYSL</t>
        </is>
      </c>
      <c r="Q134" s="52" t="inlineStr">
        <is>
          <t>Electronics</t>
        </is>
      </c>
      <c r="R134" s="53">
        <f>SUMIFS(JB_26BV,JB_B,1,JB_EX,"P-8a",JB_CC,"Electronics",JB_H,"LPD",JB_CE,"DHYSL",JB_RC,"ALT")</f>
        <v/>
      </c>
      <c r="S134" s="37">
        <f>IFERROR(R134/R$180,0)</f>
        <v/>
      </c>
    </row>
    <row r="135" ht="10" customHeight="1">
      <c r="A135" s="52" t="inlineStr">
        <is>
          <t xml:space="preserve">  ELECTRO-OPTICAL / INFRARED (EO/IR)</t>
        </is>
      </c>
      <c r="B135" s="52" t="inlineStr">
        <is>
          <t>Electronics</t>
        </is>
      </c>
      <c r="C135" s="53">
        <f>SUMIFS(JB_26BV,JB_B,1,JB_EX,"P-8a",JB_CC,"Electronics",JB_H,"DDG",JB_CE,"ELECTRO-OPTICAL / INFRARED (EO/IR)",JB_RC,"ALT")</f>
        <v/>
      </c>
      <c r="D135" s="37">
        <f>IFERROR(C135/C$180,0)</f>
        <v/>
      </c>
      <c r="F135" s="52" t="inlineStr">
        <is>
          <t xml:space="preserve">  Aircraft Approach Control Transmitting Set (AACTS) AN/SPN-41B</t>
        </is>
      </c>
      <c r="G135" s="52" t="inlineStr">
        <is>
          <t>Electronics</t>
        </is>
      </c>
      <c r="H135" s="53">
        <f>SUMIFS(JB_26BV,JB_B,1,JB_EX,"P-8a",JB_CC,"Electronics",JB_H,"LHA",JB_CE,"Aircraft Approach Control Transmitting Set (AACTS) AN/SPN-41B",JB_RC,"ALT")</f>
        <v/>
      </c>
      <c r="I135" s="37">
        <f>IFERROR(H135/H$180,0)</f>
        <v/>
      </c>
      <c r="K135" s="49" t="inlineStr">
        <is>
          <t>Ordnance</t>
        </is>
      </c>
      <c r="M135" s="50">
        <f>SUM(M136:M139)</f>
        <v/>
      </c>
      <c r="N135" s="51">
        <f>IFERROR(M135/M$180,0)</f>
        <v/>
      </c>
      <c r="P135" s="52" t="inlineStr">
        <is>
          <t xml:space="preserve">  AN/UQN-10</t>
        </is>
      </c>
      <c r="Q135" s="52" t="inlineStr">
        <is>
          <t>Electronics</t>
        </is>
      </c>
      <c r="R135" s="53">
        <f>SUMIFS(JB_26BV,JB_B,1,JB_EX,"P-8a",JB_CC,"Electronics",JB_H,"LPD",JB_CE,"AN/UQN-10",JB_RC,"ALT")</f>
        <v/>
      </c>
      <c r="S135" s="37">
        <f>IFERROR(R135/R$180,0)</f>
        <v/>
      </c>
    </row>
    <row r="136" ht="10" customHeight="1">
      <c r="A136" s="52" t="inlineStr">
        <is>
          <t xml:space="preserve">  IDENTIFICATION FRIEND OR FOE (IFF)</t>
        </is>
      </c>
      <c r="B136" s="52" t="inlineStr">
        <is>
          <t>Electronics</t>
        </is>
      </c>
      <c r="C136" s="53">
        <f>SUMIFS(JB_26BV,JB_B,1,JB_EX,"P-8a",JB_CC,"Electronics",JB_H,"DDG",JB_CE,"IDENTIFICATION FRIEND OR FOE (IFF)",JB_RC,"ALT")</f>
        <v/>
      </c>
      <c r="D136" s="37">
        <f>IFERROR(C136/C$180,0)</f>
        <v/>
      </c>
      <c r="F136" s="52" t="inlineStr">
        <is>
          <t xml:space="preserve">  Announcing Systems AN/SIA-127H</t>
        </is>
      </c>
      <c r="G136" s="52" t="inlineStr">
        <is>
          <t>Electronics</t>
        </is>
      </c>
      <c r="H136" s="53">
        <f>SUMIFS(JB_26BV,JB_B,1,JB_EX,"P-8a",JB_CC,"Electronics",JB_H,"LHA",JB_CE,"Announcing Systems AN/SIA-127H",JB_RC,"ALT")</f>
        <v/>
      </c>
      <c r="I136" s="37">
        <f>IFERROR(H136/H$180,0)</f>
        <v/>
      </c>
      <c r="K136" s="52" t="inlineStr">
        <is>
          <t xml:space="preserve">  MK 41 Vertical Launch System (VLS)- 32 Cell</t>
        </is>
      </c>
      <c r="L136" s="52" t="inlineStr">
        <is>
          <t>Ordnance</t>
        </is>
      </c>
      <c r="M136" s="53">
        <f>SUMIFS(JB_26BV,JB_B,1,JB_EX,"P-8a",JB_CC,"Ordnance",JB_H,"FFG",JB_CE,"MK 41 Vertical Launch System (VLS)- 32 Cell",JB_RC,"ALT")</f>
        <v/>
      </c>
      <c r="N136" s="37">
        <f>IFERROR(M136/M$180,0)</f>
        <v/>
      </c>
      <c r="P136" s="52" t="inlineStr">
        <is>
          <t xml:space="preserve">  RADIAC</t>
        </is>
      </c>
      <c r="Q136" s="52" t="inlineStr">
        <is>
          <t>Electronics</t>
        </is>
      </c>
      <c r="R136" s="53">
        <f>SUMIFS(JB_26BV,JB_B,1,JB_EX,"P-8a",JB_CC,"Electronics",JB_H,"LPD",JB_CE,"RADIAC",JB_RC,"ALT")</f>
        <v/>
      </c>
      <c r="S136" s="37">
        <f>IFERROR(R136/R$180,0)</f>
        <v/>
      </c>
    </row>
    <row r="137" ht="10" customHeight="1">
      <c r="A137" s="52" t="inlineStr">
        <is>
          <t xml:space="preserve">  DDG 1002 UNIVERSAL CANISTER ELECTRICAL UNITS (UCEU)</t>
        </is>
      </c>
      <c r="B137" s="52" t="inlineStr">
        <is>
          <t>Electronics</t>
        </is>
      </c>
      <c r="C137" s="53">
        <f>SUMIFS(JB_26BV,JB_B,1,JB_EX,"P-8a",JB_CC,"Electronics",JB_H,"DDG",JB_CE,"DDG 1002 UNIVERSAL CANISTER ELECTRICAL UNITS (UCEU)",JB_RC,"ALT")</f>
        <v/>
      </c>
      <c r="D137" s="37">
        <f>IFERROR(C137/C$180,0)</f>
        <v/>
      </c>
      <c r="F137" s="52" t="inlineStr">
        <is>
          <t xml:space="preserve">  SATCC</t>
        </is>
      </c>
      <c r="G137" s="52" t="inlineStr">
        <is>
          <t>Electronics</t>
        </is>
      </c>
      <c r="H137" s="53">
        <f>SUMIFS(JB_26BV,JB_B,1,JB_EX,"P-8a",JB_CC,"Electronics",JB_H,"LHA",JB_CE,"SATCC",JB_RC,"ALT")</f>
        <v/>
      </c>
      <c r="I137" s="37">
        <f>IFERROR(H137/H$180,0)</f>
        <v/>
      </c>
      <c r="K137" s="52" t="inlineStr">
        <is>
          <t xml:space="preserve">  MK 48 Gun Weapon System (GWS)</t>
        </is>
      </c>
      <c r="L137" s="52" t="inlineStr">
        <is>
          <t>Ordnance</t>
        </is>
      </c>
      <c r="M137" s="53">
        <f>SUMIFS(JB_26BV,JB_B,1,JB_EX,"P-8a",JB_CC,"Ordnance",JB_H,"FFG",JB_CE,"MK 48 Gun Weapon System (GWS)",JB_RC,"ALT")</f>
        <v/>
      </c>
      <c r="N137" s="37">
        <f>IFERROR(M137/M$180,0)</f>
        <v/>
      </c>
      <c r="P137" s="49" t="inlineStr">
        <is>
          <t>Hull, Mechanical, and Electrical</t>
        </is>
      </c>
      <c r="R137" s="50">
        <f>SUM(R138:R145)</f>
        <v/>
      </c>
      <c r="S137" s="51">
        <f>IFERROR(R137/R$180,0)</f>
        <v/>
      </c>
    </row>
    <row r="138" ht="10" customHeight="1">
      <c r="A138" s="52" t="inlineStr">
        <is>
          <t xml:space="preserve">  AN/UPX 29(V) IFF and TACAN</t>
        </is>
      </c>
      <c r="B138" s="52" t="inlineStr">
        <is>
          <t>Electronics</t>
        </is>
      </c>
      <c r="C138" s="53">
        <f>SUMIFS(JB_26BV,JB_B,1,JB_EX,"P-8a",JB_CC,"Electronics",JB_H,"DDG",JB_CE,"AN/UPX 29(V) IFF and TACAN",JB_RC,"ALT")</f>
        <v/>
      </c>
      <c r="D138" s="37">
        <f>IFERROR(C138/C$180,0)</f>
        <v/>
      </c>
      <c r="F138" s="52" t="inlineStr">
        <is>
          <t xml:space="preserve">  Amphibious Assault Direction System (AADS)</t>
        </is>
      </c>
      <c r="G138" s="52" t="inlineStr">
        <is>
          <t>Electronics</t>
        </is>
      </c>
      <c r="H138" s="53">
        <f>SUMIFS(JB_26BV,JB_B,1,JB_EX,"P-8a",JB_CC,"Electronics",JB_H,"LHA",JB_CE,"Amphibious Assault Direction System (AADS)",JB_RC,"ALT")</f>
        <v/>
      </c>
      <c r="I138" s="37">
        <f>IFERROR(H138/H$180,0)</f>
        <v/>
      </c>
      <c r="K138" s="52" t="inlineStr">
        <is>
          <t xml:space="preserve">  Other Ordnance</t>
        </is>
      </c>
      <c r="L138" s="52" t="inlineStr">
        <is>
          <t>Ordnance</t>
        </is>
      </c>
      <c r="M138" s="53">
        <f>SUMIFS(JB_26BV,JB_B,1,JB_EX,"P-8a",JB_CC,"Ordnance",JB_H,"FFG",JB_CE,"Other Ordnance",JB_RC,"ALT")</f>
        <v/>
      </c>
      <c r="N138" s="37">
        <f>IFERROR(M138/M$180,0)</f>
        <v/>
      </c>
      <c r="P138" s="52" t="inlineStr">
        <is>
          <t xml:space="preserve">  Unclassified Video System (UVS)</t>
        </is>
      </c>
      <c r="Q138" s="52" t="inlineStr">
        <is>
          <t>Hull, Mechanical, and Electrical</t>
        </is>
      </c>
      <c r="R138" s="53">
        <f>SUMIFS(JB_26BV,JB_B,1,JB_EX,"P-8a",JB_CC,"Hull, Mechanical, and Electrical",JB_H,"LPD",JB_CE,"Unclassified Video System (UVS)",JB_RC,"ALT")</f>
        <v/>
      </c>
      <c r="S138" s="37">
        <f>IFERROR(R138/R$180,0)</f>
        <v/>
      </c>
    </row>
    <row r="139" ht="10" customHeight="1">
      <c r="A139" s="52" t="inlineStr">
        <is>
          <t xml:space="preserve">  SRQ 4 LAMPS III</t>
        </is>
      </c>
      <c r="B139" s="52" t="inlineStr">
        <is>
          <t>Electronics</t>
        </is>
      </c>
      <c r="C139" s="53">
        <f>SUMIFS(JB_26BV,JB_B,1,JB_EX,"P-8a",JB_CC,"Electronics",JB_H,"DDG",JB_CE,"SRQ 4 LAMPS III",JB_RC,"ALT")</f>
        <v/>
      </c>
      <c r="D139" s="37">
        <f>IFERROR(C139/C$180,0)</f>
        <v/>
      </c>
      <c r="F139" s="52" t="inlineStr">
        <is>
          <t xml:space="preserve">  30 TV</t>
        </is>
      </c>
      <c r="G139" s="52" t="inlineStr">
        <is>
          <t>Electronics</t>
        </is>
      </c>
      <c r="H139" s="53">
        <f>SUMIFS(JB_26BV,JB_B,1,JB_EX,"P-8a",JB_CC,"Electronics",JB_H,"LHA",JB_CE,"30 TV",JB_RC,"ALT")</f>
        <v/>
      </c>
      <c r="I139" s="37">
        <f>IFERROR(H139/H$180,0)</f>
        <v/>
      </c>
      <c r="K139" s="52" t="inlineStr">
        <is>
          <t xml:space="preserve">  MK 53 Decoy Launching System (DLS) (Nulka)- 4 Launcher</t>
        </is>
      </c>
      <c r="L139" s="52" t="inlineStr">
        <is>
          <t>Ordnance</t>
        </is>
      </c>
      <c r="M139" s="53">
        <f>SUMIFS(JB_26BV,JB_B,1,JB_EX,"P-8a",JB_CC,"Ordnance",JB_H,"FFG",JB_CE,"MK 53 Decoy Launching System (DLS) (Nulka)- 4 Launcher",JB_RC,"ALT")</f>
        <v/>
      </c>
      <c r="N139" s="37">
        <f>IFERROR(M139/M$180,0)</f>
        <v/>
      </c>
      <c r="P139" s="52" t="inlineStr">
        <is>
          <t xml:space="preserve">  Forklift Trucks</t>
        </is>
      </c>
      <c r="Q139" s="52" t="inlineStr">
        <is>
          <t>Hull, Mechanical, and Electrical</t>
        </is>
      </c>
      <c r="R139" s="53">
        <f>SUMIFS(JB_26BV,JB_B,1,JB_EX,"P-8a",JB_CC,"Hull, Mechanical, and Electrical",JB_H,"LPD",JB_CE,"Forklift Trucks",JB_RC,"ALT")</f>
        <v/>
      </c>
      <c r="S139" s="37">
        <f>IFERROR(R139/R$180,0)</f>
        <v/>
      </c>
    </row>
    <row r="140" ht="10" customHeight="1">
      <c r="A140" s="52" t="inlineStr">
        <is>
          <t xml:space="preserve">  CEC</t>
        </is>
      </c>
      <c r="B140" s="52" t="inlineStr">
        <is>
          <t>Electronics</t>
        </is>
      </c>
      <c r="C140" s="53">
        <f>SUMIFS(JB_26BV,JB_B,1,JB_EX,"P-8a",JB_CC,"Electronics",JB_H,"DDG",JB_CE,"CEC",JB_RC,"ALT")</f>
        <v/>
      </c>
      <c r="D140" s="37">
        <f>IFERROR(C140/C$180,0)</f>
        <v/>
      </c>
      <c r="F140" s="52" t="inlineStr">
        <is>
          <t xml:space="preserve">  MK 53 NULKA Decoy Launching System (DLS) Mod 3</t>
        </is>
      </c>
      <c r="G140" s="52" t="inlineStr">
        <is>
          <t>Electronics</t>
        </is>
      </c>
      <c r="H140" s="53">
        <f>SUMIFS(JB_26BV,JB_B,1,JB_EX,"P-8a",JB_CC,"Electronics",JB_H,"LHA",JB_CE,"MK 53 NULKA Decoy Launching System (DLS) Mod 3",JB_RC,"ALT")</f>
        <v/>
      </c>
      <c r="I140" s="37">
        <f>IFERROR(H140/H$180,0)</f>
        <v/>
      </c>
      <c r="P140" s="52" t="inlineStr">
        <is>
          <t xml:space="preserve">  Chemical Warfare Detectors</t>
        </is>
      </c>
      <c r="Q140" s="52" t="inlineStr">
        <is>
          <t>Hull, Mechanical, and Electrical</t>
        </is>
      </c>
      <c r="R140" s="53">
        <f>SUMIFS(JB_26BV,JB_B,1,JB_EX,"P-8a",JB_CC,"Hull, Mechanical, and Electrical",JB_H,"LPD",JB_CE,"Chemical Warfare Detectors",JB_RC,"ALT")</f>
        <v/>
      </c>
      <c r="S140" s="37">
        <f>IFERROR(R140/R$180,0)</f>
        <v/>
      </c>
    </row>
    <row r="141" ht="10" customHeight="1">
      <c r="A141" s="52" t="inlineStr">
        <is>
          <t xml:space="preserve">  SURFACE ELECTRONIC WARFARE IMPROVEMENT PROGRAM (SEWIP)</t>
        </is>
      </c>
      <c r="B141" s="52" t="inlineStr">
        <is>
          <t>Electronics</t>
        </is>
      </c>
      <c r="C141" s="53">
        <f>SUMIFS(JB_26BV,JB_B,1,JB_EX,"P-8a",JB_CC,"Electronics",JB_H,"DDG",JB_CE,"SURFACE ELECTRONIC WARFARE IMPROVEMENT PROGRAM (SEWIP)",JB_RC,"ALT")</f>
        <v/>
      </c>
      <c r="D141" s="37">
        <f>IFERROR(C141/C$180,0)</f>
        <v/>
      </c>
      <c r="F141" s="52" t="inlineStr">
        <is>
          <t xml:space="preserve">  Next Generation Navigational Radar</t>
        </is>
      </c>
      <c r="G141" s="52" t="inlineStr">
        <is>
          <t>Electronics</t>
        </is>
      </c>
      <c r="H141" s="53">
        <f>SUMIFS(JB_26BV,JB_B,1,JB_EX,"P-8a",JB_CC,"Electronics",JB_H,"LHA",JB_CE,"Next Generation Navigational Radar",JB_RC,"ALT")</f>
        <v/>
      </c>
      <c r="I141" s="37">
        <f>IFERROR(H141/H$180,0)</f>
        <v/>
      </c>
      <c r="P141" s="52" t="inlineStr">
        <is>
          <t xml:space="preserve">  Motor Operated Pilot Valve (MOPV)</t>
        </is>
      </c>
      <c r="Q141" s="52" t="inlineStr">
        <is>
          <t>Hull, Mechanical, and Electrical</t>
        </is>
      </c>
      <c r="R141" s="53">
        <f>SUMIFS(JB_26BV,JB_B,1,JB_EX,"P-8a",JB_CC,"Hull, Mechanical, and Electrical",JB_H,"LPD",JB_CE,"Motor Operated Pilot Valve (MOPV)",JB_RC,"ALT")</f>
        <v/>
      </c>
      <c r="S141" s="37">
        <f>IFERROR(R141/R$180,0)</f>
        <v/>
      </c>
    </row>
    <row r="142" ht="10" customHeight="1">
      <c r="A142" s="52" t="inlineStr">
        <is>
          <t xml:space="preserve">  COMMON ARRAY POWER SYSTEM (CAPS)</t>
        </is>
      </c>
      <c r="B142" s="52" t="inlineStr">
        <is>
          <t>Electronics</t>
        </is>
      </c>
      <c r="C142" s="53">
        <f>SUMIFS(JB_26BV,JB_B,1,JB_EX,"P-8a",JB_CC,"Electronics",JB_H,"DDG",JB_CE,"COMMON ARRAY POWER SYSTEM (CAPS)",JB_RC,"ALT")</f>
        <v/>
      </c>
      <c r="D142" s="37">
        <f>IFERROR(C142/C$180,0)</f>
        <v/>
      </c>
      <c r="F142" s="52" t="inlineStr">
        <is>
          <t xml:space="preserve">  AN/USQ-T46(V), Battle Force Tactical Training (BFTT)</t>
        </is>
      </c>
      <c r="G142" s="52" t="inlineStr">
        <is>
          <t>Electronics</t>
        </is>
      </c>
      <c r="H142" s="53">
        <f>SUMIFS(JB_26BV,JB_B,1,JB_EX,"P-8a",JB_CC,"Electronics",JB_H,"LHA",JB_CE,"AN/USQ-T46(V), Battle Force Tactical Training (BFTT)",JB_RC,"ALT")</f>
        <v/>
      </c>
      <c r="I142" s="37">
        <f>IFERROR(H142/H$180,0)</f>
        <v/>
      </c>
      <c r="P142" s="52" t="inlineStr">
        <is>
          <t xml:space="preserve">  Plastic Waste Processing EQP</t>
        </is>
      </c>
      <c r="Q142" s="52" t="inlineStr">
        <is>
          <t>Hull, Mechanical, and Electrical</t>
        </is>
      </c>
      <c r="R142" s="53">
        <f>SUMIFS(JB_26BV,JB_B,1,JB_EX,"P-8a",JB_CC,"Hull, Mechanical, and Electrical",JB_H,"LPD",JB_CE,"Plastic Waste Processing EQP",JB_RC,"ALT")</f>
        <v/>
      </c>
      <c r="S142" s="37">
        <f>IFERROR(R142/R$180,0)</f>
        <v/>
      </c>
    </row>
    <row r="143" ht="10" customHeight="1">
      <c r="A143" s="52" t="inlineStr">
        <is>
          <t xml:space="preserve">  NAVIGATION SYSTEM</t>
        </is>
      </c>
      <c r="B143" s="52" t="inlineStr">
        <is>
          <t>Electronics</t>
        </is>
      </c>
      <c r="C143" s="53">
        <f>SUMIFS(JB_26BV,JB_B,1,JB_EX,"P-8a",JB_CC,"Electronics",JB_H,"DDG",JB_CE,"NAVIGATION SYSTEM",JB_RC,"ALT")</f>
        <v/>
      </c>
      <c r="D143" s="37">
        <f>IFERROR(C143/C$180,0)</f>
        <v/>
      </c>
      <c r="F143" s="52" t="inlineStr">
        <is>
          <t xml:space="preserve">  Digital Photo Lab</t>
        </is>
      </c>
      <c r="G143" s="52" t="inlineStr">
        <is>
          <t>Electronics</t>
        </is>
      </c>
      <c r="H143" s="53">
        <f>SUMIFS(JB_26BV,JB_B,1,JB_EX,"P-8a",JB_CC,"Electronics",JB_H,"LHA",JB_CE,"Digital Photo Lab",JB_RC,"ALT")</f>
        <v/>
      </c>
      <c r="I143" s="37">
        <f>IFERROR(H143/H$180,0)</f>
        <v/>
      </c>
      <c r="P143" s="52" t="inlineStr">
        <is>
          <t xml:space="preserve">  Boats (Rigid Inflatable Boat, 7 meter)</t>
        </is>
      </c>
      <c r="Q143" s="52" t="inlineStr">
        <is>
          <t>Hull, Mechanical, and Electrical</t>
        </is>
      </c>
      <c r="R143" s="53">
        <f>SUMIFS(JB_26BV,JB_B,1,JB_EX,"P-8a",JB_CC,"Hull, Mechanical, and Electrical",JB_H,"LPD",JB_CE,"Boats (Rigid Inflatable Boat, 7 meter)",JB_RC,"ALT")</f>
        <v/>
      </c>
      <c r="S143" s="37">
        <f>IFERROR(R143/R$180,0)</f>
        <v/>
      </c>
    </row>
    <row r="144" ht="10" customHeight="1">
      <c r="A144" s="52" t="inlineStr">
        <is>
          <t xml:space="preserve">  MIDS</t>
        </is>
      </c>
      <c r="B144" s="52" t="inlineStr">
        <is>
          <t>Electronics</t>
        </is>
      </c>
      <c r="C144" s="53">
        <f>SUMIFS(JB_26BV,JB_B,1,JB_EX,"P-8a",JB_CC,"Electronics",JB_H,"DDG",JB_CE,"MIDS",JB_RC,"ALT")</f>
        <v/>
      </c>
      <c r="D144" s="37">
        <f>IFERROR(C144/C$180,0)</f>
        <v/>
      </c>
      <c r="F144" s="52" t="inlineStr">
        <is>
          <t xml:space="preserve">  Print Shop</t>
        </is>
      </c>
      <c r="G144" s="52" t="inlineStr">
        <is>
          <t>Electronics</t>
        </is>
      </c>
      <c r="H144" s="53">
        <f>SUMIFS(JB_26BV,JB_B,1,JB_EX,"P-8a",JB_CC,"Electronics",JB_H,"LHA",JB_CE,"Print Shop",JB_RC,"ALT")</f>
        <v/>
      </c>
      <c r="I144" s="37">
        <f>IFERROR(H144/H$180,0)</f>
        <v/>
      </c>
      <c r="P144" s="52" t="inlineStr">
        <is>
          <t xml:space="preserve">  Military Payroll System</t>
        </is>
      </c>
      <c r="Q144" s="52" t="inlineStr">
        <is>
          <t>Hull, Mechanical, and Electrical</t>
        </is>
      </c>
      <c r="R144" s="53">
        <f>SUMIFS(JB_26BV,JB_B,1,JB_EX,"P-8a",JB_CC,"Hull, Mechanical, and Electrical",JB_H,"LPD",JB_CE,"Military Payroll System",JB_RC,"ALT")</f>
        <v/>
      </c>
      <c r="S144" s="37">
        <f>IFERROR(R144/R$180,0)</f>
        <v/>
      </c>
    </row>
    <row r="145" ht="10" customHeight="1">
      <c r="A145" s="52" t="inlineStr">
        <is>
          <t xml:space="preserve">  SLQ 25 NIXIE</t>
        </is>
      </c>
      <c r="B145" s="52" t="inlineStr">
        <is>
          <t>Electronics</t>
        </is>
      </c>
      <c r="C145" s="53">
        <f>SUMIFS(JB_26BV,JB_B,1,JB_EX,"P-8a",JB_CC,"Electronics",JB_H,"DDG",JB_CE,"SLQ 25 NIXIE",JB_RC,"ALT")</f>
        <v/>
      </c>
      <c r="D145" s="37">
        <f>IFERROR(C145/C$180,0)</f>
        <v/>
      </c>
      <c r="F145" s="49" t="inlineStr">
        <is>
          <t>Hull, Mechanical, and Electrical</t>
        </is>
      </c>
      <c r="H145" s="50">
        <f>SUM(H146:H148)</f>
        <v/>
      </c>
      <c r="I145" s="51">
        <f>IFERROR(H145/H$180,0)</f>
        <v/>
      </c>
      <c r="P145" s="52" t="inlineStr">
        <is>
          <t xml:space="preserve">  Oily Water Separator</t>
        </is>
      </c>
      <c r="Q145" s="52" t="inlineStr">
        <is>
          <t>Hull, Mechanical, and Electrical</t>
        </is>
      </c>
      <c r="R145" s="53">
        <f>SUMIFS(JB_26BV,JB_B,1,JB_EX,"P-8a",JB_CC,"Hull, Mechanical, and Electrical",JB_H,"LPD",JB_CE,"Oily Water Separator",JB_RC,"ALT")</f>
        <v/>
      </c>
      <c r="S145" s="37">
        <f>IFERROR(R145/R$180,0)</f>
        <v/>
      </c>
    </row>
    <row r="146" ht="10" customHeight="1">
      <c r="A146" s="52" t="inlineStr">
        <is>
          <t xml:space="preserve">  NGSSR</t>
        </is>
      </c>
      <c r="B146" s="52" t="inlineStr">
        <is>
          <t>Electronics</t>
        </is>
      </c>
      <c r="C146" s="53">
        <f>SUMIFS(JB_26BV,JB_B,1,JB_EX,"P-8a",JB_CC,"Electronics",JB_H,"DDG",JB_CE,"NGSSR",JB_RC,"ALT")</f>
        <v/>
      </c>
      <c r="D146" s="37">
        <f>IFERROR(C146/C$180,0)</f>
        <v/>
      </c>
      <c r="F146" s="52" t="inlineStr">
        <is>
          <t xml:space="preserve">  Equipment &amp; Engineering</t>
        </is>
      </c>
      <c r="G146" s="52" t="inlineStr">
        <is>
          <t>Hull, Mechanical, and Electrical</t>
        </is>
      </c>
      <c r="H146" s="53">
        <f>SUMIFS(JB_26BV,JB_B,1,JB_EX,"P-8a",JB_CC,"Hull, Mechanical, and Electrical",JB_H,"LHA",JB_CE,"Equipment &amp; Engineering",JB_RC,"ALT")</f>
        <v/>
      </c>
      <c r="I146" s="37">
        <f>IFERROR(H146/H$180,0)</f>
        <v/>
      </c>
      <c r="P146" s="49" t="inlineStr">
        <is>
          <t>Ordnance</t>
        </is>
      </c>
      <c r="R146" s="50">
        <f>SUM(R147:R154)</f>
        <v/>
      </c>
      <c r="S146" s="51">
        <f>IFERROR(R146/R$180,0)</f>
        <v/>
      </c>
    </row>
    <row r="147" ht="10" customHeight="1">
      <c r="A147" s="52" t="inlineStr">
        <is>
          <t xml:space="preserve">  COOPERATIVE ENGAGEMENT CAPABILITY (CEC)</t>
        </is>
      </c>
      <c r="B147" s="52" t="inlineStr">
        <is>
          <t>Electronics</t>
        </is>
      </c>
      <c r="C147" s="53">
        <f>SUMIFS(JB_26BV,JB_B,1,JB_EX,"P-8a",JB_CC,"Electronics",JB_H,"DDG",JB_CE,"COOPERATIVE ENGAGEMENT CAPABILITY (CEC)",JB_RC,"ALT")</f>
        <v/>
      </c>
      <c r="D147" s="37">
        <f>IFERROR(C147/C$180,0)</f>
        <v/>
      </c>
      <c r="F147" s="52" t="inlineStr">
        <is>
          <t xml:space="preserve">  Test &amp; Instrumentation</t>
        </is>
      </c>
      <c r="G147" s="52" t="inlineStr">
        <is>
          <t>Hull, Mechanical, and Electrical</t>
        </is>
      </c>
      <c r="H147" s="53">
        <f>SUMIFS(JB_26BV,JB_B,1,JB_EX,"P-8a",JB_CC,"Hull, Mechanical, and Electrical",JB_H,"LHA",JB_CE,"Test &amp; Instrumentation",JB_RC,"ALT")</f>
        <v/>
      </c>
      <c r="I147" s="37">
        <f>IFERROR(H147/H$180,0)</f>
        <v/>
      </c>
      <c r="P147" s="52" t="inlineStr">
        <is>
          <t xml:space="preserve">  EASR</t>
        </is>
      </c>
      <c r="Q147" s="52" t="inlineStr">
        <is>
          <t>Ordnance</t>
        </is>
      </c>
      <c r="R147" s="53">
        <f>SUMIFS(JB_26BV,JB_B,1,JB_EX,"P-8a",JB_CC,"Ordnance",JB_H,"LPD",JB_CE,"EASR",JB_RC,"ALT")</f>
        <v/>
      </c>
      <c r="S147" s="37">
        <f>IFERROR(R147/R$180,0)</f>
        <v/>
      </c>
    </row>
    <row r="148" ht="10" customHeight="1">
      <c r="A148" s="52" t="inlineStr">
        <is>
          <t xml:space="preserve">  MK 53 NULKA</t>
        </is>
      </c>
      <c r="B148" s="52" t="inlineStr">
        <is>
          <t>Electronics</t>
        </is>
      </c>
      <c r="C148" s="53">
        <f>SUMIFS(JB_26BV,JB_B,1,JB_EX,"P-8a",JB_CC,"Electronics",JB_H,"DDG",JB_CE,"MK 53 NULKA",JB_RC,"ALT")</f>
        <v/>
      </c>
      <c r="D148" s="37">
        <f>IFERROR(C148/C$180,0)</f>
        <v/>
      </c>
      <c r="F148" s="52" t="inlineStr">
        <is>
          <t xml:space="preserve">  SUPSHIP Material/Services</t>
        </is>
      </c>
      <c r="G148" s="52" t="inlineStr">
        <is>
          <t>Hull, Mechanical, and Electrical</t>
        </is>
      </c>
      <c r="H148" s="53">
        <f>SUMIFS(JB_26BV,JB_B,1,JB_EX,"P-8a",JB_CC,"Hull, Mechanical, and Electrical",JB_H,"LHA",JB_CE,"SUPSHIP Material/Services",JB_RC,"ALT")</f>
        <v/>
      </c>
      <c r="I148" s="37">
        <f>IFERROR(H148/H$180,0)</f>
        <v/>
      </c>
      <c r="P148" s="52" t="inlineStr">
        <is>
          <t xml:space="preserve">  RAM BLOCK II</t>
        </is>
      </c>
      <c r="Q148" s="52" t="inlineStr">
        <is>
          <t>Ordnance</t>
        </is>
      </c>
      <c r="R148" s="53">
        <f>SUMIFS(JB_26BV,JB_B,1,JB_EX,"P-8a",JB_CC,"Ordnance",JB_H,"LPD",JB_CE,"RAM BLOCK II",JB_RC,"ALT")</f>
        <v/>
      </c>
      <c r="S148" s="37">
        <f>IFERROR(R148/R$180,0)</f>
        <v/>
      </c>
    </row>
    <row r="149" ht="10" customHeight="1">
      <c r="A149" s="52" t="inlineStr">
        <is>
          <t xml:space="preserve">  TSA ANTENNA</t>
        </is>
      </c>
      <c r="B149" s="52" t="inlineStr">
        <is>
          <t>Electronics</t>
        </is>
      </c>
      <c r="C149" s="53">
        <f>SUMIFS(JB_26BV,JB_B,1,JB_EX,"P-8a",JB_CC,"Electronics",JB_H,"DDG",JB_CE,"TSA ANTENNA",JB_RC,"ALT")</f>
        <v/>
      </c>
      <c r="D149" s="37">
        <f>IFERROR(C149/C$180,0)</f>
        <v/>
      </c>
      <c r="F149" s="49" t="inlineStr">
        <is>
          <t>Ordnance</t>
        </is>
      </c>
      <c r="H149" s="50">
        <f>SUM(H150:H160)</f>
        <v/>
      </c>
      <c r="I149" s="51">
        <f>IFERROR(H149/H$180,0)</f>
        <v/>
      </c>
      <c r="P149" s="52" t="inlineStr">
        <is>
          <t xml:space="preserve">  MISCELLANEOUS ORDNANCE</t>
        </is>
      </c>
      <c r="Q149" s="52" t="inlineStr">
        <is>
          <t>Ordnance</t>
        </is>
      </c>
      <c r="R149" s="53">
        <f>SUMIFS(JB_26BV,JB_B,1,JB_EX,"P-8a",JB_CC,"Ordnance",JB_H,"LPD",JB_CE,"MISCELLANEOUS ORDNANCE",JB_RC,"ALT")</f>
        <v/>
      </c>
      <c r="S149" s="37">
        <f>IFERROR(R149/R$180,0)</f>
        <v/>
      </c>
    </row>
    <row r="150" ht="10" customHeight="1">
      <c r="A150" s="52" t="inlineStr">
        <is>
          <t xml:space="preserve">  SPARES</t>
        </is>
      </c>
      <c r="B150" s="52" t="inlineStr">
        <is>
          <t>Electronics</t>
        </is>
      </c>
      <c r="C150" s="53">
        <f>SUMIFS(JB_26BV,JB_B,1,JB_EX,"P-8a",JB_CC,"Electronics",JB_H,"DDG",JB_CE,"SPARES",JB_RC,"ALT")</f>
        <v/>
      </c>
      <c r="D150" s="37">
        <f>IFERROR(C150/C$180,0)</f>
        <v/>
      </c>
      <c r="F150" s="52" t="inlineStr">
        <is>
          <t xml:space="preserve">  Enterprise Air Surveillance Radar (EASR)</t>
        </is>
      </c>
      <c r="G150" s="52" t="inlineStr">
        <is>
          <t>Ordnance</t>
        </is>
      </c>
      <c r="H150" s="53">
        <f>SUMIFS(JB_26BV,JB_B,1,JB_EX,"P-8a",JB_CC,"Ordnance",JB_H,"LHA",JB_CE,"Enterprise Air Surveillance Radar (EASR)",JB_RC,"ALT")</f>
        <v/>
      </c>
      <c r="I150" s="37">
        <f>IFERROR(H150/H$180,0)</f>
        <v/>
      </c>
      <c r="P150" s="52" t="inlineStr">
        <is>
          <t xml:space="preserve">  MK 46 GUN</t>
        </is>
      </c>
      <c r="Q150" s="52" t="inlineStr">
        <is>
          <t>Ordnance</t>
        </is>
      </c>
      <c r="R150" s="53">
        <f>SUMIFS(JB_26BV,JB_B,1,JB_EX,"P-8a",JB_CC,"Ordnance",JB_H,"LPD",JB_CE,"MK 46 GUN",JB_RC,"ALT")</f>
        <v/>
      </c>
      <c r="S150" s="37">
        <f>IFERROR(R150/R$180,0)</f>
        <v/>
      </c>
    </row>
    <row r="151" ht="10" customHeight="1">
      <c r="A151" s="52" t="inlineStr">
        <is>
          <t xml:space="preserve">  COMMON ARRAY COOLING SYSTEM (CACS)</t>
        </is>
      </c>
      <c r="B151" s="52" t="inlineStr">
        <is>
          <t>Electronics</t>
        </is>
      </c>
      <c r="C151" s="53">
        <f>SUMIFS(JB_26BV,JB_B,1,JB_EX,"P-8a",JB_CC,"Electronics",JB_H,"DDG",JB_CE,"COMMON ARRAY COOLING SYSTEM (CACS)",JB_RC,"ALT")</f>
        <v/>
      </c>
      <c r="D151" s="37">
        <f>IFERROR(C151/C$180,0)</f>
        <v/>
      </c>
      <c r="F151" s="52" t="inlineStr">
        <is>
          <t xml:space="preserve">  NATO Sea Sparrow Missile System (NSSMS) MK 57 Mod 14</t>
        </is>
      </c>
      <c r="G151" s="52" t="inlineStr">
        <is>
          <t>Ordnance</t>
        </is>
      </c>
      <c r="H151" s="53">
        <f>SUMIFS(JB_26BV,JB_B,1,JB_EX,"P-8a",JB_CC,"Ordnance",JB_H,"LHA",JB_CE,"NATO Sea Sparrow Missile System (NSSMS) MK 57 Mod 14",JB_RC,"ALT")</f>
        <v/>
      </c>
      <c r="I151" s="37">
        <f>IFERROR(H151/H$180,0)</f>
        <v/>
      </c>
      <c r="P151" s="52" t="inlineStr">
        <is>
          <t xml:space="preserve">  AN/SPQ-9B Radar Set</t>
        </is>
      </c>
      <c r="Q151" s="52" t="inlineStr">
        <is>
          <t>Ordnance</t>
        </is>
      </c>
      <c r="R151" s="53">
        <f>SUMIFS(JB_26BV,JB_B,1,JB_EX,"P-8a",JB_CC,"Ordnance",JB_H,"LPD",JB_CE,"AN/SPQ-9B Radar Set",JB_RC,"ALT")</f>
        <v/>
      </c>
      <c r="S151" s="37">
        <f>IFERROR(R151/R$180,0)</f>
        <v/>
      </c>
    </row>
    <row r="152" ht="10" customHeight="1">
      <c r="A152" s="49" t="inlineStr">
        <is>
          <t>Hull, Mechanical, and Electrical</t>
        </is>
      </c>
      <c r="C152" s="50">
        <f>SUM(C153:C162)</f>
        <v/>
      </c>
      <c r="D152" s="51">
        <f>IFERROR(C152/C$180,0)</f>
        <v/>
      </c>
      <c r="F152" s="52" t="inlineStr">
        <is>
          <t xml:space="preserve">  MK31 Mod 3, Rolling Airframe Missile (RAM) (Tech Refresh)</t>
        </is>
      </c>
      <c r="G152" s="52" t="inlineStr">
        <is>
          <t>Ordnance</t>
        </is>
      </c>
      <c r="H152" s="53">
        <f>SUMIFS(JB_26BV,JB_B,1,JB_EX,"P-8a",JB_CC,"Ordnance",JB_H,"LHA",JB_CE,"MK31 Mod 3, Rolling Airframe Missile (RAM) (Tech Refresh)",JB_RC,"ALT")</f>
        <v/>
      </c>
      <c r="I152" s="37">
        <f>IFERROR(H152/H$180,0)</f>
        <v/>
      </c>
      <c r="P152" s="52" t="inlineStr">
        <is>
          <t xml:space="preserve">  ASGSI/HOSS/MWS Fit Control &amp; Inst Land Sys</t>
        </is>
      </c>
      <c r="Q152" s="52" t="inlineStr">
        <is>
          <t>Ordnance</t>
        </is>
      </c>
      <c r="R152" s="53">
        <f>SUMIFS(JB_26BV,JB_B,1,JB_EX,"P-8a",JB_CC,"Ordnance",JB_H,"LPD",JB_CE,"ASGSI/HOSS/MWS Fit Control &amp; Inst Land Sys",JB_RC,"ALT")</f>
        <v/>
      </c>
      <c r="S152" s="37">
        <f>IFERROR(R152/R$180,0)</f>
        <v/>
      </c>
    </row>
    <row r="153" ht="10" customHeight="1">
      <c r="A153" s="52" t="inlineStr">
        <is>
          <t xml:space="preserve">  MISC. HM&amp;E</t>
        </is>
      </c>
      <c r="B153" s="52" t="inlineStr">
        <is>
          <t>Hull, Mechanical, and Electrical</t>
        </is>
      </c>
      <c r="C153" s="53">
        <f>SUMIFS(JB_26BV,JB_B,1,JB_EX,"P-8a",JB_CC,"Hull, Mechanical, and Electrical",JB_H,"DDG",JB_CE,"MISC. HM&amp;E",JB_RC,"ALT")</f>
        <v/>
      </c>
      <c r="D153" s="37">
        <f>IFERROR(C153/C$180,0)</f>
        <v/>
      </c>
      <c r="F153" s="52" t="inlineStr">
        <is>
          <t xml:space="preserve">  PHALANX Block 1B MK15 Mod 21 &amp; 22, Close-in Weapon System (CIWS)</t>
        </is>
      </c>
      <c r="G153" s="52" t="inlineStr">
        <is>
          <t>Ordnance</t>
        </is>
      </c>
      <c r="H153" s="53">
        <f>SUMIFS(JB_26BV,JB_B,1,JB_EX,"P-8a",JB_CC,"Ordnance",JB_H,"LHA",JB_CE,"PHALANX Block 1B MK15 Mod 21 &amp; 22, Close-in Weapon System (CIWS)",JB_RC,"ALT")</f>
        <v/>
      </c>
      <c r="I153" s="37">
        <f>IFERROR(H153/H$180,0)</f>
        <v/>
      </c>
      <c r="P153" s="52" t="inlineStr">
        <is>
          <t xml:space="preserve">  Next Generation Surface Search Radar (NGSSR)</t>
        </is>
      </c>
      <c r="Q153" s="52" t="inlineStr">
        <is>
          <t>Ordnance</t>
        </is>
      </c>
      <c r="R153" s="53">
        <f>SUMIFS(JB_26BV,JB_B,1,JB_EX,"P-8a",JB_CC,"Ordnance",JB_H,"LPD",JB_CE,"Next Generation Surface Search Radar (NGSSR)",JB_RC,"ALT")</f>
        <v/>
      </c>
      <c r="S153" s="37">
        <f>IFERROR(R153/R$180,0)</f>
        <v/>
      </c>
    </row>
    <row r="154" ht="10" customHeight="1">
      <c r="A154" s="52" t="inlineStr">
        <is>
          <t xml:space="preserve">  MAIN TURBINE GENERATOR (MTG)</t>
        </is>
      </c>
      <c r="B154" s="52" t="inlineStr">
        <is>
          <t>Hull, Mechanical, and Electrical</t>
        </is>
      </c>
      <c r="C154" s="53">
        <f>SUMIFS(JB_26BV,JB_B,1,JB_EX,"P-8a",JB_CC,"Hull, Mechanical, and Electrical",JB_H,"DDG",JB_CE,"MAIN TURBINE GENERATOR (MTG)",JB_RC,"ALT")</f>
        <v/>
      </c>
      <c r="D154" s="37">
        <f>IFERROR(C154/C$180,0)</f>
        <v/>
      </c>
      <c r="F154" s="52" t="inlineStr">
        <is>
          <t xml:space="preserve">  Vertical/Stationary Take-Off Landing Optical Landing System (VSTOL OLS)</t>
        </is>
      </c>
      <c r="G154" s="52" t="inlineStr">
        <is>
          <t>Ordnance</t>
        </is>
      </c>
      <c r="H154" s="53">
        <f>SUMIFS(JB_26BV,JB_B,1,JB_EX,"P-8a",JB_CC,"Ordnance",JB_H,"LHA",JB_CE,"Vertical/Stationary Take-Off Landing Optical Landing System (VSTOL OLS)",JB_RC,"ALT")</f>
        <v/>
      </c>
      <c r="I154" s="37">
        <f>IFERROR(H154/H$180,0)</f>
        <v/>
      </c>
      <c r="P154" s="52" t="inlineStr">
        <is>
          <t xml:space="preserve">  ORDNANCE HANDLING EQUIPMENT</t>
        </is>
      </c>
      <c r="Q154" s="52" t="inlineStr">
        <is>
          <t>Ordnance</t>
        </is>
      </c>
      <c r="R154" s="53">
        <f>SUMIFS(JB_26BV,JB_B,1,JB_EX,"P-8a",JB_CC,"Ordnance",JB_H,"LPD",JB_CE,"ORDNANCE HANDLING EQUIPMENT",JB_RC,"ALT")</f>
        <v/>
      </c>
      <c r="S154" s="37">
        <f>IFERROR(R154/R$180,0)</f>
        <v/>
      </c>
    </row>
    <row r="155" ht="10" customHeight="1">
      <c r="A155" s="52" t="inlineStr">
        <is>
          <t xml:space="preserve">  Integrated Bridge Navigation System</t>
        </is>
      </c>
      <c r="B155" s="52" t="inlineStr">
        <is>
          <t>Hull, Mechanical, and Electrical</t>
        </is>
      </c>
      <c r="C155" s="53">
        <f>SUMIFS(JB_26BV,JB_B,1,JB_EX,"P-8a",JB_CC,"Hull, Mechanical, and Electrical",JB_H,"DDG",JB_CE,"Integrated Bridge Navigation System",JB_RC,"ALT")</f>
        <v/>
      </c>
      <c r="D155" s="37">
        <f>IFERROR(C155/C$180,0)</f>
        <v/>
      </c>
      <c r="F155" s="52" t="inlineStr">
        <is>
          <t xml:space="preserve">  Aviation Support</t>
        </is>
      </c>
      <c r="G155" s="52" t="inlineStr">
        <is>
          <t>Ordnance</t>
        </is>
      </c>
      <c r="H155" s="53">
        <f>SUMIFS(JB_26BV,JB_B,1,JB_EX,"P-8a",JB_CC,"Ordnance",JB_H,"LHA",JB_CE,"Aviation Support",JB_RC,"ALT")</f>
        <v/>
      </c>
      <c r="I155" s="37">
        <f>IFERROR(H155/H$180,0)</f>
        <v/>
      </c>
    </row>
    <row r="156" ht="10" customHeight="1">
      <c r="A156" s="52" t="inlineStr">
        <is>
          <t xml:space="preserve">  STC 3 IVCS</t>
        </is>
      </c>
      <c r="B156" s="52" t="inlineStr">
        <is>
          <t>Hull, Mechanical, and Electrical</t>
        </is>
      </c>
      <c r="C156" s="53">
        <f>SUMIFS(JB_26BV,JB_B,1,JB_EX,"P-8a",JB_CC,"Hull, Mechanical, and Electrical",JB_H,"DDG",JB_CE,"STC 3 IVCS",JB_RC,"ALT")</f>
        <v/>
      </c>
      <c r="D156" s="37">
        <f>IFERROR(C156/C$180,0)</f>
        <v/>
      </c>
      <c r="F156" s="52" t="inlineStr">
        <is>
          <t xml:space="preserve">  AN/SPQ-9B Radar Set</t>
        </is>
      </c>
      <c r="G156" s="52" t="inlineStr">
        <is>
          <t>Ordnance</t>
        </is>
      </c>
      <c r="H156" s="53">
        <f>SUMIFS(JB_26BV,JB_B,1,JB_EX,"P-8a",JB_CC,"Ordnance",JB_H,"LHA",JB_CE,"AN/SPQ-9B Radar Set",JB_RC,"ALT")</f>
        <v/>
      </c>
      <c r="I156" s="37">
        <f>IFERROR(H156/H$180,0)</f>
        <v/>
      </c>
    </row>
    <row r="157" ht="10" customHeight="1">
      <c r="A157" s="52" t="inlineStr">
        <is>
          <t xml:space="preserve">  Machinery Control System</t>
        </is>
      </c>
      <c r="B157" s="52" t="inlineStr">
        <is>
          <t>Hull, Mechanical, and Electrical</t>
        </is>
      </c>
      <c r="C157" s="53">
        <f>SUMIFS(JB_26BV,JB_B,1,JB_EX,"P-8a",JB_CC,"Hull, Mechanical, and Electrical",JB_H,"DDG",JB_CE,"Machinery Control System",JB_RC,"ALT")</f>
        <v/>
      </c>
      <c r="D157" s="37">
        <f>IFERROR(C157/C$180,0)</f>
        <v/>
      </c>
      <c r="F157" s="52" t="inlineStr">
        <is>
          <t xml:space="preserve">  MK 38 Mod 2 Stabilized Gun Stand Assembly</t>
        </is>
      </c>
      <c r="G157" s="52" t="inlineStr">
        <is>
          <t>Ordnance</t>
        </is>
      </c>
      <c r="H157" s="53">
        <f>SUMIFS(JB_26BV,JB_B,1,JB_EX,"P-8a",JB_CC,"Ordnance",JB_H,"LHA",JB_CE,"MK 38 Mod 2 Stabilized Gun Stand Assembly",JB_RC,"ALT")</f>
        <v/>
      </c>
      <c r="I157" s="37">
        <f>IFERROR(H157/H$180,0)</f>
        <v/>
      </c>
    </row>
    <row r="158" ht="10" customHeight="1">
      <c r="A158" s="52" t="inlineStr">
        <is>
          <t xml:space="preserve">  CYBER BDC</t>
        </is>
      </c>
      <c r="B158" s="52" t="inlineStr">
        <is>
          <t>Hull, Mechanical, and Electrical</t>
        </is>
      </c>
      <c r="C158" s="53">
        <f>SUMIFS(JB_26BV,JB_B,1,JB_EX,"P-8a",JB_CC,"Hull, Mechanical, and Electrical",JB_H,"DDG",JB_CE,"CYBER BDC",JB_RC,"ALT")</f>
        <v/>
      </c>
      <c r="D158" s="37">
        <f>IFERROR(C158/C$180,0)</f>
        <v/>
      </c>
      <c r="F158" s="52" t="inlineStr">
        <is>
          <t xml:space="preserve">  Miscellaneous Ordnance</t>
        </is>
      </c>
      <c r="G158" s="52" t="inlineStr">
        <is>
          <t>Ordnance</t>
        </is>
      </c>
      <c r="H158" s="53">
        <f>SUMIFS(JB_26BV,JB_B,1,JB_EX,"P-8a",JB_CC,"Ordnance",JB_H,"LHA",JB_CE,"Miscellaneous Ordnance",JB_RC,"ALT")</f>
        <v/>
      </c>
      <c r="I158" s="37">
        <f>IFERROR(H158/H$180,0)</f>
        <v/>
      </c>
    </row>
    <row r="159" ht="10" customHeight="1">
      <c r="A159" s="52" t="inlineStr">
        <is>
          <t xml:space="preserve">  WSN 12</t>
        </is>
      </c>
      <c r="B159" s="52" t="inlineStr">
        <is>
          <t>Hull, Mechanical, and Electrical</t>
        </is>
      </c>
      <c r="C159" s="53">
        <f>SUMIFS(JB_26BV,JB_B,1,JB_EX,"P-8a",JB_CC,"Hull, Mechanical, and Electrical",JB_H,"DDG",JB_CE,"WSN 12",JB_RC,"ALT")</f>
        <v/>
      </c>
      <c r="D159" s="37">
        <f>IFERROR(C159/C$180,0)</f>
        <v/>
      </c>
      <c r="F159" s="52" t="inlineStr">
        <is>
          <t xml:space="preserve">  MORIAH</t>
        </is>
      </c>
      <c r="G159" s="52" t="inlineStr">
        <is>
          <t>Ordnance</t>
        </is>
      </c>
      <c r="H159" s="53">
        <f>SUMIFS(JB_26BV,JB_B,1,JB_EX,"P-8a",JB_CC,"Ordnance",JB_H,"LHA",JB_CE,"MORIAH",JB_RC,"ALT")</f>
        <v/>
      </c>
      <c r="I159" s="37">
        <f>IFERROR(H159/H$180,0)</f>
        <v/>
      </c>
    </row>
    <row r="160" ht="10" customHeight="1">
      <c r="A160" s="52" t="inlineStr">
        <is>
          <t xml:space="preserve">  HM&amp;E (NGVLA, Moriah Wind Measurement System (WMS), Aviation Integration)</t>
        </is>
      </c>
      <c r="B160" s="52" t="inlineStr">
        <is>
          <t>Hull, Mechanical, and Electrical</t>
        </is>
      </c>
      <c r="C160" s="53">
        <f>SUMIFS(JB_26BV,JB_B,1,JB_EX,"P-8a",JB_CC,"Hull, Mechanical, and Electrical",JB_H,"DDG",JB_CE,"HM&amp;E (NGVLA, Moriah Wind Measurement System (WMS), Aviation Integration)",JB_RC,"ALT")</f>
        <v/>
      </c>
      <c r="D160" s="37">
        <f>IFERROR(C160/C$180,0)</f>
        <v/>
      </c>
      <c r="F160" s="52" t="inlineStr">
        <is>
          <t xml:space="preserve">  AN/SPQ-14</t>
        </is>
      </c>
      <c r="G160" s="52" t="inlineStr">
        <is>
          <t>Ordnance</t>
        </is>
      </c>
      <c r="H160" s="53">
        <f>SUMIFS(JB_26BV,JB_B,1,JB_EX,"P-8a",JB_CC,"Ordnance",JB_H,"LHA",JB_CE,"AN/SPQ-14",JB_RC,"ALT")</f>
        <v/>
      </c>
      <c r="I160" s="37">
        <f>IFERROR(H160/H$180,0)</f>
        <v/>
      </c>
    </row>
    <row r="161" ht="10" customHeight="1">
      <c r="A161" s="52" t="inlineStr">
        <is>
          <t xml:space="preserve">  INTERIM SPARES</t>
        </is>
      </c>
      <c r="B161" s="52" t="inlineStr">
        <is>
          <t>Hull, Mechanical, and Electrical</t>
        </is>
      </c>
      <c r="C161" s="53">
        <f>SUMIFS(JB_26BV,JB_B,1,JB_EX,"P-8a",JB_CC,"Hull, Mechanical, and Electrical",JB_H,"DDG",JB_CE,"INTERIM SPARES",JB_RC,"ALT")</f>
        <v/>
      </c>
      <c r="D161" s="37">
        <f>IFERROR(C161/C$180,0)</f>
        <v/>
      </c>
    </row>
    <row r="162" ht="10" customHeight="1">
      <c r="A162" s="52" t="inlineStr">
        <is>
          <t xml:space="preserve">  RIGID HULL INFLATABLE BOAT (RHIB)</t>
        </is>
      </c>
      <c r="B162" s="52" t="inlineStr">
        <is>
          <t>Hull, Mechanical, and Electrical</t>
        </is>
      </c>
      <c r="C162" s="53">
        <f>SUMIFS(JB_26BV,JB_B,1,JB_EX,"P-8a",JB_CC,"Hull, Mechanical, and Electrical",JB_H,"DDG",JB_CE,"RIGID HULL INFLATABLE BOAT (RHIB)",JB_RC,"ALT")</f>
        <v/>
      </c>
      <c r="D162" s="37">
        <f>IFERROR(C162/C$180,0)</f>
        <v/>
      </c>
    </row>
    <row r="163" ht="10" customHeight="1">
      <c r="A163" s="49" t="inlineStr">
        <is>
          <t>Ordnance</t>
        </is>
      </c>
      <c r="C163" s="50">
        <f>SUM(C164:C179)</f>
        <v/>
      </c>
      <c r="D163" s="51">
        <f>IFERROR(C163/C$180,0)</f>
        <v/>
      </c>
    </row>
    <row r="164" ht="10" customHeight="1">
      <c r="A164" s="52" t="inlineStr">
        <is>
          <t xml:space="preserve">  AN/SPY-6(V)1 (AMDR)</t>
        </is>
      </c>
      <c r="B164" s="52" t="inlineStr">
        <is>
          <t>Ordnance</t>
        </is>
      </c>
      <c r="C164" s="53">
        <f>SUMIFS(JB_26BV,JB_B,1,JB_EX,"P-8a",JB_CC,"Ordnance",JB_H,"DDG",JB_CE,"AN/SPY-6(V)1 (AMDR)",JB_RC,"ALT")</f>
        <v/>
      </c>
      <c r="D164" s="37">
        <f>IFERROR(C164/C$180,0)</f>
        <v/>
      </c>
    </row>
    <row r="165" ht="10" customHeight="1">
      <c r="A165" s="52" t="inlineStr">
        <is>
          <t xml:space="preserve">  AEGIS WEAPON SYSTEM (MK-7)</t>
        </is>
      </c>
      <c r="B165" s="52" t="inlineStr">
        <is>
          <t>Ordnance</t>
        </is>
      </c>
      <c r="C165" s="53">
        <f>SUMIFS(JB_26BV,JB_B,1,JB_EX,"P-8a",JB_CC,"Ordnance",JB_H,"DDG",JB_CE,"AEGIS WEAPON SYSTEM (MK-7)",JB_RC,"ALT")</f>
        <v/>
      </c>
      <c r="D165" s="37">
        <f>IFERROR(C165/C$180,0)</f>
        <v/>
      </c>
    </row>
    <row r="166" ht="10" customHeight="1">
      <c r="A166" s="52" t="inlineStr">
        <is>
          <t xml:space="preserve">  ADVANCED GUN SYSTEM (AGS)</t>
        </is>
      </c>
      <c r="B166" s="52" t="inlineStr">
        <is>
          <t>Ordnance</t>
        </is>
      </c>
      <c r="C166" s="53">
        <f>SUMIFS(JB_26BV,JB_B,1,JB_EX,"P-8a",JB_CC,"Ordnance",JB_H,"DDG",JB_CE,"ADVANCED GUN SYSTEM (AGS)",JB_RC,"ALT")</f>
        <v/>
      </c>
      <c r="D166" s="37">
        <f>IFERROR(C166/C$180,0)</f>
        <v/>
      </c>
    </row>
    <row r="167" ht="10" customHeight="1">
      <c r="A167" s="52" t="inlineStr">
        <is>
          <t xml:space="preserve">  VLS MK 41</t>
        </is>
      </c>
      <c r="B167" s="52" t="inlineStr">
        <is>
          <t>Ordnance</t>
        </is>
      </c>
      <c r="C167" s="53">
        <f>SUMIFS(JB_26BV,JB_B,1,JB_EX,"P-8a",JB_CC,"Ordnance",JB_H,"DDG",JB_CE,"VLS MK 41",JB_RC,"ALT")</f>
        <v/>
      </c>
      <c r="D167" s="37">
        <f>IFERROR(C167/C$180,0)</f>
        <v/>
      </c>
    </row>
    <row r="168" ht="10" customHeight="1">
      <c r="A168" s="52" t="inlineStr">
        <is>
          <t xml:space="preserve">  MISC. ORDNANCE</t>
        </is>
      </c>
      <c r="B168" s="52" t="inlineStr">
        <is>
          <t>Ordnance</t>
        </is>
      </c>
      <c r="C168" s="53">
        <f>SUMIFS(JB_26BV,JB_B,1,JB_EX,"P-8a",JB_CC,"Ordnance",JB_H,"DDG",JB_CE,"MISC. ORDNANCE",JB_RC,"ALT")</f>
        <v/>
      </c>
      <c r="D168" s="37">
        <f>IFERROR(C168/C$180,0)</f>
        <v/>
      </c>
    </row>
    <row r="169" ht="10" customHeight="1">
      <c r="A169" s="52" t="inlineStr">
        <is>
          <t xml:space="preserve">  MK 45 Light Weight Gun (LWG)</t>
        </is>
      </c>
      <c r="B169" s="52" t="inlineStr">
        <is>
          <t>Ordnance</t>
        </is>
      </c>
      <c r="C169" s="53">
        <f>SUMIFS(JB_26BV,JB_B,1,JB_EX,"P-8a",JB_CC,"Ordnance",JB_H,"DDG",JB_CE,"MK 45 Light Weight Gun (LWG)",JB_RC,"ALT")</f>
        <v/>
      </c>
      <c r="D169" s="37">
        <f>IFERROR(C169/C$180,0)</f>
        <v/>
      </c>
    </row>
    <row r="170" ht="10" customHeight="1">
      <c r="A170" s="52" t="inlineStr">
        <is>
          <t xml:space="preserve">  MK 37 TOMAHAWK</t>
        </is>
      </c>
      <c r="B170" s="52" t="inlineStr">
        <is>
          <t>Ordnance</t>
        </is>
      </c>
      <c r="C170" s="53">
        <f>SUMIFS(JB_26BV,JB_B,1,JB_EX,"P-8a",JB_CC,"Ordnance",JB_H,"DDG",JB_CE,"MK 37 TOMAHAWK",JB_RC,"ALT")</f>
        <v/>
      </c>
      <c r="D170" s="37">
        <f>IFERROR(C170/C$180,0)</f>
        <v/>
      </c>
    </row>
    <row r="171" ht="10" customHeight="1">
      <c r="A171" s="52" t="inlineStr">
        <is>
          <t xml:space="preserve">  SPQ-9B Radar</t>
        </is>
      </c>
      <c r="B171" s="52" t="inlineStr">
        <is>
          <t>Ordnance</t>
        </is>
      </c>
      <c r="C171" s="53">
        <f>SUMIFS(JB_26BV,JB_B,1,JB_EX,"P-8a",JB_CC,"Ordnance",JB_H,"DDG",JB_CE,"SPQ-9B Radar",JB_RC,"ALT")</f>
        <v/>
      </c>
      <c r="D171" s="37">
        <f>IFERROR(C171/C$180,0)</f>
        <v/>
      </c>
    </row>
    <row r="172" ht="10" customHeight="1">
      <c r="A172" s="52" t="inlineStr">
        <is>
          <t xml:space="preserve">  PHALANX (CIWS)</t>
        </is>
      </c>
      <c r="B172" s="52" t="inlineStr">
        <is>
          <t>Ordnance</t>
        </is>
      </c>
      <c r="C172" s="53">
        <f>SUMIFS(JB_26BV,JB_B,1,JB_EX,"P-8a",JB_CC,"Ordnance",JB_H,"DDG",JB_CE,"PHALANX (CIWS)",JB_RC,"ALT")</f>
        <v/>
      </c>
      <c r="D172" s="37">
        <f>IFERROR(C172/C$180,0)</f>
        <v/>
      </c>
    </row>
    <row r="173" ht="10" customHeight="1">
      <c r="A173" s="52" t="inlineStr">
        <is>
          <t xml:space="preserve">  DDG 1002 Missile Tubes (CPS)</t>
        </is>
      </c>
      <c r="B173" s="52" t="inlineStr">
        <is>
          <t>Ordnance</t>
        </is>
      </c>
      <c r="C173" s="53">
        <f>SUMIFS(JB_26BV,JB_B,1,JB_EX,"P-8a",JB_CC,"Ordnance",JB_H,"DDG",JB_CE,"DDG 1002 Missile Tubes (CPS)",JB_RC,"ALT")</f>
        <v/>
      </c>
      <c r="D173" s="37">
        <f>IFERROR(C173/C$180,0)</f>
        <v/>
      </c>
    </row>
    <row r="174" ht="10" customHeight="1">
      <c r="A174" s="52" t="inlineStr">
        <is>
          <t xml:space="preserve">  MK-38 Gun Weapon System (GWS)</t>
        </is>
      </c>
      <c r="B174" s="52" t="inlineStr">
        <is>
          <t>Ordnance</t>
        </is>
      </c>
      <c r="C174" s="53">
        <f>SUMIFS(JB_26BV,JB_B,1,JB_EX,"P-8a",JB_CC,"Ordnance",JB_H,"DDG",JB_CE,"MK-38 Gun Weapon System (GWS)",JB_RC,"ALT")</f>
        <v/>
      </c>
      <c r="D174" s="37">
        <f>IFERROR(C174/C$180,0)</f>
        <v/>
      </c>
    </row>
    <row r="175" ht="10" customHeight="1">
      <c r="A175" s="52" t="inlineStr">
        <is>
          <t xml:space="preserve">  DDG 1002 Rubber Boots, Hatches, Shock Isolation (CPS)</t>
        </is>
      </c>
      <c r="B175" s="52" t="inlineStr">
        <is>
          <t>Ordnance</t>
        </is>
      </c>
      <c r="C175" s="53">
        <f>SUMIFS(JB_26BV,JB_B,1,JB_EX,"P-8a",JB_CC,"Ordnance",JB_H,"DDG",JB_CE,"DDG 1002 Rubber Boots, Hatches, Shock Isolation (CPS)",JB_RC,"ALT")</f>
        <v/>
      </c>
      <c r="D175" s="37">
        <f>IFERROR(C175/C$180,0)</f>
        <v/>
      </c>
    </row>
    <row r="176" ht="10" customHeight="1">
      <c r="A176" s="52" t="inlineStr">
        <is>
          <t xml:space="preserve">  CLOSE-IN GUN SYSTEM (CIGS)</t>
        </is>
      </c>
      <c r="B176" s="52" t="inlineStr">
        <is>
          <t>Ordnance</t>
        </is>
      </c>
      <c r="C176" s="53">
        <f>SUMIFS(JB_26BV,JB_B,1,JB_EX,"P-8a",JB_CC,"Ordnance",JB_H,"DDG",JB_CE,"CLOSE-IN GUN SYSTEM (CIGS)",JB_RC,"ALT")</f>
        <v/>
      </c>
      <c r="D176" s="37">
        <f>IFERROR(C176/C$180,0)</f>
        <v/>
      </c>
    </row>
    <row r="177" ht="10" customHeight="1">
      <c r="A177" s="52" t="inlineStr">
        <is>
          <t xml:space="preserve">  MK 160 Gun Fire Control System (GFCS)</t>
        </is>
      </c>
      <c r="B177" s="52" t="inlineStr">
        <is>
          <t>Ordnance</t>
        </is>
      </c>
      <c r="C177" s="53">
        <f>SUMIFS(JB_26BV,JB_B,1,JB_EX,"P-8a",JB_CC,"Ordnance",JB_H,"DDG",JB_CE,"MK 160 Gun Fire Control System (GFCS)",JB_RC,"ALT")</f>
        <v/>
      </c>
      <c r="D177" s="37">
        <f>IFERROR(C177/C$180,0)</f>
        <v/>
      </c>
    </row>
    <row r="178" ht="10" customHeight="1">
      <c r="A178" s="52" t="inlineStr">
        <is>
          <t xml:space="preserve">  ELECTRO-OPTICAL SYSTEM</t>
        </is>
      </c>
      <c r="B178" s="52" t="inlineStr">
        <is>
          <t>Ordnance</t>
        </is>
      </c>
      <c r="C178" s="53">
        <f>SUMIFS(JB_26BV,JB_B,1,JB_EX,"P-8a",JB_CC,"Ordnance",JB_H,"DDG",JB_CE,"ELECTRO-OPTICAL SYSTEM",JB_RC,"ALT")</f>
        <v/>
      </c>
      <c r="D178" s="37">
        <f>IFERROR(C178/C$180,0)</f>
        <v/>
      </c>
    </row>
    <row r="179" ht="10" customHeight="1">
      <c r="A179" s="52" t="inlineStr">
        <is>
          <t xml:space="preserve">  MK 32 Surface Vessel Torpedo Tubes (SVTT)</t>
        </is>
      </c>
      <c r="B179" s="52" t="inlineStr">
        <is>
          <t>Ordnance</t>
        </is>
      </c>
      <c r="C179" s="53">
        <f>SUMIFS(JB_26BV,JB_B,1,JB_EX,"P-8a",JB_CC,"Ordnance",JB_H,"DDG",JB_CE,"MK 32 Surface Vessel Torpedo Tubes (SVTT)",JB_RC,"ALT")</f>
        <v/>
      </c>
      <c r="D179" s="37">
        <f>IFERROR(C179/C$180,0)</f>
        <v/>
      </c>
    </row>
    <row r="180" ht="10" customHeight="1">
      <c r="A180" s="32" t="inlineStr">
        <is>
          <t>DDG Total</t>
        </is>
      </c>
      <c r="B180" s="54" t="n"/>
      <c r="C180" s="33">
        <f>C119+C152+C163</f>
        <v/>
      </c>
      <c r="D180" s="38" t="n">
        <v>1</v>
      </c>
      <c r="F180" s="32" t="inlineStr">
        <is>
          <t>LHA Total</t>
        </is>
      </c>
      <c r="G180" s="54" t="n"/>
      <c r="H180" s="33">
        <f>H119+H145+H149</f>
        <v/>
      </c>
      <c r="I180" s="38" t="n">
        <v>1</v>
      </c>
      <c r="K180" s="32" t="inlineStr">
        <is>
          <t>FFG Total</t>
        </is>
      </c>
      <c r="L180" s="54" t="n"/>
      <c r="M180" s="33">
        <f>M119+M127+M135</f>
        <v/>
      </c>
      <c r="N180" s="38" t="n">
        <v>1</v>
      </c>
      <c r="P180" s="32" t="inlineStr">
        <is>
          <t>LPD Total</t>
        </is>
      </c>
      <c r="Q180" s="54" t="n"/>
      <c r="R180" s="33">
        <f>R119+R137+R146</f>
        <v/>
      </c>
      <c r="S180" s="38" t="n">
        <v>1</v>
      </c>
    </row>
    <row r="181" ht="10" customHeight="1"/>
    <row r="182" ht="10" customHeight="1">
      <c r="A182" s="46" t="inlineStr">
        <is>
          <t>T-AGOS (Surveillance Ships)</t>
        </is>
      </c>
      <c r="B182" s="39" t="n"/>
      <c r="C182" s="39" t="n"/>
      <c r="D182" s="39" t="n"/>
      <c r="F182" s="46" t="inlineStr">
        <is>
          <t>T-AO (Combat Logistics Ships)</t>
        </is>
      </c>
      <c r="G182" s="39" t="n"/>
      <c r="H182" s="39" t="n"/>
      <c r="I182" s="39" t="n"/>
    </row>
    <row r="183" ht="10" customHeight="1">
      <c r="A183" s="29" t="inlineStr">
        <is>
          <t>System</t>
        </is>
      </c>
      <c r="B183" s="29" t="inlineStr">
        <is>
          <t>Cost Category</t>
        </is>
      </c>
      <c r="C183" s="29" t="inlineStr">
        <is>
          <t>FY2026 ($K)</t>
        </is>
      </c>
      <c r="D183" s="29" t="inlineStr">
        <is>
          <t>% of Hull</t>
        </is>
      </c>
      <c r="F183" s="29" t="inlineStr">
        <is>
          <t>System</t>
        </is>
      </c>
      <c r="G183" s="29" t="inlineStr">
        <is>
          <t>Cost Category</t>
        </is>
      </c>
      <c r="H183" s="29" t="inlineStr">
        <is>
          <t>FY2026 ($K)</t>
        </is>
      </c>
      <c r="I183" s="29" t="inlineStr">
        <is>
          <t>% of Hull</t>
        </is>
      </c>
    </row>
    <row r="184" ht="10" customHeight="1">
      <c r="A184" s="49" t="inlineStr">
        <is>
          <t>Electronics</t>
        </is>
      </c>
      <c r="C184" s="50">
        <f>SUM(C185:C186)</f>
        <v/>
      </c>
      <c r="D184" s="51">
        <f>IFERROR(C184/C$200,0)</f>
        <v/>
      </c>
      <c r="F184" s="49" t="inlineStr">
        <is>
          <t>Electronics</t>
        </is>
      </c>
      <c r="H184" s="50">
        <f>SUM(H185:H193)</f>
        <v/>
      </c>
      <c r="I184" s="51">
        <f>IFERROR(H184/H$200,0)</f>
        <v/>
      </c>
    </row>
    <row r="185" ht="10" customHeight="1">
      <c r="A185" s="52" t="inlineStr">
        <is>
          <t xml:space="preserve">  Surveillance Towed Array Sensor System (SURTASS)</t>
        </is>
      </c>
      <c r="B185" s="52" t="inlineStr">
        <is>
          <t>Electronics</t>
        </is>
      </c>
      <c r="C185" s="53">
        <f>SUMIFS(JB_26BV,JB_B,1,JB_EX,"P-8a",JB_CC,"Electronics",JB_H,"T-AGOS",JB_CE,"Surveillance Towed Array Sensor System (SURTASS)",JB_RC,"ALT")</f>
        <v/>
      </c>
      <c r="D185" s="37">
        <f>IFERROR(C185/C$200,0)</f>
        <v/>
      </c>
      <c r="F185" s="52" t="inlineStr">
        <is>
          <t xml:space="preserve">  Network Management System (NMS) 2.0/Consolidated Afloat Networks and Enterprise Services (CANES) [T-AO 214]</t>
        </is>
      </c>
      <c r="G185" s="52" t="inlineStr">
        <is>
          <t>Electronics</t>
        </is>
      </c>
      <c r="H185" s="53">
        <f>SUMIFS(JB_26BV,JB_B,1,JB_EX,"P-8a",JB_CC,"Electronics",JB_H,"T-AO",JB_CE,"Network Management System (NMS) 2.0/Consolidated Afloat Networks and Enterprise Services (CANES) [T-AO 214]",JB_RC,"ALT")</f>
        <v/>
      </c>
      <c r="I185" s="37">
        <f>IFERROR(H185/H$200,0)</f>
        <v/>
      </c>
    </row>
    <row r="186" ht="10" customHeight="1">
      <c r="A186" s="52" t="inlineStr">
        <is>
          <t xml:space="preserve">  Command, Control, Communications, Computers and Intelligence (C4I)</t>
        </is>
      </c>
      <c r="B186" s="52" t="inlineStr">
        <is>
          <t>Electronics</t>
        </is>
      </c>
      <c r="C186" s="53">
        <f>SUMIFS(JB_26BV,JB_B,1,JB_EX,"P-8a",JB_CC,"Electronics",JB_H,"T-AGOS",JB_CE,"Command, Control, Communications, Computers and Intelligence (C4I)",JB_RC,"ALT")</f>
        <v/>
      </c>
      <c r="D186" s="37">
        <f>IFERROR(C186/C$200,0)</f>
        <v/>
      </c>
      <c r="F186" s="52" t="inlineStr">
        <is>
          <t xml:space="preserve">  Minor Systems</t>
        </is>
      </c>
      <c r="G186" s="52" t="inlineStr">
        <is>
          <t>Electronics</t>
        </is>
      </c>
      <c r="H186" s="53">
        <f>SUMIFS(JB_26BV,JB_B,1,JB_EX,"P-8a",JB_CC,"Electronics",JB_H,"T-AO",JB_CE,"Minor Systems",JB_RC,"ALT")</f>
        <v/>
      </c>
      <c r="I186" s="37">
        <f>IFERROR(H186/H$200,0)</f>
        <v/>
      </c>
    </row>
    <row r="187" ht="10" customHeight="1">
      <c r="F187" s="52" t="inlineStr">
        <is>
          <t xml:space="preserve">  Radio Communication System (RCS) TURNKEY</t>
        </is>
      </c>
      <c r="G187" s="52" t="inlineStr">
        <is>
          <t>Electronics</t>
        </is>
      </c>
      <c r="H187" s="53">
        <f>SUMIFS(JB_26BV,JB_B,1,JB_EX,"P-8a",JB_CC,"Electronics",JB_H,"T-AO",JB_CE,"Radio Communication System (RCS) TURNKEY",JB_RC,"ALT")</f>
        <v/>
      </c>
      <c r="I187" s="37">
        <f>IFERROR(H187/H$200,0)</f>
        <v/>
      </c>
    </row>
    <row r="188" ht="10" customHeight="1">
      <c r="F188" s="52" t="inlineStr">
        <is>
          <t xml:space="preserve">  AN/SLQ-25 NIXIE</t>
        </is>
      </c>
      <c r="G188" s="52" t="inlineStr">
        <is>
          <t>Electronics</t>
        </is>
      </c>
      <c r="H188" s="53">
        <f>SUMIFS(JB_26BV,JB_B,1,JB_EX,"P-8a",JB_CC,"Electronics",JB_H,"T-AO",JB_CE,"AN/SLQ-25 NIXIE",JB_RC,"ALT")</f>
        <v/>
      </c>
      <c r="I188" s="37">
        <f>IFERROR(H188/H$200,0)</f>
        <v/>
      </c>
    </row>
    <row r="189" ht="10" customHeight="1">
      <c r="F189" s="52" t="inlineStr">
        <is>
          <t xml:space="preserve">  Digital Modular Radio (DMR)</t>
        </is>
      </c>
      <c r="G189" s="52" t="inlineStr">
        <is>
          <t>Electronics</t>
        </is>
      </c>
      <c r="H189" s="53">
        <f>SUMIFS(JB_26BV,JB_B,1,JB_EX,"P-8a",JB_CC,"Electronics",JB_H,"T-AO",JB_CE,"Digital Modular Radio (DMR)",JB_RC,"ALT")</f>
        <v/>
      </c>
      <c r="I189" s="37">
        <f>IFERROR(H189/H$200,0)</f>
        <v/>
      </c>
    </row>
    <row r="190" ht="10" customHeight="1">
      <c r="F190" s="52" t="inlineStr">
        <is>
          <t xml:space="preserve">  Commercial Broadband Satellite Program (CBSP)</t>
        </is>
      </c>
      <c r="G190" s="52" t="inlineStr">
        <is>
          <t>Electronics</t>
        </is>
      </c>
      <c r="H190" s="53">
        <f>SUMIFS(JB_26BV,JB_B,1,JB_EX,"P-8a",JB_CC,"Electronics",JB_H,"T-AO",JB_CE,"Commercial Broadband Satellite Program (CBSP)",JB_RC,"ALT")</f>
        <v/>
      </c>
      <c r="I190" s="37">
        <f>IFERROR(H190/H$200,0)</f>
        <v/>
      </c>
    </row>
    <row r="191" ht="10" customHeight="1">
      <c r="F191" s="52" t="inlineStr">
        <is>
          <t xml:space="preserve">  OA-9277A</t>
        </is>
      </c>
      <c r="G191" s="52" t="inlineStr">
        <is>
          <t>Electronics</t>
        </is>
      </c>
      <c r="H191" s="53">
        <f>SUMIFS(JB_26BV,JB_B,1,JB_EX,"P-8a",JB_CC,"Electronics",JB_H,"T-AO",JB_CE,"OA-9277A",JB_RC,"ALT")</f>
        <v/>
      </c>
      <c r="I191" s="37">
        <f>IFERROR(H191/H$200,0)</f>
        <v/>
      </c>
    </row>
    <row r="192" ht="10" customHeight="1">
      <c r="F192" s="52" t="inlineStr">
        <is>
          <t xml:space="preserve">  Battle Force Tactical Network (BFTN)/BFTN Resilient Command and Control System Enhancement (BRSE)</t>
        </is>
      </c>
      <c r="G192" s="52" t="inlineStr">
        <is>
          <t>Electronics</t>
        </is>
      </c>
      <c r="H192" s="53">
        <f>SUMIFS(JB_26BV,JB_B,1,JB_EX,"P-8a",JB_CC,"Electronics",JB_H,"T-AO",JB_CE,"Battle Force Tactical Network (BFTN)/BFTN Resilient Command and Control System Enhancement (BRSE)",JB_RC,"ALT")</f>
        <v/>
      </c>
      <c r="I192" s="37">
        <f>IFERROR(H192/H$200,0)</f>
        <v/>
      </c>
    </row>
    <row r="193" ht="10" customHeight="1">
      <c r="F193" s="52" t="inlineStr">
        <is>
          <t xml:space="preserve">  AN/USQ-155 Tactical Variant Switch (TVS)</t>
        </is>
      </c>
      <c r="G193" s="52" t="inlineStr">
        <is>
          <t>Electronics</t>
        </is>
      </c>
      <c r="H193" s="53">
        <f>SUMIFS(JB_26BV,JB_B,1,JB_EX,"P-8a",JB_CC,"Electronics",JB_H,"T-AO",JB_CE,"AN/USQ-155 Tactical Variant Switch (TVS)",JB_RC,"ALT")</f>
        <v/>
      </c>
      <c r="I193" s="37">
        <f>IFERROR(H193/H$200,0)</f>
        <v/>
      </c>
    </row>
    <row r="194" ht="10" customHeight="1">
      <c r="F194" s="49" t="inlineStr">
        <is>
          <t>Hull, Mechanical, and Electrical</t>
        </is>
      </c>
      <c r="H194" s="50">
        <f>SUM(H195:H199)</f>
        <v/>
      </c>
      <c r="I194" s="51">
        <f>IFERROR(H194/H$200,0)</f>
        <v/>
      </c>
    </row>
    <row r="195" ht="10" customHeight="1">
      <c r="F195" s="52" t="inlineStr">
        <is>
          <t xml:space="preserve">  Engineering Services</t>
        </is>
      </c>
      <c r="G195" s="52" t="inlineStr">
        <is>
          <t>Hull, Mechanical, and Electrical</t>
        </is>
      </c>
      <c r="H195" s="53">
        <f>SUMIFS(JB_26BV,JB_B,1,JB_EX,"P-8a",JB_CC,"Hull, Mechanical, and Electrical",JB_H,"T-AO",JB_CE,"Engineering Services",JB_RC,"ALT")</f>
        <v/>
      </c>
      <c r="I195" s="37">
        <f>IFERROR(H195/H$200,0)</f>
        <v/>
      </c>
    </row>
    <row r="196" ht="10" customHeight="1">
      <c r="F196" s="52" t="inlineStr">
        <is>
          <t xml:space="preserve">  Logistics Support Services</t>
        </is>
      </c>
      <c r="G196" s="52" t="inlineStr">
        <is>
          <t>Hull, Mechanical, and Electrical</t>
        </is>
      </c>
      <c r="H196" s="53">
        <f>SUMIFS(JB_26BV,JB_B,1,JB_EX,"P-8a",JB_CC,"Hull, Mechanical, and Electrical",JB_H,"T-AO",JB_CE,"Logistics Support Services",JB_RC,"ALT")</f>
        <v/>
      </c>
      <c r="I196" s="37">
        <f>IFERROR(H196/H$200,0)</f>
        <v/>
      </c>
    </row>
    <row r="197" ht="10" customHeight="1">
      <c r="F197" s="52" t="inlineStr">
        <is>
          <t xml:space="preserve">  Material Handling Equipment</t>
        </is>
      </c>
      <c r="G197" s="52" t="inlineStr">
        <is>
          <t>Hull, Mechanical, and Electrical</t>
        </is>
      </c>
      <c r="H197" s="53">
        <f>SUMIFS(JB_26BV,JB_B,1,JB_EX,"P-8a",JB_CC,"Hull, Mechanical, and Electrical",JB_H,"T-AO",JB_CE,"Material Handling Equipment",JB_RC,"ALT")</f>
        <v/>
      </c>
      <c r="I197" s="37">
        <f>IFERROR(H197/H$200,0)</f>
        <v/>
      </c>
    </row>
    <row r="198" ht="10" customHeight="1">
      <c r="F198" s="52" t="inlineStr">
        <is>
          <t xml:space="preserve">  Improved Point Detection System - Lifecycle Replacement (IPDS-LR)</t>
        </is>
      </c>
      <c r="G198" s="52" t="inlineStr">
        <is>
          <t>Hull, Mechanical, and Electrical</t>
        </is>
      </c>
      <c r="H198" s="53">
        <f>SUMIFS(JB_26BV,JB_B,1,JB_EX,"P-8a",JB_CC,"Hull, Mechanical, and Electrical",JB_H,"T-AO",JB_CE,"Improved Point Detection System - Lifecycle Replacement (IPDS-LR)",JB_RC,"ALT")</f>
        <v/>
      </c>
      <c r="I198" s="37">
        <f>IFERROR(H198/H$200,0)</f>
        <v/>
      </c>
    </row>
    <row r="199" ht="10" customHeight="1">
      <c r="F199" s="52" t="inlineStr">
        <is>
          <t xml:space="preserve">  Shipboard Automated Maintenance Module (SAMM)</t>
        </is>
      </c>
      <c r="G199" s="52" t="inlineStr">
        <is>
          <t>Hull, Mechanical, and Electrical</t>
        </is>
      </c>
      <c r="H199" s="53">
        <f>SUMIFS(JB_26BV,JB_B,1,JB_EX,"P-8a",JB_CC,"Hull, Mechanical, and Electrical",JB_H,"T-AO",JB_CE,"Shipboard Automated Maintenance Module (SAMM)",JB_RC,"ALT")</f>
        <v/>
      </c>
      <c r="I199" s="37">
        <f>IFERROR(H199/H$200,0)</f>
        <v/>
      </c>
    </row>
    <row r="200" ht="10" customHeight="1">
      <c r="A200" s="32" t="inlineStr">
        <is>
          <t>T-AGOS Total</t>
        </is>
      </c>
      <c r="B200" s="54" t="n"/>
      <c r="C200" s="33">
        <f>C184</f>
        <v/>
      </c>
      <c r="D200" s="38" t="n">
        <v>1</v>
      </c>
      <c r="F200" s="32" t="inlineStr">
        <is>
          <t>T-AO Total</t>
        </is>
      </c>
      <c r="G200" s="54" t="n"/>
      <c r="H200" s="33">
        <f>H184+H194</f>
        <v/>
      </c>
      <c r="I200" s="38" t="n">
        <v>1</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tabColor rgb="004472C4"/>
    <outlinePr summaryBelow="1" summaryRight="1"/>
    <pageSetUpPr/>
  </sheetPr>
  <dimension ref="A1:L67"/>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ht="10" customHeight="1">
      <c r="A1" s="24" t="inlineStr">
        <is>
          <t>MRO TAM — FY2026 ($K)</t>
        </is>
      </c>
      <c r="B1" s="25" t="n"/>
      <c r="C1" s="25" t="n"/>
      <c r="D1" s="25" t="n"/>
      <c r="E1" s="25" t="n"/>
      <c r="F1" s="25" t="n"/>
      <c r="G1" s="25" t="n"/>
      <c r="H1" s="25" t="n"/>
      <c r="I1" s="25" t="n"/>
      <c r="J1" s="25" t="n"/>
      <c r="K1" s="25" t="n"/>
      <c r="L1" s="25" t="n"/>
    </row>
    <row r="2" ht="10" customHeight="1">
      <c r="A2" s="26" t="inlineStr">
        <is>
          <t>Total Funding narrowed to all post-construction work — depot maintenance, continuous &amp; emergent repair, modernization &amp; alterations, major life-cycle events, sustainment engineering, and availability support — and only oceangoing vessels. Same vessel scope as Newbuild TAM; limited to line items with clear vessel type designation.</t>
        </is>
      </c>
    </row>
    <row r="3" ht="10" customHeight="1"/>
    <row r="4" ht="10" customHeight="1">
      <c r="A4" s="27" t="inlineStr">
        <is>
          <t>(A) Bridge: Total MRO Funding → MRO TAM</t>
        </is>
      </c>
      <c r="B4" s="28" t="n"/>
    </row>
    <row r="5" ht="10" customHeight="1">
      <c r="A5" s="30" t="inlineStr">
        <is>
          <t>Total MRO Funding (Buckets 2–7)</t>
        </is>
      </c>
      <c r="B5" s="31">
        <f>SUMIFS(JB_26BV,JB_B,2,JB_RC,"ADD")+SUMIFS(JB_26BV,JB_B,3,JB_RC,"ADD")+SUMIFS(JB_26BV,JB_B,4,JB_RC,"ADD")+SUMIFS(JB_26BV,JB_B,5,JB_RC,"ADD")+SUMIFS(JB_26BV,JB_B,6,JB_RC,"ADD")+SUMIFS(JB_26BV,JB_B,7,JB_RC,"ADD")</f>
        <v/>
      </c>
    </row>
    <row r="6" ht="10" customHeight="1">
      <c r="A6" s="30" t="inlineStr">
        <is>
          <t xml:space="preserve">  Less: Unattributed (fleet-wide MRO items)</t>
        </is>
      </c>
      <c r="B6" s="31">
        <f>-(SUMIFS(JB_26BV,JB_B,2,JB_V,"",JB_RC,"ADD")+SUMIFS(JB_26BV,JB_B,3,JB_V,"",JB_RC,"ADD")+SUMIFS(JB_26BV,JB_B,4,JB_V,"",JB_RC,"ADD")+SUMIFS(JB_26BV,JB_B,5,JB_V,"",JB_RC,"ADD")+SUMIFS(JB_26BV,JB_B,6,JB_V,"",JB_RC,"ADD")+SUMIFS(JB_26BV,JB_B,7,JB_V,"",JB_RC,"ADD"))</f>
        <v/>
      </c>
    </row>
    <row r="7" ht="10" customHeight="1">
      <c r="A7" s="30" t="inlineStr">
        <is>
          <t xml:space="preserve">  Less: Combatant Crafts</t>
        </is>
      </c>
      <c r="B7" s="31">
        <f>-(SUMIFS(JB_26BV,JB_B,2,JB_V,"Combatant Crafts",JB_RC,"ADD")+SUMIFS(JB_26BV,JB_B,3,JB_V,"Combatant Crafts",JB_RC,"ADD")+SUMIFS(JB_26BV,JB_B,4,JB_V,"Combatant Crafts",JB_RC,"ADD")+SUMIFS(JB_26BV,JB_B,5,JB_V,"Combatant Crafts",JB_RC,"ADD")+SUMIFS(JB_26BV,JB_B,6,JB_V,"Combatant Crafts",JB_RC,"ADD")+SUMIFS(JB_26BV,JB_B,7,JB_V,"Combatant Crafts",JB_RC,"ADD"))</f>
        <v/>
      </c>
    </row>
    <row r="8" ht="10" customHeight="1">
      <c r="A8" s="30" t="inlineStr">
        <is>
          <t xml:space="preserve">  Less: Support Crafts</t>
        </is>
      </c>
      <c r="B8" s="31">
        <f>-(SUMIFS(JB_26BV,JB_B,2,JB_V,"Support Crafts",JB_RC,"ADD")+SUMIFS(JB_26BV,JB_B,3,JB_V,"Support Crafts",JB_RC,"ADD")+SUMIFS(JB_26BV,JB_B,4,JB_V,"Support Crafts",JB_RC,"ADD")+SUMIFS(JB_26BV,JB_B,5,JB_V,"Support Crafts",JB_RC,"ADD")+SUMIFS(JB_26BV,JB_B,6,JB_V,"Support Crafts",JB_RC,"ADD")+SUMIFS(JB_26BV,JB_B,7,JB_V,"Support Crafts",JB_RC,"ADD"))</f>
        <v/>
      </c>
    </row>
    <row r="9" ht="10" customHeight="1">
      <c r="A9" s="30" t="inlineStr">
        <is>
          <t xml:space="preserve">  Less: Boats</t>
        </is>
      </c>
      <c r="B9" s="31">
        <f>-(SUMIFS(JB_26BV,JB_B,2,JB_V,"Boats",JB_RC,"ADD")+SUMIFS(JB_26BV,JB_B,3,JB_V,"Boats",JB_RC,"ADD")+SUMIFS(JB_26BV,JB_B,4,JB_V,"Boats",JB_RC,"ADD")+SUMIFS(JB_26BV,JB_B,5,JB_V,"Boats",JB_RC,"ADD")+SUMIFS(JB_26BV,JB_B,6,JB_V,"Boats",JB_RC,"ADD")+SUMIFS(JB_26BV,JB_B,7,JB_V,"Boats",JB_RC,"ADD"))</f>
        <v/>
      </c>
    </row>
    <row r="10" ht="10" customHeight="1">
      <c r="A10" s="30" t="inlineStr">
        <is>
          <t xml:space="preserve">  Less: No vessel type designation</t>
        </is>
      </c>
      <c r="B10" s="31">
        <f>-(SUMIFS(JB_26BV,JB_B,2,JB_V,"Auxiliary Ships",JB_W,"",JB_RC,"ADD")+SUMIFS(JB_26BV,JB_B,2,JB_V,"Combatant Ships",JB_W,"",JB_RC,"ADD")+SUMIFS(JB_26BV,JB_B,2,JB_V,"Cutters",JB_W,"",JB_RC,"ADD")+SUMIFS(JB_26BV,JB_B,2,JB_V,"Unmanned Maritime Platforms",JB_W,"",JB_RC,"ADD")+SUMIFS(JB_26BV,JB_B,3,JB_V,"Auxiliary Ships",JB_W,"",JB_RC,"ADD")+SUMIFS(JB_26BV,JB_B,3,JB_V,"Combatant Ships",JB_W,"",JB_RC,"ADD")+SUMIFS(JB_26BV,JB_B,3,JB_V,"Cutters",JB_W,"",JB_RC,"ADD")+SUMIFS(JB_26BV,JB_B,3,JB_V,"Unmanned Maritime Platforms",JB_W,"",JB_RC,"ADD")+SUMIFS(JB_26BV,JB_B,4,JB_V,"Auxiliary Ships",JB_W,"",JB_RC,"ADD")+SUMIFS(JB_26BV,JB_B,4,JB_V,"Combatant Ships",JB_W,"",JB_RC,"ADD")+SUMIFS(JB_26BV,JB_B,4,JB_V,"Cutters",JB_W,"",JB_RC,"ADD")+SUMIFS(JB_26BV,JB_B,4,JB_V,"Unmanned Maritime Platforms",JB_W,"",JB_RC,"ADD")+SUMIFS(JB_26BV,JB_B,5,JB_V,"Auxiliary Ships",JB_W,"",JB_RC,"ADD")+SUMIFS(JB_26BV,JB_B,5,JB_V,"Combatant Ships",JB_W,"",JB_RC,"ADD")+SUMIFS(JB_26BV,JB_B,5,JB_V,"Cutters",JB_W,"",JB_RC,"ADD")+SUMIFS(JB_26BV,JB_B,5,JB_V,"Unmanned Maritime Platforms",JB_W,"",JB_RC,"ADD")+SUMIFS(JB_26BV,JB_B,6,JB_V,"Auxiliary Ships",JB_W,"",JB_RC,"ADD")+SUMIFS(JB_26BV,JB_B,6,JB_V,"Combatant Ships",JB_W,"",JB_RC,"ADD")+SUMIFS(JB_26BV,JB_B,6,JB_V,"Cutters",JB_W,"",JB_RC,"ADD")+SUMIFS(JB_26BV,JB_B,6,JB_V,"Unmanned Maritime Platforms",JB_W,"",JB_RC,"ADD")+SUMIFS(JB_26BV,JB_B,7,JB_V,"Auxiliary Ships",JB_W,"",JB_RC,"ADD")+SUMIFS(JB_26BV,JB_B,7,JB_V,"Combatant Ships",JB_W,"",JB_RC,"ADD")+SUMIFS(JB_26BV,JB_B,7,JB_V,"Cutters",JB_W,"",JB_RC,"ADD")+SUMIFS(JB_26BV,JB_B,7,JB_V,"Unmanned Maritime Platforms",JB_W,"",JB_RC,"ADD"))</f>
        <v/>
      </c>
    </row>
    <row r="11" ht="10" customHeight="1">
      <c r="A11" s="32" t="inlineStr">
        <is>
          <t>MRO TAM</t>
        </is>
      </c>
      <c r="B11" s="33">
        <f>SUM(B5:B10)</f>
        <v/>
      </c>
    </row>
    <row r="12" ht="10" customHeight="1"/>
    <row r="13" ht="10" customHeight="1"/>
    <row r="14" ht="10" customHeight="1">
      <c r="A14" s="27" t="inlineStr">
        <is>
          <t>(B) MRO TAM by Work Type</t>
        </is>
      </c>
      <c r="B14" s="28" t="n"/>
      <c r="C14" s="28" t="n"/>
    </row>
    <row r="15" ht="10" customHeight="1">
      <c r="A15" s="29" t="inlineStr">
        <is>
          <t>Work Type</t>
        </is>
      </c>
      <c r="B15" s="29" t="inlineStr">
        <is>
          <t>FY2026 ($K)</t>
        </is>
      </c>
      <c r="C15" s="29" t="inlineStr">
        <is>
          <t>% of TAM</t>
        </is>
      </c>
    </row>
    <row r="16" ht="10" customHeight="1">
      <c r="A16" s="30" t="inlineStr">
        <is>
          <t>Scheduled Depot Maintenance</t>
        </is>
      </c>
      <c r="B16" s="31">
        <f>SUMIFS(JB_26BV,JB_B,2,JB_V,"Auxiliary Ships",JB_RC,"ADD")+SUMIFS(JB_26BV,JB_B,2,JB_V,"Combatant Ships",JB_RC,"ADD")+SUMIFS(JB_26BV,JB_B,2,JB_V,"Cutters",JB_RC,"ADD")+SUMIFS(JB_26BV,JB_B,2,JB_V,"Unmanned Maritime Platforms",JB_RC,"ADD")</f>
        <v/>
      </c>
      <c r="C16" s="37">
        <f>IFERROR(B16/B$22,0)</f>
        <v/>
      </c>
    </row>
    <row r="17" ht="10" customHeight="1">
      <c r="A17" s="30" t="inlineStr">
        <is>
          <t>Continuous / Emergent Maintenance</t>
        </is>
      </c>
      <c r="B17" s="31">
        <f>SUMIFS(JB_26BV,JB_B,3,JB_V,"Auxiliary Ships",JB_RC,"ADD")+SUMIFS(JB_26BV,JB_B,3,JB_V,"Combatant Ships",JB_RC,"ADD")+SUMIFS(JB_26BV,JB_B,3,JB_V,"Cutters",JB_RC,"ADD")+SUMIFS(JB_26BV,JB_B,3,JB_V,"Unmanned Maritime Platforms",JB_RC,"ADD")</f>
        <v/>
      </c>
      <c r="C17" s="37">
        <f>IFERROR(B17/B$22,0)</f>
        <v/>
      </c>
    </row>
    <row r="18" ht="10" customHeight="1">
      <c r="A18" s="30" t="inlineStr">
        <is>
          <t>Modernization</t>
        </is>
      </c>
      <c r="B18" s="31">
        <f>SUMIFS(JB_26BV,JB_B,4,JB_V,"Auxiliary Ships",JB_RC,"ADD")+SUMIFS(JB_26BV,JB_B,4,JB_V,"Combatant Ships",JB_RC,"ADD")+SUMIFS(JB_26BV,JB_B,4,JB_V,"Cutters",JB_RC,"ADD")+SUMIFS(JB_26BV,JB_B,4,JB_V,"Unmanned Maritime Platforms",JB_RC,"ADD")</f>
        <v/>
      </c>
      <c r="C18" s="37">
        <f>IFERROR(B18/B$22,0)</f>
        <v/>
      </c>
    </row>
    <row r="19" ht="10" customHeight="1">
      <c r="A19" s="30" t="inlineStr">
        <is>
          <t>Major Life-Cycle Events / RCOH</t>
        </is>
      </c>
      <c r="B19" s="31">
        <f>SUMIFS(JB_26BV,JB_B,5,JB_V,"Auxiliary Ships",JB_RC,"ADD")+SUMIFS(JB_26BV,JB_B,5,JB_V,"Combatant Ships",JB_RC,"ADD")+SUMIFS(JB_26BV,JB_B,5,JB_V,"Cutters",JB_RC,"ADD")+SUMIFS(JB_26BV,JB_B,5,JB_V,"Unmanned Maritime Platforms",JB_RC,"ADD")</f>
        <v/>
      </c>
      <c r="C19" s="37">
        <f>IFERROR(B19/B$22,0)</f>
        <v/>
      </c>
    </row>
    <row r="20" ht="10" customHeight="1">
      <c r="A20" s="30" t="inlineStr">
        <is>
          <t>Sustainment Engineering</t>
        </is>
      </c>
      <c r="B20" s="31">
        <f>SUMIFS(JB_26BV,JB_B,6,JB_V,"Auxiliary Ships",JB_RC,"ADD")+SUMIFS(JB_26BV,JB_B,6,JB_V,"Combatant Ships",JB_RC,"ADD")+SUMIFS(JB_26BV,JB_B,6,JB_V,"Cutters",JB_RC,"ADD")+SUMIFS(JB_26BV,JB_B,6,JB_V,"Unmanned Maritime Platforms",JB_RC,"ADD")</f>
        <v/>
      </c>
      <c r="C20" s="37">
        <f>IFERROR(B20/B$22,0)</f>
        <v/>
      </c>
    </row>
    <row r="21" ht="10" customHeight="1">
      <c r="A21" s="30" t="inlineStr">
        <is>
          <t>Availability Support</t>
        </is>
      </c>
      <c r="B21" s="31">
        <f>SUMIFS(JB_26BV,JB_B,7,JB_V,"Auxiliary Ships",JB_RC,"ADD")+SUMIFS(JB_26BV,JB_B,7,JB_V,"Combatant Ships",JB_RC,"ADD")+SUMIFS(JB_26BV,JB_B,7,JB_V,"Cutters",JB_RC,"ADD")+SUMIFS(JB_26BV,JB_B,7,JB_V,"Unmanned Maritime Platforms",JB_RC,"ADD")</f>
        <v/>
      </c>
      <c r="C21" s="37">
        <f>IFERROR(B21/B$22,0)</f>
        <v/>
      </c>
    </row>
    <row r="22" ht="10" customHeight="1">
      <c r="A22" s="32" t="inlineStr">
        <is>
          <t>MRO TAM</t>
        </is>
      </c>
      <c r="B22" s="33">
        <f>SUM(B16:B21)</f>
        <v/>
      </c>
      <c r="C22" s="38" t="n">
        <v>1</v>
      </c>
    </row>
    <row r="23" ht="10" customHeight="1"/>
    <row r="24" ht="10" customHeight="1"/>
    <row r="25" ht="10" customHeight="1">
      <c r="A25" s="27" t="inlineStr">
        <is>
          <t>(C) MRO TAM by Vessel Type</t>
        </is>
      </c>
      <c r="B25" s="28" t="n"/>
      <c r="C25" s="28" t="n"/>
      <c r="D25" s="28" t="n"/>
    </row>
    <row r="26" ht="10" customHeight="1">
      <c r="A26" s="29" t="inlineStr">
        <is>
          <t>Vessel Type</t>
        </is>
      </c>
      <c r="B26" s="29" t="inlineStr">
        <is>
          <t>Service</t>
        </is>
      </c>
      <c r="C26" s="29" t="inlineStr">
        <is>
          <t>FY2026 ($K)</t>
        </is>
      </c>
      <c r="D26" s="29" t="inlineStr">
        <is>
          <t>% of TAM</t>
        </is>
      </c>
    </row>
    <row r="27" ht="10" customHeight="1">
      <c r="A27" s="30" t="inlineStr">
        <is>
          <t>Submarines</t>
        </is>
      </c>
      <c r="B27" s="30" t="inlineStr">
        <is>
          <t>USN</t>
        </is>
      </c>
      <c r="C27" s="31">
        <f>SUMIFS(JB_26BV,JB_B,2,JB_W,"Submarines",JB_RC,"ADD")+SUMIFS(JB_26BV,JB_B,3,JB_W,"Submarines",JB_RC,"ADD")+SUMIFS(JB_26BV,JB_B,4,JB_W,"Submarines",JB_RC,"ADD")+SUMIFS(JB_26BV,JB_B,5,JB_W,"Submarines",JB_RC,"ADD")+SUMIFS(JB_26BV,JB_B,6,JB_W,"Submarines",JB_RC,"ADD")+SUMIFS(JB_26BV,JB_B,7,JB_W,"Submarines",JB_RC,"ADD")</f>
        <v/>
      </c>
      <c r="D27" s="37">
        <f>IFERROR(C27/C$55,0)</f>
        <v/>
      </c>
    </row>
    <row r="28" ht="10" customHeight="1">
      <c r="A28" s="30" t="inlineStr">
        <is>
          <t>Surface Combatants</t>
        </is>
      </c>
      <c r="B28" s="30" t="inlineStr">
        <is>
          <t>USN</t>
        </is>
      </c>
      <c r="C28" s="31">
        <f>SUMIFS(JB_26BV,JB_B,2,JB_W,"Surface Combatants",JB_RC,"ADD")+SUMIFS(JB_26BV,JB_B,3,JB_W,"Surface Combatants",JB_RC,"ADD")+SUMIFS(JB_26BV,JB_B,4,JB_W,"Surface Combatants",JB_RC,"ADD")+SUMIFS(JB_26BV,JB_B,5,JB_W,"Surface Combatants",JB_RC,"ADD")+SUMIFS(JB_26BV,JB_B,6,JB_W,"Surface Combatants",JB_RC,"ADD")+SUMIFS(JB_26BV,JB_B,7,JB_W,"Surface Combatants",JB_RC,"ADD")</f>
        <v/>
      </c>
      <c r="D28" s="37">
        <f>IFERROR(C28/C$55,0)</f>
        <v/>
      </c>
    </row>
    <row r="29" ht="10" customHeight="1">
      <c r="A29" s="30" t="inlineStr">
        <is>
          <t>Aircraft Carriers</t>
        </is>
      </c>
      <c r="B29" s="30" t="inlineStr">
        <is>
          <t>USN</t>
        </is>
      </c>
      <c r="C29" s="31">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
      </c>
      <c r="D29" s="37">
        <f>IFERROR(C29/C$55,0)</f>
        <v/>
      </c>
    </row>
    <row r="30" ht="10" customHeight="1">
      <c r="A30" s="30" t="inlineStr">
        <is>
          <t>Amphibious Warfare Ships</t>
        </is>
      </c>
      <c r="B30" s="30" t="inlineStr">
        <is>
          <t>USN</t>
        </is>
      </c>
      <c r="C30" s="31">
        <f>SUMIFS(JB_26BV,JB_B,2,JB_W,"Amphibious Warfare Ships",JB_RC,"ADD")+SUMIFS(JB_26BV,JB_B,3,JB_W,"Amphibious Warfare Ships",JB_RC,"ADD")+SUMIFS(JB_26BV,JB_B,4,JB_W,"Amphibious Warfare Ships",JB_RC,"ADD")+SUMIFS(JB_26BV,JB_B,5,JB_W,"Amphibious Warfare Ships",JB_RC,"ADD")+SUMIFS(JB_26BV,JB_B,6,JB_W,"Amphibious Warfare Ships",JB_RC,"ADD")+SUMIFS(JB_26BV,JB_B,7,JB_W,"Amphibious Warfare Ships",JB_RC,"ADD")</f>
        <v/>
      </c>
      <c r="D30" s="37">
        <f>IFERROR(C30/C$55,0)</f>
        <v/>
      </c>
    </row>
    <row r="31" ht="10" customHeight="1">
      <c r="A31" s="30" t="inlineStr">
        <is>
          <t>Expeditionary &amp; Seabasing Ships</t>
        </is>
      </c>
      <c r="B31" s="30" t="inlineStr">
        <is>
          <t>USN</t>
        </is>
      </c>
      <c r="C31" s="31">
        <f>SUMIFS(JB_26BV,JB_B,2,JB_W,"Expeditionary &amp; Seabasing Ships",JB_RC,"ADD")+SUMIFS(JB_26BV,JB_B,3,JB_W,"Expeditionary &amp; Seabasing Ships",JB_RC,"ADD")+SUMIFS(JB_26BV,JB_B,4,JB_W,"Expeditionary &amp; Seabasing Ships",JB_RC,"ADD")+SUMIFS(JB_26BV,JB_B,5,JB_W,"Expeditionary &amp; Seabasing Ships",JB_RC,"ADD")+SUMIFS(JB_26BV,JB_B,6,JB_W,"Expeditionary &amp; Seabasing Ships",JB_RC,"ADD")+SUMIFS(JB_26BV,JB_B,7,JB_W,"Expeditionary &amp; Seabasing Ships",JB_RC,"ADD")</f>
        <v/>
      </c>
      <c r="D31" s="37">
        <f>IFERROR(C31/C$55,0)</f>
        <v/>
      </c>
    </row>
    <row r="32" ht="10" customHeight="1">
      <c r="A32" s="30" t="inlineStr">
        <is>
          <t>Command Ships</t>
        </is>
      </c>
      <c r="B32" s="30" t="inlineStr">
        <is>
          <t>USN</t>
        </is>
      </c>
      <c r="C32" s="31">
        <f>SUMIFS(JB_26BV,JB_B,2,JB_W,"Command Ships",JB_RC,"ADD")+SUMIFS(JB_26BV,JB_B,3,JB_W,"Command Ships",JB_RC,"ADD")+SUMIFS(JB_26BV,JB_B,4,JB_W,"Command Ships",JB_RC,"ADD")+SUMIFS(JB_26BV,JB_B,5,JB_W,"Command Ships",JB_RC,"ADD")+SUMIFS(JB_26BV,JB_B,6,JB_W,"Command Ships",JB_RC,"ADD")+SUMIFS(JB_26BV,JB_B,7,JB_W,"Command Ships",JB_RC,"ADD")</f>
        <v/>
      </c>
      <c r="D32" s="37">
        <f>IFERROR(C32/C$55,0)</f>
        <v/>
      </c>
    </row>
    <row r="33" ht="10" customHeight="1">
      <c r="A33" s="30" t="inlineStr">
        <is>
          <t>Surveillance Ships</t>
        </is>
      </c>
      <c r="B33" s="30" t="inlineStr">
        <is>
          <t>USN</t>
        </is>
      </c>
      <c r="C33" s="31">
        <f>SUMIFS(JB_26BV,JB_B,2,JB_W,"Surveillance Ships",JB_RC,"ADD")+SUMIFS(JB_26BV,JB_B,3,JB_W,"Surveillance Ships",JB_RC,"ADD")+SUMIFS(JB_26BV,JB_B,4,JB_W,"Surveillance Ships",JB_RC,"ADD")+SUMIFS(JB_26BV,JB_B,5,JB_W,"Surveillance Ships",JB_RC,"ADD")+SUMIFS(JB_26BV,JB_B,6,JB_W,"Surveillance Ships",JB_RC,"ADD")+SUMIFS(JB_26BV,JB_B,7,JB_W,"Surveillance Ships",JB_RC,"ADD")</f>
        <v/>
      </c>
      <c r="D33" s="37">
        <f>IFERROR(C33/C$55,0)</f>
        <v/>
      </c>
    </row>
    <row r="34" ht="10" customHeight="1">
      <c r="A34" s="30" t="inlineStr">
        <is>
          <t>Mine Warfare</t>
        </is>
      </c>
      <c r="B34" s="30" t="inlineStr">
        <is>
          <t>USN</t>
        </is>
      </c>
      <c r="C34" s="31">
        <f>SUMIFS(JB_26BV,JB_B,2,JB_W,"Mine Warfare",JB_RC,"ADD")+SUMIFS(JB_26BV,JB_B,3,JB_W,"Mine Warfare",JB_RC,"ADD")+SUMIFS(JB_26BV,JB_B,4,JB_W,"Mine Warfare",JB_RC,"ADD")+SUMIFS(JB_26BV,JB_B,5,JB_W,"Mine Warfare",JB_RC,"ADD")+SUMIFS(JB_26BV,JB_B,6,JB_W,"Mine Warfare",JB_RC,"ADD")+SUMIFS(JB_26BV,JB_B,7,JB_W,"Mine Warfare",JB_RC,"ADD")</f>
        <v/>
      </c>
      <c r="D34" s="37">
        <f>IFERROR(C34/C$55,0)</f>
        <v/>
      </c>
    </row>
    <row r="35" ht="10" customHeight="1">
      <c r="A35" s="30" t="inlineStr">
        <is>
          <t>Unmanned Undersea Vehicles</t>
        </is>
      </c>
      <c r="B35" s="30" t="inlineStr">
        <is>
          <t>USN</t>
        </is>
      </c>
      <c r="C35" s="31">
        <f>SUMIFS(JB_26BV,JB_B,2,JB_W,"Unmanned Undersea Vehicles",JB_RC,"ADD")+SUMIFS(JB_26BV,JB_B,3,JB_W,"Unmanned Undersea Vehicles",JB_RC,"ADD")+SUMIFS(JB_26BV,JB_B,4,JB_W,"Unmanned Undersea Vehicles",JB_RC,"ADD")+SUMIFS(JB_26BV,JB_B,5,JB_W,"Unmanned Undersea Vehicles",JB_RC,"ADD")+SUMIFS(JB_26BV,JB_B,6,JB_W,"Unmanned Undersea Vehicles",JB_RC,"ADD")+SUMIFS(JB_26BV,JB_B,7,JB_W,"Unmanned Undersea Vehicles",JB_RC,"ADD")</f>
        <v/>
      </c>
      <c r="D35" s="37">
        <f>IFERROR(C35/C$55,0)</f>
        <v/>
      </c>
    </row>
    <row r="36" ht="10" customHeight="1">
      <c r="A36" s="30" t="inlineStr">
        <is>
          <t>Salvage Ships &amp; Fleet Ocean Tugs</t>
        </is>
      </c>
      <c r="B36" s="30" t="inlineStr">
        <is>
          <t>MSC</t>
        </is>
      </c>
      <c r="C36" s="31">
        <f>SUMIFS(JB_26BV,JB_B,2,JB_W,"Salvage Ships &amp; Fleet Ocean Tugs",JB_RC,"ADD")+SUMIFS(JB_26BV,JB_B,3,JB_W,"Salvage Ships &amp; Fleet Ocean Tugs",JB_RC,"ADD")+SUMIFS(JB_26BV,JB_B,4,JB_W,"Salvage Ships &amp; Fleet Ocean Tugs",JB_RC,"ADD")+SUMIFS(JB_26BV,JB_B,5,JB_W,"Salvage Ships &amp; Fleet Ocean Tugs",JB_RC,"ADD")+SUMIFS(JB_26BV,JB_B,6,JB_W,"Salvage Ships &amp; Fleet Ocean Tugs",JB_RC,"ADD")+SUMIFS(JB_26BV,JB_B,7,JB_W,"Salvage Ships &amp; Fleet Ocean Tugs",JB_RC,"ADD")</f>
        <v/>
      </c>
      <c r="D36" s="37">
        <f>IFERROR(C36/C$55,0)</f>
        <v/>
      </c>
    </row>
    <row r="37" ht="10" customHeight="1">
      <c r="A37" s="30" t="inlineStr">
        <is>
          <t>Submarine Escort Ship</t>
        </is>
      </c>
      <c r="B37" s="30" t="inlineStr">
        <is>
          <t>USN</t>
        </is>
      </c>
      <c r="C37" s="31">
        <f>SUMIFS(JB_26BV,JB_B,2,JB_W,"Submarine Escort Ship",JB_RC,"ADD")+SUMIFS(JB_26BV,JB_B,3,JB_W,"Submarine Escort Ship",JB_RC,"ADD")+SUMIFS(JB_26BV,JB_B,4,JB_W,"Submarine Escort Ship",JB_RC,"ADD")+SUMIFS(JB_26BV,JB_B,5,JB_W,"Submarine Escort Ship",JB_RC,"ADD")+SUMIFS(JB_26BV,JB_B,6,JB_W,"Submarine Escort Ship",JB_RC,"ADD")+SUMIFS(JB_26BV,JB_B,7,JB_W,"Submarine Escort Ship",JB_RC,"ADD")</f>
        <v/>
      </c>
      <c r="D37" s="37">
        <f>IFERROR(C37/C$55,0)</f>
        <v/>
      </c>
    </row>
    <row r="38" ht="10" customHeight="1">
      <c r="A38" s="30" t="inlineStr">
        <is>
          <t>High Speed Transport</t>
        </is>
      </c>
      <c r="B38" s="30" t="inlineStr">
        <is>
          <t>USN</t>
        </is>
      </c>
      <c r="C38" s="31">
        <f>SUMIFS(JB_26BV,JB_B,2,JB_W,"High Speed Transport",JB_RC,"ADD")+SUMIFS(JB_26BV,JB_B,3,JB_W,"High Speed Transport",JB_RC,"ADD")+SUMIFS(JB_26BV,JB_B,4,JB_W,"High Speed Transport",JB_RC,"ADD")+SUMIFS(JB_26BV,JB_B,5,JB_W,"High Speed Transport",JB_RC,"ADD")+SUMIFS(JB_26BV,JB_B,6,JB_W,"High Speed Transport",JB_RC,"ADD")+SUMIFS(JB_26BV,JB_B,7,JB_W,"High Speed Transport",JB_RC,"ADD")</f>
        <v/>
      </c>
      <c r="D38" s="37">
        <f>IFERROR(C38/C$55,0)</f>
        <v/>
      </c>
    </row>
    <row r="39" ht="10" customHeight="1">
      <c r="A39" s="30" t="inlineStr">
        <is>
          <t>Combat Logistics Ships</t>
        </is>
      </c>
      <c r="B39" s="30" t="inlineStr">
        <is>
          <t>MSC</t>
        </is>
      </c>
      <c r="C39" s="31">
        <f>SUMIFS(JB_26BV,JB_B,2,JB_W,"Combat Logistics Ships",JB_RC,"ADD")+SUMIFS(JB_26BV,JB_B,3,JB_W,"Combat Logistics Ships",JB_RC,"ADD")+SUMIFS(JB_26BV,JB_B,4,JB_W,"Combat Logistics Ships",JB_RC,"ADD")+SUMIFS(JB_26BV,JB_B,5,JB_W,"Combat Logistics Ships",JB_RC,"ADD")+SUMIFS(JB_26BV,JB_B,6,JB_W,"Combat Logistics Ships",JB_RC,"ADD")+SUMIFS(JB_26BV,JB_B,7,JB_W,"Combat Logistics Ships",JB_RC,"ADD")</f>
        <v/>
      </c>
      <c r="D39" s="37">
        <f>IFERROR(C39/C$55,0)</f>
        <v/>
      </c>
    </row>
    <row r="40" ht="10" customHeight="1">
      <c r="A40" s="30" t="inlineStr">
        <is>
          <t>Cargo &amp; Vehicle Cargo Ships</t>
        </is>
      </c>
      <c r="B40" s="30" t="inlineStr">
        <is>
          <t>USN</t>
        </is>
      </c>
      <c r="C40" s="31">
        <f>SUMIFS(JB_26BV,JB_B,2,JB_W,"Cargo &amp; Vehicle Cargo Ships",JB_RC,"ADD")+SUMIFS(JB_26BV,JB_B,3,JB_W,"Cargo &amp; Vehicle Cargo Ships",JB_RC,"ADD")+SUMIFS(JB_26BV,JB_B,4,JB_W,"Cargo &amp; Vehicle Cargo Ships",JB_RC,"ADD")+SUMIFS(JB_26BV,JB_B,5,JB_W,"Cargo &amp; Vehicle Cargo Ships",JB_RC,"ADD")+SUMIFS(JB_26BV,JB_B,6,JB_W,"Cargo &amp; Vehicle Cargo Ships",JB_RC,"ADD")+SUMIFS(JB_26BV,JB_B,7,JB_W,"Cargo &amp; Vehicle Cargo Ships",JB_RC,"ADD")</f>
        <v/>
      </c>
      <c r="D40" s="37">
        <f>IFERROR(C40/C$55,0)</f>
        <v/>
      </c>
    </row>
    <row r="41" ht="10" customHeight="1">
      <c r="A41" s="30" t="inlineStr">
        <is>
          <t>General Auxiliary</t>
        </is>
      </c>
      <c r="B41" s="30" t="inlineStr">
        <is>
          <t>USN</t>
        </is>
      </c>
      <c r="C41" s="31">
        <f>SUMIFS(JB_26BV,JB_B,2,JB_W,"General Auxiliary",JB_RC,"ADD")+SUMIFS(JB_26BV,JB_B,3,JB_W,"General Auxiliary",JB_RC,"ADD")+SUMIFS(JB_26BV,JB_B,4,JB_W,"General Auxiliary",JB_RC,"ADD")+SUMIFS(JB_26BV,JB_B,5,JB_W,"General Auxiliary",JB_RC,"ADD")+SUMIFS(JB_26BV,JB_B,6,JB_W,"General Auxiliary",JB_RC,"ADD")+SUMIFS(JB_26BV,JB_B,7,JB_W,"General Auxiliary",JB_RC,"ADD")</f>
        <v/>
      </c>
      <c r="D41" s="37">
        <f>IFERROR(C41/C$55,0)</f>
        <v/>
      </c>
    </row>
    <row r="42" ht="10" customHeight="1">
      <c r="A42" s="30" t="inlineStr">
        <is>
          <t>Crane Ship</t>
        </is>
      </c>
      <c r="B42" s="30" t="inlineStr">
        <is>
          <t>USN</t>
        </is>
      </c>
      <c r="C42" s="31">
        <f>SUMIFS(JB_26BV,JB_B,2,JB_W,"Crane Ship",JB_RC,"ADD")+SUMIFS(JB_26BV,JB_B,3,JB_W,"Crane Ship",JB_RC,"ADD")+SUMIFS(JB_26BV,JB_B,4,JB_W,"Crane Ship",JB_RC,"ADD")+SUMIFS(JB_26BV,JB_B,5,JB_W,"Crane Ship",JB_RC,"ADD")+SUMIFS(JB_26BV,JB_B,6,JB_W,"Crane Ship",JB_RC,"ADD")+SUMIFS(JB_26BV,JB_B,7,JB_W,"Crane Ship",JB_RC,"ADD")</f>
        <v/>
      </c>
      <c r="D42" s="37">
        <f>IFERROR(C42/C$55,0)</f>
        <v/>
      </c>
    </row>
    <row r="43" ht="10" customHeight="1">
      <c r="A43" s="30" t="inlineStr">
        <is>
          <t>Aviation Logistics Support Ship</t>
        </is>
      </c>
      <c r="B43" s="30" t="inlineStr">
        <is>
          <t>USN</t>
        </is>
      </c>
      <c r="C43" s="31">
        <f>SUMIFS(JB_26BV,JB_B,2,JB_W,"Aviation Logistics Support Ship",JB_RC,"ADD")+SUMIFS(JB_26BV,JB_B,3,JB_W,"Aviation Logistics Support Ship",JB_RC,"ADD")+SUMIFS(JB_26BV,JB_B,4,JB_W,"Aviation Logistics Support Ship",JB_RC,"ADD")+SUMIFS(JB_26BV,JB_B,5,JB_W,"Aviation Logistics Support Ship",JB_RC,"ADD")+SUMIFS(JB_26BV,JB_B,6,JB_W,"Aviation Logistics Support Ship",JB_RC,"ADD")+SUMIFS(JB_26BV,JB_B,7,JB_W,"Aviation Logistics Support Ship",JB_RC,"ADD")</f>
        <v/>
      </c>
      <c r="D43" s="37">
        <f>IFERROR(C43/C$55,0)</f>
        <v/>
      </c>
    </row>
    <row r="44" ht="10" customHeight="1">
      <c r="A44" s="30" t="inlineStr">
        <is>
          <t>Research, Survey &amp; Instrumentation Ships</t>
        </is>
      </c>
      <c r="B44" s="30" t="inlineStr">
        <is>
          <t>MSC</t>
        </is>
      </c>
      <c r="C44" s="31">
        <f>SUMIFS(JB_26BV,JB_B,2,JB_W,"Research, Survey &amp; Instrumentation Ships",JB_RC,"ADD")+SUMIFS(JB_26BV,JB_B,3,JB_W,"Research, Survey &amp; Instrumentation Ships",JB_RC,"ADD")+SUMIFS(JB_26BV,JB_B,4,JB_W,"Research, Survey &amp; Instrumentation Ships",JB_RC,"ADD")+SUMIFS(JB_26BV,JB_B,5,JB_W,"Research, Survey &amp; Instrumentation Ships",JB_RC,"ADD")+SUMIFS(JB_26BV,JB_B,6,JB_W,"Research, Survey &amp; Instrumentation Ships",JB_RC,"ADD")+SUMIFS(JB_26BV,JB_B,7,JB_W,"Research, Survey &amp; Instrumentation Ships",JB_RC,"ADD")</f>
        <v/>
      </c>
      <c r="D44" s="37">
        <f>IFERROR(C44/C$55,0)</f>
        <v/>
      </c>
    </row>
    <row r="45" ht="10" customHeight="1">
      <c r="A45" s="30" t="inlineStr">
        <is>
          <t>Unmanned Surface Vehicles</t>
        </is>
      </c>
      <c r="B45" s="30" t="inlineStr">
        <is>
          <t>USN</t>
        </is>
      </c>
      <c r="C45" s="31">
        <f>SUMIFS(JB_26BV,JB_B,2,JB_W,"Unmanned Surface Vehicles",JB_RC,"ADD")+SUMIFS(JB_26BV,JB_B,3,JB_W,"Unmanned Surface Vehicles",JB_RC,"ADD")+SUMIFS(JB_26BV,JB_B,4,JB_W,"Unmanned Surface Vehicles",JB_RC,"ADD")+SUMIFS(JB_26BV,JB_B,5,JB_W,"Unmanned Surface Vehicles",JB_RC,"ADD")+SUMIFS(JB_26BV,JB_B,6,JB_W,"Unmanned Surface Vehicles",JB_RC,"ADD")+SUMIFS(JB_26BV,JB_B,7,JB_W,"Unmanned Surface Vehicles",JB_RC,"ADD")</f>
        <v/>
      </c>
      <c r="D45" s="37">
        <f>IFERROR(C45/C$55,0)</f>
        <v/>
      </c>
    </row>
    <row r="46" ht="10" customHeight="1">
      <c r="A46" s="30" t="inlineStr">
        <is>
          <t>Material Support Ships</t>
        </is>
      </c>
      <c r="B46" s="30" t="inlineStr">
        <is>
          <t>USN</t>
        </is>
      </c>
      <c r="C46" s="31">
        <f>SUMIFS(JB_26BV,JB_B,2,JB_W,"Material Support Ships",JB_RC,"ADD")+SUMIFS(JB_26BV,JB_B,3,JB_W,"Material Support Ships",JB_RC,"ADD")+SUMIFS(JB_26BV,JB_B,4,JB_W,"Material Support Ships",JB_RC,"ADD")+SUMIFS(JB_26BV,JB_B,5,JB_W,"Material Support Ships",JB_RC,"ADD")+SUMIFS(JB_26BV,JB_B,6,JB_W,"Material Support Ships",JB_RC,"ADD")+SUMIFS(JB_26BV,JB_B,7,JB_W,"Material Support Ships",JB_RC,"ADD")</f>
        <v/>
      </c>
      <c r="D46" s="37">
        <f>IFERROR(C46/C$55,0)</f>
        <v/>
      </c>
    </row>
    <row r="47" ht="10" customHeight="1">
      <c r="A47" s="30" t="inlineStr">
        <is>
          <t>Hospital Ship</t>
        </is>
      </c>
      <c r="B47" s="30" t="inlineStr">
        <is>
          <t>MSC</t>
        </is>
      </c>
      <c r="C47" s="31">
        <f>SUMIFS(JB_26BV,JB_B,2,JB_W,"Hospital Ship",JB_RC,"ADD")+SUMIFS(JB_26BV,JB_B,3,JB_W,"Hospital Ship",JB_RC,"ADD")+SUMIFS(JB_26BV,JB_B,4,JB_W,"Hospital Ship",JB_RC,"ADD")+SUMIFS(JB_26BV,JB_B,5,JB_W,"Hospital Ship",JB_RC,"ADD")+SUMIFS(JB_26BV,JB_B,6,JB_W,"Hospital Ship",JB_RC,"ADD")+SUMIFS(JB_26BV,JB_B,7,JB_W,"Hospital Ship",JB_RC,"ADD")</f>
        <v/>
      </c>
      <c r="D47" s="37">
        <f>IFERROR(C47/C$55,0)</f>
        <v/>
      </c>
    </row>
    <row r="48" ht="10" customHeight="1">
      <c r="A48" s="30" t="inlineStr">
        <is>
          <t>National Security Cutters</t>
        </is>
      </c>
      <c r="B48" s="30" t="inlineStr">
        <is>
          <t>USCG</t>
        </is>
      </c>
      <c r="C48" s="31">
        <f>SUMIFS(JB_26BV,JB_B,2,JB_W,"National Security Cutters",JB_RC,"ADD")+SUMIFS(JB_26BV,JB_B,3,JB_W,"National Security Cutters",JB_RC,"ADD")+SUMIFS(JB_26BV,JB_B,4,JB_W,"National Security Cutters",JB_RC,"ADD")+SUMIFS(JB_26BV,JB_B,5,JB_W,"National Security Cutters",JB_RC,"ADD")+SUMIFS(JB_26BV,JB_B,6,JB_W,"National Security Cutters",JB_RC,"ADD")+SUMIFS(JB_26BV,JB_B,7,JB_W,"National Security Cutters",JB_RC,"ADD")</f>
        <v/>
      </c>
      <c r="D48" s="37">
        <f>IFERROR(C48/C$55,0)</f>
        <v/>
      </c>
    </row>
    <row r="49" ht="10" customHeight="1">
      <c r="A49" s="30" t="inlineStr">
        <is>
          <t>Fast Response Cutters</t>
        </is>
      </c>
      <c r="B49" s="30" t="inlineStr">
        <is>
          <t>USCG</t>
        </is>
      </c>
      <c r="C49" s="31">
        <f>SUMIFS(JB_26BV,JB_B,2,JB_W,"Fast Response Cutters",JB_RC,"ADD")+SUMIFS(JB_26BV,JB_B,3,JB_W,"Fast Response Cutters",JB_RC,"ADD")+SUMIFS(JB_26BV,JB_B,4,JB_W,"Fast Response Cutters",JB_RC,"ADD")+SUMIFS(JB_26BV,JB_B,5,JB_W,"Fast Response Cutters",JB_RC,"ADD")+SUMIFS(JB_26BV,JB_B,6,JB_W,"Fast Response Cutters",JB_RC,"ADD")+SUMIFS(JB_26BV,JB_B,7,JB_W,"Fast Response Cutters",JB_RC,"ADD")</f>
        <v/>
      </c>
      <c r="D49" s="37">
        <f>IFERROR(C49/C$55,0)</f>
        <v/>
      </c>
    </row>
    <row r="50" ht="10" customHeight="1">
      <c r="A50" s="30" t="inlineStr">
        <is>
          <t>Coastal Buoy Tenders</t>
        </is>
      </c>
      <c r="B50" s="30" t="inlineStr">
        <is>
          <t>USCG</t>
        </is>
      </c>
      <c r="C50" s="31">
        <f>SUMIFS(JB_26BV,JB_B,2,JB_W,"Coastal Buoy Tenders",JB_RC,"ADD")+SUMIFS(JB_26BV,JB_B,3,JB_W,"Coastal Buoy Tenders",JB_RC,"ADD")+SUMIFS(JB_26BV,JB_B,4,JB_W,"Coastal Buoy Tenders",JB_RC,"ADD")+SUMIFS(JB_26BV,JB_B,5,JB_W,"Coastal Buoy Tenders",JB_RC,"ADD")+SUMIFS(JB_26BV,JB_B,6,JB_W,"Coastal Buoy Tenders",JB_RC,"ADD")+SUMIFS(JB_26BV,JB_B,7,JB_W,"Coastal Buoy Tenders",JB_RC,"ADD")</f>
        <v/>
      </c>
      <c r="D50" s="37">
        <f>IFERROR(C50/C$55,0)</f>
        <v/>
      </c>
    </row>
    <row r="51" ht="10" customHeight="1">
      <c r="A51" s="30" t="inlineStr">
        <is>
          <t>Waterways Commerce Cutters</t>
        </is>
      </c>
      <c r="B51" s="30" t="inlineStr">
        <is>
          <t>USCG</t>
        </is>
      </c>
      <c r="C51" s="31">
        <f>SUMIFS(JB_26BV,JB_B,2,JB_W,"Waterways Commerce Cutters",JB_RC,"ADD")+SUMIFS(JB_26BV,JB_B,3,JB_W,"Waterways Commerce Cutters",JB_RC,"ADD")+SUMIFS(JB_26BV,JB_B,4,JB_W,"Waterways Commerce Cutters",JB_RC,"ADD")+SUMIFS(JB_26BV,JB_B,5,JB_W,"Waterways Commerce Cutters",JB_RC,"ADD")+SUMIFS(JB_26BV,JB_B,6,JB_W,"Waterways Commerce Cutters",JB_RC,"ADD")+SUMIFS(JB_26BV,JB_B,7,JB_W,"Waterways Commerce Cutters",JB_RC,"ADD")</f>
        <v/>
      </c>
      <c r="D51" s="37">
        <f>IFERROR(C51/C$55,0)</f>
        <v/>
      </c>
    </row>
    <row r="52" ht="10" customHeight="1">
      <c r="A52" s="30" t="inlineStr">
        <is>
          <t>Icebreakers, Oceangoing</t>
        </is>
      </c>
      <c r="B52" s="30" t="inlineStr">
        <is>
          <t>USCG</t>
        </is>
      </c>
      <c r="C52" s="31">
        <f>SUMIFS(JB_26BV,JB_B,2,JB_W,"Icebreakers, Oceangoing",JB_RC,"ADD")+SUMIFS(JB_26BV,JB_B,3,JB_W,"Icebreakers, Oceangoing",JB_RC,"ADD")+SUMIFS(JB_26BV,JB_B,4,JB_W,"Icebreakers, Oceangoing",JB_RC,"ADD")+SUMIFS(JB_26BV,JB_B,5,JB_W,"Icebreakers, Oceangoing",JB_RC,"ADD")+SUMIFS(JB_26BV,JB_B,6,JB_W,"Icebreakers, Oceangoing",JB_RC,"ADD")+SUMIFS(JB_26BV,JB_B,7,JB_W,"Icebreakers, Oceangoing",JB_RC,"ADD")</f>
        <v/>
      </c>
      <c r="D52" s="37">
        <f>IFERROR(C52/C$55,0)</f>
        <v/>
      </c>
    </row>
    <row r="53" ht="10" customHeight="1">
      <c r="A53" s="30" t="inlineStr">
        <is>
          <t>Icebreakers, Great Lakes</t>
        </is>
      </c>
      <c r="B53" s="30" t="inlineStr">
        <is>
          <t>USCG</t>
        </is>
      </c>
      <c r="C53" s="31">
        <f>SUMIFS(JB_26BV,JB_B,2,JB_W,"Icebreakers, Great Lakes",JB_RC,"ADD")+SUMIFS(JB_26BV,JB_B,3,JB_W,"Icebreakers, Great Lakes",JB_RC,"ADD")+SUMIFS(JB_26BV,JB_B,4,JB_W,"Icebreakers, Great Lakes",JB_RC,"ADD")+SUMIFS(JB_26BV,JB_B,5,JB_W,"Icebreakers, Great Lakes",JB_RC,"ADD")+SUMIFS(JB_26BV,JB_B,6,JB_W,"Icebreakers, Great Lakes",JB_RC,"ADD")+SUMIFS(JB_26BV,JB_B,7,JB_W,"Icebreakers, Great Lakes",JB_RC,"ADD")</f>
        <v/>
      </c>
      <c r="D53" s="37">
        <f>IFERROR(C53/C$55,0)</f>
        <v/>
      </c>
    </row>
    <row r="54" ht="10" customHeight="1">
      <c r="A54" s="30" t="inlineStr">
        <is>
          <t>Offshore Patrol Cutter</t>
        </is>
      </c>
      <c r="B54" s="30" t="inlineStr">
        <is>
          <t>USCG</t>
        </is>
      </c>
      <c r="C54" s="31">
        <f>SUMIFS(JB_26BV,JB_B,2,JB_W,"Offshore Patrol Cutter",JB_RC,"ADD")+SUMIFS(JB_26BV,JB_B,3,JB_W,"Offshore Patrol Cutter",JB_RC,"ADD")+SUMIFS(JB_26BV,JB_B,4,JB_W,"Offshore Patrol Cutter",JB_RC,"ADD")+SUMIFS(JB_26BV,JB_B,5,JB_W,"Offshore Patrol Cutter",JB_RC,"ADD")+SUMIFS(JB_26BV,JB_B,6,JB_W,"Offshore Patrol Cutter",JB_RC,"ADD")+SUMIFS(JB_26BV,JB_B,7,JB_W,"Offshore Patrol Cutter",JB_RC,"ADD")</f>
        <v/>
      </c>
      <c r="D54" s="37">
        <f>IFERROR(C54/C$55,0)</f>
        <v/>
      </c>
    </row>
    <row r="55" ht="10" customHeight="1">
      <c r="A55" s="32" t="inlineStr">
        <is>
          <t>MRO TAM</t>
        </is>
      </c>
      <c r="B55" s="32" t="inlineStr"/>
      <c r="C55" s="33">
        <f>SUM(C27:C54)</f>
        <v/>
      </c>
      <c r="D55" s="38" t="n">
        <v>1</v>
      </c>
    </row>
    <row r="56" ht="10" customHeight="1"/>
    <row r="57" ht="10" customHeight="1"/>
    <row r="58" ht="10" customHeight="1">
      <c r="A58" s="27" t="inlineStr">
        <is>
          <t>(D) MRO TAM — Work Type by Vessel Type (Mekko)</t>
        </is>
      </c>
      <c r="B58" s="28" t="n"/>
      <c r="C58" s="28" t="n"/>
      <c r="D58" s="28" t="n"/>
      <c r="E58" s="28" t="n"/>
      <c r="F58" s="28" t="n"/>
      <c r="G58" s="28" t="n"/>
      <c r="H58" s="28" t="n"/>
      <c r="I58" s="28" t="n"/>
      <c r="J58" s="28" t="n"/>
      <c r="K58" s="28" t="n"/>
    </row>
    <row r="59" ht="10" customHeight="1">
      <c r="A59" s="39" t="n"/>
      <c r="B59" s="40" t="inlineStr">
        <is>
          <t>USN</t>
        </is>
      </c>
      <c r="C59" s="39" t="n"/>
      <c r="D59" s="39" t="n"/>
      <c r="E59" s="39" t="n"/>
      <c r="F59" s="39" t="n"/>
      <c r="G59" s="39" t="n"/>
      <c r="H59" s="39" t="n"/>
      <c r="I59" s="39" t="n"/>
      <c r="J59" s="40" t="inlineStr">
        <is>
          <t>USCG</t>
        </is>
      </c>
      <c r="K59" s="41" t="n"/>
    </row>
    <row r="60" ht="10" customHeight="1">
      <c r="A60" s="29" t="inlineStr">
        <is>
          <t>Work Type</t>
        </is>
      </c>
      <c r="B60" s="42" t="inlineStr">
        <is>
          <t>Submarines</t>
        </is>
      </c>
      <c r="C60" s="29" t="inlineStr">
        <is>
          <t>Surface Combatants</t>
        </is>
      </c>
      <c r="D60" s="29" t="inlineStr">
        <is>
          <t>Aircraft Carriers</t>
        </is>
      </c>
      <c r="E60" s="29" t="inlineStr">
        <is>
          <t>Amphibious Warfare Ships</t>
        </is>
      </c>
      <c r="F60" s="29" t="inlineStr">
        <is>
          <t>Expeditionary &amp; Seabasing Ships</t>
        </is>
      </c>
      <c r="G60" s="29" t="inlineStr">
        <is>
          <t>Command Ships</t>
        </is>
      </c>
      <c r="H60" s="29" t="inlineStr">
        <is>
          <t>Surveillance Ships</t>
        </is>
      </c>
      <c r="I60" s="29" t="inlineStr">
        <is>
          <t>Mine Warfare</t>
        </is>
      </c>
      <c r="J60" s="42" t="inlineStr">
        <is>
          <t>National Security Cutters</t>
        </is>
      </c>
      <c r="K60" s="42" t="inlineStr">
        <is>
          <t>Total</t>
        </is>
      </c>
    </row>
    <row r="61" ht="10" customHeight="1">
      <c r="A61" s="30" t="inlineStr">
        <is>
          <t>Scheduled Depot Maintenance</t>
        </is>
      </c>
      <c r="B61" s="43">
        <f>IFERROR((SUMIFS(JB_26BV,JB_B,2,JB_W,"Submarines",JB_RC,"ADD"))/B$67,0)</f>
        <v/>
      </c>
      <c r="C61" s="37">
        <f>IFERROR((SUMIFS(JB_26BV,JB_B,2,JB_W,"Surface Combatants",JB_RC,"ADD"))/C$67,0)</f>
        <v/>
      </c>
      <c r="D61" s="37">
        <f>IFERROR((SUMIFS(JB_26BV,JB_B,2,JB_W,"Aircraft Carriers",JB_RC,"ADD"))/D$67,0)</f>
        <v/>
      </c>
      <c r="E61" s="37">
        <f>IFERROR((SUMIFS(JB_26BV,JB_B,2,JB_W,"Amphibious Warfare Ships",JB_RC,"ADD"))/E$67,0)</f>
        <v/>
      </c>
      <c r="F61" s="37">
        <f>IFERROR((SUMIFS(JB_26BV,JB_B,2,JB_W,"Expeditionary &amp; Seabasing Ships",JB_RC,"ADD"))/F$67,0)</f>
        <v/>
      </c>
      <c r="G61" s="37">
        <f>IFERROR((SUMIFS(JB_26BV,JB_B,2,JB_W,"Command Ships",JB_RC,"ADD"))/G$67,0)</f>
        <v/>
      </c>
      <c r="H61" s="37">
        <f>IFERROR((SUMIFS(JB_26BV,JB_B,2,JB_W,"Surveillance Ships",JB_RC,"ADD"))/H$67,0)</f>
        <v/>
      </c>
      <c r="I61" s="37">
        <f>IFERROR((SUMIFS(JB_26BV,JB_B,2,JB_W,"Mine Warfare",JB_RC,"ADD"))/I$67,0)</f>
        <v/>
      </c>
      <c r="J61" s="43">
        <f>IFERROR((SUMIFS(JB_26BV,JB_B,2,JB_W,"National Security Cutters",JB_RC,"ADD"))/J$67,0)</f>
        <v/>
      </c>
      <c r="K61" s="43">
        <f>IFERROR((SUMIFS(JB_26BV,JB_B,2,JB_V,"Auxiliary Ships",JB_RC,"ADD")+SUMIFS(JB_26BV,JB_B,2,JB_V,"Combatant Ships",JB_RC,"ADD")+SUMIFS(JB_26BV,JB_B,2,JB_V,"Cutters",JB_RC,"ADD")+SUMIFS(JB_26BV,JB_B,2,JB_V,"Unmanned Maritime Platforms",JB_RC,"ADD"))/K$67,0)</f>
        <v/>
      </c>
    </row>
    <row r="62" ht="10" customHeight="1">
      <c r="A62" s="30" t="inlineStr">
        <is>
          <t>Continuous / Emergent Maintenance</t>
        </is>
      </c>
      <c r="B62" s="43">
        <f>IFERROR((SUMIFS(JB_26BV,JB_B,3,JB_W,"Submarines",JB_RC,"ADD"))/B$67,0)</f>
        <v/>
      </c>
      <c r="C62" s="37">
        <f>IFERROR((SUMIFS(JB_26BV,JB_B,3,JB_W,"Surface Combatants",JB_RC,"ADD"))/C$67,0)</f>
        <v/>
      </c>
      <c r="D62" s="37">
        <f>IFERROR((SUMIFS(JB_26BV,JB_B,3,JB_W,"Aircraft Carriers",JB_RC,"ADD"))/D$67,0)</f>
        <v/>
      </c>
      <c r="E62" s="37">
        <f>IFERROR((SUMIFS(JB_26BV,JB_B,3,JB_W,"Amphibious Warfare Ships",JB_RC,"ADD"))/E$67,0)</f>
        <v/>
      </c>
      <c r="F62" s="37">
        <f>IFERROR((SUMIFS(JB_26BV,JB_B,3,JB_W,"Expeditionary &amp; Seabasing Ships",JB_RC,"ADD"))/F$67,0)</f>
        <v/>
      </c>
      <c r="G62" s="37">
        <f>IFERROR((SUMIFS(JB_26BV,JB_B,3,JB_W,"Command Ships",JB_RC,"ADD"))/G$67,0)</f>
        <v/>
      </c>
      <c r="H62" s="37">
        <f>IFERROR((SUMIFS(JB_26BV,JB_B,3,JB_W,"Surveillance Ships",JB_RC,"ADD"))/H$67,0)</f>
        <v/>
      </c>
      <c r="I62" s="37">
        <f>IFERROR((SUMIFS(JB_26BV,JB_B,3,JB_W,"Mine Warfare",JB_RC,"ADD"))/I$67,0)</f>
        <v/>
      </c>
      <c r="J62" s="43">
        <f>IFERROR((SUMIFS(JB_26BV,JB_B,3,JB_W,"National Security Cutters",JB_RC,"ADD"))/J$67,0)</f>
        <v/>
      </c>
      <c r="K62" s="43">
        <f>IFERROR((SUMIFS(JB_26BV,JB_B,3,JB_V,"Auxiliary Ships",JB_RC,"ADD")+SUMIFS(JB_26BV,JB_B,3,JB_V,"Combatant Ships",JB_RC,"ADD")+SUMIFS(JB_26BV,JB_B,3,JB_V,"Cutters",JB_RC,"ADD")+SUMIFS(JB_26BV,JB_B,3,JB_V,"Unmanned Maritime Platforms",JB_RC,"ADD"))/K$67,0)</f>
        <v/>
      </c>
    </row>
    <row r="63" ht="10" customHeight="1">
      <c r="A63" s="30" t="inlineStr">
        <is>
          <t>Modernization</t>
        </is>
      </c>
      <c r="B63" s="43">
        <f>IFERROR((SUMIFS(JB_26BV,JB_B,4,JB_W,"Submarines",JB_RC,"ADD"))/B$67,0)</f>
        <v/>
      </c>
      <c r="C63" s="37">
        <f>IFERROR((SUMIFS(JB_26BV,JB_B,4,JB_W,"Surface Combatants",JB_RC,"ADD"))/C$67,0)</f>
        <v/>
      </c>
      <c r="D63" s="37">
        <f>IFERROR((SUMIFS(JB_26BV,JB_B,4,JB_W,"Aircraft Carriers",JB_RC,"ADD"))/D$67,0)</f>
        <v/>
      </c>
      <c r="E63" s="37">
        <f>IFERROR((SUMIFS(JB_26BV,JB_B,4,JB_W,"Amphibious Warfare Ships",JB_RC,"ADD"))/E$67,0)</f>
        <v/>
      </c>
      <c r="F63" s="37">
        <f>IFERROR((SUMIFS(JB_26BV,JB_B,4,JB_W,"Expeditionary &amp; Seabasing Ships",JB_RC,"ADD"))/F$67,0)</f>
        <v/>
      </c>
      <c r="G63" s="37">
        <f>IFERROR((SUMIFS(JB_26BV,JB_B,4,JB_W,"Command Ships",JB_RC,"ADD"))/G$67,0)</f>
        <v/>
      </c>
      <c r="H63" s="37">
        <f>IFERROR((SUMIFS(JB_26BV,JB_B,4,JB_W,"Surveillance Ships",JB_RC,"ADD"))/H$67,0)</f>
        <v/>
      </c>
      <c r="I63" s="37">
        <f>IFERROR((SUMIFS(JB_26BV,JB_B,4,JB_W,"Mine Warfare",JB_RC,"ADD"))/I$67,0)</f>
        <v/>
      </c>
      <c r="J63" s="43">
        <f>IFERROR((SUMIFS(JB_26BV,JB_B,4,JB_W,"National Security Cutters",JB_RC,"ADD"))/J$67,0)</f>
        <v/>
      </c>
      <c r="K63" s="43">
        <f>IFERROR((SUMIFS(JB_26BV,JB_B,4,JB_V,"Auxiliary Ships",JB_RC,"ADD")+SUMIFS(JB_26BV,JB_B,4,JB_V,"Combatant Ships",JB_RC,"ADD")+SUMIFS(JB_26BV,JB_B,4,JB_V,"Cutters",JB_RC,"ADD")+SUMIFS(JB_26BV,JB_B,4,JB_V,"Unmanned Maritime Platforms",JB_RC,"ADD"))/K$67,0)</f>
        <v/>
      </c>
    </row>
    <row r="64" ht="10" customHeight="1">
      <c r="A64" s="30" t="inlineStr">
        <is>
          <t>Major Life-Cycle Events / RCOH</t>
        </is>
      </c>
      <c r="B64" s="43">
        <f>IFERROR((SUMIFS(JB_26BV,JB_B,5,JB_W,"Submarines",JB_RC,"ADD"))/B$67,0)</f>
        <v/>
      </c>
      <c r="C64" s="37">
        <f>IFERROR((SUMIFS(JB_26BV,JB_B,5,JB_W,"Surface Combatants",JB_RC,"ADD"))/C$67,0)</f>
        <v/>
      </c>
      <c r="D64" s="37">
        <f>IFERROR((SUMIFS(JB_26BV,JB_B,5,JB_W,"Aircraft Carriers",JB_RC,"ADD"))/D$67,0)</f>
        <v/>
      </c>
      <c r="E64" s="37">
        <f>IFERROR((SUMIFS(JB_26BV,JB_B,5,JB_W,"Amphibious Warfare Ships",JB_RC,"ADD"))/E$67,0)</f>
        <v/>
      </c>
      <c r="F64" s="37">
        <f>IFERROR((SUMIFS(JB_26BV,JB_B,5,JB_W,"Expeditionary &amp; Seabasing Ships",JB_RC,"ADD"))/F$67,0)</f>
        <v/>
      </c>
      <c r="G64" s="37">
        <f>IFERROR((SUMIFS(JB_26BV,JB_B,5,JB_W,"Command Ships",JB_RC,"ADD"))/G$67,0)</f>
        <v/>
      </c>
      <c r="H64" s="37">
        <f>IFERROR((SUMIFS(JB_26BV,JB_B,5,JB_W,"Surveillance Ships",JB_RC,"ADD"))/H$67,0)</f>
        <v/>
      </c>
      <c r="I64" s="37">
        <f>IFERROR((SUMIFS(JB_26BV,JB_B,5,JB_W,"Mine Warfare",JB_RC,"ADD"))/I$67,0)</f>
        <v/>
      </c>
      <c r="J64" s="43">
        <f>IFERROR((SUMIFS(JB_26BV,JB_B,5,JB_W,"National Security Cutters",JB_RC,"ADD"))/J$67,0)</f>
        <v/>
      </c>
      <c r="K64" s="43">
        <f>IFERROR((SUMIFS(JB_26BV,JB_B,5,JB_V,"Auxiliary Ships",JB_RC,"ADD")+SUMIFS(JB_26BV,JB_B,5,JB_V,"Combatant Ships",JB_RC,"ADD")+SUMIFS(JB_26BV,JB_B,5,JB_V,"Cutters",JB_RC,"ADD")+SUMIFS(JB_26BV,JB_B,5,JB_V,"Unmanned Maritime Platforms",JB_RC,"ADD"))/K$67,0)</f>
        <v/>
      </c>
    </row>
    <row r="65" ht="10" customHeight="1">
      <c r="A65" s="30" t="inlineStr">
        <is>
          <t>Sustainment Engineering</t>
        </is>
      </c>
      <c r="B65" s="43">
        <f>IFERROR((SUMIFS(JB_26BV,JB_B,6,JB_W,"Submarines",JB_RC,"ADD"))/B$67,0)</f>
        <v/>
      </c>
      <c r="C65" s="37">
        <f>IFERROR((SUMIFS(JB_26BV,JB_B,6,JB_W,"Surface Combatants",JB_RC,"ADD"))/C$67,0)</f>
        <v/>
      </c>
      <c r="D65" s="37">
        <f>IFERROR((SUMIFS(JB_26BV,JB_B,6,JB_W,"Aircraft Carriers",JB_RC,"ADD"))/D$67,0)</f>
        <v/>
      </c>
      <c r="E65" s="37">
        <f>IFERROR((SUMIFS(JB_26BV,JB_B,6,JB_W,"Amphibious Warfare Ships",JB_RC,"ADD"))/E$67,0)</f>
        <v/>
      </c>
      <c r="F65" s="37">
        <f>IFERROR((SUMIFS(JB_26BV,JB_B,6,JB_W,"Expeditionary &amp; Seabasing Ships",JB_RC,"ADD"))/F$67,0)</f>
        <v/>
      </c>
      <c r="G65" s="37">
        <f>IFERROR((SUMIFS(JB_26BV,JB_B,6,JB_W,"Command Ships",JB_RC,"ADD"))/G$67,0)</f>
        <v/>
      </c>
      <c r="H65" s="37">
        <f>IFERROR((SUMIFS(JB_26BV,JB_B,6,JB_W,"Surveillance Ships",JB_RC,"ADD"))/H$67,0)</f>
        <v/>
      </c>
      <c r="I65" s="37">
        <f>IFERROR((SUMIFS(JB_26BV,JB_B,6,JB_W,"Mine Warfare",JB_RC,"ADD"))/I$67,0)</f>
        <v/>
      </c>
      <c r="J65" s="43">
        <f>IFERROR((SUMIFS(JB_26BV,JB_B,6,JB_W,"National Security Cutters",JB_RC,"ADD"))/J$67,0)</f>
        <v/>
      </c>
      <c r="K65" s="43">
        <f>IFERROR((SUMIFS(JB_26BV,JB_B,6,JB_V,"Auxiliary Ships",JB_RC,"ADD")+SUMIFS(JB_26BV,JB_B,6,JB_V,"Combatant Ships",JB_RC,"ADD")+SUMIFS(JB_26BV,JB_B,6,JB_V,"Cutters",JB_RC,"ADD")+SUMIFS(JB_26BV,JB_B,6,JB_V,"Unmanned Maritime Platforms",JB_RC,"ADD"))/K$67,0)</f>
        <v/>
      </c>
    </row>
    <row r="66" ht="10" customHeight="1">
      <c r="A66" s="30" t="inlineStr">
        <is>
          <t>Availability Support</t>
        </is>
      </c>
      <c r="B66" s="43">
        <f>IFERROR((SUMIFS(JB_26BV,JB_B,7,JB_W,"Submarines",JB_RC,"ADD"))/B$67,0)</f>
        <v/>
      </c>
      <c r="C66" s="37">
        <f>IFERROR((SUMIFS(JB_26BV,JB_B,7,JB_W,"Surface Combatants",JB_RC,"ADD"))/C$67,0)</f>
        <v/>
      </c>
      <c r="D66" s="37">
        <f>IFERROR((SUMIFS(JB_26BV,JB_B,7,JB_W,"Aircraft Carriers",JB_RC,"ADD"))/D$67,0)</f>
        <v/>
      </c>
      <c r="E66" s="37">
        <f>IFERROR((SUMIFS(JB_26BV,JB_B,7,JB_W,"Amphibious Warfare Ships",JB_RC,"ADD"))/E$67,0)</f>
        <v/>
      </c>
      <c r="F66" s="37">
        <f>IFERROR((SUMIFS(JB_26BV,JB_B,7,JB_W,"Expeditionary &amp; Seabasing Ships",JB_RC,"ADD"))/F$67,0)</f>
        <v/>
      </c>
      <c r="G66" s="37">
        <f>IFERROR((SUMIFS(JB_26BV,JB_B,7,JB_W,"Command Ships",JB_RC,"ADD"))/G$67,0)</f>
        <v/>
      </c>
      <c r="H66" s="37">
        <f>IFERROR((SUMIFS(JB_26BV,JB_B,7,JB_W,"Surveillance Ships",JB_RC,"ADD"))/H$67,0)</f>
        <v/>
      </c>
      <c r="I66" s="37">
        <f>IFERROR((SUMIFS(JB_26BV,JB_B,7,JB_W,"Mine Warfare",JB_RC,"ADD"))/I$67,0)</f>
        <v/>
      </c>
      <c r="J66" s="43">
        <f>IFERROR((SUMIFS(JB_26BV,JB_B,7,JB_W,"National Security Cutters",JB_RC,"ADD"))/J$67,0)</f>
        <v/>
      </c>
      <c r="K66" s="43">
        <f>IFERROR((SUMIFS(JB_26BV,JB_B,7,JB_V,"Auxiliary Ships",JB_RC,"ADD")+SUMIFS(JB_26BV,JB_B,7,JB_V,"Combatant Ships",JB_RC,"ADD")+SUMIFS(JB_26BV,JB_B,7,JB_V,"Cutters",JB_RC,"ADD")+SUMIFS(JB_26BV,JB_B,7,JB_V,"Unmanned Maritime Platforms",JB_RC,"ADD"))/K$67,0)</f>
        <v/>
      </c>
    </row>
    <row r="67" ht="10" customHeight="1">
      <c r="A67" s="32" t="inlineStr">
        <is>
          <t>Total ($K)</t>
        </is>
      </c>
      <c r="B67" s="44">
        <f>SUMIFS(JB_26BV,JB_B,2,JB_W,"Submarines",JB_RC,"ADD")+SUMIFS(JB_26BV,JB_B,3,JB_W,"Submarines",JB_RC,"ADD")+SUMIFS(JB_26BV,JB_B,4,JB_W,"Submarines",JB_RC,"ADD")+SUMIFS(JB_26BV,JB_B,5,JB_W,"Submarines",JB_RC,"ADD")+SUMIFS(JB_26BV,JB_B,6,JB_W,"Submarines",JB_RC,"ADD")+SUMIFS(JB_26BV,JB_B,7,JB_W,"Submarines",JB_RC,"ADD")</f>
        <v/>
      </c>
      <c r="C67" s="33">
        <f>SUMIFS(JB_26BV,JB_B,2,JB_W,"Surface Combatants",JB_RC,"ADD")+SUMIFS(JB_26BV,JB_B,3,JB_W,"Surface Combatants",JB_RC,"ADD")+SUMIFS(JB_26BV,JB_B,4,JB_W,"Surface Combatants",JB_RC,"ADD")+SUMIFS(JB_26BV,JB_B,5,JB_W,"Surface Combatants",JB_RC,"ADD")+SUMIFS(JB_26BV,JB_B,6,JB_W,"Surface Combatants",JB_RC,"ADD")+SUMIFS(JB_26BV,JB_B,7,JB_W,"Surface Combatants",JB_RC,"ADD")</f>
        <v/>
      </c>
      <c r="D67" s="33">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
      </c>
      <c r="E67" s="33">
        <f>SUMIFS(JB_26BV,JB_B,2,JB_W,"Amphibious Warfare Ships",JB_RC,"ADD")+SUMIFS(JB_26BV,JB_B,3,JB_W,"Amphibious Warfare Ships",JB_RC,"ADD")+SUMIFS(JB_26BV,JB_B,4,JB_W,"Amphibious Warfare Ships",JB_RC,"ADD")+SUMIFS(JB_26BV,JB_B,5,JB_W,"Amphibious Warfare Ships",JB_RC,"ADD")+SUMIFS(JB_26BV,JB_B,6,JB_W,"Amphibious Warfare Ships",JB_RC,"ADD")+SUMIFS(JB_26BV,JB_B,7,JB_W,"Amphibious Warfare Ships",JB_RC,"ADD")</f>
        <v/>
      </c>
      <c r="F67" s="33">
        <f>SUMIFS(JB_26BV,JB_B,2,JB_W,"Expeditionary &amp; Seabasing Ships",JB_RC,"ADD")+SUMIFS(JB_26BV,JB_B,3,JB_W,"Expeditionary &amp; Seabasing Ships",JB_RC,"ADD")+SUMIFS(JB_26BV,JB_B,4,JB_W,"Expeditionary &amp; Seabasing Ships",JB_RC,"ADD")+SUMIFS(JB_26BV,JB_B,5,JB_W,"Expeditionary &amp; Seabasing Ships",JB_RC,"ADD")+SUMIFS(JB_26BV,JB_B,6,JB_W,"Expeditionary &amp; Seabasing Ships",JB_RC,"ADD")+SUMIFS(JB_26BV,JB_B,7,JB_W,"Expeditionary &amp; Seabasing Ships",JB_RC,"ADD")</f>
        <v/>
      </c>
      <c r="G67" s="33">
        <f>SUMIFS(JB_26BV,JB_B,2,JB_W,"Command Ships",JB_RC,"ADD")+SUMIFS(JB_26BV,JB_B,3,JB_W,"Command Ships",JB_RC,"ADD")+SUMIFS(JB_26BV,JB_B,4,JB_W,"Command Ships",JB_RC,"ADD")+SUMIFS(JB_26BV,JB_B,5,JB_W,"Command Ships",JB_RC,"ADD")+SUMIFS(JB_26BV,JB_B,6,JB_W,"Command Ships",JB_RC,"ADD")+SUMIFS(JB_26BV,JB_B,7,JB_W,"Command Ships",JB_RC,"ADD")</f>
        <v/>
      </c>
      <c r="H67" s="33">
        <f>SUMIFS(JB_26BV,JB_B,2,JB_W,"Surveillance Ships",JB_RC,"ADD")+SUMIFS(JB_26BV,JB_B,3,JB_W,"Surveillance Ships",JB_RC,"ADD")+SUMIFS(JB_26BV,JB_B,4,JB_W,"Surveillance Ships",JB_RC,"ADD")+SUMIFS(JB_26BV,JB_B,5,JB_W,"Surveillance Ships",JB_RC,"ADD")+SUMIFS(JB_26BV,JB_B,6,JB_W,"Surveillance Ships",JB_RC,"ADD")+SUMIFS(JB_26BV,JB_B,7,JB_W,"Surveillance Ships",JB_RC,"ADD")</f>
        <v/>
      </c>
      <c r="I67" s="33">
        <f>SUMIFS(JB_26BV,JB_B,2,JB_W,"Mine Warfare",JB_RC,"ADD")+SUMIFS(JB_26BV,JB_B,3,JB_W,"Mine Warfare",JB_RC,"ADD")+SUMIFS(JB_26BV,JB_B,4,JB_W,"Mine Warfare",JB_RC,"ADD")+SUMIFS(JB_26BV,JB_B,5,JB_W,"Mine Warfare",JB_RC,"ADD")+SUMIFS(JB_26BV,JB_B,6,JB_W,"Mine Warfare",JB_RC,"ADD")+SUMIFS(JB_26BV,JB_B,7,JB_W,"Mine Warfare",JB_RC,"ADD")</f>
        <v/>
      </c>
      <c r="J67" s="44">
        <f>SUMIFS(JB_26BV,JB_B,2,JB_W,"National Security Cutters",JB_RC,"ADD")+SUMIFS(JB_26BV,JB_B,3,JB_W,"National Security Cutters",JB_RC,"ADD")+SUMIFS(JB_26BV,JB_B,4,JB_W,"National Security Cutters",JB_RC,"ADD")+SUMIFS(JB_26BV,JB_B,5,JB_W,"National Security Cutters",JB_RC,"ADD")+SUMIFS(JB_26BV,JB_B,6,JB_W,"National Security Cutters",JB_RC,"ADD")+SUMIFS(JB_26BV,JB_B,7,JB_W,"National Security Cutters",JB_RC,"ADD")</f>
        <v/>
      </c>
      <c r="K67" s="44">
        <f>SUM(B67:J67)</f>
        <v/>
      </c>
    </row>
  </sheetData>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O139"/>
  <sheetViews>
    <sheetView showGridLines="0" workbookViewId="0">
      <selection activeCell="A1" sqref="A1"/>
    </sheetView>
  </sheetViews>
  <sheetFormatPr baseColWidth="8" defaultRowHeight="15"/>
  <cols>
    <col width="45"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ht="10" customHeight="1">
      <c r="A1" s="24" t="inlineStr">
        <is>
          <t>MRO SAM — FY2026 ($K)</t>
        </is>
      </c>
      <c r="B1" s="25" t="n"/>
      <c r="C1" s="25" t="n"/>
      <c r="D1" s="25" t="n"/>
      <c r="E1" s="25" t="n"/>
      <c r="F1" s="25" t="n"/>
      <c r="G1" s="25" t="n"/>
      <c r="H1" s="25" t="n"/>
      <c r="I1" s="25" t="n"/>
      <c r="J1" s="25" t="n"/>
      <c r="K1" s="25" t="n"/>
      <c r="L1" s="25" t="n"/>
      <c r="M1" s="25" t="n"/>
      <c r="N1" s="25" t="n"/>
      <c r="O1" s="25" t="n"/>
    </row>
    <row r="2" ht="10" customHeight="1">
      <c r="A2" s="26" t="inlineStr">
        <is>
          <t>Outsourceable MRO sized at hull-program level. Starts from MRO TAM, excludes single-yard/nuclear programs (Submarines, Aircraft Carriers, UUVs) and non-outsourceable work types (sustainment engineering, availability support). Retains scheduled depot maintenance, continuous/emergent maintenance, modernization, and major life-cycle events — the work a company could compete for. SDM cost-element estimation applies aggregate OMN Ship Maintenance cost mix to per-hull SDM totals as a directional approximation.</t>
        </is>
      </c>
    </row>
    <row r="3" ht="10" customHeight="1"/>
    <row r="4" ht="10" customHeight="1">
      <c r="A4" s="27" t="inlineStr">
        <is>
          <t>(A) Bridge: MRO TAM → MRO SAM</t>
        </is>
      </c>
      <c r="B4" s="28" t="n"/>
    </row>
    <row r="5" ht="10" customHeight="1">
      <c r="A5" s="30" t="inlineStr">
        <is>
          <t>MRO TAM</t>
        </is>
      </c>
      <c r="B5" s="55">
        <f>'FY26 MRO TAM'!B22</f>
        <v/>
      </c>
    </row>
    <row r="6" ht="10" customHeight="1">
      <c r="A6" s="30" t="inlineStr">
        <is>
          <t xml:space="preserve">  Less: Submarines</t>
        </is>
      </c>
      <c r="B6" s="31">
        <f>-(SUMIFS(JB_26BV,JB_B,2,JB_W,"Submarines",JB_RC,"ADD")+SUMIFS(JB_26BV,JB_B,3,JB_W,"Submarines",JB_RC,"ADD")+SUMIFS(JB_26BV,JB_B,4,JB_W,"Submarines",JB_RC,"ADD")+SUMIFS(JB_26BV,JB_B,5,JB_W,"Submarines",JB_RC,"ADD")+SUMIFS(JB_26BV,JB_B,6,JB_W,"Submarines",JB_RC,"ADD")+SUMIFS(JB_26BV,JB_B,7,JB_W,"Submarines",JB_RC,"ADD"))</f>
        <v/>
      </c>
    </row>
    <row r="7" ht="10" customHeight="1">
      <c r="A7" s="30" t="inlineStr">
        <is>
          <t xml:space="preserve">  Less: Aircraft Carriers</t>
        </is>
      </c>
      <c r="B7" s="31">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
      </c>
    </row>
    <row r="8" ht="10" customHeight="1">
      <c r="A8" s="30" t="inlineStr">
        <is>
          <t xml:space="preserve">  Less: Unmanned Undersea Vehicles</t>
        </is>
      </c>
      <c r="B8" s="31">
        <f>-(SUMIFS(JB_26BV,JB_B,2,JB_W,"Unmanned Undersea Vehicles",JB_RC,"ADD")+SUMIFS(JB_26BV,JB_B,3,JB_W,"Unmanned Undersea Vehicles",JB_RC,"ADD")+SUMIFS(JB_26BV,JB_B,4,JB_W,"Unmanned Undersea Vehicles",JB_RC,"ADD")+SUMIFS(JB_26BV,JB_B,5,JB_W,"Unmanned Undersea Vehicles",JB_RC,"ADD")+SUMIFS(JB_26BV,JB_B,6,JB_W,"Unmanned Undersea Vehicles",JB_RC,"ADD")+SUMIFS(JB_26BV,JB_B,7,JB_W,"Unmanned Undersea Vehicles",JB_RC,"ADD"))</f>
        <v/>
      </c>
    </row>
    <row r="9" ht="10" customHeight="1">
      <c r="A9" s="30" t="inlineStr">
        <is>
          <t xml:space="preserve">  Less: Non-outsourceable work types (Buckets 6, 7)</t>
        </is>
      </c>
      <c r="B9" s="31">
        <f>-(B5+B6+B7+B8-B10)</f>
        <v/>
      </c>
    </row>
    <row r="10" ht="10" customHeight="1">
      <c r="A10" s="32" t="inlineStr">
        <is>
          <t>MRO SAM</t>
        </is>
      </c>
      <c r="B10" s="33">
        <f>SUMIFS(JB_26BV,JB_B,2,JB_V,"Auxiliary Ships",JB_RC,"ADD")+SUMIFS(JB_26BV,JB_B,2,JB_V,"Combatant Ships",JB_RC,"ADD")+SUMIFS(JB_26BV,JB_B,2,JB_V,"Cutters",JB_RC,"ADD")+SUMIFS(JB_26BV,JB_B,2,JB_V,"Unmanned Maritime Platforms",JB_RC,"ADD")+SUMIFS(JB_26BV,JB_B,3,JB_V,"Auxiliary Ships",JB_RC,"ADD")+SUMIFS(JB_26BV,JB_B,3,JB_V,"Combatant Ships",JB_RC,"ADD")+SUMIFS(JB_26BV,JB_B,3,JB_V,"Cutters",JB_RC,"ADD")+SUMIFS(JB_26BV,JB_B,3,JB_V,"Unmanned Maritime Platforms",JB_RC,"ADD")+SUMIFS(JB_26BV,JB_B,4,JB_V,"Auxiliary Ships",JB_RC,"ADD")+SUMIFS(JB_26BV,JB_B,4,JB_V,"Combatant Ships",JB_RC,"ADD")+SUMIFS(JB_26BV,JB_B,4,JB_V,"Cutters",JB_RC,"ADD")+SUMIFS(JB_26BV,JB_B,4,JB_V,"Unmanned Maritime Platforms",JB_RC,"ADD")+SUMIFS(JB_26BV,JB_B,5,JB_V,"Auxiliary Ships",JB_RC,"ADD")+SUMIFS(JB_26BV,JB_B,5,JB_V,"Combatant Ships",JB_RC,"ADD")+SUMIFS(JB_26BV,JB_B,5,JB_V,"Cutters",JB_RC,"ADD")+SUMIFS(JB_26BV,JB_B,5,JB_V,"Unmanned Maritime Platforms",JB_RC,"ADD")-(SUMIFS(JB_26BV,JB_B,2,JB_W,"Submarines",JB_RC,"ADD"))+-(SUMIFS(JB_26BV,JB_B,2,JB_W,"Aircraft Carriers",JB_RC,"ADD"))+-(SUMIFS(JB_26BV,JB_B,2,JB_W,"Unmanned Undersea Vehicles",JB_RC,"ADD"))+-(SUMIFS(JB_26BV,JB_B,3,JB_W,"Submarines",JB_RC,"ADD"))+-(SUMIFS(JB_26BV,JB_B,3,JB_W,"Aircraft Carriers",JB_RC,"ADD"))+-(SUMIFS(JB_26BV,JB_B,3,JB_W,"Unmanned Undersea Vehicles",JB_RC,"ADD"))+-(SUMIFS(JB_26BV,JB_B,4,JB_W,"Submarines",JB_RC,"ADD"))+-(SUMIFS(JB_26BV,JB_B,4,JB_W,"Aircraft Carriers",JB_RC,"ADD"))+-(SUMIFS(JB_26BV,JB_B,4,JB_W,"Unmanned Undersea Vehicles",JB_RC,"ADD"))+-(SUMIFS(JB_26BV,JB_B,5,JB_W,"Submarines",JB_RC,"ADD"))+-(SUMIFS(JB_26BV,JB_B,5,JB_W,"Aircraft Carriers",JB_RC,"ADD"))+-(SUMIFS(JB_26BV,JB_B,5,JB_W,"Unmanned Undersea Vehicles",JB_RC,"ADD"))</f>
        <v/>
      </c>
    </row>
    <row r="11" ht="10" customHeight="1"/>
    <row r="12" ht="10" customHeight="1"/>
    <row r="13" ht="10" customHeight="1">
      <c r="A13" s="27" t="inlineStr">
        <is>
          <t>(B) MRO SAM by Vessel Type</t>
        </is>
      </c>
      <c r="B13" s="28" t="n"/>
      <c r="C13" s="28" t="n"/>
      <c r="D13" s="28" t="n"/>
      <c r="E13" s="28" t="n"/>
      <c r="F13" s="28" t="n"/>
      <c r="G13" s="28" t="n"/>
      <c r="H13" s="28" t="n"/>
    </row>
    <row r="14" ht="10" customHeight="1">
      <c r="A14" s="29" t="inlineStr">
        <is>
          <t>Vessel Type</t>
        </is>
      </c>
      <c r="B14" s="29" t="inlineStr">
        <is>
          <t>Service</t>
        </is>
      </c>
      <c r="C14" s="29" t="inlineStr">
        <is>
          <t>SDM ($K)</t>
        </is>
      </c>
      <c r="D14" s="29" t="inlineStr">
        <is>
          <t>Cont/Emerg ($K)</t>
        </is>
      </c>
      <c r="E14" s="29" t="inlineStr">
        <is>
          <t>Mod ($K)</t>
        </is>
      </c>
      <c r="F14" s="29" t="inlineStr">
        <is>
          <t>Major LC ($K)</t>
        </is>
      </c>
      <c r="G14" s="29" t="inlineStr">
        <is>
          <t>Total ($K)</t>
        </is>
      </c>
      <c r="H14" s="29" t="inlineStr">
        <is>
          <t>% of SAM</t>
        </is>
      </c>
    </row>
    <row r="15" ht="10" customHeight="1">
      <c r="A15" s="30" t="inlineStr">
        <is>
          <t>Surface Combatants</t>
        </is>
      </c>
      <c r="B15" s="30" t="inlineStr">
        <is>
          <t>USN</t>
        </is>
      </c>
      <c r="C15" s="31">
        <f>SUMIFS(JB_26BV,JB_B,2,JB_W,"Surface Combatants",JB_RC,"ADD")</f>
        <v/>
      </c>
      <c r="D15" s="31">
        <f>SUMIFS(JB_26BV,JB_B,3,JB_W,"Surface Combatants",JB_RC,"ADD")</f>
        <v/>
      </c>
      <c r="E15" s="31">
        <f>SUMIFS(JB_26BV,JB_B,4,JB_W,"Surface Combatants",JB_RC,"ADD")</f>
        <v/>
      </c>
      <c r="F15" s="31">
        <f>SUMIFS(JB_26BV,JB_B,5,JB_W,"Surface Combatants",JB_RC,"ADD")</f>
        <v/>
      </c>
      <c r="G15" s="31">
        <f>SUM(C15:F15)</f>
        <v/>
      </c>
      <c r="H15" s="37">
        <f>IFERROR(G15/G$40,0)</f>
        <v/>
      </c>
    </row>
    <row r="16" ht="10" customHeight="1">
      <c r="A16" s="30" t="inlineStr">
        <is>
          <t>Amphibious Warfare Ships</t>
        </is>
      </c>
      <c r="B16" s="30" t="inlineStr">
        <is>
          <t>USN</t>
        </is>
      </c>
      <c r="C16" s="31">
        <f>SUMIFS(JB_26BV,JB_B,2,JB_W,"Amphibious Warfare Ships",JB_RC,"ADD")</f>
        <v/>
      </c>
      <c r="D16" s="31">
        <f>SUMIFS(JB_26BV,JB_B,3,JB_W,"Amphibious Warfare Ships",JB_RC,"ADD")</f>
        <v/>
      </c>
      <c r="E16" s="31">
        <f>SUMIFS(JB_26BV,JB_B,4,JB_W,"Amphibious Warfare Ships",JB_RC,"ADD")</f>
        <v/>
      </c>
      <c r="F16" s="31">
        <f>SUMIFS(JB_26BV,JB_B,5,JB_W,"Amphibious Warfare Ships",JB_RC,"ADD")</f>
        <v/>
      </c>
      <c r="G16" s="31">
        <f>SUM(C16:F16)</f>
        <v/>
      </c>
      <c r="H16" s="37">
        <f>IFERROR(G16/G$40,0)</f>
        <v/>
      </c>
    </row>
    <row r="17" ht="10" customHeight="1">
      <c r="A17" s="30" t="inlineStr">
        <is>
          <t>Command Ships</t>
        </is>
      </c>
      <c r="B17" s="30" t="inlineStr">
        <is>
          <t>USN</t>
        </is>
      </c>
      <c r="C17" s="31">
        <f>SUMIFS(JB_26BV,JB_B,2,JB_W,"Command Ships",JB_RC,"ADD")</f>
        <v/>
      </c>
      <c r="D17" s="31">
        <f>SUMIFS(JB_26BV,JB_B,3,JB_W,"Command Ships",JB_RC,"ADD")</f>
        <v/>
      </c>
      <c r="E17" s="31">
        <f>SUMIFS(JB_26BV,JB_B,4,JB_W,"Command Ships",JB_RC,"ADD")</f>
        <v/>
      </c>
      <c r="F17" s="31">
        <f>SUMIFS(JB_26BV,JB_B,5,JB_W,"Command Ships",JB_RC,"ADD")</f>
        <v/>
      </c>
      <c r="G17" s="31">
        <f>SUM(C17:F17)</f>
        <v/>
      </c>
      <c r="H17" s="37">
        <f>IFERROR(G17/G$40,0)</f>
        <v/>
      </c>
    </row>
    <row r="18" ht="10" customHeight="1">
      <c r="A18" s="30" t="inlineStr">
        <is>
          <t>Surveillance Ships</t>
        </is>
      </c>
      <c r="B18" s="30" t="inlineStr">
        <is>
          <t>USN</t>
        </is>
      </c>
      <c r="C18" s="31">
        <f>SUMIFS(JB_26BV,JB_B,2,JB_W,"Surveillance Ships",JB_RC,"ADD")</f>
        <v/>
      </c>
      <c r="D18" s="31">
        <f>SUMIFS(JB_26BV,JB_B,3,JB_W,"Surveillance Ships",JB_RC,"ADD")</f>
        <v/>
      </c>
      <c r="E18" s="31">
        <f>SUMIFS(JB_26BV,JB_B,4,JB_W,"Surveillance Ships",JB_RC,"ADD")</f>
        <v/>
      </c>
      <c r="F18" s="31">
        <f>SUMIFS(JB_26BV,JB_B,5,JB_W,"Surveillance Ships",JB_RC,"ADD")</f>
        <v/>
      </c>
      <c r="G18" s="31">
        <f>SUM(C18:F18)</f>
        <v/>
      </c>
      <c r="H18" s="37">
        <f>IFERROR(G18/G$40,0)</f>
        <v/>
      </c>
    </row>
    <row r="19" ht="10" customHeight="1">
      <c r="A19" s="30" t="inlineStr">
        <is>
          <t>Mine Warfare</t>
        </is>
      </c>
      <c r="B19" s="30" t="inlineStr">
        <is>
          <t>USN</t>
        </is>
      </c>
      <c r="C19" s="31">
        <f>SUMIFS(JB_26BV,JB_B,2,JB_W,"Mine Warfare",JB_RC,"ADD")</f>
        <v/>
      </c>
      <c r="D19" s="31">
        <f>SUMIFS(JB_26BV,JB_B,3,JB_W,"Mine Warfare",JB_RC,"ADD")</f>
        <v/>
      </c>
      <c r="E19" s="31">
        <f>SUMIFS(JB_26BV,JB_B,4,JB_W,"Mine Warfare",JB_RC,"ADD")</f>
        <v/>
      </c>
      <c r="F19" s="31">
        <f>SUMIFS(JB_26BV,JB_B,5,JB_W,"Mine Warfare",JB_RC,"ADD")</f>
        <v/>
      </c>
      <c r="G19" s="31">
        <f>SUM(C19:F19)</f>
        <v/>
      </c>
      <c r="H19" s="37">
        <f>IFERROR(G19/G$40,0)</f>
        <v/>
      </c>
    </row>
    <row r="20" ht="10" customHeight="1">
      <c r="A20" s="30" t="inlineStr">
        <is>
          <t>Expeditionary &amp; Seabasing Ships</t>
        </is>
      </c>
      <c r="B20" s="30" t="inlineStr">
        <is>
          <t>USN</t>
        </is>
      </c>
      <c r="C20" s="31">
        <f>SUMIFS(JB_26BV,JB_B,2,JB_W,"Expeditionary &amp; Seabasing Ships",JB_RC,"ADD")</f>
        <v/>
      </c>
      <c r="D20" s="31">
        <f>SUMIFS(JB_26BV,JB_B,3,JB_W,"Expeditionary &amp; Seabasing Ships",JB_RC,"ADD")</f>
        <v/>
      </c>
      <c r="E20" s="31">
        <f>SUMIFS(JB_26BV,JB_B,4,JB_W,"Expeditionary &amp; Seabasing Ships",JB_RC,"ADD")</f>
        <v/>
      </c>
      <c r="F20" s="31">
        <f>SUMIFS(JB_26BV,JB_B,5,JB_W,"Expeditionary &amp; Seabasing Ships",JB_RC,"ADD")</f>
        <v/>
      </c>
      <c r="G20" s="31">
        <f>SUM(C20:F20)</f>
        <v/>
      </c>
      <c r="H20" s="37">
        <f>IFERROR(G20/G$40,0)</f>
        <v/>
      </c>
    </row>
    <row r="21" ht="10" customHeight="1">
      <c r="A21" s="30" t="inlineStr">
        <is>
          <t>Unmanned Surface Vehicles</t>
        </is>
      </c>
      <c r="B21" s="30" t="inlineStr">
        <is>
          <t>USN</t>
        </is>
      </c>
      <c r="C21" s="31">
        <f>SUMIFS(JB_26BV,JB_B,2,JB_W,"Unmanned Surface Vehicles",JB_RC,"ADD")</f>
        <v/>
      </c>
      <c r="D21" s="31">
        <f>SUMIFS(JB_26BV,JB_B,3,JB_W,"Unmanned Surface Vehicles",JB_RC,"ADD")</f>
        <v/>
      </c>
      <c r="E21" s="31">
        <f>SUMIFS(JB_26BV,JB_B,4,JB_W,"Unmanned Surface Vehicles",JB_RC,"ADD")</f>
        <v/>
      </c>
      <c r="F21" s="31">
        <f>SUMIFS(JB_26BV,JB_B,5,JB_W,"Unmanned Surface Vehicles",JB_RC,"ADD")</f>
        <v/>
      </c>
      <c r="G21" s="31">
        <f>SUM(C21:F21)</f>
        <v/>
      </c>
      <c r="H21" s="37">
        <f>IFERROR(G21/G$40,0)</f>
        <v/>
      </c>
    </row>
    <row r="22" ht="10" customHeight="1">
      <c r="A22" s="30" t="inlineStr">
        <is>
          <t>Salvage Ships &amp; Fleet Ocean Tugs</t>
        </is>
      </c>
      <c r="B22" s="30" t="inlineStr">
        <is>
          <t>MSC</t>
        </is>
      </c>
      <c r="C22" s="31">
        <f>SUMIFS(JB_26BV,JB_B,2,JB_W,"Salvage Ships &amp; Fleet Ocean Tugs",JB_RC,"ADD")</f>
        <v/>
      </c>
      <c r="D22" s="31">
        <f>SUMIFS(JB_26BV,JB_B,3,JB_W,"Salvage Ships &amp; Fleet Ocean Tugs",JB_RC,"ADD")</f>
        <v/>
      </c>
      <c r="E22" s="31">
        <f>SUMIFS(JB_26BV,JB_B,4,JB_W,"Salvage Ships &amp; Fleet Ocean Tugs",JB_RC,"ADD")</f>
        <v/>
      </c>
      <c r="F22" s="31">
        <f>SUMIFS(JB_26BV,JB_B,5,JB_W,"Salvage Ships &amp; Fleet Ocean Tugs",JB_RC,"ADD")</f>
        <v/>
      </c>
      <c r="G22" s="31">
        <f>SUM(C22:F22)</f>
        <v/>
      </c>
      <c r="H22" s="37">
        <f>IFERROR(G22/G$40,0)</f>
        <v/>
      </c>
    </row>
    <row r="23" ht="10" customHeight="1">
      <c r="A23" s="30" t="inlineStr">
        <is>
          <t>Submarine Escort Ship</t>
        </is>
      </c>
      <c r="B23" s="30" t="inlineStr">
        <is>
          <t>USN</t>
        </is>
      </c>
      <c r="C23" s="31">
        <f>SUMIFS(JB_26BV,JB_B,2,JB_W,"Submarine Escort Ship",JB_RC,"ADD")</f>
        <v/>
      </c>
      <c r="D23" s="31">
        <f>SUMIFS(JB_26BV,JB_B,3,JB_W,"Submarine Escort Ship",JB_RC,"ADD")</f>
        <v/>
      </c>
      <c r="E23" s="31">
        <f>SUMIFS(JB_26BV,JB_B,4,JB_W,"Submarine Escort Ship",JB_RC,"ADD")</f>
        <v/>
      </c>
      <c r="F23" s="31">
        <f>SUMIFS(JB_26BV,JB_B,5,JB_W,"Submarine Escort Ship",JB_RC,"ADD")</f>
        <v/>
      </c>
      <c r="G23" s="31">
        <f>SUM(C23:F23)</f>
        <v/>
      </c>
      <c r="H23" s="37">
        <f>IFERROR(G23/G$40,0)</f>
        <v/>
      </c>
    </row>
    <row r="24" ht="10" customHeight="1">
      <c r="A24" s="30" t="inlineStr">
        <is>
          <t>High Speed Transport</t>
        </is>
      </c>
      <c r="B24" s="30" t="inlineStr">
        <is>
          <t>USN</t>
        </is>
      </c>
      <c r="C24" s="31">
        <f>SUMIFS(JB_26BV,JB_B,2,JB_W,"High Speed Transport",JB_RC,"ADD")</f>
        <v/>
      </c>
      <c r="D24" s="31">
        <f>SUMIFS(JB_26BV,JB_B,3,JB_W,"High Speed Transport",JB_RC,"ADD")</f>
        <v/>
      </c>
      <c r="E24" s="31">
        <f>SUMIFS(JB_26BV,JB_B,4,JB_W,"High Speed Transport",JB_RC,"ADD")</f>
        <v/>
      </c>
      <c r="F24" s="31">
        <f>SUMIFS(JB_26BV,JB_B,5,JB_W,"High Speed Transport",JB_RC,"ADD")</f>
        <v/>
      </c>
      <c r="G24" s="31">
        <f>SUM(C24:F24)</f>
        <v/>
      </c>
      <c r="H24" s="37">
        <f>IFERROR(G24/G$40,0)</f>
        <v/>
      </c>
    </row>
    <row r="25" ht="10" customHeight="1">
      <c r="A25" s="30" t="inlineStr">
        <is>
          <t>Combat Logistics Ships</t>
        </is>
      </c>
      <c r="B25" s="30" t="inlineStr">
        <is>
          <t>MSC</t>
        </is>
      </c>
      <c r="C25" s="31">
        <f>SUMIFS(JB_26BV,JB_B,2,JB_W,"Combat Logistics Ships",JB_RC,"ADD")</f>
        <v/>
      </c>
      <c r="D25" s="31">
        <f>SUMIFS(JB_26BV,JB_B,3,JB_W,"Combat Logistics Ships",JB_RC,"ADD")</f>
        <v/>
      </c>
      <c r="E25" s="31">
        <f>SUMIFS(JB_26BV,JB_B,4,JB_W,"Combat Logistics Ships",JB_RC,"ADD")</f>
        <v/>
      </c>
      <c r="F25" s="31">
        <f>SUMIFS(JB_26BV,JB_B,5,JB_W,"Combat Logistics Ships",JB_RC,"ADD")</f>
        <v/>
      </c>
      <c r="G25" s="31">
        <f>SUM(C25:F25)</f>
        <v/>
      </c>
      <c r="H25" s="37">
        <f>IFERROR(G25/G$40,0)</f>
        <v/>
      </c>
    </row>
    <row r="26" ht="10" customHeight="1">
      <c r="A26" s="30" t="inlineStr">
        <is>
          <t>Cargo &amp; Vehicle Cargo Ships</t>
        </is>
      </c>
      <c r="B26" s="30" t="inlineStr">
        <is>
          <t>USN</t>
        </is>
      </c>
      <c r="C26" s="31">
        <f>SUMIFS(JB_26BV,JB_B,2,JB_W,"Cargo &amp; Vehicle Cargo Ships",JB_RC,"ADD")</f>
        <v/>
      </c>
      <c r="D26" s="31">
        <f>SUMIFS(JB_26BV,JB_B,3,JB_W,"Cargo &amp; Vehicle Cargo Ships",JB_RC,"ADD")</f>
        <v/>
      </c>
      <c r="E26" s="31">
        <f>SUMIFS(JB_26BV,JB_B,4,JB_W,"Cargo &amp; Vehicle Cargo Ships",JB_RC,"ADD")</f>
        <v/>
      </c>
      <c r="F26" s="31">
        <f>SUMIFS(JB_26BV,JB_B,5,JB_W,"Cargo &amp; Vehicle Cargo Ships",JB_RC,"ADD")</f>
        <v/>
      </c>
      <c r="G26" s="31">
        <f>SUM(C26:F26)</f>
        <v/>
      </c>
      <c r="H26" s="37">
        <f>IFERROR(G26/G$40,0)</f>
        <v/>
      </c>
    </row>
    <row r="27" ht="10" customHeight="1">
      <c r="A27" s="30" t="inlineStr">
        <is>
          <t>Material Support Ships</t>
        </is>
      </c>
      <c r="B27" s="30" t="inlineStr">
        <is>
          <t>USN</t>
        </is>
      </c>
      <c r="C27" s="31">
        <f>SUMIFS(JB_26BV,JB_B,2,JB_W,"Material Support Ships",JB_RC,"ADD")</f>
        <v/>
      </c>
      <c r="D27" s="31">
        <f>SUMIFS(JB_26BV,JB_B,3,JB_W,"Material Support Ships",JB_RC,"ADD")</f>
        <v/>
      </c>
      <c r="E27" s="31">
        <f>SUMIFS(JB_26BV,JB_B,4,JB_W,"Material Support Ships",JB_RC,"ADD")</f>
        <v/>
      </c>
      <c r="F27" s="31">
        <f>SUMIFS(JB_26BV,JB_B,5,JB_W,"Material Support Ships",JB_RC,"ADD")</f>
        <v/>
      </c>
      <c r="G27" s="31">
        <f>SUM(C27:F27)</f>
        <v/>
      </c>
      <c r="H27" s="37">
        <f>IFERROR(G27/G$40,0)</f>
        <v/>
      </c>
    </row>
    <row r="28" ht="10" customHeight="1">
      <c r="A28" s="30" t="inlineStr">
        <is>
          <t>Hospital Ship</t>
        </is>
      </c>
      <c r="B28" s="30" t="inlineStr">
        <is>
          <t>MSC</t>
        </is>
      </c>
      <c r="C28" s="31">
        <f>SUMIFS(JB_26BV,JB_B,2,JB_W,"Hospital Ship",JB_RC,"ADD")</f>
        <v/>
      </c>
      <c r="D28" s="31">
        <f>SUMIFS(JB_26BV,JB_B,3,JB_W,"Hospital Ship",JB_RC,"ADD")</f>
        <v/>
      </c>
      <c r="E28" s="31">
        <f>SUMIFS(JB_26BV,JB_B,4,JB_W,"Hospital Ship",JB_RC,"ADD")</f>
        <v/>
      </c>
      <c r="F28" s="31">
        <f>SUMIFS(JB_26BV,JB_B,5,JB_W,"Hospital Ship",JB_RC,"ADD")</f>
        <v/>
      </c>
      <c r="G28" s="31">
        <f>SUM(C28:F28)</f>
        <v/>
      </c>
      <c r="H28" s="37">
        <f>IFERROR(G28/G$40,0)</f>
        <v/>
      </c>
    </row>
    <row r="29" ht="10" customHeight="1">
      <c r="A29" s="30" t="inlineStr">
        <is>
          <t>General Auxiliary</t>
        </is>
      </c>
      <c r="B29" s="30" t="inlineStr">
        <is>
          <t>USN</t>
        </is>
      </c>
      <c r="C29" s="31">
        <f>SUMIFS(JB_26BV,JB_B,2,JB_W,"General Auxiliary",JB_RC,"ADD")</f>
        <v/>
      </c>
      <c r="D29" s="31">
        <f>SUMIFS(JB_26BV,JB_B,3,JB_W,"General Auxiliary",JB_RC,"ADD")</f>
        <v/>
      </c>
      <c r="E29" s="31">
        <f>SUMIFS(JB_26BV,JB_B,4,JB_W,"General Auxiliary",JB_RC,"ADD")</f>
        <v/>
      </c>
      <c r="F29" s="31">
        <f>SUMIFS(JB_26BV,JB_B,5,JB_W,"General Auxiliary",JB_RC,"ADD")</f>
        <v/>
      </c>
      <c r="G29" s="31">
        <f>SUM(C29:F29)</f>
        <v/>
      </c>
      <c r="H29" s="37">
        <f>IFERROR(G29/G$40,0)</f>
        <v/>
      </c>
    </row>
    <row r="30" ht="10" customHeight="1">
      <c r="A30" s="30" t="inlineStr">
        <is>
          <t>Crane Ship</t>
        </is>
      </c>
      <c r="B30" s="30" t="inlineStr">
        <is>
          <t>USN</t>
        </is>
      </c>
      <c r="C30" s="31">
        <f>SUMIFS(JB_26BV,JB_B,2,JB_W,"Crane Ship",JB_RC,"ADD")</f>
        <v/>
      </c>
      <c r="D30" s="31">
        <f>SUMIFS(JB_26BV,JB_B,3,JB_W,"Crane Ship",JB_RC,"ADD")</f>
        <v/>
      </c>
      <c r="E30" s="31">
        <f>SUMIFS(JB_26BV,JB_B,4,JB_W,"Crane Ship",JB_RC,"ADD")</f>
        <v/>
      </c>
      <c r="F30" s="31">
        <f>SUMIFS(JB_26BV,JB_B,5,JB_W,"Crane Ship",JB_RC,"ADD")</f>
        <v/>
      </c>
      <c r="G30" s="31">
        <f>SUM(C30:F30)</f>
        <v/>
      </c>
      <c r="H30" s="37">
        <f>IFERROR(G30/G$40,0)</f>
        <v/>
      </c>
    </row>
    <row r="31" ht="10" customHeight="1">
      <c r="A31" s="30" t="inlineStr">
        <is>
          <t>Aviation Logistics Support Ship</t>
        </is>
      </c>
      <c r="B31" s="30" t="inlineStr">
        <is>
          <t>USN</t>
        </is>
      </c>
      <c r="C31" s="31">
        <f>SUMIFS(JB_26BV,JB_B,2,JB_W,"Aviation Logistics Support Ship",JB_RC,"ADD")</f>
        <v/>
      </c>
      <c r="D31" s="31">
        <f>SUMIFS(JB_26BV,JB_B,3,JB_W,"Aviation Logistics Support Ship",JB_RC,"ADD")</f>
        <v/>
      </c>
      <c r="E31" s="31">
        <f>SUMIFS(JB_26BV,JB_B,4,JB_W,"Aviation Logistics Support Ship",JB_RC,"ADD")</f>
        <v/>
      </c>
      <c r="F31" s="31">
        <f>SUMIFS(JB_26BV,JB_B,5,JB_W,"Aviation Logistics Support Ship",JB_RC,"ADD")</f>
        <v/>
      </c>
      <c r="G31" s="31">
        <f>SUM(C31:F31)</f>
        <v/>
      </c>
      <c r="H31" s="37">
        <f>IFERROR(G31/G$40,0)</f>
        <v/>
      </c>
    </row>
    <row r="32" ht="10" customHeight="1">
      <c r="A32" s="30" t="inlineStr">
        <is>
          <t>Research, Survey &amp; Instrumentation Ships</t>
        </is>
      </c>
      <c r="B32" s="30" t="inlineStr">
        <is>
          <t>MSC</t>
        </is>
      </c>
      <c r="C32" s="31">
        <f>SUMIFS(JB_26BV,JB_B,2,JB_W,"Research, Survey &amp; Instrumentation Ships",JB_RC,"ADD")</f>
        <v/>
      </c>
      <c r="D32" s="31">
        <f>SUMIFS(JB_26BV,JB_B,3,JB_W,"Research, Survey &amp; Instrumentation Ships",JB_RC,"ADD")</f>
        <v/>
      </c>
      <c r="E32" s="31">
        <f>SUMIFS(JB_26BV,JB_B,4,JB_W,"Research, Survey &amp; Instrumentation Ships",JB_RC,"ADD")</f>
        <v/>
      </c>
      <c r="F32" s="31">
        <f>SUMIFS(JB_26BV,JB_B,5,JB_W,"Research, Survey &amp; Instrumentation Ships",JB_RC,"ADD")</f>
        <v/>
      </c>
      <c r="G32" s="31">
        <f>SUM(C32:F32)</f>
        <v/>
      </c>
      <c r="H32" s="37">
        <f>IFERROR(G32/G$40,0)</f>
        <v/>
      </c>
    </row>
    <row r="33" ht="10" customHeight="1">
      <c r="A33" s="30" t="inlineStr">
        <is>
          <t>National Security Cutters</t>
        </is>
      </c>
      <c r="B33" s="30" t="inlineStr">
        <is>
          <t>USCG</t>
        </is>
      </c>
      <c r="C33" s="31">
        <f>SUMIFS(JB_26BV,JB_B,2,JB_W,"National Security Cutters",JB_RC,"ADD")</f>
        <v/>
      </c>
      <c r="D33" s="31">
        <f>SUMIFS(JB_26BV,JB_B,3,JB_W,"National Security Cutters",JB_RC,"ADD")</f>
        <v/>
      </c>
      <c r="E33" s="31">
        <f>SUMIFS(JB_26BV,JB_B,4,JB_W,"National Security Cutters",JB_RC,"ADD")</f>
        <v/>
      </c>
      <c r="F33" s="31">
        <f>SUMIFS(JB_26BV,JB_B,5,JB_W,"National Security Cutters",JB_RC,"ADD")</f>
        <v/>
      </c>
      <c r="G33" s="31">
        <f>SUM(C33:F33)</f>
        <v/>
      </c>
      <c r="H33" s="37">
        <f>IFERROR(G33/G$40,0)</f>
        <v/>
      </c>
    </row>
    <row r="34" ht="10" customHeight="1">
      <c r="A34" s="30" t="inlineStr">
        <is>
          <t>Fast Response Cutters</t>
        </is>
      </c>
      <c r="B34" s="30" t="inlineStr">
        <is>
          <t>USCG</t>
        </is>
      </c>
      <c r="C34" s="31">
        <f>SUMIFS(JB_26BV,JB_B,2,JB_W,"Fast Response Cutters",JB_RC,"ADD")</f>
        <v/>
      </c>
      <c r="D34" s="31">
        <f>SUMIFS(JB_26BV,JB_B,3,JB_W,"Fast Response Cutters",JB_RC,"ADD")</f>
        <v/>
      </c>
      <c r="E34" s="31">
        <f>SUMIFS(JB_26BV,JB_B,4,JB_W,"Fast Response Cutters",JB_RC,"ADD")</f>
        <v/>
      </c>
      <c r="F34" s="31">
        <f>SUMIFS(JB_26BV,JB_B,5,JB_W,"Fast Response Cutters",JB_RC,"ADD")</f>
        <v/>
      </c>
      <c r="G34" s="31">
        <f>SUM(C34:F34)</f>
        <v/>
      </c>
      <c r="H34" s="37">
        <f>IFERROR(G34/G$40,0)</f>
        <v/>
      </c>
    </row>
    <row r="35" ht="10" customHeight="1">
      <c r="A35" s="30" t="inlineStr">
        <is>
          <t>Icebreakers, Great Lakes</t>
        </is>
      </c>
      <c r="B35" s="30" t="inlineStr">
        <is>
          <t>USCG</t>
        </is>
      </c>
      <c r="C35" s="31">
        <f>SUMIFS(JB_26BV,JB_B,2,JB_W,"Icebreakers, Great Lakes",JB_RC,"ADD")</f>
        <v/>
      </c>
      <c r="D35" s="31">
        <f>SUMIFS(JB_26BV,JB_B,3,JB_W,"Icebreakers, Great Lakes",JB_RC,"ADD")</f>
        <v/>
      </c>
      <c r="E35" s="31">
        <f>SUMIFS(JB_26BV,JB_B,4,JB_W,"Icebreakers, Great Lakes",JB_RC,"ADD")</f>
        <v/>
      </c>
      <c r="F35" s="31">
        <f>SUMIFS(JB_26BV,JB_B,5,JB_W,"Icebreakers, Great Lakes",JB_RC,"ADD")</f>
        <v/>
      </c>
      <c r="G35" s="31">
        <f>SUM(C35:F35)</f>
        <v/>
      </c>
      <c r="H35" s="37">
        <f>IFERROR(G35/G$40,0)</f>
        <v/>
      </c>
    </row>
    <row r="36" ht="10" customHeight="1">
      <c r="A36" s="30" t="inlineStr">
        <is>
          <t>Offshore Patrol Cutter</t>
        </is>
      </c>
      <c r="B36" s="30" t="inlineStr">
        <is>
          <t>USCG</t>
        </is>
      </c>
      <c r="C36" s="31">
        <f>SUMIFS(JB_26BV,JB_B,2,JB_W,"Offshore Patrol Cutter",JB_RC,"ADD")</f>
        <v/>
      </c>
      <c r="D36" s="31">
        <f>SUMIFS(JB_26BV,JB_B,3,JB_W,"Offshore Patrol Cutter",JB_RC,"ADD")</f>
        <v/>
      </c>
      <c r="E36" s="31">
        <f>SUMIFS(JB_26BV,JB_B,4,JB_W,"Offshore Patrol Cutter",JB_RC,"ADD")</f>
        <v/>
      </c>
      <c r="F36" s="31">
        <f>SUMIFS(JB_26BV,JB_B,5,JB_W,"Offshore Patrol Cutter",JB_RC,"ADD")</f>
        <v/>
      </c>
      <c r="G36" s="31">
        <f>SUM(C36:F36)</f>
        <v/>
      </c>
      <c r="H36" s="37">
        <f>IFERROR(G36/G$40,0)</f>
        <v/>
      </c>
    </row>
    <row r="37" ht="10" customHeight="1">
      <c r="A37" s="30" t="inlineStr">
        <is>
          <t>Coastal Buoy Tenders</t>
        </is>
      </c>
      <c r="B37" s="30" t="inlineStr">
        <is>
          <t>USCG</t>
        </is>
      </c>
      <c r="C37" s="31">
        <f>SUMIFS(JB_26BV,JB_B,2,JB_W,"Coastal Buoy Tenders",JB_RC,"ADD")</f>
        <v/>
      </c>
      <c r="D37" s="31">
        <f>SUMIFS(JB_26BV,JB_B,3,JB_W,"Coastal Buoy Tenders",JB_RC,"ADD")</f>
        <v/>
      </c>
      <c r="E37" s="31">
        <f>SUMIFS(JB_26BV,JB_B,4,JB_W,"Coastal Buoy Tenders",JB_RC,"ADD")</f>
        <v/>
      </c>
      <c r="F37" s="31">
        <f>SUMIFS(JB_26BV,JB_B,5,JB_W,"Coastal Buoy Tenders",JB_RC,"ADD")</f>
        <v/>
      </c>
      <c r="G37" s="31">
        <f>SUM(C37:F37)</f>
        <v/>
      </c>
      <c r="H37" s="37">
        <f>IFERROR(G37/G$40,0)</f>
        <v/>
      </c>
    </row>
    <row r="38" ht="10" customHeight="1">
      <c r="A38" s="30" t="inlineStr">
        <is>
          <t>Waterways Commerce Cutters</t>
        </is>
      </c>
      <c r="B38" s="30" t="inlineStr">
        <is>
          <t>USCG</t>
        </is>
      </c>
      <c r="C38" s="31">
        <f>SUMIFS(JB_26BV,JB_B,2,JB_W,"Waterways Commerce Cutters",JB_RC,"ADD")</f>
        <v/>
      </c>
      <c r="D38" s="31">
        <f>SUMIFS(JB_26BV,JB_B,3,JB_W,"Waterways Commerce Cutters",JB_RC,"ADD")</f>
        <v/>
      </c>
      <c r="E38" s="31">
        <f>SUMIFS(JB_26BV,JB_B,4,JB_W,"Waterways Commerce Cutters",JB_RC,"ADD")</f>
        <v/>
      </c>
      <c r="F38" s="31">
        <f>SUMIFS(JB_26BV,JB_B,5,JB_W,"Waterways Commerce Cutters",JB_RC,"ADD")</f>
        <v/>
      </c>
      <c r="G38" s="31">
        <f>SUM(C38:F38)</f>
        <v/>
      </c>
      <c r="H38" s="37">
        <f>IFERROR(G38/G$40,0)</f>
        <v/>
      </c>
    </row>
    <row r="39" ht="10" customHeight="1">
      <c r="A39" s="30" t="inlineStr">
        <is>
          <t>Icebreakers, Oceangoing</t>
        </is>
      </c>
      <c r="B39" s="30" t="inlineStr">
        <is>
          <t>USCG</t>
        </is>
      </c>
      <c r="C39" s="31">
        <f>SUMIFS(JB_26BV,JB_B,2,JB_W,"Icebreakers, Oceangoing",JB_RC,"ADD")</f>
        <v/>
      </c>
      <c r="D39" s="31">
        <f>SUMIFS(JB_26BV,JB_B,3,JB_W,"Icebreakers, Oceangoing",JB_RC,"ADD")</f>
        <v/>
      </c>
      <c r="E39" s="31">
        <f>SUMIFS(JB_26BV,JB_B,4,JB_W,"Icebreakers, Oceangoing",JB_RC,"ADD")</f>
        <v/>
      </c>
      <c r="F39" s="31">
        <f>SUMIFS(JB_26BV,JB_B,5,JB_W,"Icebreakers, Oceangoing",JB_RC,"ADD")</f>
        <v/>
      </c>
      <c r="G39" s="31">
        <f>SUM(C39:F39)</f>
        <v/>
      </c>
      <c r="H39" s="37">
        <f>IFERROR(G39/G$40,0)</f>
        <v/>
      </c>
    </row>
    <row r="40" ht="10" customHeight="1">
      <c r="A40" s="32" t="inlineStr">
        <is>
          <t>MRO SAM</t>
        </is>
      </c>
      <c r="B40" s="32" t="inlineStr"/>
      <c r="C40" s="33">
        <f>SUM(C15:C39)</f>
        <v/>
      </c>
      <c r="D40" s="33">
        <f>SUM(D15:D39)</f>
        <v/>
      </c>
      <c r="E40" s="33">
        <f>SUM(E15:E39)</f>
        <v/>
      </c>
      <c r="F40" s="33">
        <f>SUM(F15:F39)</f>
        <v/>
      </c>
      <c r="G40" s="33">
        <f>SUM(G15:G39)</f>
        <v/>
      </c>
      <c r="H40" s="38" t="n">
        <v>1</v>
      </c>
    </row>
    <row r="41" ht="10" customHeight="1"/>
    <row r="42" ht="10" customHeight="1"/>
    <row r="43" ht="10" customHeight="1">
      <c r="A43" s="27" t="inlineStr">
        <is>
          <t>(C) MRO SAM — Work Type by Hull (Mekko)</t>
        </is>
      </c>
      <c r="B43" s="28" t="n"/>
      <c r="C43" s="28" t="n"/>
      <c r="D43" s="28" t="n"/>
      <c r="E43" s="28" t="n"/>
      <c r="F43" s="28" t="n"/>
      <c r="G43" s="28" t="n"/>
      <c r="H43" s="28" t="n"/>
      <c r="I43" s="28" t="n"/>
      <c r="J43" s="28" t="n"/>
      <c r="K43" s="28" t="n"/>
      <c r="L43" s="28" t="n"/>
      <c r="M43" s="28" t="n"/>
      <c r="N43" s="28" t="n"/>
    </row>
    <row r="44" ht="10" customHeight="1">
      <c r="A44" s="39" t="n"/>
      <c r="B44" s="40" t="inlineStr">
        <is>
          <t>USN</t>
        </is>
      </c>
      <c r="C44" s="39" t="n"/>
      <c r="D44" s="39" t="n"/>
      <c r="E44" s="39" t="n"/>
      <c r="F44" s="39" t="n"/>
      <c r="G44" s="39" t="n"/>
      <c r="H44" s="39" t="n"/>
      <c r="I44" s="39" t="n"/>
      <c r="J44" s="39" t="n"/>
      <c r="K44" s="39" t="n"/>
      <c r="L44" s="39" t="n"/>
      <c r="M44" s="40" t="inlineStr">
        <is>
          <t>USCG</t>
        </is>
      </c>
      <c r="N44" s="41" t="n"/>
    </row>
    <row r="45" ht="10" customHeight="1">
      <c r="A45" s="29" t="inlineStr">
        <is>
          <t>Work Type</t>
        </is>
      </c>
      <c r="B45" s="42" t="inlineStr">
        <is>
          <t>DDG</t>
        </is>
      </c>
      <c r="C45" s="29" t="inlineStr">
        <is>
          <t>LCS</t>
        </is>
      </c>
      <c r="D45" s="29" t="inlineStr">
        <is>
          <t>LHD</t>
        </is>
      </c>
      <c r="E45" s="29" t="inlineStr">
        <is>
          <t>LPD</t>
        </is>
      </c>
      <c r="F45" s="29" t="inlineStr">
        <is>
          <t>CG</t>
        </is>
      </c>
      <c r="G45" s="29" t="inlineStr">
        <is>
          <t>LSD</t>
        </is>
      </c>
      <c r="H45" s="29" t="inlineStr">
        <is>
          <t>LHA</t>
        </is>
      </c>
      <c r="I45" s="29" t="inlineStr">
        <is>
          <t>LCC</t>
        </is>
      </c>
      <c r="J45" s="29" t="inlineStr">
        <is>
          <t>T-AGOS</t>
        </is>
      </c>
      <c r="K45" s="29" t="inlineStr">
        <is>
          <t>MCM</t>
        </is>
      </c>
      <c r="L45" s="29" t="inlineStr">
        <is>
          <t>ESB</t>
        </is>
      </c>
      <c r="M45" s="42" t="inlineStr">
        <is>
          <t>WMSL</t>
        </is>
      </c>
      <c r="N45" s="42" t="inlineStr">
        <is>
          <t>Total</t>
        </is>
      </c>
    </row>
    <row r="46" ht="10" customHeight="1">
      <c r="A46" s="30" t="inlineStr">
        <is>
          <t>Scheduled Depot Maintenance</t>
        </is>
      </c>
      <c r="B46" s="43">
        <f>IFERROR((SUMIFS(JB_26BV,JB_B,2,JB_H,"DDG",JB_RC,"ADD"))/B$50,0)</f>
        <v/>
      </c>
      <c r="C46" s="37">
        <f>IFERROR((SUMIFS(JB_26BV,JB_B,2,JB_H,"LCS",JB_RC,"ADD"))/C$50,0)</f>
        <v/>
      </c>
      <c r="D46" s="37">
        <f>IFERROR((SUMIFS(JB_26BV,JB_B,2,JB_H,"LHD",JB_RC,"ADD"))/D$50,0)</f>
        <v/>
      </c>
      <c r="E46" s="37">
        <f>IFERROR((SUMIFS(JB_26BV,JB_B,2,JB_H,"LPD",JB_RC,"ADD"))/E$50,0)</f>
        <v/>
      </c>
      <c r="F46" s="37">
        <f>IFERROR((SUMIFS(JB_26BV,JB_B,2,JB_H,"CG",JB_RC,"ADD"))/F$50,0)</f>
        <v/>
      </c>
      <c r="G46" s="37">
        <f>IFERROR((SUMIFS(JB_26BV,JB_B,2,JB_H,"LSD",JB_RC,"ADD"))/G$50,0)</f>
        <v/>
      </c>
      <c r="H46" s="37">
        <f>IFERROR((SUMIFS(JB_26BV,JB_B,2,JB_H,"LHA",JB_RC,"ADD"))/H$50,0)</f>
        <v/>
      </c>
      <c r="I46" s="37">
        <f>IFERROR((SUMIFS(JB_26BV,JB_B,2,JB_H,"LCC",JB_RC,"ADD"))/I$50,0)</f>
        <v/>
      </c>
      <c r="J46" s="37">
        <f>IFERROR((SUMIFS(JB_26BV,JB_B,2,JB_H,"T-AGOS",JB_RC,"ADD"))/J$50,0)</f>
        <v/>
      </c>
      <c r="K46" s="37">
        <f>IFERROR((SUMIFS(JB_26BV,JB_B,2,JB_H,"MCM",JB_RC,"ADD"))/K$50,0)</f>
        <v/>
      </c>
      <c r="L46" s="37">
        <f>IFERROR((SUMIFS(JB_26BV,JB_B,2,JB_H,"ESB",JB_RC,"ADD"))/L$50,0)</f>
        <v/>
      </c>
      <c r="M46" s="43">
        <f>IFERROR((SUMIFS(JB_26BV,JB_B,2,JB_H,"WMSL",JB_RC,"ADD"))/M$50,0)</f>
        <v/>
      </c>
      <c r="N46" s="43">
        <f>IFERROR((SUMIFS(JB_26BV,JB_B,2,JB_H,"DDG",JB_RC,"ADD")+SUMIFS(JB_26BV,JB_B,2,JB_H,"LCS",JB_RC,"ADD")+SUMIFS(JB_26BV,JB_B,2,JB_H,"LHD",JB_RC,"ADD")+SUMIFS(JB_26BV,JB_B,2,JB_H,"LPD",JB_RC,"ADD")+SUMIFS(JB_26BV,JB_B,2,JB_H,"CG",JB_RC,"ADD")+SUMIFS(JB_26BV,JB_B,2,JB_H,"LSD",JB_RC,"ADD")+SUMIFS(JB_26BV,JB_B,2,JB_H,"LHA",JB_RC,"ADD")+SUMIFS(JB_26BV,JB_B,2,JB_H,"LCC",JB_RC,"ADD")+SUMIFS(JB_26BV,JB_B,2,JB_H,"T-AGOS",JB_RC,"ADD")+SUMIFS(JB_26BV,JB_B,2,JB_H,"MCM",JB_RC,"ADD")+SUMIFS(JB_26BV,JB_B,2,JB_H,"ESB",JB_RC,"ADD")+SUMIFS(JB_26BV,JB_B,2,JB_H,"WMSL",JB_RC,"ADD"))/N$50,0)</f>
        <v/>
      </c>
    </row>
    <row r="47" ht="10" customHeight="1">
      <c r="A47" s="30" t="inlineStr">
        <is>
          <t>Continuous / Emergent Maintenance</t>
        </is>
      </c>
      <c r="B47" s="43">
        <f>IFERROR((SUMIFS(JB_26BV,JB_B,3,JB_H,"DDG",JB_RC,"ADD"))/B$50,0)</f>
        <v/>
      </c>
      <c r="C47" s="37">
        <f>IFERROR((SUMIFS(JB_26BV,JB_B,3,JB_H,"LCS",JB_RC,"ADD"))/C$50,0)</f>
        <v/>
      </c>
      <c r="D47" s="37">
        <f>IFERROR((SUMIFS(JB_26BV,JB_B,3,JB_H,"LHD",JB_RC,"ADD"))/D$50,0)</f>
        <v/>
      </c>
      <c r="E47" s="37">
        <f>IFERROR((SUMIFS(JB_26BV,JB_B,3,JB_H,"LPD",JB_RC,"ADD"))/E$50,0)</f>
        <v/>
      </c>
      <c r="F47" s="37">
        <f>IFERROR((SUMIFS(JB_26BV,JB_B,3,JB_H,"CG",JB_RC,"ADD"))/F$50,0)</f>
        <v/>
      </c>
      <c r="G47" s="37">
        <f>IFERROR((SUMIFS(JB_26BV,JB_B,3,JB_H,"LSD",JB_RC,"ADD"))/G$50,0)</f>
        <v/>
      </c>
      <c r="H47" s="37">
        <f>IFERROR((SUMIFS(JB_26BV,JB_B,3,JB_H,"LHA",JB_RC,"ADD"))/H$50,0)</f>
        <v/>
      </c>
      <c r="I47" s="37">
        <f>IFERROR((SUMIFS(JB_26BV,JB_B,3,JB_H,"LCC",JB_RC,"ADD"))/I$50,0)</f>
        <v/>
      </c>
      <c r="J47" s="37">
        <f>IFERROR((SUMIFS(JB_26BV,JB_B,3,JB_H,"T-AGOS",JB_RC,"ADD"))/J$50,0)</f>
        <v/>
      </c>
      <c r="K47" s="37">
        <f>IFERROR((SUMIFS(JB_26BV,JB_B,3,JB_H,"MCM",JB_RC,"ADD"))/K$50,0)</f>
        <v/>
      </c>
      <c r="L47" s="37">
        <f>IFERROR((SUMIFS(JB_26BV,JB_B,3,JB_H,"ESB",JB_RC,"ADD"))/L$50,0)</f>
        <v/>
      </c>
      <c r="M47" s="43">
        <f>IFERROR((SUMIFS(JB_26BV,JB_B,3,JB_H,"WMSL",JB_RC,"ADD"))/M$50,0)</f>
        <v/>
      </c>
      <c r="N47" s="43">
        <f>IFERROR((SUMIFS(JB_26BV,JB_B,3,JB_H,"DDG",JB_RC,"ADD")+SUMIFS(JB_26BV,JB_B,3,JB_H,"LCS",JB_RC,"ADD")+SUMIFS(JB_26BV,JB_B,3,JB_H,"LHD",JB_RC,"ADD")+SUMIFS(JB_26BV,JB_B,3,JB_H,"LPD",JB_RC,"ADD")+SUMIFS(JB_26BV,JB_B,3,JB_H,"CG",JB_RC,"ADD")+SUMIFS(JB_26BV,JB_B,3,JB_H,"LSD",JB_RC,"ADD")+SUMIFS(JB_26BV,JB_B,3,JB_H,"LHA",JB_RC,"ADD")+SUMIFS(JB_26BV,JB_B,3,JB_H,"LCC",JB_RC,"ADD")+SUMIFS(JB_26BV,JB_B,3,JB_H,"T-AGOS",JB_RC,"ADD")+SUMIFS(JB_26BV,JB_B,3,JB_H,"MCM",JB_RC,"ADD")+SUMIFS(JB_26BV,JB_B,3,JB_H,"ESB",JB_RC,"ADD")+SUMIFS(JB_26BV,JB_B,3,JB_H,"WMSL",JB_RC,"ADD"))/N$50,0)</f>
        <v/>
      </c>
    </row>
    <row r="48" ht="10" customHeight="1">
      <c r="A48" s="30" t="inlineStr">
        <is>
          <t>Modernization</t>
        </is>
      </c>
      <c r="B48" s="43">
        <f>IFERROR((SUMIFS(JB_26BV,JB_B,4,JB_H,"DDG",JB_RC,"ADD"))/B$50,0)</f>
        <v/>
      </c>
      <c r="C48" s="37">
        <f>IFERROR((SUMIFS(JB_26BV,JB_B,4,JB_H,"LCS",JB_RC,"ADD"))/C$50,0)</f>
        <v/>
      </c>
      <c r="D48" s="37">
        <f>IFERROR((SUMIFS(JB_26BV,JB_B,4,JB_H,"LHD",JB_RC,"ADD"))/D$50,0)</f>
        <v/>
      </c>
      <c r="E48" s="37">
        <f>IFERROR((SUMIFS(JB_26BV,JB_B,4,JB_H,"LPD",JB_RC,"ADD"))/E$50,0)</f>
        <v/>
      </c>
      <c r="F48" s="37">
        <f>IFERROR((SUMIFS(JB_26BV,JB_B,4,JB_H,"CG",JB_RC,"ADD"))/F$50,0)</f>
        <v/>
      </c>
      <c r="G48" s="37">
        <f>IFERROR((SUMIFS(JB_26BV,JB_B,4,JB_H,"LSD",JB_RC,"ADD"))/G$50,0)</f>
        <v/>
      </c>
      <c r="H48" s="37">
        <f>IFERROR((SUMIFS(JB_26BV,JB_B,4,JB_H,"LHA",JB_RC,"ADD"))/H$50,0)</f>
        <v/>
      </c>
      <c r="I48" s="37">
        <f>IFERROR((SUMIFS(JB_26BV,JB_B,4,JB_H,"LCC",JB_RC,"ADD"))/I$50,0)</f>
        <v/>
      </c>
      <c r="J48" s="37">
        <f>IFERROR((SUMIFS(JB_26BV,JB_B,4,JB_H,"T-AGOS",JB_RC,"ADD"))/J$50,0)</f>
        <v/>
      </c>
      <c r="K48" s="37">
        <f>IFERROR((SUMIFS(JB_26BV,JB_B,4,JB_H,"MCM",JB_RC,"ADD"))/K$50,0)</f>
        <v/>
      </c>
      <c r="L48" s="37">
        <f>IFERROR((SUMIFS(JB_26BV,JB_B,4,JB_H,"ESB",JB_RC,"ADD"))/L$50,0)</f>
        <v/>
      </c>
      <c r="M48" s="43">
        <f>IFERROR((SUMIFS(JB_26BV,JB_B,4,JB_H,"WMSL",JB_RC,"ADD"))/M$50,0)</f>
        <v/>
      </c>
      <c r="N48" s="43">
        <f>IFERROR((SUMIFS(JB_26BV,JB_B,4,JB_H,"DDG",JB_RC,"ADD")+SUMIFS(JB_26BV,JB_B,4,JB_H,"LCS",JB_RC,"ADD")+SUMIFS(JB_26BV,JB_B,4,JB_H,"LHD",JB_RC,"ADD")+SUMIFS(JB_26BV,JB_B,4,JB_H,"LPD",JB_RC,"ADD")+SUMIFS(JB_26BV,JB_B,4,JB_H,"CG",JB_RC,"ADD")+SUMIFS(JB_26BV,JB_B,4,JB_H,"LSD",JB_RC,"ADD")+SUMIFS(JB_26BV,JB_B,4,JB_H,"LHA",JB_RC,"ADD")+SUMIFS(JB_26BV,JB_B,4,JB_H,"LCC",JB_RC,"ADD")+SUMIFS(JB_26BV,JB_B,4,JB_H,"T-AGOS",JB_RC,"ADD")+SUMIFS(JB_26BV,JB_B,4,JB_H,"MCM",JB_RC,"ADD")+SUMIFS(JB_26BV,JB_B,4,JB_H,"ESB",JB_RC,"ADD")+SUMIFS(JB_26BV,JB_B,4,JB_H,"WMSL",JB_RC,"ADD"))/N$50,0)</f>
        <v/>
      </c>
    </row>
    <row r="49" ht="10" customHeight="1">
      <c r="A49" s="30" t="inlineStr">
        <is>
          <t>Major Life-Cycle Events / RCOH</t>
        </is>
      </c>
      <c r="B49" s="43">
        <f>IFERROR((SUMIFS(JB_26BV,JB_B,5,JB_H,"DDG",JB_RC,"ADD"))/B$50,0)</f>
        <v/>
      </c>
      <c r="C49" s="37">
        <f>IFERROR((SUMIFS(JB_26BV,JB_B,5,JB_H,"LCS",JB_RC,"ADD"))/C$50,0)</f>
        <v/>
      </c>
      <c r="D49" s="37">
        <f>IFERROR((SUMIFS(JB_26BV,JB_B,5,JB_H,"LHD",JB_RC,"ADD"))/D$50,0)</f>
        <v/>
      </c>
      <c r="E49" s="37">
        <f>IFERROR((SUMIFS(JB_26BV,JB_B,5,JB_H,"LPD",JB_RC,"ADD"))/E$50,0)</f>
        <v/>
      </c>
      <c r="F49" s="37">
        <f>IFERROR((SUMIFS(JB_26BV,JB_B,5,JB_H,"CG",JB_RC,"ADD"))/F$50,0)</f>
        <v/>
      </c>
      <c r="G49" s="37">
        <f>IFERROR((SUMIFS(JB_26BV,JB_B,5,JB_H,"LSD",JB_RC,"ADD"))/G$50,0)</f>
        <v/>
      </c>
      <c r="H49" s="37">
        <f>IFERROR((SUMIFS(JB_26BV,JB_B,5,JB_H,"LHA",JB_RC,"ADD"))/H$50,0)</f>
        <v/>
      </c>
      <c r="I49" s="37">
        <f>IFERROR((SUMIFS(JB_26BV,JB_B,5,JB_H,"LCC",JB_RC,"ADD"))/I$50,0)</f>
        <v/>
      </c>
      <c r="J49" s="37">
        <f>IFERROR((SUMIFS(JB_26BV,JB_B,5,JB_H,"T-AGOS",JB_RC,"ADD"))/J$50,0)</f>
        <v/>
      </c>
      <c r="K49" s="37">
        <f>IFERROR((SUMIFS(JB_26BV,JB_B,5,JB_H,"MCM",JB_RC,"ADD"))/K$50,0)</f>
        <v/>
      </c>
      <c r="L49" s="37">
        <f>IFERROR((SUMIFS(JB_26BV,JB_B,5,JB_H,"ESB",JB_RC,"ADD"))/L$50,0)</f>
        <v/>
      </c>
      <c r="M49" s="43">
        <f>IFERROR((SUMIFS(JB_26BV,JB_B,5,JB_H,"WMSL",JB_RC,"ADD"))/M$50,0)</f>
        <v/>
      </c>
      <c r="N49" s="43">
        <f>IFERROR((SUMIFS(JB_26BV,JB_B,5,JB_H,"DDG",JB_RC,"ADD")+SUMIFS(JB_26BV,JB_B,5,JB_H,"LCS",JB_RC,"ADD")+SUMIFS(JB_26BV,JB_B,5,JB_H,"LHD",JB_RC,"ADD")+SUMIFS(JB_26BV,JB_B,5,JB_H,"LPD",JB_RC,"ADD")+SUMIFS(JB_26BV,JB_B,5,JB_H,"CG",JB_RC,"ADD")+SUMIFS(JB_26BV,JB_B,5,JB_H,"LSD",JB_RC,"ADD")+SUMIFS(JB_26BV,JB_B,5,JB_H,"LHA",JB_RC,"ADD")+SUMIFS(JB_26BV,JB_B,5,JB_H,"LCC",JB_RC,"ADD")+SUMIFS(JB_26BV,JB_B,5,JB_H,"T-AGOS",JB_RC,"ADD")+SUMIFS(JB_26BV,JB_B,5,JB_H,"MCM",JB_RC,"ADD")+SUMIFS(JB_26BV,JB_B,5,JB_H,"ESB",JB_RC,"ADD")+SUMIFS(JB_26BV,JB_B,5,JB_H,"WMSL",JB_RC,"ADD"))/N$50,0)</f>
        <v/>
      </c>
    </row>
    <row r="50" ht="10" customHeight="1">
      <c r="A50" s="32" t="inlineStr">
        <is>
          <t>Total ($K)</t>
        </is>
      </c>
      <c r="B50" s="44">
        <f>SUMIFS(JB_26BV,JB_B,2,JB_H,"DDG",JB_RC,"ADD")+SUMIFS(JB_26BV,JB_B,3,JB_H,"DDG",JB_RC,"ADD")+SUMIFS(JB_26BV,JB_B,4,JB_H,"DDG",JB_RC,"ADD")+SUMIFS(JB_26BV,JB_B,5,JB_H,"DDG",JB_RC,"ADD")</f>
        <v/>
      </c>
      <c r="C50" s="33">
        <f>SUMIFS(JB_26BV,JB_B,2,JB_H,"LCS",JB_RC,"ADD")+SUMIFS(JB_26BV,JB_B,3,JB_H,"LCS",JB_RC,"ADD")+SUMIFS(JB_26BV,JB_B,4,JB_H,"LCS",JB_RC,"ADD")+SUMIFS(JB_26BV,JB_B,5,JB_H,"LCS",JB_RC,"ADD")</f>
        <v/>
      </c>
      <c r="D50" s="33">
        <f>SUMIFS(JB_26BV,JB_B,2,JB_H,"LHD",JB_RC,"ADD")+SUMIFS(JB_26BV,JB_B,3,JB_H,"LHD",JB_RC,"ADD")+SUMIFS(JB_26BV,JB_B,4,JB_H,"LHD",JB_RC,"ADD")+SUMIFS(JB_26BV,JB_B,5,JB_H,"LHD",JB_RC,"ADD")</f>
        <v/>
      </c>
      <c r="E50" s="33">
        <f>SUMIFS(JB_26BV,JB_B,2,JB_H,"LPD",JB_RC,"ADD")+SUMIFS(JB_26BV,JB_B,3,JB_H,"LPD",JB_RC,"ADD")+SUMIFS(JB_26BV,JB_B,4,JB_H,"LPD",JB_RC,"ADD")+SUMIFS(JB_26BV,JB_B,5,JB_H,"LPD",JB_RC,"ADD")</f>
        <v/>
      </c>
      <c r="F50" s="33">
        <f>SUMIFS(JB_26BV,JB_B,2,JB_H,"CG",JB_RC,"ADD")+SUMIFS(JB_26BV,JB_B,3,JB_H,"CG",JB_RC,"ADD")+SUMIFS(JB_26BV,JB_B,4,JB_H,"CG",JB_RC,"ADD")+SUMIFS(JB_26BV,JB_B,5,JB_H,"CG",JB_RC,"ADD")</f>
        <v/>
      </c>
      <c r="G50" s="33">
        <f>SUMIFS(JB_26BV,JB_B,2,JB_H,"LSD",JB_RC,"ADD")+SUMIFS(JB_26BV,JB_B,3,JB_H,"LSD",JB_RC,"ADD")+SUMIFS(JB_26BV,JB_B,4,JB_H,"LSD",JB_RC,"ADD")+SUMIFS(JB_26BV,JB_B,5,JB_H,"LSD",JB_RC,"ADD")</f>
        <v/>
      </c>
      <c r="H50" s="33">
        <f>SUMIFS(JB_26BV,JB_B,2,JB_H,"LHA",JB_RC,"ADD")+SUMIFS(JB_26BV,JB_B,3,JB_H,"LHA",JB_RC,"ADD")+SUMIFS(JB_26BV,JB_B,4,JB_H,"LHA",JB_RC,"ADD")+SUMIFS(JB_26BV,JB_B,5,JB_H,"LHA",JB_RC,"ADD")</f>
        <v/>
      </c>
      <c r="I50" s="33">
        <f>SUMIFS(JB_26BV,JB_B,2,JB_H,"LCC",JB_RC,"ADD")+SUMIFS(JB_26BV,JB_B,3,JB_H,"LCC",JB_RC,"ADD")+SUMIFS(JB_26BV,JB_B,4,JB_H,"LCC",JB_RC,"ADD")+SUMIFS(JB_26BV,JB_B,5,JB_H,"LCC",JB_RC,"ADD")</f>
        <v/>
      </c>
      <c r="J50" s="33">
        <f>SUMIFS(JB_26BV,JB_B,2,JB_H,"T-AGOS",JB_RC,"ADD")+SUMIFS(JB_26BV,JB_B,3,JB_H,"T-AGOS",JB_RC,"ADD")+SUMIFS(JB_26BV,JB_B,4,JB_H,"T-AGOS",JB_RC,"ADD")+SUMIFS(JB_26BV,JB_B,5,JB_H,"T-AGOS",JB_RC,"ADD")</f>
        <v/>
      </c>
      <c r="K50" s="33">
        <f>SUMIFS(JB_26BV,JB_B,2,JB_H,"MCM",JB_RC,"ADD")+SUMIFS(JB_26BV,JB_B,3,JB_H,"MCM",JB_RC,"ADD")+SUMIFS(JB_26BV,JB_B,4,JB_H,"MCM",JB_RC,"ADD")+SUMIFS(JB_26BV,JB_B,5,JB_H,"MCM",JB_RC,"ADD")</f>
        <v/>
      </c>
      <c r="L50" s="33">
        <f>SUMIFS(JB_26BV,JB_B,2,JB_H,"ESB",JB_RC,"ADD")+SUMIFS(JB_26BV,JB_B,3,JB_H,"ESB",JB_RC,"ADD")+SUMIFS(JB_26BV,JB_B,4,JB_H,"ESB",JB_RC,"ADD")+SUMIFS(JB_26BV,JB_B,5,JB_H,"ESB",JB_RC,"ADD")</f>
        <v/>
      </c>
      <c r="M50" s="44">
        <f>SUMIFS(JB_26BV,JB_B,2,JB_H,"WMSL",JB_RC,"ADD")+SUMIFS(JB_26BV,JB_B,3,JB_H,"WMSL",JB_RC,"ADD")+SUMIFS(JB_26BV,JB_B,4,JB_H,"WMSL",JB_RC,"ADD")+SUMIFS(JB_26BV,JB_B,5,JB_H,"WMSL",JB_RC,"ADD")</f>
        <v/>
      </c>
      <c r="N50" s="44">
        <f>SUM(B50:M50)</f>
        <v/>
      </c>
    </row>
    <row r="51" ht="10" customHeight="1"/>
    <row r="52" ht="10" customHeight="1"/>
    <row r="53" ht="10" customHeight="1">
      <c r="A53" s="27" t="inlineStr">
        <is>
          <t>(D) MRO SAM by Hull Program — FY2026 ($K)</t>
        </is>
      </c>
      <c r="B53" s="28" t="n"/>
      <c r="C53" s="28" t="n"/>
      <c r="D53" s="28" t="n"/>
      <c r="E53" s="28" t="n"/>
      <c r="F53" s="28" t="n"/>
      <c r="G53" s="28" t="n"/>
      <c r="H53" s="28" t="n"/>
      <c r="I53" s="28" t="n"/>
    </row>
    <row r="54" ht="10" customHeight="1">
      <c r="A54" s="26" t="inlineStr">
        <is>
          <t>Same funding as (B) broken down to individual hull programs — the level at which depot maintenance, modernization, and life-cycle line items are traceable.</t>
        </is>
      </c>
    </row>
    <row r="55" ht="10" customHeight="1">
      <c r="A55" s="29" t="inlineStr">
        <is>
          <t>Hull Program</t>
        </is>
      </c>
      <c r="B55" s="29" t="inlineStr">
        <is>
          <t>Vessel Type</t>
        </is>
      </c>
      <c r="C55" s="29" t="inlineStr">
        <is>
          <t>Service</t>
        </is>
      </c>
      <c r="D55" s="29" t="inlineStr">
        <is>
          <t>SDM ($K)</t>
        </is>
      </c>
      <c r="E55" s="29" t="inlineStr">
        <is>
          <t>Cont/Emerg ($K)</t>
        </is>
      </c>
      <c r="F55" s="29" t="inlineStr">
        <is>
          <t>Mod ($K)</t>
        </is>
      </c>
      <c r="G55" s="29" t="inlineStr">
        <is>
          <t>Major LC ($K)</t>
        </is>
      </c>
      <c r="H55" s="29" t="inlineStr">
        <is>
          <t>Total ($K)</t>
        </is>
      </c>
      <c r="I55" s="29" t="inlineStr">
        <is>
          <t>% of Total</t>
        </is>
      </c>
    </row>
    <row r="56" ht="10" customHeight="1">
      <c r="A56" s="30" t="inlineStr">
        <is>
          <t>DDG</t>
        </is>
      </c>
      <c r="B56" s="30" t="inlineStr">
        <is>
          <t>Surface Combatants</t>
        </is>
      </c>
      <c r="C56" s="30" t="inlineStr">
        <is>
          <t>USN</t>
        </is>
      </c>
      <c r="D56" s="31">
        <f>SUMIFS(JB_26BV,JB_B,2,JB_H,"DDG",JB_RC,"ADD")</f>
        <v/>
      </c>
      <c r="E56" s="31">
        <f>SUMIFS(JB_26BV,JB_B,3,JB_H,"DDG",JB_RC,"ADD")</f>
        <v/>
      </c>
      <c r="F56" s="31">
        <f>SUMIFS(JB_26BV,JB_B,4,JB_H,"DDG",JB_RC,"ADD")</f>
        <v/>
      </c>
      <c r="G56" s="31">
        <f>SUMIFS(JB_26BV,JB_B,5,JB_H,"DDG",JB_RC,"ADD")</f>
        <v/>
      </c>
      <c r="H56" s="31">
        <f>SUM(D56:G56)</f>
        <v/>
      </c>
      <c r="I56" s="37">
        <f>IFERROR(H56/H$68,0)</f>
        <v/>
      </c>
    </row>
    <row r="57" ht="10" customHeight="1">
      <c r="A57" s="30" t="inlineStr">
        <is>
          <t>LCS</t>
        </is>
      </c>
      <c r="B57" s="30" t="inlineStr">
        <is>
          <t>Surface Combatants</t>
        </is>
      </c>
      <c r="C57" s="30" t="inlineStr">
        <is>
          <t>USN</t>
        </is>
      </c>
      <c r="D57" s="31">
        <f>SUMIFS(JB_26BV,JB_B,2,JB_H,"LCS",JB_RC,"ADD")</f>
        <v/>
      </c>
      <c r="E57" s="31">
        <f>SUMIFS(JB_26BV,JB_B,3,JB_H,"LCS",JB_RC,"ADD")</f>
        <v/>
      </c>
      <c r="F57" s="31">
        <f>SUMIFS(JB_26BV,JB_B,4,JB_H,"LCS",JB_RC,"ADD")</f>
        <v/>
      </c>
      <c r="G57" s="31">
        <f>SUMIFS(JB_26BV,JB_B,5,JB_H,"LCS",JB_RC,"ADD")</f>
        <v/>
      </c>
      <c r="H57" s="31">
        <f>SUM(D57:G57)</f>
        <v/>
      </c>
      <c r="I57" s="37">
        <f>IFERROR(H57/H$68,0)</f>
        <v/>
      </c>
    </row>
    <row r="58" ht="10" customHeight="1">
      <c r="A58" s="30" t="inlineStr">
        <is>
          <t>LHD</t>
        </is>
      </c>
      <c r="B58" s="30" t="inlineStr">
        <is>
          <t>Amphibious Warfare Ships</t>
        </is>
      </c>
      <c r="C58" s="30" t="inlineStr">
        <is>
          <t>USN</t>
        </is>
      </c>
      <c r="D58" s="31">
        <f>SUMIFS(JB_26BV,JB_B,2,JB_H,"LHD",JB_RC,"ADD")</f>
        <v/>
      </c>
      <c r="E58" s="31">
        <f>SUMIFS(JB_26BV,JB_B,3,JB_H,"LHD",JB_RC,"ADD")</f>
        <v/>
      </c>
      <c r="F58" s="31">
        <f>SUMIFS(JB_26BV,JB_B,4,JB_H,"LHD",JB_RC,"ADD")</f>
        <v/>
      </c>
      <c r="G58" s="31">
        <f>SUMIFS(JB_26BV,JB_B,5,JB_H,"LHD",JB_RC,"ADD")</f>
        <v/>
      </c>
      <c r="H58" s="31">
        <f>SUM(D58:G58)</f>
        <v/>
      </c>
      <c r="I58" s="37">
        <f>IFERROR(H58/H$68,0)</f>
        <v/>
      </c>
    </row>
    <row r="59" ht="10" customHeight="1">
      <c r="A59" s="30" t="inlineStr">
        <is>
          <t>LPD</t>
        </is>
      </c>
      <c r="B59" s="30" t="inlineStr">
        <is>
          <t>Amphibious Warfare Ships</t>
        </is>
      </c>
      <c r="C59" s="30" t="inlineStr">
        <is>
          <t>USN</t>
        </is>
      </c>
      <c r="D59" s="31">
        <f>SUMIFS(JB_26BV,JB_B,2,JB_H,"LPD",JB_RC,"ADD")</f>
        <v/>
      </c>
      <c r="E59" s="31">
        <f>SUMIFS(JB_26BV,JB_B,3,JB_H,"LPD",JB_RC,"ADD")</f>
        <v/>
      </c>
      <c r="F59" s="31">
        <f>SUMIFS(JB_26BV,JB_B,4,JB_H,"LPD",JB_RC,"ADD")</f>
        <v/>
      </c>
      <c r="G59" s="31">
        <f>SUMIFS(JB_26BV,JB_B,5,JB_H,"LPD",JB_RC,"ADD")</f>
        <v/>
      </c>
      <c r="H59" s="31">
        <f>SUM(D59:G59)</f>
        <v/>
      </c>
      <c r="I59" s="37">
        <f>IFERROR(H59/H$68,0)</f>
        <v/>
      </c>
    </row>
    <row r="60" ht="10" customHeight="1">
      <c r="A60" s="30" t="inlineStr">
        <is>
          <t>CG</t>
        </is>
      </c>
      <c r="B60" s="30" t="inlineStr">
        <is>
          <t>Surface Combatants</t>
        </is>
      </c>
      <c r="C60" s="30" t="inlineStr">
        <is>
          <t>USN</t>
        </is>
      </c>
      <c r="D60" s="31">
        <f>SUMIFS(JB_26BV,JB_B,2,JB_H,"CG",JB_RC,"ADD")</f>
        <v/>
      </c>
      <c r="E60" s="31">
        <f>SUMIFS(JB_26BV,JB_B,3,JB_H,"CG",JB_RC,"ADD")</f>
        <v/>
      </c>
      <c r="F60" s="31">
        <f>SUMIFS(JB_26BV,JB_B,4,JB_H,"CG",JB_RC,"ADD")</f>
        <v/>
      </c>
      <c r="G60" s="31">
        <f>SUMIFS(JB_26BV,JB_B,5,JB_H,"CG",JB_RC,"ADD")</f>
        <v/>
      </c>
      <c r="H60" s="31">
        <f>SUM(D60:G60)</f>
        <v/>
      </c>
      <c r="I60" s="37">
        <f>IFERROR(H60/H$68,0)</f>
        <v/>
      </c>
    </row>
    <row r="61" ht="10" customHeight="1">
      <c r="A61" s="30" t="inlineStr">
        <is>
          <t>LSD</t>
        </is>
      </c>
      <c r="B61" s="30" t="inlineStr">
        <is>
          <t>Amphibious Warfare Ships</t>
        </is>
      </c>
      <c r="C61" s="30" t="inlineStr">
        <is>
          <t>USN</t>
        </is>
      </c>
      <c r="D61" s="31">
        <f>SUMIFS(JB_26BV,JB_B,2,JB_H,"LSD",JB_RC,"ADD")</f>
        <v/>
      </c>
      <c r="E61" s="31">
        <f>SUMIFS(JB_26BV,JB_B,3,JB_H,"LSD",JB_RC,"ADD")</f>
        <v/>
      </c>
      <c r="F61" s="31">
        <f>SUMIFS(JB_26BV,JB_B,4,JB_H,"LSD",JB_RC,"ADD")</f>
        <v/>
      </c>
      <c r="G61" s="31">
        <f>SUMIFS(JB_26BV,JB_B,5,JB_H,"LSD",JB_RC,"ADD")</f>
        <v/>
      </c>
      <c r="H61" s="31">
        <f>SUM(D61:G61)</f>
        <v/>
      </c>
      <c r="I61" s="37">
        <f>IFERROR(H61/H$68,0)</f>
        <v/>
      </c>
    </row>
    <row r="62" ht="10" customHeight="1">
      <c r="A62" s="30" t="inlineStr">
        <is>
          <t>LHA</t>
        </is>
      </c>
      <c r="B62" s="30" t="inlineStr">
        <is>
          <t>Amphibious Warfare Ships</t>
        </is>
      </c>
      <c r="C62" s="30" t="inlineStr">
        <is>
          <t>USN</t>
        </is>
      </c>
      <c r="D62" s="31">
        <f>SUMIFS(JB_26BV,JB_B,2,JB_H,"LHA",JB_RC,"ADD")</f>
        <v/>
      </c>
      <c r="E62" s="31">
        <f>SUMIFS(JB_26BV,JB_B,3,JB_H,"LHA",JB_RC,"ADD")</f>
        <v/>
      </c>
      <c r="F62" s="31">
        <f>SUMIFS(JB_26BV,JB_B,4,JB_H,"LHA",JB_RC,"ADD")</f>
        <v/>
      </c>
      <c r="G62" s="31">
        <f>SUMIFS(JB_26BV,JB_B,5,JB_H,"LHA",JB_RC,"ADD")</f>
        <v/>
      </c>
      <c r="H62" s="31">
        <f>SUM(D62:G62)</f>
        <v/>
      </c>
      <c r="I62" s="37">
        <f>IFERROR(H62/H$68,0)</f>
        <v/>
      </c>
    </row>
    <row r="63" ht="10" customHeight="1">
      <c r="A63" s="30" t="inlineStr">
        <is>
          <t>LCC</t>
        </is>
      </c>
      <c r="B63" s="30" t="inlineStr">
        <is>
          <t>Command Ships</t>
        </is>
      </c>
      <c r="C63" s="30" t="inlineStr">
        <is>
          <t>USN</t>
        </is>
      </c>
      <c r="D63" s="31">
        <f>SUMIFS(JB_26BV,JB_B,2,JB_H,"LCC",JB_RC,"ADD")</f>
        <v/>
      </c>
      <c r="E63" s="31">
        <f>SUMIFS(JB_26BV,JB_B,3,JB_H,"LCC",JB_RC,"ADD")</f>
        <v/>
      </c>
      <c r="F63" s="31">
        <f>SUMIFS(JB_26BV,JB_B,4,JB_H,"LCC",JB_RC,"ADD")</f>
        <v/>
      </c>
      <c r="G63" s="31">
        <f>SUMIFS(JB_26BV,JB_B,5,JB_H,"LCC",JB_RC,"ADD")</f>
        <v/>
      </c>
      <c r="H63" s="31">
        <f>SUM(D63:G63)</f>
        <v/>
      </c>
      <c r="I63" s="37">
        <f>IFERROR(H63/H$68,0)</f>
        <v/>
      </c>
    </row>
    <row r="64" ht="10" customHeight="1">
      <c r="A64" s="30" t="inlineStr">
        <is>
          <t>T-AGOS</t>
        </is>
      </c>
      <c r="B64" s="30" t="inlineStr">
        <is>
          <t>Surveillance Ships</t>
        </is>
      </c>
      <c r="C64" s="30" t="inlineStr">
        <is>
          <t>MSC</t>
        </is>
      </c>
      <c r="D64" s="31">
        <f>SUMIFS(JB_26BV,JB_B,2,JB_H,"T-AGOS",JB_RC,"ADD")</f>
        <v/>
      </c>
      <c r="E64" s="31">
        <f>SUMIFS(JB_26BV,JB_B,3,JB_H,"T-AGOS",JB_RC,"ADD")</f>
        <v/>
      </c>
      <c r="F64" s="31">
        <f>SUMIFS(JB_26BV,JB_B,4,JB_H,"T-AGOS",JB_RC,"ADD")</f>
        <v/>
      </c>
      <c r="G64" s="31">
        <f>SUMIFS(JB_26BV,JB_B,5,JB_H,"T-AGOS",JB_RC,"ADD")</f>
        <v/>
      </c>
      <c r="H64" s="31">
        <f>SUM(D64:G64)</f>
        <v/>
      </c>
      <c r="I64" s="37">
        <f>IFERROR(H64/H$68,0)</f>
        <v/>
      </c>
    </row>
    <row r="65" ht="10" customHeight="1">
      <c r="A65" s="30" t="inlineStr">
        <is>
          <t>MCM</t>
        </is>
      </c>
      <c r="B65" s="30" t="inlineStr">
        <is>
          <t>Mine Warfare</t>
        </is>
      </c>
      <c r="C65" s="30" t="inlineStr">
        <is>
          <t>USN</t>
        </is>
      </c>
      <c r="D65" s="31">
        <f>SUMIFS(JB_26BV,JB_B,2,JB_H,"MCM",JB_RC,"ADD")</f>
        <v/>
      </c>
      <c r="E65" s="31">
        <f>SUMIFS(JB_26BV,JB_B,3,JB_H,"MCM",JB_RC,"ADD")</f>
        <v/>
      </c>
      <c r="F65" s="31">
        <f>SUMIFS(JB_26BV,JB_B,4,JB_H,"MCM",JB_RC,"ADD")</f>
        <v/>
      </c>
      <c r="G65" s="31">
        <f>SUMIFS(JB_26BV,JB_B,5,JB_H,"MCM",JB_RC,"ADD")</f>
        <v/>
      </c>
      <c r="H65" s="31">
        <f>SUM(D65:G65)</f>
        <v/>
      </c>
      <c r="I65" s="37">
        <f>IFERROR(H65/H$68,0)</f>
        <v/>
      </c>
    </row>
    <row r="66" ht="10" customHeight="1">
      <c r="A66" s="30" t="inlineStr">
        <is>
          <t>ESB</t>
        </is>
      </c>
      <c r="B66" s="30" t="inlineStr">
        <is>
          <t>Expeditionary &amp; Seabasing Ships</t>
        </is>
      </c>
      <c r="C66" s="30" t="inlineStr">
        <is>
          <t>USN</t>
        </is>
      </c>
      <c r="D66" s="31">
        <f>SUMIFS(JB_26BV,JB_B,2,JB_H,"ESB",JB_RC,"ADD")</f>
        <v/>
      </c>
      <c r="E66" s="31">
        <f>SUMIFS(JB_26BV,JB_B,3,JB_H,"ESB",JB_RC,"ADD")</f>
        <v/>
      </c>
      <c r="F66" s="31">
        <f>SUMIFS(JB_26BV,JB_B,4,JB_H,"ESB",JB_RC,"ADD")</f>
        <v/>
      </c>
      <c r="G66" s="31">
        <f>SUMIFS(JB_26BV,JB_B,5,JB_H,"ESB",JB_RC,"ADD")</f>
        <v/>
      </c>
      <c r="H66" s="31">
        <f>SUM(D66:G66)</f>
        <v/>
      </c>
      <c r="I66" s="37">
        <f>IFERROR(H66/H$68,0)</f>
        <v/>
      </c>
    </row>
    <row r="67" ht="10" customHeight="1">
      <c r="A67" s="30" t="inlineStr">
        <is>
          <t>WMSL</t>
        </is>
      </c>
      <c r="B67" s="30" t="inlineStr">
        <is>
          <t>National Security Cutters</t>
        </is>
      </c>
      <c r="C67" s="30" t="inlineStr">
        <is>
          <t>USCG</t>
        </is>
      </c>
      <c r="D67" s="31">
        <f>SUMIFS(JB_26BV,JB_B,2,JB_H,"WMSL",JB_RC,"ADD")</f>
        <v/>
      </c>
      <c r="E67" s="31">
        <f>SUMIFS(JB_26BV,JB_B,3,JB_H,"WMSL",JB_RC,"ADD")</f>
        <v/>
      </c>
      <c r="F67" s="31">
        <f>SUMIFS(JB_26BV,JB_B,4,JB_H,"WMSL",JB_RC,"ADD")</f>
        <v/>
      </c>
      <c r="G67" s="31">
        <f>SUMIFS(JB_26BV,JB_B,5,JB_H,"WMSL",JB_RC,"ADD")</f>
        <v/>
      </c>
      <c r="H67" s="31">
        <f>SUM(D67:G67)</f>
        <v/>
      </c>
      <c r="I67" s="37">
        <f>IFERROR(H67/H$68,0)</f>
        <v/>
      </c>
    </row>
    <row r="68" ht="10" customHeight="1">
      <c r="A68" s="32" t="inlineStr">
        <is>
          <t>MRO SAM (all programs)</t>
        </is>
      </c>
      <c r="B68" s="32" t="inlineStr"/>
      <c r="C68" s="32" t="inlineStr"/>
      <c r="D68" s="33">
        <f>SUM(D56:D67)</f>
        <v/>
      </c>
      <c r="E68" s="33">
        <f>SUM(E56:E67)</f>
        <v/>
      </c>
      <c r="F68" s="33">
        <f>SUM(F56:F67)</f>
        <v/>
      </c>
      <c r="G68" s="33">
        <f>SUM(G56:G67)</f>
        <v/>
      </c>
      <c r="H68" s="33">
        <f>SUM(H56:H67)</f>
        <v/>
      </c>
      <c r="I68" s="38" t="n">
        <v>1</v>
      </c>
    </row>
    <row r="69" ht="10" customHeight="1"/>
    <row r="70" ht="10" customHeight="1"/>
    <row r="71" ht="10" customHeight="1">
      <c r="A71" s="27" t="inlineStr">
        <is>
          <t>(E) Aggregate SDM Cost Breakdown</t>
        </is>
      </c>
      <c r="B71" s="28" t="n"/>
      <c r="C71" s="28" t="n"/>
    </row>
    <row r="72" ht="10" customHeight="1">
      <c r="A72" s="26" t="inlineStr">
        <is>
          <t>Aggregate cost breakdown of OMN Ship Maintenance (Bucket 2) spending by cost type. Titles are verbatim from OMN justification book sub-components — not hull-specific. Used in section (F) to estimate cost-element coverage per hull program.</t>
        </is>
      </c>
    </row>
    <row r="73" ht="10" customHeight="1">
      <c r="A73" s="29" t="inlineStr">
        <is>
          <t>OMN Sub-Component</t>
        </is>
      </c>
      <c r="B73" s="29" t="inlineStr">
        <is>
          <t>$K</t>
        </is>
      </c>
      <c r="C73" s="29" t="inlineStr">
        <is>
          <t>% of SDM</t>
        </is>
      </c>
    </row>
    <row r="74" ht="10" customHeight="1">
      <c r="A74" s="30" t="inlineStr">
        <is>
          <t>Ship Maintenance By Contract</t>
        </is>
      </c>
      <c r="B74" s="31" t="n">
        <v>3984423</v>
      </c>
      <c r="C74" s="37">
        <f>IFERROR(B74/B97,0)</f>
        <v/>
      </c>
    </row>
    <row r="75" ht="10" customHeight="1">
      <c r="A75" s="30" t="inlineStr">
        <is>
          <t>Executive, General and Special Schedules</t>
        </is>
      </c>
      <c r="B75" s="31" t="n">
        <v>3057102</v>
      </c>
      <c r="C75" s="37">
        <f>IFERROR(B75/B97,0)</f>
        <v/>
      </c>
    </row>
    <row r="76" ht="10" customHeight="1">
      <c r="A76" s="30" t="inlineStr">
        <is>
          <t>Wage Board</t>
        </is>
      </c>
      <c r="B76" s="31" t="n">
        <v>2713903</v>
      </c>
      <c r="C76" s="37">
        <f>IFERROR(B76/B97,0)</f>
        <v/>
      </c>
    </row>
    <row r="77" ht="10" customHeight="1">
      <c r="A77" s="30" t="inlineStr">
        <is>
          <t>Navy Managed Supplies &amp; Materials</t>
        </is>
      </c>
      <c r="B77" s="31" t="n">
        <v>814422</v>
      </c>
      <c r="C77" s="37">
        <f>IFERROR(B77/B97,0)</f>
        <v/>
      </c>
    </row>
    <row r="78" ht="10" customHeight="1">
      <c r="A78" s="30" t="inlineStr">
        <is>
          <t>DLA Material Supply Chain - Weapon Systems</t>
        </is>
      </c>
      <c r="B78" s="31" t="n">
        <v>696056</v>
      </c>
      <c r="C78" s="37">
        <f>IFERROR(B78/B97,0)</f>
        <v/>
      </c>
    </row>
    <row r="79" ht="10" customHeight="1">
      <c r="A79" s="30" t="inlineStr">
        <is>
          <t>MSC Regular Overhaul (ROH)</t>
        </is>
      </c>
      <c r="B79" s="31" t="n">
        <v>666329</v>
      </c>
      <c r="C79" s="37">
        <f>IFERROR(B79/B97,0)</f>
        <v/>
      </c>
    </row>
    <row r="80" ht="10" customHeight="1">
      <c r="A80" s="30" t="inlineStr">
        <is>
          <t>MSC Other Maintenance and Repair</t>
        </is>
      </c>
      <c r="B80" s="31" t="n">
        <v>575746</v>
      </c>
      <c r="C80" s="37">
        <f>IFERROR(B80/B97,0)</f>
        <v/>
      </c>
    </row>
    <row r="81" ht="10" customHeight="1">
      <c r="A81" s="30" t="inlineStr">
        <is>
          <t>Equipment Maintenance By Contract</t>
        </is>
      </c>
      <c r="B81" s="31" t="n">
        <v>502290</v>
      </c>
      <c r="C81" s="37">
        <f>IFERROR(B81/B97,0)</f>
        <v/>
      </c>
    </row>
    <row r="82" ht="10" customHeight="1">
      <c r="A82" s="30" t="inlineStr">
        <is>
          <t>Other Depot Maintenance Non-Fund</t>
        </is>
      </c>
      <c r="B82" s="31" t="n">
        <v>447544</v>
      </c>
      <c r="C82" s="37">
        <f>IFERROR(B82/B97,0)</f>
        <v/>
      </c>
    </row>
    <row r="83" ht="10" customHeight="1">
      <c r="A83" s="30" t="inlineStr">
        <is>
          <t>MSC Mid-Term Availability (MTA)</t>
        </is>
      </c>
      <c r="B83" s="31" t="n">
        <v>341925</v>
      </c>
      <c r="C83" s="37">
        <f>IFERROR(B83/B97,0)</f>
        <v/>
      </c>
    </row>
    <row r="84" ht="10" customHeight="1">
      <c r="A84" s="30" t="inlineStr">
        <is>
          <t>Other Intra-Government Purchases</t>
        </is>
      </c>
      <c r="B84" s="31" t="n">
        <v>236115</v>
      </c>
      <c r="C84" s="37">
        <f>IFERROR(B84/B97,0)</f>
        <v/>
      </c>
    </row>
    <row r="85" ht="10" customHeight="1">
      <c r="A85" s="30" t="inlineStr">
        <is>
          <t>Tomahawk Systems (All-Up Round and TTWCS)</t>
        </is>
      </c>
      <c r="B85" s="31" t="n">
        <v>129051</v>
      </c>
      <c r="C85" s="37">
        <f>IFERROR(B85/B97,0)</f>
        <v/>
      </c>
    </row>
    <row r="86" ht="10" customHeight="1">
      <c r="A86" s="30" t="inlineStr">
        <is>
          <t>Standard Missile Depot Maintenance (SM-2/SM-6)</t>
        </is>
      </c>
      <c r="B86" s="31" t="n">
        <v>88674</v>
      </c>
      <c r="C86" s="37">
        <f>IFERROR(B86/B97,0)</f>
        <v/>
      </c>
    </row>
    <row r="87" ht="10" customHeight="1">
      <c r="A87" s="30" t="inlineStr">
        <is>
          <t>Close-In Weapons System (CIWS)</t>
        </is>
      </c>
      <c r="B87" s="31" t="n">
        <v>82544</v>
      </c>
      <c r="C87" s="37">
        <f>IFERROR(B87/B97,0)</f>
        <v/>
      </c>
    </row>
    <row r="88" ht="10" customHeight="1">
      <c r="A88" s="30" t="inlineStr">
        <is>
          <t>Submarine Torpedo Systems</t>
        </is>
      </c>
      <c r="B88" s="31" t="n">
        <v>71804</v>
      </c>
      <c r="C88" s="37">
        <f>IFERROR(B88/B97,0)</f>
        <v/>
      </c>
    </row>
    <row r="89" ht="10" customHeight="1">
      <c r="A89" s="30" t="inlineStr">
        <is>
          <t>NATO Seasparrow (RIM-7)</t>
        </is>
      </c>
      <c r="B89" s="31" t="n">
        <v>41235</v>
      </c>
      <c r="C89" s="37">
        <f>IFERROR(B89/B97,0)</f>
        <v/>
      </c>
    </row>
    <row r="90" ht="10" customHeight="1">
      <c r="A90" s="30" t="inlineStr">
        <is>
          <t>Surface Undersea Warfare (USW)</t>
        </is>
      </c>
      <c r="B90" s="31" t="n">
        <v>40897</v>
      </c>
      <c r="C90" s="37">
        <f>IFERROR(B90/B97,0)</f>
        <v/>
      </c>
    </row>
    <row r="91" ht="10" customHeight="1">
      <c r="A91" s="30" t="inlineStr">
        <is>
          <t>Inactive Ship Maintenance Facility &amp; Operations</t>
        </is>
      </c>
      <c r="B91" s="31" t="n">
        <v>30836</v>
      </c>
      <c r="C91" s="37">
        <f>IFERROR(B91/B97,0)</f>
        <v/>
      </c>
    </row>
    <row r="92" ht="10" customHeight="1">
      <c r="A92" s="30" t="inlineStr">
        <is>
          <t>Rolling Air Frame (RAM) Maintenance</t>
        </is>
      </c>
      <c r="B92" s="31" t="n">
        <v>18784</v>
      </c>
      <c r="C92" s="37">
        <f>IFERROR(B92/B97,0)</f>
        <v/>
      </c>
    </row>
    <row r="93" ht="10" customHeight="1">
      <c r="A93" s="30" t="inlineStr">
        <is>
          <t>Submarine Acoustics / In-Service Combat Systems</t>
        </is>
      </c>
      <c r="B93" s="31" t="n">
        <v>17384</v>
      </c>
      <c r="C93" s="37">
        <f>IFERROR(B93/B97,0)</f>
        <v/>
      </c>
    </row>
    <row r="94" ht="10" customHeight="1">
      <c r="A94" s="30" t="inlineStr">
        <is>
          <t>Surface Ship Torpedo Defense (SSTD) Depot Repair</t>
        </is>
      </c>
      <c r="B94" s="31" t="n">
        <v>2179</v>
      </c>
      <c r="C94" s="37">
        <f>IFERROR(B94/B97,0)</f>
        <v/>
      </c>
    </row>
    <row r="95" ht="10" customHeight="1">
      <c r="A95" s="30" t="inlineStr">
        <is>
          <t>Efficiency - Contract Services Reduction</t>
        </is>
      </c>
      <c r="B95" s="31" t="n">
        <v>-76395</v>
      </c>
      <c r="C95" s="37">
        <f>IFERROR(B95/B97,0)</f>
        <v/>
      </c>
    </row>
    <row r="96" ht="10" customHeight="1">
      <c r="A96" s="30" t="inlineStr">
        <is>
          <t>Efficiency - Workforce Optimization (Public Shipyards)</t>
        </is>
      </c>
      <c r="B96" s="31" t="n">
        <v>-207734</v>
      </c>
      <c r="C96" s="37">
        <f>IFERROR(B96/B97,0)</f>
        <v/>
      </c>
    </row>
    <row r="97" ht="10" customHeight="1">
      <c r="A97" s="32" t="inlineStr">
        <is>
          <t>Total</t>
        </is>
      </c>
      <c r="B97" s="33">
        <f>SUM(B74:B96)</f>
        <v/>
      </c>
      <c r="C97" s="38" t="n">
        <v>1</v>
      </c>
    </row>
    <row r="98" ht="10" customHeight="1"/>
    <row r="99" ht="10" customHeight="1"/>
    <row r="100" ht="10" customHeight="1">
      <c r="A100" s="27" t="inlineStr">
        <is>
          <t>(F) MRO SAM (SDM cost-element estimate) — FY2026 ($K)</t>
        </is>
      </c>
      <c r="B100" s="28" t="n"/>
      <c r="C100" s="28" t="n"/>
      <c r="D100" s="28" t="n"/>
      <c r="E100" s="28" t="n"/>
      <c r="F100" s="28" t="n"/>
      <c r="G100" s="28" t="n"/>
      <c r="H100" s="28" t="n"/>
      <c r="I100" s="28" t="n"/>
      <c r="J100" s="28" t="n"/>
      <c r="K100" s="28" t="n"/>
      <c r="L100" s="28" t="n"/>
    </row>
    <row r="101" ht="10" customHeight="1">
      <c r="A101" s="26" t="inlineStr">
        <is>
          <t>Estimated SDM cost breakdown by hull program. Applies the aggregate OMN cost mix from section (E) to each hull’s SDM funding. This is an approximation — actual cost mix varies by hull class. Analogous to Newbuild SAM section (E) which applies P-5c cost mix to net budget authority.</t>
        </is>
      </c>
    </row>
    <row r="102" ht="10" customHeight="1">
      <c r="A102" s="39" t="n"/>
      <c r="B102" s="40" t="inlineStr">
        <is>
          <t>USN</t>
        </is>
      </c>
      <c r="C102" s="39" t="n"/>
      <c r="D102" s="39" t="n"/>
      <c r="E102" s="39" t="n"/>
      <c r="F102" s="39" t="n"/>
      <c r="G102" s="39" t="n"/>
      <c r="H102" s="39" t="n"/>
      <c r="I102" s="39" t="n"/>
      <c r="J102" s="39" t="n"/>
      <c r="K102" s="39" t="n"/>
      <c r="L102" s="41" t="n"/>
    </row>
    <row r="103" ht="10" customHeight="1">
      <c r="A103" s="29" t="inlineStr">
        <is>
          <t>OMN Sub-Component</t>
        </is>
      </c>
      <c r="B103" s="42" t="inlineStr">
        <is>
          <t>DDG</t>
        </is>
      </c>
      <c r="C103" s="29" t="inlineStr">
        <is>
          <t>LCS</t>
        </is>
      </c>
      <c r="D103" s="29" t="inlineStr">
        <is>
          <t>LHD</t>
        </is>
      </c>
      <c r="E103" s="29" t="inlineStr">
        <is>
          <t>LPD</t>
        </is>
      </c>
      <c r="F103" s="29" t="inlineStr">
        <is>
          <t>CG</t>
        </is>
      </c>
      <c r="G103" s="29" t="inlineStr">
        <is>
          <t>LSD</t>
        </is>
      </c>
      <c r="H103" s="29" t="inlineStr">
        <is>
          <t>LHA</t>
        </is>
      </c>
      <c r="I103" s="29" t="inlineStr">
        <is>
          <t>ESB</t>
        </is>
      </c>
      <c r="J103" s="29" t="inlineStr">
        <is>
          <t>MCM</t>
        </is>
      </c>
      <c r="K103" s="29" t="inlineStr">
        <is>
          <t>LCC</t>
        </is>
      </c>
      <c r="L103" s="42" t="inlineStr">
        <is>
          <t>Total</t>
        </is>
      </c>
    </row>
    <row r="104" ht="10" customHeight="1">
      <c r="A104" s="35" t="inlineStr">
        <is>
          <t>SAM SDM Total ($K)</t>
        </is>
      </c>
      <c r="B104" s="48">
        <f>D56</f>
        <v/>
      </c>
      <c r="C104" s="36">
        <f>D57</f>
        <v/>
      </c>
      <c r="D104" s="36">
        <f>D58</f>
        <v/>
      </c>
      <c r="E104" s="36">
        <f>D59</f>
        <v/>
      </c>
      <c r="F104" s="36">
        <f>D60</f>
        <v/>
      </c>
      <c r="G104" s="36">
        <f>D61</f>
        <v/>
      </c>
      <c r="H104" s="36">
        <f>D62</f>
        <v/>
      </c>
      <c r="I104" s="36">
        <f>D66</f>
        <v/>
      </c>
      <c r="J104" s="36">
        <f>D65</f>
        <v/>
      </c>
      <c r="K104" s="36">
        <f>D63</f>
        <v/>
      </c>
      <c r="L104" s="48">
        <f>SUM(B104:K104)</f>
        <v/>
      </c>
    </row>
    <row r="105" ht="10" customHeight="1">
      <c r="A105" s="30" t="inlineStr">
        <is>
          <t>Ship Maintenance By Contract</t>
        </is>
      </c>
      <c r="B105" s="45">
        <f>IFERROR(B$104*B74/B97,0)</f>
        <v/>
      </c>
      <c r="C105" s="31">
        <f>IFERROR(C$104*B74/B97,0)</f>
        <v/>
      </c>
      <c r="D105" s="31">
        <f>IFERROR(D$104*B74/B97,0)</f>
        <v/>
      </c>
      <c r="E105" s="31">
        <f>IFERROR(E$104*B74/B97,0)</f>
        <v/>
      </c>
      <c r="F105" s="31">
        <f>IFERROR(F$104*B74/B97,0)</f>
        <v/>
      </c>
      <c r="G105" s="31">
        <f>IFERROR(G$104*B74/B97,0)</f>
        <v/>
      </c>
      <c r="H105" s="31">
        <f>IFERROR(H$104*B74/B97,0)</f>
        <v/>
      </c>
      <c r="I105" s="31">
        <f>IFERROR(I$104*B74/B97,0)</f>
        <v/>
      </c>
      <c r="J105" s="31">
        <f>IFERROR(J$104*B74/B97,0)</f>
        <v/>
      </c>
      <c r="K105" s="31">
        <f>IFERROR(K$104*B74/B97,0)</f>
        <v/>
      </c>
      <c r="L105" s="45">
        <f>SUM(B105:K105)</f>
        <v/>
      </c>
    </row>
    <row r="106" ht="10" customHeight="1">
      <c r="A106" s="30" t="inlineStr">
        <is>
          <t>Executive, General and Special Schedules</t>
        </is>
      </c>
      <c r="B106" s="45">
        <f>IFERROR(B$104*B75/B97,0)</f>
        <v/>
      </c>
      <c r="C106" s="31">
        <f>IFERROR(C$104*B75/B97,0)</f>
        <v/>
      </c>
      <c r="D106" s="31">
        <f>IFERROR(D$104*B75/B97,0)</f>
        <v/>
      </c>
      <c r="E106" s="31">
        <f>IFERROR(E$104*B75/B97,0)</f>
        <v/>
      </c>
      <c r="F106" s="31">
        <f>IFERROR(F$104*B75/B97,0)</f>
        <v/>
      </c>
      <c r="G106" s="31">
        <f>IFERROR(G$104*B75/B97,0)</f>
        <v/>
      </c>
      <c r="H106" s="31">
        <f>IFERROR(H$104*B75/B97,0)</f>
        <v/>
      </c>
      <c r="I106" s="31">
        <f>IFERROR(I$104*B75/B97,0)</f>
        <v/>
      </c>
      <c r="J106" s="31">
        <f>IFERROR(J$104*B75/B97,0)</f>
        <v/>
      </c>
      <c r="K106" s="31">
        <f>IFERROR(K$104*B75/B97,0)</f>
        <v/>
      </c>
      <c r="L106" s="45">
        <f>SUM(B106:K106)</f>
        <v/>
      </c>
    </row>
    <row r="107" ht="10" customHeight="1">
      <c r="A107" s="30" t="inlineStr">
        <is>
          <t>Wage Board</t>
        </is>
      </c>
      <c r="B107" s="45">
        <f>IFERROR(B$104*B76/B97,0)</f>
        <v/>
      </c>
      <c r="C107" s="31">
        <f>IFERROR(C$104*B76/B97,0)</f>
        <v/>
      </c>
      <c r="D107" s="31">
        <f>IFERROR(D$104*B76/B97,0)</f>
        <v/>
      </c>
      <c r="E107" s="31">
        <f>IFERROR(E$104*B76/B97,0)</f>
        <v/>
      </c>
      <c r="F107" s="31">
        <f>IFERROR(F$104*B76/B97,0)</f>
        <v/>
      </c>
      <c r="G107" s="31">
        <f>IFERROR(G$104*B76/B97,0)</f>
        <v/>
      </c>
      <c r="H107" s="31">
        <f>IFERROR(H$104*B76/B97,0)</f>
        <v/>
      </c>
      <c r="I107" s="31">
        <f>IFERROR(I$104*B76/B97,0)</f>
        <v/>
      </c>
      <c r="J107" s="31">
        <f>IFERROR(J$104*B76/B97,0)</f>
        <v/>
      </c>
      <c r="K107" s="31">
        <f>IFERROR(K$104*B76/B97,0)</f>
        <v/>
      </c>
      <c r="L107" s="45">
        <f>SUM(B107:K107)</f>
        <v/>
      </c>
    </row>
    <row r="108" ht="10" customHeight="1">
      <c r="A108" s="30" t="inlineStr">
        <is>
          <t>Navy Managed Supplies &amp; Materials</t>
        </is>
      </c>
      <c r="B108" s="45">
        <f>IFERROR(B$104*B77/B97,0)</f>
        <v/>
      </c>
      <c r="C108" s="31">
        <f>IFERROR(C$104*B77/B97,0)</f>
        <v/>
      </c>
      <c r="D108" s="31">
        <f>IFERROR(D$104*B77/B97,0)</f>
        <v/>
      </c>
      <c r="E108" s="31">
        <f>IFERROR(E$104*B77/B97,0)</f>
        <v/>
      </c>
      <c r="F108" s="31">
        <f>IFERROR(F$104*B77/B97,0)</f>
        <v/>
      </c>
      <c r="G108" s="31">
        <f>IFERROR(G$104*B77/B97,0)</f>
        <v/>
      </c>
      <c r="H108" s="31">
        <f>IFERROR(H$104*B77/B97,0)</f>
        <v/>
      </c>
      <c r="I108" s="31">
        <f>IFERROR(I$104*B77/B97,0)</f>
        <v/>
      </c>
      <c r="J108" s="31">
        <f>IFERROR(J$104*B77/B97,0)</f>
        <v/>
      </c>
      <c r="K108" s="31">
        <f>IFERROR(K$104*B77/B97,0)</f>
        <v/>
      </c>
      <c r="L108" s="45">
        <f>SUM(B108:K108)</f>
        <v/>
      </c>
    </row>
    <row r="109" ht="10" customHeight="1">
      <c r="A109" s="30" t="inlineStr">
        <is>
          <t>DLA Material Supply Chain - Weapon Systems</t>
        </is>
      </c>
      <c r="B109" s="45">
        <f>IFERROR(B$104*B78/B97,0)</f>
        <v/>
      </c>
      <c r="C109" s="31">
        <f>IFERROR(C$104*B78/B97,0)</f>
        <v/>
      </c>
      <c r="D109" s="31">
        <f>IFERROR(D$104*B78/B97,0)</f>
        <v/>
      </c>
      <c r="E109" s="31">
        <f>IFERROR(E$104*B78/B97,0)</f>
        <v/>
      </c>
      <c r="F109" s="31">
        <f>IFERROR(F$104*B78/B97,0)</f>
        <v/>
      </c>
      <c r="G109" s="31">
        <f>IFERROR(G$104*B78/B97,0)</f>
        <v/>
      </c>
      <c r="H109" s="31">
        <f>IFERROR(H$104*B78/B97,0)</f>
        <v/>
      </c>
      <c r="I109" s="31">
        <f>IFERROR(I$104*B78/B97,0)</f>
        <v/>
      </c>
      <c r="J109" s="31">
        <f>IFERROR(J$104*B78/B97,0)</f>
        <v/>
      </c>
      <c r="K109" s="31">
        <f>IFERROR(K$104*B78/B97,0)</f>
        <v/>
      </c>
      <c r="L109" s="45">
        <f>SUM(B109:K109)</f>
        <v/>
      </c>
    </row>
    <row r="110" ht="10" customHeight="1">
      <c r="A110" s="30" t="inlineStr">
        <is>
          <t>MSC Regular Overhaul (ROH)</t>
        </is>
      </c>
      <c r="B110" s="45">
        <f>IFERROR(B$104*B79/B97,0)</f>
        <v/>
      </c>
      <c r="C110" s="31">
        <f>IFERROR(C$104*B79/B97,0)</f>
        <v/>
      </c>
      <c r="D110" s="31">
        <f>IFERROR(D$104*B79/B97,0)</f>
        <v/>
      </c>
      <c r="E110" s="31">
        <f>IFERROR(E$104*B79/B97,0)</f>
        <v/>
      </c>
      <c r="F110" s="31">
        <f>IFERROR(F$104*B79/B97,0)</f>
        <v/>
      </c>
      <c r="G110" s="31">
        <f>IFERROR(G$104*B79/B97,0)</f>
        <v/>
      </c>
      <c r="H110" s="31">
        <f>IFERROR(H$104*B79/B97,0)</f>
        <v/>
      </c>
      <c r="I110" s="31">
        <f>IFERROR(I$104*B79/B97,0)</f>
        <v/>
      </c>
      <c r="J110" s="31">
        <f>IFERROR(J$104*B79/B97,0)</f>
        <v/>
      </c>
      <c r="K110" s="31">
        <f>IFERROR(K$104*B79/B97,0)</f>
        <v/>
      </c>
      <c r="L110" s="45">
        <f>SUM(B110:K110)</f>
        <v/>
      </c>
    </row>
    <row r="111" ht="10" customHeight="1">
      <c r="A111" s="30" t="inlineStr">
        <is>
          <t>MSC Other Maintenance and Repair</t>
        </is>
      </c>
      <c r="B111" s="45">
        <f>IFERROR(B$104*B80/B97,0)</f>
        <v/>
      </c>
      <c r="C111" s="31">
        <f>IFERROR(C$104*B80/B97,0)</f>
        <v/>
      </c>
      <c r="D111" s="31">
        <f>IFERROR(D$104*B80/B97,0)</f>
        <v/>
      </c>
      <c r="E111" s="31">
        <f>IFERROR(E$104*B80/B97,0)</f>
        <v/>
      </c>
      <c r="F111" s="31">
        <f>IFERROR(F$104*B80/B97,0)</f>
        <v/>
      </c>
      <c r="G111" s="31">
        <f>IFERROR(G$104*B80/B97,0)</f>
        <v/>
      </c>
      <c r="H111" s="31">
        <f>IFERROR(H$104*B80/B97,0)</f>
        <v/>
      </c>
      <c r="I111" s="31">
        <f>IFERROR(I$104*B80/B97,0)</f>
        <v/>
      </c>
      <c r="J111" s="31">
        <f>IFERROR(J$104*B80/B97,0)</f>
        <v/>
      </c>
      <c r="K111" s="31">
        <f>IFERROR(K$104*B80/B97,0)</f>
        <v/>
      </c>
      <c r="L111" s="45">
        <f>SUM(B111:K111)</f>
        <v/>
      </c>
    </row>
    <row r="112" ht="10" customHeight="1">
      <c r="A112" s="30" t="inlineStr">
        <is>
          <t>Equipment Maintenance By Contract</t>
        </is>
      </c>
      <c r="B112" s="45">
        <f>IFERROR(B$104*B81/B97,0)</f>
        <v/>
      </c>
      <c r="C112" s="31">
        <f>IFERROR(C$104*B81/B97,0)</f>
        <v/>
      </c>
      <c r="D112" s="31">
        <f>IFERROR(D$104*B81/B97,0)</f>
        <v/>
      </c>
      <c r="E112" s="31">
        <f>IFERROR(E$104*B81/B97,0)</f>
        <v/>
      </c>
      <c r="F112" s="31">
        <f>IFERROR(F$104*B81/B97,0)</f>
        <v/>
      </c>
      <c r="G112" s="31">
        <f>IFERROR(G$104*B81/B97,0)</f>
        <v/>
      </c>
      <c r="H112" s="31">
        <f>IFERROR(H$104*B81/B97,0)</f>
        <v/>
      </c>
      <c r="I112" s="31">
        <f>IFERROR(I$104*B81/B97,0)</f>
        <v/>
      </c>
      <c r="J112" s="31">
        <f>IFERROR(J$104*B81/B97,0)</f>
        <v/>
      </c>
      <c r="K112" s="31">
        <f>IFERROR(K$104*B81/B97,0)</f>
        <v/>
      </c>
      <c r="L112" s="45">
        <f>SUM(B112:K112)</f>
        <v/>
      </c>
    </row>
    <row r="113" ht="10" customHeight="1">
      <c r="A113" s="30" t="inlineStr">
        <is>
          <t>Other Depot Maintenance Non-Fund</t>
        </is>
      </c>
      <c r="B113" s="45">
        <f>IFERROR(B$104*B82/B97,0)</f>
        <v/>
      </c>
      <c r="C113" s="31">
        <f>IFERROR(C$104*B82/B97,0)</f>
        <v/>
      </c>
      <c r="D113" s="31">
        <f>IFERROR(D$104*B82/B97,0)</f>
        <v/>
      </c>
      <c r="E113" s="31">
        <f>IFERROR(E$104*B82/B97,0)</f>
        <v/>
      </c>
      <c r="F113" s="31">
        <f>IFERROR(F$104*B82/B97,0)</f>
        <v/>
      </c>
      <c r="G113" s="31">
        <f>IFERROR(G$104*B82/B97,0)</f>
        <v/>
      </c>
      <c r="H113" s="31">
        <f>IFERROR(H$104*B82/B97,0)</f>
        <v/>
      </c>
      <c r="I113" s="31">
        <f>IFERROR(I$104*B82/B97,0)</f>
        <v/>
      </c>
      <c r="J113" s="31">
        <f>IFERROR(J$104*B82/B97,0)</f>
        <v/>
      </c>
      <c r="K113" s="31">
        <f>IFERROR(K$104*B82/B97,0)</f>
        <v/>
      </c>
      <c r="L113" s="45">
        <f>SUM(B113:K113)</f>
        <v/>
      </c>
    </row>
    <row r="114" ht="10" customHeight="1">
      <c r="A114" s="30" t="inlineStr">
        <is>
          <t>MSC Mid-Term Availability (MTA)</t>
        </is>
      </c>
      <c r="B114" s="45">
        <f>IFERROR(B$104*B83/B97,0)</f>
        <v/>
      </c>
      <c r="C114" s="31">
        <f>IFERROR(C$104*B83/B97,0)</f>
        <v/>
      </c>
      <c r="D114" s="31">
        <f>IFERROR(D$104*B83/B97,0)</f>
        <v/>
      </c>
      <c r="E114" s="31">
        <f>IFERROR(E$104*B83/B97,0)</f>
        <v/>
      </c>
      <c r="F114" s="31">
        <f>IFERROR(F$104*B83/B97,0)</f>
        <v/>
      </c>
      <c r="G114" s="31">
        <f>IFERROR(G$104*B83/B97,0)</f>
        <v/>
      </c>
      <c r="H114" s="31">
        <f>IFERROR(H$104*B83/B97,0)</f>
        <v/>
      </c>
      <c r="I114" s="31">
        <f>IFERROR(I$104*B83/B97,0)</f>
        <v/>
      </c>
      <c r="J114" s="31">
        <f>IFERROR(J$104*B83/B97,0)</f>
        <v/>
      </c>
      <c r="K114" s="31">
        <f>IFERROR(K$104*B83/B97,0)</f>
        <v/>
      </c>
      <c r="L114" s="45">
        <f>SUM(B114:K114)</f>
        <v/>
      </c>
    </row>
    <row r="115" ht="10" customHeight="1">
      <c r="A115" s="30" t="inlineStr">
        <is>
          <t>Other Intra-Government Purchases</t>
        </is>
      </c>
      <c r="B115" s="45">
        <f>IFERROR(B$104*B84/B97,0)</f>
        <v/>
      </c>
      <c r="C115" s="31">
        <f>IFERROR(C$104*B84/B97,0)</f>
        <v/>
      </c>
      <c r="D115" s="31">
        <f>IFERROR(D$104*B84/B97,0)</f>
        <v/>
      </c>
      <c r="E115" s="31">
        <f>IFERROR(E$104*B84/B97,0)</f>
        <v/>
      </c>
      <c r="F115" s="31">
        <f>IFERROR(F$104*B84/B97,0)</f>
        <v/>
      </c>
      <c r="G115" s="31">
        <f>IFERROR(G$104*B84/B97,0)</f>
        <v/>
      </c>
      <c r="H115" s="31">
        <f>IFERROR(H$104*B84/B97,0)</f>
        <v/>
      </c>
      <c r="I115" s="31">
        <f>IFERROR(I$104*B84/B97,0)</f>
        <v/>
      </c>
      <c r="J115" s="31">
        <f>IFERROR(J$104*B84/B97,0)</f>
        <v/>
      </c>
      <c r="K115" s="31">
        <f>IFERROR(K$104*B84/B97,0)</f>
        <v/>
      </c>
      <c r="L115" s="45">
        <f>SUM(B115:K115)</f>
        <v/>
      </c>
    </row>
    <row r="116" ht="10" customHeight="1">
      <c r="A116" s="30" t="inlineStr">
        <is>
          <t>Tomahawk Systems (All-Up Round and TTWCS)</t>
        </is>
      </c>
      <c r="B116" s="45">
        <f>IFERROR(B$104*B85/B97,0)</f>
        <v/>
      </c>
      <c r="C116" s="31">
        <f>IFERROR(C$104*B85/B97,0)</f>
        <v/>
      </c>
      <c r="D116" s="31">
        <f>IFERROR(D$104*B85/B97,0)</f>
        <v/>
      </c>
      <c r="E116" s="31">
        <f>IFERROR(E$104*B85/B97,0)</f>
        <v/>
      </c>
      <c r="F116" s="31">
        <f>IFERROR(F$104*B85/B97,0)</f>
        <v/>
      </c>
      <c r="G116" s="31">
        <f>IFERROR(G$104*B85/B97,0)</f>
        <v/>
      </c>
      <c r="H116" s="31">
        <f>IFERROR(H$104*B85/B97,0)</f>
        <v/>
      </c>
      <c r="I116" s="31">
        <f>IFERROR(I$104*B85/B97,0)</f>
        <v/>
      </c>
      <c r="J116" s="31">
        <f>IFERROR(J$104*B85/B97,0)</f>
        <v/>
      </c>
      <c r="K116" s="31">
        <f>IFERROR(K$104*B85/B97,0)</f>
        <v/>
      </c>
      <c r="L116" s="45">
        <f>SUM(B116:K116)</f>
        <v/>
      </c>
    </row>
    <row r="117" ht="10" customHeight="1">
      <c r="A117" s="30" t="inlineStr">
        <is>
          <t>Standard Missile Depot Maintenance (SM-2/SM-6)</t>
        </is>
      </c>
      <c r="B117" s="45">
        <f>IFERROR(B$104*B86/B97,0)</f>
        <v/>
      </c>
      <c r="C117" s="31">
        <f>IFERROR(C$104*B86/B97,0)</f>
        <v/>
      </c>
      <c r="D117" s="31">
        <f>IFERROR(D$104*B86/B97,0)</f>
        <v/>
      </c>
      <c r="E117" s="31">
        <f>IFERROR(E$104*B86/B97,0)</f>
        <v/>
      </c>
      <c r="F117" s="31">
        <f>IFERROR(F$104*B86/B97,0)</f>
        <v/>
      </c>
      <c r="G117" s="31">
        <f>IFERROR(G$104*B86/B97,0)</f>
        <v/>
      </c>
      <c r="H117" s="31">
        <f>IFERROR(H$104*B86/B97,0)</f>
        <v/>
      </c>
      <c r="I117" s="31">
        <f>IFERROR(I$104*B86/B97,0)</f>
        <v/>
      </c>
      <c r="J117" s="31">
        <f>IFERROR(J$104*B86/B97,0)</f>
        <v/>
      </c>
      <c r="K117" s="31">
        <f>IFERROR(K$104*B86/B97,0)</f>
        <v/>
      </c>
      <c r="L117" s="45">
        <f>SUM(B117:K117)</f>
        <v/>
      </c>
    </row>
    <row r="118" ht="10" customHeight="1">
      <c r="A118" s="30" t="inlineStr">
        <is>
          <t>Close-In Weapons System (CIWS)</t>
        </is>
      </c>
      <c r="B118" s="45">
        <f>IFERROR(B$104*B87/B97,0)</f>
        <v/>
      </c>
      <c r="C118" s="31">
        <f>IFERROR(C$104*B87/B97,0)</f>
        <v/>
      </c>
      <c r="D118" s="31">
        <f>IFERROR(D$104*B87/B97,0)</f>
        <v/>
      </c>
      <c r="E118" s="31">
        <f>IFERROR(E$104*B87/B97,0)</f>
        <v/>
      </c>
      <c r="F118" s="31">
        <f>IFERROR(F$104*B87/B97,0)</f>
        <v/>
      </c>
      <c r="G118" s="31">
        <f>IFERROR(G$104*B87/B97,0)</f>
        <v/>
      </c>
      <c r="H118" s="31">
        <f>IFERROR(H$104*B87/B97,0)</f>
        <v/>
      </c>
      <c r="I118" s="31">
        <f>IFERROR(I$104*B87/B97,0)</f>
        <v/>
      </c>
      <c r="J118" s="31">
        <f>IFERROR(J$104*B87/B97,0)</f>
        <v/>
      </c>
      <c r="K118" s="31">
        <f>IFERROR(K$104*B87/B97,0)</f>
        <v/>
      </c>
      <c r="L118" s="45">
        <f>SUM(B118:K118)</f>
        <v/>
      </c>
    </row>
    <row r="119" ht="10" customHeight="1">
      <c r="A119" s="30" t="inlineStr">
        <is>
          <t>Submarine Torpedo Systems</t>
        </is>
      </c>
      <c r="B119" s="45">
        <f>IFERROR(B$104*B88/B97,0)</f>
        <v/>
      </c>
      <c r="C119" s="31">
        <f>IFERROR(C$104*B88/B97,0)</f>
        <v/>
      </c>
      <c r="D119" s="31">
        <f>IFERROR(D$104*B88/B97,0)</f>
        <v/>
      </c>
      <c r="E119" s="31">
        <f>IFERROR(E$104*B88/B97,0)</f>
        <v/>
      </c>
      <c r="F119" s="31">
        <f>IFERROR(F$104*B88/B97,0)</f>
        <v/>
      </c>
      <c r="G119" s="31">
        <f>IFERROR(G$104*B88/B97,0)</f>
        <v/>
      </c>
      <c r="H119" s="31">
        <f>IFERROR(H$104*B88/B97,0)</f>
        <v/>
      </c>
      <c r="I119" s="31">
        <f>IFERROR(I$104*B88/B97,0)</f>
        <v/>
      </c>
      <c r="J119" s="31">
        <f>IFERROR(J$104*B88/B97,0)</f>
        <v/>
      </c>
      <c r="K119" s="31">
        <f>IFERROR(K$104*B88/B97,0)</f>
        <v/>
      </c>
      <c r="L119" s="45">
        <f>SUM(B119:K119)</f>
        <v/>
      </c>
    </row>
    <row r="120" ht="10" customHeight="1">
      <c r="A120" s="30" t="inlineStr">
        <is>
          <t>NATO Seasparrow (RIM-7)</t>
        </is>
      </c>
      <c r="B120" s="45">
        <f>IFERROR(B$104*B89/B97,0)</f>
        <v/>
      </c>
      <c r="C120" s="31">
        <f>IFERROR(C$104*B89/B97,0)</f>
        <v/>
      </c>
      <c r="D120" s="31">
        <f>IFERROR(D$104*B89/B97,0)</f>
        <v/>
      </c>
      <c r="E120" s="31">
        <f>IFERROR(E$104*B89/B97,0)</f>
        <v/>
      </c>
      <c r="F120" s="31">
        <f>IFERROR(F$104*B89/B97,0)</f>
        <v/>
      </c>
      <c r="G120" s="31">
        <f>IFERROR(G$104*B89/B97,0)</f>
        <v/>
      </c>
      <c r="H120" s="31">
        <f>IFERROR(H$104*B89/B97,0)</f>
        <v/>
      </c>
      <c r="I120" s="31">
        <f>IFERROR(I$104*B89/B97,0)</f>
        <v/>
      </c>
      <c r="J120" s="31">
        <f>IFERROR(J$104*B89/B97,0)</f>
        <v/>
      </c>
      <c r="K120" s="31">
        <f>IFERROR(K$104*B89/B97,0)</f>
        <v/>
      </c>
      <c r="L120" s="45">
        <f>SUM(B120:K120)</f>
        <v/>
      </c>
    </row>
    <row r="121" ht="10" customHeight="1">
      <c r="A121" s="30" t="inlineStr">
        <is>
          <t>Surface Undersea Warfare (USW)</t>
        </is>
      </c>
      <c r="B121" s="45">
        <f>IFERROR(B$104*B90/B97,0)</f>
        <v/>
      </c>
      <c r="C121" s="31">
        <f>IFERROR(C$104*B90/B97,0)</f>
        <v/>
      </c>
      <c r="D121" s="31">
        <f>IFERROR(D$104*B90/B97,0)</f>
        <v/>
      </c>
      <c r="E121" s="31">
        <f>IFERROR(E$104*B90/B97,0)</f>
        <v/>
      </c>
      <c r="F121" s="31">
        <f>IFERROR(F$104*B90/B97,0)</f>
        <v/>
      </c>
      <c r="G121" s="31">
        <f>IFERROR(G$104*B90/B97,0)</f>
        <v/>
      </c>
      <c r="H121" s="31">
        <f>IFERROR(H$104*B90/B97,0)</f>
        <v/>
      </c>
      <c r="I121" s="31">
        <f>IFERROR(I$104*B90/B97,0)</f>
        <v/>
      </c>
      <c r="J121" s="31">
        <f>IFERROR(J$104*B90/B97,0)</f>
        <v/>
      </c>
      <c r="K121" s="31">
        <f>IFERROR(K$104*B90/B97,0)</f>
        <v/>
      </c>
      <c r="L121" s="45">
        <f>SUM(B121:K121)</f>
        <v/>
      </c>
    </row>
    <row r="122" ht="10" customHeight="1">
      <c r="A122" s="30" t="inlineStr">
        <is>
          <t>Inactive Ship Maintenance Facility &amp; Operations</t>
        </is>
      </c>
      <c r="B122" s="45">
        <f>IFERROR(B$104*B91/B97,0)</f>
        <v/>
      </c>
      <c r="C122" s="31">
        <f>IFERROR(C$104*B91/B97,0)</f>
        <v/>
      </c>
      <c r="D122" s="31">
        <f>IFERROR(D$104*B91/B97,0)</f>
        <v/>
      </c>
      <c r="E122" s="31">
        <f>IFERROR(E$104*B91/B97,0)</f>
        <v/>
      </c>
      <c r="F122" s="31">
        <f>IFERROR(F$104*B91/B97,0)</f>
        <v/>
      </c>
      <c r="G122" s="31">
        <f>IFERROR(G$104*B91/B97,0)</f>
        <v/>
      </c>
      <c r="H122" s="31">
        <f>IFERROR(H$104*B91/B97,0)</f>
        <v/>
      </c>
      <c r="I122" s="31">
        <f>IFERROR(I$104*B91/B97,0)</f>
        <v/>
      </c>
      <c r="J122" s="31">
        <f>IFERROR(J$104*B91/B97,0)</f>
        <v/>
      </c>
      <c r="K122" s="31">
        <f>IFERROR(K$104*B91/B97,0)</f>
        <v/>
      </c>
      <c r="L122" s="45">
        <f>SUM(B122:K122)</f>
        <v/>
      </c>
    </row>
    <row r="123" ht="10" customHeight="1">
      <c r="A123" s="30" t="inlineStr">
        <is>
          <t>Rolling Air Frame (RAM) Maintenance</t>
        </is>
      </c>
      <c r="B123" s="45">
        <f>IFERROR(B$104*B92/B97,0)</f>
        <v/>
      </c>
      <c r="C123" s="31">
        <f>IFERROR(C$104*B92/B97,0)</f>
        <v/>
      </c>
      <c r="D123" s="31">
        <f>IFERROR(D$104*B92/B97,0)</f>
        <v/>
      </c>
      <c r="E123" s="31">
        <f>IFERROR(E$104*B92/B97,0)</f>
        <v/>
      </c>
      <c r="F123" s="31">
        <f>IFERROR(F$104*B92/B97,0)</f>
        <v/>
      </c>
      <c r="G123" s="31">
        <f>IFERROR(G$104*B92/B97,0)</f>
        <v/>
      </c>
      <c r="H123" s="31">
        <f>IFERROR(H$104*B92/B97,0)</f>
        <v/>
      </c>
      <c r="I123" s="31">
        <f>IFERROR(I$104*B92/B97,0)</f>
        <v/>
      </c>
      <c r="J123" s="31">
        <f>IFERROR(J$104*B92/B97,0)</f>
        <v/>
      </c>
      <c r="K123" s="31">
        <f>IFERROR(K$104*B92/B97,0)</f>
        <v/>
      </c>
      <c r="L123" s="45">
        <f>SUM(B123:K123)</f>
        <v/>
      </c>
    </row>
    <row r="124" ht="10" customHeight="1">
      <c r="A124" s="30" t="inlineStr">
        <is>
          <t>Submarine Acoustics / In-Service Combat Systems</t>
        </is>
      </c>
      <c r="B124" s="45">
        <f>IFERROR(B$104*B93/B97,0)</f>
        <v/>
      </c>
      <c r="C124" s="31">
        <f>IFERROR(C$104*B93/B97,0)</f>
        <v/>
      </c>
      <c r="D124" s="31">
        <f>IFERROR(D$104*B93/B97,0)</f>
        <v/>
      </c>
      <c r="E124" s="31">
        <f>IFERROR(E$104*B93/B97,0)</f>
        <v/>
      </c>
      <c r="F124" s="31">
        <f>IFERROR(F$104*B93/B97,0)</f>
        <v/>
      </c>
      <c r="G124" s="31">
        <f>IFERROR(G$104*B93/B97,0)</f>
        <v/>
      </c>
      <c r="H124" s="31">
        <f>IFERROR(H$104*B93/B97,0)</f>
        <v/>
      </c>
      <c r="I124" s="31">
        <f>IFERROR(I$104*B93/B97,0)</f>
        <v/>
      </c>
      <c r="J124" s="31">
        <f>IFERROR(J$104*B93/B97,0)</f>
        <v/>
      </c>
      <c r="K124" s="31">
        <f>IFERROR(K$104*B93/B97,0)</f>
        <v/>
      </c>
      <c r="L124" s="45">
        <f>SUM(B124:K124)</f>
        <v/>
      </c>
    </row>
    <row r="125" ht="10" customHeight="1">
      <c r="A125" s="30" t="inlineStr">
        <is>
          <t>Surface Ship Torpedo Defense (SSTD) Depot Repair</t>
        </is>
      </c>
      <c r="B125" s="45">
        <f>IFERROR(B$104*B94/B97,0)</f>
        <v/>
      </c>
      <c r="C125" s="31">
        <f>IFERROR(C$104*B94/B97,0)</f>
        <v/>
      </c>
      <c r="D125" s="31">
        <f>IFERROR(D$104*B94/B97,0)</f>
        <v/>
      </c>
      <c r="E125" s="31">
        <f>IFERROR(E$104*B94/B97,0)</f>
        <v/>
      </c>
      <c r="F125" s="31">
        <f>IFERROR(F$104*B94/B97,0)</f>
        <v/>
      </c>
      <c r="G125" s="31">
        <f>IFERROR(G$104*B94/B97,0)</f>
        <v/>
      </c>
      <c r="H125" s="31">
        <f>IFERROR(H$104*B94/B97,0)</f>
        <v/>
      </c>
      <c r="I125" s="31">
        <f>IFERROR(I$104*B94/B97,0)</f>
        <v/>
      </c>
      <c r="J125" s="31">
        <f>IFERROR(J$104*B94/B97,0)</f>
        <v/>
      </c>
      <c r="K125" s="31">
        <f>IFERROR(K$104*B94/B97,0)</f>
        <v/>
      </c>
      <c r="L125" s="45">
        <f>SUM(B125:K125)</f>
        <v/>
      </c>
    </row>
    <row r="126" ht="10" customHeight="1">
      <c r="A126" s="30" t="inlineStr">
        <is>
          <t>Efficiency - Contract Services Reduction</t>
        </is>
      </c>
      <c r="B126" s="45">
        <f>IFERROR(B$104*B95/B97,0)</f>
        <v/>
      </c>
      <c r="C126" s="31">
        <f>IFERROR(C$104*B95/B97,0)</f>
        <v/>
      </c>
      <c r="D126" s="31">
        <f>IFERROR(D$104*B95/B97,0)</f>
        <v/>
      </c>
      <c r="E126" s="31">
        <f>IFERROR(E$104*B95/B97,0)</f>
        <v/>
      </c>
      <c r="F126" s="31">
        <f>IFERROR(F$104*B95/B97,0)</f>
        <v/>
      </c>
      <c r="G126" s="31">
        <f>IFERROR(G$104*B95/B97,0)</f>
        <v/>
      </c>
      <c r="H126" s="31">
        <f>IFERROR(H$104*B95/B97,0)</f>
        <v/>
      </c>
      <c r="I126" s="31">
        <f>IFERROR(I$104*B95/B97,0)</f>
        <v/>
      </c>
      <c r="J126" s="31">
        <f>IFERROR(J$104*B95/B97,0)</f>
        <v/>
      </c>
      <c r="K126" s="31">
        <f>IFERROR(K$104*B95/B97,0)</f>
        <v/>
      </c>
      <c r="L126" s="45">
        <f>SUM(B126:K126)</f>
        <v/>
      </c>
    </row>
    <row r="127" ht="10" customHeight="1">
      <c r="A127" s="30" t="inlineStr">
        <is>
          <t>Efficiency - Workforce Optimization (Public Shipyards)</t>
        </is>
      </c>
      <c r="B127" s="45">
        <f>IFERROR(B$104*B96/B97,0)</f>
        <v/>
      </c>
      <c r="C127" s="31">
        <f>IFERROR(C$104*B96/B97,0)</f>
        <v/>
      </c>
      <c r="D127" s="31">
        <f>IFERROR(D$104*B96/B97,0)</f>
        <v/>
      </c>
      <c r="E127" s="31">
        <f>IFERROR(E$104*B96/B97,0)</f>
        <v/>
      </c>
      <c r="F127" s="31">
        <f>IFERROR(F$104*B96/B97,0)</f>
        <v/>
      </c>
      <c r="G127" s="31">
        <f>IFERROR(G$104*B96/B97,0)</f>
        <v/>
      </c>
      <c r="H127" s="31">
        <f>IFERROR(H$104*B96/B97,0)</f>
        <v/>
      </c>
      <c r="I127" s="31">
        <f>IFERROR(I$104*B96/B97,0)</f>
        <v/>
      </c>
      <c r="J127" s="31">
        <f>IFERROR(J$104*B96/B97,0)</f>
        <v/>
      </c>
      <c r="K127" s="31">
        <f>IFERROR(K$104*B96/B97,0)</f>
        <v/>
      </c>
      <c r="L127" s="45">
        <f>SUM(B127:K127)</f>
        <v/>
      </c>
    </row>
    <row r="128" ht="10" customHeight="1">
      <c r="A128" s="32" t="inlineStr">
        <is>
          <t>Estimated SDM Total ($K)</t>
        </is>
      </c>
      <c r="B128" s="44">
        <f>SUM(B105:B127)</f>
        <v/>
      </c>
      <c r="C128" s="33">
        <f>SUM(C105:C127)</f>
        <v/>
      </c>
      <c r="D128" s="33">
        <f>SUM(D105:D127)</f>
        <v/>
      </c>
      <c r="E128" s="33">
        <f>SUM(E105:E127)</f>
        <v/>
      </c>
      <c r="F128" s="33">
        <f>SUM(F105:F127)</f>
        <v/>
      </c>
      <c r="G128" s="33">
        <f>SUM(G105:G127)</f>
        <v/>
      </c>
      <c r="H128" s="33">
        <f>SUM(H105:H127)</f>
        <v/>
      </c>
      <c r="I128" s="33">
        <f>SUM(I105:I127)</f>
        <v/>
      </c>
      <c r="J128" s="33">
        <f>SUM(J105:J127)</f>
        <v/>
      </c>
      <c r="K128" s="33">
        <f>SUM(K105:K127)</f>
        <v/>
      </c>
      <c r="L128" s="44">
        <f>SUM(L105:L127)</f>
        <v/>
      </c>
    </row>
    <row r="129" ht="10" customHeight="1"/>
    <row r="130" ht="10" customHeight="1"/>
    <row r="131" ht="10" customHeight="1">
      <c r="A131" s="27" t="inlineStr">
        <is>
          <t>(G) MRO SAM (contract-addressable) — FY2026 ($K)</t>
        </is>
      </c>
      <c r="B131" s="28" t="n"/>
      <c r="C131" s="28" t="n"/>
      <c r="D131" s="28" t="n"/>
      <c r="E131" s="28" t="n"/>
      <c r="F131" s="28" t="n"/>
      <c r="G131" s="28" t="n"/>
      <c r="H131" s="28" t="n"/>
      <c r="I131" s="28" t="n"/>
      <c r="J131" s="28" t="n"/>
      <c r="K131" s="28" t="n"/>
      <c r="L131" s="28" t="n"/>
      <c r="M131" s="28" t="n"/>
      <c r="N131" s="28" t="n"/>
    </row>
    <row r="132" ht="10" customHeight="1">
      <c r="A132" s="26" t="inlineStr">
        <is>
          <t>MRO SAM narrowed to the contract-addressable market. SDM is reduced to only the private-sector contract portion (Ship Maintenance By Contract + Equipment Maintenance By Contract, ~31% of SDM). Cont/Emerg, Mod, and Major LC are retained at full hull-level totals. This is the MRO market a company could realistically compete for.</t>
        </is>
      </c>
    </row>
    <row r="133" ht="10" customHeight="1">
      <c r="A133" s="39" t="n"/>
      <c r="B133" s="40" t="inlineStr">
        <is>
          <t>USN</t>
        </is>
      </c>
      <c r="C133" s="39" t="n"/>
      <c r="D133" s="39" t="n"/>
      <c r="E133" s="39" t="n"/>
      <c r="F133" s="39" t="n"/>
      <c r="G133" s="39" t="n"/>
      <c r="H133" s="39" t="n"/>
      <c r="I133" s="39" t="n"/>
      <c r="J133" s="39" t="n"/>
      <c r="K133" s="39" t="n"/>
      <c r="L133" s="39" t="n"/>
      <c r="M133" s="40" t="inlineStr">
        <is>
          <t>USCG</t>
        </is>
      </c>
      <c r="N133" s="41" t="n"/>
    </row>
    <row r="134" ht="10" customHeight="1">
      <c r="A134" s="29" t="inlineStr">
        <is>
          <t>Work Type</t>
        </is>
      </c>
      <c r="B134" s="42" t="inlineStr">
        <is>
          <t>DDG</t>
        </is>
      </c>
      <c r="C134" s="29" t="inlineStr">
        <is>
          <t>LCS</t>
        </is>
      </c>
      <c r="D134" s="29" t="inlineStr">
        <is>
          <t>LHD</t>
        </is>
      </c>
      <c r="E134" s="29" t="inlineStr">
        <is>
          <t>LPD</t>
        </is>
      </c>
      <c r="F134" s="29" t="inlineStr">
        <is>
          <t>CG</t>
        </is>
      </c>
      <c r="G134" s="29" t="inlineStr">
        <is>
          <t>LSD</t>
        </is>
      </c>
      <c r="H134" s="29" t="inlineStr">
        <is>
          <t>LHA</t>
        </is>
      </c>
      <c r="I134" s="29" t="inlineStr">
        <is>
          <t>LCC</t>
        </is>
      </c>
      <c r="J134" s="29" t="inlineStr">
        <is>
          <t>T-AGOS</t>
        </is>
      </c>
      <c r="K134" s="29" t="inlineStr">
        <is>
          <t>MCM</t>
        </is>
      </c>
      <c r="L134" s="29" t="inlineStr">
        <is>
          <t>ESB</t>
        </is>
      </c>
      <c r="M134" s="42" t="inlineStr">
        <is>
          <t>WMSL</t>
        </is>
      </c>
      <c r="N134" s="42" t="inlineStr">
        <is>
          <t>Total</t>
        </is>
      </c>
    </row>
    <row r="135" ht="10" customHeight="1">
      <c r="A135" s="30" t="inlineStr">
        <is>
          <t>SDM — Contract ($K)</t>
        </is>
      </c>
      <c r="B135" s="45">
        <f>IFERROR(D56*(B74+B81)/B97,0)</f>
        <v/>
      </c>
      <c r="C135" s="31">
        <f>IFERROR(D57*(B74+B81)/B97,0)</f>
        <v/>
      </c>
      <c r="D135" s="31">
        <f>IFERROR(D58*(B74+B81)/B97,0)</f>
        <v/>
      </c>
      <c r="E135" s="31">
        <f>IFERROR(D59*(B74+B81)/B97,0)</f>
        <v/>
      </c>
      <c r="F135" s="31">
        <f>IFERROR(D60*(B74+B81)/B97,0)</f>
        <v/>
      </c>
      <c r="G135" s="31">
        <f>IFERROR(D61*(B74+B81)/B97,0)</f>
        <v/>
      </c>
      <c r="H135" s="31">
        <f>IFERROR(D62*(B74+B81)/B97,0)</f>
        <v/>
      </c>
      <c r="I135" s="31">
        <f>IFERROR(D63*(B74+B81)/B97,0)</f>
        <v/>
      </c>
      <c r="J135" s="31">
        <f>IFERROR(D64*(B74+B81)/B97,0)</f>
        <v/>
      </c>
      <c r="K135" s="31">
        <f>IFERROR(D65*(B74+B81)/B97,0)</f>
        <v/>
      </c>
      <c r="L135" s="31">
        <f>IFERROR(D66*(B74+B81)/B97,0)</f>
        <v/>
      </c>
      <c r="M135" s="45">
        <f>IFERROR(D67*(B74+B81)/B97,0)</f>
        <v/>
      </c>
      <c r="N135" s="45">
        <f>SUM(B135:M135)</f>
        <v/>
      </c>
    </row>
    <row r="136" ht="10" customHeight="1">
      <c r="A136" s="30" t="inlineStr">
        <is>
          <t>Cont/Emerg ($K)</t>
        </is>
      </c>
      <c r="B136" s="45">
        <f>SUMIFS(JB_26BV,JB_B,3,JB_H,"DDG",JB_RC,"ADD")</f>
        <v/>
      </c>
      <c r="C136" s="31">
        <f>SUMIFS(JB_26BV,JB_B,3,JB_H,"LCS",JB_RC,"ADD")</f>
        <v/>
      </c>
      <c r="D136" s="31">
        <f>SUMIFS(JB_26BV,JB_B,3,JB_H,"LHD",JB_RC,"ADD")</f>
        <v/>
      </c>
      <c r="E136" s="31">
        <f>SUMIFS(JB_26BV,JB_B,3,JB_H,"LPD",JB_RC,"ADD")</f>
        <v/>
      </c>
      <c r="F136" s="31">
        <f>SUMIFS(JB_26BV,JB_B,3,JB_H,"CG",JB_RC,"ADD")</f>
        <v/>
      </c>
      <c r="G136" s="31">
        <f>SUMIFS(JB_26BV,JB_B,3,JB_H,"LSD",JB_RC,"ADD")</f>
        <v/>
      </c>
      <c r="H136" s="31">
        <f>SUMIFS(JB_26BV,JB_B,3,JB_H,"LHA",JB_RC,"ADD")</f>
        <v/>
      </c>
      <c r="I136" s="31">
        <f>SUMIFS(JB_26BV,JB_B,3,JB_H,"LCC",JB_RC,"ADD")</f>
        <v/>
      </c>
      <c r="J136" s="31">
        <f>SUMIFS(JB_26BV,JB_B,3,JB_H,"T-AGOS",JB_RC,"ADD")</f>
        <v/>
      </c>
      <c r="K136" s="31">
        <f>SUMIFS(JB_26BV,JB_B,3,JB_H,"MCM",JB_RC,"ADD")</f>
        <v/>
      </c>
      <c r="L136" s="31">
        <f>SUMIFS(JB_26BV,JB_B,3,JB_H,"ESB",JB_RC,"ADD")</f>
        <v/>
      </c>
      <c r="M136" s="45">
        <f>SUMIFS(JB_26BV,JB_B,3,JB_H,"WMSL",JB_RC,"ADD")</f>
        <v/>
      </c>
      <c r="N136" s="45">
        <f>SUM(B136:M136)</f>
        <v/>
      </c>
    </row>
    <row r="137" ht="10" customHeight="1">
      <c r="A137" s="30" t="inlineStr">
        <is>
          <t>Mod ($K)</t>
        </is>
      </c>
      <c r="B137" s="45">
        <f>SUMIFS(JB_26BV,JB_B,4,JB_H,"DDG",JB_RC,"ADD")</f>
        <v/>
      </c>
      <c r="C137" s="31">
        <f>SUMIFS(JB_26BV,JB_B,4,JB_H,"LCS",JB_RC,"ADD")</f>
        <v/>
      </c>
      <c r="D137" s="31">
        <f>SUMIFS(JB_26BV,JB_B,4,JB_H,"LHD",JB_RC,"ADD")</f>
        <v/>
      </c>
      <c r="E137" s="31">
        <f>SUMIFS(JB_26BV,JB_B,4,JB_H,"LPD",JB_RC,"ADD")</f>
        <v/>
      </c>
      <c r="F137" s="31">
        <f>SUMIFS(JB_26BV,JB_B,4,JB_H,"CG",JB_RC,"ADD")</f>
        <v/>
      </c>
      <c r="G137" s="31">
        <f>SUMIFS(JB_26BV,JB_B,4,JB_H,"LSD",JB_RC,"ADD")</f>
        <v/>
      </c>
      <c r="H137" s="31">
        <f>SUMIFS(JB_26BV,JB_B,4,JB_H,"LHA",JB_RC,"ADD")</f>
        <v/>
      </c>
      <c r="I137" s="31">
        <f>SUMIFS(JB_26BV,JB_B,4,JB_H,"LCC",JB_RC,"ADD")</f>
        <v/>
      </c>
      <c r="J137" s="31">
        <f>SUMIFS(JB_26BV,JB_B,4,JB_H,"T-AGOS",JB_RC,"ADD")</f>
        <v/>
      </c>
      <c r="K137" s="31">
        <f>SUMIFS(JB_26BV,JB_B,4,JB_H,"MCM",JB_RC,"ADD")</f>
        <v/>
      </c>
      <c r="L137" s="31">
        <f>SUMIFS(JB_26BV,JB_B,4,JB_H,"ESB",JB_RC,"ADD")</f>
        <v/>
      </c>
      <c r="M137" s="45">
        <f>SUMIFS(JB_26BV,JB_B,4,JB_H,"WMSL",JB_RC,"ADD")</f>
        <v/>
      </c>
      <c r="N137" s="45">
        <f>SUM(B137:M137)</f>
        <v/>
      </c>
    </row>
    <row r="138" ht="10" customHeight="1">
      <c r="A138" s="30" t="inlineStr">
        <is>
          <t>Major LC ($K)</t>
        </is>
      </c>
      <c r="B138" s="45">
        <f>SUMIFS(JB_26BV,JB_B,5,JB_H,"DDG",JB_RC,"ADD")</f>
        <v/>
      </c>
      <c r="C138" s="31">
        <f>SUMIFS(JB_26BV,JB_B,5,JB_H,"LCS",JB_RC,"ADD")</f>
        <v/>
      </c>
      <c r="D138" s="31">
        <f>SUMIFS(JB_26BV,JB_B,5,JB_H,"LHD",JB_RC,"ADD")</f>
        <v/>
      </c>
      <c r="E138" s="31">
        <f>SUMIFS(JB_26BV,JB_B,5,JB_H,"LPD",JB_RC,"ADD")</f>
        <v/>
      </c>
      <c r="F138" s="31">
        <f>SUMIFS(JB_26BV,JB_B,5,JB_H,"CG",JB_RC,"ADD")</f>
        <v/>
      </c>
      <c r="G138" s="31">
        <f>SUMIFS(JB_26BV,JB_B,5,JB_H,"LSD",JB_RC,"ADD")</f>
        <v/>
      </c>
      <c r="H138" s="31">
        <f>SUMIFS(JB_26BV,JB_B,5,JB_H,"LHA",JB_RC,"ADD")</f>
        <v/>
      </c>
      <c r="I138" s="31">
        <f>SUMIFS(JB_26BV,JB_B,5,JB_H,"LCC",JB_RC,"ADD")</f>
        <v/>
      </c>
      <c r="J138" s="31">
        <f>SUMIFS(JB_26BV,JB_B,5,JB_H,"T-AGOS",JB_RC,"ADD")</f>
        <v/>
      </c>
      <c r="K138" s="31">
        <f>SUMIFS(JB_26BV,JB_B,5,JB_H,"MCM",JB_RC,"ADD")</f>
        <v/>
      </c>
      <c r="L138" s="31">
        <f>SUMIFS(JB_26BV,JB_B,5,JB_H,"ESB",JB_RC,"ADD")</f>
        <v/>
      </c>
      <c r="M138" s="45">
        <f>SUMIFS(JB_26BV,JB_B,5,JB_H,"WMSL",JB_RC,"ADD")</f>
        <v/>
      </c>
      <c r="N138" s="45">
        <f>SUM(B138:M138)</f>
        <v/>
      </c>
    </row>
    <row r="139" ht="10" customHeight="1">
      <c r="A139" s="32" t="inlineStr">
        <is>
          <t>MRO SAM (contract-addressable)</t>
        </is>
      </c>
      <c r="B139" s="44">
        <f>SUM(B135:B138)</f>
        <v/>
      </c>
      <c r="C139" s="33">
        <f>SUM(C135:C138)</f>
        <v/>
      </c>
      <c r="D139" s="33">
        <f>SUM(D135:D138)</f>
        <v/>
      </c>
      <c r="E139" s="33">
        <f>SUM(E135:E138)</f>
        <v/>
      </c>
      <c r="F139" s="33">
        <f>SUM(F135:F138)</f>
        <v/>
      </c>
      <c r="G139" s="33">
        <f>SUM(G135:G138)</f>
        <v/>
      </c>
      <c r="H139" s="33">
        <f>SUM(H135:H138)</f>
        <v/>
      </c>
      <c r="I139" s="33">
        <f>SUM(I135:I138)</f>
        <v/>
      </c>
      <c r="J139" s="33">
        <f>SUM(J135:J138)</f>
        <v/>
      </c>
      <c r="K139" s="33">
        <f>SUM(K135:K138)</f>
        <v/>
      </c>
      <c r="L139" s="33">
        <f>SUM(L135:L138)</f>
        <v/>
      </c>
      <c r="M139" s="44">
        <f>SUM(M135:M138)</f>
        <v/>
      </c>
      <c r="N139" s="44">
        <f>SUM(N135:N138)</f>
        <v/>
      </c>
    </row>
  </sheetData>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tabColor rgb="00548235"/>
    <outlinePr summaryBelow="1" summaryRight="1"/>
    <pageSetUpPr/>
  </sheetPr>
  <dimension ref="A1:F1"/>
  <sheetViews>
    <sheetView showGridLines="0" workbookViewId="0">
      <selection activeCell="A1" sqref="A1"/>
    </sheetView>
  </sheetViews>
  <sheetFormatPr baseColWidth="8" defaultRowHeight="15"/>
  <sheetData>
    <row r="1" ht="10" customHeight="1">
      <c r="A1" s="24" t="inlineStr">
        <is>
          <t>FY2027</t>
        </is>
      </c>
      <c r="B1" s="25" t="n"/>
      <c r="C1" s="25" t="n"/>
      <c r="D1" s="25" t="n"/>
      <c r="E1" s="25" t="n"/>
      <c r="F1" s="25" t="n"/>
    </row>
  </sheetData>
  <pageMargins left="0.75" right="0.75" top="1" bottom="1" header="0.5" footer="0.5"/>
</worksheet>
</file>

<file path=xl/worksheets/sheet9.xml><?xml version="1.0" encoding="utf-8"?>
<worksheet xmlns="http://schemas.openxmlformats.org/spreadsheetml/2006/main">
  <sheetPr>
    <tabColor rgb="00548235"/>
    <outlinePr summaryBelow="1" summaryRight="1"/>
    <pageSetUpPr/>
  </sheetPr>
  <dimension ref="A1:C43"/>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24" t="inlineStr">
        <is>
          <t>Total Funding</t>
        </is>
      </c>
      <c r="B1" s="25" t="n"/>
      <c r="C1" s="25" t="n"/>
    </row>
    <row r="2" ht="10" customHeight="1">
      <c r="A2" s="26" t="inlineStr">
        <is>
          <t>All USN, MSC &amp; USCG budget authority for any type of work on any type of vessel — from new construction through depot maintenance, modernization, sustainment, and end-of-life. Includes line items that lack vessel type or work type attribution. FY2027 budget request — detailed justification books not yet released, program-level visibility only. ($K)</t>
        </is>
      </c>
    </row>
    <row r="3" ht="10" customHeight="1"/>
    <row r="4" ht="10" customHeight="1">
      <c r="A4" s="27" t="inlineStr">
        <is>
          <t>(A) FY2027 Total Funding by Work Type</t>
        </is>
      </c>
      <c r="B4" s="28" t="n"/>
    </row>
    <row r="5" ht="10" customHeight="1">
      <c r="A5" s="29" t="inlineStr">
        <is>
          <t>Work Type</t>
        </is>
      </c>
      <c r="B5" s="29" t="inlineStr">
        <is>
          <t>FY2027 ($K)</t>
        </is>
      </c>
    </row>
    <row r="6" ht="10" customHeight="1">
      <c r="A6" s="30" t="inlineStr">
        <is>
          <t>New Construction</t>
        </is>
      </c>
      <c r="B6" s="31">
        <f>SUMIFS(JB_27BV,JB_B,1,JB_RC,"ADD")</f>
        <v/>
      </c>
    </row>
    <row r="7" ht="10" customHeight="1">
      <c r="A7" s="30" t="inlineStr">
        <is>
          <t>Scheduled Depot Maintenance &amp; Repair</t>
        </is>
      </c>
      <c r="B7" s="31">
        <f>SUMIFS(JB_27BV,JB_B,2,JB_RC,"ADD")</f>
        <v/>
      </c>
    </row>
    <row r="8" ht="10" customHeight="1">
      <c r="A8" s="30" t="inlineStr">
        <is>
          <t>Continuous / Intermediate / Emergent Maintenance</t>
        </is>
      </c>
      <c r="B8" s="31">
        <f>SUMIFS(JB_27BV,JB_B,3,JB_RC,"ADD")</f>
        <v/>
      </c>
    </row>
    <row r="9" ht="10" customHeight="1">
      <c r="A9" s="30" t="inlineStr">
        <is>
          <t>Modernization &amp; Alteration Installation</t>
        </is>
      </c>
      <c r="B9" s="31">
        <f>SUMIFS(JB_27BV,JB_B,4,JB_RC,"ADD")</f>
        <v/>
      </c>
    </row>
    <row r="10" ht="10" customHeight="1">
      <c r="A10" s="30" t="inlineStr">
        <is>
          <t>Major Life-Cycle Events / SLEP / MMA / RCOH</t>
        </is>
      </c>
      <c r="B10" s="31">
        <f>SUMIFS(JB_27BV,JB_B,5,JB_RC,"ADD")</f>
        <v/>
      </c>
    </row>
    <row r="11" ht="10" customHeight="1">
      <c r="A11" s="30" t="inlineStr">
        <is>
          <t>Sustainment Engineering / Planning / Obsolescence Support</t>
        </is>
      </c>
      <c r="B11" s="31">
        <f>SUMIFS(JB_27BV,JB_B,6,JB_RC,"ADD")</f>
        <v/>
      </c>
    </row>
    <row r="12" ht="10" customHeight="1">
      <c r="A12" s="30" t="inlineStr">
        <is>
          <t>Availability Support / Husbanding / Port Services</t>
        </is>
      </c>
      <c r="B12" s="31">
        <f>SUMIFS(JB_27BV,JB_B,7,JB_RC,"ADD")</f>
        <v/>
      </c>
    </row>
    <row r="13" ht="10" customHeight="1">
      <c r="A13" s="32" t="inlineStr">
        <is>
          <t>Total</t>
        </is>
      </c>
      <c r="B13" s="33">
        <f>SUM(B6:B12)</f>
        <v/>
      </c>
    </row>
    <row r="14" ht="10" customHeight="1"/>
    <row r="15" ht="10" customHeight="1"/>
    <row r="16" ht="10" customHeight="1">
      <c r="A16" s="27" t="inlineStr">
        <is>
          <t>(B) FY2027 Total Funding by Vessel Category</t>
        </is>
      </c>
      <c r="B16" s="28" t="n"/>
      <c r="C16" s="28" t="n"/>
    </row>
    <row r="17" ht="10" customHeight="1">
      <c r="A17" s="29" t="inlineStr">
        <is>
          <t>Category</t>
        </is>
      </c>
      <c r="B17" s="29" t="inlineStr">
        <is>
          <t>FY2027 ($K)</t>
        </is>
      </c>
      <c r="C17" s="29" t="inlineStr">
        <is>
          <t>TAM Scope</t>
        </is>
      </c>
    </row>
    <row r="18" ht="10" customHeight="1">
      <c r="A18" s="30" t="inlineStr">
        <is>
          <t>Combatant Ships</t>
        </is>
      </c>
      <c r="B18" s="31">
        <f>SUMIFS(JB_27BV,JB_V,"Combatant Ships",JB_RC,"ADD")</f>
        <v/>
      </c>
      <c r="C18" s="26" t="inlineStr">
        <is>
          <t>YES → TAM</t>
        </is>
      </c>
    </row>
    <row r="19" ht="10" customHeight="1">
      <c r="A19" s="30" t="inlineStr">
        <is>
          <t>Auxiliary Ships</t>
        </is>
      </c>
      <c r="B19" s="31">
        <f>SUMIFS(JB_27BV,JB_V,"Auxiliary Ships",JB_RC,"ADD")</f>
        <v/>
      </c>
      <c r="C19" s="26" t="inlineStr">
        <is>
          <t>YES → TAM</t>
        </is>
      </c>
    </row>
    <row r="20" ht="10" customHeight="1">
      <c r="A20" s="30" t="inlineStr">
        <is>
          <t>Cutters</t>
        </is>
      </c>
      <c r="B20" s="31">
        <f>SUMIFS(JB_27BV,JB_V,"Cutters",JB_RC,"ADD")</f>
        <v/>
      </c>
      <c r="C20" s="26" t="inlineStr">
        <is>
          <t>YES → TAM</t>
        </is>
      </c>
    </row>
    <row r="21" ht="10" customHeight="1">
      <c r="A21" s="30" t="inlineStr">
        <is>
          <t>Unmanned Maritime Platforms</t>
        </is>
      </c>
      <c r="B21" s="31">
        <f>SUMIFS(JB_27BV,JB_V,"Unmanned Maritime Platforms",JB_RC,"ADD")</f>
        <v/>
      </c>
      <c r="C21" s="26" t="inlineStr">
        <is>
          <t>YES → TAM</t>
        </is>
      </c>
    </row>
    <row r="22" ht="10" customHeight="1">
      <c r="A22" s="30" t="inlineStr">
        <is>
          <t>Combatant Crafts</t>
        </is>
      </c>
      <c r="B22" s="31">
        <f>SUMIFS(JB_27BV,JB_V,"Combatant Crafts",JB_RC,"ADD")</f>
        <v/>
      </c>
      <c r="C22" s="26" t="inlineStr">
        <is>
          <t>No — small craft</t>
        </is>
      </c>
    </row>
    <row r="23" ht="10" customHeight="1">
      <c r="A23" s="30" t="inlineStr">
        <is>
          <t>Support Crafts</t>
        </is>
      </c>
      <c r="B23" s="31">
        <f>SUMIFS(JB_27BV,JB_V,"Support Crafts",JB_RC,"ADD")</f>
        <v/>
      </c>
      <c r="C23" s="26" t="inlineStr">
        <is>
          <t>No — non-oceangoing</t>
        </is>
      </c>
    </row>
    <row r="24" ht="10" customHeight="1">
      <c r="A24" s="30" t="inlineStr">
        <is>
          <t>Boats</t>
        </is>
      </c>
      <c r="B24" s="31">
        <f>SUMIFS(JB_27BV,JB_V,"Boats",JB_RC,"ADD")</f>
        <v/>
      </c>
      <c r="C24" s="26" t="inlineStr">
        <is>
          <t>No — under 65 ft</t>
        </is>
      </c>
    </row>
    <row r="25" ht="10" customHeight="1">
      <c r="A25" s="30" t="inlineStr">
        <is>
          <t>Unattributed (fleet-wide)</t>
        </is>
      </c>
      <c r="B25" s="31">
        <f>SUMIFS(JB_27BV,JB_V,"",JB_RC,"ADD")</f>
        <v/>
      </c>
      <c r="C25" s="26" t="inlineStr">
        <is>
          <t>No — not vessel-specific</t>
        </is>
      </c>
    </row>
    <row r="26" ht="10" customHeight="1">
      <c r="A26" s="32" t="inlineStr">
        <is>
          <t>Total</t>
        </is>
      </c>
      <c r="B26" s="33">
        <f>SUM(B18:B25)</f>
        <v/>
      </c>
      <c r="C26" s="34" t="n"/>
    </row>
    <row r="27" ht="10" customHeight="1">
      <c r="A27" s="35" t="inlineStr">
        <is>
          <t>TAM-eligible</t>
        </is>
      </c>
      <c r="B27" s="36">
        <f>B18+B19+B20+B21</f>
        <v/>
      </c>
    </row>
    <row r="28" ht="10" customHeight="1"/>
    <row r="29" ht="10" customHeight="1"/>
    <row r="30" ht="10" customHeight="1">
      <c r="A30" s="27" t="inlineStr">
        <is>
          <t>(C) FY2027 Total Funding by Source Book</t>
        </is>
      </c>
      <c r="B30" s="28" t="n"/>
    </row>
    <row r="31" ht="10" customHeight="1">
      <c r="A31" s="29" t="inlineStr">
        <is>
          <t>Source Book</t>
        </is>
      </c>
      <c r="B31" s="29" t="inlineStr">
        <is>
          <t>FY2027 ($K)</t>
        </is>
      </c>
    </row>
    <row r="32" ht="10" customHeight="1">
      <c r="A32" s="30" t="inlineStr">
        <is>
          <t>SCN</t>
        </is>
      </c>
      <c r="B32" s="31">
        <f>SUMIFS(JB_27BV,JB_A,"SCN",JB_RC,"ADD")</f>
        <v/>
      </c>
    </row>
    <row r="33" ht="10" customHeight="1">
      <c r="A33" s="30" t="inlineStr">
        <is>
          <t>WPN</t>
        </is>
      </c>
      <c r="B33" s="31">
        <f>SUMIFS(JB_27BV,JB_A,"WPN",JB_RC,"ADD")</f>
        <v/>
      </c>
    </row>
    <row r="34" ht="10" customHeight="1">
      <c r="A34" s="30" t="inlineStr">
        <is>
          <t>OPN_BA1</t>
        </is>
      </c>
      <c r="B34" s="31">
        <f>SUMIFS(JB_27BV,JB_A,"OPN_BA1",JB_RC,"ADD")</f>
        <v/>
      </c>
    </row>
    <row r="35" ht="10" customHeight="1">
      <c r="A35" s="30" t="inlineStr">
        <is>
          <t>OPN_BA2</t>
        </is>
      </c>
      <c r="B35" s="31">
        <f>SUMIFS(JB_27BV,JB_A,"OPN_BA2",JB_RC,"ADD")</f>
        <v/>
      </c>
    </row>
    <row r="36" ht="10" customHeight="1">
      <c r="A36" s="30" t="inlineStr">
        <is>
          <t>OPN_BA4</t>
        </is>
      </c>
      <c r="B36" s="31">
        <f>SUMIFS(JB_27BV,JB_A,"OPN_BA4",JB_RC,"ADD")</f>
        <v/>
      </c>
    </row>
    <row r="37" ht="10" customHeight="1">
      <c r="A37" s="30" t="inlineStr">
        <is>
          <t>OPN_BA3</t>
        </is>
      </c>
      <c r="B37" s="31">
        <f>SUMIFS(JB_27BV,JB_A,"OPN_BA3",JB_RC,"ADD")</f>
        <v/>
      </c>
    </row>
    <row r="38" ht="10" customHeight="1">
      <c r="A38" s="30" t="inlineStr">
        <is>
          <t>OPN_BA5-8</t>
        </is>
      </c>
      <c r="B38" s="31">
        <f>SUMIFS(JB_27BV,JB_A,"OPN_BA5-8",JB_RC,"ADD")</f>
        <v/>
      </c>
    </row>
    <row r="39" ht="10" customHeight="1">
      <c r="A39" s="30" t="inlineStr">
        <is>
          <t>NWCF</t>
        </is>
      </c>
      <c r="B39" s="31">
        <f>SUMIFS(JB_27BV,JB_A,"NWCF",JB_RC,"ADD")</f>
        <v/>
      </c>
    </row>
    <row r="40" ht="10" customHeight="1">
      <c r="A40" s="30" t="inlineStr">
        <is>
          <t>OMN</t>
        </is>
      </c>
      <c r="B40" s="31">
        <f>SUMIFS(JB_27BV,JB_A,"OMN",JB_RC,"ADD")</f>
        <v/>
      </c>
    </row>
    <row r="41" ht="10" customHeight="1">
      <c r="A41" s="30" t="inlineStr">
        <is>
          <t>OMN_Vol2</t>
        </is>
      </c>
      <c r="B41" s="31">
        <f>SUMIFS(JB_27BV,JB_A,"OMN_Vol2",JB_RC,"ADD")</f>
        <v/>
      </c>
    </row>
    <row r="42" ht="10" customHeight="1">
      <c r="A42" s="30" t="inlineStr">
        <is>
          <t>USCG</t>
        </is>
      </c>
      <c r="B42" s="31">
        <f>SUMIFS(JB_27BV,JB_A,"USCG",JB_RC,"ADD")</f>
        <v/>
      </c>
    </row>
    <row r="43" ht="10" customHeight="1">
      <c r="A43" s="32" t="inlineStr">
        <is>
          <t>Total</t>
        </is>
      </c>
      <c r="B43" s="33">
        <f>SUM(B32:B42)</f>
        <v/>
      </c>
    </row>
  </sheetData>
  <pageMargins left="0.75" right="0.75" top="1" bottom="1" header="0.5" footer="0.5"/>
</worksheet>
</file>

<file path=xl/worksheets/sheet10.xml><?xml version="1.0" encoding="utf-8"?>
<worksheet xmlns="http://schemas.openxmlformats.org/spreadsheetml/2006/main">
  <sheetPr>
    <tabColor rgb="00548235"/>
    <outlinePr summaryBelow="1" summaryRight="1"/>
    <pageSetUpPr/>
  </sheetPr>
  <dimension ref="A1:R85"/>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s>
  <sheetData>
    <row r="1" ht="10" customHeight="1">
      <c r="A1" s="24" t="inlineStr">
        <is>
          <t>Newbuild TAM — FY2027 ($K)</t>
        </is>
      </c>
      <c r="B1" s="25" t="n"/>
      <c r="C1" s="25" t="n"/>
      <c r="D1" s="25" t="n"/>
      <c r="E1" s="25" t="n"/>
      <c r="F1" s="25" t="n"/>
      <c r="G1" s="25" t="n"/>
      <c r="H1" s="25" t="n"/>
      <c r="I1" s="25" t="n"/>
      <c r="J1" s="25" t="n"/>
      <c r="K1" s="25" t="n"/>
      <c r="L1" s="25" t="n"/>
      <c r="M1" s="25" t="n"/>
      <c r="N1" s="25" t="n"/>
      <c r="O1" s="25" t="n"/>
      <c r="P1" s="25" t="n"/>
      <c r="Q1" s="25" t="n"/>
      <c r="R1" s="25" t="n"/>
    </row>
    <row r="2" ht="10" customHeight="1">
      <c r="A2" s="26" t="inlineStr">
        <is>
          <t>Total Funding narrowed to new construction only and only oceangoing vessels — excludes small craft (Combatant Crafts, Support Crafts) and USCG Boats. Limited to line items with clear vessel type designation; unattributed fleet-wide items are excluded.</t>
        </is>
      </c>
    </row>
    <row r="3" ht="10" customHeight="1"/>
    <row r="4" ht="10" customHeight="1">
      <c r="A4" s="27" t="inlineStr">
        <is>
          <t>(A) Bridge: Total NC Funding → Newbuild TAM</t>
        </is>
      </c>
      <c r="B4" s="28" t="n"/>
    </row>
    <row r="5" ht="10" customHeight="1">
      <c r="A5" s="30" t="inlineStr">
        <is>
          <t>Total New Construction Funding</t>
        </is>
      </c>
      <c r="B5" s="31">
        <f>SUMIFS(JB_27BV,JB_B,1,JB_RC,"ADD")</f>
        <v/>
      </c>
    </row>
    <row r="6" ht="10" customHeight="1">
      <c r="A6" s="30" t="inlineStr">
        <is>
          <t xml:space="preserve">  Less: Unattributed (fleet-wide NC items)</t>
        </is>
      </c>
      <c r="B6" s="31">
        <f>-SUMIFS(JB_27BV,JB_B,1,JB_V,"",JB_RC,"ADD")</f>
        <v/>
      </c>
    </row>
    <row r="7" ht="10" customHeight="1">
      <c r="A7" s="30" t="inlineStr">
        <is>
          <t xml:space="preserve">  Less: Combatant Crafts</t>
        </is>
      </c>
      <c r="B7" s="31">
        <f>-SUMIFS(JB_27BV,JB_B,1,JB_V,"Combatant Crafts",JB_RC,"ADD")</f>
        <v/>
      </c>
    </row>
    <row r="8" ht="10" customHeight="1">
      <c r="A8" s="30" t="inlineStr">
        <is>
          <t xml:space="preserve">  Less: Support Crafts</t>
        </is>
      </c>
      <c r="B8" s="31">
        <f>-SUMIFS(JB_27BV,JB_B,1,JB_V,"Support Crafts",JB_RC,"ADD")</f>
        <v/>
      </c>
    </row>
    <row r="9" ht="10" customHeight="1">
      <c r="A9" s="30" t="inlineStr">
        <is>
          <t xml:space="preserve">  Less: Boats</t>
        </is>
      </c>
      <c r="B9" s="31">
        <f>-SUMIFS(JB_27BV,JB_B,1,JB_V,"Boats",JB_RC,"ADD")</f>
        <v/>
      </c>
    </row>
    <row r="10" ht="10" customHeight="1">
      <c r="A10" s="30" t="inlineStr">
        <is>
          <t xml:space="preserve">  Less: No vessel type designation</t>
        </is>
      </c>
      <c r="B10" s="31">
        <f>-(SUMIFS(JB_27BV,JB_B,1,JB_V,"Auxiliary Ships",JB_W,"",JB_RC,"ADD")+SUMIFS(JB_27BV,JB_B,1,JB_V,"Combatant Ships",JB_W,"",JB_RC,"ADD")+SUMIFS(JB_27BV,JB_B,1,JB_V,"Cutters",JB_W,"",JB_RC,"ADD")+SUMIFS(JB_27BV,JB_B,1,JB_V,"Unmanned Maritime Platforms",JB_W,"",JB_RC,"ADD"))</f>
        <v/>
      </c>
    </row>
    <row r="11" ht="10" customHeight="1">
      <c r="A11" s="32" t="inlineStr">
        <is>
          <t>Newbuild TAM</t>
        </is>
      </c>
      <c r="B11" s="33">
        <f>SUM(B5:B10)</f>
        <v/>
      </c>
    </row>
    <row r="12" ht="10" customHeight="1"/>
    <row r="13" ht="10" customHeight="1"/>
    <row r="14" ht="10" customHeight="1">
      <c r="A14" s="27" t="inlineStr">
        <is>
          <t>(B) Newbuild TAM by Vessel Type</t>
        </is>
      </c>
      <c r="B14" s="28" t="n"/>
      <c r="C14" s="28" t="n"/>
      <c r="D14" s="28" t="n"/>
    </row>
    <row r="15" ht="10" customHeight="1">
      <c r="A15" s="29" t="inlineStr">
        <is>
          <t>Vessel Type</t>
        </is>
      </c>
      <c r="B15" s="29" t="inlineStr">
        <is>
          <t>Service</t>
        </is>
      </c>
      <c r="C15" s="29" t="inlineStr">
        <is>
          <t>FY2027 ($K)</t>
        </is>
      </c>
      <c r="D15" s="29" t="inlineStr">
        <is>
          <t>% of TAM</t>
        </is>
      </c>
    </row>
    <row r="16" ht="10" customHeight="1">
      <c r="A16" s="30" t="inlineStr">
        <is>
          <t>Submarines</t>
        </is>
      </c>
      <c r="B16" s="30" t="inlineStr">
        <is>
          <t>USN</t>
        </is>
      </c>
      <c r="C16" s="31">
        <f>SUMIFS(JB_27BV,JB_B,1,JB_W,"Submarines",JB_RC,"ADD")</f>
        <v/>
      </c>
      <c r="D16" s="37">
        <f>IFERROR(C16/C$44,0)</f>
        <v/>
      </c>
    </row>
    <row r="17" ht="10" customHeight="1">
      <c r="A17" s="30" t="inlineStr">
        <is>
          <t>Amphibious Warfare Ships</t>
        </is>
      </c>
      <c r="B17" s="30" t="inlineStr">
        <is>
          <t>USN</t>
        </is>
      </c>
      <c r="C17" s="31">
        <f>SUMIFS(JB_27BV,JB_B,1,JB_W,"Amphibious Warfare Ships",JB_RC,"ADD")</f>
        <v/>
      </c>
      <c r="D17" s="37">
        <f>IFERROR(C17/C$44,0)</f>
        <v/>
      </c>
    </row>
    <row r="18" ht="10" customHeight="1">
      <c r="A18" s="30" t="inlineStr">
        <is>
          <t>Surface Combatants</t>
        </is>
      </c>
      <c r="B18" s="30" t="inlineStr">
        <is>
          <t>USN</t>
        </is>
      </c>
      <c r="C18" s="31">
        <f>SUMIFS(JB_27BV,JB_B,1,JB_W,"Surface Combatants",JB_RC,"ADD")</f>
        <v/>
      </c>
      <c r="D18" s="37">
        <f>IFERROR(C18/C$44,0)</f>
        <v/>
      </c>
    </row>
    <row r="19" ht="10" customHeight="1">
      <c r="A19" s="30" t="inlineStr">
        <is>
          <t>Material Support Ships</t>
        </is>
      </c>
      <c r="B19" s="30" t="inlineStr">
        <is>
          <t>USN</t>
        </is>
      </c>
      <c r="C19" s="31">
        <f>SUMIFS(JB_27BV,JB_B,1,JB_W,"Material Support Ships",JB_RC,"ADD")</f>
        <v/>
      </c>
      <c r="D19" s="37">
        <f>IFERROR(C19/C$44,0)</f>
        <v/>
      </c>
    </row>
    <row r="20" ht="10" customHeight="1">
      <c r="A20" s="30" t="inlineStr">
        <is>
          <t>Aircraft Carriers</t>
        </is>
      </c>
      <c r="B20" s="30" t="inlineStr">
        <is>
          <t>USN</t>
        </is>
      </c>
      <c r="C20" s="31">
        <f>SUMIFS(JB_27BV,JB_B,1,JB_W,"Aircraft Carriers",JB_RC,"ADD")</f>
        <v/>
      </c>
      <c r="D20" s="37">
        <f>IFERROR(C20/C$44,0)</f>
        <v/>
      </c>
    </row>
    <row r="21" ht="10" customHeight="1">
      <c r="A21" s="30" t="inlineStr">
        <is>
          <t>Combat Logistics Ships</t>
        </is>
      </c>
      <c r="B21" s="30" t="inlineStr">
        <is>
          <t>MSC</t>
        </is>
      </c>
      <c r="C21" s="31">
        <f>SUMIFS(JB_27BV,JB_B,1,JB_W,"Combat Logistics Ships",JB_RC,"ADD")</f>
        <v/>
      </c>
      <c r="D21" s="37">
        <f>IFERROR(C21/C$44,0)</f>
        <v/>
      </c>
    </row>
    <row r="22" ht="10" customHeight="1">
      <c r="A22" s="30" t="inlineStr">
        <is>
          <t>Expeditionary &amp; Seabasing Ships</t>
        </is>
      </c>
      <c r="B22" s="30" t="inlineStr">
        <is>
          <t>USN</t>
        </is>
      </c>
      <c r="C22" s="31">
        <f>SUMIFS(JB_27BV,JB_B,1,JB_W,"Expeditionary &amp; Seabasing Ships",JB_RC,"ADD")</f>
        <v/>
      </c>
      <c r="D22" s="37">
        <f>IFERROR(C22/C$44,0)</f>
        <v/>
      </c>
    </row>
    <row r="23" ht="10" customHeight="1">
      <c r="A23" s="30" t="inlineStr">
        <is>
          <t>Surveillance Ships</t>
        </is>
      </c>
      <c r="B23" s="30" t="inlineStr">
        <is>
          <t>USN</t>
        </is>
      </c>
      <c r="C23" s="31">
        <f>SUMIFS(JB_27BV,JB_B,1,JB_W,"Surveillance Ships",JB_RC,"ADD")</f>
        <v/>
      </c>
      <c r="D23" s="37">
        <f>IFERROR(C23/C$44,0)</f>
        <v/>
      </c>
    </row>
    <row r="24" ht="10" customHeight="1">
      <c r="A24" s="30" t="inlineStr">
        <is>
          <t>Hospital Ship</t>
        </is>
      </c>
      <c r="B24" s="30" t="inlineStr">
        <is>
          <t>MSC</t>
        </is>
      </c>
      <c r="C24" s="31">
        <f>SUMIFS(JB_27BV,JB_B,1,JB_W,"Hospital Ship",JB_RC,"ADD")</f>
        <v/>
      </c>
      <c r="D24" s="37">
        <f>IFERROR(C24/C$44,0)</f>
        <v/>
      </c>
    </row>
    <row r="25" ht="10" customHeight="1">
      <c r="A25" s="30" t="inlineStr">
        <is>
          <t>Cargo &amp; Vehicle Cargo Ships</t>
        </is>
      </c>
      <c r="B25" s="30" t="inlineStr">
        <is>
          <t>USN</t>
        </is>
      </c>
      <c r="C25" s="31">
        <f>SUMIFS(JB_27BV,JB_B,1,JB_W,"Cargo &amp; Vehicle Cargo Ships",JB_RC,"ADD")</f>
        <v/>
      </c>
      <c r="D25" s="37">
        <f>IFERROR(C25/C$44,0)</f>
        <v/>
      </c>
    </row>
    <row r="26" ht="10" customHeight="1">
      <c r="A26" s="30" t="inlineStr">
        <is>
          <t>Unmanned Undersea Vehicles</t>
        </is>
      </c>
      <c r="B26" s="30" t="inlineStr">
        <is>
          <t>USN</t>
        </is>
      </c>
      <c r="C26" s="31">
        <f>SUMIFS(JB_27BV,JB_B,1,JB_W,"Unmanned Undersea Vehicles",JB_RC,"ADD")</f>
        <v/>
      </c>
      <c r="D26" s="37">
        <f>IFERROR(C26/C$44,0)</f>
        <v/>
      </c>
    </row>
    <row r="27" ht="10" customHeight="1">
      <c r="A27" s="30" t="inlineStr">
        <is>
          <t>Unmanned Surface Vehicles</t>
        </is>
      </c>
      <c r="B27" s="30" t="inlineStr">
        <is>
          <t>USN</t>
        </is>
      </c>
      <c r="C27" s="31">
        <f>SUMIFS(JB_27BV,JB_B,1,JB_W,"Unmanned Surface Vehicles",JB_RC,"ADD")</f>
        <v/>
      </c>
      <c r="D27" s="37">
        <f>IFERROR(C27/C$44,0)</f>
        <v/>
      </c>
    </row>
    <row r="28" ht="10" customHeight="1">
      <c r="A28" s="30" t="inlineStr">
        <is>
          <t>Salvage Ships &amp; Fleet Ocean Tugs</t>
        </is>
      </c>
      <c r="B28" s="30" t="inlineStr">
        <is>
          <t>MSC</t>
        </is>
      </c>
      <c r="C28" s="31">
        <f>SUMIFS(JB_27BV,JB_B,1,JB_W,"Salvage Ships &amp; Fleet Ocean Tugs",JB_RC,"ADD")</f>
        <v/>
      </c>
      <c r="D28" s="37">
        <f>IFERROR(C28/C$44,0)</f>
        <v/>
      </c>
    </row>
    <row r="29" ht="10" customHeight="1">
      <c r="A29" s="30" t="inlineStr">
        <is>
          <t>Command Ships</t>
        </is>
      </c>
      <c r="B29" s="30" t="inlineStr">
        <is>
          <t>USN</t>
        </is>
      </c>
      <c r="C29" s="31">
        <f>SUMIFS(JB_27BV,JB_B,1,JB_W,"Command Ships",JB_RC,"ADD")</f>
        <v/>
      </c>
      <c r="D29" s="37">
        <f>IFERROR(C29/C$44,0)</f>
        <v/>
      </c>
    </row>
    <row r="30" ht="10" customHeight="1">
      <c r="A30" s="30" t="inlineStr">
        <is>
          <t>Mine Warfare</t>
        </is>
      </c>
      <c r="B30" s="30" t="inlineStr">
        <is>
          <t>USN</t>
        </is>
      </c>
      <c r="C30" s="31">
        <f>SUMIFS(JB_27BV,JB_B,1,JB_W,"Mine Warfare",JB_RC,"ADD")</f>
        <v/>
      </c>
      <c r="D30" s="37">
        <f>IFERROR(C30/C$44,0)</f>
        <v/>
      </c>
    </row>
    <row r="31" ht="10" customHeight="1">
      <c r="A31" s="30" t="inlineStr">
        <is>
          <t>Submarine Escort Ship</t>
        </is>
      </c>
      <c r="B31" s="30" t="inlineStr">
        <is>
          <t>USN</t>
        </is>
      </c>
      <c r="C31" s="31">
        <f>SUMIFS(JB_27BV,JB_B,1,JB_W,"Submarine Escort Ship",JB_RC,"ADD")</f>
        <v/>
      </c>
      <c r="D31" s="37">
        <f>IFERROR(C31/C$44,0)</f>
        <v/>
      </c>
    </row>
    <row r="32" ht="10" customHeight="1">
      <c r="A32" s="30" t="inlineStr">
        <is>
          <t>High Speed Transport</t>
        </is>
      </c>
      <c r="B32" s="30" t="inlineStr">
        <is>
          <t>USN</t>
        </is>
      </c>
      <c r="C32" s="31">
        <f>SUMIFS(JB_27BV,JB_B,1,JB_W,"High Speed Transport",JB_RC,"ADD")</f>
        <v/>
      </c>
      <c r="D32" s="37">
        <f>IFERROR(C32/C$44,0)</f>
        <v/>
      </c>
    </row>
    <row r="33" ht="10" customHeight="1">
      <c r="A33" s="30" t="inlineStr">
        <is>
          <t>General Auxiliary</t>
        </is>
      </c>
      <c r="B33" s="30" t="inlineStr">
        <is>
          <t>USN</t>
        </is>
      </c>
      <c r="C33" s="31">
        <f>SUMIFS(JB_27BV,JB_B,1,JB_W,"General Auxiliary",JB_RC,"ADD")</f>
        <v/>
      </c>
      <c r="D33" s="37">
        <f>IFERROR(C33/C$44,0)</f>
        <v/>
      </c>
    </row>
    <row r="34" ht="10" customHeight="1">
      <c r="A34" s="30" t="inlineStr">
        <is>
          <t>Crane Ship</t>
        </is>
      </c>
      <c r="B34" s="30" t="inlineStr">
        <is>
          <t>USN</t>
        </is>
      </c>
      <c r="C34" s="31">
        <f>SUMIFS(JB_27BV,JB_B,1,JB_W,"Crane Ship",JB_RC,"ADD")</f>
        <v/>
      </c>
      <c r="D34" s="37">
        <f>IFERROR(C34/C$44,0)</f>
        <v/>
      </c>
    </row>
    <row r="35" ht="10" customHeight="1">
      <c r="A35" s="30" t="inlineStr">
        <is>
          <t>Aviation Logistics Support Ship</t>
        </is>
      </c>
      <c r="B35" s="30" t="inlineStr">
        <is>
          <t>USN</t>
        </is>
      </c>
      <c r="C35" s="31">
        <f>SUMIFS(JB_27BV,JB_B,1,JB_W,"Aviation Logistics Support Ship",JB_RC,"ADD")</f>
        <v/>
      </c>
      <c r="D35" s="37">
        <f>IFERROR(C35/C$44,0)</f>
        <v/>
      </c>
    </row>
    <row r="36" ht="10" customHeight="1">
      <c r="A36" s="30" t="inlineStr">
        <is>
          <t>Research, Survey &amp; Instrumentation Ships</t>
        </is>
      </c>
      <c r="B36" s="30" t="inlineStr">
        <is>
          <t>MSC</t>
        </is>
      </c>
      <c r="C36" s="31">
        <f>SUMIFS(JB_27BV,JB_B,1,JB_W,"Research, Survey &amp; Instrumentation Ships",JB_RC,"ADD")</f>
        <v/>
      </c>
      <c r="D36" s="37">
        <f>IFERROR(C36/C$44,0)</f>
        <v/>
      </c>
    </row>
    <row r="37" ht="10" customHeight="1">
      <c r="A37" s="30" t="inlineStr">
        <is>
          <t>Fast Response Cutters</t>
        </is>
      </c>
      <c r="B37" s="30" t="inlineStr">
        <is>
          <t>USCG</t>
        </is>
      </c>
      <c r="C37" s="31">
        <f>SUMIFS(JB_27BV,JB_B,1,JB_W,"Fast Response Cutters",JB_RC,"ADD")</f>
        <v/>
      </c>
      <c r="D37" s="37">
        <f>IFERROR(C37/C$44,0)</f>
        <v/>
      </c>
    </row>
    <row r="38" ht="10" customHeight="1">
      <c r="A38" s="30" t="inlineStr">
        <is>
          <t>Coastal Buoy Tenders</t>
        </is>
      </c>
      <c r="B38" s="30" t="inlineStr">
        <is>
          <t>USCG</t>
        </is>
      </c>
      <c r="C38" s="31">
        <f>SUMIFS(JB_27BV,JB_B,1,JB_W,"Coastal Buoy Tenders",JB_RC,"ADD")</f>
        <v/>
      </c>
      <c r="D38" s="37">
        <f>IFERROR(C38/C$44,0)</f>
        <v/>
      </c>
    </row>
    <row r="39" ht="10" customHeight="1">
      <c r="A39" s="30" t="inlineStr">
        <is>
          <t>Waterways Commerce Cutters</t>
        </is>
      </c>
      <c r="B39" s="30" t="inlineStr">
        <is>
          <t>USCG</t>
        </is>
      </c>
      <c r="C39" s="31">
        <f>SUMIFS(JB_27BV,JB_B,1,JB_W,"Waterways Commerce Cutters",JB_RC,"ADD")</f>
        <v/>
      </c>
      <c r="D39" s="37">
        <f>IFERROR(C39/C$44,0)</f>
        <v/>
      </c>
    </row>
    <row r="40" ht="10" customHeight="1">
      <c r="A40" s="30" t="inlineStr">
        <is>
          <t>National Security Cutters</t>
        </is>
      </c>
      <c r="B40" s="30" t="inlineStr">
        <is>
          <t>USCG</t>
        </is>
      </c>
      <c r="C40" s="31">
        <f>SUMIFS(JB_27BV,JB_B,1,JB_W,"National Security Cutters",JB_RC,"ADD")</f>
        <v/>
      </c>
      <c r="D40" s="37">
        <f>IFERROR(C40/C$44,0)</f>
        <v/>
      </c>
    </row>
    <row r="41" ht="10" customHeight="1">
      <c r="A41" s="30" t="inlineStr">
        <is>
          <t>Icebreakers, Oceangoing</t>
        </is>
      </c>
      <c r="B41" s="30" t="inlineStr">
        <is>
          <t>USCG</t>
        </is>
      </c>
      <c r="C41" s="31">
        <f>SUMIFS(JB_27BV,JB_B,1,JB_W,"Icebreakers, Oceangoing",JB_RC,"ADD")</f>
        <v/>
      </c>
      <c r="D41" s="37">
        <f>IFERROR(C41/C$44,0)</f>
        <v/>
      </c>
    </row>
    <row r="42" ht="10" customHeight="1">
      <c r="A42" s="30" t="inlineStr">
        <is>
          <t>Icebreakers, Great Lakes</t>
        </is>
      </c>
      <c r="B42" s="30" t="inlineStr">
        <is>
          <t>USCG</t>
        </is>
      </c>
      <c r="C42" s="31">
        <f>SUMIFS(JB_27BV,JB_B,1,JB_W,"Icebreakers, Great Lakes",JB_RC,"ADD")</f>
        <v/>
      </c>
      <c r="D42" s="37">
        <f>IFERROR(C42/C$44,0)</f>
        <v/>
      </c>
    </row>
    <row r="43" ht="10" customHeight="1">
      <c r="A43" s="30" t="inlineStr">
        <is>
          <t>Offshore Patrol Cutter</t>
        </is>
      </c>
      <c r="B43" s="30" t="inlineStr">
        <is>
          <t>USCG</t>
        </is>
      </c>
      <c r="C43" s="31">
        <f>SUMIFS(JB_27BV,JB_B,1,JB_W,"Offshore Patrol Cutter",JB_RC,"ADD")</f>
        <v/>
      </c>
      <c r="D43" s="37">
        <f>IFERROR(C43/C$44,0)</f>
        <v/>
      </c>
    </row>
    <row r="44" ht="10" customHeight="1">
      <c r="A44" s="32" t="inlineStr">
        <is>
          <t>Newbuild TAM</t>
        </is>
      </c>
      <c r="B44" s="32" t="inlineStr"/>
      <c r="C44" s="33">
        <f>SUM(C16:C43)</f>
        <v/>
      </c>
      <c r="D44" s="38" t="n">
        <v>1</v>
      </c>
    </row>
    <row r="45" ht="10" customHeight="1"/>
    <row r="46" ht="10" customHeight="1"/>
    <row r="47" ht="10" customHeight="1">
      <c r="A47" s="27" t="inlineStr">
        <is>
          <t>(C) Newbuild TAM by Hull Program — FY2027 ($K)</t>
        </is>
      </c>
      <c r="B47" s="28" t="n"/>
      <c r="C47" s="28" t="n"/>
      <c r="D47" s="28" t="n"/>
      <c r="E47" s="28" t="n"/>
    </row>
    <row r="48" ht="10" customHeight="1">
      <c r="A48" s="26" t="inlineStr">
        <is>
          <t>Same funding as (B) broken down to individual hull programs.</t>
        </is>
      </c>
    </row>
    <row r="49" ht="10" customHeight="1">
      <c r="A49" s="29" t="inlineStr">
        <is>
          <t>Hull Program</t>
        </is>
      </c>
      <c r="B49" s="29" t="inlineStr">
        <is>
          <t>Vessel Type</t>
        </is>
      </c>
      <c r="C49" s="29" t="inlineStr">
        <is>
          <t>Service</t>
        </is>
      </c>
      <c r="D49" s="29" t="inlineStr">
        <is>
          <t>FY2027 ($K)</t>
        </is>
      </c>
      <c r="E49" s="29" t="inlineStr">
        <is>
          <t>% of TAM</t>
        </is>
      </c>
    </row>
    <row r="50" ht="10" customHeight="1">
      <c r="A50" s="30" t="inlineStr">
        <is>
          <t>SSBN</t>
        </is>
      </c>
      <c r="B50" s="30" t="inlineStr">
        <is>
          <t>Submarines</t>
        </is>
      </c>
      <c r="C50" s="30" t="inlineStr">
        <is>
          <t>USN</t>
        </is>
      </c>
      <c r="D50" s="31">
        <f>SUMIFS(JB_27BV,JB_B,1,JB_H,"SSBN",JB_RC,"ADD")</f>
        <v/>
      </c>
      <c r="E50" s="37">
        <f>IFERROR(D50/D$65,0)</f>
        <v/>
      </c>
    </row>
    <row r="51" ht="10" customHeight="1">
      <c r="A51" s="30" t="inlineStr">
        <is>
          <t>SSN</t>
        </is>
      </c>
      <c r="B51" s="30" t="inlineStr">
        <is>
          <t>Submarines</t>
        </is>
      </c>
      <c r="C51" s="30" t="inlineStr">
        <is>
          <t>USN</t>
        </is>
      </c>
      <c r="D51" s="31">
        <f>SUMIFS(JB_27BV,JB_B,1,JB_H,"SSN",JB_RC,"ADD")</f>
        <v/>
      </c>
      <c r="E51" s="37">
        <f>IFERROR(D51/D$65,0)</f>
        <v/>
      </c>
    </row>
    <row r="52" ht="10" customHeight="1">
      <c r="A52" s="30" t="inlineStr">
        <is>
          <t>AS</t>
        </is>
      </c>
      <c r="B52" s="30" t="inlineStr">
        <is>
          <t>Material Support Ships</t>
        </is>
      </c>
      <c r="C52" s="30" t="inlineStr">
        <is>
          <t>USN</t>
        </is>
      </c>
      <c r="D52" s="31">
        <f>SUMIFS(JB_27BV,JB_B,1,JB_H,"AS",JB_RC,"ADD")</f>
        <v/>
      </c>
      <c r="E52" s="37">
        <f>IFERROR(D52/D$65,0)</f>
        <v/>
      </c>
    </row>
    <row r="53" ht="10" customHeight="1">
      <c r="A53" s="30" t="inlineStr">
        <is>
          <t>CVN</t>
        </is>
      </c>
      <c r="B53" s="30" t="inlineStr">
        <is>
          <t>Aircraft Carriers</t>
        </is>
      </c>
      <c r="C53" s="30" t="inlineStr">
        <is>
          <t>USN</t>
        </is>
      </c>
      <c r="D53" s="31">
        <f>SUMIFS(JB_27BV,JB_B,1,JB_H,"CVN",JB_RC,"ADD")</f>
        <v/>
      </c>
      <c r="E53" s="37">
        <f>IFERROR(D53/D$65,0)</f>
        <v/>
      </c>
    </row>
    <row r="54" ht="10" customHeight="1">
      <c r="A54" s="30" t="inlineStr">
        <is>
          <t>LHA</t>
        </is>
      </c>
      <c r="B54" s="30" t="inlineStr">
        <is>
          <t>Amphibious Warfare Ships</t>
        </is>
      </c>
      <c r="C54" s="30" t="inlineStr">
        <is>
          <t>USN</t>
        </is>
      </c>
      <c r="D54" s="31">
        <f>SUMIFS(JB_27BV,JB_B,1,JB_H,"LHA",JB_RC,"ADD")</f>
        <v/>
      </c>
      <c r="E54" s="37">
        <f>IFERROR(D54/D$65,0)</f>
        <v/>
      </c>
    </row>
    <row r="55" ht="10" customHeight="1">
      <c r="A55" s="30" t="inlineStr">
        <is>
          <t>DDG</t>
        </is>
      </c>
      <c r="B55" s="30" t="inlineStr">
        <is>
          <t>Surface Combatants</t>
        </is>
      </c>
      <c r="C55" s="30" t="inlineStr">
        <is>
          <t>USN</t>
        </is>
      </c>
      <c r="D55" s="31">
        <f>SUMIFS(JB_27BV,JB_B,1,JB_H,"DDG",JB_RC,"ADD")</f>
        <v/>
      </c>
      <c r="E55" s="37">
        <f>IFERROR(D55/D$65,0)</f>
        <v/>
      </c>
    </row>
    <row r="56" ht="10" customHeight="1">
      <c r="A56" s="30" t="inlineStr">
        <is>
          <t>LPD</t>
        </is>
      </c>
      <c r="B56" s="30" t="inlineStr">
        <is>
          <t>Amphibious Warfare Ships</t>
        </is>
      </c>
      <c r="C56" s="30" t="inlineStr">
        <is>
          <t>USN</t>
        </is>
      </c>
      <c r="D56" s="31">
        <f>SUMIFS(JB_27BV,JB_B,1,JB_H,"LPD",JB_RC,"ADD")</f>
        <v/>
      </c>
      <c r="E56" s="37">
        <f>IFERROR(D56/D$65,0)</f>
        <v/>
      </c>
    </row>
    <row r="57" ht="10" customHeight="1">
      <c r="A57" s="30" t="inlineStr">
        <is>
          <t>T-AO</t>
        </is>
      </c>
      <c r="B57" s="30" t="inlineStr">
        <is>
          <t>Combat Logistics Ships</t>
        </is>
      </c>
      <c r="C57" s="30" t="inlineStr">
        <is>
          <t>MSC</t>
        </is>
      </c>
      <c r="D57" s="31">
        <f>SUMIFS(JB_27BV,JB_B,1,JB_H,"T-AO",JB_RC,"ADD")</f>
        <v/>
      </c>
      <c r="E57" s="37">
        <f>IFERROR(D57/D$65,0)</f>
        <v/>
      </c>
    </row>
    <row r="58" ht="10" customHeight="1">
      <c r="A58" s="30" t="inlineStr">
        <is>
          <t>LSM</t>
        </is>
      </c>
      <c r="B58" s="30" t="inlineStr">
        <is>
          <t>Expeditionary &amp; Seabasing Ships</t>
        </is>
      </c>
      <c r="C58" s="30" t="inlineStr">
        <is>
          <t>USN</t>
        </is>
      </c>
      <c r="D58" s="31">
        <f>SUMIFS(JB_27BV,JB_B,1,JB_H,"LSM",JB_RC,"ADD")</f>
        <v/>
      </c>
      <c r="E58" s="37">
        <f>IFERROR(D58/D$65,0)</f>
        <v/>
      </c>
    </row>
    <row r="59" ht="10" customHeight="1">
      <c r="A59" s="30" t="inlineStr">
        <is>
          <t>FFG</t>
        </is>
      </c>
      <c r="B59" s="30" t="inlineStr">
        <is>
          <t>Surface Combatants</t>
        </is>
      </c>
      <c r="C59" s="30" t="inlineStr">
        <is>
          <t>USN</t>
        </is>
      </c>
      <c r="D59" s="31">
        <f>SUMIFS(JB_27BV,JB_B,1,JB_H,"FFG",JB_RC,"ADD")</f>
        <v/>
      </c>
      <c r="E59" s="37">
        <f>IFERROR(D59/D$65,0)</f>
        <v/>
      </c>
    </row>
    <row r="60" ht="10" customHeight="1">
      <c r="A60" s="30" t="inlineStr">
        <is>
          <t>T-AGOS</t>
        </is>
      </c>
      <c r="B60" s="30" t="inlineStr">
        <is>
          <t>Surveillance Ships</t>
        </is>
      </c>
      <c r="C60" s="30" t="inlineStr">
        <is>
          <t>MSC</t>
        </is>
      </c>
      <c r="D60" s="31">
        <f>SUMIFS(JB_27BV,JB_B,1,JB_H,"T-AGOS",JB_RC,"ADD")</f>
        <v/>
      </c>
      <c r="E60" s="37">
        <f>IFERROR(D60/D$65,0)</f>
        <v/>
      </c>
    </row>
    <row r="61" ht="10" customHeight="1">
      <c r="A61" s="30" t="inlineStr">
        <is>
          <t>T-AH</t>
        </is>
      </c>
      <c r="B61" s="30" t="inlineStr">
        <is>
          <t>Hospital Ship</t>
        </is>
      </c>
      <c r="C61" s="30" t="inlineStr">
        <is>
          <t>MSC</t>
        </is>
      </c>
      <c r="D61" s="31">
        <f>SUMIFS(JB_27BV,JB_B,1,JB_H,"T-AH",JB_RC,"ADD")</f>
        <v/>
      </c>
      <c r="E61" s="37">
        <f>IFERROR(D61/D$65,0)</f>
        <v/>
      </c>
    </row>
    <row r="62" ht="10" customHeight="1">
      <c r="A62" s="30" t="inlineStr">
        <is>
          <t>T-AKR</t>
        </is>
      </c>
      <c r="B62" s="30" t="inlineStr">
        <is>
          <t>Cargo &amp; Vehicle Cargo Ships</t>
        </is>
      </c>
      <c r="C62" s="30" t="inlineStr">
        <is>
          <t>MSC</t>
        </is>
      </c>
      <c r="D62" s="31">
        <f>SUMIFS(JB_27BV,JB_B,1,JB_H,"T-AKR",JB_RC,"ADD")</f>
        <v/>
      </c>
      <c r="E62" s="37">
        <f>IFERROR(D62/D$65,0)</f>
        <v/>
      </c>
    </row>
    <row r="63" ht="10" customHeight="1">
      <c r="A63" s="30" t="inlineStr">
        <is>
          <t>UUV</t>
        </is>
      </c>
      <c r="B63" s="30" t="inlineStr">
        <is>
          <t>Unmanned Undersea Vehicles</t>
        </is>
      </c>
      <c r="C63" s="30" t="inlineStr">
        <is>
          <t>USN</t>
        </is>
      </c>
      <c r="D63" s="31">
        <f>SUMIFS(JB_27BV,JB_B,1,JB_H,"UUV",JB_RC,"ADD")</f>
        <v/>
      </c>
      <c r="E63" s="37">
        <f>IFERROR(D63/D$65,0)</f>
        <v/>
      </c>
    </row>
    <row r="64" ht="10" customHeight="1">
      <c r="A64" s="30" t="inlineStr">
        <is>
          <t>MUSV</t>
        </is>
      </c>
      <c r="B64" s="30" t="inlineStr">
        <is>
          <t>Unmanned Surface Vehicles</t>
        </is>
      </c>
      <c r="C64" s="30" t="inlineStr">
        <is>
          <t>USN</t>
        </is>
      </c>
      <c r="D64" s="31">
        <f>SUMIFS(JB_27BV,JB_B,1,JB_H,"MUSV",JB_RC,"ADD")</f>
        <v/>
      </c>
      <c r="E64" s="37">
        <f>IFERROR(D64/D$65,0)</f>
        <v/>
      </c>
    </row>
    <row r="65" ht="10" customHeight="1">
      <c r="A65" s="32" t="inlineStr">
        <is>
          <t>Newbuild TAM</t>
        </is>
      </c>
      <c r="B65" s="32" t="inlineStr"/>
      <c r="C65" s="32" t="inlineStr"/>
      <c r="D65" s="33">
        <f>SUM(D50:D64)</f>
        <v/>
      </c>
      <c r="E65" s="38" t="n">
        <v>1</v>
      </c>
    </row>
    <row r="66" ht="10" customHeight="1"/>
    <row r="67" ht="10" customHeight="1"/>
    <row r="68" ht="10" customHeight="1">
      <c r="A68" s="27" t="inlineStr">
        <is>
          <t>(D) Newbuild TAM — Sub-Category Mix by Vessel Type (Mekko)</t>
        </is>
      </c>
      <c r="B68" s="28" t="n"/>
      <c r="C68" s="28" t="n"/>
      <c r="D68" s="28" t="n"/>
      <c r="E68" s="28" t="n"/>
      <c r="F68" s="28" t="n"/>
      <c r="G68" s="28" t="n"/>
      <c r="H68" s="28" t="n"/>
      <c r="I68" s="28" t="n"/>
      <c r="J68" s="28" t="n"/>
      <c r="K68" s="28" t="n"/>
      <c r="L68" s="28" t="n"/>
      <c r="M68" s="28" t="n"/>
      <c r="N68" s="28" t="n"/>
    </row>
    <row r="69" ht="10" customHeight="1">
      <c r="A69" s="39" t="n"/>
      <c r="B69" s="40" t="inlineStr">
        <is>
          <t>USN</t>
        </is>
      </c>
      <c r="C69" s="39" t="n"/>
      <c r="D69" s="39" t="n"/>
      <c r="E69" s="39" t="n"/>
      <c r="F69" s="39" t="n"/>
      <c r="G69" s="39" t="n"/>
      <c r="H69" s="39" t="n"/>
      <c r="I69" s="39" t="n"/>
      <c r="J69" s="39" t="n"/>
      <c r="K69" s="39" t="n"/>
      <c r="L69" s="39" t="n"/>
      <c r="M69" s="39" t="n"/>
      <c r="N69" s="41" t="n"/>
    </row>
    <row r="70" ht="10" customHeight="1">
      <c r="A70" s="29" t="inlineStr">
        <is>
          <t>Sub-Category</t>
        </is>
      </c>
      <c r="B70" s="42" t="inlineStr">
        <is>
          <t>Submarines</t>
        </is>
      </c>
      <c r="C70" s="29" t="inlineStr">
        <is>
          <t>Amphibious Warfare Ships</t>
        </is>
      </c>
      <c r="D70" s="29" t="inlineStr">
        <is>
          <t>Surface Combatants</t>
        </is>
      </c>
      <c r="E70" s="29" t="inlineStr">
        <is>
          <t>Material Support Ships</t>
        </is>
      </c>
      <c r="F70" s="29" t="inlineStr">
        <is>
          <t>Aircraft Carriers</t>
        </is>
      </c>
      <c r="G70" s="29" t="inlineStr">
        <is>
          <t>Combat Logistics Ships</t>
        </is>
      </c>
      <c r="H70" s="29" t="inlineStr">
        <is>
          <t>Expeditionary &amp; Seabasing Ships</t>
        </is>
      </c>
      <c r="I70" s="29" t="inlineStr">
        <is>
          <t>Surveillance Ships</t>
        </is>
      </c>
      <c r="J70" s="29" t="inlineStr">
        <is>
          <t>Hospital Ship</t>
        </is>
      </c>
      <c r="K70" s="29" t="inlineStr">
        <is>
          <t>Cargo &amp; Vehicle Cargo Ships</t>
        </is>
      </c>
      <c r="L70" s="29" t="inlineStr">
        <is>
          <t>Unmanned Undersea Vehicles</t>
        </is>
      </c>
      <c r="M70" s="29" t="inlineStr">
        <is>
          <t>Unmanned Surface Vehicles</t>
        </is>
      </c>
      <c r="N70" s="42" t="inlineStr">
        <is>
          <t>Total</t>
        </is>
      </c>
    </row>
    <row r="71" ht="10" customHeight="1">
      <c r="A71" s="30" t="inlineStr">
        <is>
          <t>Full Ship DD&amp;C</t>
        </is>
      </c>
      <c r="B71" s="43">
        <f>IFERROR((SUMIFS(JB_27BV,JB_B,1,JB_W,"Submarines",JB_F,"Full ship DD&amp;C",JB_RC,"ADD")+SUMIFS(JB_27BV,JB_B,1,JB_W,"Submarines",JB_F,"Full ship DD&amp;C / LLTM",JB_RC,"ADD")+SUMIFS(JB_27BV,JB_B,1,JB_W,"Submarines",JB_F,"Full vessel procurement",JB_RC,"ADD"))/B$75,0)</f>
        <v/>
      </c>
      <c r="C71" s="37">
        <f>IFERROR((SUMIFS(JB_27BV,JB_B,1,JB_W,"Amphibious Warfare Ships",JB_F,"Full ship DD&amp;C",JB_RC,"ADD")+SUMIFS(JB_27BV,JB_B,1,JB_W,"Amphibious Warfare Ships",JB_F,"Full ship DD&amp;C / LLTM",JB_RC,"ADD")+SUMIFS(JB_27BV,JB_B,1,JB_W,"Amphibious Warfare Ships",JB_F,"Full vessel procurement",JB_RC,"ADD"))/C$75,0)</f>
        <v/>
      </c>
      <c r="D71" s="37">
        <f>IFERROR((SUMIFS(JB_27BV,JB_B,1,JB_W,"Surface Combatants",JB_F,"Full ship DD&amp;C",JB_RC,"ADD")+SUMIFS(JB_27BV,JB_B,1,JB_W,"Surface Combatants",JB_F,"Full ship DD&amp;C / LLTM",JB_RC,"ADD")+SUMIFS(JB_27BV,JB_B,1,JB_W,"Surface Combatants",JB_F,"Full vessel procurement",JB_RC,"ADD"))/D$75,0)</f>
        <v/>
      </c>
      <c r="E71" s="37">
        <f>IFERROR((SUMIFS(JB_27BV,JB_B,1,JB_W,"Material Support Ships",JB_F,"Full ship DD&amp;C",JB_RC,"ADD")+SUMIFS(JB_27BV,JB_B,1,JB_W,"Material Support Ships",JB_F,"Full ship DD&amp;C / LLTM",JB_RC,"ADD")+SUMIFS(JB_27BV,JB_B,1,JB_W,"Material Support Ships",JB_F,"Full vessel procurement",JB_RC,"ADD"))/E$75,0)</f>
        <v/>
      </c>
      <c r="F71" s="37">
        <f>IFERROR((SUMIFS(JB_27BV,JB_B,1,JB_W,"Aircraft Carriers",JB_F,"Full ship DD&amp;C",JB_RC,"ADD")+SUMIFS(JB_27BV,JB_B,1,JB_W,"Aircraft Carriers",JB_F,"Full ship DD&amp;C / LLTM",JB_RC,"ADD")+SUMIFS(JB_27BV,JB_B,1,JB_W,"Aircraft Carriers",JB_F,"Full vessel procurement",JB_RC,"ADD"))/F$75,0)</f>
        <v/>
      </c>
      <c r="G71" s="37">
        <f>IFERROR((SUMIFS(JB_27BV,JB_B,1,JB_W,"Combat Logistics Ships",JB_F,"Full ship DD&amp;C",JB_RC,"ADD")+SUMIFS(JB_27BV,JB_B,1,JB_W,"Combat Logistics Ships",JB_F,"Full ship DD&amp;C / LLTM",JB_RC,"ADD")+SUMIFS(JB_27BV,JB_B,1,JB_W,"Combat Logistics Ships",JB_F,"Full vessel procurement",JB_RC,"ADD"))/G$75,0)</f>
        <v/>
      </c>
      <c r="H71" s="37">
        <f>IFERROR((SUMIFS(JB_27BV,JB_B,1,JB_W,"Expeditionary &amp; Seabasing Ships",JB_F,"Full ship DD&amp;C",JB_RC,"ADD")+SUMIFS(JB_27BV,JB_B,1,JB_W,"Expeditionary &amp; Seabasing Ships",JB_F,"Full ship DD&amp;C / LLTM",JB_RC,"ADD")+SUMIFS(JB_27BV,JB_B,1,JB_W,"Expeditionary &amp; Seabasing Ships",JB_F,"Full vessel procurement",JB_RC,"ADD"))/H$75,0)</f>
        <v/>
      </c>
      <c r="I71" s="37">
        <f>IFERROR((SUMIFS(JB_27BV,JB_B,1,JB_W,"Surveillance Ships",JB_F,"Full ship DD&amp;C",JB_RC,"ADD")+SUMIFS(JB_27BV,JB_B,1,JB_W,"Surveillance Ships",JB_F,"Full ship DD&amp;C / LLTM",JB_RC,"ADD")+SUMIFS(JB_27BV,JB_B,1,JB_W,"Surveillance Ships",JB_F,"Full vessel procurement",JB_RC,"ADD"))/I$75,0)</f>
        <v/>
      </c>
      <c r="J71" s="37">
        <f>IFERROR((SUMIFS(JB_27BV,JB_B,1,JB_W,"Hospital Ship",JB_F,"Full ship DD&amp;C",JB_RC,"ADD")+SUMIFS(JB_27BV,JB_B,1,JB_W,"Hospital Ship",JB_F,"Full ship DD&amp;C / LLTM",JB_RC,"ADD")+SUMIFS(JB_27BV,JB_B,1,JB_W,"Hospital Ship",JB_F,"Full vessel procurement",JB_RC,"ADD"))/J$75,0)</f>
        <v/>
      </c>
      <c r="K71" s="37">
        <f>IFERROR((SUMIFS(JB_27BV,JB_B,1,JB_W,"Cargo &amp; Vehicle Cargo Ships",JB_F,"Full ship DD&amp;C",JB_RC,"ADD")+SUMIFS(JB_27BV,JB_B,1,JB_W,"Cargo &amp; Vehicle Cargo Ships",JB_F,"Full ship DD&amp;C / LLTM",JB_RC,"ADD")+SUMIFS(JB_27BV,JB_B,1,JB_W,"Cargo &amp; Vehicle Cargo Ships",JB_F,"Full vessel procurement",JB_RC,"ADD"))/K$75,0)</f>
        <v/>
      </c>
      <c r="L71" s="37">
        <f>IFERROR((SUMIFS(JB_27BV,JB_B,1,JB_W,"Unmanned Undersea Vehicles",JB_F,"Full ship DD&amp;C",JB_RC,"ADD")+SUMIFS(JB_27BV,JB_B,1,JB_W,"Unmanned Undersea Vehicles",JB_F,"Full ship DD&amp;C / LLTM",JB_RC,"ADD")+SUMIFS(JB_27BV,JB_B,1,JB_W,"Unmanned Undersea Vehicles",JB_F,"Full vessel procurement",JB_RC,"ADD"))/L$75,0)</f>
        <v/>
      </c>
      <c r="M71" s="37">
        <f>IFERROR((SUMIFS(JB_27BV,JB_B,1,JB_W,"Unmanned Surface Vehicles",JB_F,"Full ship DD&amp;C",JB_RC,"ADD")+SUMIFS(JB_27BV,JB_B,1,JB_W,"Unmanned Surface Vehicles",JB_F,"Full ship DD&amp;C / LLTM",JB_RC,"ADD")+SUMIFS(JB_27BV,JB_B,1,JB_W,"Unmanned Surface Vehicles",JB_F,"Full vessel procurement",JB_RC,"ADD"))/M$75,0)</f>
        <v/>
      </c>
      <c r="N71" s="43">
        <f>IFERROR(SUMPRODUCT(B71:M71,B$75:M$75)/N$75,0)</f>
        <v/>
      </c>
    </row>
    <row r="72" ht="10" customHeight="1">
      <c r="A72" s="30" t="inlineStr">
        <is>
          <t>Advance Procurement / LLTM</t>
        </is>
      </c>
      <c r="B72" s="43">
        <f>IFERROR((SUMIFS(JB_27BV,JB_B,1,JB_W,"Submarines",JB_F,"Advance procurement / LLTM",JB_RC,"ADD"))/B$75,0)</f>
        <v/>
      </c>
      <c r="C72" s="37">
        <f>IFERROR((SUMIFS(JB_27BV,JB_B,1,JB_W,"Amphibious Warfare Ships",JB_F,"Advance procurement / LLTM",JB_RC,"ADD"))/C$75,0)</f>
        <v/>
      </c>
      <c r="D72" s="37">
        <f>IFERROR((SUMIFS(JB_27BV,JB_B,1,JB_W,"Surface Combatants",JB_F,"Advance procurement / LLTM",JB_RC,"ADD"))/D$75,0)</f>
        <v/>
      </c>
      <c r="E72" s="37">
        <f>IFERROR((SUMIFS(JB_27BV,JB_B,1,JB_W,"Material Support Ships",JB_F,"Advance procurement / LLTM",JB_RC,"ADD"))/E$75,0)</f>
        <v/>
      </c>
      <c r="F72" s="37">
        <f>IFERROR((SUMIFS(JB_27BV,JB_B,1,JB_W,"Aircraft Carriers",JB_F,"Advance procurement / LLTM",JB_RC,"ADD"))/F$75,0)</f>
        <v/>
      </c>
      <c r="G72" s="37">
        <f>IFERROR((SUMIFS(JB_27BV,JB_B,1,JB_W,"Combat Logistics Ships",JB_F,"Advance procurement / LLTM",JB_RC,"ADD"))/G$75,0)</f>
        <v/>
      </c>
      <c r="H72" s="37">
        <f>IFERROR((SUMIFS(JB_27BV,JB_B,1,JB_W,"Expeditionary &amp; Seabasing Ships",JB_F,"Advance procurement / LLTM",JB_RC,"ADD"))/H$75,0)</f>
        <v/>
      </c>
      <c r="I72" s="37">
        <f>IFERROR((SUMIFS(JB_27BV,JB_B,1,JB_W,"Surveillance Ships",JB_F,"Advance procurement / LLTM",JB_RC,"ADD"))/I$75,0)</f>
        <v/>
      </c>
      <c r="J72" s="37">
        <f>IFERROR((SUMIFS(JB_27BV,JB_B,1,JB_W,"Hospital Ship",JB_F,"Advance procurement / LLTM",JB_RC,"ADD"))/J$75,0)</f>
        <v/>
      </c>
      <c r="K72" s="37">
        <f>IFERROR((SUMIFS(JB_27BV,JB_B,1,JB_W,"Cargo &amp; Vehicle Cargo Ships",JB_F,"Advance procurement / LLTM",JB_RC,"ADD"))/K$75,0)</f>
        <v/>
      </c>
      <c r="L72" s="37">
        <f>IFERROR((SUMIFS(JB_27BV,JB_B,1,JB_W,"Unmanned Undersea Vehicles",JB_F,"Advance procurement / LLTM",JB_RC,"ADD"))/L$75,0)</f>
        <v/>
      </c>
      <c r="M72" s="37">
        <f>IFERROR((SUMIFS(JB_27BV,JB_B,1,JB_W,"Unmanned Surface Vehicles",JB_F,"Advance procurement / LLTM",JB_RC,"ADD"))/M$75,0)</f>
        <v/>
      </c>
      <c r="N72" s="43">
        <f>IFERROR(SUMPRODUCT(B72:M72,B$75:M$75)/N$75,0)</f>
        <v/>
      </c>
    </row>
    <row r="73" ht="10" customHeight="1">
      <c r="A73" s="30" t="inlineStr">
        <is>
          <t>RCOH</t>
        </is>
      </c>
      <c r="B73" s="43">
        <f>IFERROR((SUMIFS(JB_27BV,JB_B,1,JB_W,"Submarines",JB_F,"RCOH",JB_RC,"ADD"))/B$75,0)</f>
        <v/>
      </c>
      <c r="C73" s="37">
        <f>IFERROR((SUMIFS(JB_27BV,JB_B,1,JB_W,"Amphibious Warfare Ships",JB_F,"RCOH",JB_RC,"ADD"))/C$75,0)</f>
        <v/>
      </c>
      <c r="D73" s="37">
        <f>IFERROR((SUMIFS(JB_27BV,JB_B,1,JB_W,"Surface Combatants",JB_F,"RCOH",JB_RC,"ADD"))/D$75,0)</f>
        <v/>
      </c>
      <c r="E73" s="37">
        <f>IFERROR((SUMIFS(JB_27BV,JB_B,1,JB_W,"Material Support Ships",JB_F,"RCOH",JB_RC,"ADD"))/E$75,0)</f>
        <v/>
      </c>
      <c r="F73" s="37">
        <f>IFERROR((SUMIFS(JB_27BV,JB_B,1,JB_W,"Aircraft Carriers",JB_F,"RCOH",JB_RC,"ADD"))/F$75,0)</f>
        <v/>
      </c>
      <c r="G73" s="37">
        <f>IFERROR((SUMIFS(JB_27BV,JB_B,1,JB_W,"Combat Logistics Ships",JB_F,"RCOH",JB_RC,"ADD"))/G$75,0)</f>
        <v/>
      </c>
      <c r="H73" s="37">
        <f>IFERROR((SUMIFS(JB_27BV,JB_B,1,JB_W,"Expeditionary &amp; Seabasing Ships",JB_F,"RCOH",JB_RC,"ADD"))/H$75,0)</f>
        <v/>
      </c>
      <c r="I73" s="37">
        <f>IFERROR((SUMIFS(JB_27BV,JB_B,1,JB_W,"Surveillance Ships",JB_F,"RCOH",JB_RC,"ADD"))/I$75,0)</f>
        <v/>
      </c>
      <c r="J73" s="37">
        <f>IFERROR((SUMIFS(JB_27BV,JB_B,1,JB_W,"Hospital Ship",JB_F,"RCOH",JB_RC,"ADD"))/J$75,0)</f>
        <v/>
      </c>
      <c r="K73" s="37">
        <f>IFERROR((SUMIFS(JB_27BV,JB_B,1,JB_W,"Cargo &amp; Vehicle Cargo Ships",JB_F,"RCOH",JB_RC,"ADD"))/K$75,0)</f>
        <v/>
      </c>
      <c r="L73" s="37">
        <f>IFERROR((SUMIFS(JB_27BV,JB_B,1,JB_W,"Unmanned Undersea Vehicles",JB_F,"RCOH",JB_RC,"ADD"))/L$75,0)</f>
        <v/>
      </c>
      <c r="M73" s="37">
        <f>IFERROR((SUMIFS(JB_27BV,JB_B,1,JB_W,"Unmanned Surface Vehicles",JB_F,"RCOH",JB_RC,"ADD"))/M$75,0)</f>
        <v/>
      </c>
      <c r="N73" s="43">
        <f>IFERROR(SUMPRODUCT(B73:M73,B$75:M$75)/N$75,0)</f>
        <v/>
      </c>
    </row>
    <row r="74" ht="10" customHeight="1">
      <c r="A74" s="30" t="inlineStr">
        <is>
          <t>SLEP</t>
        </is>
      </c>
      <c r="B74" s="43">
        <f>IFERROR((SUMIFS(JB_27BV,JB_B,1,JB_W,"Submarines",JB_F,"SLEP",JB_RC,"ADD"))/B$75,0)</f>
        <v/>
      </c>
      <c r="C74" s="37">
        <f>IFERROR((SUMIFS(JB_27BV,JB_B,1,JB_W,"Amphibious Warfare Ships",JB_F,"SLEP",JB_RC,"ADD"))/C$75,0)</f>
        <v/>
      </c>
      <c r="D74" s="37">
        <f>IFERROR((SUMIFS(JB_27BV,JB_B,1,JB_W,"Surface Combatants",JB_F,"SLEP",JB_RC,"ADD"))/D$75,0)</f>
        <v/>
      </c>
      <c r="E74" s="37">
        <f>IFERROR((SUMIFS(JB_27BV,JB_B,1,JB_W,"Material Support Ships",JB_F,"SLEP",JB_RC,"ADD"))/E$75,0)</f>
        <v/>
      </c>
      <c r="F74" s="37">
        <f>IFERROR((SUMIFS(JB_27BV,JB_B,1,JB_W,"Aircraft Carriers",JB_F,"SLEP",JB_RC,"ADD"))/F$75,0)</f>
        <v/>
      </c>
      <c r="G74" s="37">
        <f>IFERROR((SUMIFS(JB_27BV,JB_B,1,JB_W,"Combat Logistics Ships",JB_F,"SLEP",JB_RC,"ADD"))/G$75,0)</f>
        <v/>
      </c>
      <c r="H74" s="37">
        <f>IFERROR((SUMIFS(JB_27BV,JB_B,1,JB_W,"Expeditionary &amp; Seabasing Ships",JB_F,"SLEP",JB_RC,"ADD"))/H$75,0)</f>
        <v/>
      </c>
      <c r="I74" s="37">
        <f>IFERROR((SUMIFS(JB_27BV,JB_B,1,JB_W,"Surveillance Ships",JB_F,"SLEP",JB_RC,"ADD"))/I$75,0)</f>
        <v/>
      </c>
      <c r="J74" s="37">
        <f>IFERROR((SUMIFS(JB_27BV,JB_B,1,JB_W,"Hospital Ship",JB_F,"SLEP",JB_RC,"ADD"))/J$75,0)</f>
        <v/>
      </c>
      <c r="K74" s="37">
        <f>IFERROR((SUMIFS(JB_27BV,JB_B,1,JB_W,"Cargo &amp; Vehicle Cargo Ships",JB_F,"SLEP",JB_RC,"ADD"))/K$75,0)</f>
        <v/>
      </c>
      <c r="L74" s="37">
        <f>IFERROR((SUMIFS(JB_27BV,JB_B,1,JB_W,"Unmanned Undersea Vehicles",JB_F,"SLEP",JB_RC,"ADD"))/L$75,0)</f>
        <v/>
      </c>
      <c r="M74" s="37">
        <f>IFERROR((SUMIFS(JB_27BV,JB_B,1,JB_W,"Unmanned Surface Vehicles",JB_F,"SLEP",JB_RC,"ADD"))/M$75,0)</f>
        <v/>
      </c>
      <c r="N74" s="43">
        <f>IFERROR(SUMPRODUCT(B74:M74,B$75:M$75)/N$75,0)</f>
        <v/>
      </c>
    </row>
    <row r="75" ht="10" customHeight="1">
      <c r="A75" s="32" t="inlineStr">
        <is>
          <t>Total ($K)</t>
        </is>
      </c>
      <c r="B75" s="44">
        <f>SUMIFS(JB_27BV,JB_B,1,JB_W,"Submarines",JB_RC,"ADD")</f>
        <v/>
      </c>
      <c r="C75" s="33">
        <f>SUMIFS(JB_27BV,JB_B,1,JB_W,"Amphibious Warfare Ships",JB_RC,"ADD")</f>
        <v/>
      </c>
      <c r="D75" s="33">
        <f>SUMIFS(JB_27BV,JB_B,1,JB_W,"Surface Combatants",JB_RC,"ADD")</f>
        <v/>
      </c>
      <c r="E75" s="33">
        <f>SUMIFS(JB_27BV,JB_B,1,JB_W,"Material Support Ships",JB_RC,"ADD")</f>
        <v/>
      </c>
      <c r="F75" s="33">
        <f>SUMIFS(JB_27BV,JB_B,1,JB_W,"Aircraft Carriers",JB_RC,"ADD")</f>
        <v/>
      </c>
      <c r="G75" s="33">
        <f>SUMIFS(JB_27BV,JB_B,1,JB_W,"Combat Logistics Ships",JB_RC,"ADD")</f>
        <v/>
      </c>
      <c r="H75" s="33">
        <f>SUMIFS(JB_27BV,JB_B,1,JB_W,"Expeditionary &amp; Seabasing Ships",JB_RC,"ADD")</f>
        <v/>
      </c>
      <c r="I75" s="33">
        <f>SUMIFS(JB_27BV,JB_B,1,JB_W,"Surveillance Ships",JB_RC,"ADD")</f>
        <v/>
      </c>
      <c r="J75" s="33">
        <f>SUMIFS(JB_27BV,JB_B,1,JB_W,"Hospital Ship",JB_RC,"ADD")</f>
        <v/>
      </c>
      <c r="K75" s="33">
        <f>SUMIFS(JB_27BV,JB_B,1,JB_W,"Cargo &amp; Vehicle Cargo Ships",JB_RC,"ADD")</f>
        <v/>
      </c>
      <c r="L75" s="33">
        <f>SUMIFS(JB_27BV,JB_B,1,JB_W,"Unmanned Undersea Vehicles",JB_RC,"ADD")</f>
        <v/>
      </c>
      <c r="M75" s="33">
        <f>SUMIFS(JB_27BV,JB_B,1,JB_W,"Unmanned Surface Vehicles",JB_RC,"ADD")</f>
        <v/>
      </c>
      <c r="N75" s="44">
        <f>SUM(B75:M75)</f>
        <v/>
      </c>
    </row>
    <row r="76" ht="10" customHeight="1"/>
    <row r="77" ht="10" customHeight="1"/>
    <row r="78" ht="10" customHeight="1">
      <c r="A78" s="27" t="inlineStr">
        <is>
          <t>(E) Newbuild TAM — Sub-Category Mix by Hull Program (Mekko)</t>
        </is>
      </c>
      <c r="B78" s="28" t="n"/>
      <c r="C78" s="28" t="n"/>
      <c r="D78" s="28" t="n"/>
      <c r="E78" s="28" t="n"/>
      <c r="F78" s="28" t="n"/>
      <c r="G78" s="28" t="n"/>
      <c r="H78" s="28" t="n"/>
      <c r="I78" s="28" t="n"/>
      <c r="J78" s="28" t="n"/>
      <c r="K78" s="28" t="n"/>
      <c r="L78" s="28" t="n"/>
      <c r="M78" s="28" t="n"/>
      <c r="N78" s="28" t="n"/>
      <c r="O78" s="28" t="n"/>
      <c r="P78" s="28" t="n"/>
      <c r="Q78" s="28" t="n"/>
    </row>
    <row r="79" ht="10" customHeight="1">
      <c r="A79" s="39" t="n"/>
      <c r="B79" s="40" t="inlineStr">
        <is>
          <t>USN</t>
        </is>
      </c>
      <c r="C79" s="39" t="n"/>
      <c r="D79" s="39" t="n"/>
      <c r="E79" s="39" t="n"/>
      <c r="F79" s="39" t="n"/>
      <c r="G79" s="39" t="n"/>
      <c r="H79" s="39" t="n"/>
      <c r="I79" s="39" t="n"/>
      <c r="J79" s="39" t="n"/>
      <c r="K79" s="39" t="n"/>
      <c r="L79" s="39" t="n"/>
      <c r="M79" s="39" t="n"/>
      <c r="N79" s="39" t="n"/>
      <c r="O79" s="39" t="n"/>
      <c r="P79" s="39" t="n"/>
      <c r="Q79" s="41" t="n"/>
    </row>
    <row r="80" ht="10" customHeight="1">
      <c r="A80" s="29" t="inlineStr">
        <is>
          <t>Sub-Category</t>
        </is>
      </c>
      <c r="B80" s="42" t="inlineStr">
        <is>
          <t>SSBN</t>
        </is>
      </c>
      <c r="C80" s="29" t="inlineStr">
        <is>
          <t>SSN</t>
        </is>
      </c>
      <c r="D80" s="29" t="inlineStr">
        <is>
          <t>AS</t>
        </is>
      </c>
      <c r="E80" s="29" t="inlineStr">
        <is>
          <t>CVN</t>
        </is>
      </c>
      <c r="F80" s="29" t="inlineStr">
        <is>
          <t>LHA</t>
        </is>
      </c>
      <c r="G80" s="29" t="inlineStr">
        <is>
          <t>DDG</t>
        </is>
      </c>
      <c r="H80" s="29" t="inlineStr">
        <is>
          <t>LPD</t>
        </is>
      </c>
      <c r="I80" s="29" t="inlineStr">
        <is>
          <t>T-AO</t>
        </is>
      </c>
      <c r="J80" s="29" t="inlineStr">
        <is>
          <t>LSM</t>
        </is>
      </c>
      <c r="K80" s="29" t="inlineStr">
        <is>
          <t>FFG</t>
        </is>
      </c>
      <c r="L80" s="29" t="inlineStr">
        <is>
          <t>T-AGOS</t>
        </is>
      </c>
      <c r="M80" s="29" t="inlineStr">
        <is>
          <t>T-AH</t>
        </is>
      </c>
      <c r="N80" s="29" t="inlineStr">
        <is>
          <t>T-AKR</t>
        </is>
      </c>
      <c r="O80" s="29" t="inlineStr">
        <is>
          <t>UUV</t>
        </is>
      </c>
      <c r="P80" s="29" t="inlineStr">
        <is>
          <t>MUSV</t>
        </is>
      </c>
      <c r="Q80" s="42" t="inlineStr">
        <is>
          <t>Total</t>
        </is>
      </c>
    </row>
    <row r="81" ht="10" customHeight="1">
      <c r="A81" s="30" t="inlineStr">
        <is>
          <t>Full Ship DD&amp;C</t>
        </is>
      </c>
      <c r="B81" s="43">
        <f>IFERROR((SUMIFS(JB_27BV,JB_B,1,JB_H,"SSBN",JB_F,"Full ship DD&amp;C",JB_RC,"ADD")+SUMIFS(JB_27BV,JB_B,1,JB_H,"SSBN",JB_F,"Full ship DD&amp;C / LLTM",JB_RC,"ADD")+SUMIFS(JB_27BV,JB_B,1,JB_H,"SSBN",JB_F,"Full vessel procurement",JB_RC,"ADD"))/B$85,0)</f>
        <v/>
      </c>
      <c r="C81" s="37">
        <f>IFERROR((SUMIFS(JB_27BV,JB_B,1,JB_H,"SSN",JB_F,"Full ship DD&amp;C",JB_RC,"ADD")+SUMIFS(JB_27BV,JB_B,1,JB_H,"SSN",JB_F,"Full ship DD&amp;C / LLTM",JB_RC,"ADD")+SUMIFS(JB_27BV,JB_B,1,JB_H,"SSN",JB_F,"Full vessel procurement",JB_RC,"ADD"))/C$85,0)</f>
        <v/>
      </c>
      <c r="D81" s="37">
        <f>IFERROR((SUMIFS(JB_27BV,JB_B,1,JB_H,"AS",JB_F,"Full ship DD&amp;C",JB_RC,"ADD")+SUMIFS(JB_27BV,JB_B,1,JB_H,"AS",JB_F,"Full ship DD&amp;C / LLTM",JB_RC,"ADD")+SUMIFS(JB_27BV,JB_B,1,JB_H,"AS",JB_F,"Full vessel procurement",JB_RC,"ADD"))/D$85,0)</f>
        <v/>
      </c>
      <c r="E81" s="37">
        <f>IFERROR((SUMIFS(JB_27BV,JB_B,1,JB_H,"CVN",JB_F,"Full ship DD&amp;C",JB_RC,"ADD")+SUMIFS(JB_27BV,JB_B,1,JB_H,"CVN",JB_F,"Full ship DD&amp;C / LLTM",JB_RC,"ADD")+SUMIFS(JB_27BV,JB_B,1,JB_H,"CVN",JB_F,"Full vessel procurement",JB_RC,"ADD"))/E$85,0)</f>
        <v/>
      </c>
      <c r="F81" s="37">
        <f>IFERROR((SUMIFS(JB_27BV,JB_B,1,JB_H,"LHA",JB_F,"Full ship DD&amp;C",JB_RC,"ADD")+SUMIFS(JB_27BV,JB_B,1,JB_H,"LHA",JB_F,"Full ship DD&amp;C / LLTM",JB_RC,"ADD")+SUMIFS(JB_27BV,JB_B,1,JB_H,"LHA",JB_F,"Full vessel procurement",JB_RC,"ADD"))/F$85,0)</f>
        <v/>
      </c>
      <c r="G81" s="37">
        <f>IFERROR((SUMIFS(JB_27BV,JB_B,1,JB_H,"DDG",JB_F,"Full ship DD&amp;C",JB_RC,"ADD")+SUMIFS(JB_27BV,JB_B,1,JB_H,"DDG",JB_F,"Full ship DD&amp;C / LLTM",JB_RC,"ADD")+SUMIFS(JB_27BV,JB_B,1,JB_H,"DDG",JB_F,"Full vessel procurement",JB_RC,"ADD"))/G$85,0)</f>
        <v/>
      </c>
      <c r="H81" s="37">
        <f>IFERROR((SUMIFS(JB_27BV,JB_B,1,JB_H,"LPD",JB_F,"Full ship DD&amp;C",JB_RC,"ADD")+SUMIFS(JB_27BV,JB_B,1,JB_H,"LPD",JB_F,"Full ship DD&amp;C / LLTM",JB_RC,"ADD")+SUMIFS(JB_27BV,JB_B,1,JB_H,"LPD",JB_F,"Full vessel procurement",JB_RC,"ADD"))/H$85,0)</f>
        <v/>
      </c>
      <c r="I81" s="37">
        <f>IFERROR((SUMIFS(JB_27BV,JB_B,1,JB_H,"T-AO",JB_F,"Full ship DD&amp;C",JB_RC,"ADD")+SUMIFS(JB_27BV,JB_B,1,JB_H,"T-AO",JB_F,"Full ship DD&amp;C / LLTM",JB_RC,"ADD")+SUMIFS(JB_27BV,JB_B,1,JB_H,"T-AO",JB_F,"Full vessel procurement",JB_RC,"ADD"))/I$85,0)</f>
        <v/>
      </c>
      <c r="J81" s="37">
        <f>IFERROR((SUMIFS(JB_27BV,JB_B,1,JB_H,"LSM",JB_F,"Full ship DD&amp;C",JB_RC,"ADD")+SUMIFS(JB_27BV,JB_B,1,JB_H,"LSM",JB_F,"Full ship DD&amp;C / LLTM",JB_RC,"ADD")+SUMIFS(JB_27BV,JB_B,1,JB_H,"LSM",JB_F,"Full vessel procurement",JB_RC,"ADD"))/J$85,0)</f>
        <v/>
      </c>
      <c r="K81" s="37">
        <f>IFERROR((SUMIFS(JB_27BV,JB_B,1,JB_H,"FFG",JB_F,"Full ship DD&amp;C",JB_RC,"ADD")+SUMIFS(JB_27BV,JB_B,1,JB_H,"FFG",JB_F,"Full ship DD&amp;C / LLTM",JB_RC,"ADD")+SUMIFS(JB_27BV,JB_B,1,JB_H,"FFG",JB_F,"Full vessel procurement",JB_RC,"ADD"))/K$85,0)</f>
        <v/>
      </c>
      <c r="L81" s="37">
        <f>IFERROR((SUMIFS(JB_27BV,JB_B,1,JB_H,"T-AGOS",JB_F,"Full ship DD&amp;C",JB_RC,"ADD")+SUMIFS(JB_27BV,JB_B,1,JB_H,"T-AGOS",JB_F,"Full ship DD&amp;C / LLTM",JB_RC,"ADD")+SUMIFS(JB_27BV,JB_B,1,JB_H,"T-AGOS",JB_F,"Full vessel procurement",JB_RC,"ADD"))/L$85,0)</f>
        <v/>
      </c>
      <c r="M81" s="37">
        <f>IFERROR((SUMIFS(JB_27BV,JB_B,1,JB_H,"T-AH",JB_F,"Full ship DD&amp;C",JB_RC,"ADD")+SUMIFS(JB_27BV,JB_B,1,JB_H,"T-AH",JB_F,"Full ship DD&amp;C / LLTM",JB_RC,"ADD")+SUMIFS(JB_27BV,JB_B,1,JB_H,"T-AH",JB_F,"Full vessel procurement",JB_RC,"ADD"))/M$85,0)</f>
        <v/>
      </c>
      <c r="N81" s="37">
        <f>IFERROR((SUMIFS(JB_27BV,JB_B,1,JB_H,"T-AKR",JB_F,"Full ship DD&amp;C",JB_RC,"ADD")+SUMIFS(JB_27BV,JB_B,1,JB_H,"T-AKR",JB_F,"Full ship DD&amp;C / LLTM",JB_RC,"ADD")+SUMIFS(JB_27BV,JB_B,1,JB_H,"T-AKR",JB_F,"Full vessel procurement",JB_RC,"ADD"))/N$85,0)</f>
        <v/>
      </c>
      <c r="O81" s="37">
        <f>IFERROR((SUMIFS(JB_27BV,JB_B,1,JB_H,"UUV",JB_F,"Full ship DD&amp;C",JB_RC,"ADD")+SUMIFS(JB_27BV,JB_B,1,JB_H,"UUV",JB_F,"Full ship DD&amp;C / LLTM",JB_RC,"ADD")+SUMIFS(JB_27BV,JB_B,1,JB_H,"UUV",JB_F,"Full vessel procurement",JB_RC,"ADD"))/O$85,0)</f>
        <v/>
      </c>
      <c r="P81" s="37">
        <f>IFERROR((SUMIFS(JB_27BV,JB_B,1,JB_H,"MUSV",JB_F,"Full ship DD&amp;C",JB_RC,"ADD")+SUMIFS(JB_27BV,JB_B,1,JB_H,"MUSV",JB_F,"Full ship DD&amp;C / LLTM",JB_RC,"ADD")+SUMIFS(JB_27BV,JB_B,1,JB_H,"MUSV",JB_F,"Full vessel procurement",JB_RC,"ADD"))/P$85,0)</f>
        <v/>
      </c>
      <c r="Q81" s="43">
        <f>IFERROR((SUMIFS(JB_27BV,JB_B,1,JB_V,"Auxiliary Ships",JB_F,"Full ship DD&amp;C",JB_RC,"ADD")+SUMIFS(JB_27BV,JB_B,1,JB_V,"Auxiliary Ships",JB_F,"Full ship DD&amp;C / LLTM",JB_RC,"ADD")+SUMIFS(JB_27BV,JB_B,1,JB_V,"Auxiliary Ships",JB_F,"Full vessel procurement",JB_RC,"ADD")+SUMIFS(JB_27BV,JB_B,1,JB_V,"Combatant Ships",JB_F,"Full ship DD&amp;C",JB_RC,"ADD")+SUMIFS(JB_27BV,JB_B,1,JB_V,"Combatant Ships",JB_F,"Full ship DD&amp;C / LLTM",JB_RC,"ADD")+SUMIFS(JB_27BV,JB_B,1,JB_V,"Combatant Ships",JB_F,"Full vessel procurement",JB_RC,"ADD")+SUMIFS(JB_27BV,JB_B,1,JB_V,"Cutters",JB_F,"Full ship DD&amp;C",JB_RC,"ADD")+SUMIFS(JB_27BV,JB_B,1,JB_V,"Cutters",JB_F,"Full ship DD&amp;C / LLTM",JB_RC,"ADD")+SUMIFS(JB_27BV,JB_B,1,JB_V,"Cutters",JB_F,"Full vessel procurement",JB_RC,"ADD")+SUMIFS(JB_27BV,JB_B,1,JB_V,"Unmanned Maritime Platforms",JB_F,"Full ship DD&amp;C",JB_RC,"ADD")+SUMIFS(JB_27BV,JB_B,1,JB_V,"Unmanned Maritime Platforms",JB_F,"Full ship DD&amp;C / LLTM",JB_RC,"ADD")+SUMIFS(JB_27BV,JB_B,1,JB_V,"Unmanned Maritime Platforms",JB_F,"Full vessel procurement",JB_RC,"ADD"))/Q$85,0)</f>
        <v/>
      </c>
    </row>
    <row r="82" ht="10" customHeight="1">
      <c r="A82" s="30" t="inlineStr">
        <is>
          <t>Advance Procurement / LLTM</t>
        </is>
      </c>
      <c r="B82" s="43">
        <f>IFERROR((SUMIFS(JB_27BV,JB_B,1,JB_H,"SSBN",JB_F,"Advance procurement / LLTM",JB_RC,"ADD"))/B$85,0)</f>
        <v/>
      </c>
      <c r="C82" s="37">
        <f>IFERROR((SUMIFS(JB_27BV,JB_B,1,JB_H,"SSN",JB_F,"Advance procurement / LLTM",JB_RC,"ADD"))/C$85,0)</f>
        <v/>
      </c>
      <c r="D82" s="37">
        <f>IFERROR((SUMIFS(JB_27BV,JB_B,1,JB_H,"AS",JB_F,"Advance procurement / LLTM",JB_RC,"ADD"))/D$85,0)</f>
        <v/>
      </c>
      <c r="E82" s="37">
        <f>IFERROR((SUMIFS(JB_27BV,JB_B,1,JB_H,"CVN",JB_F,"Advance procurement / LLTM",JB_RC,"ADD"))/E$85,0)</f>
        <v/>
      </c>
      <c r="F82" s="37">
        <f>IFERROR((SUMIFS(JB_27BV,JB_B,1,JB_H,"LHA",JB_F,"Advance procurement / LLTM",JB_RC,"ADD"))/F$85,0)</f>
        <v/>
      </c>
      <c r="G82" s="37">
        <f>IFERROR((SUMIFS(JB_27BV,JB_B,1,JB_H,"DDG",JB_F,"Advance procurement / LLTM",JB_RC,"ADD"))/G$85,0)</f>
        <v/>
      </c>
      <c r="H82" s="37">
        <f>IFERROR((SUMIFS(JB_27BV,JB_B,1,JB_H,"LPD",JB_F,"Advance procurement / LLTM",JB_RC,"ADD"))/H$85,0)</f>
        <v/>
      </c>
      <c r="I82" s="37">
        <f>IFERROR((SUMIFS(JB_27BV,JB_B,1,JB_H,"T-AO",JB_F,"Advance procurement / LLTM",JB_RC,"ADD"))/I$85,0)</f>
        <v/>
      </c>
      <c r="J82" s="37">
        <f>IFERROR((SUMIFS(JB_27BV,JB_B,1,JB_H,"LSM",JB_F,"Advance procurement / LLTM",JB_RC,"ADD"))/J$85,0)</f>
        <v/>
      </c>
      <c r="K82" s="37">
        <f>IFERROR((SUMIFS(JB_27BV,JB_B,1,JB_H,"FFG",JB_F,"Advance procurement / LLTM",JB_RC,"ADD"))/K$85,0)</f>
        <v/>
      </c>
      <c r="L82" s="37">
        <f>IFERROR((SUMIFS(JB_27BV,JB_B,1,JB_H,"T-AGOS",JB_F,"Advance procurement / LLTM",JB_RC,"ADD"))/L$85,0)</f>
        <v/>
      </c>
      <c r="M82" s="37">
        <f>IFERROR((SUMIFS(JB_27BV,JB_B,1,JB_H,"T-AH",JB_F,"Advance procurement / LLTM",JB_RC,"ADD"))/M$85,0)</f>
        <v/>
      </c>
      <c r="N82" s="37">
        <f>IFERROR((SUMIFS(JB_27BV,JB_B,1,JB_H,"T-AKR",JB_F,"Advance procurement / LLTM",JB_RC,"ADD"))/N$85,0)</f>
        <v/>
      </c>
      <c r="O82" s="37">
        <f>IFERROR((SUMIFS(JB_27BV,JB_B,1,JB_H,"UUV",JB_F,"Advance procurement / LLTM",JB_RC,"ADD"))/O$85,0)</f>
        <v/>
      </c>
      <c r="P82" s="37">
        <f>IFERROR((SUMIFS(JB_27BV,JB_B,1,JB_H,"MUSV",JB_F,"Advance procurement / LLTM",JB_RC,"ADD"))/P$85,0)</f>
        <v/>
      </c>
      <c r="Q82" s="43">
        <f>IFERROR((SUMIFS(JB_27BV,JB_B,1,JB_V,"Auxiliary Ships",JB_F,"Advance procurement / LLTM",JB_RC,"ADD")+SUMIFS(JB_27BV,JB_B,1,JB_V,"Combatant Ships",JB_F,"Advance procurement / LLTM",JB_RC,"ADD")+SUMIFS(JB_27BV,JB_B,1,JB_V,"Cutters",JB_F,"Advance procurement / LLTM",JB_RC,"ADD")+SUMIFS(JB_27BV,JB_B,1,JB_V,"Unmanned Maritime Platforms",JB_F,"Advance procurement / LLTM",JB_RC,"ADD"))/Q$85,0)</f>
        <v/>
      </c>
    </row>
    <row r="83" ht="10" customHeight="1">
      <c r="A83" s="30" t="inlineStr">
        <is>
          <t>RCOH</t>
        </is>
      </c>
      <c r="B83" s="43">
        <f>IFERROR((SUMIFS(JB_27BV,JB_B,1,JB_H,"SSBN",JB_F,"RCOH",JB_RC,"ADD"))/B$85,0)</f>
        <v/>
      </c>
      <c r="C83" s="37">
        <f>IFERROR((SUMIFS(JB_27BV,JB_B,1,JB_H,"SSN",JB_F,"RCOH",JB_RC,"ADD"))/C$85,0)</f>
        <v/>
      </c>
      <c r="D83" s="37">
        <f>IFERROR((SUMIFS(JB_27BV,JB_B,1,JB_H,"AS",JB_F,"RCOH",JB_RC,"ADD"))/D$85,0)</f>
        <v/>
      </c>
      <c r="E83" s="37">
        <f>IFERROR((SUMIFS(JB_27BV,JB_B,1,JB_H,"CVN",JB_F,"RCOH",JB_RC,"ADD"))/E$85,0)</f>
        <v/>
      </c>
      <c r="F83" s="37">
        <f>IFERROR((SUMIFS(JB_27BV,JB_B,1,JB_H,"LHA",JB_F,"RCOH",JB_RC,"ADD"))/F$85,0)</f>
        <v/>
      </c>
      <c r="G83" s="37">
        <f>IFERROR((SUMIFS(JB_27BV,JB_B,1,JB_H,"DDG",JB_F,"RCOH",JB_RC,"ADD"))/G$85,0)</f>
        <v/>
      </c>
      <c r="H83" s="37">
        <f>IFERROR((SUMIFS(JB_27BV,JB_B,1,JB_H,"LPD",JB_F,"RCOH",JB_RC,"ADD"))/H$85,0)</f>
        <v/>
      </c>
      <c r="I83" s="37">
        <f>IFERROR((SUMIFS(JB_27BV,JB_B,1,JB_H,"T-AO",JB_F,"RCOH",JB_RC,"ADD"))/I$85,0)</f>
        <v/>
      </c>
      <c r="J83" s="37">
        <f>IFERROR((SUMIFS(JB_27BV,JB_B,1,JB_H,"LSM",JB_F,"RCOH",JB_RC,"ADD"))/J$85,0)</f>
        <v/>
      </c>
      <c r="K83" s="37">
        <f>IFERROR((SUMIFS(JB_27BV,JB_B,1,JB_H,"FFG",JB_F,"RCOH",JB_RC,"ADD"))/K$85,0)</f>
        <v/>
      </c>
      <c r="L83" s="37">
        <f>IFERROR((SUMIFS(JB_27BV,JB_B,1,JB_H,"T-AGOS",JB_F,"RCOH",JB_RC,"ADD"))/L$85,0)</f>
        <v/>
      </c>
      <c r="M83" s="37">
        <f>IFERROR((SUMIFS(JB_27BV,JB_B,1,JB_H,"T-AH",JB_F,"RCOH",JB_RC,"ADD"))/M$85,0)</f>
        <v/>
      </c>
      <c r="N83" s="37">
        <f>IFERROR((SUMIFS(JB_27BV,JB_B,1,JB_H,"T-AKR",JB_F,"RCOH",JB_RC,"ADD"))/N$85,0)</f>
        <v/>
      </c>
      <c r="O83" s="37">
        <f>IFERROR((SUMIFS(JB_27BV,JB_B,1,JB_H,"UUV",JB_F,"RCOH",JB_RC,"ADD"))/O$85,0)</f>
        <v/>
      </c>
      <c r="P83" s="37">
        <f>IFERROR((SUMIFS(JB_27BV,JB_B,1,JB_H,"MUSV",JB_F,"RCOH",JB_RC,"ADD"))/P$85,0)</f>
        <v/>
      </c>
      <c r="Q83" s="43">
        <f>IFERROR((SUMIFS(JB_27BV,JB_B,1,JB_V,"Auxiliary Ships",JB_F,"RCOH",JB_RC,"ADD")+SUMIFS(JB_27BV,JB_B,1,JB_V,"Combatant Ships",JB_F,"RCOH",JB_RC,"ADD")+SUMIFS(JB_27BV,JB_B,1,JB_V,"Cutters",JB_F,"RCOH",JB_RC,"ADD")+SUMIFS(JB_27BV,JB_B,1,JB_V,"Unmanned Maritime Platforms",JB_F,"RCOH",JB_RC,"ADD"))/Q$85,0)</f>
        <v/>
      </c>
    </row>
    <row r="84" ht="10" customHeight="1">
      <c r="A84" s="30" t="inlineStr">
        <is>
          <t>SLEP</t>
        </is>
      </c>
      <c r="B84" s="43">
        <f>IFERROR((SUMIFS(JB_27BV,JB_B,1,JB_H,"SSBN",JB_F,"SLEP",JB_RC,"ADD"))/B$85,0)</f>
        <v/>
      </c>
      <c r="C84" s="37">
        <f>IFERROR((SUMIFS(JB_27BV,JB_B,1,JB_H,"SSN",JB_F,"SLEP",JB_RC,"ADD"))/C$85,0)</f>
        <v/>
      </c>
      <c r="D84" s="37">
        <f>IFERROR((SUMIFS(JB_27BV,JB_B,1,JB_H,"AS",JB_F,"SLEP",JB_RC,"ADD"))/D$85,0)</f>
        <v/>
      </c>
      <c r="E84" s="37">
        <f>IFERROR((SUMIFS(JB_27BV,JB_B,1,JB_H,"CVN",JB_F,"SLEP",JB_RC,"ADD"))/E$85,0)</f>
        <v/>
      </c>
      <c r="F84" s="37">
        <f>IFERROR((SUMIFS(JB_27BV,JB_B,1,JB_H,"LHA",JB_F,"SLEP",JB_RC,"ADD"))/F$85,0)</f>
        <v/>
      </c>
      <c r="G84" s="37">
        <f>IFERROR((SUMIFS(JB_27BV,JB_B,1,JB_H,"DDG",JB_F,"SLEP",JB_RC,"ADD"))/G$85,0)</f>
        <v/>
      </c>
      <c r="H84" s="37">
        <f>IFERROR((SUMIFS(JB_27BV,JB_B,1,JB_H,"LPD",JB_F,"SLEP",JB_RC,"ADD"))/H$85,0)</f>
        <v/>
      </c>
      <c r="I84" s="37">
        <f>IFERROR((SUMIFS(JB_27BV,JB_B,1,JB_H,"T-AO",JB_F,"SLEP",JB_RC,"ADD"))/I$85,0)</f>
        <v/>
      </c>
      <c r="J84" s="37">
        <f>IFERROR((SUMIFS(JB_27BV,JB_B,1,JB_H,"LSM",JB_F,"SLEP",JB_RC,"ADD"))/J$85,0)</f>
        <v/>
      </c>
      <c r="K84" s="37">
        <f>IFERROR((SUMIFS(JB_27BV,JB_B,1,JB_H,"FFG",JB_F,"SLEP",JB_RC,"ADD"))/K$85,0)</f>
        <v/>
      </c>
      <c r="L84" s="37">
        <f>IFERROR((SUMIFS(JB_27BV,JB_B,1,JB_H,"T-AGOS",JB_F,"SLEP",JB_RC,"ADD"))/L$85,0)</f>
        <v/>
      </c>
      <c r="M84" s="37">
        <f>IFERROR((SUMIFS(JB_27BV,JB_B,1,JB_H,"T-AH",JB_F,"SLEP",JB_RC,"ADD"))/M$85,0)</f>
        <v/>
      </c>
      <c r="N84" s="37">
        <f>IFERROR((SUMIFS(JB_27BV,JB_B,1,JB_H,"T-AKR",JB_F,"SLEP",JB_RC,"ADD"))/N$85,0)</f>
        <v/>
      </c>
      <c r="O84" s="37">
        <f>IFERROR((SUMIFS(JB_27BV,JB_B,1,JB_H,"UUV",JB_F,"SLEP",JB_RC,"ADD"))/O$85,0)</f>
        <v/>
      </c>
      <c r="P84" s="37">
        <f>IFERROR((SUMIFS(JB_27BV,JB_B,1,JB_H,"MUSV",JB_F,"SLEP",JB_RC,"ADD"))/P$85,0)</f>
        <v/>
      </c>
      <c r="Q84" s="43">
        <f>IFERROR((SUMIFS(JB_27BV,JB_B,1,JB_V,"Auxiliary Ships",JB_F,"SLEP",JB_RC,"ADD")+SUMIFS(JB_27BV,JB_B,1,JB_V,"Combatant Ships",JB_F,"SLEP",JB_RC,"ADD")+SUMIFS(JB_27BV,JB_B,1,JB_V,"Cutters",JB_F,"SLEP",JB_RC,"ADD")+SUMIFS(JB_27BV,JB_B,1,JB_V,"Unmanned Maritime Platforms",JB_F,"SLEP",JB_RC,"ADD"))/Q$85,0)</f>
        <v/>
      </c>
    </row>
    <row r="85" ht="10" customHeight="1">
      <c r="A85" s="32" t="inlineStr">
        <is>
          <t>Total ($K)</t>
        </is>
      </c>
      <c r="B85" s="44">
        <f>SUMIFS(JB_27BV,JB_B,1,JB_H,"SSBN",JB_RC,"ADD")</f>
        <v/>
      </c>
      <c r="C85" s="33">
        <f>SUMIFS(JB_27BV,JB_B,1,JB_H,"SSN",JB_RC,"ADD")</f>
        <v/>
      </c>
      <c r="D85" s="33">
        <f>SUMIFS(JB_27BV,JB_B,1,JB_H,"AS",JB_RC,"ADD")</f>
        <v/>
      </c>
      <c r="E85" s="33">
        <f>SUMIFS(JB_27BV,JB_B,1,JB_H,"CVN",JB_RC,"ADD")</f>
        <v/>
      </c>
      <c r="F85" s="33">
        <f>SUMIFS(JB_27BV,JB_B,1,JB_H,"LHA",JB_RC,"ADD")</f>
        <v/>
      </c>
      <c r="G85" s="33">
        <f>SUMIFS(JB_27BV,JB_B,1,JB_H,"DDG",JB_RC,"ADD")</f>
        <v/>
      </c>
      <c r="H85" s="33">
        <f>SUMIFS(JB_27BV,JB_B,1,JB_H,"LPD",JB_RC,"ADD")</f>
        <v/>
      </c>
      <c r="I85" s="33">
        <f>SUMIFS(JB_27BV,JB_B,1,JB_H,"T-AO",JB_RC,"ADD")</f>
        <v/>
      </c>
      <c r="J85" s="33">
        <f>SUMIFS(JB_27BV,JB_B,1,JB_H,"LSM",JB_RC,"ADD")</f>
        <v/>
      </c>
      <c r="K85" s="33">
        <f>SUMIFS(JB_27BV,JB_B,1,JB_H,"FFG",JB_RC,"ADD")</f>
        <v/>
      </c>
      <c r="L85" s="33">
        <f>SUMIFS(JB_27BV,JB_B,1,JB_H,"T-AGOS",JB_RC,"ADD")</f>
        <v/>
      </c>
      <c r="M85" s="33">
        <f>SUMIFS(JB_27BV,JB_B,1,JB_H,"T-AH",JB_RC,"ADD")</f>
        <v/>
      </c>
      <c r="N85" s="33">
        <f>SUMIFS(JB_27BV,JB_B,1,JB_H,"T-AKR",JB_RC,"ADD")</f>
        <v/>
      </c>
      <c r="O85" s="33">
        <f>SUMIFS(JB_27BV,JB_B,1,JB_H,"UUV",JB_RC,"ADD")</f>
        <v/>
      </c>
      <c r="P85" s="33">
        <f>SUMIFS(JB_27BV,JB_B,1,JB_H,"MUSV",JB_RC,"ADD")</f>
        <v/>
      </c>
      <c r="Q85" s="44">
        <f>SUM(B85:P85)</f>
        <v/>
      </c>
    </row>
  </sheetData>
  <pageMargins left="0.75" right="0.75" top="1" bottom="1" header="0.5" footer="0.5"/>
</worksheet>
</file>

<file path=xl/worksheets/sheet11.xml><?xml version="1.0" encoding="utf-8"?>
<worksheet xmlns="http://schemas.openxmlformats.org/spreadsheetml/2006/main">
  <sheetPr>
    <tabColor rgb="00548235"/>
    <outlinePr summaryBelow="1" summaryRight="1"/>
    <pageSetUpPr/>
  </sheetPr>
  <dimension ref="A1:I42"/>
  <sheetViews>
    <sheetView showGridLines="0" workbookViewId="0">
      <selection activeCell="A1" sqref="A1"/>
    </sheetView>
  </sheetViews>
  <sheetFormatPr baseColWidth="8" defaultRowHeight="15"/>
  <cols>
    <col width="16" customWidth="1" min="1" max="1"/>
    <col width="24" customWidth="1" min="2" max="2"/>
    <col width="8" customWidth="1" min="3" max="3"/>
    <col width="12" customWidth="1" min="4" max="4"/>
    <col width="12" customWidth="1" min="5" max="5"/>
    <col width="12" customWidth="1" min="6" max="6"/>
    <col width="12" customWidth="1" min="7" max="7"/>
    <col width="12" customWidth="1" min="8" max="8"/>
    <col width="10" customWidth="1" min="9" max="9"/>
  </cols>
  <sheetData>
    <row r="1" ht="10" customHeight="1">
      <c r="A1" s="24" t="inlineStr">
        <is>
          <t>Newbuild SAM — FY2027 ($K)</t>
        </is>
      </c>
      <c r="B1" s="25" t="n"/>
      <c r="C1" s="25" t="n"/>
      <c r="D1" s="25" t="n"/>
      <c r="E1" s="25" t="n"/>
      <c r="F1" s="25" t="n"/>
      <c r="G1" s="25" t="n"/>
      <c r="H1" s="25" t="n"/>
      <c r="I1" s="25" t="n"/>
    </row>
    <row r="2" ht="10" customHeight="1">
      <c r="A2" s="26" t="inlineStr">
        <is>
          <t>Newbuild TAM narrowed further: excludes Submarines and Aircraft Carriers (single-yard / nuclear-restricted programs) and Unmanned Undersea Vehicles. Focused on outsourceable new construction where a company could compete as subprime on module fabrication or systems integration. Includes all new-construction funding (DD&amp;C and advance procurement). Justification books (P-5c, P-8a) not yet released for FY27 — visibility is at program level only, not cost element level.</t>
        </is>
      </c>
    </row>
    <row r="3" ht="10" customHeight="1"/>
    <row r="4" ht="10" customHeight="1">
      <c r="A4" s="27" t="inlineStr">
        <is>
          <t>(A) Bridge: Newbuild TAM → Newbuild SAM (all programs)</t>
        </is>
      </c>
      <c r="B4" s="28" t="n"/>
    </row>
    <row r="5" ht="10" customHeight="1">
      <c r="A5" s="30" t="inlineStr">
        <is>
          <t>Newbuild TAM</t>
        </is>
      </c>
      <c r="B5" s="31">
        <f>SUMIFS(JB_27BV,JB_B,1,JB_V,"Auxiliary Ships",JB_RC,"ADD")+SUMIFS(JB_27BV,JB_B,1,JB_V,"Combatant Ships",JB_RC,"ADD")+SUMIFS(JB_27BV,JB_B,1,JB_V,"Cutters",JB_RC,"ADD")+SUMIFS(JB_27BV,JB_B,1,JB_V,"Unmanned Maritime Platforms",JB_RC,"ADD")</f>
        <v/>
      </c>
    </row>
    <row r="6" ht="10" customHeight="1">
      <c r="A6" s="30" t="inlineStr">
        <is>
          <t xml:space="preserve">  Less: Submarines</t>
        </is>
      </c>
      <c r="B6" s="31">
        <f>-SUMIFS(JB_27BV,JB_B,1,JB_W,"Submarines",JB_RC,"ADD")</f>
        <v/>
      </c>
    </row>
    <row r="7" ht="10" customHeight="1">
      <c r="A7" s="30" t="inlineStr">
        <is>
          <t xml:space="preserve">  Less: Aircraft Carriers</t>
        </is>
      </c>
      <c r="B7" s="31">
        <f>-SUMIFS(JB_27BV,JB_B,1,JB_W,"Aircraft Carriers",JB_RC,"ADD")</f>
        <v/>
      </c>
    </row>
    <row r="8" ht="10" customHeight="1">
      <c r="A8" s="30" t="inlineStr">
        <is>
          <t xml:space="preserve">  Less: Unmanned Undersea Vehicles</t>
        </is>
      </c>
      <c r="B8" s="31">
        <f>-SUMIFS(JB_27BV,JB_B,1,JB_W,"Unmanned Undersea Vehicles",JB_RC,"ADD")</f>
        <v/>
      </c>
    </row>
    <row r="9" ht="10" customHeight="1">
      <c r="A9" s="32" t="inlineStr">
        <is>
          <t>Newbuild SAM (all programs)</t>
        </is>
      </c>
      <c r="B9" s="33">
        <f>SUM(B5:B8)</f>
        <v/>
      </c>
    </row>
    <row r="10" ht="10" customHeight="1"/>
    <row r="11" ht="10" customHeight="1"/>
    <row r="12" ht="10" customHeight="1">
      <c r="A12" s="27" t="inlineStr">
        <is>
          <t>(B) Newbuild SAM (all programs) by Vessel Type &amp; Sub-Category — FY2027 ($K)</t>
        </is>
      </c>
      <c r="B12" s="28" t="n"/>
      <c r="C12" s="28" t="n"/>
      <c r="D12" s="28" t="n"/>
      <c r="E12" s="28" t="n"/>
      <c r="F12" s="28" t="n"/>
      <c r="G12" s="28" t="n"/>
      <c r="H12" s="28" t="n"/>
    </row>
    <row r="13" ht="10" customHeight="1">
      <c r="A13" s="29" t="inlineStr">
        <is>
          <t>Vessel Type</t>
        </is>
      </c>
      <c r="B13" s="29" t="inlineStr">
        <is>
          <t>Service</t>
        </is>
      </c>
      <c r="C13" s="29" t="inlineStr">
        <is>
          <t>DD&amp;C</t>
        </is>
      </c>
      <c r="D13" s="29" t="inlineStr">
        <is>
          <t>AP/LLTM</t>
        </is>
      </c>
      <c r="E13" s="29" t="inlineStr">
        <is>
          <t>RCOH</t>
        </is>
      </c>
      <c r="F13" s="29" t="inlineStr">
        <is>
          <t>SLEP</t>
        </is>
      </c>
      <c r="G13" s="29" t="inlineStr">
        <is>
          <t>Total</t>
        </is>
      </c>
      <c r="H13" s="29" t="inlineStr">
        <is>
          <t>% of Total</t>
        </is>
      </c>
    </row>
    <row r="14" ht="10" customHeight="1">
      <c r="A14" s="30" t="inlineStr">
        <is>
          <t>Amphibious Warfare Ships</t>
        </is>
      </c>
      <c r="B14" s="30" t="inlineStr">
        <is>
          <t>USN</t>
        </is>
      </c>
      <c r="C14" s="31">
        <f>SUMIFS(JB_27BV,JB_B,1,JB_W,"Amphibious Warfare Ships",JB_F,"Full ship DD&amp;C",JB_RC,"ADD")+SUMIFS(JB_27BV,JB_B,1,JB_W,"Amphibious Warfare Ships",JB_F,"Full ship DD&amp;C / LLTM",JB_RC,"ADD")+SUMIFS(JB_27BV,JB_B,1,JB_W,"Amphibious Warfare Ships",JB_F,"Full vessel procurement",JB_RC,"ADD")</f>
        <v/>
      </c>
      <c r="D14" s="31">
        <f>SUMIFS(JB_27BV,JB_B,1,JB_W,"Amphibious Warfare Ships",JB_F,"Advance procurement / LLTM",JB_RC,"ADD")</f>
        <v/>
      </c>
      <c r="E14" s="31">
        <f>SUMIFS(JB_27BV,JB_B,1,JB_W,"Amphibious Warfare Ships",JB_F,"RCOH",JB_RC,"ADD")</f>
        <v/>
      </c>
      <c r="F14" s="31">
        <f>SUMIFS(JB_27BV,JB_B,1,JB_W,"Amphibious Warfare Ships",JB_F,"SLEP",JB_RC,"ADD")</f>
        <v/>
      </c>
      <c r="G14" s="31">
        <f>SUMIFS(JB_27BV,JB_B,1,JB_W,"Amphibious Warfare Ships",JB_RC,"ADD")</f>
        <v/>
      </c>
      <c r="H14" s="37">
        <f>IFERROR(G14/G$23,0)</f>
        <v/>
      </c>
    </row>
    <row r="15" ht="10" customHeight="1">
      <c r="A15" s="30" t="inlineStr">
        <is>
          <t>Surface Combatants</t>
        </is>
      </c>
      <c r="B15" s="30" t="inlineStr">
        <is>
          <t>USN</t>
        </is>
      </c>
      <c r="C15" s="31">
        <f>SUMIFS(JB_27BV,JB_B,1,JB_W,"Surface Combatants",JB_F,"Full ship DD&amp;C",JB_RC,"ADD")+SUMIFS(JB_27BV,JB_B,1,JB_W,"Surface Combatants",JB_F,"Full ship DD&amp;C / LLTM",JB_RC,"ADD")+SUMIFS(JB_27BV,JB_B,1,JB_W,"Surface Combatants",JB_F,"Full vessel procurement",JB_RC,"ADD")</f>
        <v/>
      </c>
      <c r="D15" s="31">
        <f>SUMIFS(JB_27BV,JB_B,1,JB_W,"Surface Combatants",JB_F,"Advance procurement / LLTM",JB_RC,"ADD")</f>
        <v/>
      </c>
      <c r="E15" s="31">
        <f>SUMIFS(JB_27BV,JB_B,1,JB_W,"Surface Combatants",JB_F,"RCOH",JB_RC,"ADD")</f>
        <v/>
      </c>
      <c r="F15" s="31">
        <f>SUMIFS(JB_27BV,JB_B,1,JB_W,"Surface Combatants",JB_F,"SLEP",JB_RC,"ADD")</f>
        <v/>
      </c>
      <c r="G15" s="31">
        <f>SUMIFS(JB_27BV,JB_B,1,JB_W,"Surface Combatants",JB_RC,"ADD")</f>
        <v/>
      </c>
      <c r="H15" s="37">
        <f>IFERROR(G15/G$23,0)</f>
        <v/>
      </c>
    </row>
    <row r="16" ht="10" customHeight="1">
      <c r="A16" s="30" t="inlineStr">
        <is>
          <t>Material Support Ships</t>
        </is>
      </c>
      <c r="B16" s="30" t="inlineStr">
        <is>
          <t>USN</t>
        </is>
      </c>
      <c r="C16" s="31">
        <f>SUMIFS(JB_27BV,JB_B,1,JB_W,"Material Support Ships",JB_F,"Full ship DD&amp;C",JB_RC,"ADD")+SUMIFS(JB_27BV,JB_B,1,JB_W,"Material Support Ships",JB_F,"Full ship DD&amp;C / LLTM",JB_RC,"ADD")+SUMIFS(JB_27BV,JB_B,1,JB_W,"Material Support Ships",JB_F,"Full vessel procurement",JB_RC,"ADD")</f>
        <v/>
      </c>
      <c r="D16" s="31">
        <f>SUMIFS(JB_27BV,JB_B,1,JB_W,"Material Support Ships",JB_F,"Advance procurement / LLTM",JB_RC,"ADD")</f>
        <v/>
      </c>
      <c r="E16" s="31">
        <f>SUMIFS(JB_27BV,JB_B,1,JB_W,"Material Support Ships",JB_F,"RCOH",JB_RC,"ADD")</f>
        <v/>
      </c>
      <c r="F16" s="31">
        <f>SUMIFS(JB_27BV,JB_B,1,JB_W,"Material Support Ships",JB_F,"SLEP",JB_RC,"ADD")</f>
        <v/>
      </c>
      <c r="G16" s="31">
        <f>SUMIFS(JB_27BV,JB_B,1,JB_W,"Material Support Ships",JB_RC,"ADD")</f>
        <v/>
      </c>
      <c r="H16" s="37">
        <f>IFERROR(G16/G$23,0)</f>
        <v/>
      </c>
    </row>
    <row r="17" ht="10" customHeight="1">
      <c r="A17" s="30" t="inlineStr">
        <is>
          <t>Combat Logistics Ships</t>
        </is>
      </c>
      <c r="B17" s="30" t="inlineStr">
        <is>
          <t>MSC</t>
        </is>
      </c>
      <c r="C17" s="31">
        <f>SUMIFS(JB_27BV,JB_B,1,JB_W,"Combat Logistics Ships",JB_F,"Full ship DD&amp;C",JB_RC,"ADD")+SUMIFS(JB_27BV,JB_B,1,JB_W,"Combat Logistics Ships",JB_F,"Full ship DD&amp;C / LLTM",JB_RC,"ADD")+SUMIFS(JB_27BV,JB_B,1,JB_W,"Combat Logistics Ships",JB_F,"Full vessel procurement",JB_RC,"ADD")</f>
        <v/>
      </c>
      <c r="D17" s="31">
        <f>SUMIFS(JB_27BV,JB_B,1,JB_W,"Combat Logistics Ships",JB_F,"Advance procurement / LLTM",JB_RC,"ADD")</f>
        <v/>
      </c>
      <c r="E17" s="31">
        <f>SUMIFS(JB_27BV,JB_B,1,JB_W,"Combat Logistics Ships",JB_F,"RCOH",JB_RC,"ADD")</f>
        <v/>
      </c>
      <c r="F17" s="31">
        <f>SUMIFS(JB_27BV,JB_B,1,JB_W,"Combat Logistics Ships",JB_F,"SLEP",JB_RC,"ADD")</f>
        <v/>
      </c>
      <c r="G17" s="31">
        <f>SUMIFS(JB_27BV,JB_B,1,JB_W,"Combat Logistics Ships",JB_RC,"ADD")</f>
        <v/>
      </c>
      <c r="H17" s="37">
        <f>IFERROR(G17/G$23,0)</f>
        <v/>
      </c>
    </row>
    <row r="18" ht="10" customHeight="1">
      <c r="A18" s="30" t="inlineStr">
        <is>
          <t>Expeditionary &amp; Seabasing Ships</t>
        </is>
      </c>
      <c r="B18" s="30" t="inlineStr">
        <is>
          <t>USN</t>
        </is>
      </c>
      <c r="C18" s="31">
        <f>SUMIFS(JB_27BV,JB_B,1,JB_W,"Expeditionary &amp; Seabasing Ships",JB_F,"Full ship DD&amp;C",JB_RC,"ADD")+SUMIFS(JB_27BV,JB_B,1,JB_W,"Expeditionary &amp; Seabasing Ships",JB_F,"Full ship DD&amp;C / LLTM",JB_RC,"ADD")+SUMIFS(JB_27BV,JB_B,1,JB_W,"Expeditionary &amp; Seabasing Ships",JB_F,"Full vessel procurement",JB_RC,"ADD")</f>
        <v/>
      </c>
      <c r="D18" s="31">
        <f>SUMIFS(JB_27BV,JB_B,1,JB_W,"Expeditionary &amp; Seabasing Ships",JB_F,"Advance procurement / LLTM",JB_RC,"ADD")</f>
        <v/>
      </c>
      <c r="E18" s="31">
        <f>SUMIFS(JB_27BV,JB_B,1,JB_W,"Expeditionary &amp; Seabasing Ships",JB_F,"RCOH",JB_RC,"ADD")</f>
        <v/>
      </c>
      <c r="F18" s="31">
        <f>SUMIFS(JB_27BV,JB_B,1,JB_W,"Expeditionary &amp; Seabasing Ships",JB_F,"SLEP",JB_RC,"ADD")</f>
        <v/>
      </c>
      <c r="G18" s="31">
        <f>SUMIFS(JB_27BV,JB_B,1,JB_W,"Expeditionary &amp; Seabasing Ships",JB_RC,"ADD")</f>
        <v/>
      </c>
      <c r="H18" s="37">
        <f>IFERROR(G18/G$23,0)</f>
        <v/>
      </c>
    </row>
    <row r="19" ht="10" customHeight="1">
      <c r="A19" s="30" t="inlineStr">
        <is>
          <t>Surveillance Ships</t>
        </is>
      </c>
      <c r="B19" s="30" t="inlineStr">
        <is>
          <t>USN</t>
        </is>
      </c>
      <c r="C19" s="31">
        <f>SUMIFS(JB_27BV,JB_B,1,JB_W,"Surveillance Ships",JB_F,"Full ship DD&amp;C",JB_RC,"ADD")+SUMIFS(JB_27BV,JB_B,1,JB_W,"Surveillance Ships",JB_F,"Full ship DD&amp;C / LLTM",JB_RC,"ADD")+SUMIFS(JB_27BV,JB_B,1,JB_W,"Surveillance Ships",JB_F,"Full vessel procurement",JB_RC,"ADD")</f>
        <v/>
      </c>
      <c r="D19" s="31">
        <f>SUMIFS(JB_27BV,JB_B,1,JB_W,"Surveillance Ships",JB_F,"Advance procurement / LLTM",JB_RC,"ADD")</f>
        <v/>
      </c>
      <c r="E19" s="31">
        <f>SUMIFS(JB_27BV,JB_B,1,JB_W,"Surveillance Ships",JB_F,"RCOH",JB_RC,"ADD")</f>
        <v/>
      </c>
      <c r="F19" s="31">
        <f>SUMIFS(JB_27BV,JB_B,1,JB_W,"Surveillance Ships",JB_F,"SLEP",JB_RC,"ADD")</f>
        <v/>
      </c>
      <c r="G19" s="31">
        <f>SUMIFS(JB_27BV,JB_B,1,JB_W,"Surveillance Ships",JB_RC,"ADD")</f>
        <v/>
      </c>
      <c r="H19" s="37">
        <f>IFERROR(G19/G$23,0)</f>
        <v/>
      </c>
    </row>
    <row r="20" ht="10" customHeight="1">
      <c r="A20" s="30" t="inlineStr">
        <is>
          <t>Hospital Ship</t>
        </is>
      </c>
      <c r="B20" s="30" t="inlineStr">
        <is>
          <t>MSC</t>
        </is>
      </c>
      <c r="C20" s="31">
        <f>SUMIFS(JB_27BV,JB_B,1,JB_W,"Hospital Ship",JB_F,"Full ship DD&amp;C",JB_RC,"ADD")+SUMIFS(JB_27BV,JB_B,1,JB_W,"Hospital Ship",JB_F,"Full ship DD&amp;C / LLTM",JB_RC,"ADD")+SUMIFS(JB_27BV,JB_B,1,JB_W,"Hospital Ship",JB_F,"Full vessel procurement",JB_RC,"ADD")</f>
        <v/>
      </c>
      <c r="D20" s="31">
        <f>SUMIFS(JB_27BV,JB_B,1,JB_W,"Hospital Ship",JB_F,"Advance procurement / LLTM",JB_RC,"ADD")</f>
        <v/>
      </c>
      <c r="E20" s="31">
        <f>SUMIFS(JB_27BV,JB_B,1,JB_W,"Hospital Ship",JB_F,"RCOH",JB_RC,"ADD")</f>
        <v/>
      </c>
      <c r="F20" s="31">
        <f>SUMIFS(JB_27BV,JB_B,1,JB_W,"Hospital Ship",JB_F,"SLEP",JB_RC,"ADD")</f>
        <v/>
      </c>
      <c r="G20" s="31">
        <f>SUMIFS(JB_27BV,JB_B,1,JB_W,"Hospital Ship",JB_RC,"ADD")</f>
        <v/>
      </c>
      <c r="H20" s="37">
        <f>IFERROR(G20/G$23,0)</f>
        <v/>
      </c>
    </row>
    <row r="21" ht="10" customHeight="1">
      <c r="A21" s="30" t="inlineStr">
        <is>
          <t>Cargo &amp; Vehicle Cargo Ships</t>
        </is>
      </c>
      <c r="B21" s="30" t="inlineStr">
        <is>
          <t>USN</t>
        </is>
      </c>
      <c r="C21" s="31">
        <f>SUMIFS(JB_27BV,JB_B,1,JB_W,"Cargo &amp; Vehicle Cargo Ships",JB_F,"Full ship DD&amp;C",JB_RC,"ADD")+SUMIFS(JB_27BV,JB_B,1,JB_W,"Cargo &amp; Vehicle Cargo Ships",JB_F,"Full ship DD&amp;C / LLTM",JB_RC,"ADD")+SUMIFS(JB_27BV,JB_B,1,JB_W,"Cargo &amp; Vehicle Cargo Ships",JB_F,"Full vessel procurement",JB_RC,"ADD")</f>
        <v/>
      </c>
      <c r="D21" s="31">
        <f>SUMIFS(JB_27BV,JB_B,1,JB_W,"Cargo &amp; Vehicle Cargo Ships",JB_F,"Advance procurement / LLTM",JB_RC,"ADD")</f>
        <v/>
      </c>
      <c r="E21" s="31">
        <f>SUMIFS(JB_27BV,JB_B,1,JB_W,"Cargo &amp; Vehicle Cargo Ships",JB_F,"RCOH",JB_RC,"ADD")</f>
        <v/>
      </c>
      <c r="F21" s="31">
        <f>SUMIFS(JB_27BV,JB_B,1,JB_W,"Cargo &amp; Vehicle Cargo Ships",JB_F,"SLEP",JB_RC,"ADD")</f>
        <v/>
      </c>
      <c r="G21" s="31">
        <f>SUMIFS(JB_27BV,JB_B,1,JB_W,"Cargo &amp; Vehicle Cargo Ships",JB_RC,"ADD")</f>
        <v/>
      </c>
      <c r="H21" s="37">
        <f>IFERROR(G21/G$23,0)</f>
        <v/>
      </c>
    </row>
    <row r="22" ht="10" customHeight="1">
      <c r="A22" s="30" t="inlineStr">
        <is>
          <t>Unmanned Surface Vehicles</t>
        </is>
      </c>
      <c r="B22" s="30" t="inlineStr">
        <is>
          <t>USN</t>
        </is>
      </c>
      <c r="C22" s="31">
        <f>SUMIFS(JB_27BV,JB_B,1,JB_W,"Unmanned Surface Vehicles",JB_F,"Full ship DD&amp;C",JB_RC,"ADD")+SUMIFS(JB_27BV,JB_B,1,JB_W,"Unmanned Surface Vehicles",JB_F,"Full ship DD&amp;C / LLTM",JB_RC,"ADD")+SUMIFS(JB_27BV,JB_B,1,JB_W,"Unmanned Surface Vehicles",JB_F,"Full vessel procurement",JB_RC,"ADD")</f>
        <v/>
      </c>
      <c r="D22" s="31">
        <f>SUMIFS(JB_27BV,JB_B,1,JB_W,"Unmanned Surface Vehicles",JB_F,"Advance procurement / LLTM",JB_RC,"ADD")</f>
        <v/>
      </c>
      <c r="E22" s="31">
        <f>SUMIFS(JB_27BV,JB_B,1,JB_W,"Unmanned Surface Vehicles",JB_F,"RCOH",JB_RC,"ADD")</f>
        <v/>
      </c>
      <c r="F22" s="31">
        <f>SUMIFS(JB_27BV,JB_B,1,JB_W,"Unmanned Surface Vehicles",JB_F,"SLEP",JB_RC,"ADD")</f>
        <v/>
      </c>
      <c r="G22" s="31">
        <f>SUMIFS(JB_27BV,JB_B,1,JB_W,"Unmanned Surface Vehicles",JB_RC,"ADD")</f>
        <v/>
      </c>
      <c r="H22" s="37">
        <f>IFERROR(G22/G$23,0)</f>
        <v/>
      </c>
    </row>
    <row r="23" ht="10" customHeight="1">
      <c r="A23" s="32" t="inlineStr">
        <is>
          <t>Newbuild SAM (all programs)</t>
        </is>
      </c>
      <c r="B23" s="32" t="inlineStr"/>
      <c r="C23" s="33">
        <f>SUM(C14:C22)</f>
        <v/>
      </c>
      <c r="D23" s="33">
        <f>SUM(D14:D22)</f>
        <v/>
      </c>
      <c r="E23" s="33">
        <f>SUM(E14:E22)</f>
        <v/>
      </c>
      <c r="F23" s="33">
        <f>SUM(F14:F22)</f>
        <v/>
      </c>
      <c r="G23" s="33">
        <f>SUM(G14:G22)</f>
        <v/>
      </c>
      <c r="H23" s="38" t="n">
        <v>1</v>
      </c>
    </row>
    <row r="24" ht="10" customHeight="1"/>
    <row r="25" ht="10" customHeight="1"/>
    <row r="26" ht="10" customHeight="1">
      <c r="A26" s="27" t="inlineStr">
        <is>
          <t>(C) Newbuild SAM (all programs) by Hull Program — FY2027 ($K)</t>
        </is>
      </c>
      <c r="B26" s="28" t="n"/>
      <c r="C26" s="28" t="n"/>
      <c r="D26" s="28" t="n"/>
      <c r="E26" s="28" t="n"/>
      <c r="F26" s="28" t="n"/>
      <c r="G26" s="28" t="n"/>
      <c r="H26" s="28" t="n"/>
      <c r="I26" s="28" t="n"/>
    </row>
    <row r="27" ht="10" customHeight="1">
      <c r="A27" s="26" t="inlineStr">
        <is>
          <t>Same funding as (B) broken down to individual hull programs — the level at which budget line items are traceable.</t>
        </is>
      </c>
    </row>
    <row r="28" ht="10" customHeight="1">
      <c r="A28" s="29" t="inlineStr">
        <is>
          <t>Hull Program</t>
        </is>
      </c>
      <c r="B28" s="29" t="inlineStr">
        <is>
          <t>Vessel Type</t>
        </is>
      </c>
      <c r="C28" s="29" t="inlineStr">
        <is>
          <t>Service</t>
        </is>
      </c>
      <c r="D28" s="29" t="inlineStr">
        <is>
          <t>DD&amp;C</t>
        </is>
      </c>
      <c r="E28" s="29" t="inlineStr">
        <is>
          <t>AP/LLTM</t>
        </is>
      </c>
      <c r="F28" s="29" t="inlineStr">
        <is>
          <t>RCOH</t>
        </is>
      </c>
      <c r="G28" s="29" t="inlineStr">
        <is>
          <t>SLEP</t>
        </is>
      </c>
      <c r="H28" s="29" t="inlineStr">
        <is>
          <t>Total</t>
        </is>
      </c>
      <c r="I28" s="29" t="inlineStr">
        <is>
          <t>% of Total</t>
        </is>
      </c>
    </row>
    <row r="29" ht="10" customHeight="1">
      <c r="A29" s="30" t="inlineStr">
        <is>
          <t>AS</t>
        </is>
      </c>
      <c r="B29" s="30" t="inlineStr">
        <is>
          <t>Material Support Ships</t>
        </is>
      </c>
      <c r="C29" s="30" t="inlineStr">
        <is>
          <t>USN</t>
        </is>
      </c>
      <c r="D29" s="31">
        <f>SUMIFS(JB_27BV,JB_B,1,JB_H,"AS",JB_F,"Full ship DD&amp;C",JB_RC,"ADD")+SUMIFS(JB_27BV,JB_B,1,JB_H,"AS",JB_F,"Full ship DD&amp;C / LLTM",JB_RC,"ADD")+SUMIFS(JB_27BV,JB_B,1,JB_H,"AS",JB_F,"Full vessel procurement",JB_RC,"ADD")</f>
        <v/>
      </c>
      <c r="E29" s="31">
        <f>SUMIFS(JB_27BV,JB_B,1,JB_H,"AS",JB_F,"Advance procurement / LLTM",JB_RC,"ADD")</f>
        <v/>
      </c>
      <c r="F29" s="31">
        <f>SUMIFS(JB_27BV,JB_B,1,JB_H,"AS",JB_F,"RCOH",JB_RC,"ADD")</f>
        <v/>
      </c>
      <c r="G29" s="31">
        <f>SUMIFS(JB_27BV,JB_B,1,JB_H,"AS",JB_F,"SLEP",JB_RC,"ADD")</f>
        <v/>
      </c>
      <c r="H29" s="31">
        <f>SUMIFS(JB_27BV,JB_B,1,JB_H,"AS",JB_RC,"ADD")</f>
        <v/>
      </c>
      <c r="I29" s="37">
        <f>IFERROR(H29/H$40,0)</f>
        <v/>
      </c>
    </row>
    <row r="30" ht="10" customHeight="1">
      <c r="A30" s="30" t="inlineStr">
        <is>
          <t>LHA</t>
        </is>
      </c>
      <c r="B30" s="30" t="inlineStr">
        <is>
          <t>Amphibious Warfare Ships</t>
        </is>
      </c>
      <c r="C30" s="30" t="inlineStr">
        <is>
          <t>USN</t>
        </is>
      </c>
      <c r="D30" s="31">
        <f>SUMIFS(JB_27BV,JB_B,1,JB_H,"LHA",JB_F,"Full ship DD&amp;C",JB_RC,"ADD")+SUMIFS(JB_27BV,JB_B,1,JB_H,"LHA",JB_F,"Full ship DD&amp;C / LLTM",JB_RC,"ADD")+SUMIFS(JB_27BV,JB_B,1,JB_H,"LHA",JB_F,"Full vessel procurement",JB_RC,"ADD")</f>
        <v/>
      </c>
      <c r="E30" s="31">
        <f>SUMIFS(JB_27BV,JB_B,1,JB_H,"LHA",JB_F,"Advance procurement / LLTM",JB_RC,"ADD")</f>
        <v/>
      </c>
      <c r="F30" s="31">
        <f>SUMIFS(JB_27BV,JB_B,1,JB_H,"LHA",JB_F,"RCOH",JB_RC,"ADD")</f>
        <v/>
      </c>
      <c r="G30" s="31">
        <f>SUMIFS(JB_27BV,JB_B,1,JB_H,"LHA",JB_F,"SLEP",JB_RC,"ADD")</f>
        <v/>
      </c>
      <c r="H30" s="31">
        <f>SUMIFS(JB_27BV,JB_B,1,JB_H,"LHA",JB_RC,"ADD")</f>
        <v/>
      </c>
      <c r="I30" s="37">
        <f>IFERROR(H30/H$40,0)</f>
        <v/>
      </c>
    </row>
    <row r="31" ht="10" customHeight="1">
      <c r="A31" s="30" t="inlineStr">
        <is>
          <t>DDG</t>
        </is>
      </c>
      <c r="B31" s="30" t="inlineStr">
        <is>
          <t>Surface Combatants</t>
        </is>
      </c>
      <c r="C31" s="30" t="inlineStr">
        <is>
          <t>USN</t>
        </is>
      </c>
      <c r="D31" s="31">
        <f>SUMIFS(JB_27BV,JB_B,1,JB_H,"DDG",JB_F,"Full ship DD&amp;C",JB_RC,"ADD")+SUMIFS(JB_27BV,JB_B,1,JB_H,"DDG",JB_F,"Full ship DD&amp;C / LLTM",JB_RC,"ADD")+SUMIFS(JB_27BV,JB_B,1,JB_H,"DDG",JB_F,"Full vessel procurement",JB_RC,"ADD")</f>
        <v/>
      </c>
      <c r="E31" s="31">
        <f>SUMIFS(JB_27BV,JB_B,1,JB_H,"DDG",JB_F,"Advance procurement / LLTM",JB_RC,"ADD")</f>
        <v/>
      </c>
      <c r="F31" s="31">
        <f>SUMIFS(JB_27BV,JB_B,1,JB_H,"DDG",JB_F,"RCOH",JB_RC,"ADD")</f>
        <v/>
      </c>
      <c r="G31" s="31">
        <f>SUMIFS(JB_27BV,JB_B,1,JB_H,"DDG",JB_F,"SLEP",JB_RC,"ADD")</f>
        <v/>
      </c>
      <c r="H31" s="31">
        <f>SUMIFS(JB_27BV,JB_B,1,JB_H,"DDG",JB_RC,"ADD")</f>
        <v/>
      </c>
      <c r="I31" s="37">
        <f>IFERROR(H31/H$40,0)</f>
        <v/>
      </c>
    </row>
    <row r="32" ht="10" customHeight="1">
      <c r="A32" s="30" t="inlineStr">
        <is>
          <t>LPD</t>
        </is>
      </c>
      <c r="B32" s="30" t="inlineStr">
        <is>
          <t>Amphibious Warfare Ships</t>
        </is>
      </c>
      <c r="C32" s="30" t="inlineStr">
        <is>
          <t>USN</t>
        </is>
      </c>
      <c r="D32" s="31">
        <f>SUMIFS(JB_27BV,JB_B,1,JB_H,"LPD",JB_F,"Full ship DD&amp;C",JB_RC,"ADD")+SUMIFS(JB_27BV,JB_B,1,JB_H,"LPD",JB_F,"Full ship DD&amp;C / LLTM",JB_RC,"ADD")+SUMIFS(JB_27BV,JB_B,1,JB_H,"LPD",JB_F,"Full vessel procurement",JB_RC,"ADD")</f>
        <v/>
      </c>
      <c r="E32" s="31">
        <f>SUMIFS(JB_27BV,JB_B,1,JB_H,"LPD",JB_F,"Advance procurement / LLTM",JB_RC,"ADD")</f>
        <v/>
      </c>
      <c r="F32" s="31">
        <f>SUMIFS(JB_27BV,JB_B,1,JB_H,"LPD",JB_F,"RCOH",JB_RC,"ADD")</f>
        <v/>
      </c>
      <c r="G32" s="31">
        <f>SUMIFS(JB_27BV,JB_B,1,JB_H,"LPD",JB_F,"SLEP",JB_RC,"ADD")</f>
        <v/>
      </c>
      <c r="H32" s="31">
        <f>SUMIFS(JB_27BV,JB_B,1,JB_H,"LPD",JB_RC,"ADD")</f>
        <v/>
      </c>
      <c r="I32" s="37">
        <f>IFERROR(H32/H$40,0)</f>
        <v/>
      </c>
    </row>
    <row r="33" ht="10" customHeight="1">
      <c r="A33" s="30" t="inlineStr">
        <is>
          <t>T-AO</t>
        </is>
      </c>
      <c r="B33" s="30" t="inlineStr">
        <is>
          <t>Combat Logistics Ships</t>
        </is>
      </c>
      <c r="C33" s="30" t="inlineStr">
        <is>
          <t>MSC</t>
        </is>
      </c>
      <c r="D33" s="31">
        <f>SUMIFS(JB_27BV,JB_B,1,JB_H,"T-AO",JB_F,"Full ship DD&amp;C",JB_RC,"ADD")+SUMIFS(JB_27BV,JB_B,1,JB_H,"T-AO",JB_F,"Full ship DD&amp;C / LLTM",JB_RC,"ADD")+SUMIFS(JB_27BV,JB_B,1,JB_H,"T-AO",JB_F,"Full vessel procurement",JB_RC,"ADD")</f>
        <v/>
      </c>
      <c r="E33" s="31">
        <f>SUMIFS(JB_27BV,JB_B,1,JB_H,"T-AO",JB_F,"Advance procurement / LLTM",JB_RC,"ADD")</f>
        <v/>
      </c>
      <c r="F33" s="31">
        <f>SUMIFS(JB_27BV,JB_B,1,JB_H,"T-AO",JB_F,"RCOH",JB_RC,"ADD")</f>
        <v/>
      </c>
      <c r="G33" s="31">
        <f>SUMIFS(JB_27BV,JB_B,1,JB_H,"T-AO",JB_F,"SLEP",JB_RC,"ADD")</f>
        <v/>
      </c>
      <c r="H33" s="31">
        <f>SUMIFS(JB_27BV,JB_B,1,JB_H,"T-AO",JB_RC,"ADD")</f>
        <v/>
      </c>
      <c r="I33" s="37">
        <f>IFERROR(H33/H$40,0)</f>
        <v/>
      </c>
    </row>
    <row r="34" ht="10" customHeight="1">
      <c r="A34" s="30" t="inlineStr">
        <is>
          <t>LSM</t>
        </is>
      </c>
      <c r="B34" s="30" t="inlineStr">
        <is>
          <t>Expeditionary &amp; Seabasing Ships</t>
        </is>
      </c>
      <c r="C34" s="30" t="inlineStr">
        <is>
          <t>USN</t>
        </is>
      </c>
      <c r="D34" s="31">
        <f>SUMIFS(JB_27BV,JB_B,1,JB_H,"LSM",JB_F,"Full ship DD&amp;C",JB_RC,"ADD")+SUMIFS(JB_27BV,JB_B,1,JB_H,"LSM",JB_F,"Full ship DD&amp;C / LLTM",JB_RC,"ADD")+SUMIFS(JB_27BV,JB_B,1,JB_H,"LSM",JB_F,"Full vessel procurement",JB_RC,"ADD")</f>
        <v/>
      </c>
      <c r="E34" s="31">
        <f>SUMIFS(JB_27BV,JB_B,1,JB_H,"LSM",JB_F,"Advance procurement / LLTM",JB_RC,"ADD")</f>
        <v/>
      </c>
      <c r="F34" s="31">
        <f>SUMIFS(JB_27BV,JB_B,1,JB_H,"LSM",JB_F,"RCOH",JB_RC,"ADD")</f>
        <v/>
      </c>
      <c r="G34" s="31">
        <f>SUMIFS(JB_27BV,JB_B,1,JB_H,"LSM",JB_F,"SLEP",JB_RC,"ADD")</f>
        <v/>
      </c>
      <c r="H34" s="31">
        <f>SUMIFS(JB_27BV,JB_B,1,JB_H,"LSM",JB_RC,"ADD")</f>
        <v/>
      </c>
      <c r="I34" s="37">
        <f>IFERROR(H34/H$40,0)</f>
        <v/>
      </c>
    </row>
    <row r="35" ht="10" customHeight="1">
      <c r="A35" s="30" t="inlineStr">
        <is>
          <t>FFG</t>
        </is>
      </c>
      <c r="B35" s="30" t="inlineStr">
        <is>
          <t>Surface Combatants</t>
        </is>
      </c>
      <c r="C35" s="30" t="inlineStr">
        <is>
          <t>USN</t>
        </is>
      </c>
      <c r="D35" s="31">
        <f>SUMIFS(JB_27BV,JB_B,1,JB_H,"FFG",JB_F,"Full ship DD&amp;C",JB_RC,"ADD")+SUMIFS(JB_27BV,JB_B,1,JB_H,"FFG",JB_F,"Full ship DD&amp;C / LLTM",JB_RC,"ADD")+SUMIFS(JB_27BV,JB_B,1,JB_H,"FFG",JB_F,"Full vessel procurement",JB_RC,"ADD")</f>
        <v/>
      </c>
      <c r="E35" s="31">
        <f>SUMIFS(JB_27BV,JB_B,1,JB_H,"FFG",JB_F,"Advance procurement / LLTM",JB_RC,"ADD")</f>
        <v/>
      </c>
      <c r="F35" s="31">
        <f>SUMIFS(JB_27BV,JB_B,1,JB_H,"FFG",JB_F,"RCOH",JB_RC,"ADD")</f>
        <v/>
      </c>
      <c r="G35" s="31">
        <f>SUMIFS(JB_27BV,JB_B,1,JB_H,"FFG",JB_F,"SLEP",JB_RC,"ADD")</f>
        <v/>
      </c>
      <c r="H35" s="31">
        <f>SUMIFS(JB_27BV,JB_B,1,JB_H,"FFG",JB_RC,"ADD")</f>
        <v/>
      </c>
      <c r="I35" s="37">
        <f>IFERROR(H35/H$40,0)</f>
        <v/>
      </c>
    </row>
    <row r="36" ht="10" customHeight="1">
      <c r="A36" s="30" t="inlineStr">
        <is>
          <t>T-AGOS</t>
        </is>
      </c>
      <c r="B36" s="30" t="inlineStr">
        <is>
          <t>Surveillance Ships</t>
        </is>
      </c>
      <c r="C36" s="30" t="inlineStr">
        <is>
          <t>MSC</t>
        </is>
      </c>
      <c r="D36" s="31">
        <f>SUMIFS(JB_27BV,JB_B,1,JB_H,"T-AGOS",JB_F,"Full ship DD&amp;C",JB_RC,"ADD")+SUMIFS(JB_27BV,JB_B,1,JB_H,"T-AGOS",JB_F,"Full ship DD&amp;C / LLTM",JB_RC,"ADD")+SUMIFS(JB_27BV,JB_B,1,JB_H,"T-AGOS",JB_F,"Full vessel procurement",JB_RC,"ADD")</f>
        <v/>
      </c>
      <c r="E36" s="31">
        <f>SUMIFS(JB_27BV,JB_B,1,JB_H,"T-AGOS",JB_F,"Advance procurement / LLTM",JB_RC,"ADD")</f>
        <v/>
      </c>
      <c r="F36" s="31">
        <f>SUMIFS(JB_27BV,JB_B,1,JB_H,"T-AGOS",JB_F,"RCOH",JB_RC,"ADD")</f>
        <v/>
      </c>
      <c r="G36" s="31">
        <f>SUMIFS(JB_27BV,JB_B,1,JB_H,"T-AGOS",JB_F,"SLEP",JB_RC,"ADD")</f>
        <v/>
      </c>
      <c r="H36" s="31">
        <f>SUMIFS(JB_27BV,JB_B,1,JB_H,"T-AGOS",JB_RC,"ADD")</f>
        <v/>
      </c>
      <c r="I36" s="37">
        <f>IFERROR(H36/H$40,0)</f>
        <v/>
      </c>
    </row>
    <row r="37" ht="10" customHeight="1">
      <c r="A37" s="30" t="inlineStr">
        <is>
          <t>T-AH</t>
        </is>
      </c>
      <c r="B37" s="30" t="inlineStr">
        <is>
          <t>Hospital Ship</t>
        </is>
      </c>
      <c r="C37" s="30" t="inlineStr">
        <is>
          <t>MSC</t>
        </is>
      </c>
      <c r="D37" s="31">
        <f>SUMIFS(JB_27BV,JB_B,1,JB_H,"T-AH",JB_F,"Full ship DD&amp;C",JB_RC,"ADD")+SUMIFS(JB_27BV,JB_B,1,JB_H,"T-AH",JB_F,"Full ship DD&amp;C / LLTM",JB_RC,"ADD")+SUMIFS(JB_27BV,JB_B,1,JB_H,"T-AH",JB_F,"Full vessel procurement",JB_RC,"ADD")</f>
        <v/>
      </c>
      <c r="E37" s="31">
        <f>SUMIFS(JB_27BV,JB_B,1,JB_H,"T-AH",JB_F,"Advance procurement / LLTM",JB_RC,"ADD")</f>
        <v/>
      </c>
      <c r="F37" s="31">
        <f>SUMIFS(JB_27BV,JB_B,1,JB_H,"T-AH",JB_F,"RCOH",JB_RC,"ADD")</f>
        <v/>
      </c>
      <c r="G37" s="31">
        <f>SUMIFS(JB_27BV,JB_B,1,JB_H,"T-AH",JB_F,"SLEP",JB_RC,"ADD")</f>
        <v/>
      </c>
      <c r="H37" s="31">
        <f>SUMIFS(JB_27BV,JB_B,1,JB_H,"T-AH",JB_RC,"ADD")</f>
        <v/>
      </c>
      <c r="I37" s="37">
        <f>IFERROR(H37/H$40,0)</f>
        <v/>
      </c>
    </row>
    <row r="38" ht="10" customHeight="1">
      <c r="A38" s="30" t="inlineStr">
        <is>
          <t>T-AKR</t>
        </is>
      </c>
      <c r="B38" s="30" t="inlineStr">
        <is>
          <t>Cargo &amp; Vehicle Cargo Ships</t>
        </is>
      </c>
      <c r="C38" s="30" t="inlineStr">
        <is>
          <t>MSC</t>
        </is>
      </c>
      <c r="D38" s="31">
        <f>SUMIFS(JB_27BV,JB_B,1,JB_H,"T-AKR",JB_F,"Full ship DD&amp;C",JB_RC,"ADD")+SUMIFS(JB_27BV,JB_B,1,JB_H,"T-AKR",JB_F,"Full ship DD&amp;C / LLTM",JB_RC,"ADD")+SUMIFS(JB_27BV,JB_B,1,JB_H,"T-AKR",JB_F,"Full vessel procurement",JB_RC,"ADD")</f>
        <v/>
      </c>
      <c r="E38" s="31">
        <f>SUMIFS(JB_27BV,JB_B,1,JB_H,"T-AKR",JB_F,"Advance procurement / LLTM",JB_RC,"ADD")</f>
        <v/>
      </c>
      <c r="F38" s="31">
        <f>SUMIFS(JB_27BV,JB_B,1,JB_H,"T-AKR",JB_F,"RCOH",JB_RC,"ADD")</f>
        <v/>
      </c>
      <c r="G38" s="31">
        <f>SUMIFS(JB_27BV,JB_B,1,JB_H,"T-AKR",JB_F,"SLEP",JB_RC,"ADD")</f>
        <v/>
      </c>
      <c r="H38" s="31">
        <f>SUMIFS(JB_27BV,JB_B,1,JB_H,"T-AKR",JB_RC,"ADD")</f>
        <v/>
      </c>
      <c r="I38" s="37">
        <f>IFERROR(H38/H$40,0)</f>
        <v/>
      </c>
    </row>
    <row r="39" ht="10" customHeight="1">
      <c r="A39" s="30" t="inlineStr">
        <is>
          <t>MUSV</t>
        </is>
      </c>
      <c r="B39" s="30" t="inlineStr">
        <is>
          <t>Unmanned Surface Vehicles</t>
        </is>
      </c>
      <c r="C39" s="30" t="inlineStr">
        <is>
          <t>USN</t>
        </is>
      </c>
      <c r="D39" s="31">
        <f>SUMIFS(JB_27BV,JB_B,1,JB_H,"MUSV",JB_F,"Full ship DD&amp;C",JB_RC,"ADD")+SUMIFS(JB_27BV,JB_B,1,JB_H,"MUSV",JB_F,"Full ship DD&amp;C / LLTM",JB_RC,"ADD")+SUMIFS(JB_27BV,JB_B,1,JB_H,"MUSV",JB_F,"Full vessel procurement",JB_RC,"ADD")</f>
        <v/>
      </c>
      <c r="E39" s="31">
        <f>SUMIFS(JB_27BV,JB_B,1,JB_H,"MUSV",JB_F,"Advance procurement / LLTM",JB_RC,"ADD")</f>
        <v/>
      </c>
      <c r="F39" s="31">
        <f>SUMIFS(JB_27BV,JB_B,1,JB_H,"MUSV",JB_F,"RCOH",JB_RC,"ADD")</f>
        <v/>
      </c>
      <c r="G39" s="31">
        <f>SUMIFS(JB_27BV,JB_B,1,JB_H,"MUSV",JB_F,"SLEP",JB_RC,"ADD")</f>
        <v/>
      </c>
      <c r="H39" s="31">
        <f>SUMIFS(JB_27BV,JB_B,1,JB_H,"MUSV",JB_RC,"ADD")</f>
        <v/>
      </c>
      <c r="I39" s="37">
        <f>IFERROR(H39/H$40,0)</f>
        <v/>
      </c>
    </row>
    <row r="40" ht="10" customHeight="1">
      <c r="A40" s="32" t="inlineStr">
        <is>
          <t>Newbuild SAM (all programs)</t>
        </is>
      </c>
      <c r="B40" s="32" t="inlineStr"/>
      <c r="C40" s="32" t="inlineStr"/>
      <c r="D40" s="33">
        <f>SUM(D29:D39)</f>
        <v/>
      </c>
      <c r="E40" s="33">
        <f>SUM(E29:E39)</f>
        <v/>
      </c>
      <c r="F40" s="33">
        <f>SUM(F29:F39)</f>
        <v/>
      </c>
      <c r="G40" s="33">
        <f>SUM(G29:G39)</f>
        <v/>
      </c>
      <c r="H40" s="33">
        <f>SUM(H29:H39)</f>
        <v/>
      </c>
      <c r="I40" s="38" t="n">
        <v>1</v>
      </c>
    </row>
    <row r="41" ht="10" customHeight="1"/>
    <row r="42" ht="10" customHeight="1">
      <c r="A42" s="26" t="inlineStr">
        <is>
          <t>Justification books (P-5c, P-8a) not yet released for FY27 — cost-element breakdown and Newbuild SAM (cost-element coverage) are not available.</t>
        </is>
      </c>
    </row>
  </sheetData>
  <pageMargins left="0.75" right="0.75" top="1" bottom="1" header="0.5" footer="0.5"/>
</worksheet>
</file>

<file path=xl/worksheets/sheet12.xml><?xml version="1.0" encoding="utf-8"?>
<worksheet xmlns="http://schemas.openxmlformats.org/spreadsheetml/2006/main">
  <sheetPr>
    <tabColor rgb="00548235"/>
    <outlinePr summaryBelow="1" summaryRight="1"/>
    <pageSetUpPr/>
  </sheetPr>
  <dimension ref="A1:J63"/>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10" customHeight="1">
      <c r="A1" s="24" t="inlineStr">
        <is>
          <t>MRO TAM — FY2027 ($K)</t>
        </is>
      </c>
      <c r="B1" s="25" t="n"/>
      <c r="C1" s="25" t="n"/>
      <c r="D1" s="25" t="n"/>
      <c r="E1" s="25" t="n"/>
      <c r="F1" s="25" t="n"/>
      <c r="G1" s="25" t="n"/>
      <c r="H1" s="25" t="n"/>
      <c r="I1" s="25" t="n"/>
      <c r="J1" s="25" t="n"/>
    </row>
    <row r="2" ht="10" customHeight="1">
      <c r="A2" s="26" t="inlineStr">
        <is>
          <t>Total Funding narrowed to all post-construction work — depot maintenance, continuous &amp; emergent repair, modernization &amp; alterations, major life-cycle events, sustainment engineering, and availability support — and only oceangoing vessels. Same vessel scope as Newbuild TAM; limited to line items with clear vessel type designation.</t>
        </is>
      </c>
    </row>
    <row r="3" ht="10" customHeight="1"/>
    <row r="4" ht="10" customHeight="1">
      <c r="A4" s="27" t="inlineStr">
        <is>
          <t>(A) Bridge: Total MRO Funding → MRO TAM</t>
        </is>
      </c>
      <c r="B4" s="28" t="n"/>
    </row>
    <row r="5" ht="10" customHeight="1">
      <c r="A5" s="30" t="inlineStr">
        <is>
          <t>Total MRO Funding (Buckets 2–7)</t>
        </is>
      </c>
      <c r="B5" s="31">
        <f>SUMIFS(JB_27BV,JB_B,2,JB_RC,"ADD")+SUMIFS(JB_27BV,JB_B,3,JB_RC,"ADD")+SUMIFS(JB_27BV,JB_B,4,JB_RC,"ADD")+SUMIFS(JB_27BV,JB_B,5,JB_RC,"ADD")+SUMIFS(JB_27BV,JB_B,6,JB_RC,"ADD")+SUMIFS(JB_27BV,JB_B,7,JB_RC,"ADD")</f>
        <v/>
      </c>
    </row>
    <row r="6" ht="10" customHeight="1">
      <c r="A6" s="30" t="inlineStr">
        <is>
          <t xml:space="preserve">  Less: Unattributed (fleet-wide MRO items)</t>
        </is>
      </c>
      <c r="B6" s="31">
        <f>-(SUMIFS(JB_27BV,JB_B,2,JB_V,"",JB_RC,"ADD")+SUMIFS(JB_27BV,JB_B,3,JB_V,"",JB_RC,"ADD")+SUMIFS(JB_27BV,JB_B,4,JB_V,"",JB_RC,"ADD")+SUMIFS(JB_27BV,JB_B,5,JB_V,"",JB_RC,"ADD")+SUMIFS(JB_27BV,JB_B,6,JB_V,"",JB_RC,"ADD")+SUMIFS(JB_27BV,JB_B,7,JB_V,"",JB_RC,"ADD"))</f>
        <v/>
      </c>
    </row>
    <row r="7" ht="10" customHeight="1">
      <c r="A7" s="30" t="inlineStr">
        <is>
          <t xml:space="preserve">  Less: Combatant Crafts</t>
        </is>
      </c>
      <c r="B7" s="31">
        <f>-(SUMIFS(JB_27BV,JB_B,2,JB_V,"Combatant Crafts",JB_RC,"ADD")+SUMIFS(JB_27BV,JB_B,3,JB_V,"Combatant Crafts",JB_RC,"ADD")+SUMIFS(JB_27BV,JB_B,4,JB_V,"Combatant Crafts",JB_RC,"ADD")+SUMIFS(JB_27BV,JB_B,5,JB_V,"Combatant Crafts",JB_RC,"ADD")+SUMIFS(JB_27BV,JB_B,6,JB_V,"Combatant Crafts",JB_RC,"ADD")+SUMIFS(JB_27BV,JB_B,7,JB_V,"Combatant Crafts",JB_RC,"ADD"))</f>
        <v/>
      </c>
    </row>
    <row r="8" ht="10" customHeight="1">
      <c r="A8" s="30" t="inlineStr">
        <is>
          <t xml:space="preserve">  Less: Support Crafts</t>
        </is>
      </c>
      <c r="B8" s="31">
        <f>-(SUMIFS(JB_27BV,JB_B,2,JB_V,"Support Crafts",JB_RC,"ADD")+SUMIFS(JB_27BV,JB_B,3,JB_V,"Support Crafts",JB_RC,"ADD")+SUMIFS(JB_27BV,JB_B,4,JB_V,"Support Crafts",JB_RC,"ADD")+SUMIFS(JB_27BV,JB_B,5,JB_V,"Support Crafts",JB_RC,"ADD")+SUMIFS(JB_27BV,JB_B,6,JB_V,"Support Crafts",JB_RC,"ADD")+SUMIFS(JB_27BV,JB_B,7,JB_V,"Support Crafts",JB_RC,"ADD"))</f>
        <v/>
      </c>
    </row>
    <row r="9" ht="10" customHeight="1">
      <c r="A9" s="30" t="inlineStr">
        <is>
          <t xml:space="preserve">  Less: Boats</t>
        </is>
      </c>
      <c r="B9" s="31">
        <f>-(SUMIFS(JB_27BV,JB_B,2,JB_V,"Boats",JB_RC,"ADD")+SUMIFS(JB_27BV,JB_B,3,JB_V,"Boats",JB_RC,"ADD")+SUMIFS(JB_27BV,JB_B,4,JB_V,"Boats",JB_RC,"ADD")+SUMIFS(JB_27BV,JB_B,5,JB_V,"Boats",JB_RC,"ADD")+SUMIFS(JB_27BV,JB_B,6,JB_V,"Boats",JB_RC,"ADD")+SUMIFS(JB_27BV,JB_B,7,JB_V,"Boats",JB_RC,"ADD"))</f>
        <v/>
      </c>
    </row>
    <row r="10" ht="10" customHeight="1">
      <c r="A10" s="30" t="inlineStr">
        <is>
          <t xml:space="preserve">  Less: No vessel type designation</t>
        </is>
      </c>
      <c r="B10" s="31">
        <f>-(SUMIFS(JB_27BV,JB_B,2,JB_V,"Auxiliary Ships",JB_W,"",JB_RC,"ADD")+SUMIFS(JB_27BV,JB_B,2,JB_V,"Combatant Ships",JB_W,"",JB_RC,"ADD")+SUMIFS(JB_27BV,JB_B,2,JB_V,"Cutters",JB_W,"",JB_RC,"ADD")+SUMIFS(JB_27BV,JB_B,2,JB_V,"Unmanned Maritime Platforms",JB_W,"",JB_RC,"ADD")+SUMIFS(JB_27BV,JB_B,3,JB_V,"Auxiliary Ships",JB_W,"",JB_RC,"ADD")+SUMIFS(JB_27BV,JB_B,3,JB_V,"Combatant Ships",JB_W,"",JB_RC,"ADD")+SUMIFS(JB_27BV,JB_B,3,JB_V,"Cutters",JB_W,"",JB_RC,"ADD")+SUMIFS(JB_27BV,JB_B,3,JB_V,"Unmanned Maritime Platforms",JB_W,"",JB_RC,"ADD")+SUMIFS(JB_27BV,JB_B,4,JB_V,"Auxiliary Ships",JB_W,"",JB_RC,"ADD")+SUMIFS(JB_27BV,JB_B,4,JB_V,"Combatant Ships",JB_W,"",JB_RC,"ADD")+SUMIFS(JB_27BV,JB_B,4,JB_V,"Cutters",JB_W,"",JB_RC,"ADD")+SUMIFS(JB_27BV,JB_B,4,JB_V,"Unmanned Maritime Platforms",JB_W,"",JB_RC,"ADD")+SUMIFS(JB_27BV,JB_B,5,JB_V,"Auxiliary Ships",JB_W,"",JB_RC,"ADD")+SUMIFS(JB_27BV,JB_B,5,JB_V,"Combatant Ships",JB_W,"",JB_RC,"ADD")+SUMIFS(JB_27BV,JB_B,5,JB_V,"Cutters",JB_W,"",JB_RC,"ADD")+SUMIFS(JB_27BV,JB_B,5,JB_V,"Unmanned Maritime Platforms",JB_W,"",JB_RC,"ADD")+SUMIFS(JB_27BV,JB_B,6,JB_V,"Auxiliary Ships",JB_W,"",JB_RC,"ADD")+SUMIFS(JB_27BV,JB_B,6,JB_V,"Combatant Ships",JB_W,"",JB_RC,"ADD")+SUMIFS(JB_27BV,JB_B,6,JB_V,"Cutters",JB_W,"",JB_RC,"ADD")+SUMIFS(JB_27BV,JB_B,6,JB_V,"Unmanned Maritime Platforms",JB_W,"",JB_RC,"ADD")+SUMIFS(JB_27BV,JB_B,7,JB_V,"Auxiliary Ships",JB_W,"",JB_RC,"ADD")+SUMIFS(JB_27BV,JB_B,7,JB_V,"Combatant Ships",JB_W,"",JB_RC,"ADD")+SUMIFS(JB_27BV,JB_B,7,JB_V,"Cutters",JB_W,"",JB_RC,"ADD")+SUMIFS(JB_27BV,JB_B,7,JB_V,"Unmanned Maritime Platforms",JB_W,"",JB_RC,"ADD"))</f>
        <v/>
      </c>
    </row>
    <row r="11" ht="10" customHeight="1">
      <c r="A11" s="32" t="inlineStr">
        <is>
          <t>MRO TAM</t>
        </is>
      </c>
      <c r="B11" s="33">
        <f>SUM(B5:B10)</f>
        <v/>
      </c>
    </row>
    <row r="12" ht="10" customHeight="1"/>
    <row r="13" ht="10" customHeight="1"/>
    <row r="14" ht="10" customHeight="1">
      <c r="A14" s="27" t="inlineStr">
        <is>
          <t>(B) MRO TAM by Work Type</t>
        </is>
      </c>
      <c r="B14" s="28" t="n"/>
      <c r="C14" s="28" t="n"/>
    </row>
    <row r="15" ht="10" customHeight="1">
      <c r="A15" s="29" t="inlineStr">
        <is>
          <t>Work Type</t>
        </is>
      </c>
      <c r="B15" s="29" t="inlineStr">
        <is>
          <t>FY2027 ($K)</t>
        </is>
      </c>
      <c r="C15" s="29" t="inlineStr">
        <is>
          <t>% of TAM</t>
        </is>
      </c>
    </row>
    <row r="16" ht="10" customHeight="1">
      <c r="A16" s="30" t="inlineStr">
        <is>
          <t>Modernization</t>
        </is>
      </c>
      <c r="B16" s="31">
        <f>SUMIFS(JB_27BV,JB_B,4,JB_V,"Auxiliary Ships",JB_RC,"ADD")+SUMIFS(JB_27BV,JB_B,4,JB_V,"Combatant Ships",JB_RC,"ADD")+SUMIFS(JB_27BV,JB_B,4,JB_V,"Cutters",JB_RC,"ADD")+SUMIFS(JB_27BV,JB_B,4,JB_V,"Unmanned Maritime Platforms",JB_RC,"ADD")</f>
        <v/>
      </c>
      <c r="C16" s="37">
        <f>IFERROR(B16/B$20,0)</f>
        <v/>
      </c>
    </row>
    <row r="17" ht="10" customHeight="1">
      <c r="A17" s="30" t="inlineStr">
        <is>
          <t>Major Life-Cycle Events / RCOH</t>
        </is>
      </c>
      <c r="B17" s="31">
        <f>SUMIFS(JB_27BV,JB_B,5,JB_V,"Auxiliary Ships",JB_RC,"ADD")+SUMIFS(JB_27BV,JB_B,5,JB_V,"Combatant Ships",JB_RC,"ADD")+SUMIFS(JB_27BV,JB_B,5,JB_V,"Cutters",JB_RC,"ADD")+SUMIFS(JB_27BV,JB_B,5,JB_V,"Unmanned Maritime Platforms",JB_RC,"ADD")</f>
        <v/>
      </c>
      <c r="C17" s="37">
        <f>IFERROR(B17/B$20,0)</f>
        <v/>
      </c>
    </row>
    <row r="18" ht="10" customHeight="1">
      <c r="A18" s="30" t="inlineStr">
        <is>
          <t>Sustainment Engineering</t>
        </is>
      </c>
      <c r="B18" s="31">
        <f>SUMIFS(JB_27BV,JB_B,6,JB_V,"Auxiliary Ships",JB_RC,"ADD")+SUMIFS(JB_27BV,JB_B,6,JB_V,"Combatant Ships",JB_RC,"ADD")+SUMIFS(JB_27BV,JB_B,6,JB_V,"Cutters",JB_RC,"ADD")+SUMIFS(JB_27BV,JB_B,6,JB_V,"Unmanned Maritime Platforms",JB_RC,"ADD")</f>
        <v/>
      </c>
      <c r="C18" s="37">
        <f>IFERROR(B18/B$20,0)</f>
        <v/>
      </c>
    </row>
    <row r="19" ht="10" customHeight="1">
      <c r="A19" s="30" t="inlineStr">
        <is>
          <t>Availability Support</t>
        </is>
      </c>
      <c r="B19" s="31">
        <f>SUMIFS(JB_27BV,JB_B,7,JB_V,"Auxiliary Ships",JB_RC,"ADD")+SUMIFS(JB_27BV,JB_B,7,JB_V,"Combatant Ships",JB_RC,"ADD")+SUMIFS(JB_27BV,JB_B,7,JB_V,"Cutters",JB_RC,"ADD")+SUMIFS(JB_27BV,JB_B,7,JB_V,"Unmanned Maritime Platforms",JB_RC,"ADD")</f>
        <v/>
      </c>
      <c r="C19" s="37">
        <f>IFERROR(B19/B$20,0)</f>
        <v/>
      </c>
    </row>
    <row r="20" ht="10" customHeight="1">
      <c r="A20" s="32" t="inlineStr">
        <is>
          <t>MRO TAM</t>
        </is>
      </c>
      <c r="B20" s="33">
        <f>SUM(B16:B19)</f>
        <v/>
      </c>
      <c r="C20" s="38" t="n">
        <v>1</v>
      </c>
    </row>
    <row r="21" ht="10" customHeight="1"/>
    <row r="22" ht="10" customHeight="1"/>
    <row r="23" ht="10" customHeight="1">
      <c r="A23" s="27" t="inlineStr">
        <is>
          <t>(C) MRO TAM by Vessel Type</t>
        </is>
      </c>
      <c r="B23" s="28" t="n"/>
      <c r="C23" s="28" t="n"/>
      <c r="D23" s="28" t="n"/>
    </row>
    <row r="24" ht="10" customHeight="1">
      <c r="A24" s="29" t="inlineStr">
        <is>
          <t>Vessel Type</t>
        </is>
      </c>
      <c r="B24" s="29" t="inlineStr">
        <is>
          <t>Service</t>
        </is>
      </c>
      <c r="C24" s="29" t="inlineStr">
        <is>
          <t>FY2027 ($K)</t>
        </is>
      </c>
      <c r="D24" s="29" t="inlineStr">
        <is>
          <t>% of TAM</t>
        </is>
      </c>
    </row>
    <row r="25" ht="10" customHeight="1">
      <c r="A25" s="30" t="inlineStr">
        <is>
          <t>Submarines</t>
        </is>
      </c>
      <c r="B25" s="30" t="inlineStr">
        <is>
          <t>USN</t>
        </is>
      </c>
      <c r="C25" s="31">
        <f>SUMIFS(JB_27BV,JB_B,2,JB_W,"Submarines",JB_RC,"ADD")+SUMIFS(JB_27BV,JB_B,3,JB_W,"Submarines",JB_RC,"ADD")+SUMIFS(JB_27BV,JB_B,4,JB_W,"Submarines",JB_RC,"ADD")+SUMIFS(JB_27BV,JB_B,5,JB_W,"Submarines",JB_RC,"ADD")+SUMIFS(JB_27BV,JB_B,6,JB_W,"Submarines",JB_RC,"ADD")+SUMIFS(JB_27BV,JB_B,7,JB_W,"Submarines",JB_RC,"ADD")</f>
        <v/>
      </c>
      <c r="D25" s="37">
        <f>IFERROR(C25/C$53,0)</f>
        <v/>
      </c>
    </row>
    <row r="26" ht="10" customHeight="1">
      <c r="A26" s="30" t="inlineStr">
        <is>
          <t>Surface Combatants</t>
        </is>
      </c>
      <c r="B26" s="30" t="inlineStr">
        <is>
          <t>USN</t>
        </is>
      </c>
      <c r="C26" s="31">
        <f>SUMIFS(JB_27BV,JB_B,2,JB_W,"Surface Combatants",JB_RC,"ADD")+SUMIFS(JB_27BV,JB_B,3,JB_W,"Surface Combatants",JB_RC,"ADD")+SUMIFS(JB_27BV,JB_B,4,JB_W,"Surface Combatants",JB_RC,"ADD")+SUMIFS(JB_27BV,JB_B,5,JB_W,"Surface Combatants",JB_RC,"ADD")+SUMIFS(JB_27BV,JB_B,6,JB_W,"Surface Combatants",JB_RC,"ADD")+SUMIFS(JB_27BV,JB_B,7,JB_W,"Surface Combatants",JB_RC,"ADD")</f>
        <v/>
      </c>
      <c r="D26" s="37">
        <f>IFERROR(C26/C$53,0)</f>
        <v/>
      </c>
    </row>
    <row r="27" ht="10" customHeight="1">
      <c r="A27" s="30" t="inlineStr">
        <is>
          <t>Aircraft Carriers</t>
        </is>
      </c>
      <c r="B27" s="30" t="inlineStr">
        <is>
          <t>USN</t>
        </is>
      </c>
      <c r="C27" s="31">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
      </c>
      <c r="D27" s="37">
        <f>IFERROR(C27/C$53,0)</f>
        <v/>
      </c>
    </row>
    <row r="28" ht="10" customHeight="1">
      <c r="A28" s="30" t="inlineStr">
        <is>
          <t>Amphibious Warfare Ships</t>
        </is>
      </c>
      <c r="B28" s="30" t="inlineStr">
        <is>
          <t>USN</t>
        </is>
      </c>
      <c r="C28" s="31">
        <f>SUMIFS(JB_27BV,JB_B,2,JB_W,"Amphibious Warfare Ships",JB_RC,"ADD")+SUMIFS(JB_27BV,JB_B,3,JB_W,"Amphibious Warfare Ships",JB_RC,"ADD")+SUMIFS(JB_27BV,JB_B,4,JB_W,"Amphibious Warfare Ships",JB_RC,"ADD")+SUMIFS(JB_27BV,JB_B,5,JB_W,"Amphibious Warfare Ships",JB_RC,"ADD")+SUMIFS(JB_27BV,JB_B,6,JB_W,"Amphibious Warfare Ships",JB_RC,"ADD")+SUMIFS(JB_27BV,JB_B,7,JB_W,"Amphibious Warfare Ships",JB_RC,"ADD")</f>
        <v/>
      </c>
      <c r="D28" s="37">
        <f>IFERROR(C28/C$53,0)</f>
        <v/>
      </c>
    </row>
    <row r="29" ht="10" customHeight="1">
      <c r="A29" s="30" t="inlineStr">
        <is>
          <t>Surveillance Ships</t>
        </is>
      </c>
      <c r="B29" s="30" t="inlineStr">
        <is>
          <t>USN</t>
        </is>
      </c>
      <c r="C29" s="31">
        <f>SUMIFS(JB_27BV,JB_B,2,JB_W,"Surveillance Ships",JB_RC,"ADD")+SUMIFS(JB_27BV,JB_B,3,JB_W,"Surveillance Ships",JB_RC,"ADD")+SUMIFS(JB_27BV,JB_B,4,JB_W,"Surveillance Ships",JB_RC,"ADD")+SUMIFS(JB_27BV,JB_B,5,JB_W,"Surveillance Ships",JB_RC,"ADD")+SUMIFS(JB_27BV,JB_B,6,JB_W,"Surveillance Ships",JB_RC,"ADD")+SUMIFS(JB_27BV,JB_B,7,JB_W,"Surveillance Ships",JB_RC,"ADD")</f>
        <v/>
      </c>
      <c r="D29" s="37">
        <f>IFERROR(C29/C$53,0)</f>
        <v/>
      </c>
    </row>
    <row r="30" ht="10" customHeight="1">
      <c r="A30" s="30" t="inlineStr">
        <is>
          <t>Expeditionary &amp; Seabasing Ships</t>
        </is>
      </c>
      <c r="B30" s="30" t="inlineStr">
        <is>
          <t>USN</t>
        </is>
      </c>
      <c r="C30" s="31">
        <f>SUMIFS(JB_27BV,JB_B,2,JB_W,"Expeditionary &amp; Seabasing Ships",JB_RC,"ADD")+SUMIFS(JB_27BV,JB_B,3,JB_W,"Expeditionary &amp; Seabasing Ships",JB_RC,"ADD")+SUMIFS(JB_27BV,JB_B,4,JB_W,"Expeditionary &amp; Seabasing Ships",JB_RC,"ADD")+SUMIFS(JB_27BV,JB_B,5,JB_W,"Expeditionary &amp; Seabasing Ships",JB_RC,"ADD")+SUMIFS(JB_27BV,JB_B,6,JB_W,"Expeditionary &amp; Seabasing Ships",JB_RC,"ADD")+SUMIFS(JB_27BV,JB_B,7,JB_W,"Expeditionary &amp; Seabasing Ships",JB_RC,"ADD")</f>
        <v/>
      </c>
      <c r="D30" s="37">
        <f>IFERROR(C30/C$53,0)</f>
        <v/>
      </c>
    </row>
    <row r="31" ht="10" customHeight="1">
      <c r="A31" s="30" t="inlineStr">
        <is>
          <t>Command Ships</t>
        </is>
      </c>
      <c r="B31" s="30" t="inlineStr">
        <is>
          <t>USN</t>
        </is>
      </c>
      <c r="C31" s="31">
        <f>SUMIFS(JB_27BV,JB_B,2,JB_W,"Command Ships",JB_RC,"ADD")+SUMIFS(JB_27BV,JB_B,3,JB_W,"Command Ships",JB_RC,"ADD")+SUMIFS(JB_27BV,JB_B,4,JB_W,"Command Ships",JB_RC,"ADD")+SUMIFS(JB_27BV,JB_B,5,JB_W,"Command Ships",JB_RC,"ADD")+SUMIFS(JB_27BV,JB_B,6,JB_W,"Command Ships",JB_RC,"ADD")+SUMIFS(JB_27BV,JB_B,7,JB_W,"Command Ships",JB_RC,"ADD")</f>
        <v/>
      </c>
      <c r="D31" s="37">
        <f>IFERROR(C31/C$53,0)</f>
        <v/>
      </c>
    </row>
    <row r="32" ht="10" customHeight="1">
      <c r="A32" s="30" t="inlineStr">
        <is>
          <t>Unmanned Undersea Vehicles</t>
        </is>
      </c>
      <c r="B32" s="30" t="inlineStr">
        <is>
          <t>USN</t>
        </is>
      </c>
      <c r="C32" s="31">
        <f>SUMIFS(JB_27BV,JB_B,2,JB_W,"Unmanned Undersea Vehicles",JB_RC,"ADD")+SUMIFS(JB_27BV,JB_B,3,JB_W,"Unmanned Undersea Vehicles",JB_RC,"ADD")+SUMIFS(JB_27BV,JB_B,4,JB_W,"Unmanned Undersea Vehicles",JB_RC,"ADD")+SUMIFS(JB_27BV,JB_B,5,JB_W,"Unmanned Undersea Vehicles",JB_RC,"ADD")+SUMIFS(JB_27BV,JB_B,6,JB_W,"Unmanned Undersea Vehicles",JB_RC,"ADD")+SUMIFS(JB_27BV,JB_B,7,JB_W,"Unmanned Undersea Vehicles",JB_RC,"ADD")</f>
        <v/>
      </c>
      <c r="D32" s="37">
        <f>IFERROR(C32/C$53,0)</f>
        <v/>
      </c>
    </row>
    <row r="33" ht="10" customHeight="1">
      <c r="A33" s="30" t="inlineStr">
        <is>
          <t>Salvage Ships &amp; Fleet Ocean Tugs</t>
        </is>
      </c>
      <c r="B33" s="30" t="inlineStr">
        <is>
          <t>MSC</t>
        </is>
      </c>
      <c r="C33" s="31">
        <f>SUMIFS(JB_27BV,JB_B,2,JB_W,"Salvage Ships &amp; Fleet Ocean Tugs",JB_RC,"ADD")+SUMIFS(JB_27BV,JB_B,3,JB_W,"Salvage Ships &amp; Fleet Ocean Tugs",JB_RC,"ADD")+SUMIFS(JB_27BV,JB_B,4,JB_W,"Salvage Ships &amp; Fleet Ocean Tugs",JB_RC,"ADD")+SUMIFS(JB_27BV,JB_B,5,JB_W,"Salvage Ships &amp; Fleet Ocean Tugs",JB_RC,"ADD")+SUMIFS(JB_27BV,JB_B,6,JB_W,"Salvage Ships &amp; Fleet Ocean Tugs",JB_RC,"ADD")+SUMIFS(JB_27BV,JB_B,7,JB_W,"Salvage Ships &amp; Fleet Ocean Tugs",JB_RC,"ADD")</f>
        <v/>
      </c>
      <c r="D33" s="37">
        <f>IFERROR(C33/C$53,0)</f>
        <v/>
      </c>
    </row>
    <row r="34" ht="10" customHeight="1">
      <c r="A34" s="30" t="inlineStr">
        <is>
          <t>Mine Warfare</t>
        </is>
      </c>
      <c r="B34" s="30" t="inlineStr">
        <is>
          <t>USN</t>
        </is>
      </c>
      <c r="C34" s="31">
        <f>SUMIFS(JB_27BV,JB_B,2,JB_W,"Mine Warfare",JB_RC,"ADD")+SUMIFS(JB_27BV,JB_B,3,JB_W,"Mine Warfare",JB_RC,"ADD")+SUMIFS(JB_27BV,JB_B,4,JB_W,"Mine Warfare",JB_RC,"ADD")+SUMIFS(JB_27BV,JB_B,5,JB_W,"Mine Warfare",JB_RC,"ADD")+SUMIFS(JB_27BV,JB_B,6,JB_W,"Mine Warfare",JB_RC,"ADD")+SUMIFS(JB_27BV,JB_B,7,JB_W,"Mine Warfare",JB_RC,"ADD")</f>
        <v/>
      </c>
      <c r="D34" s="37">
        <f>IFERROR(C34/C$53,0)</f>
        <v/>
      </c>
    </row>
    <row r="35" ht="10" customHeight="1">
      <c r="A35" s="30" t="inlineStr">
        <is>
          <t>Submarine Escort Ship</t>
        </is>
      </c>
      <c r="B35" s="30" t="inlineStr">
        <is>
          <t>USN</t>
        </is>
      </c>
      <c r="C35" s="31">
        <f>SUMIFS(JB_27BV,JB_B,2,JB_W,"Submarine Escort Ship",JB_RC,"ADD")+SUMIFS(JB_27BV,JB_B,3,JB_W,"Submarine Escort Ship",JB_RC,"ADD")+SUMIFS(JB_27BV,JB_B,4,JB_W,"Submarine Escort Ship",JB_RC,"ADD")+SUMIFS(JB_27BV,JB_B,5,JB_W,"Submarine Escort Ship",JB_RC,"ADD")+SUMIFS(JB_27BV,JB_B,6,JB_W,"Submarine Escort Ship",JB_RC,"ADD")+SUMIFS(JB_27BV,JB_B,7,JB_W,"Submarine Escort Ship",JB_RC,"ADD")</f>
        <v/>
      </c>
      <c r="D35" s="37">
        <f>IFERROR(C35/C$53,0)</f>
        <v/>
      </c>
    </row>
    <row r="36" ht="10" customHeight="1">
      <c r="A36" s="30" t="inlineStr">
        <is>
          <t>High Speed Transport</t>
        </is>
      </c>
      <c r="B36" s="30" t="inlineStr">
        <is>
          <t>USN</t>
        </is>
      </c>
      <c r="C36" s="31">
        <f>SUMIFS(JB_27BV,JB_B,2,JB_W,"High Speed Transport",JB_RC,"ADD")+SUMIFS(JB_27BV,JB_B,3,JB_W,"High Speed Transport",JB_RC,"ADD")+SUMIFS(JB_27BV,JB_B,4,JB_W,"High Speed Transport",JB_RC,"ADD")+SUMIFS(JB_27BV,JB_B,5,JB_W,"High Speed Transport",JB_RC,"ADD")+SUMIFS(JB_27BV,JB_B,6,JB_W,"High Speed Transport",JB_RC,"ADD")+SUMIFS(JB_27BV,JB_B,7,JB_W,"High Speed Transport",JB_RC,"ADD")</f>
        <v/>
      </c>
      <c r="D36" s="37">
        <f>IFERROR(C36/C$53,0)</f>
        <v/>
      </c>
    </row>
    <row r="37" ht="10" customHeight="1">
      <c r="A37" s="30" t="inlineStr">
        <is>
          <t>Combat Logistics Ships</t>
        </is>
      </c>
      <c r="B37" s="30" t="inlineStr">
        <is>
          <t>MSC</t>
        </is>
      </c>
      <c r="C37" s="31">
        <f>SUMIFS(JB_27BV,JB_B,2,JB_W,"Combat Logistics Ships",JB_RC,"ADD")+SUMIFS(JB_27BV,JB_B,3,JB_W,"Combat Logistics Ships",JB_RC,"ADD")+SUMIFS(JB_27BV,JB_B,4,JB_W,"Combat Logistics Ships",JB_RC,"ADD")+SUMIFS(JB_27BV,JB_B,5,JB_W,"Combat Logistics Ships",JB_RC,"ADD")+SUMIFS(JB_27BV,JB_B,6,JB_W,"Combat Logistics Ships",JB_RC,"ADD")+SUMIFS(JB_27BV,JB_B,7,JB_W,"Combat Logistics Ships",JB_RC,"ADD")</f>
        <v/>
      </c>
      <c r="D37" s="37">
        <f>IFERROR(C37/C$53,0)</f>
        <v/>
      </c>
    </row>
    <row r="38" ht="10" customHeight="1">
      <c r="A38" s="30" t="inlineStr">
        <is>
          <t>Cargo &amp; Vehicle Cargo Ships</t>
        </is>
      </c>
      <c r="B38" s="30" t="inlineStr">
        <is>
          <t>USN</t>
        </is>
      </c>
      <c r="C38" s="31">
        <f>SUMIFS(JB_27BV,JB_B,2,JB_W,"Cargo &amp; Vehicle Cargo Ships",JB_RC,"ADD")+SUMIFS(JB_27BV,JB_B,3,JB_W,"Cargo &amp; Vehicle Cargo Ships",JB_RC,"ADD")+SUMIFS(JB_27BV,JB_B,4,JB_W,"Cargo &amp; Vehicle Cargo Ships",JB_RC,"ADD")+SUMIFS(JB_27BV,JB_B,5,JB_W,"Cargo &amp; Vehicle Cargo Ships",JB_RC,"ADD")+SUMIFS(JB_27BV,JB_B,6,JB_W,"Cargo &amp; Vehicle Cargo Ships",JB_RC,"ADD")+SUMIFS(JB_27BV,JB_B,7,JB_W,"Cargo &amp; Vehicle Cargo Ships",JB_RC,"ADD")</f>
        <v/>
      </c>
      <c r="D38" s="37">
        <f>IFERROR(C38/C$53,0)</f>
        <v/>
      </c>
    </row>
    <row r="39" ht="10" customHeight="1">
      <c r="A39" s="30" t="inlineStr">
        <is>
          <t>General Auxiliary</t>
        </is>
      </c>
      <c r="B39" s="30" t="inlineStr">
        <is>
          <t>USN</t>
        </is>
      </c>
      <c r="C39" s="31">
        <f>SUMIFS(JB_27BV,JB_B,2,JB_W,"General Auxiliary",JB_RC,"ADD")+SUMIFS(JB_27BV,JB_B,3,JB_W,"General Auxiliary",JB_RC,"ADD")+SUMIFS(JB_27BV,JB_B,4,JB_W,"General Auxiliary",JB_RC,"ADD")+SUMIFS(JB_27BV,JB_B,5,JB_W,"General Auxiliary",JB_RC,"ADD")+SUMIFS(JB_27BV,JB_B,6,JB_W,"General Auxiliary",JB_RC,"ADD")+SUMIFS(JB_27BV,JB_B,7,JB_W,"General Auxiliary",JB_RC,"ADD")</f>
        <v/>
      </c>
      <c r="D39" s="37">
        <f>IFERROR(C39/C$53,0)</f>
        <v/>
      </c>
    </row>
    <row r="40" ht="10" customHeight="1">
      <c r="A40" s="30" t="inlineStr">
        <is>
          <t>Crane Ship</t>
        </is>
      </c>
      <c r="B40" s="30" t="inlineStr">
        <is>
          <t>USN</t>
        </is>
      </c>
      <c r="C40" s="31">
        <f>SUMIFS(JB_27BV,JB_B,2,JB_W,"Crane Ship",JB_RC,"ADD")+SUMIFS(JB_27BV,JB_B,3,JB_W,"Crane Ship",JB_RC,"ADD")+SUMIFS(JB_27BV,JB_B,4,JB_W,"Crane Ship",JB_RC,"ADD")+SUMIFS(JB_27BV,JB_B,5,JB_W,"Crane Ship",JB_RC,"ADD")+SUMIFS(JB_27BV,JB_B,6,JB_W,"Crane Ship",JB_RC,"ADD")+SUMIFS(JB_27BV,JB_B,7,JB_W,"Crane Ship",JB_RC,"ADD")</f>
        <v/>
      </c>
      <c r="D40" s="37">
        <f>IFERROR(C40/C$53,0)</f>
        <v/>
      </c>
    </row>
    <row r="41" ht="10" customHeight="1">
      <c r="A41" s="30" t="inlineStr">
        <is>
          <t>Aviation Logistics Support Ship</t>
        </is>
      </c>
      <c r="B41" s="30" t="inlineStr">
        <is>
          <t>USN</t>
        </is>
      </c>
      <c r="C41" s="31">
        <f>SUMIFS(JB_27BV,JB_B,2,JB_W,"Aviation Logistics Support Ship",JB_RC,"ADD")+SUMIFS(JB_27BV,JB_B,3,JB_W,"Aviation Logistics Support Ship",JB_RC,"ADD")+SUMIFS(JB_27BV,JB_B,4,JB_W,"Aviation Logistics Support Ship",JB_RC,"ADD")+SUMIFS(JB_27BV,JB_B,5,JB_W,"Aviation Logistics Support Ship",JB_RC,"ADD")+SUMIFS(JB_27BV,JB_B,6,JB_W,"Aviation Logistics Support Ship",JB_RC,"ADD")+SUMIFS(JB_27BV,JB_B,7,JB_W,"Aviation Logistics Support Ship",JB_RC,"ADD")</f>
        <v/>
      </c>
      <c r="D41" s="37">
        <f>IFERROR(C41/C$53,0)</f>
        <v/>
      </c>
    </row>
    <row r="42" ht="10" customHeight="1">
      <c r="A42" s="30" t="inlineStr">
        <is>
          <t>Research, Survey &amp; Instrumentation Ships</t>
        </is>
      </c>
      <c r="B42" s="30" t="inlineStr">
        <is>
          <t>MSC</t>
        </is>
      </c>
      <c r="C42" s="31">
        <f>SUMIFS(JB_27BV,JB_B,2,JB_W,"Research, Survey &amp; Instrumentation Ships",JB_RC,"ADD")+SUMIFS(JB_27BV,JB_B,3,JB_W,"Research, Survey &amp; Instrumentation Ships",JB_RC,"ADD")+SUMIFS(JB_27BV,JB_B,4,JB_W,"Research, Survey &amp; Instrumentation Ships",JB_RC,"ADD")+SUMIFS(JB_27BV,JB_B,5,JB_W,"Research, Survey &amp; Instrumentation Ships",JB_RC,"ADD")+SUMIFS(JB_27BV,JB_B,6,JB_W,"Research, Survey &amp; Instrumentation Ships",JB_RC,"ADD")+SUMIFS(JB_27BV,JB_B,7,JB_W,"Research, Survey &amp; Instrumentation Ships",JB_RC,"ADD")</f>
        <v/>
      </c>
      <c r="D42" s="37">
        <f>IFERROR(C42/C$53,0)</f>
        <v/>
      </c>
    </row>
    <row r="43" ht="10" customHeight="1">
      <c r="A43" s="30" t="inlineStr">
        <is>
          <t>Unmanned Surface Vehicles</t>
        </is>
      </c>
      <c r="B43" s="30" t="inlineStr">
        <is>
          <t>USN</t>
        </is>
      </c>
      <c r="C43" s="31">
        <f>SUMIFS(JB_27BV,JB_B,2,JB_W,"Unmanned Surface Vehicles",JB_RC,"ADD")+SUMIFS(JB_27BV,JB_B,3,JB_W,"Unmanned Surface Vehicles",JB_RC,"ADD")+SUMIFS(JB_27BV,JB_B,4,JB_W,"Unmanned Surface Vehicles",JB_RC,"ADD")+SUMIFS(JB_27BV,JB_B,5,JB_W,"Unmanned Surface Vehicles",JB_RC,"ADD")+SUMIFS(JB_27BV,JB_B,6,JB_W,"Unmanned Surface Vehicles",JB_RC,"ADD")+SUMIFS(JB_27BV,JB_B,7,JB_W,"Unmanned Surface Vehicles",JB_RC,"ADD")</f>
        <v/>
      </c>
      <c r="D43" s="37">
        <f>IFERROR(C43/C$53,0)</f>
        <v/>
      </c>
    </row>
    <row r="44" ht="10" customHeight="1">
      <c r="A44" s="30" t="inlineStr">
        <is>
          <t>Material Support Ships</t>
        </is>
      </c>
      <c r="B44" s="30" t="inlineStr">
        <is>
          <t>USN</t>
        </is>
      </c>
      <c r="C44" s="31">
        <f>SUMIFS(JB_27BV,JB_B,2,JB_W,"Material Support Ships",JB_RC,"ADD")+SUMIFS(JB_27BV,JB_B,3,JB_W,"Material Support Ships",JB_RC,"ADD")+SUMIFS(JB_27BV,JB_B,4,JB_W,"Material Support Ships",JB_RC,"ADD")+SUMIFS(JB_27BV,JB_B,5,JB_W,"Material Support Ships",JB_RC,"ADD")+SUMIFS(JB_27BV,JB_B,6,JB_W,"Material Support Ships",JB_RC,"ADD")+SUMIFS(JB_27BV,JB_B,7,JB_W,"Material Support Ships",JB_RC,"ADD")</f>
        <v/>
      </c>
      <c r="D44" s="37">
        <f>IFERROR(C44/C$53,0)</f>
        <v/>
      </c>
    </row>
    <row r="45" ht="10" customHeight="1">
      <c r="A45" s="30" t="inlineStr">
        <is>
          <t>Hospital Ship</t>
        </is>
      </c>
      <c r="B45" s="30" t="inlineStr">
        <is>
          <t>MSC</t>
        </is>
      </c>
      <c r="C45" s="31">
        <f>SUMIFS(JB_27BV,JB_B,2,JB_W,"Hospital Ship",JB_RC,"ADD")+SUMIFS(JB_27BV,JB_B,3,JB_W,"Hospital Ship",JB_RC,"ADD")+SUMIFS(JB_27BV,JB_B,4,JB_W,"Hospital Ship",JB_RC,"ADD")+SUMIFS(JB_27BV,JB_B,5,JB_W,"Hospital Ship",JB_RC,"ADD")+SUMIFS(JB_27BV,JB_B,6,JB_W,"Hospital Ship",JB_RC,"ADD")+SUMIFS(JB_27BV,JB_B,7,JB_W,"Hospital Ship",JB_RC,"ADD")</f>
        <v/>
      </c>
      <c r="D45" s="37">
        <f>IFERROR(C45/C$53,0)</f>
        <v/>
      </c>
    </row>
    <row r="46" ht="10" customHeight="1">
      <c r="A46" s="30" t="inlineStr">
        <is>
          <t>Fast Response Cutters</t>
        </is>
      </c>
      <c r="B46" s="30" t="inlineStr">
        <is>
          <t>USCG</t>
        </is>
      </c>
      <c r="C46" s="31">
        <f>SUMIFS(JB_27BV,JB_B,2,JB_W,"Fast Response Cutters",JB_RC,"ADD")+SUMIFS(JB_27BV,JB_B,3,JB_W,"Fast Response Cutters",JB_RC,"ADD")+SUMIFS(JB_27BV,JB_B,4,JB_W,"Fast Response Cutters",JB_RC,"ADD")+SUMIFS(JB_27BV,JB_B,5,JB_W,"Fast Response Cutters",JB_RC,"ADD")+SUMIFS(JB_27BV,JB_B,6,JB_W,"Fast Response Cutters",JB_RC,"ADD")+SUMIFS(JB_27BV,JB_B,7,JB_W,"Fast Response Cutters",JB_RC,"ADD")</f>
        <v/>
      </c>
      <c r="D46" s="37">
        <f>IFERROR(C46/C$53,0)</f>
        <v/>
      </c>
    </row>
    <row r="47" ht="10" customHeight="1">
      <c r="A47" s="30" t="inlineStr">
        <is>
          <t>Coastal Buoy Tenders</t>
        </is>
      </c>
      <c r="B47" s="30" t="inlineStr">
        <is>
          <t>USCG</t>
        </is>
      </c>
      <c r="C47" s="31">
        <f>SUMIFS(JB_27BV,JB_B,2,JB_W,"Coastal Buoy Tenders",JB_RC,"ADD")+SUMIFS(JB_27BV,JB_B,3,JB_W,"Coastal Buoy Tenders",JB_RC,"ADD")+SUMIFS(JB_27BV,JB_B,4,JB_W,"Coastal Buoy Tenders",JB_RC,"ADD")+SUMIFS(JB_27BV,JB_B,5,JB_W,"Coastal Buoy Tenders",JB_RC,"ADD")+SUMIFS(JB_27BV,JB_B,6,JB_W,"Coastal Buoy Tenders",JB_RC,"ADD")+SUMIFS(JB_27BV,JB_B,7,JB_W,"Coastal Buoy Tenders",JB_RC,"ADD")</f>
        <v/>
      </c>
      <c r="D47" s="37">
        <f>IFERROR(C47/C$53,0)</f>
        <v/>
      </c>
    </row>
    <row r="48" ht="10" customHeight="1">
      <c r="A48" s="30" t="inlineStr">
        <is>
          <t>Waterways Commerce Cutters</t>
        </is>
      </c>
      <c r="B48" s="30" t="inlineStr">
        <is>
          <t>USCG</t>
        </is>
      </c>
      <c r="C48" s="31">
        <f>SUMIFS(JB_27BV,JB_B,2,JB_W,"Waterways Commerce Cutters",JB_RC,"ADD")+SUMIFS(JB_27BV,JB_B,3,JB_W,"Waterways Commerce Cutters",JB_RC,"ADD")+SUMIFS(JB_27BV,JB_B,4,JB_W,"Waterways Commerce Cutters",JB_RC,"ADD")+SUMIFS(JB_27BV,JB_B,5,JB_W,"Waterways Commerce Cutters",JB_RC,"ADD")+SUMIFS(JB_27BV,JB_B,6,JB_W,"Waterways Commerce Cutters",JB_RC,"ADD")+SUMIFS(JB_27BV,JB_B,7,JB_W,"Waterways Commerce Cutters",JB_RC,"ADD")</f>
        <v/>
      </c>
      <c r="D48" s="37">
        <f>IFERROR(C48/C$53,0)</f>
        <v/>
      </c>
    </row>
    <row r="49" ht="10" customHeight="1">
      <c r="A49" s="30" t="inlineStr">
        <is>
          <t>National Security Cutters</t>
        </is>
      </c>
      <c r="B49" s="30" t="inlineStr">
        <is>
          <t>USCG</t>
        </is>
      </c>
      <c r="C49" s="31">
        <f>SUMIFS(JB_27BV,JB_B,2,JB_W,"National Security Cutters",JB_RC,"ADD")+SUMIFS(JB_27BV,JB_B,3,JB_W,"National Security Cutters",JB_RC,"ADD")+SUMIFS(JB_27BV,JB_B,4,JB_W,"National Security Cutters",JB_RC,"ADD")+SUMIFS(JB_27BV,JB_B,5,JB_W,"National Security Cutters",JB_RC,"ADD")+SUMIFS(JB_27BV,JB_B,6,JB_W,"National Security Cutters",JB_RC,"ADD")+SUMIFS(JB_27BV,JB_B,7,JB_W,"National Security Cutters",JB_RC,"ADD")</f>
        <v/>
      </c>
      <c r="D49" s="37">
        <f>IFERROR(C49/C$53,0)</f>
        <v/>
      </c>
    </row>
    <row r="50" ht="10" customHeight="1">
      <c r="A50" s="30" t="inlineStr">
        <is>
          <t>Icebreakers, Oceangoing</t>
        </is>
      </c>
      <c r="B50" s="30" t="inlineStr">
        <is>
          <t>USCG</t>
        </is>
      </c>
      <c r="C50" s="31">
        <f>SUMIFS(JB_27BV,JB_B,2,JB_W,"Icebreakers, Oceangoing",JB_RC,"ADD")+SUMIFS(JB_27BV,JB_B,3,JB_W,"Icebreakers, Oceangoing",JB_RC,"ADD")+SUMIFS(JB_27BV,JB_B,4,JB_W,"Icebreakers, Oceangoing",JB_RC,"ADD")+SUMIFS(JB_27BV,JB_B,5,JB_W,"Icebreakers, Oceangoing",JB_RC,"ADD")+SUMIFS(JB_27BV,JB_B,6,JB_W,"Icebreakers, Oceangoing",JB_RC,"ADD")+SUMIFS(JB_27BV,JB_B,7,JB_W,"Icebreakers, Oceangoing",JB_RC,"ADD")</f>
        <v/>
      </c>
      <c r="D50" s="37">
        <f>IFERROR(C50/C$53,0)</f>
        <v/>
      </c>
    </row>
    <row r="51" ht="10" customHeight="1">
      <c r="A51" s="30" t="inlineStr">
        <is>
          <t>Icebreakers, Great Lakes</t>
        </is>
      </c>
      <c r="B51" s="30" t="inlineStr">
        <is>
          <t>USCG</t>
        </is>
      </c>
      <c r="C51" s="31">
        <f>SUMIFS(JB_27BV,JB_B,2,JB_W,"Icebreakers, Great Lakes",JB_RC,"ADD")+SUMIFS(JB_27BV,JB_B,3,JB_W,"Icebreakers, Great Lakes",JB_RC,"ADD")+SUMIFS(JB_27BV,JB_B,4,JB_W,"Icebreakers, Great Lakes",JB_RC,"ADD")+SUMIFS(JB_27BV,JB_B,5,JB_W,"Icebreakers, Great Lakes",JB_RC,"ADD")+SUMIFS(JB_27BV,JB_B,6,JB_W,"Icebreakers, Great Lakes",JB_RC,"ADD")+SUMIFS(JB_27BV,JB_B,7,JB_W,"Icebreakers, Great Lakes",JB_RC,"ADD")</f>
        <v/>
      </c>
      <c r="D51" s="37">
        <f>IFERROR(C51/C$53,0)</f>
        <v/>
      </c>
    </row>
    <row r="52" ht="10" customHeight="1">
      <c r="A52" s="30" t="inlineStr">
        <is>
          <t>Offshore Patrol Cutter</t>
        </is>
      </c>
      <c r="B52" s="30" t="inlineStr">
        <is>
          <t>USCG</t>
        </is>
      </c>
      <c r="C52" s="31">
        <f>SUMIFS(JB_27BV,JB_B,2,JB_W,"Offshore Patrol Cutter",JB_RC,"ADD")+SUMIFS(JB_27BV,JB_B,3,JB_W,"Offshore Patrol Cutter",JB_RC,"ADD")+SUMIFS(JB_27BV,JB_B,4,JB_W,"Offshore Patrol Cutter",JB_RC,"ADD")+SUMIFS(JB_27BV,JB_B,5,JB_W,"Offshore Patrol Cutter",JB_RC,"ADD")+SUMIFS(JB_27BV,JB_B,6,JB_W,"Offshore Patrol Cutter",JB_RC,"ADD")+SUMIFS(JB_27BV,JB_B,7,JB_W,"Offshore Patrol Cutter",JB_RC,"ADD")</f>
        <v/>
      </c>
      <c r="D52" s="37">
        <f>IFERROR(C52/C$53,0)</f>
        <v/>
      </c>
    </row>
    <row r="53" ht="10" customHeight="1">
      <c r="A53" s="32" t="inlineStr">
        <is>
          <t>MRO TAM</t>
        </is>
      </c>
      <c r="B53" s="32" t="inlineStr"/>
      <c r="C53" s="33">
        <f>SUM(C25:C52)</f>
        <v/>
      </c>
      <c r="D53" s="38" t="n">
        <v>1</v>
      </c>
    </row>
    <row r="54" ht="10" customHeight="1"/>
    <row r="55" ht="10" customHeight="1"/>
    <row r="56" ht="10" customHeight="1">
      <c r="A56" s="27" t="inlineStr">
        <is>
          <t>(D) MRO TAM — Work Type by Vessel Type (Mekko)</t>
        </is>
      </c>
      <c r="B56" s="28" t="n"/>
      <c r="C56" s="28" t="n"/>
      <c r="D56" s="28" t="n"/>
      <c r="E56" s="28" t="n"/>
      <c r="F56" s="28" t="n"/>
      <c r="G56" s="28" t="n"/>
      <c r="H56" s="28" t="n"/>
      <c r="I56" s="28" t="n"/>
    </row>
    <row r="57" ht="10" customHeight="1">
      <c r="A57" s="39" t="n"/>
      <c r="B57" s="40" t="inlineStr">
        <is>
          <t>USN</t>
        </is>
      </c>
      <c r="C57" s="39" t="n"/>
      <c r="D57" s="39" t="n"/>
      <c r="E57" s="39" t="n"/>
      <c r="F57" s="39" t="n"/>
      <c r="G57" s="39" t="n"/>
      <c r="H57" s="39" t="n"/>
      <c r="I57" s="41" t="n"/>
    </row>
    <row r="58" ht="10" customHeight="1">
      <c r="A58" s="29" t="inlineStr">
        <is>
          <t>Work Type</t>
        </is>
      </c>
      <c r="B58" s="42" t="inlineStr">
        <is>
          <t>Submarines</t>
        </is>
      </c>
      <c r="C58" s="29" t="inlineStr">
        <is>
          <t>Surface Combatants</t>
        </is>
      </c>
      <c r="D58" s="29" t="inlineStr">
        <is>
          <t>Aircraft Carriers</t>
        </is>
      </c>
      <c r="E58" s="29" t="inlineStr">
        <is>
          <t>Amphibious Warfare Ships</t>
        </is>
      </c>
      <c r="F58" s="29" t="inlineStr">
        <is>
          <t>Surveillance Ships</t>
        </is>
      </c>
      <c r="G58" s="29" t="inlineStr">
        <is>
          <t>Expeditionary &amp; Seabasing Ships</t>
        </is>
      </c>
      <c r="H58" s="29" t="inlineStr">
        <is>
          <t>Command Ships</t>
        </is>
      </c>
      <c r="I58" s="42" t="inlineStr">
        <is>
          <t>Total</t>
        </is>
      </c>
    </row>
    <row r="59" ht="10" customHeight="1">
      <c r="A59" s="30" t="inlineStr">
        <is>
          <t>Modernization</t>
        </is>
      </c>
      <c r="B59" s="43">
        <f>IFERROR((SUMIFS(JB_27BV,JB_B,4,JB_W,"Submarines",JB_RC,"ADD"))/B$63,0)</f>
        <v/>
      </c>
      <c r="C59" s="37">
        <f>IFERROR((SUMIFS(JB_27BV,JB_B,4,JB_W,"Surface Combatants",JB_RC,"ADD"))/C$63,0)</f>
        <v/>
      </c>
      <c r="D59" s="37">
        <f>IFERROR((SUMIFS(JB_27BV,JB_B,4,JB_W,"Aircraft Carriers",JB_RC,"ADD"))/D$63,0)</f>
        <v/>
      </c>
      <c r="E59" s="37">
        <f>IFERROR((SUMIFS(JB_27BV,JB_B,4,JB_W,"Amphibious Warfare Ships",JB_RC,"ADD"))/E$63,0)</f>
        <v/>
      </c>
      <c r="F59" s="37">
        <f>IFERROR((SUMIFS(JB_27BV,JB_B,4,JB_W,"Surveillance Ships",JB_RC,"ADD"))/F$63,0)</f>
        <v/>
      </c>
      <c r="G59" s="37">
        <f>IFERROR((SUMIFS(JB_27BV,JB_B,4,JB_W,"Expeditionary &amp; Seabasing Ships",JB_RC,"ADD"))/G$63,0)</f>
        <v/>
      </c>
      <c r="H59" s="37">
        <f>IFERROR((SUMIFS(JB_27BV,JB_B,4,JB_W,"Command Ships",JB_RC,"ADD"))/H$63,0)</f>
        <v/>
      </c>
      <c r="I59" s="43">
        <f>IFERROR((SUMIFS(JB_27BV,JB_B,4,JB_V,"Auxiliary Ships",JB_RC,"ADD")+SUMIFS(JB_27BV,JB_B,4,JB_V,"Combatant Ships",JB_RC,"ADD")+SUMIFS(JB_27BV,JB_B,4,JB_V,"Cutters",JB_RC,"ADD")+SUMIFS(JB_27BV,JB_B,4,JB_V,"Unmanned Maritime Platforms",JB_RC,"ADD"))/I$63,0)</f>
        <v/>
      </c>
    </row>
    <row r="60" ht="10" customHeight="1">
      <c r="A60" s="30" t="inlineStr">
        <is>
          <t>Major Life-Cycle Events / RCOH</t>
        </is>
      </c>
      <c r="B60" s="43">
        <f>IFERROR((SUMIFS(JB_27BV,JB_B,5,JB_W,"Submarines",JB_RC,"ADD"))/B$63,0)</f>
        <v/>
      </c>
      <c r="C60" s="37">
        <f>IFERROR((SUMIFS(JB_27BV,JB_B,5,JB_W,"Surface Combatants",JB_RC,"ADD"))/C$63,0)</f>
        <v/>
      </c>
      <c r="D60" s="37">
        <f>IFERROR((SUMIFS(JB_27BV,JB_B,5,JB_W,"Aircraft Carriers",JB_RC,"ADD"))/D$63,0)</f>
        <v/>
      </c>
      <c r="E60" s="37">
        <f>IFERROR((SUMIFS(JB_27BV,JB_B,5,JB_W,"Amphibious Warfare Ships",JB_RC,"ADD"))/E$63,0)</f>
        <v/>
      </c>
      <c r="F60" s="37">
        <f>IFERROR((SUMIFS(JB_27BV,JB_B,5,JB_W,"Surveillance Ships",JB_RC,"ADD"))/F$63,0)</f>
        <v/>
      </c>
      <c r="G60" s="37">
        <f>IFERROR((SUMIFS(JB_27BV,JB_B,5,JB_W,"Expeditionary &amp; Seabasing Ships",JB_RC,"ADD"))/G$63,0)</f>
        <v/>
      </c>
      <c r="H60" s="37">
        <f>IFERROR((SUMIFS(JB_27BV,JB_B,5,JB_W,"Command Ships",JB_RC,"ADD"))/H$63,0)</f>
        <v/>
      </c>
      <c r="I60" s="43">
        <f>IFERROR((SUMIFS(JB_27BV,JB_B,5,JB_V,"Auxiliary Ships",JB_RC,"ADD")+SUMIFS(JB_27BV,JB_B,5,JB_V,"Combatant Ships",JB_RC,"ADD")+SUMIFS(JB_27BV,JB_B,5,JB_V,"Cutters",JB_RC,"ADD")+SUMIFS(JB_27BV,JB_B,5,JB_V,"Unmanned Maritime Platforms",JB_RC,"ADD"))/I$63,0)</f>
        <v/>
      </c>
    </row>
    <row r="61" ht="10" customHeight="1">
      <c r="A61" s="30" t="inlineStr">
        <is>
          <t>Sustainment Engineering</t>
        </is>
      </c>
      <c r="B61" s="43">
        <f>IFERROR((SUMIFS(JB_27BV,JB_B,6,JB_W,"Submarines",JB_RC,"ADD"))/B$63,0)</f>
        <v/>
      </c>
      <c r="C61" s="37">
        <f>IFERROR((SUMIFS(JB_27BV,JB_B,6,JB_W,"Surface Combatants",JB_RC,"ADD"))/C$63,0)</f>
        <v/>
      </c>
      <c r="D61" s="37">
        <f>IFERROR((SUMIFS(JB_27BV,JB_B,6,JB_W,"Aircraft Carriers",JB_RC,"ADD"))/D$63,0)</f>
        <v/>
      </c>
      <c r="E61" s="37">
        <f>IFERROR((SUMIFS(JB_27BV,JB_B,6,JB_W,"Amphibious Warfare Ships",JB_RC,"ADD"))/E$63,0)</f>
        <v/>
      </c>
      <c r="F61" s="37">
        <f>IFERROR((SUMIFS(JB_27BV,JB_B,6,JB_W,"Surveillance Ships",JB_RC,"ADD"))/F$63,0)</f>
        <v/>
      </c>
      <c r="G61" s="37">
        <f>IFERROR((SUMIFS(JB_27BV,JB_B,6,JB_W,"Expeditionary &amp; Seabasing Ships",JB_RC,"ADD"))/G$63,0)</f>
        <v/>
      </c>
      <c r="H61" s="37">
        <f>IFERROR((SUMIFS(JB_27BV,JB_B,6,JB_W,"Command Ships",JB_RC,"ADD"))/H$63,0)</f>
        <v/>
      </c>
      <c r="I61" s="43">
        <f>IFERROR((SUMIFS(JB_27BV,JB_B,6,JB_V,"Auxiliary Ships",JB_RC,"ADD")+SUMIFS(JB_27BV,JB_B,6,JB_V,"Combatant Ships",JB_RC,"ADD")+SUMIFS(JB_27BV,JB_B,6,JB_V,"Cutters",JB_RC,"ADD")+SUMIFS(JB_27BV,JB_B,6,JB_V,"Unmanned Maritime Platforms",JB_RC,"ADD"))/I$63,0)</f>
        <v/>
      </c>
    </row>
    <row r="62" ht="10" customHeight="1">
      <c r="A62" s="30" t="inlineStr">
        <is>
          <t>Availability Support</t>
        </is>
      </c>
      <c r="B62" s="43">
        <f>IFERROR((SUMIFS(JB_27BV,JB_B,7,JB_W,"Submarines",JB_RC,"ADD"))/B$63,0)</f>
        <v/>
      </c>
      <c r="C62" s="37">
        <f>IFERROR((SUMIFS(JB_27BV,JB_B,7,JB_W,"Surface Combatants",JB_RC,"ADD"))/C$63,0)</f>
        <v/>
      </c>
      <c r="D62" s="37">
        <f>IFERROR((SUMIFS(JB_27BV,JB_B,7,JB_W,"Aircraft Carriers",JB_RC,"ADD"))/D$63,0)</f>
        <v/>
      </c>
      <c r="E62" s="37">
        <f>IFERROR((SUMIFS(JB_27BV,JB_B,7,JB_W,"Amphibious Warfare Ships",JB_RC,"ADD"))/E$63,0)</f>
        <v/>
      </c>
      <c r="F62" s="37">
        <f>IFERROR((SUMIFS(JB_27BV,JB_B,7,JB_W,"Surveillance Ships",JB_RC,"ADD"))/F$63,0)</f>
        <v/>
      </c>
      <c r="G62" s="37">
        <f>IFERROR((SUMIFS(JB_27BV,JB_B,7,JB_W,"Expeditionary &amp; Seabasing Ships",JB_RC,"ADD"))/G$63,0)</f>
        <v/>
      </c>
      <c r="H62" s="37">
        <f>IFERROR((SUMIFS(JB_27BV,JB_B,7,JB_W,"Command Ships",JB_RC,"ADD"))/H$63,0)</f>
        <v/>
      </c>
      <c r="I62" s="43">
        <f>IFERROR((SUMIFS(JB_27BV,JB_B,7,JB_V,"Auxiliary Ships",JB_RC,"ADD")+SUMIFS(JB_27BV,JB_B,7,JB_V,"Combatant Ships",JB_RC,"ADD")+SUMIFS(JB_27BV,JB_B,7,JB_V,"Cutters",JB_RC,"ADD")+SUMIFS(JB_27BV,JB_B,7,JB_V,"Unmanned Maritime Platforms",JB_RC,"ADD"))/I$63,0)</f>
        <v/>
      </c>
    </row>
    <row r="63" ht="10" customHeight="1">
      <c r="A63" s="32" t="inlineStr">
        <is>
          <t>Total ($K)</t>
        </is>
      </c>
      <c r="B63" s="44">
        <f>SUMIFS(JB_27BV,JB_B,2,JB_W,"Submarines",JB_RC,"ADD")+SUMIFS(JB_27BV,JB_B,3,JB_W,"Submarines",JB_RC,"ADD")+SUMIFS(JB_27BV,JB_B,4,JB_W,"Submarines",JB_RC,"ADD")+SUMIFS(JB_27BV,JB_B,5,JB_W,"Submarines",JB_RC,"ADD")+SUMIFS(JB_27BV,JB_B,6,JB_W,"Submarines",JB_RC,"ADD")+SUMIFS(JB_27BV,JB_B,7,JB_W,"Submarines",JB_RC,"ADD")</f>
        <v/>
      </c>
      <c r="C63" s="33">
        <f>SUMIFS(JB_27BV,JB_B,2,JB_W,"Surface Combatants",JB_RC,"ADD")+SUMIFS(JB_27BV,JB_B,3,JB_W,"Surface Combatants",JB_RC,"ADD")+SUMIFS(JB_27BV,JB_B,4,JB_W,"Surface Combatants",JB_RC,"ADD")+SUMIFS(JB_27BV,JB_B,5,JB_W,"Surface Combatants",JB_RC,"ADD")+SUMIFS(JB_27BV,JB_B,6,JB_W,"Surface Combatants",JB_RC,"ADD")+SUMIFS(JB_27BV,JB_B,7,JB_W,"Surface Combatants",JB_RC,"ADD")</f>
        <v/>
      </c>
      <c r="D63" s="33">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
      </c>
      <c r="E63" s="33">
        <f>SUMIFS(JB_27BV,JB_B,2,JB_W,"Amphibious Warfare Ships",JB_RC,"ADD")+SUMIFS(JB_27BV,JB_B,3,JB_W,"Amphibious Warfare Ships",JB_RC,"ADD")+SUMIFS(JB_27BV,JB_B,4,JB_W,"Amphibious Warfare Ships",JB_RC,"ADD")+SUMIFS(JB_27BV,JB_B,5,JB_W,"Amphibious Warfare Ships",JB_RC,"ADD")+SUMIFS(JB_27BV,JB_B,6,JB_W,"Amphibious Warfare Ships",JB_RC,"ADD")+SUMIFS(JB_27BV,JB_B,7,JB_W,"Amphibious Warfare Ships",JB_RC,"ADD")</f>
        <v/>
      </c>
      <c r="F63" s="33">
        <f>SUMIFS(JB_27BV,JB_B,2,JB_W,"Surveillance Ships",JB_RC,"ADD")+SUMIFS(JB_27BV,JB_B,3,JB_W,"Surveillance Ships",JB_RC,"ADD")+SUMIFS(JB_27BV,JB_B,4,JB_W,"Surveillance Ships",JB_RC,"ADD")+SUMIFS(JB_27BV,JB_B,5,JB_W,"Surveillance Ships",JB_RC,"ADD")+SUMIFS(JB_27BV,JB_B,6,JB_W,"Surveillance Ships",JB_RC,"ADD")+SUMIFS(JB_27BV,JB_B,7,JB_W,"Surveillance Ships",JB_RC,"ADD")</f>
        <v/>
      </c>
      <c r="G63" s="33">
        <f>SUMIFS(JB_27BV,JB_B,2,JB_W,"Expeditionary &amp; Seabasing Ships",JB_RC,"ADD")+SUMIFS(JB_27BV,JB_B,3,JB_W,"Expeditionary &amp; Seabasing Ships",JB_RC,"ADD")+SUMIFS(JB_27BV,JB_B,4,JB_W,"Expeditionary &amp; Seabasing Ships",JB_RC,"ADD")+SUMIFS(JB_27BV,JB_B,5,JB_W,"Expeditionary &amp; Seabasing Ships",JB_RC,"ADD")+SUMIFS(JB_27BV,JB_B,6,JB_W,"Expeditionary &amp; Seabasing Ships",JB_RC,"ADD")+SUMIFS(JB_27BV,JB_B,7,JB_W,"Expeditionary &amp; Seabasing Ships",JB_RC,"ADD")</f>
        <v/>
      </c>
      <c r="H63" s="33">
        <f>SUMIFS(JB_27BV,JB_B,2,JB_W,"Command Ships",JB_RC,"ADD")+SUMIFS(JB_27BV,JB_B,3,JB_W,"Command Ships",JB_RC,"ADD")+SUMIFS(JB_27BV,JB_B,4,JB_W,"Command Ships",JB_RC,"ADD")+SUMIFS(JB_27BV,JB_B,5,JB_W,"Command Ships",JB_RC,"ADD")+SUMIFS(JB_27BV,JB_B,6,JB_W,"Command Ships",JB_RC,"ADD")+SUMIFS(JB_27BV,JB_B,7,JB_W,"Command Ships",JB_RC,"ADD")</f>
        <v/>
      </c>
      <c r="I63" s="44">
        <f>SUM(B63:H63)</f>
        <v/>
      </c>
    </row>
  </sheetData>
  <pageMargins left="0.75" right="0.75" top="1" bottom="1" header="0.5" footer="0.5"/>
</worksheet>
</file>

<file path=xl/worksheets/sheet13.xml><?xml version="1.0" encoding="utf-8"?>
<worksheet xmlns="http://schemas.openxmlformats.org/spreadsheetml/2006/main">
  <sheetPr>
    <tabColor rgb="00548235"/>
    <outlinePr summaryBelow="1" summaryRight="1"/>
    <pageSetUpPr/>
  </sheetPr>
  <dimension ref="A1:J63"/>
  <sheetViews>
    <sheetView showGridLines="0" workbookViewId="0">
      <selection activeCell="A1" sqref="A1"/>
    </sheetView>
  </sheetViews>
  <sheetFormatPr baseColWidth="8" defaultRowHeight="15"/>
  <cols>
    <col width="16" customWidth="1" min="1" max="1"/>
    <col width="24" customWidth="1" min="2" max="2"/>
    <col width="8" customWidth="1" min="3" max="3"/>
    <col width="12" customWidth="1" min="4" max="4"/>
    <col width="12" customWidth="1" min="5" max="5"/>
    <col width="12" customWidth="1" min="6" max="6"/>
    <col width="12" customWidth="1" min="7" max="7"/>
    <col width="12" customWidth="1" min="8" max="8"/>
    <col width="10" customWidth="1" min="9" max="9"/>
  </cols>
  <sheetData>
    <row r="1" ht="10" customHeight="1">
      <c r="A1" s="24" t="inlineStr">
        <is>
          <t>MRO SAM — FY2027 ($K)</t>
        </is>
      </c>
      <c r="B1" s="25" t="n"/>
      <c r="C1" s="25" t="n"/>
      <c r="D1" s="25" t="n"/>
      <c r="E1" s="25" t="n"/>
      <c r="F1" s="25" t="n"/>
      <c r="G1" s="25" t="n"/>
      <c r="H1" s="25" t="n"/>
      <c r="I1" s="25" t="n"/>
      <c r="J1" s="25" t="n"/>
    </row>
    <row r="2" ht="10" customHeight="1">
      <c r="A2" s="26" t="inlineStr">
        <is>
          <t>Outsourceable MRO sized at hull-program level. Starts from MRO TAM, excludes single-yard/nuclear programs (Submarines, Aircraft Carriers, UUVs) and non-outsourceable work types (sustainment engineering, availability support). Retains scheduled depot maintenance, continuous/emergent maintenance, modernization, and major life-cycle events — the work a company could compete for. SDM cost-element estimation applies aggregate OMN Ship Maintenance cost mix to per-hull SDM totals as a directional approximation.</t>
        </is>
      </c>
    </row>
    <row r="3" ht="10" customHeight="1"/>
    <row r="4" ht="10" customHeight="1">
      <c r="A4" s="27" t="inlineStr">
        <is>
          <t>(A) Bridge: MRO TAM → MRO SAM</t>
        </is>
      </c>
      <c r="B4" s="28" t="n"/>
    </row>
    <row r="5" ht="10" customHeight="1">
      <c r="A5" s="30" t="inlineStr">
        <is>
          <t>MRO TAM</t>
        </is>
      </c>
      <c r="B5" s="55">
        <f>'FY27 MRO TAM'!B20</f>
        <v/>
      </c>
    </row>
    <row r="6" ht="10" customHeight="1">
      <c r="A6" s="30" t="inlineStr">
        <is>
          <t xml:space="preserve">  Less: Submarines</t>
        </is>
      </c>
      <c r="B6" s="31">
        <f>-(SUMIFS(JB_27BV,JB_B,2,JB_W,"Submarines",JB_RC,"ADD")+SUMIFS(JB_27BV,JB_B,3,JB_W,"Submarines",JB_RC,"ADD")+SUMIFS(JB_27BV,JB_B,4,JB_W,"Submarines",JB_RC,"ADD")+SUMIFS(JB_27BV,JB_B,5,JB_W,"Submarines",JB_RC,"ADD")+SUMIFS(JB_27BV,JB_B,6,JB_W,"Submarines",JB_RC,"ADD")+SUMIFS(JB_27BV,JB_B,7,JB_W,"Submarines",JB_RC,"ADD"))</f>
        <v/>
      </c>
    </row>
    <row r="7" ht="10" customHeight="1">
      <c r="A7" s="30" t="inlineStr">
        <is>
          <t xml:space="preserve">  Less: Aircraft Carriers</t>
        </is>
      </c>
      <c r="B7" s="31">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
      </c>
    </row>
    <row r="8" ht="10" customHeight="1">
      <c r="A8" s="30" t="inlineStr">
        <is>
          <t xml:space="preserve">  Less: Unmanned Undersea Vehicles</t>
        </is>
      </c>
      <c r="B8" s="31">
        <f>-(SUMIFS(JB_27BV,JB_B,2,JB_W,"Unmanned Undersea Vehicles",JB_RC,"ADD")+SUMIFS(JB_27BV,JB_B,3,JB_W,"Unmanned Undersea Vehicles",JB_RC,"ADD")+SUMIFS(JB_27BV,JB_B,4,JB_W,"Unmanned Undersea Vehicles",JB_RC,"ADD")+SUMIFS(JB_27BV,JB_B,5,JB_W,"Unmanned Undersea Vehicles",JB_RC,"ADD")+SUMIFS(JB_27BV,JB_B,6,JB_W,"Unmanned Undersea Vehicles",JB_RC,"ADD")+SUMIFS(JB_27BV,JB_B,7,JB_W,"Unmanned Undersea Vehicles",JB_RC,"ADD"))</f>
        <v/>
      </c>
    </row>
    <row r="9" ht="10" customHeight="1">
      <c r="A9" s="30" t="inlineStr">
        <is>
          <t xml:space="preserve">  Less: Non-outsourceable work types (Buckets 6, 7)</t>
        </is>
      </c>
      <c r="B9" s="31">
        <f>-(B5+B6+B7+B8-B10)</f>
        <v/>
      </c>
    </row>
    <row r="10" ht="10" customHeight="1">
      <c r="A10" s="32" t="inlineStr">
        <is>
          <t>MRO SAM</t>
        </is>
      </c>
      <c r="B10" s="33">
        <f>SUMIFS(JB_27BV,JB_B,2,JB_V,"Auxiliary Ships",JB_RC,"ADD")+SUMIFS(JB_27BV,JB_B,2,JB_V,"Combatant Ships",JB_RC,"ADD")+SUMIFS(JB_27BV,JB_B,2,JB_V,"Cutters",JB_RC,"ADD")+SUMIFS(JB_27BV,JB_B,2,JB_V,"Unmanned Maritime Platforms",JB_RC,"ADD")+SUMIFS(JB_27BV,JB_B,3,JB_V,"Auxiliary Ships",JB_RC,"ADD")+SUMIFS(JB_27BV,JB_B,3,JB_V,"Combatant Ships",JB_RC,"ADD")+SUMIFS(JB_27BV,JB_B,3,JB_V,"Cutters",JB_RC,"ADD")+SUMIFS(JB_27BV,JB_B,3,JB_V,"Unmanned Maritime Platforms",JB_RC,"ADD")+SUMIFS(JB_27BV,JB_B,4,JB_V,"Auxiliary Ships",JB_RC,"ADD")+SUMIFS(JB_27BV,JB_B,4,JB_V,"Combatant Ships",JB_RC,"ADD")+SUMIFS(JB_27BV,JB_B,4,JB_V,"Cutters",JB_RC,"ADD")+SUMIFS(JB_27BV,JB_B,4,JB_V,"Unmanned Maritime Platforms",JB_RC,"ADD")+SUMIFS(JB_27BV,JB_B,5,JB_V,"Auxiliary Ships",JB_RC,"ADD")+SUMIFS(JB_27BV,JB_B,5,JB_V,"Combatant Ships",JB_RC,"ADD")+SUMIFS(JB_27BV,JB_B,5,JB_V,"Cutters",JB_RC,"ADD")+SUMIFS(JB_27BV,JB_B,5,JB_V,"Unmanned Maritime Platforms",JB_RC,"ADD")-(SUMIFS(JB_27BV,JB_B,2,JB_W,"Submarines",JB_RC,"ADD"))+-(SUMIFS(JB_27BV,JB_B,2,JB_W,"Aircraft Carriers",JB_RC,"ADD"))+-(SUMIFS(JB_27BV,JB_B,2,JB_W,"Unmanned Undersea Vehicles",JB_RC,"ADD"))+-(SUMIFS(JB_27BV,JB_B,3,JB_W,"Submarines",JB_RC,"ADD"))+-(SUMIFS(JB_27BV,JB_B,3,JB_W,"Aircraft Carriers",JB_RC,"ADD"))+-(SUMIFS(JB_27BV,JB_B,3,JB_W,"Unmanned Undersea Vehicles",JB_RC,"ADD"))+-(SUMIFS(JB_27BV,JB_B,4,JB_W,"Submarines",JB_RC,"ADD"))+-(SUMIFS(JB_27BV,JB_B,4,JB_W,"Aircraft Carriers",JB_RC,"ADD"))+-(SUMIFS(JB_27BV,JB_B,4,JB_W,"Unmanned Undersea Vehicles",JB_RC,"ADD"))+-(SUMIFS(JB_27BV,JB_B,5,JB_W,"Submarines",JB_RC,"ADD"))+-(SUMIFS(JB_27BV,JB_B,5,JB_W,"Aircraft Carriers",JB_RC,"ADD"))+-(SUMIFS(JB_27BV,JB_B,5,JB_W,"Unmanned Undersea Vehicles",JB_RC,"ADD"))</f>
        <v/>
      </c>
    </row>
    <row r="11" ht="10" customHeight="1"/>
    <row r="12" ht="10" customHeight="1"/>
    <row r="13" ht="10" customHeight="1">
      <c r="A13" s="27" t="inlineStr">
        <is>
          <t>(B) MRO SAM by Vessel Type</t>
        </is>
      </c>
      <c r="B13" s="28" t="n"/>
      <c r="C13" s="28" t="n"/>
      <c r="D13" s="28" t="n"/>
      <c r="E13" s="28" t="n"/>
      <c r="F13" s="28" t="n"/>
      <c r="G13" s="28" t="n"/>
      <c r="H13" s="28" t="n"/>
    </row>
    <row r="14" ht="10" customHeight="1">
      <c r="A14" s="29" t="inlineStr">
        <is>
          <t>Vessel Type</t>
        </is>
      </c>
      <c r="B14" s="29" t="inlineStr">
        <is>
          <t>Service</t>
        </is>
      </c>
      <c r="C14" s="29" t="inlineStr">
        <is>
          <t>SDM ($K)</t>
        </is>
      </c>
      <c r="D14" s="29" t="inlineStr">
        <is>
          <t>Cont/Emerg ($K)</t>
        </is>
      </c>
      <c r="E14" s="29" t="inlineStr">
        <is>
          <t>Mod ($K)</t>
        </is>
      </c>
      <c r="F14" s="29" t="inlineStr">
        <is>
          <t>Major LC ($K)</t>
        </is>
      </c>
      <c r="G14" s="29" t="inlineStr">
        <is>
          <t>Total ($K)</t>
        </is>
      </c>
      <c r="H14" s="29" t="inlineStr">
        <is>
          <t>% of SAM</t>
        </is>
      </c>
    </row>
    <row r="15" ht="10" customHeight="1">
      <c r="A15" s="30" t="inlineStr">
        <is>
          <t>Surface Combatants</t>
        </is>
      </c>
      <c r="B15" s="30" t="inlineStr">
        <is>
          <t>USN</t>
        </is>
      </c>
      <c r="C15" s="31">
        <f>SUMIFS(JB_27BV,JB_B,2,JB_W,"Surface Combatants",JB_RC,"ADD")</f>
        <v/>
      </c>
      <c r="D15" s="31">
        <f>SUMIFS(JB_27BV,JB_B,3,JB_W,"Surface Combatants",JB_RC,"ADD")</f>
        <v/>
      </c>
      <c r="E15" s="31">
        <f>SUMIFS(JB_27BV,JB_B,4,JB_W,"Surface Combatants",JB_RC,"ADD")</f>
        <v/>
      </c>
      <c r="F15" s="31">
        <f>SUMIFS(JB_27BV,JB_B,5,JB_W,"Surface Combatants",JB_RC,"ADD")</f>
        <v/>
      </c>
      <c r="G15" s="31">
        <f>SUM(C15:F15)</f>
        <v/>
      </c>
      <c r="H15" s="37">
        <f>IFERROR(G15/G$40,0)</f>
        <v/>
      </c>
    </row>
    <row r="16" ht="10" customHeight="1">
      <c r="A16" s="30" t="inlineStr">
        <is>
          <t>Amphibious Warfare Ships</t>
        </is>
      </c>
      <c r="B16" s="30" t="inlineStr">
        <is>
          <t>USN</t>
        </is>
      </c>
      <c r="C16" s="31">
        <f>SUMIFS(JB_27BV,JB_B,2,JB_W,"Amphibious Warfare Ships",JB_RC,"ADD")</f>
        <v/>
      </c>
      <c r="D16" s="31">
        <f>SUMIFS(JB_27BV,JB_B,3,JB_W,"Amphibious Warfare Ships",JB_RC,"ADD")</f>
        <v/>
      </c>
      <c r="E16" s="31">
        <f>SUMIFS(JB_27BV,JB_B,4,JB_W,"Amphibious Warfare Ships",JB_RC,"ADD")</f>
        <v/>
      </c>
      <c r="F16" s="31">
        <f>SUMIFS(JB_27BV,JB_B,5,JB_W,"Amphibious Warfare Ships",JB_RC,"ADD")</f>
        <v/>
      </c>
      <c r="G16" s="31">
        <f>SUM(C16:F16)</f>
        <v/>
      </c>
      <c r="H16" s="37">
        <f>IFERROR(G16/G$40,0)</f>
        <v/>
      </c>
    </row>
    <row r="17" ht="10" customHeight="1">
      <c r="A17" s="30" t="inlineStr">
        <is>
          <t>Surveillance Ships</t>
        </is>
      </c>
      <c r="B17" s="30" t="inlineStr">
        <is>
          <t>USN</t>
        </is>
      </c>
      <c r="C17" s="31">
        <f>SUMIFS(JB_27BV,JB_B,2,JB_W,"Surveillance Ships",JB_RC,"ADD")</f>
        <v/>
      </c>
      <c r="D17" s="31">
        <f>SUMIFS(JB_27BV,JB_B,3,JB_W,"Surveillance Ships",JB_RC,"ADD")</f>
        <v/>
      </c>
      <c r="E17" s="31">
        <f>SUMIFS(JB_27BV,JB_B,4,JB_W,"Surveillance Ships",JB_RC,"ADD")</f>
        <v/>
      </c>
      <c r="F17" s="31">
        <f>SUMIFS(JB_27BV,JB_B,5,JB_W,"Surveillance Ships",JB_RC,"ADD")</f>
        <v/>
      </c>
      <c r="G17" s="31">
        <f>SUM(C17:F17)</f>
        <v/>
      </c>
      <c r="H17" s="37">
        <f>IFERROR(G17/G$40,0)</f>
        <v/>
      </c>
    </row>
    <row r="18" ht="10" customHeight="1">
      <c r="A18" s="30" t="inlineStr">
        <is>
          <t>Command Ships</t>
        </is>
      </c>
      <c r="B18" s="30" t="inlineStr">
        <is>
          <t>USN</t>
        </is>
      </c>
      <c r="C18" s="31">
        <f>SUMIFS(JB_27BV,JB_B,2,JB_W,"Command Ships",JB_RC,"ADD")</f>
        <v/>
      </c>
      <c r="D18" s="31">
        <f>SUMIFS(JB_27BV,JB_B,3,JB_W,"Command Ships",JB_RC,"ADD")</f>
        <v/>
      </c>
      <c r="E18" s="31">
        <f>SUMIFS(JB_27BV,JB_B,4,JB_W,"Command Ships",JB_RC,"ADD")</f>
        <v/>
      </c>
      <c r="F18" s="31">
        <f>SUMIFS(JB_27BV,JB_B,5,JB_W,"Command Ships",JB_RC,"ADD")</f>
        <v/>
      </c>
      <c r="G18" s="31">
        <f>SUM(C18:F18)</f>
        <v/>
      </c>
      <c r="H18" s="37">
        <f>IFERROR(G18/G$40,0)</f>
        <v/>
      </c>
    </row>
    <row r="19" ht="10" customHeight="1">
      <c r="A19" s="30" t="inlineStr">
        <is>
          <t>Unmanned Surface Vehicles</t>
        </is>
      </c>
      <c r="B19" s="30" t="inlineStr">
        <is>
          <t>USN</t>
        </is>
      </c>
      <c r="C19" s="31">
        <f>SUMIFS(JB_27BV,JB_B,2,JB_W,"Unmanned Surface Vehicles",JB_RC,"ADD")</f>
        <v/>
      </c>
      <c r="D19" s="31">
        <f>SUMIFS(JB_27BV,JB_B,3,JB_W,"Unmanned Surface Vehicles",JB_RC,"ADD")</f>
        <v/>
      </c>
      <c r="E19" s="31">
        <f>SUMIFS(JB_27BV,JB_B,4,JB_W,"Unmanned Surface Vehicles",JB_RC,"ADD")</f>
        <v/>
      </c>
      <c r="F19" s="31">
        <f>SUMIFS(JB_27BV,JB_B,5,JB_W,"Unmanned Surface Vehicles",JB_RC,"ADD")</f>
        <v/>
      </c>
      <c r="G19" s="31">
        <f>SUM(C19:F19)</f>
        <v/>
      </c>
      <c r="H19" s="37">
        <f>IFERROR(G19/G$40,0)</f>
        <v/>
      </c>
    </row>
    <row r="20" ht="10" customHeight="1">
      <c r="A20" s="30" t="inlineStr">
        <is>
          <t>Salvage Ships &amp; Fleet Ocean Tugs</t>
        </is>
      </c>
      <c r="B20" s="30" t="inlineStr">
        <is>
          <t>MSC</t>
        </is>
      </c>
      <c r="C20" s="31">
        <f>SUMIFS(JB_27BV,JB_B,2,JB_W,"Salvage Ships &amp; Fleet Ocean Tugs",JB_RC,"ADD")</f>
        <v/>
      </c>
      <c r="D20" s="31">
        <f>SUMIFS(JB_27BV,JB_B,3,JB_W,"Salvage Ships &amp; Fleet Ocean Tugs",JB_RC,"ADD")</f>
        <v/>
      </c>
      <c r="E20" s="31">
        <f>SUMIFS(JB_27BV,JB_B,4,JB_W,"Salvage Ships &amp; Fleet Ocean Tugs",JB_RC,"ADD")</f>
        <v/>
      </c>
      <c r="F20" s="31">
        <f>SUMIFS(JB_27BV,JB_B,5,JB_W,"Salvage Ships &amp; Fleet Ocean Tugs",JB_RC,"ADD")</f>
        <v/>
      </c>
      <c r="G20" s="31">
        <f>SUM(C20:F20)</f>
        <v/>
      </c>
      <c r="H20" s="37">
        <f>IFERROR(G20/G$40,0)</f>
        <v/>
      </c>
    </row>
    <row r="21" ht="10" customHeight="1">
      <c r="A21" s="30" t="inlineStr">
        <is>
          <t>Expeditionary &amp; Seabasing Ships</t>
        </is>
      </c>
      <c r="B21" s="30" t="inlineStr">
        <is>
          <t>USN</t>
        </is>
      </c>
      <c r="C21" s="31">
        <f>SUMIFS(JB_27BV,JB_B,2,JB_W,"Expeditionary &amp; Seabasing Ships",JB_RC,"ADD")</f>
        <v/>
      </c>
      <c r="D21" s="31">
        <f>SUMIFS(JB_27BV,JB_B,3,JB_W,"Expeditionary &amp; Seabasing Ships",JB_RC,"ADD")</f>
        <v/>
      </c>
      <c r="E21" s="31">
        <f>SUMIFS(JB_27BV,JB_B,4,JB_W,"Expeditionary &amp; Seabasing Ships",JB_RC,"ADD")</f>
        <v/>
      </c>
      <c r="F21" s="31">
        <f>SUMIFS(JB_27BV,JB_B,5,JB_W,"Expeditionary &amp; Seabasing Ships",JB_RC,"ADD")</f>
        <v/>
      </c>
      <c r="G21" s="31">
        <f>SUM(C21:F21)</f>
        <v/>
      </c>
      <c r="H21" s="37">
        <f>IFERROR(G21/G$40,0)</f>
        <v/>
      </c>
    </row>
    <row r="22" ht="10" customHeight="1">
      <c r="A22" s="30" t="inlineStr">
        <is>
          <t>Mine Warfare</t>
        </is>
      </c>
      <c r="B22" s="30" t="inlineStr">
        <is>
          <t>USN</t>
        </is>
      </c>
      <c r="C22" s="31">
        <f>SUMIFS(JB_27BV,JB_B,2,JB_W,"Mine Warfare",JB_RC,"ADD")</f>
        <v/>
      </c>
      <c r="D22" s="31">
        <f>SUMIFS(JB_27BV,JB_B,3,JB_W,"Mine Warfare",JB_RC,"ADD")</f>
        <v/>
      </c>
      <c r="E22" s="31">
        <f>SUMIFS(JB_27BV,JB_B,4,JB_W,"Mine Warfare",JB_RC,"ADD")</f>
        <v/>
      </c>
      <c r="F22" s="31">
        <f>SUMIFS(JB_27BV,JB_B,5,JB_W,"Mine Warfare",JB_RC,"ADD")</f>
        <v/>
      </c>
      <c r="G22" s="31">
        <f>SUM(C22:F22)</f>
        <v/>
      </c>
      <c r="H22" s="37">
        <f>IFERROR(G22/G$40,0)</f>
        <v/>
      </c>
    </row>
    <row r="23" ht="10" customHeight="1">
      <c r="A23" s="30" t="inlineStr">
        <is>
          <t>Submarine Escort Ship</t>
        </is>
      </c>
      <c r="B23" s="30" t="inlineStr">
        <is>
          <t>USN</t>
        </is>
      </c>
      <c r="C23" s="31">
        <f>SUMIFS(JB_27BV,JB_B,2,JB_W,"Submarine Escort Ship",JB_RC,"ADD")</f>
        <v/>
      </c>
      <c r="D23" s="31">
        <f>SUMIFS(JB_27BV,JB_B,3,JB_W,"Submarine Escort Ship",JB_RC,"ADD")</f>
        <v/>
      </c>
      <c r="E23" s="31">
        <f>SUMIFS(JB_27BV,JB_B,4,JB_W,"Submarine Escort Ship",JB_RC,"ADD")</f>
        <v/>
      </c>
      <c r="F23" s="31">
        <f>SUMIFS(JB_27BV,JB_B,5,JB_W,"Submarine Escort Ship",JB_RC,"ADD")</f>
        <v/>
      </c>
      <c r="G23" s="31">
        <f>SUM(C23:F23)</f>
        <v/>
      </c>
      <c r="H23" s="37">
        <f>IFERROR(G23/G$40,0)</f>
        <v/>
      </c>
    </row>
    <row r="24" ht="10" customHeight="1">
      <c r="A24" s="30" t="inlineStr">
        <is>
          <t>High Speed Transport</t>
        </is>
      </c>
      <c r="B24" s="30" t="inlineStr">
        <is>
          <t>USN</t>
        </is>
      </c>
      <c r="C24" s="31">
        <f>SUMIFS(JB_27BV,JB_B,2,JB_W,"High Speed Transport",JB_RC,"ADD")</f>
        <v/>
      </c>
      <c r="D24" s="31">
        <f>SUMIFS(JB_27BV,JB_B,3,JB_W,"High Speed Transport",JB_RC,"ADD")</f>
        <v/>
      </c>
      <c r="E24" s="31">
        <f>SUMIFS(JB_27BV,JB_B,4,JB_W,"High Speed Transport",JB_RC,"ADD")</f>
        <v/>
      </c>
      <c r="F24" s="31">
        <f>SUMIFS(JB_27BV,JB_B,5,JB_W,"High Speed Transport",JB_RC,"ADD")</f>
        <v/>
      </c>
      <c r="G24" s="31">
        <f>SUM(C24:F24)</f>
        <v/>
      </c>
      <c r="H24" s="37">
        <f>IFERROR(G24/G$40,0)</f>
        <v/>
      </c>
    </row>
    <row r="25" ht="10" customHeight="1">
      <c r="A25" s="30" t="inlineStr">
        <is>
          <t>Combat Logistics Ships</t>
        </is>
      </c>
      <c r="B25" s="30" t="inlineStr">
        <is>
          <t>MSC</t>
        </is>
      </c>
      <c r="C25" s="31">
        <f>SUMIFS(JB_27BV,JB_B,2,JB_W,"Combat Logistics Ships",JB_RC,"ADD")</f>
        <v/>
      </c>
      <c r="D25" s="31">
        <f>SUMIFS(JB_27BV,JB_B,3,JB_W,"Combat Logistics Ships",JB_RC,"ADD")</f>
        <v/>
      </c>
      <c r="E25" s="31">
        <f>SUMIFS(JB_27BV,JB_B,4,JB_W,"Combat Logistics Ships",JB_RC,"ADD")</f>
        <v/>
      </c>
      <c r="F25" s="31">
        <f>SUMIFS(JB_27BV,JB_B,5,JB_W,"Combat Logistics Ships",JB_RC,"ADD")</f>
        <v/>
      </c>
      <c r="G25" s="31">
        <f>SUM(C25:F25)</f>
        <v/>
      </c>
      <c r="H25" s="37">
        <f>IFERROR(G25/G$40,0)</f>
        <v/>
      </c>
    </row>
    <row r="26" ht="10" customHeight="1">
      <c r="A26" s="30" t="inlineStr">
        <is>
          <t>Cargo &amp; Vehicle Cargo Ships</t>
        </is>
      </c>
      <c r="B26" s="30" t="inlineStr">
        <is>
          <t>USN</t>
        </is>
      </c>
      <c r="C26" s="31">
        <f>SUMIFS(JB_27BV,JB_B,2,JB_W,"Cargo &amp; Vehicle Cargo Ships",JB_RC,"ADD")</f>
        <v/>
      </c>
      <c r="D26" s="31">
        <f>SUMIFS(JB_27BV,JB_B,3,JB_W,"Cargo &amp; Vehicle Cargo Ships",JB_RC,"ADD")</f>
        <v/>
      </c>
      <c r="E26" s="31">
        <f>SUMIFS(JB_27BV,JB_B,4,JB_W,"Cargo &amp; Vehicle Cargo Ships",JB_RC,"ADD")</f>
        <v/>
      </c>
      <c r="F26" s="31">
        <f>SUMIFS(JB_27BV,JB_B,5,JB_W,"Cargo &amp; Vehicle Cargo Ships",JB_RC,"ADD")</f>
        <v/>
      </c>
      <c r="G26" s="31">
        <f>SUM(C26:F26)</f>
        <v/>
      </c>
      <c r="H26" s="37">
        <f>IFERROR(G26/G$40,0)</f>
        <v/>
      </c>
    </row>
    <row r="27" ht="10" customHeight="1">
      <c r="A27" s="30" t="inlineStr">
        <is>
          <t>Material Support Ships</t>
        </is>
      </c>
      <c r="B27" s="30" t="inlineStr">
        <is>
          <t>USN</t>
        </is>
      </c>
      <c r="C27" s="31">
        <f>SUMIFS(JB_27BV,JB_B,2,JB_W,"Material Support Ships",JB_RC,"ADD")</f>
        <v/>
      </c>
      <c r="D27" s="31">
        <f>SUMIFS(JB_27BV,JB_B,3,JB_W,"Material Support Ships",JB_RC,"ADD")</f>
        <v/>
      </c>
      <c r="E27" s="31">
        <f>SUMIFS(JB_27BV,JB_B,4,JB_W,"Material Support Ships",JB_RC,"ADD")</f>
        <v/>
      </c>
      <c r="F27" s="31">
        <f>SUMIFS(JB_27BV,JB_B,5,JB_W,"Material Support Ships",JB_RC,"ADD")</f>
        <v/>
      </c>
      <c r="G27" s="31">
        <f>SUM(C27:F27)</f>
        <v/>
      </c>
      <c r="H27" s="37">
        <f>IFERROR(G27/G$40,0)</f>
        <v/>
      </c>
    </row>
    <row r="28" ht="10" customHeight="1">
      <c r="A28" s="30" t="inlineStr">
        <is>
          <t>Hospital Ship</t>
        </is>
      </c>
      <c r="B28" s="30" t="inlineStr">
        <is>
          <t>MSC</t>
        </is>
      </c>
      <c r="C28" s="31">
        <f>SUMIFS(JB_27BV,JB_B,2,JB_W,"Hospital Ship",JB_RC,"ADD")</f>
        <v/>
      </c>
      <c r="D28" s="31">
        <f>SUMIFS(JB_27BV,JB_B,3,JB_W,"Hospital Ship",JB_RC,"ADD")</f>
        <v/>
      </c>
      <c r="E28" s="31">
        <f>SUMIFS(JB_27BV,JB_B,4,JB_W,"Hospital Ship",JB_RC,"ADD")</f>
        <v/>
      </c>
      <c r="F28" s="31">
        <f>SUMIFS(JB_27BV,JB_B,5,JB_W,"Hospital Ship",JB_RC,"ADD")</f>
        <v/>
      </c>
      <c r="G28" s="31">
        <f>SUM(C28:F28)</f>
        <v/>
      </c>
      <c r="H28" s="37">
        <f>IFERROR(G28/G$40,0)</f>
        <v/>
      </c>
    </row>
    <row r="29" ht="10" customHeight="1">
      <c r="A29" s="30" t="inlineStr">
        <is>
          <t>General Auxiliary</t>
        </is>
      </c>
      <c r="B29" s="30" t="inlineStr">
        <is>
          <t>USN</t>
        </is>
      </c>
      <c r="C29" s="31">
        <f>SUMIFS(JB_27BV,JB_B,2,JB_W,"General Auxiliary",JB_RC,"ADD")</f>
        <v/>
      </c>
      <c r="D29" s="31">
        <f>SUMIFS(JB_27BV,JB_B,3,JB_W,"General Auxiliary",JB_RC,"ADD")</f>
        <v/>
      </c>
      <c r="E29" s="31">
        <f>SUMIFS(JB_27BV,JB_B,4,JB_W,"General Auxiliary",JB_RC,"ADD")</f>
        <v/>
      </c>
      <c r="F29" s="31">
        <f>SUMIFS(JB_27BV,JB_B,5,JB_W,"General Auxiliary",JB_RC,"ADD")</f>
        <v/>
      </c>
      <c r="G29" s="31">
        <f>SUM(C29:F29)</f>
        <v/>
      </c>
      <c r="H29" s="37">
        <f>IFERROR(G29/G$40,0)</f>
        <v/>
      </c>
    </row>
    <row r="30" ht="10" customHeight="1">
      <c r="A30" s="30" t="inlineStr">
        <is>
          <t>Crane Ship</t>
        </is>
      </c>
      <c r="B30" s="30" t="inlineStr">
        <is>
          <t>USN</t>
        </is>
      </c>
      <c r="C30" s="31">
        <f>SUMIFS(JB_27BV,JB_B,2,JB_W,"Crane Ship",JB_RC,"ADD")</f>
        <v/>
      </c>
      <c r="D30" s="31">
        <f>SUMIFS(JB_27BV,JB_B,3,JB_W,"Crane Ship",JB_RC,"ADD")</f>
        <v/>
      </c>
      <c r="E30" s="31">
        <f>SUMIFS(JB_27BV,JB_B,4,JB_W,"Crane Ship",JB_RC,"ADD")</f>
        <v/>
      </c>
      <c r="F30" s="31">
        <f>SUMIFS(JB_27BV,JB_B,5,JB_W,"Crane Ship",JB_RC,"ADD")</f>
        <v/>
      </c>
      <c r="G30" s="31">
        <f>SUM(C30:F30)</f>
        <v/>
      </c>
      <c r="H30" s="37">
        <f>IFERROR(G30/G$40,0)</f>
        <v/>
      </c>
    </row>
    <row r="31" ht="10" customHeight="1">
      <c r="A31" s="30" t="inlineStr">
        <is>
          <t>Aviation Logistics Support Ship</t>
        </is>
      </c>
      <c r="B31" s="30" t="inlineStr">
        <is>
          <t>USN</t>
        </is>
      </c>
      <c r="C31" s="31">
        <f>SUMIFS(JB_27BV,JB_B,2,JB_W,"Aviation Logistics Support Ship",JB_RC,"ADD")</f>
        <v/>
      </c>
      <c r="D31" s="31">
        <f>SUMIFS(JB_27BV,JB_B,3,JB_W,"Aviation Logistics Support Ship",JB_RC,"ADD")</f>
        <v/>
      </c>
      <c r="E31" s="31">
        <f>SUMIFS(JB_27BV,JB_B,4,JB_W,"Aviation Logistics Support Ship",JB_RC,"ADD")</f>
        <v/>
      </c>
      <c r="F31" s="31">
        <f>SUMIFS(JB_27BV,JB_B,5,JB_W,"Aviation Logistics Support Ship",JB_RC,"ADD")</f>
        <v/>
      </c>
      <c r="G31" s="31">
        <f>SUM(C31:F31)</f>
        <v/>
      </c>
      <c r="H31" s="37">
        <f>IFERROR(G31/G$40,0)</f>
        <v/>
      </c>
    </row>
    <row r="32" ht="10" customHeight="1">
      <c r="A32" s="30" t="inlineStr">
        <is>
          <t>Research, Survey &amp; Instrumentation Ships</t>
        </is>
      </c>
      <c r="B32" s="30" t="inlineStr">
        <is>
          <t>MSC</t>
        </is>
      </c>
      <c r="C32" s="31">
        <f>SUMIFS(JB_27BV,JB_B,2,JB_W,"Research, Survey &amp; Instrumentation Ships",JB_RC,"ADD")</f>
        <v/>
      </c>
      <c r="D32" s="31">
        <f>SUMIFS(JB_27BV,JB_B,3,JB_W,"Research, Survey &amp; Instrumentation Ships",JB_RC,"ADD")</f>
        <v/>
      </c>
      <c r="E32" s="31">
        <f>SUMIFS(JB_27BV,JB_B,4,JB_W,"Research, Survey &amp; Instrumentation Ships",JB_RC,"ADD")</f>
        <v/>
      </c>
      <c r="F32" s="31">
        <f>SUMIFS(JB_27BV,JB_B,5,JB_W,"Research, Survey &amp; Instrumentation Ships",JB_RC,"ADD")</f>
        <v/>
      </c>
      <c r="G32" s="31">
        <f>SUM(C32:F32)</f>
        <v/>
      </c>
      <c r="H32" s="37">
        <f>IFERROR(G32/G$40,0)</f>
        <v/>
      </c>
    </row>
    <row r="33" ht="10" customHeight="1">
      <c r="A33" s="30" t="inlineStr">
        <is>
          <t>Fast Response Cutters</t>
        </is>
      </c>
      <c r="B33" s="30" t="inlineStr">
        <is>
          <t>USCG</t>
        </is>
      </c>
      <c r="C33" s="31">
        <f>SUMIFS(JB_27BV,JB_B,2,JB_W,"Fast Response Cutters",JB_RC,"ADD")</f>
        <v/>
      </c>
      <c r="D33" s="31">
        <f>SUMIFS(JB_27BV,JB_B,3,JB_W,"Fast Response Cutters",JB_RC,"ADD")</f>
        <v/>
      </c>
      <c r="E33" s="31">
        <f>SUMIFS(JB_27BV,JB_B,4,JB_W,"Fast Response Cutters",JB_RC,"ADD")</f>
        <v/>
      </c>
      <c r="F33" s="31">
        <f>SUMIFS(JB_27BV,JB_B,5,JB_W,"Fast Response Cutters",JB_RC,"ADD")</f>
        <v/>
      </c>
      <c r="G33" s="31">
        <f>SUM(C33:F33)</f>
        <v/>
      </c>
      <c r="H33" s="37">
        <f>IFERROR(G33/G$40,0)</f>
        <v/>
      </c>
    </row>
    <row r="34" ht="10" customHeight="1">
      <c r="A34" s="30" t="inlineStr">
        <is>
          <t>Icebreakers, Great Lakes</t>
        </is>
      </c>
      <c r="B34" s="30" t="inlineStr">
        <is>
          <t>USCG</t>
        </is>
      </c>
      <c r="C34" s="31">
        <f>SUMIFS(JB_27BV,JB_B,2,JB_W,"Icebreakers, Great Lakes",JB_RC,"ADD")</f>
        <v/>
      </c>
      <c r="D34" s="31">
        <f>SUMIFS(JB_27BV,JB_B,3,JB_W,"Icebreakers, Great Lakes",JB_RC,"ADD")</f>
        <v/>
      </c>
      <c r="E34" s="31">
        <f>SUMIFS(JB_27BV,JB_B,4,JB_W,"Icebreakers, Great Lakes",JB_RC,"ADD")</f>
        <v/>
      </c>
      <c r="F34" s="31">
        <f>SUMIFS(JB_27BV,JB_B,5,JB_W,"Icebreakers, Great Lakes",JB_RC,"ADD")</f>
        <v/>
      </c>
      <c r="G34" s="31">
        <f>SUM(C34:F34)</f>
        <v/>
      </c>
      <c r="H34" s="37">
        <f>IFERROR(G34/G$40,0)</f>
        <v/>
      </c>
    </row>
    <row r="35" ht="10" customHeight="1">
      <c r="A35" s="30" t="inlineStr">
        <is>
          <t>Offshore Patrol Cutter</t>
        </is>
      </c>
      <c r="B35" s="30" t="inlineStr">
        <is>
          <t>USCG</t>
        </is>
      </c>
      <c r="C35" s="31">
        <f>SUMIFS(JB_27BV,JB_B,2,JB_W,"Offshore Patrol Cutter",JB_RC,"ADD")</f>
        <v/>
      </c>
      <c r="D35" s="31">
        <f>SUMIFS(JB_27BV,JB_B,3,JB_W,"Offshore Patrol Cutter",JB_RC,"ADD")</f>
        <v/>
      </c>
      <c r="E35" s="31">
        <f>SUMIFS(JB_27BV,JB_B,4,JB_W,"Offshore Patrol Cutter",JB_RC,"ADD")</f>
        <v/>
      </c>
      <c r="F35" s="31">
        <f>SUMIFS(JB_27BV,JB_B,5,JB_W,"Offshore Patrol Cutter",JB_RC,"ADD")</f>
        <v/>
      </c>
      <c r="G35" s="31">
        <f>SUM(C35:F35)</f>
        <v/>
      </c>
      <c r="H35" s="37">
        <f>IFERROR(G35/G$40,0)</f>
        <v/>
      </c>
    </row>
    <row r="36" ht="10" customHeight="1">
      <c r="A36" s="30" t="inlineStr">
        <is>
          <t>Coastal Buoy Tenders</t>
        </is>
      </c>
      <c r="B36" s="30" t="inlineStr">
        <is>
          <t>USCG</t>
        </is>
      </c>
      <c r="C36" s="31">
        <f>SUMIFS(JB_27BV,JB_B,2,JB_W,"Coastal Buoy Tenders",JB_RC,"ADD")</f>
        <v/>
      </c>
      <c r="D36" s="31">
        <f>SUMIFS(JB_27BV,JB_B,3,JB_W,"Coastal Buoy Tenders",JB_RC,"ADD")</f>
        <v/>
      </c>
      <c r="E36" s="31">
        <f>SUMIFS(JB_27BV,JB_B,4,JB_W,"Coastal Buoy Tenders",JB_RC,"ADD")</f>
        <v/>
      </c>
      <c r="F36" s="31">
        <f>SUMIFS(JB_27BV,JB_B,5,JB_W,"Coastal Buoy Tenders",JB_RC,"ADD")</f>
        <v/>
      </c>
      <c r="G36" s="31">
        <f>SUM(C36:F36)</f>
        <v/>
      </c>
      <c r="H36" s="37">
        <f>IFERROR(G36/G$40,0)</f>
        <v/>
      </c>
    </row>
    <row r="37" ht="10" customHeight="1">
      <c r="A37" s="30" t="inlineStr">
        <is>
          <t>Waterways Commerce Cutters</t>
        </is>
      </c>
      <c r="B37" s="30" t="inlineStr">
        <is>
          <t>USCG</t>
        </is>
      </c>
      <c r="C37" s="31">
        <f>SUMIFS(JB_27BV,JB_B,2,JB_W,"Waterways Commerce Cutters",JB_RC,"ADD")</f>
        <v/>
      </c>
      <c r="D37" s="31">
        <f>SUMIFS(JB_27BV,JB_B,3,JB_W,"Waterways Commerce Cutters",JB_RC,"ADD")</f>
        <v/>
      </c>
      <c r="E37" s="31">
        <f>SUMIFS(JB_27BV,JB_B,4,JB_W,"Waterways Commerce Cutters",JB_RC,"ADD")</f>
        <v/>
      </c>
      <c r="F37" s="31">
        <f>SUMIFS(JB_27BV,JB_B,5,JB_W,"Waterways Commerce Cutters",JB_RC,"ADD")</f>
        <v/>
      </c>
      <c r="G37" s="31">
        <f>SUM(C37:F37)</f>
        <v/>
      </c>
      <c r="H37" s="37">
        <f>IFERROR(G37/G$40,0)</f>
        <v/>
      </c>
    </row>
    <row r="38" ht="10" customHeight="1">
      <c r="A38" s="30" t="inlineStr">
        <is>
          <t>National Security Cutters</t>
        </is>
      </c>
      <c r="B38" s="30" t="inlineStr">
        <is>
          <t>USCG</t>
        </is>
      </c>
      <c r="C38" s="31">
        <f>SUMIFS(JB_27BV,JB_B,2,JB_W,"National Security Cutters",JB_RC,"ADD")</f>
        <v/>
      </c>
      <c r="D38" s="31">
        <f>SUMIFS(JB_27BV,JB_B,3,JB_W,"National Security Cutters",JB_RC,"ADD")</f>
        <v/>
      </c>
      <c r="E38" s="31">
        <f>SUMIFS(JB_27BV,JB_B,4,JB_W,"National Security Cutters",JB_RC,"ADD")</f>
        <v/>
      </c>
      <c r="F38" s="31">
        <f>SUMIFS(JB_27BV,JB_B,5,JB_W,"National Security Cutters",JB_RC,"ADD")</f>
        <v/>
      </c>
      <c r="G38" s="31">
        <f>SUM(C38:F38)</f>
        <v/>
      </c>
      <c r="H38" s="37">
        <f>IFERROR(G38/G$40,0)</f>
        <v/>
      </c>
    </row>
    <row r="39" ht="10" customHeight="1">
      <c r="A39" s="30" t="inlineStr">
        <is>
          <t>Icebreakers, Oceangoing</t>
        </is>
      </c>
      <c r="B39" s="30" t="inlineStr">
        <is>
          <t>USCG</t>
        </is>
      </c>
      <c r="C39" s="31">
        <f>SUMIFS(JB_27BV,JB_B,2,JB_W,"Icebreakers, Oceangoing",JB_RC,"ADD")</f>
        <v/>
      </c>
      <c r="D39" s="31">
        <f>SUMIFS(JB_27BV,JB_B,3,JB_W,"Icebreakers, Oceangoing",JB_RC,"ADD")</f>
        <v/>
      </c>
      <c r="E39" s="31">
        <f>SUMIFS(JB_27BV,JB_B,4,JB_W,"Icebreakers, Oceangoing",JB_RC,"ADD")</f>
        <v/>
      </c>
      <c r="F39" s="31">
        <f>SUMIFS(JB_27BV,JB_B,5,JB_W,"Icebreakers, Oceangoing",JB_RC,"ADD")</f>
        <v/>
      </c>
      <c r="G39" s="31">
        <f>SUM(C39:F39)</f>
        <v/>
      </c>
      <c r="H39" s="37">
        <f>IFERROR(G39/G$40,0)</f>
        <v/>
      </c>
    </row>
    <row r="40" ht="10" customHeight="1">
      <c r="A40" s="32" t="inlineStr">
        <is>
          <t>MRO SAM</t>
        </is>
      </c>
      <c r="B40" s="32" t="inlineStr"/>
      <c r="C40" s="33">
        <f>SUM(C15:C39)</f>
        <v/>
      </c>
      <c r="D40" s="33">
        <f>SUM(D15:D39)</f>
        <v/>
      </c>
      <c r="E40" s="33">
        <f>SUM(E15:E39)</f>
        <v/>
      </c>
      <c r="F40" s="33">
        <f>SUM(F15:F39)</f>
        <v/>
      </c>
      <c r="G40" s="33">
        <f>SUM(G15:G39)</f>
        <v/>
      </c>
      <c r="H40" s="38" t="n">
        <v>1</v>
      </c>
    </row>
    <row r="41" ht="10" customHeight="1"/>
    <row r="42" ht="10" customHeight="1"/>
    <row r="43" ht="10" customHeight="1">
      <c r="A43" s="27" t="inlineStr">
        <is>
          <t>(C) MRO SAM — Work Type by Hull (Mekko)</t>
        </is>
      </c>
      <c r="B43" s="28" t="n"/>
      <c r="C43" s="28" t="n"/>
      <c r="D43" s="28" t="n"/>
      <c r="E43" s="28" t="n"/>
      <c r="F43" s="28" t="n"/>
      <c r="G43" s="28" t="n"/>
      <c r="H43" s="28" t="n"/>
      <c r="I43" s="28" t="n"/>
    </row>
    <row r="44" ht="10" customHeight="1">
      <c r="A44" s="39" t="n"/>
      <c r="B44" s="40" t="inlineStr">
        <is>
          <t>USN</t>
        </is>
      </c>
      <c r="C44" s="39" t="n"/>
      <c r="D44" s="39" t="n"/>
      <c r="E44" s="39" t="n"/>
      <c r="F44" s="39" t="n"/>
      <c r="G44" s="39" t="n"/>
      <c r="H44" s="39" t="n"/>
      <c r="I44" s="41" t="n"/>
    </row>
    <row r="45" ht="10" customHeight="1">
      <c r="A45" s="29" t="inlineStr">
        <is>
          <t>Work Type</t>
        </is>
      </c>
      <c r="B45" s="42" t="inlineStr">
        <is>
          <t>DDG</t>
        </is>
      </c>
      <c r="C45" s="29" t="inlineStr">
        <is>
          <t>LCS</t>
        </is>
      </c>
      <c r="D45" s="29" t="inlineStr">
        <is>
          <t>LPD</t>
        </is>
      </c>
      <c r="E45" s="29" t="inlineStr">
        <is>
          <t>LHD</t>
        </is>
      </c>
      <c r="F45" s="29" t="inlineStr">
        <is>
          <t>T-AGOS</t>
        </is>
      </c>
      <c r="G45" s="29" t="inlineStr">
        <is>
          <t>LCC</t>
        </is>
      </c>
      <c r="H45" s="29" t="inlineStr">
        <is>
          <t>LSD</t>
        </is>
      </c>
      <c r="I45" s="42" t="inlineStr">
        <is>
          <t>Total</t>
        </is>
      </c>
    </row>
    <row r="46" ht="10" customHeight="1">
      <c r="A46" s="30" t="inlineStr">
        <is>
          <t>Scheduled Depot Maintenance</t>
        </is>
      </c>
      <c r="B46" s="43">
        <f>IFERROR((SUMIFS(JB_27BV,JB_B,2,JB_H,"DDG",JB_RC,"ADD"))/B$50,0)</f>
        <v/>
      </c>
      <c r="C46" s="37">
        <f>IFERROR((SUMIFS(JB_27BV,JB_B,2,JB_H,"LCS",JB_RC,"ADD"))/C$50,0)</f>
        <v/>
      </c>
      <c r="D46" s="37">
        <f>IFERROR((SUMIFS(JB_27BV,JB_B,2,JB_H,"LPD",JB_RC,"ADD"))/D$50,0)</f>
        <v/>
      </c>
      <c r="E46" s="37">
        <f>IFERROR((SUMIFS(JB_27BV,JB_B,2,JB_H,"LHD",JB_RC,"ADD"))/E$50,0)</f>
        <v/>
      </c>
      <c r="F46" s="37">
        <f>IFERROR((SUMIFS(JB_27BV,JB_B,2,JB_H,"T-AGOS",JB_RC,"ADD"))/F$50,0)</f>
        <v/>
      </c>
      <c r="G46" s="37">
        <f>IFERROR((SUMIFS(JB_27BV,JB_B,2,JB_H,"LCC",JB_RC,"ADD"))/G$50,0)</f>
        <v/>
      </c>
      <c r="H46" s="37">
        <f>IFERROR((SUMIFS(JB_27BV,JB_B,2,JB_H,"LSD",JB_RC,"ADD"))/H$50,0)</f>
        <v/>
      </c>
      <c r="I46" s="43">
        <f>IFERROR((SUMIFS(JB_27BV,JB_B,2,JB_H,"DDG",JB_RC,"ADD")+SUMIFS(JB_27BV,JB_B,2,JB_H,"LCS",JB_RC,"ADD")+SUMIFS(JB_27BV,JB_B,2,JB_H,"LPD",JB_RC,"ADD")+SUMIFS(JB_27BV,JB_B,2,JB_H,"LHD",JB_RC,"ADD")+SUMIFS(JB_27BV,JB_B,2,JB_H,"T-AGOS",JB_RC,"ADD")+SUMIFS(JB_27BV,JB_B,2,JB_H,"LCC",JB_RC,"ADD")+SUMIFS(JB_27BV,JB_B,2,JB_H,"LSD",JB_RC,"ADD"))/I$50,0)</f>
        <v/>
      </c>
    </row>
    <row r="47" ht="10" customHeight="1">
      <c r="A47" s="30" t="inlineStr">
        <is>
          <t>Continuous / Emergent Maintenance</t>
        </is>
      </c>
      <c r="B47" s="43">
        <f>IFERROR((SUMIFS(JB_27BV,JB_B,3,JB_H,"DDG",JB_RC,"ADD"))/B$50,0)</f>
        <v/>
      </c>
      <c r="C47" s="37">
        <f>IFERROR((SUMIFS(JB_27BV,JB_B,3,JB_H,"LCS",JB_RC,"ADD"))/C$50,0)</f>
        <v/>
      </c>
      <c r="D47" s="37">
        <f>IFERROR((SUMIFS(JB_27BV,JB_B,3,JB_H,"LPD",JB_RC,"ADD"))/D$50,0)</f>
        <v/>
      </c>
      <c r="E47" s="37">
        <f>IFERROR((SUMIFS(JB_27BV,JB_B,3,JB_H,"LHD",JB_RC,"ADD"))/E$50,0)</f>
        <v/>
      </c>
      <c r="F47" s="37">
        <f>IFERROR((SUMIFS(JB_27BV,JB_B,3,JB_H,"T-AGOS",JB_RC,"ADD"))/F$50,0)</f>
        <v/>
      </c>
      <c r="G47" s="37">
        <f>IFERROR((SUMIFS(JB_27BV,JB_B,3,JB_H,"LCC",JB_RC,"ADD"))/G$50,0)</f>
        <v/>
      </c>
      <c r="H47" s="37">
        <f>IFERROR((SUMIFS(JB_27BV,JB_B,3,JB_H,"LSD",JB_RC,"ADD"))/H$50,0)</f>
        <v/>
      </c>
      <c r="I47" s="43">
        <f>IFERROR((SUMIFS(JB_27BV,JB_B,3,JB_H,"DDG",JB_RC,"ADD")+SUMIFS(JB_27BV,JB_B,3,JB_H,"LCS",JB_RC,"ADD")+SUMIFS(JB_27BV,JB_B,3,JB_H,"LPD",JB_RC,"ADD")+SUMIFS(JB_27BV,JB_B,3,JB_H,"LHD",JB_RC,"ADD")+SUMIFS(JB_27BV,JB_B,3,JB_H,"T-AGOS",JB_RC,"ADD")+SUMIFS(JB_27BV,JB_B,3,JB_H,"LCC",JB_RC,"ADD")+SUMIFS(JB_27BV,JB_B,3,JB_H,"LSD",JB_RC,"ADD"))/I$50,0)</f>
        <v/>
      </c>
    </row>
    <row r="48" ht="10" customHeight="1">
      <c r="A48" s="30" t="inlineStr">
        <is>
          <t>Modernization</t>
        </is>
      </c>
      <c r="B48" s="43">
        <f>IFERROR((SUMIFS(JB_27BV,JB_B,4,JB_H,"DDG",JB_RC,"ADD"))/B$50,0)</f>
        <v/>
      </c>
      <c r="C48" s="37">
        <f>IFERROR((SUMIFS(JB_27BV,JB_B,4,JB_H,"LCS",JB_RC,"ADD"))/C$50,0)</f>
        <v/>
      </c>
      <c r="D48" s="37">
        <f>IFERROR((SUMIFS(JB_27BV,JB_B,4,JB_H,"LPD",JB_RC,"ADD"))/D$50,0)</f>
        <v/>
      </c>
      <c r="E48" s="37">
        <f>IFERROR((SUMIFS(JB_27BV,JB_B,4,JB_H,"LHD",JB_RC,"ADD"))/E$50,0)</f>
        <v/>
      </c>
      <c r="F48" s="37">
        <f>IFERROR((SUMIFS(JB_27BV,JB_B,4,JB_H,"T-AGOS",JB_RC,"ADD"))/F$50,0)</f>
        <v/>
      </c>
      <c r="G48" s="37">
        <f>IFERROR((SUMIFS(JB_27BV,JB_B,4,JB_H,"LCC",JB_RC,"ADD"))/G$50,0)</f>
        <v/>
      </c>
      <c r="H48" s="37">
        <f>IFERROR((SUMIFS(JB_27BV,JB_B,4,JB_H,"LSD",JB_RC,"ADD"))/H$50,0)</f>
        <v/>
      </c>
      <c r="I48" s="43">
        <f>IFERROR((SUMIFS(JB_27BV,JB_B,4,JB_H,"DDG",JB_RC,"ADD")+SUMIFS(JB_27BV,JB_B,4,JB_H,"LCS",JB_RC,"ADD")+SUMIFS(JB_27BV,JB_B,4,JB_H,"LPD",JB_RC,"ADD")+SUMIFS(JB_27BV,JB_B,4,JB_H,"LHD",JB_RC,"ADD")+SUMIFS(JB_27BV,JB_B,4,JB_H,"T-AGOS",JB_RC,"ADD")+SUMIFS(JB_27BV,JB_B,4,JB_H,"LCC",JB_RC,"ADD")+SUMIFS(JB_27BV,JB_B,4,JB_H,"LSD",JB_RC,"ADD"))/I$50,0)</f>
        <v/>
      </c>
    </row>
    <row r="49" ht="10" customHeight="1">
      <c r="A49" s="30" t="inlineStr">
        <is>
          <t>Major Life-Cycle Events / RCOH</t>
        </is>
      </c>
      <c r="B49" s="43">
        <f>IFERROR((SUMIFS(JB_27BV,JB_B,5,JB_H,"DDG",JB_RC,"ADD"))/B$50,0)</f>
        <v/>
      </c>
      <c r="C49" s="37">
        <f>IFERROR((SUMIFS(JB_27BV,JB_B,5,JB_H,"LCS",JB_RC,"ADD"))/C$50,0)</f>
        <v/>
      </c>
      <c r="D49" s="37">
        <f>IFERROR((SUMIFS(JB_27BV,JB_B,5,JB_H,"LPD",JB_RC,"ADD"))/D$50,0)</f>
        <v/>
      </c>
      <c r="E49" s="37">
        <f>IFERROR((SUMIFS(JB_27BV,JB_B,5,JB_H,"LHD",JB_RC,"ADD"))/E$50,0)</f>
        <v/>
      </c>
      <c r="F49" s="37">
        <f>IFERROR((SUMIFS(JB_27BV,JB_B,5,JB_H,"T-AGOS",JB_RC,"ADD"))/F$50,0)</f>
        <v/>
      </c>
      <c r="G49" s="37">
        <f>IFERROR((SUMIFS(JB_27BV,JB_B,5,JB_H,"LCC",JB_RC,"ADD"))/G$50,0)</f>
        <v/>
      </c>
      <c r="H49" s="37">
        <f>IFERROR((SUMIFS(JB_27BV,JB_B,5,JB_H,"LSD",JB_RC,"ADD"))/H$50,0)</f>
        <v/>
      </c>
      <c r="I49" s="43">
        <f>IFERROR((SUMIFS(JB_27BV,JB_B,5,JB_H,"DDG",JB_RC,"ADD")+SUMIFS(JB_27BV,JB_B,5,JB_H,"LCS",JB_RC,"ADD")+SUMIFS(JB_27BV,JB_B,5,JB_H,"LPD",JB_RC,"ADD")+SUMIFS(JB_27BV,JB_B,5,JB_H,"LHD",JB_RC,"ADD")+SUMIFS(JB_27BV,JB_B,5,JB_H,"T-AGOS",JB_RC,"ADD")+SUMIFS(JB_27BV,JB_B,5,JB_H,"LCC",JB_RC,"ADD")+SUMIFS(JB_27BV,JB_B,5,JB_H,"LSD",JB_RC,"ADD"))/I$50,0)</f>
        <v/>
      </c>
    </row>
    <row r="50" ht="10" customHeight="1">
      <c r="A50" s="32" t="inlineStr">
        <is>
          <t>Total ($K)</t>
        </is>
      </c>
      <c r="B50" s="44">
        <f>SUMIFS(JB_27BV,JB_B,2,JB_H,"DDG",JB_RC,"ADD")+SUMIFS(JB_27BV,JB_B,3,JB_H,"DDG",JB_RC,"ADD")+SUMIFS(JB_27BV,JB_B,4,JB_H,"DDG",JB_RC,"ADD")+SUMIFS(JB_27BV,JB_B,5,JB_H,"DDG",JB_RC,"ADD")</f>
        <v/>
      </c>
      <c r="C50" s="33">
        <f>SUMIFS(JB_27BV,JB_B,2,JB_H,"LCS",JB_RC,"ADD")+SUMIFS(JB_27BV,JB_B,3,JB_H,"LCS",JB_RC,"ADD")+SUMIFS(JB_27BV,JB_B,4,JB_H,"LCS",JB_RC,"ADD")+SUMIFS(JB_27BV,JB_B,5,JB_H,"LCS",JB_RC,"ADD")</f>
        <v/>
      </c>
      <c r="D50" s="33">
        <f>SUMIFS(JB_27BV,JB_B,2,JB_H,"LPD",JB_RC,"ADD")+SUMIFS(JB_27BV,JB_B,3,JB_H,"LPD",JB_RC,"ADD")+SUMIFS(JB_27BV,JB_B,4,JB_H,"LPD",JB_RC,"ADD")+SUMIFS(JB_27BV,JB_B,5,JB_H,"LPD",JB_RC,"ADD")</f>
        <v/>
      </c>
      <c r="E50" s="33">
        <f>SUMIFS(JB_27BV,JB_B,2,JB_H,"LHD",JB_RC,"ADD")+SUMIFS(JB_27BV,JB_B,3,JB_H,"LHD",JB_RC,"ADD")+SUMIFS(JB_27BV,JB_B,4,JB_H,"LHD",JB_RC,"ADD")+SUMIFS(JB_27BV,JB_B,5,JB_H,"LHD",JB_RC,"ADD")</f>
        <v/>
      </c>
      <c r="F50" s="33">
        <f>SUMIFS(JB_27BV,JB_B,2,JB_H,"T-AGOS",JB_RC,"ADD")+SUMIFS(JB_27BV,JB_B,3,JB_H,"T-AGOS",JB_RC,"ADD")+SUMIFS(JB_27BV,JB_B,4,JB_H,"T-AGOS",JB_RC,"ADD")+SUMIFS(JB_27BV,JB_B,5,JB_H,"T-AGOS",JB_RC,"ADD")</f>
        <v/>
      </c>
      <c r="G50" s="33">
        <f>SUMIFS(JB_27BV,JB_B,2,JB_H,"LCC",JB_RC,"ADD")+SUMIFS(JB_27BV,JB_B,3,JB_H,"LCC",JB_RC,"ADD")+SUMIFS(JB_27BV,JB_B,4,JB_H,"LCC",JB_RC,"ADD")+SUMIFS(JB_27BV,JB_B,5,JB_H,"LCC",JB_RC,"ADD")</f>
        <v/>
      </c>
      <c r="H50" s="33">
        <f>SUMIFS(JB_27BV,JB_B,2,JB_H,"LSD",JB_RC,"ADD")+SUMIFS(JB_27BV,JB_B,3,JB_H,"LSD",JB_RC,"ADD")+SUMIFS(JB_27BV,JB_B,4,JB_H,"LSD",JB_RC,"ADD")+SUMIFS(JB_27BV,JB_B,5,JB_H,"LSD",JB_RC,"ADD")</f>
        <v/>
      </c>
      <c r="I50" s="44">
        <f>SUM(B50:H50)</f>
        <v/>
      </c>
    </row>
    <row r="51" ht="10" customHeight="1"/>
    <row r="52" ht="10" customHeight="1"/>
    <row r="53" ht="10" customHeight="1">
      <c r="A53" s="27" t="inlineStr">
        <is>
          <t>(D) MRO SAM by Hull Program — FY2027 ($K)</t>
        </is>
      </c>
      <c r="B53" s="28" t="n"/>
      <c r="C53" s="28" t="n"/>
      <c r="D53" s="28" t="n"/>
      <c r="E53" s="28" t="n"/>
      <c r="F53" s="28" t="n"/>
      <c r="G53" s="28" t="n"/>
      <c r="H53" s="28" t="n"/>
      <c r="I53" s="28" t="n"/>
    </row>
    <row r="54" ht="10" customHeight="1">
      <c r="A54" s="26" t="inlineStr">
        <is>
          <t>Same funding as (B) broken down to individual hull programs — the level at which depot maintenance, modernization, and life-cycle line items are traceable.</t>
        </is>
      </c>
    </row>
    <row r="55" ht="10" customHeight="1">
      <c r="A55" s="29" t="inlineStr">
        <is>
          <t>Hull Program</t>
        </is>
      </c>
      <c r="B55" s="29" t="inlineStr">
        <is>
          <t>Vessel Type</t>
        </is>
      </c>
      <c r="C55" s="29" t="inlineStr">
        <is>
          <t>Service</t>
        </is>
      </c>
      <c r="D55" s="29" t="inlineStr">
        <is>
          <t>SDM ($K)</t>
        </is>
      </c>
      <c r="E55" s="29" t="inlineStr">
        <is>
          <t>Cont/Emerg ($K)</t>
        </is>
      </c>
      <c r="F55" s="29" t="inlineStr">
        <is>
          <t>Mod ($K)</t>
        </is>
      </c>
      <c r="G55" s="29" t="inlineStr">
        <is>
          <t>Major LC ($K)</t>
        </is>
      </c>
      <c r="H55" s="29" t="inlineStr">
        <is>
          <t>Total ($K)</t>
        </is>
      </c>
      <c r="I55" s="29" t="inlineStr">
        <is>
          <t>% of Total</t>
        </is>
      </c>
    </row>
    <row r="56" ht="10" customHeight="1">
      <c r="A56" s="30" t="inlineStr">
        <is>
          <t>DDG</t>
        </is>
      </c>
      <c r="B56" s="30" t="inlineStr">
        <is>
          <t>Surface Combatants</t>
        </is>
      </c>
      <c r="C56" s="30" t="inlineStr">
        <is>
          <t>USN</t>
        </is>
      </c>
      <c r="D56" s="31">
        <f>SUMIFS(JB_27BV,JB_B,2,JB_H,"DDG",JB_RC,"ADD")</f>
        <v/>
      </c>
      <c r="E56" s="31">
        <f>SUMIFS(JB_27BV,JB_B,3,JB_H,"DDG",JB_RC,"ADD")</f>
        <v/>
      </c>
      <c r="F56" s="31">
        <f>SUMIFS(JB_27BV,JB_B,4,JB_H,"DDG",JB_RC,"ADD")</f>
        <v/>
      </c>
      <c r="G56" s="31">
        <f>SUMIFS(JB_27BV,JB_B,5,JB_H,"DDG",JB_RC,"ADD")</f>
        <v/>
      </c>
      <c r="H56" s="31">
        <f>SUM(D56:G56)</f>
        <v/>
      </c>
      <c r="I56" s="37">
        <f>IFERROR(H56/H$63,0)</f>
        <v/>
      </c>
    </row>
    <row r="57" ht="10" customHeight="1">
      <c r="A57" s="30" t="inlineStr">
        <is>
          <t>LCS</t>
        </is>
      </c>
      <c r="B57" s="30" t="inlineStr">
        <is>
          <t>Surface Combatants</t>
        </is>
      </c>
      <c r="C57" s="30" t="inlineStr">
        <is>
          <t>USN</t>
        </is>
      </c>
      <c r="D57" s="31">
        <f>SUMIFS(JB_27BV,JB_B,2,JB_H,"LCS",JB_RC,"ADD")</f>
        <v/>
      </c>
      <c r="E57" s="31">
        <f>SUMIFS(JB_27BV,JB_B,3,JB_H,"LCS",JB_RC,"ADD")</f>
        <v/>
      </c>
      <c r="F57" s="31">
        <f>SUMIFS(JB_27BV,JB_B,4,JB_H,"LCS",JB_RC,"ADD")</f>
        <v/>
      </c>
      <c r="G57" s="31">
        <f>SUMIFS(JB_27BV,JB_B,5,JB_H,"LCS",JB_RC,"ADD")</f>
        <v/>
      </c>
      <c r="H57" s="31">
        <f>SUM(D57:G57)</f>
        <v/>
      </c>
      <c r="I57" s="37">
        <f>IFERROR(H57/H$63,0)</f>
        <v/>
      </c>
    </row>
    <row r="58" ht="10" customHeight="1">
      <c r="A58" s="30" t="inlineStr">
        <is>
          <t>LPD</t>
        </is>
      </c>
      <c r="B58" s="30" t="inlineStr">
        <is>
          <t>Amphibious Warfare Ships</t>
        </is>
      </c>
      <c r="C58" s="30" t="inlineStr">
        <is>
          <t>USN</t>
        </is>
      </c>
      <c r="D58" s="31">
        <f>SUMIFS(JB_27BV,JB_B,2,JB_H,"LPD",JB_RC,"ADD")</f>
        <v/>
      </c>
      <c r="E58" s="31">
        <f>SUMIFS(JB_27BV,JB_B,3,JB_H,"LPD",JB_RC,"ADD")</f>
        <v/>
      </c>
      <c r="F58" s="31">
        <f>SUMIFS(JB_27BV,JB_B,4,JB_H,"LPD",JB_RC,"ADD")</f>
        <v/>
      </c>
      <c r="G58" s="31">
        <f>SUMIFS(JB_27BV,JB_B,5,JB_H,"LPD",JB_RC,"ADD")</f>
        <v/>
      </c>
      <c r="H58" s="31">
        <f>SUM(D58:G58)</f>
        <v/>
      </c>
      <c r="I58" s="37">
        <f>IFERROR(H58/H$63,0)</f>
        <v/>
      </c>
    </row>
    <row r="59" ht="10" customHeight="1">
      <c r="A59" s="30" t="inlineStr">
        <is>
          <t>LHD</t>
        </is>
      </c>
      <c r="B59" s="30" t="inlineStr">
        <is>
          <t>Amphibious Warfare Ships</t>
        </is>
      </c>
      <c r="C59" s="30" t="inlineStr">
        <is>
          <t>USN</t>
        </is>
      </c>
      <c r="D59" s="31">
        <f>SUMIFS(JB_27BV,JB_B,2,JB_H,"LHD",JB_RC,"ADD")</f>
        <v/>
      </c>
      <c r="E59" s="31">
        <f>SUMIFS(JB_27BV,JB_B,3,JB_H,"LHD",JB_RC,"ADD")</f>
        <v/>
      </c>
      <c r="F59" s="31">
        <f>SUMIFS(JB_27BV,JB_B,4,JB_H,"LHD",JB_RC,"ADD")</f>
        <v/>
      </c>
      <c r="G59" s="31">
        <f>SUMIFS(JB_27BV,JB_B,5,JB_H,"LHD",JB_RC,"ADD")</f>
        <v/>
      </c>
      <c r="H59" s="31">
        <f>SUM(D59:G59)</f>
        <v/>
      </c>
      <c r="I59" s="37">
        <f>IFERROR(H59/H$63,0)</f>
        <v/>
      </c>
    </row>
    <row r="60" ht="10" customHeight="1">
      <c r="A60" s="30" t="inlineStr">
        <is>
          <t>T-AGOS</t>
        </is>
      </c>
      <c r="B60" s="30" t="inlineStr">
        <is>
          <t>Surveillance Ships</t>
        </is>
      </c>
      <c r="C60" s="30" t="inlineStr">
        <is>
          <t>MSC</t>
        </is>
      </c>
      <c r="D60" s="31">
        <f>SUMIFS(JB_27BV,JB_B,2,JB_H,"T-AGOS",JB_RC,"ADD")</f>
        <v/>
      </c>
      <c r="E60" s="31">
        <f>SUMIFS(JB_27BV,JB_B,3,JB_H,"T-AGOS",JB_RC,"ADD")</f>
        <v/>
      </c>
      <c r="F60" s="31">
        <f>SUMIFS(JB_27BV,JB_B,4,JB_H,"T-AGOS",JB_RC,"ADD")</f>
        <v/>
      </c>
      <c r="G60" s="31">
        <f>SUMIFS(JB_27BV,JB_B,5,JB_H,"T-AGOS",JB_RC,"ADD")</f>
        <v/>
      </c>
      <c r="H60" s="31">
        <f>SUM(D60:G60)</f>
        <v/>
      </c>
      <c r="I60" s="37">
        <f>IFERROR(H60/H$63,0)</f>
        <v/>
      </c>
    </row>
    <row r="61" ht="10" customHeight="1">
      <c r="A61" s="30" t="inlineStr">
        <is>
          <t>LCC</t>
        </is>
      </c>
      <c r="B61" s="30" t="inlineStr">
        <is>
          <t>Command Ships</t>
        </is>
      </c>
      <c r="C61" s="30" t="inlineStr">
        <is>
          <t>USN</t>
        </is>
      </c>
      <c r="D61" s="31">
        <f>SUMIFS(JB_27BV,JB_B,2,JB_H,"LCC",JB_RC,"ADD")</f>
        <v/>
      </c>
      <c r="E61" s="31">
        <f>SUMIFS(JB_27BV,JB_B,3,JB_H,"LCC",JB_RC,"ADD")</f>
        <v/>
      </c>
      <c r="F61" s="31">
        <f>SUMIFS(JB_27BV,JB_B,4,JB_H,"LCC",JB_RC,"ADD")</f>
        <v/>
      </c>
      <c r="G61" s="31">
        <f>SUMIFS(JB_27BV,JB_B,5,JB_H,"LCC",JB_RC,"ADD")</f>
        <v/>
      </c>
      <c r="H61" s="31">
        <f>SUM(D61:G61)</f>
        <v/>
      </c>
      <c r="I61" s="37">
        <f>IFERROR(H61/H$63,0)</f>
        <v/>
      </c>
    </row>
    <row r="62" ht="10" customHeight="1">
      <c r="A62" s="30" t="inlineStr">
        <is>
          <t>LSD</t>
        </is>
      </c>
      <c r="B62" s="30" t="inlineStr">
        <is>
          <t>Amphibious Warfare Ships</t>
        </is>
      </c>
      <c r="C62" s="30" t="inlineStr">
        <is>
          <t>USN</t>
        </is>
      </c>
      <c r="D62" s="31">
        <f>SUMIFS(JB_27BV,JB_B,2,JB_H,"LSD",JB_RC,"ADD")</f>
        <v/>
      </c>
      <c r="E62" s="31">
        <f>SUMIFS(JB_27BV,JB_B,3,JB_H,"LSD",JB_RC,"ADD")</f>
        <v/>
      </c>
      <c r="F62" s="31">
        <f>SUMIFS(JB_27BV,JB_B,4,JB_H,"LSD",JB_RC,"ADD")</f>
        <v/>
      </c>
      <c r="G62" s="31">
        <f>SUMIFS(JB_27BV,JB_B,5,JB_H,"LSD",JB_RC,"ADD")</f>
        <v/>
      </c>
      <c r="H62" s="31">
        <f>SUM(D62:G62)</f>
        <v/>
      </c>
      <c r="I62" s="37">
        <f>IFERROR(H62/H$63,0)</f>
        <v/>
      </c>
    </row>
    <row r="63" ht="10" customHeight="1">
      <c r="A63" s="32" t="inlineStr">
        <is>
          <t>MRO SAM (all programs)</t>
        </is>
      </c>
      <c r="B63" s="32" t="inlineStr"/>
      <c r="C63" s="32" t="inlineStr"/>
      <c r="D63" s="33">
        <f>SUM(D56:D62)</f>
        <v/>
      </c>
      <c r="E63" s="33">
        <f>SUM(E56:E62)</f>
        <v/>
      </c>
      <c r="F63" s="33">
        <f>SUM(F56:F62)</f>
        <v/>
      </c>
      <c r="G63" s="33">
        <f>SUM(G56:G62)</f>
        <v/>
      </c>
      <c r="H63" s="33">
        <f>SUM(H56:H62)</f>
        <v/>
      </c>
      <c r="I63" s="38" t="n">
        <v>1</v>
      </c>
    </row>
  </sheetData>
  <pageMargins left="0.75" right="0.75" top="1" bottom="1" header="0.5" footer="0.5"/>
</worksheet>
</file>

<file path=xl/worksheets/sheet14.xml><?xml version="1.0" encoding="utf-8"?>
<worksheet xmlns="http://schemas.openxmlformats.org/spreadsheetml/2006/main">
  <sheetPr>
    <tabColor rgb="007B5B3A"/>
    <outlinePr summaryBelow="1" summaryRight="1"/>
    <pageSetUpPr/>
  </sheetPr>
  <dimension ref="A1:E128"/>
  <sheetViews>
    <sheetView showGridLines="0" workbookViewId="0">
      <selection activeCell="A1" sqref="A1"/>
    </sheetView>
  </sheetViews>
  <sheetFormatPr baseColWidth="8" defaultRowHeight="15"/>
  <cols>
    <col width="30" customWidth="1" min="1" max="1"/>
    <col width="16" customWidth="1" min="2" max="2"/>
    <col width="44" customWidth="1" min="3" max="3"/>
    <col width="26" customWidth="1" min="4" max="4"/>
    <col width="26" customWidth="1" min="5" max="5"/>
  </cols>
  <sheetData>
    <row r="1" ht="10" customHeight="1">
      <c r="A1" s="24" t="inlineStr">
        <is>
          <t>Competitive Dynamics</t>
        </is>
      </c>
      <c r="B1" s="25" t="n"/>
      <c r="C1" s="25" t="n"/>
      <c r="D1" s="25" t="n"/>
      <c r="E1" s="25" t="n"/>
    </row>
    <row r="2" ht="10" customHeight="1">
      <c r="A2" s="26" t="inlineStr">
        <is>
          <t>FY20-26 contract obligation analysis — primes, subcontractors, and FY26 vehicle crosswalk ($K)</t>
        </is>
      </c>
    </row>
    <row r="3" ht="10" customHeight="1"/>
    <row r="4" ht="10" customHeight="1">
      <c r="A4" s="27" t="inlineStr">
        <is>
          <t>(A) Top Prime Contractors — FY20-26 Window Obligation</t>
        </is>
      </c>
      <c r="B4" s="28" t="n"/>
      <c r="C4" s="28" t="n"/>
      <c r="D4" s="28" t="n"/>
    </row>
    <row r="5" ht="10" customHeight="1">
      <c r="A5" s="29" t="inlineStr">
        <is>
          <t>Contractor</t>
        </is>
      </c>
      <c r="B5" s="29" t="inlineStr">
        <is>
          <t>Parent</t>
        </is>
      </c>
      <c r="C5" s="29" t="inlineStr">
        <is>
          <t>Window ($K)</t>
        </is>
      </c>
      <c r="D5" s="29" t="inlineStr">
        <is>
          <t>Key Programs</t>
        </is>
      </c>
    </row>
    <row r="6" ht="10" customHeight="1">
      <c r="A6" s="30" t="inlineStr">
        <is>
          <t>Huntington Ingalls Industries</t>
        </is>
      </c>
      <c r="B6" s="26" t="inlineStr">
        <is>
          <t>HII</t>
        </is>
      </c>
      <c r="C6" s="56" t="n">
        <v>22000000</v>
      </c>
      <c r="D6" s="26" t="inlineStr">
        <is>
          <t>DDG-51 $11.4B, LPD $4.7B, LHA $4.5B, DDG-1000 $0.3B, depot</t>
        </is>
      </c>
    </row>
    <row r="7" ht="10" customHeight="1">
      <c r="A7" s="30" t="inlineStr">
        <is>
          <t>Raytheon / RTX</t>
        </is>
      </c>
      <c r="B7" s="26" t="inlineStr">
        <is>
          <t>RTX Corp</t>
        </is>
      </c>
      <c r="C7" s="56" t="n">
        <v>13700000</v>
      </c>
      <c r="D7" s="26" t="inlineStr">
        <is>
          <t>Standard Missile $5.7B, SPY-6 $3.5B, CIWS/RAM $2.0B, DDG-1000 $0.9B, CEC $0.6B</t>
        </is>
      </c>
    </row>
    <row r="8" ht="10" customHeight="1">
      <c r="A8" s="30" t="inlineStr">
        <is>
          <t>Bath Iron Works</t>
        </is>
      </c>
      <c r="B8" s="26" t="inlineStr">
        <is>
          <t>General Dynamics</t>
        </is>
      </c>
      <c r="C8" s="56" t="n">
        <v>8800000</v>
      </c>
      <c r="D8" s="26" t="inlineStr">
        <is>
          <t>DDG-51 FY23-27 $5.0B, FY18-22 $3.3B, FY13-17 $0.5B, DDG-1000 $0.2B</t>
        </is>
      </c>
    </row>
    <row r="9" ht="10" customHeight="1">
      <c r="A9" s="30" t="inlineStr">
        <is>
          <t>BAE Systems</t>
        </is>
      </c>
      <c r="B9" s="26" t="inlineStr">
        <is>
          <t>BAE Systems plc</t>
        </is>
      </c>
      <c r="C9" s="56" t="n">
        <v>5000000</v>
      </c>
      <c r="D9" s="26" t="inlineStr">
        <is>
          <t>DDG/LHD/LPD/LSD/CG depot maintenance — Norfolk, San Diego, Jacksonville, Hawaii</t>
        </is>
      </c>
    </row>
    <row r="10" ht="10" customHeight="1">
      <c r="A10" s="30" t="inlineStr">
        <is>
          <t>Lockheed Martin</t>
        </is>
      </c>
      <c r="B10" s="26" t="inlineStr">
        <is>
          <t>LM</t>
        </is>
      </c>
      <c r="C10" s="56" t="n">
        <v>1500000</v>
      </c>
      <c r="D10" s="26" t="inlineStr">
        <is>
          <t>SLQ-32(V)6 $0.8B, SSDS $0.4B, HELIOS $0.1B, LCS Freedom $0.3B</t>
        </is>
      </c>
    </row>
    <row r="11" ht="10" customHeight="1">
      <c r="A11" s="30" t="inlineStr">
        <is>
          <t>Metro Machine Corp</t>
        </is>
      </c>
      <c r="B11" s="26" t="inlineStr">
        <is>
          <t>--</t>
        </is>
      </c>
      <c r="C11" s="56" t="n">
        <v>700000</v>
      </c>
      <c r="D11" s="26" t="inlineStr">
        <is>
          <t>LHD/DDG/LSD depot maintenance — Norfolk</t>
        </is>
      </c>
    </row>
    <row r="12" ht="10" customHeight="1">
      <c r="A12" s="30" t="inlineStr">
        <is>
          <t>NASSCO</t>
        </is>
      </c>
      <c r="B12" s="26" t="inlineStr">
        <is>
          <t>General Dynamics</t>
        </is>
      </c>
      <c r="C12" s="56" t="n">
        <v>600000</v>
      </c>
      <c r="D12" s="26" t="inlineStr">
        <is>
          <t>LHA/LHD/LSD/DDG/CG depot maintenance — San Diego</t>
        </is>
      </c>
    </row>
    <row r="13" ht="10" customHeight="1">
      <c r="A13" s="30" t="inlineStr">
        <is>
          <t>Vigor Marine LLC</t>
        </is>
      </c>
      <c r="B13" s="26" t="inlineStr">
        <is>
          <t>--</t>
        </is>
      </c>
      <c r="C13" s="56" t="n">
        <v>500000</v>
      </c>
      <c r="D13" s="26" t="inlineStr">
        <is>
          <t>DDG/CG depot maintenance — Portland, OR</t>
        </is>
      </c>
    </row>
    <row r="14" ht="10" customHeight="1">
      <c r="A14" s="30" t="inlineStr">
        <is>
          <t>Northrop Grumman Systems</t>
        </is>
      </c>
      <c r="B14" s="26" t="inlineStr">
        <is>
          <t>NG</t>
        </is>
      </c>
      <c r="C14" s="56" t="n">
        <v>487000</v>
      </c>
      <c r="D14" s="26" t="inlineStr">
        <is>
          <t>Knifefish/LCS $0.35B, SEWIP Block 3 $0.14B, ALMDS $0.07B</t>
        </is>
      </c>
    </row>
    <row r="15" ht="10" customHeight="1">
      <c r="A15" s="30" t="inlineStr">
        <is>
          <t>QED Systems</t>
        </is>
      </c>
      <c r="B15" s="26" t="inlineStr">
        <is>
          <t>--</t>
        </is>
      </c>
      <c r="C15" s="56" t="n">
        <v>300000</v>
      </c>
      <c r="D15" s="26" t="inlineStr">
        <is>
          <t>Third-party planning DDG/CG/LPD/LHD</t>
        </is>
      </c>
    </row>
    <row r="16" ht="10" customHeight="1">
      <c r="A16" s="30" t="inlineStr">
        <is>
          <t>Continental Maritime</t>
        </is>
      </c>
      <c r="B16" s="26" t="inlineStr">
        <is>
          <t>--</t>
        </is>
      </c>
      <c r="C16" s="56" t="n">
        <v>300000</v>
      </c>
      <c r="D16" s="26" t="inlineStr">
        <is>
          <t>DDG depot — San Diego</t>
        </is>
      </c>
    </row>
    <row r="17" ht="10" customHeight="1">
      <c r="A17" s="30" t="inlineStr">
        <is>
          <t>Textron Systems</t>
        </is>
      </c>
      <c r="B17" s="26" t="inlineStr">
        <is>
          <t>Textron</t>
        </is>
      </c>
      <c r="C17" s="56" t="n">
        <v>242000</v>
      </c>
      <c r="D17" s="26" t="inlineStr">
        <is>
          <t>UISS $0.24B</t>
        </is>
      </c>
    </row>
    <row r="18" ht="10" customHeight="1">
      <c r="A18" s="30" t="inlineStr">
        <is>
          <t>Advanced Technology International</t>
        </is>
      </c>
      <c r="B18" s="26" t="inlineStr">
        <is>
          <t>--</t>
        </is>
      </c>
      <c r="C18" s="56" t="n">
        <v>235000</v>
      </c>
      <c r="D18" s="26" t="inlineStr">
        <is>
          <t>OTA consortium: MK-54 MOD 2, SPY-6 prototype, HEL, LHD midlife</t>
        </is>
      </c>
    </row>
    <row r="19" ht="10" customHeight="1">
      <c r="A19" s="30" t="inlineStr">
        <is>
          <t>General Dynamics Mission Systems</t>
        </is>
      </c>
      <c r="B19" s="26" t="inlineStr">
        <is>
          <t>General Dynamics</t>
        </is>
      </c>
      <c r="C19" s="56" t="n">
        <v>210000</v>
      </c>
      <c r="D19" s="26" t="inlineStr">
        <is>
          <t>MK-54 MOD 1 $0.12B, Knifefish Block 1 $0.08B</t>
        </is>
      </c>
    </row>
    <row r="20" ht="10" customHeight="1">
      <c r="A20" s="30" t="inlineStr">
        <is>
          <t>SAIC</t>
        </is>
      </c>
      <c r="B20" s="26" t="inlineStr">
        <is>
          <t>SAIC</t>
        </is>
      </c>
      <c r="C20" s="56" t="n">
        <v>200000</v>
      </c>
      <c r="D20" s="26" t="inlineStr">
        <is>
          <t>DDG-1000 engineering, SSTD Nixie, torpedo defense</t>
        </is>
      </c>
    </row>
    <row r="21" ht="10" customHeight="1">
      <c r="A21" s="30" t="inlineStr">
        <is>
          <t>Marine Hydraulics International</t>
        </is>
      </c>
      <c r="B21" s="26" t="inlineStr">
        <is>
          <t>--</t>
        </is>
      </c>
      <c r="C21" s="56" t="n">
        <v>200000</v>
      </c>
      <c r="D21" s="26" t="inlineStr">
        <is>
          <t>DDG/LSD depot + sub-prime on LHD primes</t>
        </is>
      </c>
    </row>
    <row r="22" ht="10" customHeight="1">
      <c r="A22" s="30" t="inlineStr">
        <is>
          <t>Bollinger Shipyards</t>
        </is>
      </c>
      <c r="B22" s="26" t="inlineStr">
        <is>
          <t>Bollinger</t>
        </is>
      </c>
      <c r="C22" s="56" t="n">
        <v>116000</v>
      </c>
      <c r="D22" s="26" t="inlineStr">
        <is>
          <t>MCM USV production</t>
        </is>
      </c>
    </row>
    <row r="23" ht="10" customHeight="1">
      <c r="A23" s="30" t="inlineStr">
        <is>
          <t>Ultra Electronics Ocean Systems</t>
        </is>
      </c>
      <c r="B23" s="26" t="inlineStr">
        <is>
          <t>Ultra</t>
        </is>
      </c>
      <c r="C23" s="56" t="n">
        <v>68000</v>
      </c>
      <c r="D23" s="26" t="inlineStr">
        <is>
          <t>MK 54 MOD 0 array kits + Nixie production</t>
        </is>
      </c>
    </row>
    <row r="24" ht="10" customHeight="1">
      <c r="A24" s="30" t="inlineStr">
        <is>
          <t>Penn State Applied Research Lab</t>
        </is>
      </c>
      <c r="B24" s="26" t="inlineStr">
        <is>
          <t>Penn State</t>
        </is>
      </c>
      <c r="C24" s="56" t="n">
        <v>60000</v>
      </c>
      <c r="D24" s="26" t="inlineStr">
        <is>
          <t>MK-54 MOD 2 engineering, HEL development</t>
        </is>
      </c>
    </row>
    <row r="25" ht="10" customHeight="1">
      <c r="A25" s="32" t="inlineStr">
        <is>
          <t>Total (top 19)</t>
        </is>
      </c>
      <c r="B25" s="34" t="n"/>
      <c r="C25" s="33">
        <f>SUM(C6:C24)</f>
        <v/>
      </c>
      <c r="D25" s="34" t="n"/>
    </row>
    <row r="26" ht="10" customHeight="1"/>
    <row r="27" ht="10" customHeight="1"/>
    <row r="28" ht="10" customHeight="1">
      <c r="A28" s="27" t="inlineStr">
        <is>
          <t>(B) Top Subcontractors — Hidden Supply Chain</t>
        </is>
      </c>
      <c r="B28" s="28" t="n"/>
      <c r="C28" s="28" t="n"/>
      <c r="D28" s="28" t="n"/>
      <c r="E28" s="28" t="n"/>
    </row>
    <row r="29" ht="10" customHeight="1">
      <c r="A29" s="29" t="inlineStr">
        <is>
          <t>Parent Company</t>
        </is>
      </c>
      <c r="B29" s="29" t="inlineStr">
        <is>
          <t>Sub Total ($K)</t>
        </is>
      </c>
      <c r="C29" s="29" t="inlineStr">
        <is>
          <t># Primes</t>
        </is>
      </c>
      <c r="D29" s="29" t="inlineStr">
        <is>
          <t># PIIDs</t>
        </is>
      </c>
      <c r="E29" s="29" t="inlineStr">
        <is>
          <t>Primary Programs</t>
        </is>
      </c>
    </row>
    <row r="30" ht="10" customHeight="1">
      <c r="A30" s="30" t="inlineStr">
        <is>
          <t>Fincantieri (Marinette Marine)</t>
        </is>
      </c>
      <c r="B30" s="56" t="n">
        <v>2487000</v>
      </c>
      <c r="C30" s="56" t="n">
        <v>2</v>
      </c>
      <c r="D30" s="56" t="n">
        <v>1</v>
      </c>
      <c r="E30" s="26" t="inlineStr">
        <is>
          <t>LCS Freedom hull builder — actual constructor under LM prime</t>
        </is>
      </c>
    </row>
    <row r="31" ht="10" customHeight="1">
      <c r="A31" s="30" t="inlineStr">
        <is>
          <t>Timken Gears &amp; Services</t>
        </is>
      </c>
      <c r="B31" s="56" t="n">
        <v>516000</v>
      </c>
      <c r="C31" s="56" t="n">
        <v>22</v>
      </c>
      <c r="D31" s="56" t="n">
        <v>20</v>
      </c>
      <c r="E31" s="26" t="inlineStr">
        <is>
          <t>DDG/LHD/CG propulsion gearing</t>
        </is>
      </c>
    </row>
    <row r="32" ht="10" customHeight="1">
      <c r="A32" s="30" t="inlineStr">
        <is>
          <t>General Dynamics (rolled up)</t>
        </is>
      </c>
      <c r="B32" s="56" t="n">
        <v>432000</v>
      </c>
      <c r="C32" s="56" t="n">
        <v>23</v>
      </c>
      <c r="D32" s="56" t="n">
        <v>14</v>
      </c>
      <c r="E32" s="26" t="inlineStr">
        <is>
          <t>GD Mission Systems $359M on SPY-6, GD-OTS, GDIT</t>
        </is>
      </c>
    </row>
    <row r="33" ht="10" customHeight="1">
      <c r="A33" s="30" t="inlineStr">
        <is>
          <t>L3Harris (Aerojet Rocketdyne)</t>
        </is>
      </c>
      <c r="B33" s="56" t="n">
        <v>378000</v>
      </c>
      <c r="C33" s="56" t="n">
        <v>4</v>
      </c>
      <c r="D33" s="56" t="n">
        <v>4</v>
      </c>
      <c r="E33" s="26" t="inlineStr">
        <is>
          <t>Solid rocket motors for Standard Missile family</t>
        </is>
      </c>
    </row>
    <row r="34" ht="10" customHeight="1">
      <c r="A34" s="30" t="inlineStr">
        <is>
          <t>Rolls-Royce</t>
        </is>
      </c>
      <c r="B34" s="56" t="n">
        <v>313000</v>
      </c>
      <c r="C34" s="56" t="n">
        <v>25</v>
      </c>
      <c r="D34" s="56" t="n">
        <v>25</v>
      </c>
      <c r="E34" s="26" t="inlineStr">
        <is>
          <t>Gas turbines, waterjets, gearing — DDG/LCS/LPD/LHA + depot</t>
        </is>
      </c>
    </row>
    <row r="35" ht="10" customHeight="1">
      <c r="A35" s="30" t="inlineStr">
        <is>
          <t>CAES (Cobham)</t>
        </is>
      </c>
      <c r="B35" s="56" t="n">
        <v>217000</v>
      </c>
      <c r="C35" s="56" t="n">
        <v>10</v>
      </c>
      <c r="D35" s="56" t="n">
        <v>8</v>
      </c>
      <c r="E35" s="26" t="inlineStr">
        <is>
          <t>RF assemblies on SPY-6 $170M, SEWIP $110M, SLQ-32 $95M</t>
        </is>
      </c>
    </row>
    <row r="36" ht="10" customHeight="1">
      <c r="A36" s="30" t="inlineStr">
        <is>
          <t>Northrop Grumman (as sub)</t>
        </is>
      </c>
      <c r="B36" s="56" t="n">
        <v>215000</v>
      </c>
      <c r="C36" s="56" t="n">
        <v>10</v>
      </c>
      <c r="D36" s="56" t="n">
        <v>9</v>
      </c>
      <c r="E36" s="26" t="inlineStr">
        <is>
          <t>SPY-6 RF $114M, CIWS, LPD/LHA construction</t>
        </is>
      </c>
    </row>
    <row r="37" ht="10" customHeight="1">
      <c r="A37" s="30" t="inlineStr">
        <is>
          <t>IMIA</t>
        </is>
      </c>
      <c r="B37" s="56" t="n">
        <v>204000</v>
      </c>
      <c r="C37" s="56" t="n">
        <v>28</v>
      </c>
      <c r="D37" s="56" t="n">
        <v>28</v>
      </c>
      <c r="E37" s="26" t="inlineStr">
        <is>
          <t>Hull coatings / paint across 28 depot availabilities</t>
        </is>
      </c>
    </row>
    <row r="38" ht="10" customHeight="1">
      <c r="A38" s="30" t="inlineStr">
        <is>
          <t>L3Harris (excl. Aerojet)</t>
        </is>
      </c>
      <c r="B38" s="56" t="n">
        <v>203000</v>
      </c>
      <c r="C38" s="56" t="n">
        <v>53</v>
      </c>
      <c r="D38" s="56" t="n">
        <v>45</v>
      </c>
      <c r="E38" s="26" t="inlineStr">
        <is>
          <t>Maritime Power, Cincinnati Electronics, Fuzing — broadest footprint</t>
        </is>
      </c>
    </row>
    <row r="39" ht="10" customHeight="1">
      <c r="A39" s="30" t="inlineStr">
        <is>
          <t>Johnson Controls (incl. York)</t>
        </is>
      </c>
      <c r="B39" s="56" t="n">
        <v>172000</v>
      </c>
      <c r="C39" s="56" t="n">
        <v>31</v>
      </c>
      <c r="D39" s="56" t="n">
        <v>24</v>
      </c>
      <c r="E39" s="26" t="inlineStr">
        <is>
          <t>HVAC / chilled water on DDG/LPD/LHA + depot</t>
        </is>
      </c>
    </row>
    <row r="40" ht="10" customHeight="1">
      <c r="A40" s="30" t="inlineStr">
        <is>
          <t>GE Aerospace</t>
        </is>
      </c>
      <c r="B40" s="56" t="n">
        <v>166000</v>
      </c>
      <c r="C40" s="56" t="n">
        <v>16</v>
      </c>
      <c r="D40" s="56" t="n">
        <v>14</v>
      </c>
      <c r="E40" s="26" t="inlineStr">
        <is>
          <t>LM2500 gas turbines on DDG-51 + GE Power Conversion LHA 9</t>
        </is>
      </c>
    </row>
    <row r="41" ht="10" customHeight="1">
      <c r="A41" s="30" t="inlineStr">
        <is>
          <t>Fairbanks Morse Defense</t>
        </is>
      </c>
      <c r="B41" s="56" t="n">
        <v>161000</v>
      </c>
      <c r="C41" s="56" t="n">
        <v>25</v>
      </c>
      <c r="D41" s="56" t="n">
        <v>18</v>
      </c>
      <c r="E41" s="26" t="inlineStr">
        <is>
          <t>Diesel generators / propulsion on LPD/LHA + depot rebuilds</t>
        </is>
      </c>
    </row>
    <row r="42" ht="10" customHeight="1">
      <c r="A42" s="30" t="inlineStr">
        <is>
          <t>Leonardo DRS</t>
        </is>
      </c>
      <c r="B42" s="56" t="n">
        <v>134000</v>
      </c>
      <c r="C42" s="56" t="n">
        <v>18</v>
      </c>
      <c r="D42" s="56" t="n">
        <v>15</v>
      </c>
      <c r="E42" s="26" t="inlineStr">
        <is>
          <t>Naval Power Systems, Network &amp; Imaging, Laurel Technologies</t>
        </is>
      </c>
    </row>
    <row r="43" ht="10" customHeight="1">
      <c r="A43" s="30" t="inlineStr">
        <is>
          <t>Sparton DeLeon Springs</t>
        </is>
      </c>
      <c r="B43" s="56" t="n">
        <v>108000</v>
      </c>
      <c r="C43" s="56" t="n">
        <v>2</v>
      </c>
      <c r="D43" s="56" t="n">
        <v>2</v>
      </c>
      <c r="E43" s="26" t="inlineStr">
        <is>
          <t>ASW sensors / payload on Raytheon Barracuda</t>
        </is>
      </c>
    </row>
    <row r="44" ht="10" customHeight="1">
      <c r="A44" s="30" t="inlineStr">
        <is>
          <t>RAM-System GmbH</t>
        </is>
      </c>
      <c r="B44" s="56" t="n">
        <v>98000</v>
      </c>
      <c r="C44" s="56" t="n">
        <v>1</v>
      </c>
      <c r="D44" s="56" t="n">
        <v>1</v>
      </c>
      <c r="E44" s="26" t="inlineStr">
        <is>
          <t>RAM missile co-development with Raytheon (Germany)</t>
        </is>
      </c>
    </row>
    <row r="45" ht="10" customHeight="1">
      <c r="A45" s="30" t="inlineStr">
        <is>
          <t>Bay Metals &amp; Fabrication</t>
        </is>
      </c>
      <c r="B45" s="56" t="n">
        <v>93000</v>
      </c>
      <c r="C45" s="56" t="n">
        <v>9</v>
      </c>
      <c r="D45" s="56" t="n">
        <v>9</v>
      </c>
      <c r="E45" s="26" t="inlineStr">
        <is>
          <t>Norfolk metal fab serving 9 depot availabilities</t>
        </is>
      </c>
    </row>
    <row r="46" ht="10" customHeight="1">
      <c r="A46" s="30" t="inlineStr">
        <is>
          <t>US Joiner LLC</t>
        </is>
      </c>
      <c r="B46" s="56" t="n">
        <v>88000</v>
      </c>
      <c r="C46" s="56" t="n">
        <v>12</v>
      </c>
      <c r="D46" s="56" t="n">
        <v>12</v>
      </c>
      <c r="E46" s="26" t="inlineStr">
        <is>
          <t>Interior outfitting — LPD construction + depot</t>
        </is>
      </c>
    </row>
    <row r="47" ht="10" customHeight="1">
      <c r="A47" s="30" t="inlineStr">
        <is>
          <t>United Rentals</t>
        </is>
      </c>
      <c r="B47" s="56" t="n">
        <v>77000</v>
      </c>
      <c r="C47" s="56" t="n">
        <v>29</v>
      </c>
      <c r="D47" s="56" t="n">
        <v>29</v>
      </c>
      <c r="E47" s="26" t="inlineStr">
        <is>
          <t>Equipment rental across 29 depot availabilities</t>
        </is>
      </c>
    </row>
    <row r="48" ht="10" customHeight="1">
      <c r="A48" s="30" t="inlineStr">
        <is>
          <t>Honeywell</t>
        </is>
      </c>
      <c r="B48" s="56" t="n">
        <v>71000</v>
      </c>
      <c r="C48" s="56" t="n">
        <v>12</v>
      </c>
      <c r="D48" s="56" t="n">
        <v>12</v>
      </c>
      <c r="E48" s="26" t="inlineStr">
        <is>
          <t>IMUs / IRUs on Standard Missile + CIWS</t>
        </is>
      </c>
    </row>
    <row r="49" ht="10" customHeight="1">
      <c r="A49" s="30" t="inlineStr">
        <is>
          <t>Anaren</t>
        </is>
      </c>
      <c r="B49" s="56" t="n">
        <v>64000</v>
      </c>
      <c r="C49" s="56" t="n">
        <v>7</v>
      </c>
      <c r="D49" s="56" t="n">
        <v>7</v>
      </c>
      <c r="E49" s="26" t="inlineStr">
        <is>
          <t>RF combiners/dividers on SPY-6</t>
        </is>
      </c>
    </row>
    <row r="50" ht="10" customHeight="1">
      <c r="A50" s="32" t="inlineStr">
        <is>
          <t>Total (top 20)</t>
        </is>
      </c>
      <c r="B50" s="33">
        <f>SUM(B30:B49)</f>
        <v/>
      </c>
      <c r="C50" s="34" t="n"/>
      <c r="D50" s="34" t="n"/>
      <c r="E50" s="34" t="n"/>
    </row>
    <row r="51" ht="10" customHeight="1"/>
    <row r="52" ht="10" customHeight="1"/>
    <row r="53" ht="10" customHeight="1">
      <c r="A53" s="27" t="inlineStr">
        <is>
          <t>(C) Per-Program Subaward Summary</t>
        </is>
      </c>
      <c r="B53" s="28" t="n"/>
      <c r="C53" s="28" t="n"/>
      <c r="D53" s="28" t="n"/>
      <c r="E53" s="28" t="n"/>
    </row>
    <row r="54" ht="10" customHeight="1">
      <c r="A54" s="29" t="inlineStr">
        <is>
          <t>Program</t>
        </is>
      </c>
      <c r="B54" s="29" t="inlineStr">
        <is>
          <t>Total Subs ($K)</t>
        </is>
      </c>
      <c r="C54" s="29" t="inlineStr">
        <is>
          <t>Top Sub 1</t>
        </is>
      </c>
      <c r="D54" s="29" t="inlineStr">
        <is>
          <t>Top Sub 2</t>
        </is>
      </c>
      <c r="E54" s="29" t="inlineStr">
        <is>
          <t>Top Sub 3</t>
        </is>
      </c>
    </row>
    <row r="55" ht="10" customHeight="1">
      <c r="A55" s="30" t="inlineStr">
        <is>
          <t>DDG-51 New Construction</t>
        </is>
      </c>
      <c r="B55" s="56" t="n">
        <v>530000</v>
      </c>
      <c r="C55" s="26" t="inlineStr">
        <is>
          <t>GE Aerospace $88M</t>
        </is>
      </c>
      <c r="D55" s="26" t="inlineStr">
        <is>
          <t>Johnson Controls $76M</t>
        </is>
      </c>
      <c r="E55" s="26" t="inlineStr">
        <is>
          <t>Timken Gears $41M</t>
        </is>
      </c>
    </row>
    <row r="56" ht="10" customHeight="1">
      <c r="A56" s="30" t="inlineStr">
        <is>
          <t>DDG Mod — SPY-6</t>
        </is>
      </c>
      <c r="B56" s="56" t="n">
        <v>1220000</v>
      </c>
      <c r="C56" s="26" t="inlineStr">
        <is>
          <t>GD Mission Systems $359M</t>
        </is>
      </c>
      <c r="D56" s="26" t="inlineStr">
        <is>
          <t>CAES $170M</t>
        </is>
      </c>
      <c r="E56" s="26" t="inlineStr">
        <is>
          <t>Northrop Grumman $114M</t>
        </is>
      </c>
    </row>
    <row r="57" ht="10" customHeight="1">
      <c r="A57" s="30" t="inlineStr">
        <is>
          <t>DDG Mod — CIWS/RAM/SeaRAM</t>
        </is>
      </c>
      <c r="B57" s="56" t="n">
        <v>560000</v>
      </c>
      <c r="C57" s="26" t="inlineStr">
        <is>
          <t>RAM-System GmbH $98M</t>
        </is>
      </c>
      <c r="D57" s="26" t="inlineStr">
        <is>
          <t>L3Harris $39M</t>
        </is>
      </c>
      <c r="E57" s="26" t="inlineStr">
        <is>
          <t>GD $35M</t>
        </is>
      </c>
    </row>
    <row r="58" ht="10" customHeight="1">
      <c r="A58" s="30" t="inlineStr">
        <is>
          <t>LCS Freedom Construction</t>
        </is>
      </c>
      <c r="B58" s="56" t="n">
        <v>2910000</v>
      </c>
      <c r="C58" s="26" t="inlineStr">
        <is>
          <t>Marinette Marine $2,487M</t>
        </is>
      </c>
      <c r="D58" s="26" t="inlineStr">
        <is>
          <t>Rolls-Royce $196M</t>
        </is>
      </c>
      <c r="E58" s="26" t="inlineStr">
        <is>
          <t>Airbus US $56M</t>
        </is>
      </c>
    </row>
    <row r="59" ht="10" customHeight="1">
      <c r="A59" s="30" t="inlineStr">
        <is>
          <t>LCS MCM Mission Modules</t>
        </is>
      </c>
      <c r="B59" s="56" t="n">
        <v>1230000</v>
      </c>
      <c r="C59" s="26" t="inlineStr">
        <is>
          <t>Trident Sensors $215M</t>
        </is>
      </c>
      <c r="D59" s="26" t="inlineStr">
        <is>
          <t>Teledyne $55M</t>
        </is>
      </c>
      <c r="E59" s="26" t="inlineStr">
        <is>
          <t>GD $13M</t>
        </is>
      </c>
    </row>
    <row r="60" ht="10" customHeight="1">
      <c r="A60" s="30" t="inlineStr">
        <is>
          <t>LHA New Construction</t>
        </is>
      </c>
      <c r="B60" s="56" t="n">
        <v>340000</v>
      </c>
      <c r="C60" s="26" t="inlineStr">
        <is>
          <t>Fairbanks Morse $40M</t>
        </is>
      </c>
      <c r="D60" s="26" t="inlineStr">
        <is>
          <t>L3Harris $39M</t>
        </is>
      </c>
      <c r="E60" s="26" t="inlineStr">
        <is>
          <t>Leonardo DRS $34M</t>
        </is>
      </c>
    </row>
    <row r="61" ht="10" customHeight="1">
      <c r="A61" s="30" t="inlineStr">
        <is>
          <t>LPD Flight II New Construction</t>
        </is>
      </c>
      <c r="B61" s="56" t="n">
        <v>340000</v>
      </c>
      <c r="C61" s="26" t="inlineStr">
        <is>
          <t>Fairbanks Morse $65M</t>
        </is>
      </c>
      <c r="D61" s="26" t="inlineStr">
        <is>
          <t>US Joiner $36M</t>
        </is>
      </c>
      <c r="E61" s="26" t="inlineStr">
        <is>
          <t>Caterpillar $20M</t>
        </is>
      </c>
    </row>
    <row r="62" ht="10" customHeight="1">
      <c r="A62" s="30" t="inlineStr">
        <is>
          <t>Standard Missile Family</t>
        </is>
      </c>
      <c r="B62" s="56" t="n">
        <v>930000</v>
      </c>
      <c r="C62" s="26" t="inlineStr">
        <is>
          <t>L3Harris (Aerojet) $390M</t>
        </is>
      </c>
      <c r="D62" s="26" t="inlineStr">
        <is>
          <t>Honeywell $43M</t>
        </is>
      </c>
      <c r="E62" s="26" t="inlineStr">
        <is>
          <t>Goodrich $32M</t>
        </is>
      </c>
    </row>
    <row r="63" ht="10" customHeight="1">
      <c r="A63" s="30" t="inlineStr">
        <is>
          <t>DDG-1000</t>
        </is>
      </c>
      <c r="B63" s="56" t="n">
        <v>130000</v>
      </c>
      <c r="C63" s="26" t="inlineStr">
        <is>
          <t>Red River Technology $61M</t>
        </is>
      </c>
      <c r="D63" s="26" t="inlineStr">
        <is>
          <t>Air Masters $6M</t>
        </is>
      </c>
      <c r="E63" s="26" t="inlineStr">
        <is>
          <t>--</t>
        </is>
      </c>
    </row>
    <row r="64" ht="10" customHeight="1">
      <c r="A64" s="30" t="inlineStr">
        <is>
          <t>DDG Mod — CEC</t>
        </is>
      </c>
      <c r="B64" s="56" t="n">
        <v>30000</v>
      </c>
      <c r="C64" s="26" t="inlineStr">
        <is>
          <t>Sechan Electronics $7M</t>
        </is>
      </c>
      <c r="D64" s="26" t="inlineStr">
        <is>
          <t>Action Electronics $5M</t>
        </is>
      </c>
      <c r="E64" s="26" t="inlineStr">
        <is>
          <t>--</t>
        </is>
      </c>
    </row>
    <row r="65" ht="10" customHeight="1">
      <c r="A65" s="30" t="inlineStr">
        <is>
          <t>DDG Mod — SSDS</t>
        </is>
      </c>
      <c r="B65" s="56" t="n">
        <v>40000</v>
      </c>
      <c r="C65" s="26" t="inlineStr">
        <is>
          <t>Mission Solutions $14M</t>
        </is>
      </c>
      <c r="D65" s="26" t="inlineStr">
        <is>
          <t>PMAT $6M</t>
        </is>
      </c>
      <c r="E65" s="26" t="inlineStr">
        <is>
          <t>--</t>
        </is>
      </c>
    </row>
    <row r="66" ht="10" customHeight="1">
      <c r="A66" s="30" t="inlineStr">
        <is>
          <t>DDG Mod — HELIOS</t>
        </is>
      </c>
      <c r="B66" s="56" t="n">
        <v>60000</v>
      </c>
      <c r="C66" s="26" t="inlineStr">
        <is>
          <t>MZA Associates $25M</t>
        </is>
      </c>
      <c r="D66" s="26" t="inlineStr">
        <is>
          <t>L3 Technologies $22M</t>
        </is>
      </c>
      <c r="E66" s="26" t="inlineStr">
        <is>
          <t>--</t>
        </is>
      </c>
    </row>
    <row r="67" ht="10" customHeight="1">
      <c r="A67" s="30" t="inlineStr">
        <is>
          <t>Airborne MCM</t>
        </is>
      </c>
      <c r="B67" s="56" t="n">
        <v>150000</v>
      </c>
      <c r="C67" s="26" t="inlineStr">
        <is>
          <t>Sparton $108M</t>
        </is>
      </c>
      <c r="D67" s="26" t="inlineStr">
        <is>
          <t>Teledyne $17M</t>
        </is>
      </c>
      <c r="E67" s="26" t="inlineStr">
        <is>
          <t>--</t>
        </is>
      </c>
    </row>
    <row r="68" ht="10" customHeight="1">
      <c r="A68" s="30" t="inlineStr">
        <is>
          <t>MK-54 Torpedo</t>
        </is>
      </c>
      <c r="B68" s="56" t="n">
        <v>30000</v>
      </c>
      <c r="C68" s="26" t="inlineStr">
        <is>
          <t>L3Harris (Aerojet) $25M</t>
        </is>
      </c>
      <c r="D68" s="26" t="inlineStr">
        <is>
          <t>J&amp;E Precision Tool $3M</t>
        </is>
      </c>
      <c r="E68" s="26" t="inlineStr">
        <is>
          <t>--</t>
        </is>
      </c>
    </row>
    <row r="69" ht="10" customHeight="1">
      <c r="A69" s="30" t="inlineStr">
        <is>
          <t>Depot Maintenance</t>
        </is>
      </c>
      <c r="B69" s="56" t="n">
        <v>1500000</v>
      </c>
      <c r="C69" s="26" t="inlineStr">
        <is>
          <t>IMIA $204M</t>
        </is>
      </c>
      <c r="D69" s="26" t="inlineStr">
        <is>
          <t>Bay Metals $93M</t>
        </is>
      </c>
      <c r="E69" s="26" t="inlineStr">
        <is>
          <t>US Joiner $88M</t>
        </is>
      </c>
    </row>
    <row r="70" ht="10" customHeight="1">
      <c r="A70" s="32" t="inlineStr">
        <is>
          <t>Total</t>
        </is>
      </c>
      <c r="B70" s="33">
        <f>SUM(B55:B69)</f>
        <v/>
      </c>
      <c r="C70" s="34" t="n"/>
      <c r="D70" s="34" t="n"/>
      <c r="E70" s="34" t="n"/>
    </row>
    <row r="71" ht="10" customHeight="1"/>
    <row r="72" ht="10" customHeight="1"/>
    <row r="73" ht="10" customHeight="1">
      <c r="A73" s="27" t="inlineStr">
        <is>
          <t>(D) FY2026 SAM Line Item to Contract Vehicle Crosswalk</t>
        </is>
      </c>
      <c r="B73" s="28" t="n"/>
      <c r="C73" s="28" t="n"/>
    </row>
    <row r="74" ht="10" customHeight="1"/>
    <row r="75" ht="10" customHeight="1">
      <c r="A75" s="46" t="inlineStr">
        <is>
          <t>LHD</t>
        </is>
      </c>
      <c r="B75" s="39" t="n"/>
      <c r="C75" s="39" t="n"/>
    </row>
    <row r="76" ht="10" customHeight="1">
      <c r="A76" s="29" t="inlineStr">
        <is>
          <t>FY26 SAM Line</t>
        </is>
      </c>
      <c r="B76" s="29" t="inlineStr">
        <is>
          <t>FY26 ($K)</t>
        </is>
      </c>
      <c r="C76" s="29" t="inlineStr">
        <is>
          <t>Contract Vehicle / Prime</t>
        </is>
      </c>
    </row>
    <row r="77" ht="10" customHeight="1">
      <c r="A77" s="30" t="inlineStr">
        <is>
          <t>OMN_Vol2 LHD/AMPHIBS depot</t>
        </is>
      </c>
      <c r="B77" s="56" t="n">
        <v>346443</v>
      </c>
      <c r="C77" s="26" t="inlineStr">
        <is>
          <t>BAE Norfolk/SD, Metro Machine, NASSCO</t>
        </is>
      </c>
    </row>
    <row r="78" ht="10" customHeight="1">
      <c r="A78" s="30" t="inlineStr">
        <is>
          <t>OMN_Vol2 LHD/AMPHIBS modernization</t>
        </is>
      </c>
      <c r="B78" s="56" t="n">
        <v>631859</v>
      </c>
      <c r="C78" s="26" t="inlineStr">
        <is>
          <t>BAE Norfolk/SD, Metro Machine</t>
        </is>
      </c>
    </row>
    <row r="79" ht="10" customHeight="1">
      <c r="A79" s="30" t="inlineStr">
        <is>
          <t>OPN BA1 Line 8 LHA/LHD Midlife</t>
        </is>
      </c>
      <c r="B79" s="56" t="n">
        <v>123384</v>
      </c>
      <c r="C79" s="26" t="inlineStr">
        <is>
          <t>BAE / Metro / Gibbs &amp; Cox</t>
        </is>
      </c>
    </row>
    <row r="80" ht="10" customHeight="1">
      <c r="A80" s="32" t="inlineStr">
        <is>
          <t>LHD Total</t>
        </is>
      </c>
      <c r="B80" s="33">
        <f>SUM(B77:B79)</f>
        <v/>
      </c>
      <c r="C80" s="34" t="n"/>
    </row>
    <row r="81" ht="10" customHeight="1"/>
    <row r="82" ht="10" customHeight="1">
      <c r="A82" s="46" t="inlineStr">
        <is>
          <t>LPD</t>
        </is>
      </c>
      <c r="B82" s="39" t="n"/>
      <c r="C82" s="39" t="n"/>
    </row>
    <row r="83" ht="10" customHeight="1">
      <c r="A83" s="29" t="inlineStr">
        <is>
          <t>FY26 SAM Line</t>
        </is>
      </c>
      <c r="B83" s="29" t="inlineStr">
        <is>
          <t>FY26 ($K)</t>
        </is>
      </c>
      <c r="C83" s="29" t="inlineStr">
        <is>
          <t>Contract Vehicle / Prime</t>
        </is>
      </c>
    </row>
    <row r="84" ht="10" customHeight="1">
      <c r="A84" s="30" t="inlineStr">
        <is>
          <t>SCN 3010 LPD Flight II procurement</t>
        </is>
      </c>
      <c r="B84" s="56" t="n">
        <v>835037</v>
      </c>
      <c r="C84" s="26" t="inlineStr">
        <is>
          <t>HII — N0002424C2473 ($5.80B ceiling)</t>
        </is>
      </c>
    </row>
    <row r="85" ht="10" customHeight="1">
      <c r="A85" s="30" t="inlineStr">
        <is>
          <t>SCN 3010 LPD Flight II AP</t>
        </is>
      </c>
      <c r="B85" s="56" t="n">
        <v>275000</v>
      </c>
      <c r="C85" s="26" t="inlineStr">
        <is>
          <t>HII — N0002424C2473 AP scope</t>
        </is>
      </c>
    </row>
    <row r="86" ht="10" customHeight="1">
      <c r="A86" s="30" t="inlineStr">
        <is>
          <t>OMN_Vol2 LPD depot</t>
        </is>
      </c>
      <c r="B86" s="56" t="n">
        <v>149595</v>
      </c>
      <c r="C86" s="26" t="inlineStr">
        <is>
          <t>BAE Norfolk/SD</t>
        </is>
      </c>
    </row>
    <row r="87" ht="10" customHeight="1">
      <c r="A87" s="30" t="inlineStr">
        <is>
          <t>OPN BA1 Line 15 LPD Class Support</t>
        </is>
      </c>
      <c r="B87" s="56" t="n">
        <v>125542</v>
      </c>
      <c r="C87" s="26" t="inlineStr">
        <is>
          <t>HII Class Eng ($225M) + Raytheon LCE&amp;S ($485M)</t>
        </is>
      </c>
    </row>
    <row r="88" ht="10" customHeight="1">
      <c r="A88" s="32" t="inlineStr">
        <is>
          <t>LPD Total</t>
        </is>
      </c>
      <c r="B88" s="33">
        <f>SUM(B84:B87)</f>
        <v/>
      </c>
      <c r="C88" s="34" t="n"/>
    </row>
    <row r="89" ht="10" customHeight="1"/>
    <row r="90" ht="10" customHeight="1">
      <c r="A90" s="46" t="inlineStr">
        <is>
          <t>LSD</t>
        </is>
      </c>
      <c r="B90" s="39" t="n"/>
      <c r="C90" s="39" t="n"/>
    </row>
    <row r="91" ht="10" customHeight="1">
      <c r="A91" s="29" t="inlineStr">
        <is>
          <t>FY26 SAM Line</t>
        </is>
      </c>
      <c r="B91" s="29" t="inlineStr">
        <is>
          <t>FY26 ($K)</t>
        </is>
      </c>
      <c r="C91" s="29" t="inlineStr">
        <is>
          <t>Contract Vehicle / Prime</t>
        </is>
      </c>
    </row>
    <row r="92" ht="10" customHeight="1">
      <c r="A92" s="30" t="inlineStr">
        <is>
          <t>OMN_Vol2 LSD depot</t>
        </is>
      </c>
      <c r="B92" s="56" t="n">
        <v>94421</v>
      </c>
      <c r="C92" s="26" t="inlineStr">
        <is>
          <t>NASSCO, BAE, Metro Machine</t>
        </is>
      </c>
    </row>
    <row r="93" ht="10" customHeight="1">
      <c r="A93" s="30" t="inlineStr">
        <is>
          <t>OMN_Vol2 LSD modernization</t>
        </is>
      </c>
      <c r="B93" s="56" t="n">
        <v>25931</v>
      </c>
      <c r="C93" s="26" t="inlineStr">
        <is>
          <t>Alteration installation (small)</t>
        </is>
      </c>
    </row>
    <row r="94" ht="10" customHeight="1">
      <c r="A94" s="32" t="inlineStr">
        <is>
          <t>LSD Total</t>
        </is>
      </c>
      <c r="B94" s="33">
        <f>SUM(B92:B93)</f>
        <v/>
      </c>
      <c r="C94" s="34" t="n"/>
    </row>
    <row r="95" ht="10" customHeight="1"/>
    <row r="96" ht="10" customHeight="1">
      <c r="A96" s="46" t="inlineStr">
        <is>
          <t>LHA</t>
        </is>
      </c>
      <c r="B96" s="39" t="n"/>
      <c r="C96" s="39" t="n"/>
    </row>
    <row r="97" ht="10" customHeight="1">
      <c r="A97" s="29" t="inlineStr">
        <is>
          <t>FY26 SAM Line</t>
        </is>
      </c>
      <c r="B97" s="29" t="inlineStr">
        <is>
          <t>FY26 ($K)</t>
        </is>
      </c>
      <c r="C97" s="29" t="inlineStr">
        <is>
          <t>Contract Vehicle / Prime</t>
        </is>
      </c>
    </row>
    <row r="98" ht="10" customHeight="1">
      <c r="A98" s="30" t="inlineStr">
        <is>
          <t>SCN 3041 LHA Replacement</t>
        </is>
      </c>
      <c r="B98" s="56" t="n">
        <v>634963</v>
      </c>
      <c r="C98" s="26" t="inlineStr">
        <is>
          <t>HII — N0002420C2437 LHA 9 ($3.14B ceiling)</t>
        </is>
      </c>
    </row>
    <row r="99" ht="10" customHeight="1">
      <c r="A99" s="30" t="inlineStr">
        <is>
          <t>OMN_Vol2 LHA depot</t>
        </is>
      </c>
      <c r="B99" s="56" t="n">
        <v>45012</v>
      </c>
      <c r="C99" s="26" t="inlineStr">
        <is>
          <t>NASSCO — LHA 6 DSRA ($198M ceiling)</t>
        </is>
      </c>
    </row>
    <row r="100" ht="10" customHeight="1">
      <c r="A100" s="32" t="inlineStr">
        <is>
          <t>LHA Total</t>
        </is>
      </c>
      <c r="B100" s="33">
        <f>SUM(B98:B99)</f>
        <v/>
      </c>
      <c r="C100" s="34" t="n"/>
    </row>
    <row r="101" ht="10" customHeight="1"/>
    <row r="102" ht="10" customHeight="1">
      <c r="A102" s="46" t="inlineStr">
        <is>
          <t>DDG</t>
        </is>
      </c>
      <c r="B102" s="39" t="n"/>
      <c r="C102" s="39" t="n"/>
    </row>
    <row r="103" ht="10" customHeight="1">
      <c r="A103" s="29" t="inlineStr">
        <is>
          <t>FY26 SAM Line</t>
        </is>
      </c>
      <c r="B103" s="29" t="inlineStr">
        <is>
          <t>FY26 ($K)</t>
        </is>
      </c>
      <c r="C103" s="29" t="inlineStr">
        <is>
          <t>Contract Vehicle / Prime</t>
        </is>
      </c>
    </row>
    <row r="104" ht="10" customHeight="1">
      <c r="A104" s="30" t="inlineStr">
        <is>
          <t>SCN 2122 DDG-51 procurement</t>
        </is>
      </c>
      <c r="B104" s="56" t="n">
        <v>5410773</v>
      </c>
      <c r="C104" s="26" t="inlineStr">
        <is>
          <t>HII FY23-27 MYP + BIW FY23-27 MYP</t>
        </is>
      </c>
    </row>
    <row r="105" ht="10" customHeight="1">
      <c r="A105" s="30" t="inlineStr">
        <is>
          <t>SCN 2122 DDG-51 AP</t>
        </is>
      </c>
      <c r="B105" s="56" t="n">
        <v>1750000</v>
      </c>
      <c r="C105" s="26" t="inlineStr">
        <is>
          <t>HII + BIW — AP against FY23-27 MYPs</t>
        </is>
      </c>
    </row>
    <row r="106" ht="10" customHeight="1">
      <c r="A106" s="30" t="inlineStr">
        <is>
          <t>SCN 2119 DDG-1000</t>
        </is>
      </c>
      <c r="B106" s="56" t="n">
        <v>52358</v>
      </c>
      <c r="C106" s="26" t="inlineStr">
        <is>
          <t>HII Mod Planning + BIW Planning Yard</t>
        </is>
      </c>
    </row>
    <row r="107" ht="10" customHeight="1">
      <c r="A107" s="30" t="inlineStr">
        <is>
          <t>OMN_Vol2 DDG depot</t>
        </is>
      </c>
      <c r="B107" s="56" t="n">
        <v>952000</v>
      </c>
      <c r="C107" s="26" t="inlineStr">
        <is>
          <t>BAE / NASSCO / Continental / Vigor / MHI / Metro</t>
        </is>
      </c>
    </row>
    <row r="108" ht="10" customHeight="1">
      <c r="A108" s="30" t="inlineStr">
        <is>
          <t>OMN_Vol2 DDG modernization</t>
        </is>
      </c>
      <c r="B108" s="56" t="n">
        <v>1282612</v>
      </c>
      <c r="C108" s="26" t="inlineStr">
        <is>
          <t>Cross-vehicle alteration installation</t>
        </is>
      </c>
    </row>
    <row r="109" ht="10" customHeight="1">
      <c r="A109" s="30" t="inlineStr">
        <is>
          <t>WPN 2234 Standard Missile</t>
        </is>
      </c>
      <c r="B109" s="56" t="n">
        <v>1008875</v>
      </c>
      <c r="C109" s="26" t="inlineStr">
        <is>
          <t>Raytheon SM production vehicles</t>
        </is>
      </c>
    </row>
    <row r="110" ht="10" customHeight="1">
      <c r="A110" s="30" t="inlineStr">
        <is>
          <t>OPN BA1 Line 5 DDG Mod</t>
        </is>
      </c>
      <c r="B110" s="56" t="n">
        <v>878787</v>
      </c>
      <c r="C110" s="26" t="inlineStr">
        <is>
          <t>SPY-6, SEWIP, SSDS, CEC, CIWS, HELIOS, Aegis kits</t>
        </is>
      </c>
    </row>
    <row r="111" ht="10" customHeight="1">
      <c r="A111" s="30" t="inlineStr">
        <is>
          <t>WPN 3215 MK-54 Torpedo Mods</t>
        </is>
      </c>
      <c r="B111" s="56" t="n">
        <v>128513</v>
      </c>
      <c r="C111" s="26" t="inlineStr">
        <is>
          <t>GDMS MK 54 MOD 1 + Ultra MK 54 MOD 0 + ATI OTAs</t>
        </is>
      </c>
    </row>
    <row r="112" ht="10" customHeight="1">
      <c r="A112" s="30" t="inlineStr">
        <is>
          <t>OPN BA1 Line 16 DDG-1000 Support</t>
        </is>
      </c>
      <c r="B112" s="56" t="n">
        <v>115267</v>
      </c>
      <c r="C112" s="26" t="inlineStr">
        <is>
          <t>Raytheon DDG-1000 mission sys + BIW Planning Yard</t>
        </is>
      </c>
    </row>
    <row r="113" ht="10" customHeight="1">
      <c r="A113" s="32" t="inlineStr">
        <is>
          <t>DDG Total</t>
        </is>
      </c>
      <c r="B113" s="33">
        <f>SUM(B104:B112)</f>
        <v/>
      </c>
      <c r="C113" s="34" t="n"/>
    </row>
    <row r="114" ht="10" customHeight="1"/>
    <row r="115" ht="10" customHeight="1">
      <c r="A115" s="46" t="inlineStr">
        <is>
          <t>LCS</t>
        </is>
      </c>
      <c r="B115" s="39" t="n"/>
      <c r="C115" s="39" t="n"/>
    </row>
    <row r="116" ht="10" customHeight="1">
      <c r="A116" s="29" t="inlineStr">
        <is>
          <t>FY26 SAM Line</t>
        </is>
      </c>
      <c r="B116" s="29" t="inlineStr">
        <is>
          <t>FY26 ($K)</t>
        </is>
      </c>
      <c r="C116" s="29" t="inlineStr">
        <is>
          <t>Contract Vehicle / Prime</t>
        </is>
      </c>
    </row>
    <row r="117" ht="10" customHeight="1">
      <c r="A117" s="30" t="inlineStr">
        <is>
          <t>OMN_Vol2 LCS depot</t>
        </is>
      </c>
      <c r="B117" s="56" t="n">
        <v>576389</v>
      </c>
      <c r="C117" s="26" t="inlineStr">
        <is>
          <t>LM Freedom ISEA + GDMS Independence ISEA + avails</t>
        </is>
      </c>
    </row>
    <row r="118" ht="10" customHeight="1">
      <c r="A118" s="30" t="inlineStr">
        <is>
          <t>OMN_Vol2 LCS modernization</t>
        </is>
      </c>
      <c r="B118" s="56" t="n">
        <v>383361</v>
      </c>
      <c r="C118" s="26" t="inlineStr">
        <is>
          <t>LM + GDMS combat system ISEA + ITT-2A</t>
        </is>
      </c>
    </row>
    <row r="119" ht="10" customHeight="1">
      <c r="A119" s="30" t="inlineStr">
        <is>
          <t>OPN BA1 Line 37 LCS In-Service Mod</t>
        </is>
      </c>
      <c r="B119" s="56" t="n">
        <v>189458</v>
      </c>
      <c r="C119" s="26" t="inlineStr">
        <is>
          <t>LM, GDMS, Textron, BAH PEO LCS support</t>
        </is>
      </c>
    </row>
    <row r="120" ht="10" customHeight="1">
      <c r="A120" s="30" t="inlineStr">
        <is>
          <t>OPN BA1 Line 34 LCS MCM Modules</t>
        </is>
      </c>
      <c r="B120" s="56" t="n">
        <v>91372</v>
      </c>
      <c r="C120" s="26" t="inlineStr">
        <is>
          <t>UISS (Textron), Knifefish (GDMS/NG), MCM USV (Bollinger)</t>
        </is>
      </c>
    </row>
    <row r="121" ht="10" customHeight="1">
      <c r="A121" s="30" t="inlineStr">
        <is>
          <t>WPN 2292 Naval Strike Missile</t>
        </is>
      </c>
      <c r="B121" s="56" t="n">
        <v>32238</v>
      </c>
      <c r="C121" s="26" t="inlineStr">
        <is>
          <t>Raytheon NSM integration + Kongsberg OEM via FMS</t>
        </is>
      </c>
    </row>
    <row r="122" ht="10" customHeight="1">
      <c r="A122" s="32" t="inlineStr">
        <is>
          <t>LCS Total</t>
        </is>
      </c>
      <c r="B122" s="33">
        <f>SUM(B117:B121)</f>
        <v/>
      </c>
      <c r="C122" s="34" t="n"/>
    </row>
    <row r="123" ht="10" customHeight="1"/>
    <row r="124" ht="10" customHeight="1">
      <c r="A124" s="46" t="inlineStr">
        <is>
          <t>CG</t>
        </is>
      </c>
      <c r="B124" s="39" t="n"/>
      <c r="C124" s="39" t="n"/>
    </row>
    <row r="125" ht="10" customHeight="1">
      <c r="A125" s="29" t="inlineStr">
        <is>
          <t>FY26 SAM Line</t>
        </is>
      </c>
      <c r="B125" s="29" t="inlineStr">
        <is>
          <t>FY26 ($K)</t>
        </is>
      </c>
      <c r="C125" s="29" t="inlineStr">
        <is>
          <t>Contract Vehicle / Prime</t>
        </is>
      </c>
    </row>
    <row r="126" ht="10" customHeight="1">
      <c r="A126" s="30" t="inlineStr">
        <is>
          <t>OMN_Vol2 CG depot</t>
        </is>
      </c>
      <c r="B126" s="56" t="n">
        <v>115501</v>
      </c>
      <c r="C126" s="26" t="inlineStr">
        <is>
          <t>Vigor, BAE Norfolk, NASSCO, HII CG planning</t>
        </is>
      </c>
    </row>
    <row r="127" ht="10" customHeight="1">
      <c r="A127" s="30" t="inlineStr">
        <is>
          <t>OMN_Vol2 CG modernization</t>
        </is>
      </c>
      <c r="B127" s="56" t="n">
        <v>44940</v>
      </c>
      <c r="C127" s="26" t="inlineStr">
        <is>
          <t>Same vendor pool — alteration installation</t>
        </is>
      </c>
    </row>
    <row r="128" ht="10" customHeight="1">
      <c r="A128" s="32" t="inlineStr">
        <is>
          <t>CG Total</t>
        </is>
      </c>
      <c r="B128" s="33">
        <f>SUM(B126:B127)</f>
        <v/>
      </c>
      <c r="C128" s="34" t="n"/>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369"/>
  <sheetViews>
    <sheetView showGridLines="0" workbookViewId="0">
      <selection activeCell="A1" sqref="A1"/>
    </sheetView>
  </sheetViews>
  <sheetFormatPr baseColWidth="8" defaultRowHeight="15"/>
  <cols>
    <col width="35" customWidth="1" min="1" max="1"/>
    <col width="70" customWidth="1" min="2" max="2"/>
    <col width="50" customWidth="1" min="3" max="3"/>
  </cols>
  <sheetData>
    <row r="1" ht="10" customHeight="1">
      <c r="A1" s="24" t="inlineStr">
        <is>
          <t>Validation &amp; Data Dictionary</t>
        </is>
      </c>
      <c r="B1" s="25" t="n"/>
      <c r="C1" s="25" t="n"/>
    </row>
    <row r="2" ht="10" customHeight="1">
      <c r="A2" s="26" t="inlineStr">
        <is>
          <t>Data dictionary, validation rules, and taxonomy reference for the consolidated line-item dataset</t>
        </is>
      </c>
    </row>
    <row r="3" ht="10" customHeight="1"/>
    <row r="4" ht="10" customHeight="1">
      <c r="A4" s="27" t="inlineStr">
        <is>
          <t>Row Types</t>
        </is>
      </c>
      <c r="B4" s="28" t="n"/>
      <c r="C4" s="28" t="n"/>
    </row>
    <row r="5" ht="10" customHeight="1">
      <c r="A5" s="26" t="inlineStr">
        <is>
          <t>Tags in the Row Type column (col E) classify how each line item participates in aggregation. Determines which rows are summed for TAM totals.</t>
        </is>
      </c>
    </row>
    <row r="6" ht="10" customHeight="1">
      <c r="A6" s="29" t="inlineStr">
        <is>
          <t>Tag</t>
        </is>
      </c>
      <c r="B6" s="29" t="inlineStr">
        <is>
          <t>Description</t>
        </is>
      </c>
      <c r="C6" s="29" t="inlineStr">
        <is>
          <t>Aggregation Rule</t>
        </is>
      </c>
    </row>
    <row r="7" ht="10" customHeight="1">
      <c r="A7" s="30" t="inlineStr">
        <is>
          <t>(no tag)</t>
        </is>
      </c>
      <c r="B7" s="30" t="inlineStr">
        <is>
          <t>Additive — standalone budget line item whose funding is not double-counted elsewhere.</t>
        </is>
      </c>
      <c r="C7" s="26" t="inlineStr">
        <is>
          <t>TAM = sum of all (no tag) + [PARENT] rows</t>
        </is>
      </c>
    </row>
    <row r="8" ht="10" customHeight="1">
      <c r="A8" s="30" t="inlineStr">
        <is>
          <t>[PARENT]</t>
        </is>
      </c>
      <c r="B8" s="30" t="inlineStr">
        <is>
          <t>Parent row — holds aggregate total; [SUB] children break it into components.</t>
        </is>
      </c>
      <c r="C8" s="26" t="inlineStr">
        <is>
          <t>Include in TAM sum alongside (no tag). Do NOT also sum [SUB] children.</t>
        </is>
      </c>
    </row>
    <row r="9" ht="10" customHeight="1">
      <c r="A9" s="30" t="inlineStr">
        <is>
          <t>[SUB]</t>
        </is>
      </c>
      <c r="B9" s="30" t="inlineStr">
        <is>
          <t>Sub-item breakdown of a parent. Provides granular detail but double-counts if summed with parent.</t>
        </is>
      </c>
      <c r="C9" s="26" t="inlineStr">
        <is>
          <t>Exclude from TAM if summing [PARENT]. Parent Item column points to parent row.</t>
        </is>
      </c>
    </row>
    <row r="10" ht="10" customHeight="1">
      <c r="A10" s="30" t="inlineStr">
        <is>
          <t>[ALT_VIEW]</t>
        </is>
      </c>
      <c r="B10" s="30" t="inlineStr">
        <is>
          <t>Alternative cut of the same money — e.g., P-5c cost breakdowns vs. P-40 line items.</t>
        </is>
      </c>
      <c r="C10" s="26" t="inlineStr">
        <is>
          <t>Always exclude from TAM sums. Parent Item indicates the alternative-view source.</t>
        </is>
      </c>
    </row>
    <row r="11" ht="10" customHeight="1">
      <c r="A11" s="30" t="inlineStr">
        <is>
          <t>[UNFUNDED]</t>
        </is>
      </c>
      <c r="B11" s="30" t="inlineStr">
        <is>
          <t>Deferred maintenance or unfunded requirements — real need but NOT in enacted/requested funding.</t>
        </is>
      </c>
      <c r="C11" s="26" t="inlineStr">
        <is>
          <t>Exclude from TAM. Useful for gap analysis (funded vs. required).</t>
        </is>
      </c>
    </row>
    <row r="12" ht="10" customHeight="1">
      <c r="A12" s="30" t="inlineStr">
        <is>
          <t>[REFERENCE]</t>
        </is>
      </c>
      <c r="B12" s="30" t="inlineStr">
        <is>
          <t>Context data that is not additive — unit costs, O&amp;S program changes, revolving fund notes.</t>
        </is>
      </c>
      <c r="C12" s="26" t="inlineStr">
        <is>
          <t>Exclude from TAM. Included for analytical context only.</t>
        </is>
      </c>
    </row>
    <row r="13" ht="10" customHeight="1"/>
    <row r="14" ht="10" customHeight="1">
      <c r="A14" s="27" t="inlineStr">
        <is>
          <t>Market Scope: Total Funding → TAM → SAM</t>
        </is>
      </c>
      <c r="B14" s="28" t="n"/>
      <c r="C14" s="28" t="n"/>
    </row>
    <row r="15" ht="10" customHeight="1">
      <c r="A15" s="26" t="inlineStr">
        <is>
          <t>How the workbook narrows from total budget authority to the addressable market. Each analysis sheet's row 2 carries the canonical scope definition.</t>
        </is>
      </c>
    </row>
    <row r="16" ht="10" customHeight="1"/>
    <row r="17" ht="10" customHeight="1">
      <c r="A17" s="46" t="inlineStr">
        <is>
          <t>Total Funding</t>
        </is>
      </c>
      <c r="B17" s="39" t="n"/>
      <c r="C17" s="39" t="n"/>
    </row>
    <row r="18" ht="10" customHeight="1">
      <c r="A18" s="30" t="inlineStr">
        <is>
          <t>All USN, MSC &amp; USCG budget authority for any type of work on any type of vessel — from new construction through depot maintenance, modernization, sustainment, and end-of-life. Includes line items that lack vessel type or work type attribution.</t>
        </is>
      </c>
    </row>
    <row r="19" ht="10" customHeight="1"/>
    <row r="20" ht="10" customHeight="1">
      <c r="A20" s="46" t="inlineStr">
        <is>
          <t>Newbuild TAM</t>
        </is>
      </c>
      <c r="B20" s="39" t="n"/>
      <c r="C20" s="39" t="n"/>
    </row>
    <row r="21" ht="10" customHeight="1">
      <c r="A21" s="30" t="inlineStr">
        <is>
          <t>Total Funding narrowed to new construction only and only oceangoing vessels — excludes small craft (Combatant Crafts, Support Crafts) and USCG Boats. Limited to line items with clear vessel type designation; unattributed fleet-wide items are excluded.</t>
        </is>
      </c>
    </row>
    <row r="22" ht="10" customHeight="1"/>
    <row r="23" ht="10" customHeight="1">
      <c r="A23" s="46" t="inlineStr">
        <is>
          <t>Newbuild SAM</t>
        </is>
      </c>
      <c r="B23" s="39" t="n"/>
      <c r="C23" s="39" t="n"/>
    </row>
    <row r="24" ht="10" customHeight="1">
      <c r="A24" s="30" t="inlineStr">
        <is>
          <t>Outsourceable new construction sized at cost-element level. Starts from Newbuild TAM, excludes single-yard/nuclear programs (Submarines, Aircraft Carriers, UUVs), then narrows to hull programs with P-5c exhibit data. The SAM (cost-element coverage) is the P-5c percentage mix applied to net budget authority — the market a company could compete in, broken by component. SAM (all programs) retains the broader vessel-type scope.</t>
        </is>
      </c>
    </row>
    <row r="25" ht="10" customHeight="1"/>
    <row r="26" ht="10" customHeight="1">
      <c r="A26" s="46" t="inlineStr">
        <is>
          <t>MRO TAM</t>
        </is>
      </c>
      <c r="B26" s="39" t="n"/>
      <c r="C26" s="39" t="n"/>
    </row>
    <row r="27" ht="10" customHeight="1">
      <c r="A27" s="30" t="inlineStr">
        <is>
          <t>Total Funding narrowed to all post-construction work — depot maintenance, continuous &amp; emergent repair, modernization &amp; alterations, major life-cycle events, sustainment engineering, and availability support — and only oceangoing vessels. Same vessel scope as Newbuild TAM; limited to line items with clear vessel type designation.</t>
        </is>
      </c>
    </row>
    <row r="28" ht="10" customHeight="1"/>
    <row r="29" ht="10" customHeight="1">
      <c r="A29" s="46" t="inlineStr">
        <is>
          <t>MRO SAM</t>
        </is>
      </c>
      <c r="B29" s="39" t="n"/>
      <c r="C29" s="39" t="n"/>
    </row>
    <row r="30" ht="10" customHeight="1">
      <c r="A30" s="30" t="inlineStr">
        <is>
          <t>MRO TAM narrowed to outsourceable work types (scheduled depot maintenance, continuous/emergent maintenance, modernization/alteration installation, and major life-cycle events) and outsourceable vessel types (excludes Submarines, Aircraft Carriers &amp; UUVs). Sized at hull-program level. Includes aggregate SDM cost-element estimation derived from OMN Ship Maintenance sub-component data — applies a single aggregate cost mix (government labor, contract, materials, etc.) to per-hull SDM totals as a directional approximation.</t>
        </is>
      </c>
    </row>
    <row r="31" ht="10" customHeight="1"/>
    <row r="32" ht="10" customHeight="1">
      <c r="A32" s="46" t="inlineStr">
        <is>
          <t>TAM Formula &amp; Aggregation</t>
        </is>
      </c>
      <c r="B32" s="39" t="n"/>
      <c r="C32" s="39" t="n"/>
    </row>
    <row r="33" ht="10" customHeight="1">
      <c r="A33" s="29" t="inlineStr">
        <is>
          <t>Rule</t>
        </is>
      </c>
      <c r="B33" s="29" t="inlineStr">
        <is>
          <t>Description</t>
        </is>
      </c>
      <c r="C33" s="29" t="inlineStr">
        <is>
          <t>Notes</t>
        </is>
      </c>
    </row>
    <row r="34" ht="10" customHeight="1">
      <c r="A34" s="30" t="inlineStr">
        <is>
          <t>TAM formula</t>
        </is>
      </c>
      <c r="B34" s="30" t="inlineStr">
        <is>
          <t>TAM = SUM(FY_Best) WHERE Row_Class = "ADD". Pre-computed in helper columns: Row Class (col AC), FY26 Best (col AD), FY27 Best (col AE).</t>
        </is>
      </c>
      <c r="C34" s="26" t="inlineStr">
        <is>
          <t>FY26 cascade: DAA Enacted (Y) &gt; Total (U) &gt; Request (S). FY27: Total (AB) &gt; Request (Z).</t>
        </is>
      </c>
    </row>
    <row r="35" ht="10" customHeight="1">
      <c r="A35" s="30" t="inlineStr">
        <is>
          <t>Double-counting guard</t>
        </is>
      </c>
      <c r="B35" s="30" t="inlineStr">
        <is>
          <t>Never sum [PARENT] and its [SUB] children together. Never sum [ALT_VIEW] with either [PARENT] or (no tag) rows.</t>
        </is>
      </c>
    </row>
    <row r="36" ht="10" customHeight="1">
      <c r="A36" s="30" t="inlineStr">
        <is>
          <t>OPN_BA4 convention</t>
        </is>
      </c>
      <c r="B36" s="30" t="inlineStr">
        <is>
          <t>OPN_BA4 has zero (no tag) rows — all items are [PARENT] or [SUB]. TAM for BA4 = sum of [PARENT] rows only.</t>
        </is>
      </c>
    </row>
    <row r="37" ht="10" customHeight="1">
      <c r="A37" s="30" t="inlineStr">
        <is>
          <t>Cross-book overlap</t>
        </is>
      </c>
      <c r="B37" s="30" t="inlineStr">
        <is>
          <t>NWCF and OMN fund some of the same activities (NWCF is a revolving fund reimbursed by OMN). Use Source_Book to isolate.</t>
        </is>
      </c>
    </row>
    <row r="38" ht="10" customHeight="1"/>
    <row r="39" ht="10" customHeight="1">
      <c r="A39" s="46" t="inlineStr">
        <is>
          <t>Outsourceable Work Types (SAM-eligible)</t>
        </is>
      </c>
      <c r="B39" s="39" t="n"/>
      <c r="C39" s="39" t="n"/>
    </row>
    <row r="40" ht="10" customHeight="1">
      <c r="A40" s="26" t="inlineStr">
        <is>
          <t>Work types a non-incumbent shipyard could compete for — these define SAM scope</t>
        </is>
      </c>
    </row>
    <row r="41" ht="10" customHeight="1">
      <c r="A41" s="29" t="inlineStr">
        <is>
          <t>Work Type</t>
        </is>
      </c>
      <c r="B41" s="29" t="inlineStr">
        <is>
          <t>Description</t>
        </is>
      </c>
      <c r="C41" s="29" t="inlineStr">
        <is>
          <t>Bucket</t>
        </is>
      </c>
    </row>
    <row r="42" ht="10" customHeight="1">
      <c r="A42" s="30" t="inlineStr">
        <is>
          <t>New Construction</t>
        </is>
      </c>
      <c r="B42" s="30" t="inlineStr">
        <is>
          <t>Detail design, construction, and delivery of new vessels</t>
        </is>
      </c>
      <c r="C42" s="26" t="inlineStr">
        <is>
          <t>Bucket 1</t>
        </is>
      </c>
    </row>
    <row r="43" ht="10" customHeight="1">
      <c r="A43" s="30" t="inlineStr">
        <is>
          <t>Scheduled Depot Maintenance</t>
        </is>
      </c>
      <c r="B43" s="30" t="inlineStr">
        <is>
          <t>CNO-scheduled depot-level maintenance availabilities</t>
        </is>
      </c>
      <c r="C43" s="26" t="inlineStr">
        <is>
          <t>Bucket 2</t>
        </is>
      </c>
    </row>
    <row r="44" ht="10" customHeight="1">
      <c r="A44" s="30" t="inlineStr">
        <is>
          <t>Continuous / Emergent Maintenance</t>
        </is>
      </c>
      <c r="B44" s="30" t="inlineStr">
        <is>
          <t>Intermediate-level and emergent repair, continuous maintenance</t>
        </is>
      </c>
      <c r="C44" s="26" t="inlineStr">
        <is>
          <t>Bucket 3</t>
        </is>
      </c>
    </row>
    <row r="45" ht="10" customHeight="1">
      <c r="A45" s="30" t="inlineStr">
        <is>
          <t>Modernization &amp; Alteration</t>
        </is>
      </c>
      <c r="B45" s="30" t="inlineStr">
        <is>
          <t>Combat system upgrades, hull/mech/elec modernization</t>
        </is>
      </c>
      <c r="C45" s="26" t="inlineStr">
        <is>
          <t>Bucket 4</t>
        </is>
      </c>
    </row>
    <row r="46" ht="10" customHeight="1">
      <c r="A46" s="30" t="inlineStr">
        <is>
          <t>Major Life-Cycle Events</t>
        </is>
      </c>
      <c r="B46" s="30" t="inlineStr">
        <is>
          <t>SLEP, MMA, RCOH — major overhauls extending service life</t>
        </is>
      </c>
      <c r="C46" s="26" t="inlineStr">
        <is>
          <t>Bucket 5</t>
        </is>
      </c>
    </row>
    <row r="47" ht="10" customHeight="1">
      <c r="A47" s="26" t="inlineStr">
        <is>
          <t>Excluded: Sustainment Engineering (6), Availability Support (7)</t>
        </is>
      </c>
    </row>
    <row r="48" ht="10" customHeight="1"/>
    <row r="49" ht="10" customHeight="1">
      <c r="A49" s="46" t="inlineStr">
        <is>
          <t>TAM Vessel Category Scope</t>
        </is>
      </c>
      <c r="B49" s="39" t="n"/>
      <c r="C49" s="39" t="n"/>
    </row>
    <row r="50" ht="10" customHeight="1">
      <c r="A50" s="29" t="inlineStr">
        <is>
          <t>Category</t>
        </is>
      </c>
      <c r="B50" s="29" t="inlineStr">
        <is>
          <t>TAM Scope</t>
        </is>
      </c>
      <c r="C50" s="29" t="inlineStr">
        <is>
          <t>Notes</t>
        </is>
      </c>
    </row>
    <row r="51" ht="10" customHeight="1">
      <c r="A51" s="30" t="inlineStr">
        <is>
          <t>Combatant Ships</t>
        </is>
      </c>
      <c r="B51" s="30" t="inlineStr">
        <is>
          <t>YES → TAM</t>
        </is>
      </c>
    </row>
    <row r="52" ht="10" customHeight="1">
      <c r="A52" s="30" t="inlineStr">
        <is>
          <t>Auxiliary Ships</t>
        </is>
      </c>
      <c r="B52" s="30" t="inlineStr">
        <is>
          <t>YES → TAM</t>
        </is>
      </c>
    </row>
    <row r="53" ht="10" customHeight="1">
      <c r="A53" s="30" t="inlineStr">
        <is>
          <t>Cutters</t>
        </is>
      </c>
      <c r="B53" s="30" t="inlineStr">
        <is>
          <t>YES → TAM</t>
        </is>
      </c>
      <c r="C53" s="26" t="inlineStr">
        <is>
          <t>USCG</t>
        </is>
      </c>
    </row>
    <row r="54" ht="10" customHeight="1">
      <c r="A54" s="30" t="inlineStr">
        <is>
          <t>Unmanned Maritime Platforms</t>
        </is>
      </c>
      <c r="B54" s="30" t="inlineStr">
        <is>
          <t>YES → TAM</t>
        </is>
      </c>
    </row>
    <row r="55" ht="10" customHeight="1">
      <c r="A55" s="30" t="inlineStr">
        <is>
          <t>Combatant Crafts</t>
        </is>
      </c>
      <c r="B55" s="30" t="inlineStr">
        <is>
          <t>No — small craft</t>
        </is>
      </c>
      <c r="C55" s="26" t="inlineStr">
        <is>
          <t>Excluded</t>
        </is>
      </c>
    </row>
    <row r="56" ht="10" customHeight="1">
      <c r="A56" s="30" t="inlineStr">
        <is>
          <t>Support Crafts</t>
        </is>
      </c>
      <c r="B56" s="30" t="inlineStr">
        <is>
          <t>No — non-oceangoing</t>
        </is>
      </c>
      <c r="C56" s="26" t="inlineStr">
        <is>
          <t>Excluded</t>
        </is>
      </c>
    </row>
    <row r="57" ht="10" customHeight="1">
      <c r="A57" s="30" t="inlineStr">
        <is>
          <t>Boats</t>
        </is>
      </c>
      <c r="B57" s="30" t="inlineStr">
        <is>
          <t>No — under 65 ft</t>
        </is>
      </c>
      <c r="C57" s="26" t="inlineStr">
        <is>
          <t>USCG — excluded</t>
        </is>
      </c>
    </row>
    <row r="58" ht="10" customHeight="1"/>
    <row r="59" ht="10" customHeight="1">
      <c r="A59" s="46" t="inlineStr">
        <is>
          <t>SAM Vessel Type Exclusions</t>
        </is>
      </c>
      <c r="B59" s="39" t="n"/>
      <c r="C59" s="39" t="n"/>
    </row>
    <row r="60" ht="10" customHeight="1">
      <c r="A60" s="29" t="inlineStr">
        <is>
          <t>Vessel Type</t>
        </is>
      </c>
      <c r="B60" s="29" t="inlineStr">
        <is>
          <t>Reason</t>
        </is>
      </c>
      <c r="C60" s="29" t="inlineStr">
        <is>
          <t>Notes</t>
        </is>
      </c>
    </row>
    <row r="61" ht="10" customHeight="1">
      <c r="A61" s="30" t="inlineStr">
        <is>
          <t>Submarines</t>
        </is>
      </c>
      <c r="B61" s="30" t="inlineStr">
        <is>
          <t>Nuclear-only yards — only two US facilities can build nuclear submarines</t>
        </is>
      </c>
      <c r="C61" s="26" t="inlineStr">
        <is>
          <t>Electric Boat (CT) and Newport News (VA)</t>
        </is>
      </c>
    </row>
    <row r="62" ht="10" customHeight="1">
      <c r="A62" s="30" t="inlineStr">
        <is>
          <t>Aircraft Carriers</t>
        </is>
      </c>
      <c r="B62" s="30" t="inlineStr">
        <is>
          <t>Newport News monopoly — single-source production</t>
        </is>
      </c>
      <c r="C62" s="26" t="inlineStr">
        <is>
          <t>Huntington Ingalls Industries</t>
        </is>
      </c>
    </row>
    <row r="63" ht="10" customHeight="1">
      <c r="A63" s="30" t="inlineStr">
        <is>
          <t>Unmanned Undersea Vehicles</t>
        </is>
      </c>
      <c r="B63" s="30" t="inlineStr">
        <is>
          <t>Specialized programs with limited competition</t>
        </is>
      </c>
    </row>
    <row r="64" ht="10" customHeight="1"/>
    <row r="65" ht="10" customHeight="1">
      <c r="A65" s="27" t="inlineStr">
        <is>
          <t>Work Type Buckets (1–7)</t>
        </is>
      </c>
      <c r="B65" s="28" t="n"/>
      <c r="C65" s="28" t="n"/>
    </row>
    <row r="66" ht="10" customHeight="1">
      <c r="A66" s="26" t="inlineStr">
        <is>
          <t>Seven-bucket taxonomy classifying all types of work performed on vessels, from new construction through end-of-life support</t>
        </is>
      </c>
    </row>
    <row r="67" ht="10" customHeight="1">
      <c r="A67" s="29" t="inlineStr">
        <is>
          <t>Bucket</t>
        </is>
      </c>
      <c r="B67" s="29" t="inlineStr">
        <is>
          <t>Description</t>
        </is>
      </c>
      <c r="C67" s="29" t="inlineStr">
        <is>
          <t>Budget Anchors / Keywords</t>
        </is>
      </c>
    </row>
    <row r="68" ht="10" customHeight="1">
      <c r="A68" s="30" t="inlineStr">
        <is>
          <t>1 — New Construction</t>
        </is>
      </c>
      <c r="B68" s="30" t="inlineStr">
        <is>
          <t>Design, construction, and delivery of new vessels from detail design through sea trials.</t>
        </is>
      </c>
      <c r="C68" s="26" t="inlineStr">
        <is>
          <t>SCN (Navy), PC&amp;I (USCG). Keywords: DD&amp;C, LLTM, advance procurement.</t>
        </is>
      </c>
    </row>
    <row r="69" ht="10" customHeight="1">
      <c r="A69" s="30" t="inlineStr">
        <is>
          <t>2 — Scheduled Depot Maintenance &amp; Repair</t>
        </is>
      </c>
      <c r="B69" s="30" t="inlineStr">
        <is>
          <t>Planned depot-level work to restore/sustain material condition during CNO-scheduled availabilities.</t>
        </is>
      </c>
      <c r="C69" s="26" t="inlineStr">
        <is>
          <t>O&amp;M,N SAG 1B4B Ship Depot Maintenance. Keywords: DSRA, SRA, DPMA, PMA, PIA, ROH, drydock.</t>
        </is>
      </c>
    </row>
    <row r="70" ht="10" customHeight="1">
      <c r="A70" s="30" t="inlineStr">
        <is>
          <t>3 — Continuous / Intermediate / Emergent Maintenance</t>
        </is>
      </c>
      <c r="B70" s="30" t="inlineStr">
        <is>
          <t>Shorter-duration, intermediate-level, continuous, and emergent/casualty work outside the depot event.</t>
        </is>
      </c>
      <c r="C70" s="26" t="inlineStr">
        <is>
          <t>Keywords: CMAV, WOO, EM, emergent, casualty repair, voyage repair, dockside.</t>
        </is>
      </c>
    </row>
    <row r="71" ht="10" customHeight="1">
      <c r="A71" s="30" t="inlineStr">
        <is>
          <t>4 — Modernization &amp; Alteration Installation</t>
        </is>
      </c>
      <c r="B71" s="30" t="inlineStr">
        <is>
          <t>Work that changes configuration or adds capability beyond restore-only repair. Funded primarily through procurement.</t>
        </is>
      </c>
      <c r="C71" s="26" t="inlineStr">
        <is>
          <t>OPN P-40 line items (DDG Mod, CG Mod, LCS Mod). Keywords: SHIPALT, ORDALT, tech refresh, backfit.</t>
        </is>
      </c>
    </row>
    <row r="72" ht="10" customHeight="1">
      <c r="A72" s="30" t="inlineStr">
        <is>
          <t>5 — Major Life-Cycle Events / SLEP / MMA / RCOH</t>
        </is>
      </c>
      <c r="B72" s="30" t="inlineStr">
        <is>
          <t>Multi-year platform- or class-scale recapitalization that gets its own budget line.</t>
        </is>
      </c>
      <c r="C72" s="26" t="inlineStr">
        <is>
          <t>Keywords: RCOH, EOH, SLEP, MMA, midlife. Separate from routine depot maintenance (Bucket 2).</t>
        </is>
      </c>
    </row>
    <row r="73" ht="10" customHeight="1">
      <c r="A73" s="30" t="inlineStr">
        <is>
          <t>6 — Sustainment Engineering / Planning / Obsolescence</t>
        </is>
      </c>
      <c r="B73" s="30" t="inlineStr">
        <is>
          <t>Engineering, planning, DMSMS/obsolescence, and program support for in-service vessels.</t>
        </is>
      </c>
      <c r="C73" s="26" t="inlineStr">
        <is>
          <t>O&amp;M,N SAG 1B5B Ship Depot Ops Support; OPN spares (BA08). Keywords: SETA, DMSMS, survey &amp; design.</t>
        </is>
      </c>
    </row>
    <row r="74" ht="10" customHeight="1">
      <c r="A74" s="30" t="inlineStr">
        <is>
          <t>7 — Availability Support / Husbanding / Port Services</t>
        </is>
      </c>
      <c r="B74" s="30" t="inlineStr">
        <is>
          <t>Services that enable repair/modernization but are not themselves repair or upgrade work.</t>
        </is>
      </c>
      <c r="C74" s="26" t="inlineStr">
        <is>
          <t>Keywords: husbanding, pilot, tug, berthing, crane, shore power, scaffolding, environmental.</t>
        </is>
      </c>
    </row>
    <row r="75" ht="10" customHeight="1"/>
    <row r="76" ht="10" customHeight="1">
      <c r="A76" s="46" t="inlineStr">
        <is>
          <t>Bucket 1 Sub-Categories</t>
        </is>
      </c>
      <c r="B76" s="39" t="n"/>
      <c r="C76" s="39" t="n"/>
    </row>
    <row r="77" ht="10" customHeight="1">
      <c r="A77" s="29" t="inlineStr">
        <is>
          <t>Sub-Category</t>
        </is>
      </c>
      <c r="B77" s="29" t="inlineStr">
        <is>
          <t>Description</t>
        </is>
      </c>
      <c r="C77" s="29" t="inlineStr">
        <is>
          <t>Examples</t>
        </is>
      </c>
    </row>
    <row r="78" ht="10" customHeight="1">
      <c r="A78" s="30" t="inlineStr">
        <is>
          <t>Full ship DD&amp;C</t>
        </is>
      </c>
      <c r="B78" s="30" t="inlineStr">
        <is>
          <t>Detail design and construction of a complete vessel.</t>
        </is>
      </c>
      <c r="C78" s="26" t="inlineStr">
        <is>
          <t>DDG-51, FFG-62, CVN-79, LPD, LHA, T-AO, OPC, FRC, PSC</t>
        </is>
      </c>
    </row>
    <row r="79" ht="10" customHeight="1">
      <c r="A79" s="30" t="inlineStr">
        <is>
          <t>Advance procurement / LLTM</t>
        </is>
      </c>
      <c r="B79" s="30" t="inlineStr">
        <is>
          <t>Long-lead time material and advance procurement funded 1–2 years ahead of DD&amp;C.</t>
        </is>
      </c>
      <c r="C79" s="26" t="inlineStr">
        <is>
          <t>Reactor components, propulsion equipment, combat system long-lead items</t>
        </is>
      </c>
    </row>
    <row r="80" ht="10" customHeight="1">
      <c r="A80" s="30" t="inlineStr">
        <is>
          <t>Construction engineering / planning yard</t>
        </is>
      </c>
      <c r="B80" s="30" t="inlineStr">
        <is>
          <t>Lead yard support, planning yard services, and design completion work.</t>
        </is>
      </c>
      <c r="C80" s="26" t="inlineStr">
        <is>
          <t>EB submarine planning yard, Columbia design completion</t>
        </is>
      </c>
    </row>
    <row r="81" ht="10" customHeight="1">
      <c r="A81" s="30" t="inlineStr">
        <is>
          <t>GFE / combat systems for newbuild</t>
        </is>
      </c>
      <c r="B81" s="30" t="inlineStr">
        <is>
          <t>Government-furnished equipment / combat systems procured separately from hull construction (via OPN or RDT&amp;E).</t>
        </is>
      </c>
      <c r="C81" s="26" t="inlineStr">
        <is>
          <t>Funded through OPN, not SCN — but supports new construction</t>
        </is>
      </c>
    </row>
    <row r="82" ht="10" customHeight="1"/>
    <row r="83" ht="10" customHeight="1">
      <c r="A83" s="46" t="inlineStr">
        <is>
          <t>Bucket 2–7 Sub-Categories</t>
        </is>
      </c>
      <c r="B83" s="39" t="n"/>
      <c r="C83" s="39" t="n"/>
    </row>
    <row r="84" ht="10" customHeight="1">
      <c r="A84" s="29" t="inlineStr">
        <is>
          <t>Sub-Category</t>
        </is>
      </c>
      <c r="B84" s="29" t="inlineStr">
        <is>
          <t>Description</t>
        </is>
      </c>
      <c r="C84" s="29" t="inlineStr">
        <is>
          <t>Coverage</t>
        </is>
      </c>
    </row>
    <row r="85" ht="10" customHeight="1">
      <c r="A85" s="30" t="inlineStr">
        <is>
          <t>Bkt 2: Scheduled Depot Maintenance</t>
        </is>
      </c>
      <c r="B85" s="30" t="inlineStr">
        <is>
          <t>CNO-scheduled depot-level maintenance availabilities.</t>
        </is>
      </c>
      <c r="C85" s="26" t="inlineStr">
        <is>
          <t>113 rows</t>
        </is>
      </c>
    </row>
    <row r="86" ht="10" customHeight="1">
      <c r="A86" s="30" t="inlineStr">
        <is>
          <t>Bkt 2: Ship Availability</t>
        </is>
      </c>
      <c r="B86" s="30" t="inlineStr">
        <is>
          <t>Ship availability periods for maintenance and repair work.</t>
        </is>
      </c>
      <c r="C86" s="26" t="inlineStr">
        <is>
          <t>105 rows</t>
        </is>
      </c>
    </row>
    <row r="87" ht="10" customHeight="1">
      <c r="A87" s="30" t="inlineStr">
        <is>
          <t>Bkt 4: GFE / combat systems</t>
        </is>
      </c>
      <c r="B87" s="30" t="inlineStr">
        <is>
          <t>Government-furnished equipment and combat system modernization.</t>
        </is>
      </c>
      <c r="C87" s="26" t="inlineStr">
        <is>
          <t>Shared with Bucket 1</t>
        </is>
      </c>
    </row>
    <row r="88" ht="10" customHeight="1">
      <c r="A88" s="30" t="inlineStr">
        <is>
          <t>Bkt 5: RCOH</t>
        </is>
      </c>
      <c r="B88" s="30" t="inlineStr">
        <is>
          <t>Refueling Complex Overhaul — multi-year nuclear carrier recapitalization.</t>
        </is>
      </c>
      <c r="C88" s="26" t="inlineStr">
        <is>
          <t>187 rows</t>
        </is>
      </c>
    </row>
    <row r="89" ht="10" customHeight="1">
      <c r="A89" s="30" t="inlineStr">
        <is>
          <t>Bkt 5: SLEP</t>
        </is>
      </c>
      <c r="B89" s="30" t="inlineStr">
        <is>
          <t>Service Life Extension Program — extends platform beyond original design life.</t>
        </is>
      </c>
      <c r="C89" s="26" t="inlineStr">
        <is>
          <t>6 rows</t>
        </is>
      </c>
    </row>
    <row r="90" ht="10" customHeight="1">
      <c r="A90" s="30" t="inlineStr">
        <is>
          <t>Bkt 6: Sustainment Eng. — spares</t>
        </is>
      </c>
      <c r="B90" s="30" t="inlineStr">
        <is>
          <t>Spare parts procurement for sustainment engineering and obsolescence (OPN BA08).</t>
        </is>
      </c>
      <c r="C90" s="26" t="inlineStr">
        <is>
          <t>14 rows</t>
        </is>
      </c>
    </row>
    <row r="91" ht="10" customHeight="1">
      <c r="A91" s="30" t="inlineStr">
        <is>
          <t>Bkt 7: Availability Support</t>
        </is>
      </c>
      <c r="B91" s="30" t="inlineStr">
        <is>
          <t>Services enabling repair/mod — husbanding, port services, crane, scaffolding.</t>
        </is>
      </c>
      <c r="C91" s="26" t="inlineStr">
        <is>
          <t>76 rows</t>
        </is>
      </c>
    </row>
    <row r="92" ht="10" customHeight="1">
      <c r="A92" s="30" t="inlineStr">
        <is>
          <t>Other: Full vessel procurement</t>
        </is>
      </c>
      <c r="B92" s="30" t="inlineStr">
        <is>
          <t>USCG full vessel procurement — equivalent to Full ship DD&amp;C for Coast Guard.</t>
        </is>
      </c>
      <c r="C92" s="26" t="inlineStr">
        <is>
          <t>6 rows</t>
        </is>
      </c>
    </row>
    <row r="93" ht="10" customHeight="1">
      <c r="A93" s="30" t="inlineStr">
        <is>
          <t>Other: Full ship DD&amp;C / LLTM</t>
        </is>
      </c>
      <c r="B93" s="30" t="inlineStr">
        <is>
          <t>Combined full ship construction and long-lead time material in a single line item.</t>
        </is>
      </c>
      <c r="C93" s="26" t="inlineStr">
        <is>
          <t>3 rows</t>
        </is>
      </c>
    </row>
    <row r="94" ht="10" customHeight="1"/>
    <row r="95" ht="10" customHeight="1">
      <c r="A95" s="46" t="inlineStr">
        <is>
          <t>Composite Bucket Values</t>
        </is>
      </c>
      <c r="B95" s="39" t="n"/>
      <c r="C95" s="39" t="n"/>
    </row>
    <row r="96" ht="10" customHeight="1">
      <c r="A96" s="30" t="inlineStr">
        <is>
          <t>Multi-bucket line items</t>
        </is>
      </c>
      <c r="B96" s="30" t="inlineStr">
        <is>
          <t>Some line items span multiple work types. Bucket value uses a delimiter (pipe, comma, or slash): 2|3, 2,3, 2/4, 4/6, 1,4,5.</t>
        </is>
      </c>
      <c r="C96" s="26" t="inlineStr">
        <is>
          <t>Correctly excluded from per-bucket TAM sums (SUMPRODUCT checks fail on composite strings).</t>
        </is>
      </c>
    </row>
    <row r="97" ht="10" customHeight="1">
      <c r="A97" s="30" t="inlineStr">
        <is>
          <t>TAM impact</t>
        </is>
      </c>
      <c r="B97" s="30" t="inlineStr">
        <is>
          <t>Composite-bucket rows excluded from TAM-by-work-type pivot because SUMPRODUCT checks D=1, D=2, etc. — a string like "2|3" fails all single-integer tests.</t>
        </is>
      </c>
      <c r="C97" s="26" t="inlineStr">
        <is>
          <t>To capture, filter Bucket for non-integer values.</t>
        </is>
      </c>
    </row>
    <row r="98" ht="10" customHeight="1"/>
    <row r="99" ht="10" customHeight="1">
      <c r="A99" s="27" t="inlineStr">
        <is>
          <t>Vessel Taxonomy</t>
        </is>
      </c>
      <c r="B99" s="28" t="n"/>
      <c r="C99" s="28" t="n"/>
    </row>
    <row r="100" ht="10" customHeight="1">
      <c r="A100" s="26" t="inlineStr">
        <is>
          <t>Four-column hierarchy: Vessel Service → Category → Type → Hull. Each column progressively more specific. All 4 may be populated or only broader levels.</t>
        </is>
      </c>
    </row>
    <row r="101" ht="10" customHeight="1"/>
    <row r="102" ht="10" customHeight="1">
      <c r="A102" s="46" t="inlineStr">
        <is>
          <t>USN — United States Navy</t>
        </is>
      </c>
      <c r="B102" s="39" t="n"/>
      <c r="C102" s="39" t="n"/>
    </row>
    <row r="103" ht="10" customHeight="1">
      <c r="A103" s="26" t="inlineStr">
        <is>
          <t>Commissioned warships and support craft with Navy crews.</t>
        </is>
      </c>
    </row>
    <row r="104" ht="10" customHeight="1"/>
    <row r="105" ht="10" customHeight="1">
      <c r="A105" s="46" t="inlineStr">
        <is>
          <t>Combatant Ships (TAM scope)</t>
        </is>
      </c>
      <c r="B105" s="39" t="n"/>
      <c r="C105" s="39" t="n"/>
    </row>
    <row r="106" ht="10" customHeight="1">
      <c r="A106" s="26" t="inlineStr">
        <is>
          <t>Warships and other combatant vessels — the core fighting and logistics fleet.</t>
        </is>
      </c>
    </row>
    <row r="107" ht="10" customHeight="1">
      <c r="A107" s="29" t="inlineStr">
        <is>
          <t>Type</t>
        </is>
      </c>
      <c r="B107" s="29" t="inlineStr">
        <is>
          <t>Description</t>
        </is>
      </c>
      <c r="C107" s="29" t="inlineStr">
        <is>
          <t>Hull Designators</t>
        </is>
      </c>
    </row>
    <row r="108" ht="10" customHeight="1">
      <c r="A108" s="30" t="inlineStr">
        <is>
          <t>Aircraft Carriers</t>
        </is>
      </c>
      <c r="B108" s="30" t="inlineStr">
        <is>
          <t>Nuclear-powered aircraft carriers</t>
        </is>
      </c>
      <c r="C108" s="26" t="inlineStr">
        <is>
          <t>CVN</t>
        </is>
      </c>
    </row>
    <row r="109" ht="10" customHeight="1">
      <c r="A109" s="30" t="inlineStr">
        <is>
          <t>Surface Combatants</t>
        </is>
      </c>
      <c r="B109" s="30" t="inlineStr">
        <is>
          <t>Guided-missile cruisers, destroyers, frigates, littoral combat ships</t>
        </is>
      </c>
      <c r="C109" s="26" t="inlineStr">
        <is>
          <t>CG, DDG, FFG, LCS</t>
        </is>
      </c>
    </row>
    <row r="110" ht="10" customHeight="1">
      <c r="A110" s="30" t="inlineStr">
        <is>
          <t>Submarines</t>
        </is>
      </c>
      <c r="B110" s="30" t="inlineStr">
        <is>
          <t>Attack submarines, ballistic missile submarines, guided-missile submarines</t>
        </is>
      </c>
      <c r="C110" s="26" t="inlineStr">
        <is>
          <t>SSN, SSBN, SSGN</t>
        </is>
      </c>
    </row>
    <row r="111" ht="10" customHeight="1">
      <c r="A111" s="30" t="inlineStr">
        <is>
          <t>Amphibious Warfare Ships</t>
        </is>
      </c>
      <c r="B111" s="30" t="inlineStr">
        <is>
          <t>Amphibious assault ships and transport docks</t>
        </is>
      </c>
      <c r="C111" s="26" t="inlineStr">
        <is>
          <t>LHA, LHD, LPD, LSD</t>
        </is>
      </c>
    </row>
    <row r="112" ht="10" customHeight="1">
      <c r="A112" s="30" t="inlineStr">
        <is>
          <t>Mine Warfare</t>
        </is>
      </c>
      <c r="B112" s="30" t="inlineStr">
        <is>
          <t>Mine countermeasure ships</t>
        </is>
      </c>
      <c r="C112" s="26" t="inlineStr">
        <is>
          <t>MCM</t>
        </is>
      </c>
    </row>
    <row r="113" ht="10" customHeight="1">
      <c r="A113" s="30" t="inlineStr">
        <is>
          <t>Combat Logistics Ships</t>
        </is>
      </c>
      <c r="B113" s="30" t="inlineStr">
        <is>
          <t>Oilers, ammunition ships, dry cargo/ammunition ships</t>
        </is>
      </c>
      <c r="C113" s="26" t="inlineStr">
        <is>
          <t>AO, AOE, AOL, AKE</t>
        </is>
      </c>
    </row>
    <row r="114" ht="10" customHeight="1">
      <c r="A114" s="30" t="inlineStr">
        <is>
          <t>Command Ships</t>
        </is>
      </c>
      <c r="B114" s="30" t="inlineStr">
        <is>
          <t>Afloat command and control platforms</t>
        </is>
      </c>
      <c r="C114" s="26" t="inlineStr">
        <is>
          <t>LCC</t>
        </is>
      </c>
    </row>
    <row r="115" ht="10" customHeight="1">
      <c r="A115" s="30" t="inlineStr">
        <is>
          <t>Material Support Ships</t>
        </is>
      </c>
      <c r="B115" s="30" t="inlineStr">
        <is>
          <t>Submarine tenders</t>
        </is>
      </c>
      <c r="C115" s="26" t="inlineStr">
        <is>
          <t>AS</t>
        </is>
      </c>
    </row>
    <row r="116" ht="10" customHeight="1">
      <c r="A116" s="30" t="inlineStr">
        <is>
          <t>Surveillance Ships</t>
        </is>
      </c>
      <c r="B116" s="30" t="inlineStr">
        <is>
          <t>Ocean surveillance ships</t>
        </is>
      </c>
      <c r="C116" s="26" t="inlineStr">
        <is>
          <t>AGOS</t>
        </is>
      </c>
    </row>
    <row r="117" ht="10" customHeight="1">
      <c r="A117" s="30" t="inlineStr">
        <is>
          <t>Salvage Ships &amp; Fleet Ocean Tugs</t>
        </is>
      </c>
      <c r="B117" s="30" t="inlineStr">
        <is>
          <t>Rescue/salvage ships and fleet tugs</t>
        </is>
      </c>
      <c r="C117" s="26" t="inlineStr">
        <is>
          <t>ARS, ATF, ATS</t>
        </is>
      </c>
    </row>
    <row r="118" ht="10" customHeight="1">
      <c r="A118" s="30" t="inlineStr">
        <is>
          <t>Expeditionary &amp; Seabasing Ships</t>
        </is>
      </c>
      <c r="B118" s="30" t="inlineStr">
        <is>
          <t>Expeditionary fast transports, sea bases, medium landing ships</t>
        </is>
      </c>
      <c r="C118" s="26" t="inlineStr">
        <is>
          <t>EPF, ESB, ESD, LSM</t>
        </is>
      </c>
    </row>
    <row r="119" ht="10" customHeight="1"/>
    <row r="120" ht="10" customHeight="1">
      <c r="A120" s="46" t="inlineStr">
        <is>
          <t>Auxiliary Ships (TAM scope)</t>
        </is>
      </c>
      <c r="B120" s="39" t="n"/>
      <c r="C120" s="39" t="n"/>
    </row>
    <row r="121" ht="10" customHeight="1">
      <c r="A121" s="26" t="inlineStr">
        <is>
          <t>Non-combatant support vessels — research, cargo, hospital, special-purpose.</t>
        </is>
      </c>
    </row>
    <row r="122" ht="10" customHeight="1">
      <c r="A122" s="29" t="inlineStr">
        <is>
          <t>Type</t>
        </is>
      </c>
      <c r="B122" s="29" t="inlineStr">
        <is>
          <t>Description</t>
        </is>
      </c>
      <c r="C122" s="29" t="inlineStr">
        <is>
          <t>Hull Designators</t>
        </is>
      </c>
    </row>
    <row r="123" ht="10" customHeight="1">
      <c r="A123" s="30" t="inlineStr">
        <is>
          <t>Crane Ship</t>
        </is>
      </c>
      <c r="B123" s="30" t="inlineStr">
        <is>
          <t>Floating crane ship</t>
        </is>
      </c>
      <c r="C123" s="26" t="inlineStr">
        <is>
          <t>ACS</t>
        </is>
      </c>
    </row>
    <row r="124" ht="10" customHeight="1">
      <c r="A124" s="30" t="inlineStr">
        <is>
          <t>General Auxiliary</t>
        </is>
      </c>
      <c r="B124" s="30" t="inlineStr">
        <is>
          <t>Multi-purpose auxiliary vessels</t>
        </is>
      </c>
      <c r="C124" s="26" t="inlineStr">
        <is>
          <t>AG</t>
        </is>
      </c>
    </row>
    <row r="125" ht="10" customHeight="1">
      <c r="A125" s="30" t="inlineStr">
        <is>
          <t>Research, Survey &amp; Instrumentation Ships</t>
        </is>
      </c>
      <c r="B125" s="30" t="inlineStr">
        <is>
          <t>Oceanographic and survey ships</t>
        </is>
      </c>
      <c r="C125" s="26" t="inlineStr">
        <is>
          <t>AGM, AGOR, AGS</t>
        </is>
      </c>
    </row>
    <row r="126" ht="10" customHeight="1">
      <c r="A126" s="30" t="inlineStr">
        <is>
          <t>Hospital Ship</t>
        </is>
      </c>
      <c r="B126" s="30" t="inlineStr">
        <is>
          <t>Hospital ships</t>
        </is>
      </c>
      <c r="C126" s="26" t="inlineStr">
        <is>
          <t>AH</t>
        </is>
      </c>
    </row>
    <row r="127" ht="10" customHeight="1">
      <c r="A127" s="30" t="inlineStr">
        <is>
          <t>Cargo &amp; Vehicle Cargo Ships</t>
        </is>
      </c>
      <c r="B127" s="30" t="inlineStr">
        <is>
          <t>Cargo and vehicle transport ships</t>
        </is>
      </c>
      <c r="C127" s="26" t="inlineStr">
        <is>
          <t>AK, AKR</t>
        </is>
      </c>
    </row>
    <row r="128" ht="10" customHeight="1">
      <c r="A128" s="30" t="inlineStr">
        <is>
          <t>Transport Oiler</t>
        </is>
      </c>
      <c r="B128" s="30" t="inlineStr">
        <is>
          <t>Transport oilers</t>
        </is>
      </c>
      <c r="C128" s="26" t="inlineStr">
        <is>
          <t>AOT</t>
        </is>
      </c>
    </row>
    <row r="129" ht="10" customHeight="1">
      <c r="A129" s="30" t="inlineStr">
        <is>
          <t>Cable Repairing Ship</t>
        </is>
      </c>
      <c r="B129" s="30" t="inlineStr">
        <is>
          <t>Submarine cable repair ships</t>
        </is>
      </c>
      <c r="C129" s="26" t="inlineStr">
        <is>
          <t>ARC</t>
        </is>
      </c>
    </row>
    <row r="130" ht="10" customHeight="1">
      <c r="A130" s="30" t="inlineStr">
        <is>
          <t>Aviation Logistics Support Ship</t>
        </is>
      </c>
      <c r="B130" s="30" t="inlineStr">
        <is>
          <t>Aviation support ships</t>
        </is>
      </c>
      <c r="C130" s="26" t="inlineStr">
        <is>
          <t>AVB</t>
        </is>
      </c>
    </row>
    <row r="131" ht="10" customHeight="1">
      <c r="A131" s="30" t="inlineStr">
        <is>
          <t>High Speed Transport</t>
        </is>
      </c>
      <c r="B131" s="30" t="inlineStr">
        <is>
          <t>High speed transports</t>
        </is>
      </c>
      <c r="C131" s="26" t="inlineStr">
        <is>
          <t>HST</t>
        </is>
      </c>
    </row>
    <row r="132" ht="10" customHeight="1">
      <c r="A132" s="30" t="inlineStr">
        <is>
          <t>Submarine Escort Ship</t>
        </is>
      </c>
      <c r="B132" s="30" t="inlineStr">
        <is>
          <t>Submarine escort/support vessels</t>
        </is>
      </c>
      <c r="C132" s="26" t="inlineStr">
        <is>
          <t>AGSE</t>
        </is>
      </c>
    </row>
    <row r="133" ht="10" customHeight="1">
      <c r="A133" s="30" t="inlineStr">
        <is>
          <t>USS Constitution</t>
        </is>
      </c>
      <c r="B133" s="30" t="inlineStr">
        <is>
          <t>Historic warship — not operationally classified</t>
        </is>
      </c>
      <c r="C133" s="26" t="inlineStr">
        <is>
          <t>—</t>
        </is>
      </c>
    </row>
    <row r="134" ht="10" customHeight="1"/>
    <row r="135" ht="10" customHeight="1">
      <c r="A135" s="46" t="inlineStr">
        <is>
          <t>Combatant Crafts (excluded from TAM)</t>
        </is>
      </c>
      <c r="B135" s="39" t="n"/>
      <c r="C135" s="39" t="n"/>
    </row>
    <row r="136" ht="10" customHeight="1">
      <c r="A136" s="26" t="inlineStr">
        <is>
          <t>Smaller combatant craft — patrol, landing, and special warfare.</t>
        </is>
      </c>
    </row>
    <row r="137" ht="10" customHeight="1">
      <c r="A137" s="29" t="inlineStr">
        <is>
          <t>Type</t>
        </is>
      </c>
      <c r="B137" s="29" t="inlineStr">
        <is>
          <t>Description</t>
        </is>
      </c>
      <c r="C137" s="29" t="inlineStr">
        <is>
          <t>Hull Designators</t>
        </is>
      </c>
    </row>
    <row r="138" ht="10" customHeight="1">
      <c r="A138" s="30" t="inlineStr">
        <is>
          <t>Patrol Combatant</t>
        </is>
      </c>
      <c r="B138" s="30" t="inlineStr">
        <is>
          <t>Coastal patrol craft</t>
        </is>
      </c>
      <c r="C138" s="26" t="inlineStr">
        <is>
          <t>PC</t>
        </is>
      </c>
    </row>
    <row r="139" ht="10" customHeight="1">
      <c r="A139" s="30" t="inlineStr">
        <is>
          <t>Amphibious Warfare Craft</t>
        </is>
      </c>
      <c r="B139" s="30" t="inlineStr">
        <is>
          <t>Landing craft — air cushion and utility</t>
        </is>
      </c>
      <c r="C139" s="26" t="inlineStr">
        <is>
          <t>LCAC, LCU</t>
        </is>
      </c>
    </row>
    <row r="140" ht="10" customHeight="1">
      <c r="A140" s="30" t="inlineStr">
        <is>
          <t>Patrol Boats</t>
        </is>
      </c>
      <c r="B140" s="30" t="inlineStr">
        <is>
          <t>Various patrol boats by length</t>
        </is>
      </c>
      <c r="C140" s="26" t="inlineStr">
        <is>
          <t>36PB, 64PB, 87PB</t>
        </is>
      </c>
    </row>
    <row r="141" ht="10" customHeight="1">
      <c r="A141" s="30" t="inlineStr">
        <is>
          <t>Special Warfare Craft</t>
        </is>
      </c>
      <c r="B141" s="30" t="inlineStr">
        <is>
          <t>Naval Special Warfare craft and swimmer delivery vehicles</t>
        </is>
      </c>
      <c r="C141" s="26" t="inlineStr">
        <is>
          <t>DSB, CCA, CCM, CCH, NSW RHIB, SDV, SWCS, SSC</t>
        </is>
      </c>
    </row>
    <row r="142" ht="10" customHeight="1"/>
    <row r="143" ht="10" customHeight="1">
      <c r="A143" s="46" t="inlineStr">
        <is>
          <t>Unmanned Maritime Platforms (TAM scope)</t>
        </is>
      </c>
      <c r="B143" s="39" t="n"/>
      <c r="C143" s="39" t="n"/>
    </row>
    <row r="144" ht="10" customHeight="1">
      <c r="A144" s="26" t="inlineStr">
        <is>
          <t>Unmanned surface and undersea vehicles.</t>
        </is>
      </c>
    </row>
    <row r="145" ht="10" customHeight="1">
      <c r="A145" s="29" t="inlineStr">
        <is>
          <t>Type</t>
        </is>
      </c>
      <c r="B145" s="29" t="inlineStr">
        <is>
          <t>Description</t>
        </is>
      </c>
      <c r="C145" s="29" t="inlineStr">
        <is>
          <t>Hull Designators</t>
        </is>
      </c>
    </row>
    <row r="146" ht="10" customHeight="1">
      <c r="A146" s="30" t="inlineStr">
        <is>
          <t>Unmanned Surface Vehicles</t>
        </is>
      </c>
      <c r="B146" s="30" t="inlineStr">
        <is>
          <t>Large, medium, small, and very small USVs</t>
        </is>
      </c>
      <c r="C146" s="26" t="inlineStr">
        <is>
          <t>LUSV, MUSV, SUSV, VSUSV</t>
        </is>
      </c>
    </row>
    <row r="147" ht="10" customHeight="1">
      <c r="A147" s="30" t="inlineStr">
        <is>
          <t>Unmanned Undersea Vehicles</t>
        </is>
      </c>
      <c r="B147" s="30" t="inlineStr">
        <is>
          <t>Extra-large, large, medium, and small UUVs</t>
        </is>
      </c>
      <c r="C147" s="26" t="inlineStr">
        <is>
          <t>XLUUV, LUUV, MUUV, SUUV</t>
        </is>
      </c>
    </row>
    <row r="148" ht="10" customHeight="1"/>
    <row r="149" ht="10" customHeight="1">
      <c r="A149" s="46" t="inlineStr">
        <is>
          <t>Support Crafts (excluded from TAM)</t>
        </is>
      </c>
      <c r="B149" s="39" t="n"/>
      <c r="C149" s="39" t="n"/>
    </row>
    <row r="150" ht="10" customHeight="1">
      <c r="A150" s="26" t="inlineStr">
        <is>
          <t>Yard craft, barges, tugs, and harbor support vessels.</t>
        </is>
      </c>
    </row>
    <row r="151" ht="10" customHeight="1">
      <c r="A151" s="29" t="inlineStr">
        <is>
          <t>Type</t>
        </is>
      </c>
      <c r="B151" s="29" t="inlineStr">
        <is>
          <t>Description</t>
        </is>
      </c>
      <c r="C151" s="29" t="inlineStr">
        <is>
          <t>Hull Designators</t>
        </is>
      </c>
    </row>
    <row r="152" ht="10" customHeight="1">
      <c r="A152" s="30" t="inlineStr">
        <is>
          <t>Dry Docks</t>
        </is>
      </c>
      <c r="B152" s="30" t="inlineStr">
        <is>
          <t>Floating dry docks</t>
        </is>
      </c>
      <c r="C152" s="26" t="inlineStr">
        <is>
          <t>AFDL, ARDM, AFDM</t>
        </is>
      </c>
    </row>
    <row r="153" ht="10" customHeight="1">
      <c r="A153" s="30" t="inlineStr">
        <is>
          <t>Harbor Tugs</t>
        </is>
      </c>
      <c r="B153" s="30" t="inlineStr">
        <is>
          <t>Yard and harbor tugboats</t>
        </is>
      </c>
      <c r="C153" s="26" t="inlineStr">
        <is>
          <t>YT, YTB, YTL</t>
        </is>
      </c>
    </row>
    <row r="154" ht="10" customHeight="1">
      <c r="A154" s="30" t="inlineStr">
        <is>
          <t>Lighters &amp; Barges</t>
        </is>
      </c>
      <c r="B154" s="30" t="inlineStr">
        <is>
          <t>Non-self-propelled barges and lighters</t>
        </is>
      </c>
      <c r="C154" s="26" t="inlineStr">
        <is>
          <t>YC, YCV, YFN, YFNX, YFNB, YON, YOS, YWN, YWO</t>
        </is>
      </c>
    </row>
    <row r="155" ht="10" customHeight="1">
      <c r="A155" s="30" t="inlineStr">
        <is>
          <t>Other Craft, Self-Propelled</t>
        </is>
      </c>
      <c r="B155" s="30" t="inlineStr">
        <is>
          <t>Misc. self-propelled yard and special craft</t>
        </is>
      </c>
      <c r="C155" s="26" t="inlineStr">
        <is>
          <t>FSF, SBX, YFB, YP, YSD, YDT, YTT</t>
        </is>
      </c>
    </row>
    <row r="156" ht="10" customHeight="1">
      <c r="A156" s="30" t="inlineStr">
        <is>
          <t>Other Craft, Non-Self-Propelled</t>
        </is>
      </c>
      <c r="B156" s="30" t="inlineStr">
        <is>
          <t>Berthing barges, floating workshops, misc. non-propelled</t>
        </is>
      </c>
      <c r="C156" s="26" t="inlineStr">
        <is>
          <t>APL, YD, YFND, YFP, YR, YRB, YRBM, YRDH, YRDM, IX</t>
        </is>
      </c>
    </row>
    <row r="157" ht="10" customHeight="1">
      <c r="A157" s="30" t="inlineStr">
        <is>
          <t>Sealift Support Craft</t>
        </is>
      </c>
      <c r="B157" s="30" t="inlineStr">
        <is>
          <t>Sealift and marine pre-positioning support craft</t>
        </is>
      </c>
      <c r="C157" s="26" t="inlineStr">
        <is>
          <t>INLS, LCM 8, LARC V, MPF UB, OPDS UB</t>
        </is>
      </c>
    </row>
    <row r="158" ht="10" customHeight="1">
      <c r="A158" s="30" t="inlineStr">
        <is>
          <t>Ships Boats</t>
        </is>
      </c>
      <c r="B158" s="30" t="inlineStr">
        <is>
          <t>Motor rescue boats carried aboard ships</t>
        </is>
      </c>
      <c r="C158" s="26" t="inlineStr">
        <is>
          <t>5MRB, 7MRB, 11MRB</t>
        </is>
      </c>
    </row>
    <row r="159" ht="10" customHeight="1">
      <c r="A159" s="30" t="inlineStr">
        <is>
          <t>Shore-Based Harbor Security Boats</t>
        </is>
      </c>
      <c r="B159" s="30" t="inlineStr">
        <is>
          <t>Harbor security patrol boats</t>
        </is>
      </c>
      <c r="C159" s="26" t="inlineStr">
        <is>
          <t>27HS, 28HS, 32HS, 33HS, 11MHS, 35HS, 36HS</t>
        </is>
      </c>
    </row>
    <row r="160" ht="10" customHeight="1"/>
    <row r="161" ht="10" customHeight="1">
      <c r="A161" s="46" t="inlineStr">
        <is>
          <t>MSC — Military Sealift Command</t>
        </is>
      </c>
      <c r="B161" s="39" t="n"/>
      <c r="C161" s="39" t="n"/>
    </row>
    <row r="162" ht="10" customHeight="1">
      <c r="A162" s="26" t="inlineStr">
        <is>
          <t>Civilian-crewed ships using T- prefix (e.g., T-AO, T-AKE, T-EPF). Shares USN categories and types. Service column = MSC when hull starts with T-.</t>
        </is>
      </c>
    </row>
    <row r="163" ht="10" customHeight="1">
      <c r="A163" s="26" t="inlineStr">
        <is>
          <t>Examples: T-AO (Combat Logistics), T-AGOS (Surveillance), T-EPF (Expeditionary &amp; Seabasing)</t>
        </is>
      </c>
    </row>
    <row r="164" ht="10" customHeight="1"/>
    <row r="165" ht="10" customHeight="1">
      <c r="A165" s="46" t="inlineStr">
        <is>
          <t>USCG — United States Coast Guard</t>
        </is>
      </c>
      <c r="B165" s="39" t="n"/>
      <c r="C165" s="39" t="n"/>
    </row>
    <row r="166" ht="10" customHeight="1">
      <c r="A166" s="26" t="inlineStr">
        <is>
          <t>Cutters and boats. Part of DHS, not DoD.</t>
        </is>
      </c>
    </row>
    <row r="167" ht="10" customHeight="1"/>
    <row r="168" ht="10" customHeight="1">
      <c r="A168" s="46" t="inlineStr">
        <is>
          <t>Cutters (TAM scope)</t>
        </is>
      </c>
      <c r="B168" s="39" t="n"/>
      <c r="C168" s="39" t="n"/>
    </row>
    <row r="169" ht="10" customHeight="1">
      <c r="A169" s="26" t="inlineStr">
        <is>
          <t>Coast Guard cutters — 65 feet and larger.</t>
        </is>
      </c>
    </row>
    <row r="170" ht="10" customHeight="1">
      <c r="A170" s="29" t="inlineStr">
        <is>
          <t>Type</t>
        </is>
      </c>
      <c r="B170" s="29" t="inlineStr">
        <is>
          <t>Description</t>
        </is>
      </c>
      <c r="C170" s="29" t="inlineStr">
        <is>
          <t>Hull Designators</t>
        </is>
      </c>
    </row>
    <row r="171" ht="10" customHeight="1">
      <c r="A171" s="30" t="inlineStr">
        <is>
          <t>Icebreakers, Oceangoing</t>
        </is>
      </c>
      <c r="B171" s="30" t="inlineStr">
        <is>
          <t>Heavy polar icebreakers</t>
        </is>
      </c>
      <c r="C171" s="26" t="inlineStr">
        <is>
          <t>WAGB</t>
        </is>
      </c>
    </row>
    <row r="172" ht="10" customHeight="1">
      <c r="A172" s="30" t="inlineStr">
        <is>
          <t>Icebreakers, Great Lakes</t>
        </is>
      </c>
      <c r="B172" s="30" t="inlineStr">
        <is>
          <t>Great Lakes icebreaking cutters</t>
        </is>
      </c>
      <c r="C172" s="26" t="inlineStr">
        <is>
          <t>WLBB</t>
        </is>
      </c>
    </row>
    <row r="173" ht="10" customHeight="1">
      <c r="A173" s="30" t="inlineStr">
        <is>
          <t>National Security Cutters</t>
        </is>
      </c>
      <c r="B173" s="30" t="inlineStr">
        <is>
          <t>Legend-class national security cutters</t>
        </is>
      </c>
      <c r="C173" s="26" t="inlineStr">
        <is>
          <t>WMSL</t>
        </is>
      </c>
    </row>
    <row r="174" ht="10" customHeight="1">
      <c r="A174" s="30" t="inlineStr">
        <is>
          <t>High Endurance Cutters</t>
        </is>
      </c>
      <c r="B174" s="30" t="inlineStr">
        <is>
          <t>Hamilton-class high endurance cutters (retiring)</t>
        </is>
      </c>
      <c r="C174" s="26" t="inlineStr">
        <is>
          <t>WHEC</t>
        </is>
      </c>
    </row>
    <row r="175" ht="10" customHeight="1">
      <c r="A175" s="30" t="inlineStr">
        <is>
          <t>Medium Endurance Cutters</t>
        </is>
      </c>
      <c r="B175" s="30" t="inlineStr">
        <is>
          <t>270-foot and 210-foot medium endurance cutters</t>
        </is>
      </c>
      <c r="C175" s="26" t="inlineStr">
        <is>
          <t>WMEC</t>
        </is>
      </c>
    </row>
    <row r="176" ht="10" customHeight="1">
      <c r="A176" s="30" t="inlineStr">
        <is>
          <t>Offshore Patrol Cutter</t>
        </is>
      </c>
      <c r="B176" s="30" t="inlineStr">
        <is>
          <t>Heritage-class offshore patrol cutters</t>
        </is>
      </c>
      <c r="C176" s="26" t="inlineStr">
        <is>
          <t>WMSM</t>
        </is>
      </c>
    </row>
    <row r="177" ht="10" customHeight="1">
      <c r="A177" s="30" t="inlineStr">
        <is>
          <t>Fast Response Cutters</t>
        </is>
      </c>
      <c r="B177" s="30" t="inlineStr">
        <is>
          <t>Sentinel-class fast response cutters</t>
        </is>
      </c>
      <c r="C177" s="26" t="inlineStr">
        <is>
          <t>WPC</t>
        </is>
      </c>
    </row>
    <row r="178" ht="10" customHeight="1">
      <c r="A178" s="30" t="inlineStr">
        <is>
          <t>Patrol Boats</t>
        </is>
      </c>
      <c r="B178" s="30" t="inlineStr">
        <is>
          <t>Marine Protector-class patrol boats</t>
        </is>
      </c>
      <c r="C178" s="26" t="inlineStr">
        <is>
          <t>WPB</t>
        </is>
      </c>
    </row>
    <row r="179" ht="10" customHeight="1">
      <c r="A179" s="30" t="inlineStr">
        <is>
          <t>Seagoing Buoy Tenders</t>
        </is>
      </c>
      <c r="B179" s="30" t="inlineStr">
        <is>
          <t>Juniper-class seagoing buoy tenders</t>
        </is>
      </c>
      <c r="C179" s="26" t="inlineStr">
        <is>
          <t>WLB</t>
        </is>
      </c>
    </row>
    <row r="180" ht="10" customHeight="1">
      <c r="A180" s="30" t="inlineStr">
        <is>
          <t>Coastal Buoy Tenders</t>
        </is>
      </c>
      <c r="B180" s="30" t="inlineStr">
        <is>
          <t>Keeper-class coastal buoy tenders</t>
        </is>
      </c>
      <c r="C180" s="26" t="inlineStr">
        <is>
          <t>WLM</t>
        </is>
      </c>
    </row>
    <row r="181" ht="10" customHeight="1">
      <c r="A181" s="30" t="inlineStr">
        <is>
          <t>Inland Construction Tenders</t>
        </is>
      </c>
      <c r="B181" s="30" t="inlineStr">
        <is>
          <t>Inland construction tenders</t>
        </is>
      </c>
      <c r="C181" s="26" t="inlineStr">
        <is>
          <t>WLIC</t>
        </is>
      </c>
    </row>
    <row r="182" ht="10" customHeight="1">
      <c r="A182" s="30" t="inlineStr">
        <is>
          <t>Ice Breaking Tugs</t>
        </is>
      </c>
      <c r="B182" s="30" t="inlineStr">
        <is>
          <t>Ice-breaking harbor tugs</t>
        </is>
      </c>
      <c r="C182" s="26" t="inlineStr">
        <is>
          <t>WTGB</t>
        </is>
      </c>
    </row>
    <row r="183" ht="10" customHeight="1">
      <c r="A183" s="30" t="inlineStr">
        <is>
          <t>River Buoy Tenders</t>
        </is>
      </c>
      <c r="B183" s="30" t="inlineStr">
        <is>
          <t>River buoy tenders</t>
        </is>
      </c>
      <c r="C183" s="26" t="inlineStr">
        <is>
          <t>WLR</t>
        </is>
      </c>
    </row>
    <row r="184" ht="10" customHeight="1">
      <c r="A184" s="30" t="inlineStr">
        <is>
          <t>Inland Buoy Tenders</t>
        </is>
      </c>
      <c r="B184" s="30" t="inlineStr">
        <is>
          <t>Inland buoy tenders</t>
        </is>
      </c>
      <c r="C184" s="26" t="inlineStr">
        <is>
          <t>WLI</t>
        </is>
      </c>
    </row>
    <row r="185" ht="10" customHeight="1">
      <c r="A185" s="30" t="inlineStr">
        <is>
          <t>Small Harbor Tugs</t>
        </is>
      </c>
      <c r="B185" s="30" t="inlineStr">
        <is>
          <t>65-foot small harbor tugs</t>
        </is>
      </c>
      <c r="C185" s="26" t="inlineStr">
        <is>
          <t>WYTL</t>
        </is>
      </c>
    </row>
    <row r="186" ht="10" customHeight="1">
      <c r="A186" s="30" t="inlineStr">
        <is>
          <t>Barque Eagle</t>
        </is>
      </c>
      <c r="B186" s="30" t="inlineStr">
        <is>
          <t>USCG training sailing vessel</t>
        </is>
      </c>
      <c r="C186" s="26" t="inlineStr">
        <is>
          <t>WIX</t>
        </is>
      </c>
    </row>
    <row r="187" ht="10" customHeight="1"/>
    <row r="188" ht="10" customHeight="1">
      <c r="A188" s="46" t="inlineStr">
        <is>
          <t>Boats (excluded from TAM)</t>
        </is>
      </c>
      <c r="B188" s="39" t="n"/>
      <c r="C188" s="39" t="n"/>
    </row>
    <row r="189" ht="10" customHeight="1">
      <c r="A189" s="26" t="inlineStr">
        <is>
          <t>Coast Guard boats — under 65 feet.</t>
        </is>
      </c>
    </row>
    <row r="190" ht="10" customHeight="1">
      <c r="A190" s="29" t="inlineStr">
        <is>
          <t>Type</t>
        </is>
      </c>
      <c r="B190" s="29" t="inlineStr">
        <is>
          <t>Description</t>
        </is>
      </c>
      <c r="C190" s="29" t="inlineStr">
        <is>
          <t>Hull Designators</t>
        </is>
      </c>
    </row>
    <row r="191" ht="10" customHeight="1">
      <c r="A191" s="30" t="inlineStr">
        <is>
          <t>Response Boats</t>
        </is>
      </c>
      <c r="B191" s="30" t="inlineStr">
        <is>
          <t>Motor lifeboats, response boats, transportable port security boats</t>
        </is>
      </c>
      <c r="C191" s="26" t="inlineStr">
        <is>
          <t>MLB, RB-M, TPSB, RB-S II, UTM, UTL</t>
        </is>
      </c>
    </row>
    <row r="192" ht="10" customHeight="1">
      <c r="A192" s="30" t="inlineStr">
        <is>
          <t>Aids to Navigation Boats</t>
        </is>
      </c>
      <c r="B192" s="30" t="inlineStr">
        <is>
          <t>Boats supporting aids to navigation mission</t>
        </is>
      </c>
      <c r="C192" s="26" t="inlineStr">
        <is>
          <t>ANB, BUSL, TANB, AB-S, AB-SKF</t>
        </is>
      </c>
    </row>
    <row r="193" ht="10" customHeight="1">
      <c r="A193" s="30" t="inlineStr">
        <is>
          <t>Cutter Boats</t>
        </is>
      </c>
      <c r="B193" s="30" t="inlineStr">
        <is>
          <t>Small boats deployed from cutters</t>
        </is>
      </c>
      <c r="C193" s="26" t="inlineStr">
        <is>
          <t>CB-LRI, CB-OTH, ASB/LC, MSB, CB-L, CB-ATON, CB-M, CB-S, UTL</t>
        </is>
      </c>
    </row>
    <row r="194" ht="10" customHeight="1">
      <c r="A194" s="30" t="inlineStr">
        <is>
          <t>Special Purpose Craft</t>
        </is>
      </c>
      <c r="B194" s="30" t="inlineStr">
        <is>
          <t>Specialized mission craft</t>
        </is>
      </c>
      <c r="C194" s="26" t="inlineStr">
        <is>
          <t>SPC-SV, SPC-TTB, SPC-TB, SPC-LE, SPC-BTD, SPC-LEO, SPC-SW, SPC-IRT, SKF-ICE, SKF</t>
        </is>
      </c>
    </row>
    <row r="195" ht="10" customHeight="1">
      <c r="A195" s="30" t="inlineStr">
        <is>
          <t>Training Craft</t>
        </is>
      </c>
      <c r="B195" s="30" t="inlineStr">
        <is>
          <t>Academy and training center craft</t>
        </is>
      </c>
      <c r="C195" s="26" t="inlineStr">
        <is>
          <t>CT-64, SB</t>
        </is>
      </c>
    </row>
    <row r="196" ht="10" customHeight="1"/>
    <row r="197" ht="10" customHeight="1">
      <c r="A197" s="27" t="inlineStr">
        <is>
          <t>Vessel Class Reference</t>
        </is>
      </c>
      <c r="B197" s="28" t="n"/>
      <c r="C197" s="28" t="n"/>
    </row>
    <row r="198" ht="10" customHeight="1">
      <c r="A198" s="26" t="inlineStr">
        <is>
          <t>Reference only — not a column in the data sheet. Provides class-level context for hull designators.</t>
        </is>
      </c>
    </row>
    <row r="199" ht="10" customHeight="1"/>
    <row r="200" ht="10" customHeight="1">
      <c r="A200" s="46" t="inlineStr">
        <is>
          <t>CVN</t>
        </is>
      </c>
      <c r="B200" s="39" t="n"/>
      <c r="C200" s="39" t="n"/>
    </row>
    <row r="201" ht="10" customHeight="1">
      <c r="A201" s="29" t="inlineStr">
        <is>
          <t>Class</t>
        </is>
      </c>
      <c r="B201" s="29" t="inlineStr">
        <is>
          <t>Description</t>
        </is>
      </c>
      <c r="C201" s="29" t="inlineStr">
        <is>
          <t>Status</t>
        </is>
      </c>
    </row>
    <row r="202" ht="10" customHeight="1">
      <c r="A202" s="30" t="inlineStr">
        <is>
          <t>Nimitz (CVN-68)</t>
        </is>
      </c>
      <c r="B202" s="30" t="inlineStr">
        <is>
          <t>Nuclear-powered carrier, 10 ships (CVN-68 through CVN-77)</t>
        </is>
      </c>
      <c r="C202" s="26" t="inlineStr">
        <is>
          <t>Active</t>
        </is>
      </c>
    </row>
    <row r="203" ht="10" customHeight="1">
      <c r="A203" s="30" t="inlineStr">
        <is>
          <t>Gerald R. Ford (CVN-78)</t>
        </is>
      </c>
      <c r="B203" s="30" t="inlineStr">
        <is>
          <t>Next-gen nuclear carrier: CVN-78, -79, -80, -81</t>
        </is>
      </c>
      <c r="C203" s="26" t="inlineStr">
        <is>
          <t>Active / under construction</t>
        </is>
      </c>
    </row>
    <row r="204" ht="10" customHeight="1"/>
    <row r="205" ht="10" customHeight="1">
      <c r="A205" s="46" t="inlineStr">
        <is>
          <t>DDG</t>
        </is>
      </c>
      <c r="B205" s="39" t="n"/>
      <c r="C205" s="39" t="n"/>
    </row>
    <row r="206" ht="10" customHeight="1">
      <c r="A206" s="29" t="inlineStr">
        <is>
          <t>Class</t>
        </is>
      </c>
      <c r="B206" s="29" t="inlineStr">
        <is>
          <t>Description</t>
        </is>
      </c>
      <c r="C206" s="29" t="inlineStr">
        <is>
          <t>Status</t>
        </is>
      </c>
    </row>
    <row r="207" ht="10" customHeight="1">
      <c r="A207" s="30" t="inlineStr">
        <is>
          <t>Arleigh Burke (DDG-51)</t>
        </is>
      </c>
      <c r="B207" s="30" t="inlineStr">
        <is>
          <t>Guided-missile destroyer — Flight I/II/IIA/III</t>
        </is>
      </c>
      <c r="C207" s="26" t="inlineStr">
        <is>
          <t>Active / under construction</t>
        </is>
      </c>
    </row>
    <row r="208" ht="10" customHeight="1">
      <c r="A208" s="30" t="inlineStr">
        <is>
          <t>Zumwalt (DDG-1000)</t>
        </is>
      </c>
      <c r="B208" s="30" t="inlineStr">
        <is>
          <t>Multi-mission stealth destroyer, 3 ships</t>
        </is>
      </c>
      <c r="C208" s="26" t="inlineStr">
        <is>
          <t>Active</t>
        </is>
      </c>
    </row>
    <row r="209" ht="10" customHeight="1"/>
    <row r="210" ht="10" customHeight="1">
      <c r="A210" s="46" t="inlineStr">
        <is>
          <t>CG</t>
        </is>
      </c>
      <c r="B210" s="39" t="n"/>
      <c r="C210" s="39" t="n"/>
    </row>
    <row r="211" ht="10" customHeight="1">
      <c r="A211" s="29" t="inlineStr">
        <is>
          <t>Class</t>
        </is>
      </c>
      <c r="B211" s="29" t="inlineStr">
        <is>
          <t>Description</t>
        </is>
      </c>
      <c r="C211" s="29" t="inlineStr">
        <is>
          <t>Status</t>
        </is>
      </c>
    </row>
    <row r="212" ht="10" customHeight="1">
      <c r="A212" s="30" t="inlineStr">
        <is>
          <t>Ticonderoga (CG-47)</t>
        </is>
      </c>
      <c r="B212" s="30" t="inlineStr">
        <is>
          <t>Guided-missile cruiser (being decommissioned)</t>
        </is>
      </c>
      <c r="C212" s="26" t="inlineStr">
        <is>
          <t>Active (retiring)</t>
        </is>
      </c>
    </row>
    <row r="213" ht="10" customHeight="1"/>
    <row r="214" ht="10" customHeight="1">
      <c r="A214" s="46" t="inlineStr">
        <is>
          <t>FFG</t>
        </is>
      </c>
      <c r="B214" s="39" t="n"/>
      <c r="C214" s="39" t="n"/>
    </row>
    <row r="215" ht="10" customHeight="1">
      <c r="A215" s="29" t="inlineStr">
        <is>
          <t>Class</t>
        </is>
      </c>
      <c r="B215" s="29" t="inlineStr">
        <is>
          <t>Description</t>
        </is>
      </c>
      <c r="C215" s="29" t="inlineStr">
        <is>
          <t>Status</t>
        </is>
      </c>
    </row>
    <row r="216" ht="10" customHeight="1">
      <c r="A216" s="30" t="inlineStr">
        <is>
          <t>Constellation (FFG-62)</t>
        </is>
      </c>
      <c r="B216" s="30" t="inlineStr">
        <is>
          <t>Next-generation guided-missile frigate</t>
        </is>
      </c>
      <c r="C216" s="26" t="inlineStr">
        <is>
          <t>Under construction</t>
        </is>
      </c>
    </row>
    <row r="217" ht="10" customHeight="1"/>
    <row r="218" ht="10" customHeight="1">
      <c r="A218" s="46" t="inlineStr">
        <is>
          <t>LCS</t>
        </is>
      </c>
      <c r="B218" s="39" t="n"/>
      <c r="C218" s="39" t="n"/>
    </row>
    <row r="219" ht="10" customHeight="1">
      <c r="A219" s="29" t="inlineStr">
        <is>
          <t>Class</t>
        </is>
      </c>
      <c r="B219" s="29" t="inlineStr">
        <is>
          <t>Description</t>
        </is>
      </c>
      <c r="C219" s="29" t="inlineStr">
        <is>
          <t>Status</t>
        </is>
      </c>
    </row>
    <row r="220" ht="10" customHeight="1">
      <c r="A220" s="30" t="inlineStr">
        <is>
          <t>Freedom (LCS-1)</t>
        </is>
      </c>
      <c r="B220" s="30" t="inlineStr">
        <is>
          <t>Littoral combat ship — Freedom variant</t>
        </is>
      </c>
      <c r="C220" s="26" t="inlineStr">
        <is>
          <t>Active</t>
        </is>
      </c>
    </row>
    <row r="221" ht="10" customHeight="1">
      <c r="A221" s="30" t="inlineStr">
        <is>
          <t>Independence (LCS-2)</t>
        </is>
      </c>
      <c r="B221" s="30" t="inlineStr">
        <is>
          <t>Littoral combat ship — Independence variant</t>
        </is>
      </c>
      <c r="C221" s="26" t="inlineStr">
        <is>
          <t>Active</t>
        </is>
      </c>
    </row>
    <row r="222" ht="10" customHeight="1"/>
    <row r="223" ht="10" customHeight="1">
      <c r="A223" s="46" t="inlineStr">
        <is>
          <t>SSN / SSBN</t>
        </is>
      </c>
      <c r="B223" s="39" t="n"/>
      <c r="C223" s="39" t="n"/>
    </row>
    <row r="224" ht="10" customHeight="1">
      <c r="A224" s="29" t="inlineStr">
        <is>
          <t>Class</t>
        </is>
      </c>
      <c r="B224" s="29" t="inlineStr">
        <is>
          <t>Description</t>
        </is>
      </c>
      <c r="C224" s="29" t="inlineStr">
        <is>
          <t>Status</t>
        </is>
      </c>
    </row>
    <row r="225" ht="10" customHeight="1">
      <c r="A225" s="30" t="inlineStr">
        <is>
          <t>Los Angeles (SSN-688)</t>
        </is>
      </c>
      <c r="B225" s="30" t="inlineStr">
        <is>
          <t>Nuclear attack submarine — largest SSN class</t>
        </is>
      </c>
      <c r="C225" s="26" t="inlineStr">
        <is>
          <t>Active (retiring)</t>
        </is>
      </c>
    </row>
    <row r="226" ht="10" customHeight="1">
      <c r="A226" s="30" t="inlineStr">
        <is>
          <t>Seawolf (SSN-21)</t>
        </is>
      </c>
      <c r="B226" s="30" t="inlineStr">
        <is>
          <t>Nuclear attack submarine, 3 ships</t>
        </is>
      </c>
      <c r="C226" s="26" t="inlineStr">
        <is>
          <t>Active</t>
        </is>
      </c>
    </row>
    <row r="227" ht="10" customHeight="1">
      <c r="A227" s="30" t="inlineStr">
        <is>
          <t>Virginia (SSN-774)</t>
        </is>
      </c>
      <c r="B227" s="30" t="inlineStr">
        <is>
          <t>Nuclear attack submarine — Block I through V</t>
        </is>
      </c>
      <c r="C227" s="26" t="inlineStr">
        <is>
          <t>Active / under construction</t>
        </is>
      </c>
    </row>
    <row r="228" ht="10" customHeight="1">
      <c r="A228" s="30" t="inlineStr">
        <is>
          <t>Ohio (SSBN-726 / SSGN-726)</t>
        </is>
      </c>
      <c r="B228" s="30" t="inlineStr">
        <is>
          <t>Fleet ballistic missile sub (SSBN) and guided-missile sub (SSGN)</t>
        </is>
      </c>
      <c r="C228" s="26" t="inlineStr">
        <is>
          <t>Active (retiring)</t>
        </is>
      </c>
    </row>
    <row r="229" ht="10" customHeight="1">
      <c r="A229" s="30" t="inlineStr">
        <is>
          <t>Columbia (SSBN-826)</t>
        </is>
      </c>
      <c r="B229" s="30" t="inlineStr">
        <is>
          <t>Next-gen ballistic missile submarine</t>
        </is>
      </c>
      <c r="C229" s="26" t="inlineStr">
        <is>
          <t>Under construction</t>
        </is>
      </c>
    </row>
    <row r="230" ht="10" customHeight="1"/>
    <row r="231" ht="10" customHeight="1">
      <c r="A231" s="46" t="inlineStr">
        <is>
          <t>LHA / LHD / LPD / LSD</t>
        </is>
      </c>
      <c r="B231" s="39" t="n"/>
      <c r="C231" s="39" t="n"/>
    </row>
    <row r="232" ht="10" customHeight="1">
      <c r="A232" s="29" t="inlineStr">
        <is>
          <t>Class</t>
        </is>
      </c>
      <c r="B232" s="29" t="inlineStr">
        <is>
          <t>Description</t>
        </is>
      </c>
      <c r="C232" s="29" t="inlineStr">
        <is>
          <t>Status</t>
        </is>
      </c>
    </row>
    <row r="233" ht="10" customHeight="1">
      <c r="A233" s="30" t="inlineStr">
        <is>
          <t>America (LHA-6)</t>
        </is>
      </c>
      <c r="B233" s="30" t="inlineStr">
        <is>
          <t>Amphibious assault ship</t>
        </is>
      </c>
      <c r="C233" s="26" t="inlineStr">
        <is>
          <t>Active / under construction</t>
        </is>
      </c>
    </row>
    <row r="234" ht="10" customHeight="1">
      <c r="A234" s="30" t="inlineStr">
        <is>
          <t>Wasp (LHD-1)</t>
        </is>
      </c>
      <c r="B234" s="30" t="inlineStr">
        <is>
          <t>Multipurpose amphibious assault ship, 8 ships</t>
        </is>
      </c>
      <c r="C234" s="26" t="inlineStr">
        <is>
          <t>Active</t>
        </is>
      </c>
    </row>
    <row r="235" ht="10" customHeight="1">
      <c r="A235" s="30" t="inlineStr">
        <is>
          <t>San Antonio (LPD-17)</t>
        </is>
      </c>
      <c r="B235" s="30" t="inlineStr">
        <is>
          <t>Amphibious transport dock — Flight I and II</t>
        </is>
      </c>
      <c r="C235" s="26" t="inlineStr">
        <is>
          <t>Active / under construction</t>
        </is>
      </c>
    </row>
    <row r="236" ht="10" customHeight="1">
      <c r="A236" s="30" t="inlineStr">
        <is>
          <t>Whidbey Island / Harpers Ferry (LSD-41/49)</t>
        </is>
      </c>
      <c r="B236" s="30" t="inlineStr">
        <is>
          <t>Dock landing ships (replaced by LPD Flight II)</t>
        </is>
      </c>
      <c r="C236" s="26" t="inlineStr">
        <is>
          <t>Active (retiring)</t>
        </is>
      </c>
    </row>
    <row r="237" ht="10" customHeight="1"/>
    <row r="238" ht="10" customHeight="1">
      <c r="A238" s="46" t="inlineStr">
        <is>
          <t>MCM</t>
        </is>
      </c>
      <c r="B238" s="39" t="n"/>
      <c r="C238" s="39" t="n"/>
    </row>
    <row r="239" ht="10" customHeight="1">
      <c r="A239" s="29" t="inlineStr">
        <is>
          <t>Class</t>
        </is>
      </c>
      <c r="B239" s="29" t="inlineStr">
        <is>
          <t>Description</t>
        </is>
      </c>
      <c r="C239" s="29" t="inlineStr">
        <is>
          <t>Status</t>
        </is>
      </c>
    </row>
    <row r="240" ht="10" customHeight="1">
      <c r="A240" s="30" t="inlineStr">
        <is>
          <t>Avenger (MCM-1)</t>
        </is>
      </c>
      <c r="B240" s="30" t="inlineStr">
        <is>
          <t>Mine countermeasures ship</t>
        </is>
      </c>
      <c r="C240" s="26" t="inlineStr">
        <is>
          <t>Active (retiring)</t>
        </is>
      </c>
    </row>
    <row r="241" ht="10" customHeight="1"/>
    <row r="242" ht="10" customHeight="1">
      <c r="A242" s="46" t="inlineStr">
        <is>
          <t>Oilers / Logistics</t>
        </is>
      </c>
      <c r="B242" s="39" t="n"/>
      <c r="C242" s="39" t="n"/>
    </row>
    <row r="243" ht="10" customHeight="1">
      <c r="A243" s="29" t="inlineStr">
        <is>
          <t>Class</t>
        </is>
      </c>
      <c r="B243" s="29" t="inlineStr">
        <is>
          <t>Description</t>
        </is>
      </c>
      <c r="C243" s="29" t="inlineStr">
        <is>
          <t>Status</t>
        </is>
      </c>
    </row>
    <row r="244" ht="10" customHeight="1">
      <c r="A244" s="30" t="inlineStr">
        <is>
          <t>Henry J. Kaiser (T-AO 187)</t>
        </is>
      </c>
      <c r="B244" s="30" t="inlineStr">
        <is>
          <t>Fleet replenishment oiler (MSC)</t>
        </is>
      </c>
      <c r="C244" s="26" t="inlineStr">
        <is>
          <t>Active</t>
        </is>
      </c>
    </row>
    <row r="245" ht="10" customHeight="1">
      <c r="A245" s="30" t="inlineStr">
        <is>
          <t>John Lewis (T-AO 205)</t>
        </is>
      </c>
      <c r="B245" s="30" t="inlineStr">
        <is>
          <t>Next-gen fleet replenishment oiler (MSC)</t>
        </is>
      </c>
      <c r="C245" s="26" t="inlineStr">
        <is>
          <t>Under construction</t>
        </is>
      </c>
    </row>
    <row r="246" ht="10" customHeight="1">
      <c r="A246" s="30" t="inlineStr">
        <is>
          <t>Lewis and Clark (T-AKE)</t>
        </is>
      </c>
      <c r="B246" s="30" t="inlineStr">
        <is>
          <t>Dry cargo/ammunition ship (MSC)</t>
        </is>
      </c>
      <c r="C246" s="26" t="inlineStr">
        <is>
          <t>Active</t>
        </is>
      </c>
    </row>
    <row r="247" ht="10" customHeight="1">
      <c r="A247" s="30" t="inlineStr">
        <is>
          <t>Supply (T-AOE 6)</t>
        </is>
      </c>
      <c r="B247" s="30" t="inlineStr">
        <is>
          <t>Fast combat support ship</t>
        </is>
      </c>
      <c r="C247" s="26" t="inlineStr">
        <is>
          <t>Inactive</t>
        </is>
      </c>
    </row>
    <row r="248" ht="10" customHeight="1"/>
    <row r="249" ht="10" customHeight="1">
      <c r="A249" s="46" t="inlineStr">
        <is>
          <t>Expeditionary / Special</t>
        </is>
      </c>
      <c r="B249" s="39" t="n"/>
      <c r="C249" s="39" t="n"/>
    </row>
    <row r="250" ht="10" customHeight="1">
      <c r="A250" s="29" t="inlineStr">
        <is>
          <t>Class</t>
        </is>
      </c>
      <c r="B250" s="29" t="inlineStr">
        <is>
          <t>Description</t>
        </is>
      </c>
      <c r="C250" s="29" t="inlineStr">
        <is>
          <t>Status</t>
        </is>
      </c>
    </row>
    <row r="251" ht="10" customHeight="1">
      <c r="A251" s="30" t="inlineStr">
        <is>
          <t>Spearhead (T-EPF)</t>
        </is>
      </c>
      <c r="B251" s="30" t="inlineStr">
        <is>
          <t>Expeditionary fast transport (MSC)</t>
        </is>
      </c>
      <c r="C251" s="26" t="inlineStr">
        <is>
          <t>Active</t>
        </is>
      </c>
    </row>
    <row r="252" ht="10" customHeight="1">
      <c r="A252" s="30" t="inlineStr">
        <is>
          <t>Lewis B. Puller (T-ESB)</t>
        </is>
      </c>
      <c r="B252" s="30" t="inlineStr">
        <is>
          <t>Expeditionary sea base (MSC)</t>
        </is>
      </c>
      <c r="C252" s="26" t="inlineStr">
        <is>
          <t>Active</t>
        </is>
      </c>
    </row>
    <row r="253" ht="10" customHeight="1">
      <c r="A253" s="30" t="inlineStr">
        <is>
          <t>Medium Landing Ship (LSM)</t>
        </is>
      </c>
      <c r="B253" s="30" t="inlineStr">
        <is>
          <t>New program — medium amphibious landing ship</t>
        </is>
      </c>
      <c r="C253" s="26" t="inlineStr">
        <is>
          <t>Under development</t>
        </is>
      </c>
    </row>
    <row r="254" ht="10" customHeight="1">
      <c r="A254" s="30" t="inlineStr">
        <is>
          <t>Ship to Shore Connector (SSC / LCAC 100)</t>
        </is>
      </c>
      <c r="B254" s="30" t="inlineStr">
        <is>
          <t>Next-gen landing craft air cushion</t>
        </is>
      </c>
      <c r="C254" s="26" t="inlineStr">
        <is>
          <t>Under construction</t>
        </is>
      </c>
    </row>
    <row r="255" ht="10" customHeight="1">
      <c r="A255" s="30" t="inlineStr">
        <is>
          <t>LCU 1700</t>
        </is>
      </c>
      <c r="B255" s="30" t="inlineStr">
        <is>
          <t>Landing craft utility — next generation</t>
        </is>
      </c>
      <c r="C255" s="26" t="inlineStr">
        <is>
          <t>Under construction</t>
        </is>
      </c>
    </row>
    <row r="256" ht="10" customHeight="1"/>
    <row r="257" ht="10" customHeight="1">
      <c r="A257" s="46" t="inlineStr">
        <is>
          <t>Command / Support</t>
        </is>
      </c>
      <c r="B257" s="39" t="n"/>
      <c r="C257" s="39" t="n"/>
    </row>
    <row r="258" ht="10" customHeight="1">
      <c r="A258" s="29" t="inlineStr">
        <is>
          <t>Class</t>
        </is>
      </c>
      <c r="B258" s="29" t="inlineStr">
        <is>
          <t>Description</t>
        </is>
      </c>
      <c r="C258" s="29" t="inlineStr">
        <is>
          <t>Status</t>
        </is>
      </c>
    </row>
    <row r="259" ht="10" customHeight="1">
      <c r="A259" s="30" t="inlineStr">
        <is>
          <t>Blue Ridge (LCC-19/20)</t>
        </is>
      </c>
      <c r="B259" s="30" t="inlineStr">
        <is>
          <t>Amphibious command ship</t>
        </is>
      </c>
      <c r="C259" s="26" t="inlineStr">
        <is>
          <t>Active</t>
        </is>
      </c>
    </row>
    <row r="260" ht="10" customHeight="1">
      <c r="A260" s="30" t="inlineStr">
        <is>
          <t>Emory S. Land (AS-39)</t>
        </is>
      </c>
      <c r="B260" s="30" t="inlineStr">
        <is>
          <t>Submarine tender</t>
        </is>
      </c>
      <c r="C260" s="26" t="inlineStr">
        <is>
          <t>Active</t>
        </is>
      </c>
    </row>
    <row r="261" ht="10" customHeight="1">
      <c r="A261" s="30" t="inlineStr">
        <is>
          <t>Victorious (T-AGOS 19)</t>
        </is>
      </c>
      <c r="B261" s="30" t="inlineStr">
        <is>
          <t>Ocean surveillance ship (MSC)</t>
        </is>
      </c>
      <c r="C261" s="26" t="inlineStr">
        <is>
          <t>Active</t>
        </is>
      </c>
    </row>
    <row r="262" ht="10" customHeight="1">
      <c r="A262" s="30" t="inlineStr">
        <is>
          <t>Pathfinder (T-AGS 60)</t>
        </is>
      </c>
      <c r="B262" s="30" t="inlineStr">
        <is>
          <t>Oceanographic survey ship (MSC)</t>
        </is>
      </c>
      <c r="C262" s="26" t="inlineStr">
        <is>
          <t>Active</t>
        </is>
      </c>
    </row>
    <row r="263" ht="10" customHeight="1">
      <c r="A263" s="30" t="inlineStr">
        <is>
          <t>Mercy (T-AH 19)</t>
        </is>
      </c>
      <c r="B263" s="30" t="inlineStr">
        <is>
          <t>Hospital ship (MSC)</t>
        </is>
      </c>
      <c r="C263" s="26" t="inlineStr">
        <is>
          <t>Active</t>
        </is>
      </c>
    </row>
    <row r="264" ht="10" customHeight="1">
      <c r="A264" s="30" t="inlineStr">
        <is>
          <t>Navajo (T-ATS)</t>
        </is>
      </c>
      <c r="B264" s="30" t="inlineStr">
        <is>
          <t>Towing/salvage/rescue ship (MSC)</t>
        </is>
      </c>
      <c r="C264" s="26" t="inlineStr">
        <is>
          <t>Under construction</t>
        </is>
      </c>
    </row>
    <row r="265" ht="10" customHeight="1">
      <c r="A265" s="30" t="inlineStr">
        <is>
          <t>Safeguard (ARS-50)</t>
        </is>
      </c>
      <c r="B265" s="30" t="inlineStr">
        <is>
          <t>Rescue and salvage ship</t>
        </is>
      </c>
      <c r="C265" s="26" t="inlineStr">
        <is>
          <t>Active</t>
        </is>
      </c>
    </row>
    <row r="266" ht="10" customHeight="1"/>
    <row r="267" ht="10" customHeight="1">
      <c r="A267" s="46" t="inlineStr">
        <is>
          <t>USCG</t>
        </is>
      </c>
      <c r="B267" s="39" t="n"/>
      <c r="C267" s="39" t="n"/>
    </row>
    <row r="268" ht="10" customHeight="1">
      <c r="A268" s="29" t="inlineStr">
        <is>
          <t>Class</t>
        </is>
      </c>
      <c r="B268" s="29" t="inlineStr">
        <is>
          <t>Description</t>
        </is>
      </c>
      <c r="C268" s="29" t="inlineStr">
        <is>
          <t>Status</t>
        </is>
      </c>
    </row>
    <row r="269" ht="10" customHeight="1">
      <c r="A269" s="30" t="inlineStr">
        <is>
          <t>Legend (WMSL-750)</t>
        </is>
      </c>
      <c r="B269" s="30" t="inlineStr">
        <is>
          <t>National Security Cutter</t>
        </is>
      </c>
      <c r="C269" s="26" t="inlineStr">
        <is>
          <t>Active</t>
        </is>
      </c>
    </row>
    <row r="270" ht="10" customHeight="1">
      <c r="A270" s="30" t="inlineStr">
        <is>
          <t>Heritage (WMSM-920)</t>
        </is>
      </c>
      <c r="B270" s="30" t="inlineStr">
        <is>
          <t>Offshore Patrol Cutter</t>
        </is>
      </c>
      <c r="C270" s="26" t="inlineStr">
        <is>
          <t>Under construction</t>
        </is>
      </c>
    </row>
    <row r="271" ht="10" customHeight="1">
      <c r="A271" s="30" t="inlineStr">
        <is>
          <t>Sentinel (WPC-1101)</t>
        </is>
      </c>
      <c r="B271" s="30" t="inlineStr">
        <is>
          <t>Fast Response Cutter</t>
        </is>
      </c>
      <c r="C271" s="26" t="inlineStr">
        <is>
          <t>Active / under construction</t>
        </is>
      </c>
    </row>
    <row r="272" ht="10" customHeight="1">
      <c r="A272" s="30" t="inlineStr">
        <is>
          <t>Famous (WMEC-270)</t>
        </is>
      </c>
      <c r="B272" s="30" t="inlineStr">
        <is>
          <t>270-foot medium endurance cutter</t>
        </is>
      </c>
      <c r="C272" s="26" t="inlineStr">
        <is>
          <t>Active</t>
        </is>
      </c>
    </row>
    <row r="273" ht="10" customHeight="1">
      <c r="A273" s="30" t="inlineStr">
        <is>
          <t>Reliance (WMEC-210)</t>
        </is>
      </c>
      <c r="B273" s="30" t="inlineStr">
        <is>
          <t>210-foot medium endurance cutter</t>
        </is>
      </c>
      <c r="C273" s="26" t="inlineStr">
        <is>
          <t>Retiring</t>
        </is>
      </c>
    </row>
    <row r="274" ht="10" customHeight="1">
      <c r="A274" s="30" t="inlineStr">
        <is>
          <t>Polar (WAGB-10)</t>
        </is>
      </c>
      <c r="B274" s="30" t="inlineStr">
        <is>
          <t>Polar-class heavy icebreaker</t>
        </is>
      </c>
      <c r="C274" s="26" t="inlineStr">
        <is>
          <t>Active (beyond service life)</t>
        </is>
      </c>
    </row>
    <row r="275" ht="10" customHeight="1">
      <c r="A275" s="30" t="inlineStr">
        <is>
          <t>Polar Security Cutter (WAGB)</t>
        </is>
      </c>
      <c r="B275" s="30" t="inlineStr">
        <is>
          <t>New heavy polar icebreaker program</t>
        </is>
      </c>
      <c r="C275" s="26" t="inlineStr">
        <is>
          <t>Under construction</t>
        </is>
      </c>
    </row>
    <row r="276" ht="10" customHeight="1">
      <c r="A276" s="30" t="inlineStr">
        <is>
          <t>Mackinaw (WLBB-30)</t>
        </is>
      </c>
      <c r="B276" s="30" t="inlineStr">
        <is>
          <t>Great Lakes icebreaker</t>
        </is>
      </c>
      <c r="C276" s="26" t="inlineStr">
        <is>
          <t>Active</t>
        </is>
      </c>
    </row>
    <row r="277" ht="10" customHeight="1">
      <c r="A277" s="30" t="inlineStr">
        <is>
          <t>Juniper (WLB-201)</t>
        </is>
      </c>
      <c r="B277" s="30" t="inlineStr">
        <is>
          <t>Seagoing buoy tender</t>
        </is>
      </c>
      <c r="C277" s="26" t="inlineStr">
        <is>
          <t>Active</t>
        </is>
      </c>
    </row>
    <row r="278" ht="10" customHeight="1">
      <c r="A278" s="30" t="inlineStr">
        <is>
          <t>Keeper (WLM-551)</t>
        </is>
      </c>
      <c r="B278" s="30" t="inlineStr">
        <is>
          <t>Coastal buoy tender</t>
        </is>
      </c>
      <c r="C278" s="26" t="inlineStr">
        <is>
          <t>Active</t>
        </is>
      </c>
    </row>
    <row r="279" ht="10" customHeight="1"/>
    <row r="280" ht="10" customHeight="1">
      <c r="A280" s="27" t="inlineStr">
        <is>
          <t>Vessel Column Standardization Rules</t>
        </is>
      </c>
      <c r="B280" s="28" t="n"/>
      <c r="C280" s="28" t="n"/>
    </row>
    <row r="281" ht="10" customHeight="1">
      <c r="A281" s="26" t="inlineStr">
        <is>
          <t>Rules governing how Vessel Service, Category, Type, and Hull columns are populated</t>
        </is>
      </c>
    </row>
    <row r="282" ht="10" customHeight="1">
      <c r="A282" s="29" t="inlineStr">
        <is>
          <t>Rule</t>
        </is>
      </c>
      <c r="B282" s="29" t="inlineStr">
        <is>
          <t>Description</t>
        </is>
      </c>
      <c r="C282" s="29" t="inlineStr">
        <is>
          <t>Notes</t>
        </is>
      </c>
    </row>
    <row r="283" ht="10" customHeight="1">
      <c r="A283" s="30" t="inlineStr">
        <is>
          <t>4-column vessel hierarchy</t>
        </is>
      </c>
      <c r="B283" s="30" t="inlineStr">
        <is>
          <t>Vessel data split into: Vessel_Service (USN/USCG/MSC), Vessel_Category, Vessel_Type, Vessel_Hull.</t>
        </is>
      </c>
      <c r="C283" s="26" t="inlineStr">
        <is>
          <t>Each column progressively more specific.</t>
        </is>
      </c>
    </row>
    <row r="284" ht="10" customHeight="1">
      <c r="A284" s="30" t="inlineStr">
        <is>
          <t>Service determined by hull and source</t>
        </is>
      </c>
      <c r="B284" s="30" t="inlineStr">
        <is>
          <t>MSC when hull starts with T-. USCG for Cutters/Boats categories or USCG source book. All others USN.</t>
        </is>
      </c>
    </row>
    <row r="285" ht="10" customHeight="1">
      <c r="A285" s="30" t="inlineStr">
        <is>
          <t>Multi-type / multi-hull rows blanked</t>
        </is>
      </c>
      <c r="B285" s="30" t="inlineStr">
        <is>
          <t>If a line item applies to multiple vessel types or hulls, all 4 vessel columns are blank.</t>
        </is>
      </c>
      <c r="C285" s="26" t="inlineStr">
        <is>
          <t>Description or Citation preserves original scope.</t>
        </is>
      </c>
    </row>
    <row r="286" ht="10" customHeight="1">
      <c r="A286" s="30" t="inlineStr">
        <is>
          <t>Vague values blanked</t>
        </is>
      </c>
      <c r="B286" s="30" t="inlineStr">
        <is>
          <t>Values like 'Multiple', 'Afloat (various)', 'N/A' that cannot map to a single canonical type are blanked.</t>
        </is>
      </c>
    </row>
    <row r="287" ht="10" customHeight="1">
      <c r="A287" s="30" t="inlineStr">
        <is>
          <t>Hull extracted from class or type</t>
        </is>
      </c>
      <c r="B287" s="30" t="inlineStr">
        <is>
          <t>Hull derived first from vessel class (Arleigh Burke → DDG). If no class but type was specific, hull extracted from type.</t>
        </is>
      </c>
    </row>
    <row r="288" ht="10" customHeight="1">
      <c r="A288" s="30" t="inlineStr">
        <is>
          <t>Type has no parentheticals</t>
        </is>
      </c>
      <c r="B288" s="30" t="inlineStr">
        <is>
          <t>Vessel_Type uses base name only (e.g., 'Surface Combatants'). Hull abbreviations belong in Vessel_Hull.</t>
        </is>
      </c>
    </row>
    <row r="289" ht="10" customHeight="1">
      <c r="A289" s="30" t="inlineStr">
        <is>
          <t>Blank stays blank</t>
        </is>
      </c>
      <c r="B289" s="30" t="inlineStr">
        <is>
          <t>If vessel info was originally blank, all 4 vessel columns remain blank.</t>
        </is>
      </c>
    </row>
    <row r="290" ht="10" customHeight="1"/>
    <row r="291" ht="10" customHeight="1">
      <c r="A291" s="27" t="inlineStr">
        <is>
          <t>Derived &amp; Helper Columns</t>
        </is>
      </c>
      <c r="B291" s="28" t="n"/>
      <c r="C291" s="28" t="n"/>
    </row>
    <row r="292" ht="10" customHeight="1">
      <c r="A292" s="26" t="inlineStr">
        <is>
          <t>Columns added by the build script for formula simplification and cost category analysis</t>
        </is>
      </c>
    </row>
    <row r="293" ht="10" customHeight="1"/>
    <row r="294" ht="10" customHeight="1">
      <c r="A294" s="46" t="inlineStr">
        <is>
          <t>Derived Columns (v4.0)</t>
        </is>
      </c>
      <c r="B294" s="39" t="n"/>
      <c r="C294" s="39" t="n"/>
    </row>
    <row r="295" ht="10" customHeight="1">
      <c r="A295" s="29" t="inlineStr">
        <is>
          <t>Column</t>
        </is>
      </c>
      <c r="B295" s="29" t="inlineStr">
        <is>
          <t>Description</t>
        </is>
      </c>
      <c r="C295" s="29" t="inlineStr">
        <is>
          <t>Details</t>
        </is>
      </c>
    </row>
    <row r="296" ht="10" customHeight="1">
      <c r="A296" s="30" t="inlineStr">
        <is>
          <t>Exhibit Level (col G)</t>
        </is>
      </c>
      <c r="B296" s="30" t="inlineStr">
        <is>
          <t>Populated for [ALT_VIEW] rows. Values: "P-5c", "P-8a", "P-35", or blank. Parsed from the Line Item Title.</t>
        </is>
      </c>
      <c r="C296" s="26" t="inlineStr">
        <is>
          <t>P-8a rows require a known cost category in the title. Blank for non-ALT_VIEW.</t>
        </is>
      </c>
    </row>
    <row r="297" ht="10" customHeight="1">
      <c r="A297" s="30" t="inlineStr">
        <is>
          <t>Cost Category (col H)</t>
        </is>
      </c>
      <c r="B297" s="30" t="inlineStr">
        <is>
          <t>Populated for [ALT_VIEW] rows. One of 9 P-5c cost categories, or blank. For P-5c: extracted from title. For P-8a: parent P-5c category.</t>
        </is>
      </c>
      <c r="C297" s="26" t="inlineStr">
        <is>
          <t>Valid: Plan Costs, Basic Construction, Change Orders, Electronics, Propulsion Equipment, Hull Mechanical and Electrical, Ordnance, Other Cost, Technology Insertion.</t>
        </is>
      </c>
    </row>
    <row r="298" ht="10" customHeight="1"/>
    <row r="299" ht="10" customHeight="1">
      <c r="A299" s="46" t="inlineStr">
        <is>
          <t>Helper Columns (v5.14)</t>
        </is>
      </c>
      <c r="B299" s="39" t="n"/>
      <c r="C299" s="39" t="n"/>
    </row>
    <row r="300" ht="10" customHeight="1">
      <c r="A300" s="29" t="inlineStr">
        <is>
          <t>Column</t>
        </is>
      </c>
      <c r="B300" s="29" t="inlineStr">
        <is>
          <t>Description</t>
        </is>
      </c>
      <c r="C300" s="29" t="inlineStr">
        <is>
          <t>Formula</t>
        </is>
      </c>
    </row>
    <row r="301" ht="10" customHeight="1">
      <c r="A301" s="30" t="inlineStr">
        <is>
          <t>Row Class (col AC)</t>
        </is>
      </c>
      <c r="B301" s="30" t="inlineStr">
        <is>
          <t>Classifies each row: "ADD" for additive (blank or [PARENT]), "ALT" for [ALT_VIEW], blank for others.</t>
        </is>
      </c>
      <c r="C301" s="26">
        <f>IF(OR(E="",E="[PARENT]"),"ADD",IF(E="[ALT_VIEW]","ALT",""))</f>
        <v/>
      </c>
    </row>
    <row r="302" ht="10" customHeight="1">
      <c r="A302" s="30" t="inlineStr">
        <is>
          <t>FY26 Best ($K) (col AD)</t>
        </is>
      </c>
      <c r="B302" s="30" t="inlineStr">
        <is>
          <t>Pre-computed FY2026 cascade. Picks first non-blank: DAA Enacted (Y), Total (U), Request (S).</t>
        </is>
      </c>
      <c r="C302" s="26">
        <f>IF(Y&lt;&gt;"",Y,IF(U&lt;&gt;"",U,S))</f>
        <v/>
      </c>
    </row>
    <row r="303" ht="10" customHeight="1">
      <c r="A303" s="30" t="inlineStr">
        <is>
          <t>FY27 Best ($K) (col AE)</t>
        </is>
      </c>
      <c r="B303" s="30" t="inlineStr">
        <is>
          <t>Pre-computed FY2027 cascade. Picks first non-blank: Total (AB), Request (Z).</t>
        </is>
      </c>
      <c r="C303" s="26">
        <f>IF(AB&lt;&gt;"",AB,Z)</f>
        <v/>
      </c>
    </row>
    <row r="304" ht="10" customHeight="1"/>
    <row r="305" ht="10" customHeight="1">
      <c r="A305" s="46" t="inlineStr">
        <is>
          <t>Formula Simplification Impact</t>
        </is>
      </c>
      <c r="B305" s="39" t="n"/>
      <c r="C305" s="39" t="n"/>
    </row>
    <row r="306" ht="10" customHeight="1">
      <c r="A306" s="30" t="inlineStr">
        <is>
          <t>Before v5.14</t>
        </is>
      </c>
      <c r="B306" s="30" t="inlineStr">
        <is>
          <t>Every SUMIFS encoded cascade inline — 2 row types × 3 value columns = 6 SUMIFS per FY26 condition.</t>
        </is>
      </c>
      <c r="C306" s="26" t="inlineStr">
        <is>
          <t>Max formula: 6,013 chars / 84 SUMIFS</t>
        </is>
      </c>
    </row>
    <row r="307" ht="10" customHeight="1">
      <c r="A307" s="30" t="inlineStr">
        <is>
          <t>After v5.14</t>
        </is>
      </c>
      <c r="B307" s="30" t="inlineStr">
        <is>
          <t>Each formula reduces to 1 SUMIFS: =SUMIFS(JB_26BV, ..., JB_RC, "ADD"). Helper columns are live formulas.</t>
        </is>
      </c>
      <c r="C307" s="26" t="inlineStr">
        <is>
          <t>Max formula: 853 chars / 14 SUMIFS (86% reduction)</t>
        </is>
      </c>
    </row>
    <row r="308" ht="10" customHeight="1"/>
    <row r="309" ht="10" customHeight="1">
      <c r="A309" s="27" t="inlineStr">
        <is>
          <t>Named Ranges</t>
        </is>
      </c>
      <c r="B309" s="28" t="n"/>
      <c r="C309" s="28" t="n"/>
    </row>
    <row r="310" ht="10" customHeight="1">
      <c r="A310" s="26" t="inlineStr">
        <is>
          <t>Named ranges defined on J Book Items Cons. for use in SUMIFS formulas across all analysis sheets</t>
        </is>
      </c>
    </row>
    <row r="311" ht="10" customHeight="1">
      <c r="A311" s="29" t="inlineStr">
        <is>
          <t>Name</t>
        </is>
      </c>
      <c r="B311" s="29" t="inlineStr">
        <is>
          <t>Column &amp; Description</t>
        </is>
      </c>
      <c r="C311" s="29" t="inlineStr">
        <is>
          <t>Range</t>
        </is>
      </c>
    </row>
    <row r="312" ht="10" customHeight="1">
      <c r="A312" s="30" t="inlineStr">
        <is>
          <t>JB_A</t>
        </is>
      </c>
      <c r="B312" s="30" t="inlineStr">
        <is>
          <t>col A — Source Book</t>
        </is>
      </c>
      <c r="C312" s="26" t="inlineStr">
        <is>
          <t>$A$6:$A$4000</t>
        </is>
      </c>
    </row>
    <row r="313" ht="10" customHeight="1">
      <c r="A313" s="30" t="inlineStr">
        <is>
          <t>JB_B</t>
        </is>
      </c>
      <c r="B313" s="30" t="inlineStr">
        <is>
          <t>col I — Bucket</t>
        </is>
      </c>
      <c r="C313" s="26" t="inlineStr">
        <is>
          <t>$I$6:$I$4000</t>
        </is>
      </c>
    </row>
    <row r="314" ht="10" customHeight="1">
      <c r="A314" s="30" t="inlineStr">
        <is>
          <t>JB_V</t>
        </is>
      </c>
      <c r="B314" s="30" t="inlineStr">
        <is>
          <t>col L — Vessel Category</t>
        </is>
      </c>
      <c r="C314" s="26" t="inlineStr">
        <is>
          <t>$L$6:$L$4000</t>
        </is>
      </c>
    </row>
    <row r="315" ht="10" customHeight="1">
      <c r="A315" s="30" t="inlineStr">
        <is>
          <t>JB_W</t>
        </is>
      </c>
      <c r="B315" s="30" t="inlineStr">
        <is>
          <t>col M — Vessel Type</t>
        </is>
      </c>
      <c r="C315" s="26" t="inlineStr">
        <is>
          <t>$M$6:$M$4000</t>
        </is>
      </c>
    </row>
    <row r="316" ht="10" customHeight="1">
      <c r="A316" s="30" t="inlineStr">
        <is>
          <t>JB_H</t>
        </is>
      </c>
      <c r="B316" s="30" t="inlineStr">
        <is>
          <t>col N — Vessel Hull</t>
        </is>
      </c>
      <c r="C316" s="26" t="inlineStr">
        <is>
          <t>$N$6:$N$4000</t>
        </is>
      </c>
    </row>
    <row r="317" ht="10" customHeight="1">
      <c r="A317" s="30" t="inlineStr">
        <is>
          <t>JB_S</t>
        </is>
      </c>
      <c r="B317" s="30" t="inlineStr">
        <is>
          <t>col E — Row Type</t>
        </is>
      </c>
      <c r="C317" s="26" t="inlineStr">
        <is>
          <t>$E$6:$E$4000</t>
        </is>
      </c>
    </row>
    <row r="318" ht="10" customHeight="1">
      <c r="A318" s="30" t="inlineStr">
        <is>
          <t>JB_F</t>
        </is>
      </c>
      <c r="B318" s="30" t="inlineStr">
        <is>
          <t>col J — Bucket Sub Category</t>
        </is>
      </c>
      <c r="C318" s="26" t="inlineStr">
        <is>
          <t>$J$6:$J$4000</t>
        </is>
      </c>
    </row>
    <row r="319" ht="10" customHeight="1">
      <c r="A319" s="30" t="inlineStr">
        <is>
          <t>JB_EX</t>
        </is>
      </c>
      <c r="B319" s="30" t="inlineStr">
        <is>
          <t>col G — Exhibit Level (derived)</t>
        </is>
      </c>
      <c r="C319" s="26" t="inlineStr">
        <is>
          <t>$G$6:$G$4000</t>
        </is>
      </c>
    </row>
    <row r="320" ht="10" customHeight="1">
      <c r="A320" s="30" t="inlineStr">
        <is>
          <t>JB_CC</t>
        </is>
      </c>
      <c r="B320" s="30" t="inlineStr">
        <is>
          <t>col H — Cost Category (derived)</t>
        </is>
      </c>
      <c r="C320" s="26" t="inlineStr">
        <is>
          <t>$H$6:$H$4000</t>
        </is>
      </c>
    </row>
    <row r="321" ht="10" customHeight="1">
      <c r="A321" s="30" t="inlineStr">
        <is>
          <t>JB_CE</t>
        </is>
      </c>
      <c r="B321" s="30" t="inlineStr">
        <is>
          <t>col AJ — Cost Element (system names for P-8a)</t>
        </is>
      </c>
      <c r="C321" s="26" t="inlineStr">
        <is>
          <t>$AJ$6:$AJ$4000</t>
        </is>
      </c>
    </row>
    <row r="322" ht="10" customHeight="1">
      <c r="A322" s="30" t="inlineStr">
        <is>
          <t>JB_RC</t>
        </is>
      </c>
      <c r="B322" s="30" t="inlineStr">
        <is>
          <t>col AC — Row Class (helper)</t>
        </is>
      </c>
      <c r="C322" s="26" t="inlineStr">
        <is>
          <t>$AC$6:$AC$4000</t>
        </is>
      </c>
    </row>
    <row r="323" ht="10" customHeight="1">
      <c r="A323" s="30" t="inlineStr">
        <is>
          <t>JB_26BV</t>
        </is>
      </c>
      <c r="B323" s="30" t="inlineStr">
        <is>
          <t>col AD — FY2026 Best Value (helper)</t>
        </is>
      </c>
      <c r="C323" s="26" t="inlineStr">
        <is>
          <t>$AD$6:$AD$4000</t>
        </is>
      </c>
    </row>
    <row r="324" ht="10" customHeight="1">
      <c r="A324" s="30" t="inlineStr">
        <is>
          <t>JB_27BV</t>
        </is>
      </c>
      <c r="B324" s="30" t="inlineStr">
        <is>
          <t>col AE — FY2027 Best Value (helper)</t>
        </is>
      </c>
      <c r="C324" s="26" t="inlineStr">
        <is>
          <t>$AE$6:$AE$4000</t>
        </is>
      </c>
    </row>
    <row r="325" ht="10" customHeight="1"/>
    <row r="326" ht="10" customHeight="1">
      <c r="A326" s="27" t="inlineStr">
        <is>
          <t>Newbuild SAM Cost Category Detail</t>
        </is>
      </c>
      <c r="B326" s="28" t="n"/>
      <c r="C326" s="28" t="n"/>
    </row>
    <row r="327" ht="10" customHeight="1">
      <c r="A327" s="26" t="inlineStr">
        <is>
          <t>Supplemental cost category analysis on the Newbuild SAM sheet (FY26 only)</t>
        </is>
      </c>
    </row>
    <row r="328" ht="10" customHeight="1">
      <c r="A328" s="29" t="inlineStr">
        <is>
          <t>Section</t>
        </is>
      </c>
      <c r="B328" s="29" t="inlineStr">
        <is>
          <t>Description</t>
        </is>
      </c>
      <c r="C328" s="29" t="inlineStr">
        <is>
          <t>Notes</t>
        </is>
      </c>
    </row>
    <row r="329" ht="10" customHeight="1">
      <c r="A329" s="30" t="inlineStr">
        <is>
          <t>SAM (D): P-5c Gross Cost Category</t>
        </is>
      </c>
      <c r="B329" s="30" t="inlineStr">
        <is>
          <t>Decomposes new-construction budget authority into P-5c cost categories by SAM vessel type. Gross total-ship-estimate costs — pre-AP/SFF, will NOT match SAM net totals.</t>
        </is>
      </c>
      <c r="C329" s="26" t="inlineStr">
        <is>
          <t>Uses SUMIFS on [ALT_VIEW] rows with JB_EX="P-5c". 6 SAM vessel types.</t>
        </is>
      </c>
    </row>
    <row r="330" ht="10" customHeight="1">
      <c r="A330" s="30" t="inlineStr">
        <is>
          <t>SAM (E): Proportional Allocation</t>
        </is>
      </c>
      <c r="B330" s="30" t="inlineStr">
        <is>
          <t>P-5c percentage mix from (D) applied to SAM net budget-authority totals. Cost category decomposition reconciles to the SAM total.</t>
        </is>
      </c>
      <c r="C330" s="26" t="inlineStr">
        <is>
          <t>Allocated Total should equal SAM Net Total per vessel type.</t>
        </is>
      </c>
    </row>
    <row r="331" ht="10" customHeight="1">
      <c r="A331" s="30" t="inlineStr">
        <is>
          <t>SAM (G): P-8a System Detail by Hull</t>
        </is>
      </c>
      <c r="B331" s="30" t="inlineStr">
        <is>
          <t>Individual GFE systems from Exhibit P-8a (radars, weapons, electronics, propulsion), grouped by cost category within each hull program. Laid out as a 4-across grid of per-hull tables.</t>
        </is>
      </c>
      <c r="C331" s="26" t="inlineStr">
        <is>
          <t>Bold category subtotal rows, italic system rows. Uses JB_EX="P-8a" with JB_CE per system.</t>
        </is>
      </c>
    </row>
    <row r="332" ht="10" customHeight="1"/>
    <row r="333" ht="10" customHeight="1">
      <c r="A333" s="26" t="inlineStr">
        <is>
          <t>FY2027 has no sections (D)/(E)/(G) — justification books (P-5c, P-8a, P-35) not yet released.</t>
        </is>
      </c>
    </row>
    <row r="334" ht="10" customHeight="1"/>
    <row r="335" ht="10" customHeight="1">
      <c r="A335" s="27" t="inlineStr">
        <is>
          <t>FY2027 Methodology &amp; Sourcing</t>
        </is>
      </c>
      <c r="B335" s="28" t="n"/>
      <c r="C335" s="28" t="n"/>
    </row>
    <row r="336" ht="10" customHeight="1">
      <c r="A336" s="26" t="inlineStr">
        <is>
          <t>How FY2027 columns were populated, sourcing, and methodological notes</t>
        </is>
      </c>
    </row>
    <row r="337" ht="10" customHeight="1">
      <c r="A337" s="29" t="inlineStr">
        <is>
          <t>Topic</t>
        </is>
      </c>
      <c r="B337" s="29" t="inlineStr">
        <is>
          <t>Description</t>
        </is>
      </c>
      <c r="C337" s="29" t="inlineStr">
        <is>
          <t>Notes</t>
        </is>
      </c>
    </row>
    <row r="338" ht="10" customHeight="1">
      <c r="A338" s="30" t="inlineStr">
        <is>
          <t>Source document</t>
        </is>
      </c>
      <c r="B338" s="30" t="inlineStr">
        <is>
          <t>FY 2027 P-1 / O-1 (April 2026). New columns: FY2027 Request ($K), FY2027 Mandatory Request ($K), FY2027 Total ($K) at cols Z/AA/AB.</t>
        </is>
      </c>
      <c r="C338" s="26" t="inlineStr">
        <is>
          <t>Status: REQUEST only, not enacted.</t>
        </is>
      </c>
    </row>
    <row r="339" ht="10" customHeight="1">
      <c r="A339" s="30" t="inlineStr">
        <is>
          <t>Discretionary vs Mandatory</t>
        </is>
      </c>
      <c r="B339" s="30" t="inlineStr">
        <is>
          <t>Two FY27 request columns: Discretionary Request (regular annual base) and Mandatory Request (a NEW reconciliation ask, separate from OBBBA, NOT enacted, NOT guaranteed).</t>
        </is>
      </c>
      <c r="C339" s="26" t="inlineStr">
        <is>
          <t>SCN FY27: Disc $60.18B + Mand $5.65B = $65.83B.</t>
        </is>
      </c>
    </row>
    <row r="340" ht="10" customHeight="1">
      <c r="A340" s="30" t="inlineStr">
        <is>
          <t>TAM formula (FY27)</t>
        </is>
      </c>
      <c r="B340" s="30" t="inlineStr">
        <is>
          <t>Same as FY26 — sum (no tag) + [PARENT] rows. Uses FY2027 Total as per-row value.</t>
        </is>
      </c>
      <c r="C340" s="26" t="inlineStr">
        <is>
          <t>Same double-counting guards apply.</t>
        </is>
      </c>
    </row>
    <row r="341" ht="10" customHeight="1">
      <c r="A341" s="30" t="inlineStr">
        <is>
          <t>Net vs Gross convention</t>
        </is>
      </c>
      <c r="B341" s="30" t="inlineStr">
        <is>
          <t>PARENT = NET (gross − Less:AP − Less:SFF). Same as FY26 DAA columns.</t>
        </is>
      </c>
      <c r="C341" s="26" t="inlineStr">
        <is>
          <t>Completion-PY rolldowns excluded from PARENT (live in [SUB] rows).</t>
        </is>
      </c>
    </row>
    <row r="342" ht="10" customHeight="1">
      <c r="A342" s="30" t="inlineStr">
        <is>
          <t>OBBBA exclusion</t>
        </is>
      </c>
      <c r="B342" s="30" t="inlineStr">
        <is>
          <t>OBBBA (PL 119-21) is FY2026-only budget authority. 100% captured in FY2026 DAA columns. No FY27 OBBBA column — adding one would double-count.</t>
        </is>
      </c>
      <c r="C342" s="26" t="inlineStr">
        <is>
          <t>OBBBA contracts may sign in FY27/FY28 but BA is all FY26.</t>
        </is>
      </c>
    </row>
    <row r="343" ht="10" customHeight="1">
      <c r="A343" s="30" t="inlineStr">
        <is>
          <t>Budget authority vs outlays</t>
        </is>
      </c>
      <c r="B343" s="30" t="inlineStr">
        <is>
          <t>This workbook measures BUDGET AUTHORITY (BA), not outlays. OBBBA gave $152.3B of FY2026 BA, available for obligation through Sept 30, 2029.</t>
        </is>
      </c>
      <c r="C343" s="26" t="inlineStr">
        <is>
          <t>Apples-to-apples basis for cross-year comparison.</t>
        </is>
      </c>
    </row>
    <row r="344" ht="10" customHeight="1">
      <c r="A344" s="30" t="inlineStr">
        <is>
          <t>FY27 Mandatory vs OBBBA</t>
        </is>
      </c>
      <c r="B344" s="30" t="inlineStr">
        <is>
          <t>Different pots of money. OBBBA = enacted FY26 mandatory (PL 119-21, July 2025). FY27 Mandatory = a NEW ask in the Apr 2026 PB submission — NOT enacted.</t>
        </is>
      </c>
      <c r="C344" s="26" t="inlineStr">
        <is>
          <t>SCN FY27 Mand = $5.65B vs. SCN FY26 OBBBA = $17.93B.</t>
        </is>
      </c>
    </row>
    <row r="345" ht="10" customHeight="1">
      <c r="A345" s="30" t="inlineStr">
        <is>
          <t>Coverage by source book</t>
        </is>
      </c>
      <c r="B345" s="30" t="inlineStr">
        <is>
          <t>High for SCN/OPN/WPN (line-item match). Blank for OMN/NWCF (SAG-level only) and USCG (DHS, not DoD).</t>
        </is>
      </c>
      <c r="C345" s="26" t="inlineStr">
        <is>
          <t>OMN/NWCF: Phase 2 prorated allocation. USCG: Phase 3 (DHS CJ).</t>
        </is>
      </c>
    </row>
    <row r="346" ht="10" customHeight="1">
      <c r="A346" s="30" t="inlineStr">
        <is>
          <t>New programs (v1.21)</t>
        </is>
      </c>
      <c r="B346" s="30" t="inlineStr">
        <is>
          <t>9 new SCN rows for FY27 P-1 items not in v1.20: Surface Ship IB, BBG(X), FF(X), AS Sub Tender, SMS, Next Gen Logistics Ship, Bulk Fuel Vessel, T-AH(X), Fireboats.</t>
        </is>
      </c>
      <c r="C346" s="26" t="inlineStr">
        <is>
          <t>Each: Source=SCN, no Row Type tag (additive), full taxonomy where available.</t>
        </is>
      </c>
    </row>
    <row r="347" ht="10" customHeight="1">
      <c r="A347" s="30" t="inlineStr">
        <is>
          <t>1613N Maritime Industrial Base Fund</t>
        </is>
      </c>
      <c r="B347" s="30" t="inlineStr">
        <is>
          <t>NOT added — FY26-only appropriation. Two line items (Sub IB $2.54B, Surface Ship IB $1.99B) are zero in FY27. OBBBA-only money already captured by other rows.</t>
        </is>
      </c>
    </row>
    <row r="348" ht="10" customHeight="1"/>
    <row r="349" ht="10" customHeight="1">
      <c r="A349" s="27" t="inlineStr">
        <is>
          <t>Data Quality Flags</t>
        </is>
      </c>
      <c r="B349" s="28" t="n"/>
      <c r="C349" s="28" t="n"/>
    </row>
    <row r="350" ht="10" customHeight="1">
      <c r="A350" s="26" t="inlineStr">
        <is>
          <t>Known duplicates, inconsistencies, and data quality issues in the current dataset</t>
        </is>
      </c>
    </row>
    <row r="351" ht="10" customHeight="1">
      <c r="A351" s="29" t="inlineStr">
        <is>
          <t>Issue</t>
        </is>
      </c>
      <c r="B351" s="29" t="inlineStr">
        <is>
          <t>Description</t>
        </is>
      </c>
      <c r="C351" s="29" t="inlineStr">
        <is>
          <t>Resolution</t>
        </is>
      </c>
    </row>
    <row r="352" ht="10" customHeight="1">
      <c r="A352" s="30" t="inlineStr">
        <is>
          <t>Surface Combatants variant (RESOLVED)</t>
        </is>
      </c>
      <c r="B352" s="30" t="inlineStr">
        <is>
          <t>Submarket column previously had hyphen and en-dash variants. As of v1.22, all standardized.</t>
        </is>
      </c>
      <c r="C352" s="26" t="inlineStr">
        <is>
          <t>Re-run consolidation if reloading from en-dash sources.</t>
        </is>
      </c>
    </row>
    <row r="353" ht="10" customHeight="1">
      <c r="A353" s="30" t="inlineStr">
        <is>
          <t>OPN_BA3 / BA5-8 duplicate rows</t>
        </is>
      </c>
      <c r="B353" s="30" t="inlineStr">
        <is>
          <t>5 line items appear in both OPN_BA3 and OPN_BA5-8. Double-count when summed across all OPN_BAx.</t>
        </is>
      </c>
      <c r="C353" s="26" t="inlineStr">
        <is>
          <t>Est. impact: +$1.0M to +$1.3M. Pick canonical source, blank the other.</t>
        </is>
      </c>
    </row>
    <row r="354" ht="10" customHeight="1">
      <c r="A354" s="30" t="inlineStr">
        <is>
          <t>LI 116 Advanced Arresting Gear (AAG)</t>
        </is>
      </c>
      <c r="B354" s="30" t="inlineStr">
        <is>
          <t>OPN_BA3 R2890 + OPN_BA5-8 R3208. Both reference same P-1 line item.</t>
        </is>
      </c>
      <c r="C354" s="26" t="inlineStr">
        <is>
          <t>Both FY27 = $23,551K. Pick one.</t>
        </is>
      </c>
    </row>
    <row r="355" ht="10" customHeight="1">
      <c r="A355" s="30" t="inlineStr">
        <is>
          <t>LI 117 EMALS</t>
        </is>
      </c>
      <c r="B355" s="30" t="inlineStr">
        <is>
          <t>OPN_BA3 R2901 + OPN_BA5-8 R3209. Both reference same P-1 line item.</t>
        </is>
      </c>
      <c r="C355" s="26" t="inlineStr">
        <is>
          <t>Both FY27 = $36,908K. Pick one.</t>
        </is>
      </c>
    </row>
    <row r="356" ht="10" customHeight="1">
      <c r="A356" s="30" t="inlineStr">
        <is>
          <t>LI 122 UMCS-UCA Mission Control Station</t>
        </is>
      </c>
      <c r="B356" s="30" t="inlineStr">
        <is>
          <t>OPN_BA3 R2947 + OPN_BA5-8 R3210. Both reference same P-1 line item.</t>
        </is>
      </c>
      <c r="C356" s="26" t="inlineStr">
        <is>
          <t>Both FY27 = $211,216K. Pick one.</t>
        </is>
      </c>
    </row>
    <row r="357" ht="10" customHeight="1">
      <c r="A357" s="30" t="inlineStr">
        <is>
          <t>LI 176 Spares and Repair Parts</t>
        </is>
      </c>
      <c r="B357" s="30" t="inlineStr">
        <is>
          <t>OPN_BA3 R2973 + OPN_BA5-8 R3220. Both reference P-1 BA08 line 176.</t>
        </is>
      </c>
      <c r="C357" s="26" t="inlineStr">
        <is>
          <t>Both FY27 = $765,711K. Largest single-line double-count.</t>
        </is>
      </c>
    </row>
    <row r="358" ht="10" customHeight="1">
      <c r="A358" s="30" t="inlineStr">
        <is>
          <t>LI 177 VIRGINIA Class Spares</t>
        </is>
      </c>
      <c r="B358" s="30" t="inlineStr">
        <is>
          <t>OPN_BA3 R2974 + OPN_BA5-8 R3221. In FY27, P-1 lacks a separate Virginia spares line — both rows blank in FY27.</t>
        </is>
      </c>
      <c r="C358" s="26" t="inlineStr">
        <is>
          <t>FY26: both have data. Consider prorating as share of consolidated BA08.</t>
        </is>
      </c>
    </row>
    <row r="359" ht="10" customHeight="1"/>
    <row r="360" ht="10" customHeight="1">
      <c r="A360" s="27" t="inlineStr">
        <is>
          <t>Phase 2 — OMN/NWCF FY27 Allocation (Planned)</t>
        </is>
      </c>
      <c r="B360" s="28" t="n"/>
      <c r="C360" s="28" t="n"/>
    </row>
    <row r="361" ht="10" customHeight="1">
      <c r="A361" s="26" t="inlineStr">
        <is>
          <t>Planned methodology for populating FY27 values for OMN, OMN_Vol2, and NWCF source books</t>
        </is>
      </c>
    </row>
    <row r="362" ht="10" customHeight="1">
      <c r="A362" s="29" t="inlineStr">
        <is>
          <t>Topic</t>
        </is>
      </c>
      <c r="B362" s="29" t="inlineStr">
        <is>
          <t>Description</t>
        </is>
      </c>
      <c r="C362" s="29" t="inlineStr">
        <is>
          <t>Notes</t>
        </is>
      </c>
    </row>
    <row r="363" ht="10" customHeight="1">
      <c r="A363" s="30" t="inlineStr">
        <is>
          <t>Why a separate sheet</t>
        </is>
      </c>
      <c r="B363" s="30" t="inlineStr">
        <is>
          <t>FY27 O-1/RF-1 only publish SAG-level totals — no per-line detail for OMN/NWCF. A "FY27 Allocation Workbench" will apportion SAG totals to individual rows.</t>
        </is>
      </c>
      <c r="C363" s="26" t="inlineStr">
        <is>
          <t>USCG is DHS, not DoD — cannot be filled from this exhibit set (Phase 3).</t>
        </is>
      </c>
    </row>
    <row r="364" ht="10" customHeight="1">
      <c r="A364" s="30" t="inlineStr">
        <is>
          <t>Allocation rule</t>
        </is>
      </c>
      <c r="B364" s="30" t="inlineStr">
        <is>
          <t>Pro-rate by FY26 share: FY27_row = (FY26_row / FY26_SAG_total) × FY27_SAG_total. Use FY26 DAA Enacted Total as baseline.</t>
        </is>
      </c>
      <c r="C364" s="26" t="inlineStr">
        <is>
          <t>Flag rows where prorated FY27 differs from FY26 by &gt; ±25% for review.</t>
        </is>
      </c>
    </row>
    <row r="365" ht="10" customHeight="1">
      <c r="A365" s="30" t="inlineStr">
        <is>
          <t>Source SAG totals (FY27)</t>
        </is>
      </c>
      <c r="B365" s="30" t="inlineStr">
        <is>
          <t>OMN SAGs: 1A5A Aircraft Depot Maint ($2,220M), 1B1B Mission &amp; Ship Ops ($7,425M), 1B2B Ship Ops Support ($1,713M), 1B4B Ship Depot Maint ($14,293M), 1B5B Depot Ops Support ($2,598M). NWCF: $266M.</t>
        </is>
      </c>
      <c r="C365" s="26" t="inlineStr">
        <is>
          <t>All FY27 Disc Request only — no Mandatory for OMN/NWCF.</t>
        </is>
      </c>
    </row>
    <row r="366" ht="10" customHeight="1">
      <c r="A366" s="30" t="inlineStr">
        <is>
          <t>Workbench structure</t>
        </is>
      </c>
      <c r="B366" s="30" t="inlineStr">
        <is>
          <t>Columns: J Book row #, Source Book, LI, Title, SAG, FY26 DAA, FY26 SAG total, FY26 share %, FY27 SAG total, FY27 prorated, ±25% flag, manual override.</t>
        </is>
      </c>
      <c r="C366" s="26" t="inlineStr">
        <is>
          <t>Manual overrides take precedence when set.</t>
        </is>
      </c>
    </row>
    <row r="367" ht="10" customHeight="1">
      <c r="A367" s="30" t="inlineStr">
        <is>
          <t>SAG → row mapping</t>
        </is>
      </c>
      <c r="B367" s="30" t="inlineStr">
        <is>
          <t>Parse SAG code from the Citation column (e.g., "OMN &gt; BA01 &gt; 1B4B Ship Depot Maintenance &gt; ...").</t>
        </is>
      </c>
      <c r="C367" s="26" t="inlineStr">
        <is>
          <t>Ambiguous/missing citations require manual SAG assignment.</t>
        </is>
      </c>
    </row>
    <row r="368" ht="10" customHeight="1">
      <c r="A368" s="30" t="inlineStr">
        <is>
          <t>Validation after Phase 2</t>
        </is>
      </c>
      <c r="B368" s="30" t="inlineStr">
        <is>
          <t>Sum of prorated FY27 values within a SAG should equal FY27 SAG total. Per-SAG summary: total, sum of prorated, variance.</t>
        </is>
      </c>
      <c r="C368" s="26" t="inlineStr">
        <is>
          <t>Only PARENT and (no tag) rows are additive for the SAG check.</t>
        </is>
      </c>
    </row>
    <row r="369" ht="10" customHeight="1">
      <c r="A369" s="30" t="inlineStr">
        <is>
          <t>USCG handling (Phase 3)</t>
        </is>
      </c>
      <c r="B369" s="30" t="inlineStr">
        <is>
          <t>18 USCG rows cannot be populated from FY27 P-1/O-1 (CG is DHS). Requires FY27 DHS CG Congressional Justification.</t>
        </is>
      </c>
      <c r="C369" s="26" t="inlineStr">
        <is>
          <t>USCG FY27 columns remain blank until Phase 3.</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443"/>
  <sheetViews>
    <sheetView showGridLines="0" workbookViewId="0">
      <selection activeCell="A1" sqref="A1"/>
    </sheetView>
  </sheetViews>
  <sheetFormatPr baseColWidth="10" defaultColWidth="8.83203125" defaultRowHeight="15"/>
  <cols>
    <col width="8" customWidth="1" min="1" max="1"/>
    <col width="10" customWidth="1" min="2" max="2"/>
    <col width="35" customWidth="1" min="3" max="3"/>
    <col width="80" customWidth="1" min="4" max="4"/>
  </cols>
  <sheetData>
    <row r="1" ht="10" customHeight="1">
      <c r="A1" s="1" t="inlineStr">
        <is>
          <t>Description Notes</t>
        </is>
      </c>
      <c r="B1" s="2" t="n"/>
      <c r="C1" s="2" t="n"/>
      <c r="D1" s="2" t="n"/>
    </row>
    <row r="2" ht="10" customHeight="1">
      <c r="A2" s="3" t="inlineStr">
        <is>
          <t>Long-form description text extracted from the data sheet. Keyed by data sheet row number.</t>
        </is>
      </c>
    </row>
    <row r="3" ht="10" customHeight="1">
      <c r="A3" s="6" t="inlineStr">
        <is>
          <t>Data Row</t>
        </is>
      </c>
      <c r="B3" s="6" t="inlineStr">
        <is>
          <t>Source Book</t>
        </is>
      </c>
      <c r="C3" s="6" t="inlineStr">
        <is>
          <t>Line Item Title</t>
        </is>
      </c>
      <c r="D3" s="6" t="inlineStr">
        <is>
          <t>Description</t>
        </is>
      </c>
    </row>
    <row r="4" ht="10" customHeight="1">
      <c r="A4" s="7" t="n">
        <v>6</v>
      </c>
      <c r="B4" s="7" t="inlineStr">
        <is>
          <t>SCN</t>
        </is>
      </c>
      <c r="C4" s="7" t="inlineStr">
        <is>
          <t>COLUMBIA Class Submarine</t>
        </is>
      </c>
      <c r="D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t>
        </is>
      </c>
    </row>
    <row r="5" ht="10" customHeight="1">
      <c r="A5" s="7" t="n">
        <v>10</v>
      </c>
      <c r="B5" s="7" t="inlineStr">
        <is>
          <t>SCN</t>
        </is>
      </c>
      <c r="C5" s="7" t="inlineStr">
        <is>
          <t>Carrier Replacement Program</t>
        </is>
      </c>
      <c r="D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row>
    <row r="6" ht="10" customHeight="1">
      <c r="A6" s="7" t="n">
        <v>13</v>
      </c>
      <c r="B6" s="7" t="inlineStr">
        <is>
          <t>SCN</t>
        </is>
      </c>
      <c r="C6" s="7" t="inlineStr">
        <is>
          <t>Carrier Replacement Program Advance Procurement (CY)</t>
        </is>
      </c>
      <c r="D6" s="7" t="inlineStr">
        <is>
          <t>Basic: Funding is required for procurement of the longest lead non-reactor propulsion plant, electric plant contractor furnished equipment and shipbuilder advance procurement / construction efforts necessary to support an efficient CVN 82 construction schedule. Advance Construction (AC) / Advance</t>
        </is>
      </c>
    </row>
    <row r="7" ht="10" customHeight="1">
      <c r="A7" s="7" t="n">
        <v>14</v>
      </c>
      <c r="B7" s="7" t="inlineStr">
        <is>
          <t>SCN</t>
        </is>
      </c>
      <c r="C7" s="7" t="inlineStr">
        <is>
          <t>CVN-81</t>
        </is>
      </c>
      <c r="D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row>
    <row r="8" ht="10" customHeight="1">
      <c r="A8" s="7" t="n">
        <v>15</v>
      </c>
      <c r="B8" s="7" t="inlineStr">
        <is>
          <t>SCN</t>
        </is>
      </c>
      <c r="C8" s="7" t="inlineStr">
        <is>
          <t>Virginia Class Submarine</t>
        </is>
      </c>
      <c r="D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t>
        </is>
      </c>
    </row>
    <row r="9" ht="10" customHeight="1">
      <c r="A9" s="7" t="n">
        <v>19</v>
      </c>
      <c r="B9" s="7" t="inlineStr">
        <is>
          <t>SCN</t>
        </is>
      </c>
      <c r="C9" s="7" t="inlineStr">
        <is>
          <t>Virginia Class Submarine Advance Procurement (CY)</t>
        </is>
      </c>
      <c r="D9" s="7" t="inlineStr">
        <is>
          <t>The Total Ship estimate for the FY 2025 hull includes additional funds in support of critical spare material that will be consumed on future hulls to ensure critical sub-tier vendors maintain two per year cadence. Advance Procurement and EOQ funds essential Long Lead Time materials to meet in yard</t>
        </is>
      </c>
    </row>
    <row r="10" ht="10" customHeight="1">
      <c r="A10" s="7" t="n">
        <v>20</v>
      </c>
      <c r="B10" s="7" t="inlineStr">
        <is>
          <t>SCN</t>
        </is>
      </c>
      <c r="C10" s="7" t="inlineStr">
        <is>
          <t>CVN Refueling Overhauls</t>
        </is>
      </c>
      <c r="D1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t>
        </is>
      </c>
    </row>
    <row r="11" ht="10" customHeight="1">
      <c r="A11" s="7" t="n">
        <v>24</v>
      </c>
      <c r="B11" s="7" t="inlineStr">
        <is>
          <t>SCN</t>
        </is>
      </c>
      <c r="C11" s="7" t="inlineStr">
        <is>
          <t>CVN Refueling Overhauls Advance Procurement (CY)</t>
        </is>
      </c>
      <c r="D11" s="7" t="inlineStr">
        <is>
          <t>No advance procurement funds requested for RCOH in FY 2026. *Note: "When Required" is the number of months required before ship delivery.</t>
        </is>
      </c>
    </row>
    <row r="12" ht="10" customHeight="1">
      <c r="A12" s="7" t="n">
        <v>25</v>
      </c>
      <c r="B12" s="7" t="inlineStr">
        <is>
          <t>SCN</t>
        </is>
      </c>
      <c r="C12" s="7" t="inlineStr">
        <is>
          <t>DDG 1000</t>
        </is>
      </c>
      <c r="D1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t>
        </is>
      </c>
    </row>
    <row r="13" ht="10" customHeight="1">
      <c r="A13" s="7" t="n">
        <v>26</v>
      </c>
      <c r="B13" s="7" t="inlineStr">
        <is>
          <t>SCN</t>
        </is>
      </c>
      <c r="C13" s="7" t="inlineStr">
        <is>
          <t>DDG-51</t>
        </is>
      </c>
      <c r="D1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t>
        </is>
      </c>
    </row>
    <row r="14" ht="10" customHeight="1">
      <c r="A14" s="7" t="n">
        <v>30</v>
      </c>
      <c r="B14" s="7" t="inlineStr">
        <is>
          <t>SCN</t>
        </is>
      </c>
      <c r="C14" s="7" t="inlineStr">
        <is>
          <t>DDG-51 Advance Procurement (CY)</t>
        </is>
      </c>
      <c r="D14" s="7" t="inlineStr">
        <is>
          <t>There is no FY 2026 Advance Procurement request in mandatory ($0 thousand) or discretionary ($0 thousand) funding. FY23 - FY24 AP is required for shipbuilder and AEGIS Weapon System (AWS) Economic Order Quantity procurements for material items to achieve savings for the FY23-FY27 MYP ships. FY24 -</t>
        </is>
      </c>
    </row>
    <row r="15" ht="10" customHeight="1">
      <c r="A15" s="7" t="n">
        <v>31</v>
      </c>
      <c r="B15" s="7" t="inlineStr">
        <is>
          <t>SCN</t>
        </is>
      </c>
      <c r="C15" s="7" t="inlineStr">
        <is>
          <t>Littoral Combat Ship (LCS)</t>
        </is>
      </c>
      <c r="D15"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t>
        </is>
      </c>
    </row>
    <row r="16" ht="10" customHeight="1">
      <c r="A16" s="7" t="n">
        <v>32</v>
      </c>
      <c r="B16" s="7" t="inlineStr">
        <is>
          <t>SCN</t>
        </is>
      </c>
      <c r="C16" s="7" t="inlineStr">
        <is>
          <t>FFG-Frigate</t>
        </is>
      </c>
      <c r="D1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t>
        </is>
      </c>
    </row>
    <row r="17" ht="10" customHeight="1">
      <c r="A17" s="7" t="n">
        <v>33</v>
      </c>
      <c r="B17" s="7" t="inlineStr">
        <is>
          <t>SCN</t>
        </is>
      </c>
      <c r="C17" s="7" t="inlineStr">
        <is>
          <t>LPD Flight II</t>
        </is>
      </c>
      <c r="D1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t>
        </is>
      </c>
    </row>
    <row r="18" ht="10" customHeight="1">
      <c r="A18" s="7" t="n">
        <v>37</v>
      </c>
      <c r="B18" s="7" t="inlineStr">
        <is>
          <t>SCN</t>
        </is>
      </c>
      <c r="C18" s="7" t="inlineStr">
        <is>
          <t>LPD Flight II Advance Procurement (CY)</t>
        </is>
      </c>
      <c r="D18" s="7" t="inlineStr">
        <is>
          <t>Advance Procurement funding will be used to purchase Long Lead Time Material (LLTM) and to maintain schedule. LLTM procurements will include, but are not limited to: Engines, Diesel Generators, Reduction Gears, Motor Controllers, Propellers, Shafting, Elevators, A/C Plants, Switchboards/Power</t>
        </is>
      </c>
    </row>
    <row r="19" ht="10" customHeight="1">
      <c r="A19" s="7" t="n">
        <v>39</v>
      </c>
      <c r="B19" s="7" t="inlineStr">
        <is>
          <t>SCN</t>
        </is>
      </c>
      <c r="C19" s="7" t="inlineStr">
        <is>
          <t>LHA Replacement</t>
        </is>
      </c>
      <c r="D1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t>
        </is>
      </c>
    </row>
    <row r="20" ht="10" customHeight="1">
      <c r="A20" s="7" t="n">
        <v>42</v>
      </c>
      <c r="B20" s="7" t="inlineStr">
        <is>
          <t>SCN</t>
        </is>
      </c>
      <c r="C20" s="7" t="inlineStr">
        <is>
          <t>LHA Replacement Advance Procurement (CY)</t>
        </is>
      </c>
      <c r="D20" s="7" t="inlineStr">
        <is>
          <t>There is no FY 2026 Advance Procurement request in mandatory ($0 thousand) or discretionary ($0 thousand) funding. Advance Procurement funding will be used to purchase Long Lead Time Material (LLTM) and maintain production schedule. LLTM procurements will include, but not be limited to, Port Deck</t>
        </is>
      </c>
    </row>
    <row r="21" ht="10" customHeight="1">
      <c r="A21" s="7" t="n">
        <v>43</v>
      </c>
      <c r="B21" s="7" t="inlineStr">
        <is>
          <t>SCN</t>
        </is>
      </c>
      <c r="C21" s="7" t="inlineStr">
        <is>
          <t>Medium Landing Ship</t>
        </is>
      </c>
      <c r="D21"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t>
        </is>
      </c>
    </row>
    <row r="22" ht="10" customHeight="1">
      <c r="A22" s="7" t="n">
        <v>44</v>
      </c>
      <c r="B22" s="7" t="inlineStr">
        <is>
          <t>SCN</t>
        </is>
      </c>
      <c r="C22" s="7" t="inlineStr">
        <is>
          <t>Expeditionary Sea Base (ESB)</t>
        </is>
      </c>
      <c r="D22" s="7" t="inlineStr">
        <is>
          <t>The Expeditionary Mobile Base (ESB) (formerly MLP Afloat Forward Staging Base (AFSB)) will serve as a dedicated Naval Afloat Forward Staging Base, optimized to support naval assets in a variety of missions rather than independently modifying ships-of-opportunity as required to meet these roles. The</t>
        </is>
      </c>
    </row>
    <row r="23" ht="10" customHeight="1">
      <c r="A23" s="7" t="n">
        <v>45</v>
      </c>
      <c r="B23" s="7" t="inlineStr">
        <is>
          <t>SCN</t>
        </is>
      </c>
      <c r="C23" s="7" t="inlineStr">
        <is>
          <t>Expeditionary Fast Transport (EPF)</t>
        </is>
      </c>
      <c r="D23" s="7" t="inlineStr">
        <is>
          <t>Future joint forces will be responsive, deployable, agile, versatile, lethal, survivable, and sustainable. The nation will need lift assets that can provide for assured access, decrease predictability and dwell time, and have the capacity to quickly deliver troops and equipment together in a manner</t>
        </is>
      </c>
    </row>
    <row r="24" ht="10" customHeight="1">
      <c r="A24" s="7" t="n">
        <v>46</v>
      </c>
      <c r="B24" s="7" t="inlineStr">
        <is>
          <t>SCN</t>
        </is>
      </c>
      <c r="C24" s="7" t="inlineStr">
        <is>
          <t>TAO Fleet Oiler</t>
        </is>
      </c>
      <c r="D24"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t>
        </is>
      </c>
    </row>
    <row r="25" ht="10" customHeight="1">
      <c r="A25" s="7" t="n">
        <v>49</v>
      </c>
      <c r="B25" s="7" t="inlineStr">
        <is>
          <t>SCN</t>
        </is>
      </c>
      <c r="C25" s="7" t="inlineStr">
        <is>
          <t>TAGOS Surtass Ships</t>
        </is>
      </c>
      <c r="D25"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t>
        </is>
      </c>
    </row>
    <row r="26" ht="10" customHeight="1">
      <c r="A26" s="7" t="n">
        <v>52</v>
      </c>
      <c r="B26" s="7" t="inlineStr">
        <is>
          <t>SCN</t>
        </is>
      </c>
      <c r="C26" s="7" t="inlineStr">
        <is>
          <t>Towing Salvage and Rescue Ship (ATS)</t>
        </is>
      </c>
      <c r="D26"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t>
        </is>
      </c>
    </row>
    <row r="27" ht="10" customHeight="1">
      <c r="A27" s="7" t="n">
        <v>53</v>
      </c>
      <c r="B27" s="7" t="inlineStr">
        <is>
          <t>SCN</t>
        </is>
      </c>
      <c r="C27" s="7" t="inlineStr">
        <is>
          <t>Oceanographic Ships</t>
        </is>
      </c>
      <c r="D27"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t>
        </is>
      </c>
    </row>
    <row r="28" ht="10" customHeight="1">
      <c r="A28" s="7" t="n">
        <v>54</v>
      </c>
      <c r="B28" s="7" t="inlineStr">
        <is>
          <t>SCN</t>
        </is>
      </c>
      <c r="C28" s="7" t="inlineStr">
        <is>
          <t>LCU 1700</t>
        </is>
      </c>
      <c r="D28"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t>
        </is>
      </c>
    </row>
    <row r="29" ht="10" customHeight="1">
      <c r="A29" s="7" t="n">
        <v>56</v>
      </c>
      <c r="B29" s="7" t="inlineStr">
        <is>
          <t>SCN</t>
        </is>
      </c>
      <c r="C29" s="7" t="inlineStr">
        <is>
          <t>Outfitting</t>
        </is>
      </c>
      <c r="D29"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t>
        </is>
      </c>
    </row>
    <row r="30" ht="10" customHeight="1">
      <c r="A30" s="7" t="n">
        <v>76</v>
      </c>
      <c r="B30" s="7" t="inlineStr">
        <is>
          <t>SCN</t>
        </is>
      </c>
      <c r="C30" s="7" t="inlineStr">
        <is>
          <t>Ship to Shore Connector</t>
        </is>
      </c>
      <c r="D30"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t>
        </is>
      </c>
    </row>
    <row r="31" ht="10" customHeight="1">
      <c r="A31" s="7" t="n">
        <v>77</v>
      </c>
      <c r="B31" s="7" t="inlineStr">
        <is>
          <t>SCN</t>
        </is>
      </c>
      <c r="C31" s="7" t="inlineStr">
        <is>
          <t>Service Craft</t>
        </is>
      </c>
      <c r="D31" s="7" t="inlineStr">
        <is>
          <t>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t>
        </is>
      </c>
    </row>
    <row r="32" ht="10" customHeight="1">
      <c r="A32" s="7" t="n">
        <v>78</v>
      </c>
      <c r="B32" s="7" t="inlineStr">
        <is>
          <t>SCN</t>
        </is>
      </c>
      <c r="C32" s="7" t="inlineStr">
        <is>
          <t>Auxiliary Personnel Lighter</t>
        </is>
      </c>
      <c r="D32"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t>
        </is>
      </c>
    </row>
    <row r="33" ht="10" customHeight="1">
      <c r="A33" s="7" t="n">
        <v>79</v>
      </c>
      <c r="B33" s="7" t="inlineStr">
        <is>
          <t>SCN</t>
        </is>
      </c>
      <c r="C33" s="7" t="inlineStr">
        <is>
          <t>LCAC SLEP</t>
        </is>
      </c>
      <c r="D33"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t>
        </is>
      </c>
    </row>
    <row r="34" ht="10" customHeight="1">
      <c r="A34" s="7" t="n">
        <v>80</v>
      </c>
      <c r="B34" s="7" t="inlineStr">
        <is>
          <t>SCN</t>
        </is>
      </c>
      <c r="C34" s="7" t="inlineStr">
        <is>
          <t>Auxiliary Vessels (Used Sealift)</t>
        </is>
      </c>
      <c r="D34" s="7" t="inlineStr">
        <is>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t>
        </is>
      </c>
    </row>
    <row r="35" ht="10" customHeight="1">
      <c r="A35" s="7" t="n">
        <v>1781</v>
      </c>
      <c r="B35" s="7" t="inlineStr">
        <is>
          <t>NWCF</t>
        </is>
      </c>
      <c r="C35" s="7" t="inlineStr">
        <is>
          <t>MSC Total New Orders</t>
        </is>
      </c>
      <c r="D35" s="7" t="inlineStr">
        <is>
          <t>MSC operates under four distinct unit cost goals - one for each of its programs. All programs have cost/per day as the unit cost basis.</t>
        </is>
      </c>
    </row>
    <row r="36" ht="10" customHeight="1">
      <c r="A36" s="7" t="n">
        <v>1784</v>
      </c>
      <c r="B36" s="7" t="inlineStr">
        <is>
          <t>NWCF</t>
        </is>
      </c>
      <c r="C36" s="7" t="inlineStr">
        <is>
          <t>CLF M&amp;R Realignment to OMN</t>
        </is>
      </c>
      <c r="D36" s="7" t="inlineStr">
        <is>
          <t>$969.32 millions were realigned out of NWCF reimbursable authority in FY 2026.</t>
        </is>
      </c>
    </row>
    <row r="37" ht="10" customHeight="1">
      <c r="A37" s="7" t="n">
        <v>1785</v>
      </c>
      <c r="B37" s="7" t="inlineStr">
        <is>
          <t>NWCF</t>
        </is>
      </c>
      <c r="C37" s="7" t="inlineStr">
        <is>
          <t>SMS M&amp;R Realignment to OMN</t>
        </is>
      </c>
      <c r="D37" s="7" t="inlineStr">
        <is>
          <t>In support of M&amp;R transition from NWCF to OMN, $95.82 millions were realigned out of NWCF reimbursable authority in FY 2026.</t>
        </is>
      </c>
    </row>
    <row r="38" ht="10" customHeight="1">
      <c r="A38" s="7" t="n">
        <v>1786</v>
      </c>
      <c r="B38" s="7" t="inlineStr">
        <is>
          <t>NWCF</t>
        </is>
      </c>
      <c r="C38" s="7" t="inlineStr">
        <is>
          <t>APF-N M&amp;R Realignment to OMN</t>
        </is>
      </c>
      <c r="D38" s="7" t="inlineStr">
        <is>
          <t>M&amp;R transition from NWCF to OMN, $209.40 millions were realigned out of NWCF reimbursable authority in FY 2026.</t>
        </is>
      </c>
    </row>
    <row r="39" ht="10" customHeight="1">
      <c r="A39" s="7" t="n">
        <v>1787</v>
      </c>
      <c r="B39" s="7" t="inlineStr">
        <is>
          <t>NWCF</t>
        </is>
      </c>
      <c r="C39" s="7" t="inlineStr">
        <is>
          <t>SSS M&amp;R Realignment to OMN</t>
        </is>
      </c>
      <c r="D39" s="7" t="inlineStr">
        <is>
          <t>In support of M&amp;R transition from NWCF to OMN, $125.46 millions were realigned out of NWCF reimbursable authority in FY 2026.</t>
        </is>
      </c>
    </row>
    <row r="40" ht="10" customHeight="1">
      <c r="A40" s="7" t="n">
        <v>1788</v>
      </c>
      <c r="B40" s="7" t="inlineStr">
        <is>
          <t>NWCF</t>
        </is>
      </c>
      <c r="C40" s="7" t="inlineStr">
        <is>
          <t>MSC Total Program Changes (M&amp;R Realignment)</t>
        </is>
      </c>
      <c r="D40" s="7" t="inlineStr">
        <is>
          <t>Aligned with SECDEF priorities for mission readiness, approximately $1 billion was realigned from Navy Working Capital Fund (NWCF) to Operations and Maintenance, Navy (OMN) in FY 2026 to support maintenance and repair requirements for Military Sealift Command.</t>
        </is>
      </c>
    </row>
    <row r="41" ht="10" customHeight="1">
      <c r="A41" s="7" t="n">
        <v>1821</v>
      </c>
      <c r="B41" s="7" t="inlineStr">
        <is>
          <t>NWCF</t>
        </is>
      </c>
      <c r="C41" s="7" t="inlineStr">
        <is>
          <t>MSC Pricing Adjustments (FY25 to FY26)</t>
        </is>
      </c>
      <c r="D41" s="7" t="inlineStr">
        <is>
          <t>Annualization of Prior Year Pay Raises ($18.60M), BY2 Pay Raise (-$16.90M), Fuel Price Changes ($2.10M), General Purchase Inflation ($66.30M)</t>
        </is>
      </c>
    </row>
    <row r="42" ht="10" customHeight="1">
      <c r="A42" s="7" t="n">
        <v>1822</v>
      </c>
      <c r="B42" s="7" t="inlineStr">
        <is>
          <t>NWCF</t>
        </is>
      </c>
      <c r="C42" s="7" t="inlineStr">
        <is>
          <t>BP28 Ship Repairable and Consumables (Wholesale) - Total Obligations</t>
        </is>
      </c>
      <c r="D42" s="7" t="inlineStr">
        <is>
          <t>NAVSUP manages Budget Project 28 for ship repairable and consumable inventory wholesale operations.</t>
        </is>
      </c>
    </row>
    <row r="43" ht="10" customHeight="1">
      <c r="A43" s="7" t="n">
        <v>1826</v>
      </c>
      <c r="B43" s="7" t="inlineStr">
        <is>
          <t>NWCF</t>
        </is>
      </c>
      <c r="C43" s="7" t="inlineStr">
        <is>
          <t>BP81 Ship Repairable and Consumables (Wholesale) - Total Obligations</t>
        </is>
      </c>
      <c r="D43" s="7" t="inlineStr">
        <is>
          <t>Budget Project 81 provides shipboard spare parts - repairables and consumables - across all Navy vessel classes.</t>
        </is>
      </c>
    </row>
    <row r="44" ht="10" customHeight="1">
      <c r="A44" s="7" t="n">
        <v>1886</v>
      </c>
      <c r="B44" s="7" t="inlineStr">
        <is>
          <t>NWCF</t>
        </is>
      </c>
      <c r="C44" s="7" t="inlineStr">
        <is>
          <t>VACL Material Strategy</t>
        </is>
      </c>
      <c r="D44" s="7" t="inlineStr">
        <is>
          <t>The Virginia Class (VACL) Material Strategy is an initiative to buy critical initial spare parts in support of VACL submarine Extended Dry-Dock Selected Restricted Availabilities (EDSRA) and Depot Modernization Periods (DMP).</t>
        </is>
      </c>
    </row>
    <row r="45" ht="10" customHeight="1">
      <c r="A45" s="7" t="n">
        <v>1887</v>
      </c>
      <c r="B45" s="7" t="inlineStr">
        <is>
          <t>NWCF</t>
        </is>
      </c>
      <c r="C45" s="7" t="inlineStr">
        <is>
          <t>Submarine Wholeness (Shipyards) CA increase</t>
        </is>
      </c>
      <c r="D45" s="7" t="inlineStr">
        <is>
          <t>FY 2026 CA increased by $38 million from FY2025 in support of Submarine Wholeness (Shipyards) increased requirements and DLA/GSA price increase.</t>
        </is>
      </c>
    </row>
    <row r="46" ht="10" customHeight="1">
      <c r="A46" s="7" t="n">
        <v>1888</v>
      </c>
      <c r="B46" s="7" t="inlineStr">
        <is>
          <t>NWCF</t>
        </is>
      </c>
      <c r="C46" s="7" t="inlineStr">
        <is>
          <t>Amphibious Reset Steam and Diesel BOM</t>
        </is>
      </c>
      <c r="D46" s="7" t="inlineStr">
        <is>
          <t>Amphibious Reset Steam and Diesel BOM initiative to reduce maintenance delays for aging amphibious ships.</t>
        </is>
      </c>
    </row>
    <row r="47" ht="10" customHeight="1">
      <c r="A47" s="7" t="n">
        <v>1893</v>
      </c>
      <c r="B47" s="7" t="inlineStr">
        <is>
          <t>NWCF</t>
        </is>
      </c>
      <c r="C47" s="7" t="inlineStr">
        <is>
          <t>FRC Total New Orders</t>
        </is>
      </c>
      <c r="D47" s="7" t="inlineStr">
        <is>
          <t>The Fleet Readiness Centers (FRCs) produce quality airframes, engines, components and support equipment, and provide services that meet Naval Aviation Enterprise (NAE) goals.</t>
        </is>
      </c>
    </row>
    <row r="48" ht="10" customHeight="1">
      <c r="A48" s="7" t="n">
        <v>1912</v>
      </c>
      <c r="B48" s="7" t="inlineStr">
        <is>
          <t>NWCF</t>
        </is>
      </c>
      <c r="C48" s="7" t="inlineStr">
        <is>
          <t>NAWC-38 Vessel Replacement</t>
        </is>
      </c>
      <c r="D48" s="7" t="inlineStr">
        <is>
          <t>NAWC-38 Vessel Replacement NAWCAD Atlantic Targets and Marine Operations (ATMO) has a Key West mission that supports RDT&amp;E and Fleet Training with maritime support services.</t>
        </is>
      </c>
    </row>
    <row r="49" ht="10" customHeight="1">
      <c r="A49" s="7" t="n">
        <v>1913</v>
      </c>
      <c r="B49" s="7" t="inlineStr">
        <is>
          <t>NWCF</t>
        </is>
      </c>
      <c r="C49" s="7" t="inlineStr">
        <is>
          <t>Lake Glendora Heavyweight Ship Shock Platform Infrastructure (Tunable Deck)</t>
        </is>
      </c>
      <c r="D49" s="7" t="inlineStr">
        <is>
          <t>FY24 Lake Glendora- Heavyweight Ship Shock Platform Infrastructure (Tunable Deck)- $2,500K (NSWC Crane; Crane, IN) - Heavy Weight Shipboard Shock testing is required for both submerged and dry systems that are installed on any fleet vessel.</t>
        </is>
      </c>
    </row>
    <row r="50" ht="10" customHeight="1">
      <c r="A50" s="7" t="n">
        <v>1914</v>
      </c>
      <c r="B50" s="7" t="inlineStr">
        <is>
          <t>NWCF</t>
        </is>
      </c>
      <c r="C50" s="7" t="inlineStr">
        <is>
          <t>Battery-Rated Environmental Test Chamber</t>
        </is>
      </c>
      <c r="D50" s="7" t="inlineStr">
        <is>
          <t>FY25 Battery-Rated Environmental Test Chamber - $1,400K (NSWC Carderock; Bethesda, MD) - Naval Surface Warfare Center Carderock Division (NSWCCD) Topside Signature Division maintains the unique capability of at sea, in-situ dynamic radar cross section measurements.</t>
        </is>
      </c>
    </row>
    <row r="51" ht="10" customHeight="1">
      <c r="A51" s="7" t="n">
        <v>1915</v>
      </c>
      <c r="B51" s="7" t="inlineStr">
        <is>
          <t>NWCF</t>
        </is>
      </c>
      <c r="C51" s="7" t="inlineStr">
        <is>
          <t>Deployable Signature Measurement System</t>
        </is>
      </c>
      <c r="D51" s="7" t="inlineStr">
        <is>
          <t>FY25 Deployable Signature Measurement System - $2,500K (NSWC Carderock; Bethesda, MD) - Naval Surface Warfare Center Carderock Division (NSWCCD) Topside Signature Division maintains the unique capability of at sea, in-situ dynamic radar cross section measurements.</t>
        </is>
      </c>
    </row>
    <row r="52" ht="10" customHeight="1">
      <c r="A52" s="7" t="n">
        <v>1916</v>
      </c>
      <c r="B52" s="7" t="inlineStr">
        <is>
          <t>NWCF</t>
        </is>
      </c>
      <c r="C52" s="7" t="inlineStr">
        <is>
          <t>Modernized Deployable Signature Measurement System for Navy Platforms (RCS)</t>
        </is>
      </c>
      <c r="D52" s="7" t="inlineStr">
        <is>
          <t>FY26 Modernized Deployable Signature Measurement System for Navy Platforms (Radar Cross Section) - $2,500K (NSWC Carderock; Bethesda, MD) - The proposed deliverable is a modernized mobile radar measurement system, to include updated antennas and high-powered amplifiers.</t>
        </is>
      </c>
    </row>
    <row r="53" ht="10" customHeight="1">
      <c r="A53" s="7" t="n">
        <v>1917</v>
      </c>
      <c r="B53" s="7" t="inlineStr">
        <is>
          <t>NWCF</t>
        </is>
      </c>
      <c r="C53" s="7" t="inlineStr">
        <is>
          <t>Hydrostatic Pressure Vessel</t>
        </is>
      </c>
      <c r="D53" s="7" t="inlineStr">
        <is>
          <t>FY24 Hydrostatic Pressure Vessel - $5,100K (NUWC Newport; Newport, RI) - Procure and integrate a Hydrostatic Pressure Vessel to perform test and evaluation of shipboard systems relative to volume requirements and hydrostatic pressure requirements.</t>
        </is>
      </c>
    </row>
    <row r="54" ht="10" customHeight="1">
      <c r="A54" s="7" t="n">
        <v>1918</v>
      </c>
      <c r="B54" s="7" t="inlineStr">
        <is>
          <t>NWCF</t>
        </is>
      </c>
      <c r="C54" s="7" t="inlineStr">
        <is>
          <t>Payload Integration Modernization for Payload Tube Facility - System</t>
        </is>
      </c>
      <c r="D54" s="7" t="inlineStr">
        <is>
          <t>FY26 Payload Integration Modernization for the Payload Tube Facility - System - $3,810K (NUWC Newport; Newport, RI) - Procure and integrate the Engineering Development Modules to be integrated into the newly constructed Payload Tube Facility.</t>
        </is>
      </c>
    </row>
    <row r="55" ht="10" customHeight="1">
      <c r="A55" s="7" t="n">
        <v>1919</v>
      </c>
      <c r="B55" s="7" t="inlineStr">
        <is>
          <t>NWCF</t>
        </is>
      </c>
      <c r="C55" s="7" t="inlineStr">
        <is>
          <t>Building 1319 Land Based Submarine Radio Room Integration</t>
        </is>
      </c>
      <c r="D55" s="7" t="inlineStr">
        <is>
          <t>FY24 Building 1319 Land Based Submarine Radio Room Integration- $1,362K - (NUWC Newport; Newport, RI) - Perform the construction to unify the classified Land Based Submarine Radio Room laboratories on the 1st floor of Building 1319.</t>
        </is>
      </c>
    </row>
    <row r="56" ht="10" customHeight="1">
      <c r="A56" s="7" t="n">
        <v>1920</v>
      </c>
      <c r="B56" s="7" t="inlineStr">
        <is>
          <t>NWCF</t>
        </is>
      </c>
      <c r="C56" s="7" t="inlineStr">
        <is>
          <t>Submarine Defense Systems Land Based Integration and Test Facility</t>
        </is>
      </c>
      <c r="D56" s="7" t="inlineStr">
        <is>
          <t>FY25 Submarine Defense Systems Land Based Integration and Test Facility - Construction - $4,725K - (NUWC Newport; Newport, RI) - Construct a 1,500 sq. ft. facility.</t>
        </is>
      </c>
    </row>
    <row r="57" ht="10" customHeight="1">
      <c r="A57" s="7" t="n">
        <v>1921</v>
      </c>
      <c r="B57" s="7" t="inlineStr">
        <is>
          <t>NWCF</t>
        </is>
      </c>
      <c r="C57" s="7" t="inlineStr">
        <is>
          <t>Building 13 Heading Sensor Calibration Facility Upgrades</t>
        </is>
      </c>
      <c r="D57" s="7" t="inlineStr">
        <is>
          <t>FY26 Building 13 Heading Sensor Calibration Facility Upgrades - $3600K - (NUWC Newport; Newport, RI) - Construct a heading sensor calibration facility in Building 13 at Naval Station Newport to support towed array module level heading sensor calibration.</t>
        </is>
      </c>
    </row>
    <row r="58" ht="10" customHeight="1">
      <c r="A58" s="7" t="n">
        <v>1922</v>
      </c>
      <c r="B58" s="7" t="inlineStr">
        <is>
          <t>NWCF</t>
        </is>
      </c>
      <c r="C58" s="7" t="inlineStr">
        <is>
          <t>Building 124 Upgrade - Construction</t>
        </is>
      </c>
      <c r="D58" s="7" t="inlineStr">
        <is>
          <t>FY26 Building 124 Upgrade - Construction - $8,500K - (NUWC Newport; Newport, RI) - Construct a laboratory space as part of Building 124 to allow for current and future processing requirements of fleet weapons integration work.</t>
        </is>
      </c>
    </row>
    <row r="59" ht="10" customHeight="1">
      <c r="A59" s="7" t="n">
        <v>1923</v>
      </c>
      <c r="B59" s="7" t="inlineStr">
        <is>
          <t>NWCF</t>
        </is>
      </c>
      <c r="C59" s="7" t="inlineStr">
        <is>
          <t>Deep Depth Test Facility Modernization</t>
        </is>
      </c>
      <c r="D59" s="7" t="inlineStr">
        <is>
          <t>FY25 Deep Depth Test Facility Modernization - Construction - $2,521K - (NUWC Newport; Newport, RI) - Perform the construction to modernize the Deep Depth Test Facility to combat degradation and enhance safety by modernizing the Movable Pressure Vessel.</t>
        </is>
      </c>
    </row>
    <row r="60" ht="10" customHeight="1">
      <c r="A60" s="7" t="n">
        <v>1924</v>
      </c>
      <c r="B60" s="7" t="inlineStr">
        <is>
          <t>NWCF</t>
        </is>
      </c>
      <c r="C60" s="7" t="inlineStr">
        <is>
          <t>Pier 171 Upgrades</t>
        </is>
      </c>
      <c r="D60" s="7" t="inlineStr">
        <is>
          <t>FY25 Pier 171 Upgrades - $5,835K - (NUWC Newport; Newport, RI) - Perform construction on Pier 171 at Division Newport's Stillwater Basin to construct a pier that can support a gross vehicle weight limit of 20,000 pounds.</t>
        </is>
      </c>
    </row>
    <row r="61" ht="10" customHeight="1">
      <c r="A61" s="7" t="n">
        <v>1925</v>
      </c>
      <c r="B61" s="7" t="inlineStr">
        <is>
          <t>NWCF</t>
        </is>
      </c>
      <c r="C61" s="7" t="inlineStr">
        <is>
          <t>UUV/CUUV Support Craft</t>
        </is>
      </c>
      <c r="D61" s="7" t="inlineStr">
        <is>
          <t>FY25 UUV/CUUV Support Craft - $2,500K - (NUWC Keyport; Keyport, WA) - Procure a vessel to support all UUV/CUUV (and additional) projects during range testing.</t>
        </is>
      </c>
    </row>
    <row r="62" ht="10" customHeight="1">
      <c r="A62" s="7" t="n">
        <v>1926</v>
      </c>
      <c r="B62" s="7" t="inlineStr">
        <is>
          <t>NWCF</t>
        </is>
      </c>
      <c r="C62" s="7" t="inlineStr">
        <is>
          <t>Over the Horizon (OTH) Lab Facility - 100% Design</t>
        </is>
      </c>
      <c r="D62" s="7" t="inlineStr">
        <is>
          <t>FY26 Over the Horizon (OTH) Lab Facility - 100% Design- $800K (NSWC Port Hueneme; Port Hueneme, CA) - Current Building 1326 does not have sufficient space and is in disrepair.</t>
        </is>
      </c>
    </row>
    <row r="63" ht="10" customHeight="1">
      <c r="A63" s="7" t="n">
        <v>1927</v>
      </c>
      <c r="B63" s="7" t="inlineStr">
        <is>
          <t>NWCF</t>
        </is>
      </c>
      <c r="C63" s="7" t="inlineStr">
        <is>
          <t>VLS Automated Test Equipment Innovation Facility - 100% Design</t>
        </is>
      </c>
      <c r="D63" s="7" t="inlineStr">
        <is>
          <t>FY26 VLS Automated Test Equipment Innovation Facility - 100% Design- $800K (NSWC Port Hueneme; Port Hueneme, CA) - Current space in Bldg 7 (Rm 1A&amp;7A) isn't viable for operational testing (space flooded) and doesn't support growth of the VLS Automated Test Equipment.</t>
        </is>
      </c>
    </row>
    <row r="64" ht="10" customHeight="1">
      <c r="A64" s="7" t="n">
        <v>1928</v>
      </c>
      <c r="B64" s="7" t="inlineStr">
        <is>
          <t>NWCF</t>
        </is>
      </c>
      <c r="C64" s="7" t="inlineStr">
        <is>
          <t>Maritime Mining Lab</t>
        </is>
      </c>
      <c r="D64" s="7" t="inlineStr">
        <is>
          <t>FY26 Maritime Mining Lab - $4,000K (NSWC Panama City; Panama City, FL) - An 100' X 40' structure with an open first floor high bay including modular rooms, unisex restroom, and lab sinks to the rear.</t>
        </is>
      </c>
    </row>
    <row r="65" ht="10" customHeight="1">
      <c r="A65" s="7" t="n">
        <v>1929</v>
      </c>
      <c r="B65" s="7" t="inlineStr">
        <is>
          <t>NWCF</t>
        </is>
      </c>
      <c r="C65" s="7" t="inlineStr">
        <is>
          <t>Shipboard/Ground Systems Lab Design</t>
        </is>
      </c>
      <c r="D65" s="7" t="inlineStr">
        <is>
          <t>FY26 Shipboard/Ground Systems Lab Design- $1,800K (NSWC Crane; Crane, IN) - This project will provide adequate space for accomplishing the growing workload in Strategic Systems Shipboard and Ground Systems including hardware and cybersecurity aspects.</t>
        </is>
      </c>
    </row>
    <row r="66" ht="10" customHeight="1">
      <c r="A66" s="7" t="n">
        <v>1930</v>
      </c>
      <c r="B66" s="7" t="inlineStr">
        <is>
          <t>NWCF</t>
        </is>
      </c>
      <c r="C66" s="7" t="inlineStr">
        <is>
          <t>MINCON Construct ARD Boathouse #11</t>
        </is>
      </c>
      <c r="D66" s="7" t="inlineStr">
        <is>
          <t>FY26 MINCON Construct ARD Boathouse #11 - $1,500 (NSWC Carderock; Bethesda, MD) - New boathouse construction to replace the existing capability, built in 1942.</t>
        </is>
      </c>
    </row>
    <row r="67" ht="10" customHeight="1">
      <c r="A67" s="7" t="n">
        <v>1931</v>
      </c>
      <c r="B67" s="7" t="inlineStr">
        <is>
          <t>NWCF</t>
        </is>
      </c>
      <c r="C67" s="7" t="inlineStr">
        <is>
          <t>MINCON Construct V-47 Boathouse</t>
        </is>
      </c>
      <c r="D67" s="7" t="inlineStr">
        <is>
          <t>FY26 MINCON Construct V-47 Boathouse - $4,690K (NSWC Carderock; Bethesda, MD) - This MINCON would construct a boat house adjacent to the small boat floating finger piers to provide covered boat slips to allow quick repair and/or load out of craft in severe weather.</t>
        </is>
      </c>
    </row>
    <row r="68" ht="10" customHeight="1">
      <c r="A68" s="7" t="n">
        <v>1938</v>
      </c>
      <c r="B68" s="7" t="inlineStr">
        <is>
          <t>OMN</t>
        </is>
      </c>
      <c r="C68" s="7" t="inlineStr">
        <is>
          <t>Ship Maintenance</t>
        </is>
      </c>
      <c r="D68" s="7" t="inlineStr">
        <is>
          <t>"The total Ship Maintenance program supports 8 Overhauls &amp; 60 maintenance availabilities in FY 2024."</t>
        </is>
      </c>
    </row>
    <row r="69" ht="10" customHeight="1">
      <c r="A69" s="7" t="n">
        <v>1958</v>
      </c>
      <c r="B69" s="7" t="inlineStr">
        <is>
          <t>OMN</t>
        </is>
      </c>
      <c r="C69" s="7" t="inlineStr">
        <is>
          <t>PHNSY - SSN 789 EDSRA / SSN 780 DMP / SSN 761 DSRA</t>
        </is>
      </c>
      <c r="D69" s="7" t="inlineStr">
        <is>
          <t>"Pearl Harbor Naval Shipyard and Intermediate Maintenance Facility (PHNSY and IMF): Program increase in due to increased maintenance and workload at PHNSY &amp; IMF due to induction of USS INDIANA (SSN 789) Extended Docking Selective Restricted Availability (EDSRA), USS MISSOURI (SSN 780) Depot Modernization Period (DMP) and USS SPRINGFIELD (SSN 761) Docking Selective Restricted Availability (DSRA)."</t>
        </is>
      </c>
    </row>
    <row r="70" ht="10" customHeight="1">
      <c r="A70" s="7" t="n">
        <v>1959</v>
      </c>
      <c r="B70" s="7" t="inlineStr">
        <is>
          <t>OMN</t>
        </is>
      </c>
      <c r="C70" s="7" t="inlineStr">
        <is>
          <t>Non-Depot / Intermediate Maintenance (IL) - RMC Support</t>
        </is>
      </c>
      <c r="D70" s="7" t="inlineStr">
        <is>
          <t>"Non-Depot and Intermediate Maintenance (IL): Program increase in non-labor support of fleet maintenance performed at Southeast Regional Maintenance Center (SERMC), Mid-Atlantic Regional Maintenance Center (MARMC), and Forward Deployed Regional Maintenance Center (FDRMC). (Baseline: $1,429,333)"</t>
        </is>
      </c>
    </row>
    <row r="71" ht="10" customHeight="1">
      <c r="A71" s="7" t="n">
        <v>1960</v>
      </c>
      <c r="B71" s="7" t="inlineStr">
        <is>
          <t>OMN</t>
        </is>
      </c>
      <c r="C71" s="7" t="inlineStr">
        <is>
          <t>PSNSY - USS KENTUCKY (SSBN 737) Induction</t>
        </is>
      </c>
      <c r="D71" s="7" t="inlineStr">
        <is>
          <t>"Puget Sound Naval Shipyard and Intermediate Maintenance Facility (PSNSY and IMF): Increase in non-labor costs due to increase maintenance workload at PSNSY for induction of USS KENTUCKY (SSBN 737). (Baseline: $871,165)"</t>
        </is>
      </c>
    </row>
    <row r="72" ht="10" customHeight="1">
      <c r="A72" s="7" t="n">
        <v>1961</v>
      </c>
      <c r="B72" s="7" t="inlineStr">
        <is>
          <t>OMN</t>
        </is>
      </c>
      <c r="C72" s="7" t="inlineStr">
        <is>
          <t>ORATA - Outsourcing to Private Sector</t>
        </is>
      </c>
      <c r="D72" s="7" t="inlineStr">
        <is>
          <t>"Miscellaneous Restricted Technical Availability (RA/TA) (ORATA): Program increase in Outsourcing workload from the Naval Shipyards to the private sector in an effort to increase total capacity to improve submarine readiness. (Baseline: $990,461)"</t>
        </is>
      </c>
    </row>
    <row r="73" ht="10" customHeight="1">
      <c r="A73" s="7" t="n">
        <v>1962</v>
      </c>
      <c r="B73" s="7" t="inlineStr">
        <is>
          <t>OMN</t>
        </is>
      </c>
      <c r="C73" s="7" t="inlineStr">
        <is>
          <t>CIA - CVN 69, CVN 74, CVN 71 Inductions</t>
        </is>
      </c>
      <c r="D73" s="7" t="inlineStr">
        <is>
          <t>"Carrier Incremental Availabilities (CIA): Program increase in private sector CVN maintenance cost due to induction of USS DWIGHT D. EISENHOWER (CVN 69), USS JOHN C. STENNIS (CVN 74) and USS THEODORE ROOSEVELT (CVN"</t>
        </is>
      </c>
    </row>
    <row r="74" ht="10" customHeight="1">
      <c r="A74" s="7" t="n">
        <v>1963</v>
      </c>
      <c r="B74" s="7" t="inlineStr">
        <is>
          <t>OMN</t>
        </is>
      </c>
      <c r="C74" s="7" t="inlineStr">
        <is>
          <t>PHNSY - AUKUS SRF-W Non-Labor Support</t>
        </is>
      </c>
      <c r="D74" s="7" t="inlineStr">
        <is>
          <t>"Pearl Harbor Naval Shipyard and Intermediate Maintenance Facility (PHNSY and IMF): Program increase in non-labor funding to in order to support additional FTEs at PHNSY &amp; IMF for AUKUS-related program support for Submarine Rotational Force - West (SRF-W) to support U.S. operational and repair capability in INDOPACOM. (Baseline: $0)"</t>
        </is>
      </c>
    </row>
    <row r="75" ht="10" customHeight="1">
      <c r="A75" s="7" t="n">
        <v>1964</v>
      </c>
      <c r="B75" s="7" t="inlineStr">
        <is>
          <t>OMN</t>
        </is>
      </c>
      <c r="C75" s="7" t="inlineStr">
        <is>
          <t>SIA - USS ARLEIGH BURKE (DDG 51) / USS RUSHMORE (LSD 47)</t>
        </is>
      </c>
      <c r="D75" s="7" t="inlineStr">
        <is>
          <t>"Surface Incremental Availabilties (SIA): Program increase in private sector DDG maintenance cost due to induction of USS ARLIEGH BURKE (DDG 51) and USS RUSHMORE (LSD 47). (Baseline: $63,660)"</t>
        </is>
      </c>
    </row>
    <row r="76" ht="10" customHeight="1">
      <c r="A76" s="7" t="n">
        <v>1965</v>
      </c>
      <c r="B76" s="7" t="inlineStr">
        <is>
          <t>OMN</t>
        </is>
      </c>
      <c r="C76" s="7" t="inlineStr">
        <is>
          <t>PSNSY - CVN 72 DPIA / CVN 70 PIA / CVN 73 SRA</t>
        </is>
      </c>
      <c r="D76" s="7" t="inlineStr">
        <is>
          <t>"Puget Sound Naval Shipyard and Intermediate Maintenance Facility (PSNSY and IMF): Increase in civilian personnel costs due to increase maintenance workload at PSNSY for induction of USS ABRAHAM LINCOLN (CVN 72) Docking Planned Incremental Availability (DPIA), USS CARL VINSON (CVN 70) Planned Incremental Availability (PIA) and USS GEORGE WASHINGTON (CVN 73) Selective Restricted Availability (SRA)."</t>
        </is>
      </c>
    </row>
    <row r="77" ht="10" customHeight="1">
      <c r="A77" s="7" t="n">
        <v>1966</v>
      </c>
      <c r="B77" s="7" t="inlineStr">
        <is>
          <t>OMN</t>
        </is>
      </c>
      <c r="C77" s="7" t="inlineStr">
        <is>
          <t>PSNSY - USS MICHIGAN (SSGN 727) Complexity</t>
        </is>
      </c>
      <c r="D77" s="7" t="inlineStr">
        <is>
          <t>"Puget Sound Naval Shipyard and Intermediate Maintenance Facility (PSNSY and IMF): Increase in non-labor costs due to increase maintenance workload complexities at PSNSY for USS MICHIGAN (SSGN 727). (Baseline: $871,165)"</t>
        </is>
      </c>
    </row>
    <row r="78" ht="10" customHeight="1">
      <c r="A78" s="7" t="n">
        <v>1967</v>
      </c>
      <c r="B78" s="7" t="inlineStr">
        <is>
          <t>OMN</t>
        </is>
      </c>
      <c r="C78" s="7" t="inlineStr">
        <is>
          <t>PIA - USS GERALD R. FORD (CVN 78)</t>
        </is>
      </c>
      <c r="D78" s="7" t="inlineStr">
        <is>
          <t>"Planned Incremental Availabilities (PIA): Program increase in private sector CVN maintenance cost due to induction of USS GERALD R. FORD (CVN 78). (Baseline: $322,052)"</t>
        </is>
      </c>
    </row>
    <row r="79" ht="10" customHeight="1">
      <c r="A79" s="7" t="n">
        <v>1968</v>
      </c>
      <c r="B79" s="7" t="inlineStr">
        <is>
          <t>OMN</t>
        </is>
      </c>
      <c r="C79" s="7" t="inlineStr">
        <is>
          <t>PHNSY - AUKUS SRF-W Civilian Personnel</t>
        </is>
      </c>
      <c r="D79" s="7" t="inlineStr">
        <is>
          <t>"Pearl Harbor Naval Shipyard and Intermediate Maintenance Facility (PHNSY and IMF): Program increase due to funding additional FTEs at PHNSY &amp; IMF for AUKUS-related program support for Submarine Rotational Force - West (SRF-W) to support U.S. operational and repair capability in INDOPACOM. (Baseline: $0; +147 civilian FTE)"</t>
        </is>
      </c>
    </row>
    <row r="80" ht="10" customHeight="1">
      <c r="A80" s="7" t="n">
        <v>1969</v>
      </c>
      <c r="B80" s="7" t="inlineStr">
        <is>
          <t>OMN</t>
        </is>
      </c>
      <c r="C80" s="7" t="inlineStr">
        <is>
          <t>PNSY - USS NEW MEXICO (SSN 779) DMP</t>
        </is>
      </c>
      <c r="D80" s="7" t="inlineStr">
        <is>
          <t>"Portsmouth Naval Shipyard (PNSY): Program increase due to increase maintenance workload at PNSY for induction of USS NEW MEXICO (SSN 779) Depot Modernization Period (DMP). (Baseline: $1,468,055)"</t>
        </is>
      </c>
    </row>
    <row r="81" ht="10" customHeight="1">
      <c r="A81" s="7" t="n">
        <v>1970</v>
      </c>
      <c r="B81" s="7" t="inlineStr">
        <is>
          <t>OMN</t>
        </is>
      </c>
      <c r="C81" s="7" t="inlineStr">
        <is>
          <t>NNSY - USS GERALD R. FORD (CVN 78) PIA</t>
        </is>
      </c>
      <c r="D81" s="7" t="inlineStr">
        <is>
          <t>"Norfolk Naval Shipyard (NNSY): Program increase in civilian personnel costs due to increase maintenance and workload at NNSY for induction of USS GERALD R. FORD (CVN 78) Planned Incremental Availability (PIA). (Baseline: $1,259,521; +92 civilian FTE)"</t>
        </is>
      </c>
    </row>
    <row r="82" ht="10" customHeight="1">
      <c r="A82" s="7" t="n">
        <v>1971</v>
      </c>
      <c r="B82" s="7" t="inlineStr">
        <is>
          <t>OMN</t>
        </is>
      </c>
      <c r="C82" s="7" t="inlineStr">
        <is>
          <t>PNSY - USS ALBANY (SSN 753) DSRA / USS NEW MEXICO (SSN 779) DMP</t>
        </is>
      </c>
      <c r="D82" s="7" t="inlineStr">
        <is>
          <t>"Portsmouth Naval Shipyard (PNSY): Program increase in civilian personnel costs due to increase maintenance workload at PNSY for induction of USS ALBANY (SSN 753) Docking Selective Restrictive Availability (DSRA) and USS NEW MEXICO (SSN 779) Depot Modernization Period (DMP). (Baseline: $854,614; +84 civilian FTE)"</t>
        </is>
      </c>
    </row>
    <row r="83" ht="10" customHeight="1">
      <c r="A83" s="7" t="n">
        <v>1972</v>
      </c>
      <c r="B83" s="7" t="inlineStr">
        <is>
          <t>OMN</t>
        </is>
      </c>
      <c r="C83" s="7" t="inlineStr">
        <is>
          <t>SRA - USS JOHN F. KENNEDY (CVN 79) Decrease</t>
        </is>
      </c>
      <c r="D83" s="7" t="inlineStr">
        <is>
          <t>"Selective Restricted Availabilities (SRA): Program decrease due to a decrease in requirements for induction of USS JOHN"</t>
        </is>
      </c>
    </row>
    <row r="84" ht="10" customHeight="1">
      <c r="A84" s="7" t="n">
        <v>1973</v>
      </c>
      <c r="B84" s="7" t="inlineStr">
        <is>
          <t>OMN</t>
        </is>
      </c>
      <c r="C84" s="7" t="inlineStr">
        <is>
          <t>Efficiency - Contract Services Reduction</t>
        </is>
      </c>
      <c r="D84" s="7" t="inlineStr">
        <is>
          <t>"Efficiency - Contract Services: Reduces contracts for Advisory and Assistance Services to promote efficiencies and advance the policies of the Administration in alignment with Executive Order 14222, "Implementing the President's Department of Government Efficiency Cost Efficiency Initiative." (Baseline: $11,763,594) -76,395"</t>
        </is>
      </c>
    </row>
    <row r="85" ht="10" customHeight="1">
      <c r="A85" s="7" t="n">
        <v>1974</v>
      </c>
      <c r="B85" s="7" t="inlineStr">
        <is>
          <t>OMN</t>
        </is>
      </c>
      <c r="C85" s="7" t="inlineStr">
        <is>
          <t>Efficiency - Workforce Optimization (Public Shipyards)</t>
        </is>
      </c>
      <c r="D85" s="7" t="inlineStr">
        <is>
          <t>"Efficiency - Workforce Optimization: Reduces civilian personnel full-time equivalents and funding to optimize the workforce in compliance with Executive Order 14210, "Implementing the President's Department of Government Efficiency Workforce Optimization Initiative." (Baseline: $5,061,857; -983 civilian FTE) -207,734 FY 2026 Budget Request"</t>
        </is>
      </c>
    </row>
    <row r="86" ht="10" customHeight="1">
      <c r="A86" s="7" t="n">
        <v>2159</v>
      </c>
      <c r="B86" s="7" t="inlineStr">
        <is>
          <t>OMN</t>
        </is>
      </c>
      <c r="C86" s="7" t="inlineStr">
        <is>
          <t>DDG-1000 Maintenance and Support</t>
        </is>
      </c>
      <c r="D86" s="7" t="inlineStr">
        <is>
          <t>"System Engineering requirements to support planned Pointing &amp; Firing Cutouts. DDG 1000 completing modernization availability in FY25."</t>
        </is>
      </c>
    </row>
    <row r="87" ht="10" customHeight="1">
      <c r="A87" s="7" t="n">
        <v>2163</v>
      </c>
      <c r="B87" s="7" t="inlineStr">
        <is>
          <t>OMN</t>
        </is>
      </c>
      <c r="C87" s="7" t="inlineStr">
        <is>
          <t>Surface &amp; Amphibious Ship Support</t>
        </is>
      </c>
      <c r="D87" s="7" t="inlineStr">
        <is>
          <t>"ISEA support for increased reliability and sustainability; combat system support facilities for LCS testing, integration, and certification. Includes LCS 13-19 in-service retention."</t>
        </is>
      </c>
    </row>
    <row r="88" ht="10" customHeight="1">
      <c r="A88" s="7" t="n">
        <v>2170</v>
      </c>
      <c r="B88" s="7" t="inlineStr">
        <is>
          <t>OMN</t>
        </is>
      </c>
      <c r="C88" s="7" t="inlineStr">
        <is>
          <t>NMP - DDG</t>
        </is>
      </c>
      <c r="D88" s="7" t="inlineStr">
        <is>
          <t>"DDG Modernization planned installations, availability planning, training, waterfront engineering. Ships in execution: DDG 75, DDG 91, DDG 101, DDG 103."</t>
        </is>
      </c>
    </row>
    <row r="89" ht="10" customHeight="1">
      <c r="A89" s="7" t="n">
        <v>2171</v>
      </c>
      <c r="B89" s="7" t="inlineStr">
        <is>
          <t>OMN</t>
        </is>
      </c>
      <c r="C89" s="7" t="inlineStr">
        <is>
          <t>NMP - Amphibious Ships</t>
        </is>
      </c>
      <c r="D89" s="7" t="inlineStr">
        <is>
          <t>"USS IWO JIMA (LHD 7) JSF Modernization shifting to FY2026 from FY25."</t>
        </is>
      </c>
    </row>
    <row r="90" ht="10" customHeight="1">
      <c r="A90" s="7" t="n">
        <v>2173</v>
      </c>
      <c r="B90" s="7" t="inlineStr">
        <is>
          <t>OMN</t>
        </is>
      </c>
      <c r="C90" s="7" t="inlineStr">
        <is>
          <t>NMP - Carriers</t>
        </is>
      </c>
      <c r="D90" s="7" t="inlineStr">
        <is>
          <t>"Dual Band Radar obsolescence and RADAR Suite Drawings on CVN 78. CVN schedule-driven availabilities with Ship Change Documents."</t>
        </is>
      </c>
    </row>
    <row r="91" ht="10" customHeight="1">
      <c r="A91" s="7" t="n">
        <v>2179</v>
      </c>
      <c r="B91" s="7" t="inlineStr">
        <is>
          <t>OMN</t>
        </is>
      </c>
      <c r="C91" s="7" t="inlineStr">
        <is>
          <t>Smart Work/TOC Initiatives</t>
        </is>
      </c>
      <c r="D91" s="7" t="inlineStr">
        <is>
          <t>"LOG IT Modernization requirements supporting digital data transformation."</t>
        </is>
      </c>
    </row>
    <row r="92" ht="10" customHeight="1">
      <c r="A92" s="7" t="n">
        <v>2182</v>
      </c>
      <c r="B92" s="7" t="inlineStr">
        <is>
          <t>OMN</t>
        </is>
      </c>
      <c r="C92" s="7" t="inlineStr">
        <is>
          <t>Barge Operations/Overhauls/Availabilities/Modernization</t>
        </is>
      </c>
      <c r="D92" s="7" t="inlineStr">
        <is>
          <t>"Increase in scope and complexity of barge overhaul contracted availabilities. CLU lease supporting 4 to 6 DDGs forward deployed to Rota, Spain."</t>
        </is>
      </c>
    </row>
    <row r="93" ht="10" customHeight="1">
      <c r="A93" s="7" t="n">
        <v>2185</v>
      </c>
      <c r="B93" s="7" t="inlineStr">
        <is>
          <t>OMN</t>
        </is>
      </c>
      <c r="C93" s="7" t="inlineStr">
        <is>
          <t>NAVSEA Headquarters Civilian Personnel and IT Operations</t>
        </is>
      </c>
      <c r="D93" s="7" t="inlineStr">
        <is>
          <t>"Submarine Industrial Base (SIB) government oversight to achieve 1+2 production cadence. Workforce optimization reducing 228 FTEs."</t>
        </is>
      </c>
    </row>
    <row r="94" ht="10" customHeight="1">
      <c r="A94" s="7" t="n">
        <v>2186</v>
      </c>
      <c r="B94" s="7" t="inlineStr">
        <is>
          <t>OMN</t>
        </is>
      </c>
      <c r="C94" s="7" t="inlineStr">
        <is>
          <t>Ship Prepositioning and Surge</t>
        </is>
      </c>
      <c r="D94" s="7" t="inlineStr">
        <is>
          <t>"Operations and maintenance of Maritime Prepositioning Ships, exercise support, and sealift sustainment."</t>
        </is>
      </c>
    </row>
    <row r="95" ht="10" customHeight="1">
      <c r="A95" s="7" t="n">
        <v>2187</v>
      </c>
      <c r="B95" s="7" t="inlineStr">
        <is>
          <t>OMN</t>
        </is>
      </c>
      <c r="C95" s="7" t="inlineStr">
        <is>
          <t>INLS Electrical/Mechanical/Propulsion Obsolescence</t>
        </is>
      </c>
      <c r="D95" s="7" t="inlineStr">
        <is>
          <t>"Improved Navy Lighterage System electrical/mechanical/propulsion obsolescence management."</t>
        </is>
      </c>
    </row>
    <row r="96" ht="10" customHeight="1">
      <c r="A96" s="7" t="n">
        <v>2192</v>
      </c>
      <c r="B96" s="7" t="inlineStr">
        <is>
          <t>OMN</t>
        </is>
      </c>
      <c r="C96" s="7" t="inlineStr">
        <is>
          <t>LMSR Transfer from MSC/Army (13 vessels)</t>
        </is>
      </c>
      <c r="D96" s="7" t="inlineStr">
        <is>
          <t>"Large Medium Speed Roll-on/Roll-off ships transferred from Army to Navy. Includes $116,930K transfer from O&amp;M Army."</t>
        </is>
      </c>
    </row>
    <row r="97" ht="10" customHeight="1">
      <c r="A97" s="7" t="n">
        <v>2198</v>
      </c>
      <c r="B97" s="7" t="inlineStr">
        <is>
          <t>OMN</t>
        </is>
      </c>
      <c r="C97" s="7" t="inlineStr">
        <is>
          <t>Inactive Ship Maintenance Facility &amp; Operations</t>
        </is>
      </c>
      <c r="D97" s="7" t="inlineStr">
        <is>
          <t>"Inactive Ship Maintenance Facility CIVPERS and facility operations."</t>
        </is>
      </c>
    </row>
    <row r="98" ht="10" customHeight="1">
      <c r="A98" s="7" t="n">
        <v>2199</v>
      </c>
      <c r="B98" s="7" t="inlineStr">
        <is>
          <t>OMN</t>
        </is>
      </c>
      <c r="C98" s="7" t="inlineStr">
        <is>
          <t>USS NIMITZ (CVN 68) - I&amp;D and STOP</t>
        </is>
      </c>
      <c r="D98" s="7" t="inlineStr">
        <is>
          <t>"Inactivation and Defueling (I&amp;D) plus Ships Terminal Offload Plan (STOP) for CVN 68."</t>
        </is>
      </c>
    </row>
    <row r="99" ht="10" customHeight="1">
      <c r="A99" s="7" t="n">
        <v>2209</v>
      </c>
      <c r="B99" s="7" t="inlineStr">
        <is>
          <t>OMN</t>
        </is>
      </c>
      <c r="C99" s="7" t="inlineStr">
        <is>
          <t>Submarine In-Service Engineering Activity (ISEA) Support</t>
        </is>
      </c>
      <c r="D99" s="7" t="inlineStr">
        <is>
          <t>"HM&amp;E maintenance problem resolution support for fleet, shipyards and industrial activities. Submarine maintenance planning management, standards, and material condition assessment."</t>
        </is>
      </c>
    </row>
    <row r="100" ht="10" customHeight="1">
      <c r="A100" s="7" t="n">
        <v>2211</v>
      </c>
      <c r="B100" s="7" t="inlineStr">
        <is>
          <t>OMN</t>
        </is>
      </c>
      <c r="C100" s="7" t="inlineStr">
        <is>
          <t>CVN 78 Class Lifecycle Training for HM&amp;E Systems</t>
        </is>
      </c>
      <c r="D100" s="7" t="inlineStr">
        <is>
          <t>"CVN 78 Class lifecycle training for HM&amp;E systems."</t>
        </is>
      </c>
    </row>
    <row r="101" ht="10" customHeight="1">
      <c r="A101" s="7" t="n">
        <v>2218</v>
      </c>
      <c r="B101" s="7" t="inlineStr">
        <is>
          <t>OMN</t>
        </is>
      </c>
      <c r="C101" s="7" t="inlineStr">
        <is>
          <t>Hull, Mechanical &amp; Electrical Support (NAVSEA)</t>
        </is>
      </c>
      <c r="D101" s="7" t="inlineStr">
        <is>
          <t>"Technical Authority and Systems Engineering for ships and ship systems. Damage Control, Fire Protection programs. Naval Ship Technical Manual maintenance."</t>
        </is>
      </c>
    </row>
    <row r="102" ht="10" customHeight="1">
      <c r="A102" s="7" t="n">
        <v>2220</v>
      </c>
      <c r="B102" s="7" t="inlineStr">
        <is>
          <t>OMN</t>
        </is>
      </c>
      <c r="C102" s="7" t="inlineStr">
        <is>
          <t>Magnetic Silencing In-Service Support</t>
        </is>
      </c>
      <c r="D102" s="7" t="inlineStr">
        <is>
          <t>"Magnetic Silencing In-Service Support for degaussing systems on Navy, Coast Guard, MSC ships."</t>
        </is>
      </c>
    </row>
    <row r="103" ht="10" customHeight="1">
      <c r="A103" s="7" t="n">
        <v>2226</v>
      </c>
      <c r="B103" s="7" t="inlineStr">
        <is>
          <t>OMN</t>
        </is>
      </c>
      <c r="C103" s="7" t="inlineStr">
        <is>
          <t>Amphibious Tactical Support Units (LCAC/LCU)</t>
        </is>
      </c>
      <c r="D103" s="7" t="inlineStr">
        <is>
          <t>"Operations and maintenance for LCAC and LCU in support of ARG operational requirements. Transferred largely to 1B1B/1B4B in FY26."</t>
        </is>
      </c>
    </row>
    <row r="104" ht="10" customHeight="1">
      <c r="A104" s="7" t="n">
        <v>2228</v>
      </c>
      <c r="B104" s="7" t="inlineStr">
        <is>
          <t>OMN</t>
        </is>
      </c>
      <c r="C104" s="7" t="inlineStr">
        <is>
          <t>Diving and Salvage / Underwater Ship Husbandry</t>
        </is>
      </c>
      <c r="D104" s="7" t="inlineStr">
        <is>
          <t>"Navy ship salvage and Underwater Ship Husbandry; Emergency Ship Salvage Material (ESSM) bases; Navy Certification and ISEA support for Fleet diving systems."</t>
        </is>
      </c>
    </row>
    <row r="105" ht="10" customHeight="1">
      <c r="A105" s="7" t="n">
        <v>2231</v>
      </c>
      <c r="B105" s="7" t="inlineStr">
        <is>
          <t>OMN</t>
        </is>
      </c>
      <c r="C105" s="7" t="inlineStr">
        <is>
          <t>Close-In Weapons System (CIWS)</t>
        </is>
      </c>
      <c r="D105" s="7" t="inlineStr">
        <is>
          <t>"CIWS configurations across 11 different ship classes. Full Mission Capable mounts for Red Sea operations."</t>
        </is>
      </c>
    </row>
    <row r="106" ht="10" customHeight="1">
      <c r="A106" s="7" t="n">
        <v>2235</v>
      </c>
      <c r="B106" s="7" t="inlineStr">
        <is>
          <t>OMN</t>
        </is>
      </c>
      <c r="C106" s="7" t="inlineStr">
        <is>
          <t>Submarine Torpedo Systems</t>
        </is>
      </c>
      <c r="D106" s="7" t="inlineStr">
        <is>
          <t>"MK48 Heavyweight Torpedo and Lightweight Torpedo depot maintenance and engineering/logistics."</t>
        </is>
      </c>
    </row>
    <row r="107" ht="10" customHeight="1">
      <c r="A107" s="7" t="n">
        <v>2240</v>
      </c>
      <c r="B107" s="7" t="inlineStr">
        <is>
          <t>OMN</t>
        </is>
      </c>
      <c r="C107" s="7" t="inlineStr">
        <is>
          <t>Surface Ship Torpedo Defense (SSTD) Depot Repair</t>
        </is>
      </c>
      <c r="D107" s="7" t="inlineStr">
        <is>
          <t>"Anti Torpedo Torpedo Defense System (ATTDS) comprised of CAT and TWS."</t>
        </is>
      </c>
    </row>
    <row r="108" ht="10" customHeight="1">
      <c r="A108" s="7" t="n">
        <v>2243</v>
      </c>
      <c r="B108" s="7" t="inlineStr">
        <is>
          <t>OMN</t>
        </is>
      </c>
      <c r="C108" s="7" t="inlineStr">
        <is>
          <t>LCS Mission Modules</t>
        </is>
      </c>
      <c r="D108" s="7" t="inlineStr">
        <is>
          <t>"In-Service Engineering Agent support for LCS mission module maintenance."</t>
        </is>
      </c>
    </row>
    <row r="109" ht="10" customHeight="1">
      <c r="A109" s="7" t="n">
        <v>2245</v>
      </c>
      <c r="B109" s="7" t="inlineStr">
        <is>
          <t>OMN</t>
        </is>
      </c>
      <c r="C109" s="7" t="inlineStr">
        <is>
          <t>Small Unmanned Surface Vehicle (sUSV)</t>
        </is>
      </c>
      <c r="D109" s="7" t="inlineStr">
        <is>
          <t>"Global Autonomous Reconnaissance Craft and Production-Ready, Inexpensive, Maritime Expeditionary sUSV."</t>
        </is>
      </c>
    </row>
    <row r="110" ht="10" customHeight="1">
      <c r="A110" s="7" t="n">
        <v>2246</v>
      </c>
      <c r="B110" s="7" t="inlineStr">
        <is>
          <t>OMN</t>
        </is>
      </c>
      <c r="C110" s="7" t="inlineStr">
        <is>
          <t>Sonar Towed Array Replenishment Spares</t>
        </is>
      </c>
      <c r="D110" s="7" t="inlineStr">
        <is>
          <t>"TB-16 series, TB-23, TB-29 series, TB-34 series towed array spares."</t>
        </is>
      </c>
    </row>
    <row r="111" ht="10" customHeight="1">
      <c r="A111" s="7" t="n">
        <v>2247</v>
      </c>
      <c r="B111" s="7" t="inlineStr">
        <is>
          <t>OMN</t>
        </is>
      </c>
      <c r="C111" s="7" t="inlineStr">
        <is>
          <t>Sustainment, Restoration and Modernization</t>
        </is>
      </c>
      <c r="D111" s="7" t="inlineStr">
        <is>
          <t>"Facility Sustainment, Restoration, and Modernization (FSRM) for shore activities including shipyards. 62,960 facilities."</t>
        </is>
      </c>
    </row>
    <row r="112" ht="10" customHeight="1">
      <c r="A112" s="7" t="n">
        <v>2248</v>
      </c>
      <c r="B112" s="7" t="inlineStr">
        <is>
          <t>OMN</t>
        </is>
      </c>
      <c r="C112" s="7" t="inlineStr">
        <is>
          <t>PSNS Drydock 4 Seismic Repairs</t>
        </is>
      </c>
      <c r="D112" s="7" t="inlineStr">
        <is>
          <t>"Puget Sound Naval Shipyard Drydock 4 seismic repairs - one-time mandatory/reconciliation funding."</t>
        </is>
      </c>
    </row>
    <row r="113" ht="10" customHeight="1">
      <c r="A113" s="7" t="n">
        <v>2654</v>
      </c>
      <c r="B113" s="7" t="inlineStr">
        <is>
          <t>OPN_BA1</t>
        </is>
      </c>
      <c r="C113" s="7" t="inlineStr">
        <is>
          <t>Surface Power Equipment</t>
        </is>
      </c>
      <c r="D113" s="7" t="inlineStr">
        <is>
          <t>Surface Power Equipment budget line provides life-cycle support for the following Marine Gas Turbine systems: The General Electric LM2500 Marine Gas Turbine provides main propulsion for the Navy's surface combatants including the CG 47 TICONDEROGA Class, DDG 51 ARLEIGH BURKE Class, and LCS-2 (Austal) Class.</t>
        </is>
      </c>
    </row>
    <row r="114" ht="10" customHeight="1">
      <c r="A114" s="7" t="n">
        <v>2655</v>
      </c>
      <c r="B114" s="7" t="inlineStr">
        <is>
          <t>OPN_BA1</t>
        </is>
      </c>
      <c r="C114" s="7" t="inlineStr">
        <is>
          <t>Surface Combatant HM&amp;E</t>
        </is>
      </c>
      <c r="D114" s="7" t="inlineStr">
        <is>
          <t>This program allows the Navy to better align and identify Hull, Mechanical &amp; Electrical (HM&amp;E) requirements and shipboard upgrades and equipment. This is in support of the in-service Surface Combatants and Amphibious ships to include Class Common Equipment (CCE) to support shorter Regular Overhauls and Selected Restricted Availabilities.</t>
        </is>
      </c>
    </row>
    <row r="115" ht="10" customHeight="1">
      <c r="A115" s="7" t="n">
        <v>2656</v>
      </c>
      <c r="B115" s="7" t="inlineStr">
        <is>
          <t>OPN_BA1</t>
        </is>
      </c>
      <c r="C115" s="7" t="inlineStr">
        <is>
          <t>Other Navigation Equipment</t>
        </is>
      </c>
      <c r="D115" s="7" t="inlineStr">
        <is>
          <t>This program provides procurement and improvements of navigation equipment to include Inertial Navigation equipment such as gyrocompasses, speed sensors, Electronic Chart Display and Information System (ECDIS) and major components for other navigation systems.</t>
        </is>
      </c>
    </row>
    <row r="116" ht="10" customHeight="1">
      <c r="A116" s="7" t="n">
        <v>2657</v>
      </c>
      <c r="B116" s="7" t="inlineStr">
        <is>
          <t>OPN_BA1</t>
        </is>
      </c>
      <c r="C116" s="7" t="inlineStr">
        <is>
          <t>Sub Periscope Imaging and Supt Equip Prog</t>
        </is>
      </c>
      <c r="D116" s="7" t="inlineStr">
        <is>
          <t>The Submarine Periscope, Imaging, and Support Equipment program provides critical electromagnetic systems to all classes of submarine platforms. This includes Imaging, Electronic Warfare (EW), and RADAR systems which provide navigation safety and collision avoidance.</t>
        </is>
      </c>
    </row>
    <row r="117" ht="10" customHeight="1">
      <c r="A117" s="7" t="n">
        <v>2658</v>
      </c>
      <c r="B117" s="7" t="inlineStr">
        <is>
          <t>OPN_BA1</t>
        </is>
      </c>
      <c r="C117" s="7" t="inlineStr">
        <is>
          <t>DDG Mod</t>
        </is>
      </c>
      <c r="D117" s="7" t="inlineStr">
        <is>
          <t>The DDG Modernization (DDG MOD) Program is required to upgrade the in-service Flight I, II, and IIA DDG-51 Class ships in order to keep the DDG Class relevant and operational. The DDG MOD Program is composed of a series of improvements in both Hull, Mechanical, and Electrical (HM&amp;E) and Combat Systems.</t>
        </is>
      </c>
    </row>
    <row r="118" ht="10" customHeight="1">
      <c r="A118" s="7" t="n">
        <v>2663</v>
      </c>
      <c r="B118" s="7" t="inlineStr">
        <is>
          <t>OPN_BA1</t>
        </is>
      </c>
      <c r="C118" s="7" t="inlineStr">
        <is>
          <t>Firefighting Equipment</t>
        </is>
      </c>
      <c r="D118" s="7" t="inlineStr">
        <is>
          <t>The program procures shipboard firefighting equipment. Equipment is procured based on installation schedules.</t>
        </is>
      </c>
    </row>
    <row r="119" ht="10" customHeight="1">
      <c r="A119" s="7" t="n">
        <v>2664</v>
      </c>
      <c r="B119" s="7" t="inlineStr">
        <is>
          <t>OPN_BA1</t>
        </is>
      </c>
      <c r="C119" s="7" t="inlineStr">
        <is>
          <t>Command and Control Switchboard</t>
        </is>
      </c>
      <c r="D119" s="7" t="inlineStr">
        <is>
          <t>The switchboard program provides mission critical switching capability required to link shipboard combat equipment including weapons, launchers, sensors, computers and navigation equipment. In total, this budget item supports approximately 200 ships and 1,000 pieces of equipment throughout the acquisition life cycle.</t>
        </is>
      </c>
    </row>
    <row r="120" ht="10" customHeight="1">
      <c r="A120" s="7" t="n">
        <v>2665</v>
      </c>
      <c r="B120" s="7" t="inlineStr">
        <is>
          <t>OPN_BA1</t>
        </is>
      </c>
      <c r="C120" s="7" t="inlineStr">
        <is>
          <t>LHA/LHD Midlife</t>
        </is>
      </c>
      <c r="D120" s="7" t="inlineStr">
        <is>
          <t>The Landing Helicopter Assault (LHA) and Landing Helicopter Dock (LHD) Modernization Program is required to upgrade the in-service LHA 6 and LHD 1 Class ships in order to keep the LHA and LHD Class relevant and operational.</t>
        </is>
      </c>
    </row>
    <row r="121" ht="10" customHeight="1">
      <c r="A121" s="7" t="n">
        <v>2666</v>
      </c>
      <c r="B121" s="7" t="inlineStr">
        <is>
          <t>OPN_BA1</t>
        </is>
      </c>
      <c r="C121" s="7" t="inlineStr">
        <is>
          <t>LCC 19/20 Extended Service Life Program</t>
        </is>
      </c>
      <c r="D121" s="7" t="inlineStr">
        <is>
          <t>The FY 2026 budget provides funding for Extended Service Life Program (ESLP) targeted modernization of various Hull, Mechanical and Electrical (HM&amp;E) systems onboard the Amphibious Command Ship (LCC) 19 hull. The major modernization efforts include Ship Service/Emergency Diesel Generator Upgrades (SS/EDG).</t>
        </is>
      </c>
    </row>
    <row r="122" ht="10" customHeight="1">
      <c r="A122" s="7" t="n">
        <v>2667</v>
      </c>
      <c r="B122" s="7" t="inlineStr">
        <is>
          <t>OPN_BA1</t>
        </is>
      </c>
      <c r="C122" s="7" t="inlineStr">
        <is>
          <t>Pollution Control Equipment</t>
        </is>
      </c>
      <c r="D122" s="7" t="inlineStr">
        <is>
          <t>Funds for the PCE Program are used to procure, install, and modernize Navy shipboard environmental equipment, systems, and technologies. The PCE Program ensures that Navy ships comply with applicable legal and statutory requirements governing environmental protection and shipboard discharge requirements.</t>
        </is>
      </c>
    </row>
    <row r="123" ht="10" customHeight="1">
      <c r="A123" s="7" t="n">
        <v>2668</v>
      </c>
      <c r="B123" s="7" t="inlineStr">
        <is>
          <t>OPN_BA1</t>
        </is>
      </c>
      <c r="C123" s="7" t="inlineStr">
        <is>
          <t>Submarine Support Equipment</t>
        </is>
      </c>
      <c r="D123" s="7" t="inlineStr">
        <is>
          <t>This line supports modernization and obsolete equipment replacement for SSNs, recapitalization of militarily critical silencing ranges, modifications and upgrades to weapons launch equipment, upgrades &amp; refurbishment of Submarine Special Operating Forces (SOF) equipment and Dry Deck Shelters (DDS), and the VIRGINIA class Acoustic Superiority Backfit program.</t>
        </is>
      </c>
    </row>
    <row r="124" ht="10" customHeight="1">
      <c r="A124" s="7" t="n">
        <v>2669</v>
      </c>
      <c r="B124" s="7" t="inlineStr">
        <is>
          <t>OPN_BA1</t>
        </is>
      </c>
      <c r="C124" s="7" t="inlineStr">
        <is>
          <t>Virginia Class Support Equipment</t>
        </is>
      </c>
      <c r="D124" s="7" t="inlineStr">
        <is>
          <t>The VIRGINIA Class BLI 0942 provides a wide range of materials required to operate, test, support and maintain the viability of VIRGINIA SSN774 Class Submarines.</t>
        </is>
      </c>
    </row>
    <row r="125" ht="10" customHeight="1">
      <c r="A125" s="7" t="n">
        <v>2670</v>
      </c>
      <c r="B125" s="7" t="inlineStr">
        <is>
          <t>OPN_BA1</t>
        </is>
      </c>
      <c r="C125" s="7" t="inlineStr">
        <is>
          <t>LCS Class Support Equipment</t>
        </is>
      </c>
      <c r="D125" s="7" t="inlineStr">
        <is>
          <t>The FY2026 request supports procurement of multiple, lesser cost LCS Battle Spares. Mitigation of long lead times for repairs through procurements of adequate battle spares using failure data allows for continued progress toward mainstreaming and normalizing LCS platform sustainment.</t>
        </is>
      </c>
    </row>
    <row r="126" ht="10" customHeight="1">
      <c r="A126" s="7" t="n">
        <v>2671</v>
      </c>
      <c r="B126" s="7" t="inlineStr">
        <is>
          <t>OPN_BA1</t>
        </is>
      </c>
      <c r="C126" s="7" t="inlineStr">
        <is>
          <t>Submarine Batteries</t>
        </is>
      </c>
      <c r="D126" s="7" t="inlineStr">
        <is>
          <t>FY 2026 funding supports the procurement of replacement Valve Regulated Lead Acid (VRLA) batteries for LOS ANGELES (5); OHIO (4); SEAWOLF (1); VIRGINIA (11); VA VRLA installation tray (1) and associated production engineering.</t>
        </is>
      </c>
    </row>
    <row r="127" ht="10" customHeight="1">
      <c r="A127" s="7" t="n">
        <v>2672</v>
      </c>
      <c r="B127" s="7" t="inlineStr">
        <is>
          <t>OPN_BA1</t>
        </is>
      </c>
      <c r="C127" s="7" t="inlineStr">
        <is>
          <t>LPD Class Support Equipment</t>
        </is>
      </c>
      <c r="D127" s="7" t="inlineStr">
        <is>
          <t>The FY 2026 request for LPD Class Support Equipment includes $101,042 thousand of discretionary and $24,500 thousand of mandatory (reconciliation). The mandatory funds support AMPHIB modernization, LPD availability procurements and LPD Midlife availabilities.</t>
        </is>
      </c>
    </row>
    <row r="128" ht="10" customHeight="1">
      <c r="A128" s="7" t="n">
        <v>2673</v>
      </c>
      <c r="B128" s="7" t="inlineStr">
        <is>
          <t>OPN_BA1</t>
        </is>
      </c>
      <c r="C128" s="7" t="inlineStr">
        <is>
          <t>DDG 1000 Class Support Equipment</t>
        </is>
      </c>
      <c r="D128" s="7" t="inlineStr">
        <is>
          <t>Combat system computing infrastructure (data centers, network infrastructure &amp; communications devices) is more than a decade old and requires extensive modernization and technology refresh to sustain operations, mitigate obsolescence.</t>
        </is>
      </c>
    </row>
    <row r="129" ht="10" customHeight="1">
      <c r="A129" s="7" t="n">
        <v>2675</v>
      </c>
      <c r="B129" s="7" t="inlineStr">
        <is>
          <t>OPN_BA1</t>
        </is>
      </c>
      <c r="C129" s="7" t="inlineStr">
        <is>
          <t>Strategic Platform Support Equip</t>
        </is>
      </c>
      <c r="D129" s="7" t="inlineStr">
        <is>
          <t>SSBN Strategic Weapon Support Systems (SWSS) program maintains the SWSS surveillance, modernization and obsolescence management program. This line monitors and predicts SWSS obsolescence issues and plans for program modernization to ensure OHIO class submarines continue to meet mission requirements until replaced by the COLUMBIA Class.</t>
        </is>
      </c>
    </row>
    <row r="130" ht="10" customHeight="1">
      <c r="A130" s="7" t="n">
        <v>2676</v>
      </c>
      <c r="B130" s="7" t="inlineStr">
        <is>
          <t>OPN_BA1</t>
        </is>
      </c>
      <c r="C130" s="7" t="inlineStr">
        <is>
          <t>Deep Subm Sys Proj (DSSP) Equip</t>
        </is>
      </c>
      <c r="D130" s="7" t="inlineStr">
        <is>
          <t>FY 2026 funding is to continue the U.S. Submarine Rescue System (SRS) modernization and upgrade. Funding levels required in order to meet fleet wholeness requirements for resiliency related to submarine rescue system critical items, sparing, and operational availability and crucial field changes.</t>
        </is>
      </c>
    </row>
    <row r="131" ht="10" customHeight="1">
      <c r="A131" s="7" t="n">
        <v>2677</v>
      </c>
      <c r="B131" s="7" t="inlineStr">
        <is>
          <t>OPN_BA1</t>
        </is>
      </c>
      <c r="C131" s="7" t="inlineStr">
        <is>
          <t>CG Modernization</t>
        </is>
      </c>
      <c r="D131" s="7" t="inlineStr">
        <is>
          <t>FY 2024 funds in the amount of $30M was requested and provided to complete maintenance and conduct Combat Systems Ship's Qualification Trials (CSSQT) for the USS CHOSIN (CG 65) and USS CAPE ST GEORGE (CG 71).</t>
        </is>
      </c>
    </row>
    <row r="132" ht="10" customHeight="1">
      <c r="A132" s="7" t="n">
        <v>2678</v>
      </c>
      <c r="B132" s="7" t="inlineStr">
        <is>
          <t>OPN_BA1</t>
        </is>
      </c>
      <c r="C132" s="7" t="inlineStr">
        <is>
          <t>LCAC</t>
        </is>
      </c>
      <c r="D132" s="7" t="inlineStr">
        <is>
          <t>The LCAC (Landing Craft, Air Cushion), which consists of both the legacy and LCAC 100 classes of craft, mission is to transport weapons systems, equipment, cargo, and personnel of the assault elements for the Marine Air/Ground Task Force from ship to shore and across the beach. The LCAC sustainment funding is programmed for equipment procurement using OPN to replace selected engines, Personnel Transport Modules and other equipment.</t>
        </is>
      </c>
    </row>
    <row r="133" ht="10" customHeight="1">
      <c r="A133" s="7" t="n">
        <v>2679</v>
      </c>
      <c r="B133" s="7" t="inlineStr">
        <is>
          <t>OPN_BA1</t>
        </is>
      </c>
      <c r="C133" s="7" t="inlineStr">
        <is>
          <t>Underwater EOD Equipment</t>
        </is>
      </c>
      <c r="D133" s="7" t="inlineStr">
        <is>
          <t>Underwater Explosive Ordnance Disposal (EOD) program supplies EOD and maritime expeditionary forces with the necessary allowance outfitting, and diving and diving-related equipment aligned to fulfill assigned missions that includes Expeditionary Mine Countermeasures (ExMCM).</t>
        </is>
      </c>
    </row>
    <row r="134" ht="10" customHeight="1">
      <c r="A134" s="7" t="n">
        <v>2680</v>
      </c>
      <c r="B134" s="7" t="inlineStr">
        <is>
          <t>OPN_BA1</t>
        </is>
      </c>
      <c r="C134" s="7" t="inlineStr">
        <is>
          <t>Items Less Than $5 Million</t>
        </is>
      </c>
      <c r="D134" s="7" t="inlineStr">
        <is>
          <t>This budget provides for "S" cognizance (Shipboard, Hull, Mechanical &amp; Electrical (HM&amp;E) equipment for surface ships and aircraft carriers) which are not in any specific category. This equipment accomplishes program alterations for installation during CNO and Fleet availabilities.</t>
        </is>
      </c>
    </row>
    <row r="135" ht="10" customHeight="1">
      <c r="A135" s="7" t="n">
        <v>2681</v>
      </c>
      <c r="B135" s="7" t="inlineStr">
        <is>
          <t>OPN_BA1</t>
        </is>
      </c>
      <c r="C135" s="7" t="inlineStr">
        <is>
          <t>Chemical Warfare Detectors</t>
        </is>
      </c>
      <c r="D135" s="7" t="inlineStr">
        <is>
          <t>OPNAVINST 3400.10G articulates U.S. Navy Chemical, Biological and Radiological Defense (CBRD) policy and establishes functional responsibilities to ensure the highest level of the Fleet readiness and warfighting sustainability in a CBR environment.</t>
        </is>
      </c>
    </row>
    <row r="136" ht="10" customHeight="1">
      <c r="A136" s="7" t="n">
        <v>2682</v>
      </c>
      <c r="B136" s="7" t="inlineStr">
        <is>
          <t>OPN_BA1</t>
        </is>
      </c>
      <c r="C136" s="7" t="inlineStr">
        <is>
          <t>Ship Maintenance Repair and Modernization</t>
        </is>
      </c>
      <c r="D136" s="7" t="inlineStr">
        <is>
          <t>FY 2026 funds $2.4B for Continental United Status (CONUS) private contracted surface and submarine maintenance in both U.S. Pacific Fleet (CPF) and U.S. Fleet Forces Command (FFC).</t>
        </is>
      </c>
    </row>
    <row r="137" ht="10" customHeight="1">
      <c r="A137" s="7" t="n">
        <v>2686</v>
      </c>
      <c r="B137" s="7" t="inlineStr">
        <is>
          <t>OPN_BA1</t>
        </is>
      </c>
      <c r="C137" s="7" t="inlineStr">
        <is>
          <t>Reactor Components</t>
        </is>
      </c>
      <c r="D137" s="7" t="inlineStr">
        <is>
          <t>This Program funds long lead time nuclear reactor propulsion plant components for planned and emergent installation and reactor plant spares for all operational submarines (SSBN, SSN, and SSGN), aircraft carriers (CVN), moored training ships (MTS) and fleet training equipment. The details of this program are classified CONFIDENTIAL.</t>
        </is>
      </c>
    </row>
    <row r="138" ht="10" customHeight="1">
      <c r="A138" s="7" t="n">
        <v>2687</v>
      </c>
      <c r="B138" s="7" t="inlineStr">
        <is>
          <t>OPN_BA1</t>
        </is>
      </c>
      <c r="C138" s="7" t="inlineStr">
        <is>
          <t>Diving and Salvage Equipment</t>
        </is>
      </c>
      <c r="D138" s="7" t="inlineStr">
        <is>
          <t>The equipment procured from this Diving and Salvage OPN line item provides critical diving and salvage equipment that enables planned/emergent waterborne submarine/ship repairs, salvage and battle damage repair operations, search and recovery to water depths up to 20,000 feet of seawater.</t>
        </is>
      </c>
    </row>
    <row r="139" ht="10" customHeight="1">
      <c r="A139" s="7" t="n">
        <v>2689</v>
      </c>
      <c r="B139" s="7" t="inlineStr">
        <is>
          <t>OPN_BA1</t>
        </is>
      </c>
      <c r="C139" s="7" t="inlineStr">
        <is>
          <t>Standard Boats</t>
        </is>
      </c>
      <c r="D139" s="7" t="inlineStr">
        <is>
          <t>Naval Sea Systems Command (NAVSEA) -- Boats are procured to fill allowances established by CNO and NAVSEA and to replace boats now in service which are beyond economical repair at shore activities and aboard ships.</t>
        </is>
      </c>
    </row>
    <row r="140" ht="10" customHeight="1">
      <c r="A140" s="7" t="n">
        <v>2692</v>
      </c>
      <c r="B140" s="7" t="inlineStr">
        <is>
          <t>OPN_BA1</t>
        </is>
      </c>
      <c r="C140" s="7" t="inlineStr">
        <is>
          <t>Operating Forces IPE</t>
        </is>
      </c>
      <c r="D140" s="7" t="inlineStr">
        <is>
          <t>The Operating Forces Industrial Plant Equipment (IPE) budget provides funding for capital equipment procurement in support of naval shipyards and Fleet I-level maintenance activities. These investments deliver modern, innovative equipment essential for maintaining submarines, aircraft carriers, and surface ships.</t>
        </is>
      </c>
    </row>
    <row r="141" ht="10" customHeight="1">
      <c r="A141" s="7" t="n">
        <v>2693</v>
      </c>
      <c r="B141" s="7" t="inlineStr">
        <is>
          <t>OPN_BA1</t>
        </is>
      </c>
      <c r="C141" s="7" t="inlineStr">
        <is>
          <t>LCS Common Mission Modules Equipment</t>
        </is>
      </c>
      <c r="D141" s="7" t="inlineStr">
        <is>
          <t>Littoral Combat Ship (LCS) focused mission packages provide the operational commander with capabilities to perform Mine Countermeasures (MCM) operations and a Surface Warfare (SUW) detect-to-engage capability to counter small boat threats.</t>
        </is>
      </c>
    </row>
    <row r="142" ht="10" customHeight="1">
      <c r="A142" s="7" t="n">
        <v>2694</v>
      </c>
      <c r="B142" s="7" t="inlineStr">
        <is>
          <t>OPN_BA1</t>
        </is>
      </c>
      <c r="C142" s="7" t="inlineStr">
        <is>
          <t>LCS MCM Mission Modules</t>
        </is>
      </c>
      <c r="D142" s="7" t="inlineStr">
        <is>
          <t>The Littoral Combat Ship (LCS) Mine Countermeasures (MCM) Mission Package (MP) counters bottom, tethered, near surface, and surface mines in the littorals without putting Sailors in the minefield. MCM MP achieved Initial Operational Capability in 31MAR2023.</t>
        </is>
      </c>
    </row>
    <row r="143" ht="10" customHeight="1">
      <c r="A143" s="7" t="n">
        <v>2695</v>
      </c>
      <c r="B143" s="7" t="inlineStr">
        <is>
          <t>OPN_BA1</t>
        </is>
      </c>
      <c r="C143" s="7" t="inlineStr">
        <is>
          <t>LCS SUW Mission Modules</t>
        </is>
      </c>
      <c r="D143" s="7" t="inlineStr">
        <is>
          <t>The Surface Warfare (SUW) Mission Package (MP) increases firepower and offensive/defensive capabilities against large numbers of highly maneuverable, fast, small craft threats, giving Littoral Combat Ships (LCS) the ability to protect the sea lanes.</t>
        </is>
      </c>
    </row>
    <row r="144" ht="10" customHeight="1">
      <c r="A144" s="7" t="n">
        <v>2696</v>
      </c>
      <c r="B144" s="7" t="inlineStr">
        <is>
          <t>OPN_BA1</t>
        </is>
      </c>
      <c r="C144" s="7" t="inlineStr">
        <is>
          <t>LCS In-Service Modernization</t>
        </is>
      </c>
      <c r="D144" s="7" t="inlineStr">
        <is>
          <t>This line provides funding for ship changes and improvements related to mandatory safety, cyber security remediation, habitability, obsolescence, reliability, command and control, and communication modifications to maintain LCS operational availability and achieve ships expected service life. Funding covers planned CNO availabilities and two years of planning costs and long lead time materials (LLTM).</t>
        </is>
      </c>
    </row>
    <row r="145" ht="10" customHeight="1">
      <c r="A145" s="7" t="n">
        <v>2697</v>
      </c>
      <c r="B145" s="7" t="inlineStr">
        <is>
          <t>OPN_BA1</t>
        </is>
      </c>
      <c r="C145" s="7" t="inlineStr">
        <is>
          <t>Small &amp; Medium UUV</t>
        </is>
      </c>
      <c r="D145" s="7" t="inlineStr">
        <is>
          <t>Lionfish and Viperfish are the next generation UUVs that will replace the MK18 Mod 1 and Mod 2 UUVs currently in the fleet. They are the Navy's first cybersecure UUVs, which support mine countermeasures (MCM), Intelligence Preparation of the Operational Environment (IPOE), Subsea and Seabed Warfare (SSW), Naval Special Warfare (NSW) Maritime Homeland Defense (MHLD) and combat salvage.</t>
        </is>
      </c>
    </row>
    <row r="146" ht="10" customHeight="1">
      <c r="A146" s="7" t="n">
        <v>2699</v>
      </c>
      <c r="B146" s="7" t="inlineStr">
        <is>
          <t>OPN_BA1</t>
        </is>
      </c>
      <c r="C146" s="7" t="inlineStr">
        <is>
          <t>LSD Midlife &amp; Modernization</t>
        </is>
      </c>
      <c r="D146" s="7" t="inlineStr">
        <is>
          <t>Modernized LSD 41/49 Class ships transport and launch amphibious craft and vehicles with their crews and embarked personnel in amphibious assault operations.</t>
        </is>
      </c>
    </row>
    <row r="147" ht="10" customHeight="1">
      <c r="A147" s="7" t="n">
        <v>2700</v>
      </c>
      <c r="B147" s="7" t="inlineStr">
        <is>
          <t>OPN_BA2</t>
        </is>
      </c>
      <c r="C147" s="7" t="inlineStr">
        <is>
          <t>Budget Activity 02: Communications and electronics equipment</t>
        </is>
      </c>
      <c r="D147" s="7" t="inlineStr">
        <is>
          <t>OPN BA2 total - roll-up of all BA2 line items</t>
        </is>
      </c>
    </row>
    <row r="148" ht="10" customHeight="1">
      <c r="A148" s="7" t="n">
        <v>2701</v>
      </c>
      <c r="B148" s="7" t="inlineStr">
        <is>
          <t>OPN_BA2</t>
        </is>
      </c>
      <c r="C148" s="7" t="inlineStr">
        <is>
          <t>SPQ-9B Radar</t>
        </is>
      </c>
      <c r="D148" s="7" t="inlineStr">
        <is>
          <t>Beginning in FY26, all funding under LI 2026 has been realigned to LI 2981 - In-Service Radars and Sensors. This program provides for procurement of AN/SPQ-9B radars whose primary mission is to detect and track low flying Anti-Ship Missile targets in heavy clutter.</t>
        </is>
      </c>
    </row>
    <row r="149" ht="10" customHeight="1">
      <c r="A149" s="7" t="n">
        <v>2702</v>
      </c>
      <c r="B149" s="7" t="inlineStr">
        <is>
          <t>OPN_BA2</t>
        </is>
      </c>
      <c r="C149" s="7" t="inlineStr">
        <is>
          <t>1 / BR040 AN/SPQ-9B RADAR FMP EQUIPMENT</t>
        </is>
      </c>
      <c r="D149" s="7" t="inlineStr">
        <is>
          <t>Procures AN/SPQ-9B Radars to add Anti-Ship Missile Defense (ASMD) capability to Shipboard Combat Systems. Procures radars to support combat systems on the following ship classes: CG, LHA, DDG, CVN, LHD, LPD, U.S. Coast Guard National Security Cutter and a Training Unit.</t>
        </is>
      </c>
    </row>
    <row r="150" ht="10" customHeight="1">
      <c r="A150" s="7" t="n">
        <v>2703</v>
      </c>
      <c r="B150" s="7" t="inlineStr">
        <is>
          <t>OPN_BA2</t>
        </is>
      </c>
      <c r="C150" s="7" t="inlineStr">
        <is>
          <t>AN/SQQ-89 Surf ASW Cmbt Sys</t>
        </is>
      </c>
      <c r="D150" s="7" t="inlineStr">
        <is>
          <t>OPN BLI 2136 consists of four separate and distinct programs: the AN/SQQ-89 Surface ASW Combat System program, the Aircraft Carrier Tactical Support Center (CV-TSC) program, the Sonar Dome Rubber Window (SDRW) program, and the Undersea Warfare Decision Support System (USW-DSS) program.</t>
        </is>
      </c>
    </row>
    <row r="151" ht="10" customHeight="1">
      <c r="A151" s="7" t="n">
        <v>2704</v>
      </c>
      <c r="B151" s="7" t="inlineStr">
        <is>
          <t>OPN_BA2</t>
        </is>
      </c>
      <c r="C151" s="7" t="inlineStr">
        <is>
          <t>AN/SQQ-89(V) SURFACE ASW COMBAT SYSTEM</t>
        </is>
      </c>
      <c r="D151" s="7" t="inlineStr">
        <is>
          <t>The AN/SQQ-89(V) Surface Ship ASW Combat System provides integrated Undersea Warfare (USW) combat management, fire control, command and control, and on-board training to enable surface combatants to engage USW targets. Variants are currently in operation on in-service CG47 and DDG51 Class Surface Combatants.</t>
        </is>
      </c>
    </row>
    <row r="152" ht="10" customHeight="1">
      <c r="A152" s="7" t="n">
        <v>2709</v>
      </c>
      <c r="B152" s="7" t="inlineStr">
        <is>
          <t>OPN_BA2</t>
        </is>
      </c>
      <c r="C152" s="7" t="inlineStr">
        <is>
          <t>AN/SQQ-89A(V)15 - TECHNOLOGY INSERTION/REFRESH - BUILD-IN-PLACE</t>
        </is>
      </c>
      <c r="D152" s="7" t="inlineStr">
        <is>
          <t>AN/SQQ-89A(V)15 Build-In-Place Technology Insertion/Refresh upgrade for DDG51 Class platforms.</t>
        </is>
      </c>
    </row>
    <row r="153" ht="10" customHeight="1">
      <c r="A153" s="7" t="n">
        <v>2710</v>
      </c>
      <c r="B153" s="7" t="inlineStr">
        <is>
          <t>OPN_BA2</t>
        </is>
      </c>
      <c r="C153" s="7" t="inlineStr">
        <is>
          <t>SSN Acoustic Equipment</t>
        </is>
      </c>
      <c r="D153" s="7" t="inlineStr">
        <is>
          <t>This program procures submarine systems and equipment for installation on all classes of submarines to maintain clear acoustical, tactical, and operational superiority over submarine and surface combatants through detection, classification, localization, and contact following.</t>
        </is>
      </c>
    </row>
    <row r="154" ht="10" customHeight="1">
      <c r="A154" s="7" t="n">
        <v>2711</v>
      </c>
      <c r="B154" s="7" t="inlineStr">
        <is>
          <t>OPN_BA2</t>
        </is>
      </c>
      <c r="C154" s="7" t="inlineStr">
        <is>
          <t>LWWAA Unit 6512 Tech Refresh</t>
        </is>
      </c>
      <c r="D154" s="7" t="inlineStr">
        <is>
          <t>Funding supports procurement of Light Weight Wide Aperture Array (LWWAA) Unit 6512 receiver hardware for technology refresh for Software and Hardware updates to accommodate shifts in technology to counter obsolescence on Block I/II VIRGINIA Class submarines.</t>
        </is>
      </c>
    </row>
    <row r="155" ht="10" customHeight="1">
      <c r="A155" s="7" t="n">
        <v>2712</v>
      </c>
      <c r="B155" s="7" t="inlineStr">
        <is>
          <t>OPN_BA2</t>
        </is>
      </c>
      <c r="C155" s="7" t="inlineStr">
        <is>
          <t>SSBN Legacy Interface Hardware</t>
        </is>
      </c>
      <c r="D155" s="7" t="inlineStr">
        <is>
          <t>Funding supports procurement of hardware to accommodate increased power requirements of SSBN modernization equipment.</t>
        </is>
      </c>
    </row>
    <row r="156" ht="10" customHeight="1">
      <c r="A156" s="7" t="n">
        <v>2713</v>
      </c>
      <c r="B156" s="7" t="inlineStr">
        <is>
          <t>OPN_BA2</t>
        </is>
      </c>
      <c r="C156" s="7" t="inlineStr">
        <is>
          <t>Low Cost Conformal Array (LCCA)</t>
        </is>
      </c>
      <c r="D156" s="7" t="inlineStr">
        <is>
          <t>Procurement of Low Cost Conformal Array (LCCA) to provide enhanced situational awareness and collision avoidance capability.</t>
        </is>
      </c>
    </row>
    <row r="157" ht="10" customHeight="1">
      <c r="A157" s="7" t="n">
        <v>2714</v>
      </c>
      <c r="B157" s="7" t="inlineStr">
        <is>
          <t>OPN_BA2</t>
        </is>
      </c>
      <c r="C157" s="7" t="inlineStr">
        <is>
          <t>High Frequency Sail Array (HFSA)</t>
        </is>
      </c>
      <c r="D157" s="7" t="inlineStr">
        <is>
          <t>The High Frequency Sail Array (HFSA) provides high frequency active and passive capability supporting Anti-Submarine Warfare (ASW) and Anti-Surface Warfare (ASUW) for SSNs, and contact avoidance for SSNs and SSBNs.</t>
        </is>
      </c>
    </row>
    <row r="158" ht="10" customHeight="1">
      <c r="A158" s="7" t="n">
        <v>2715</v>
      </c>
      <c r="B158" s="7" t="inlineStr">
        <is>
          <t>OPN_BA2</t>
        </is>
      </c>
      <c r="C158" s="7" t="inlineStr">
        <is>
          <t>Large Vertical Array (LVA) - OHIO Class</t>
        </is>
      </c>
      <c r="D158" s="7" t="inlineStr">
        <is>
          <t>The Large Vertical Array (LVA) provides improved detection and enhanced tactical situational awareness capability for tracking targets of interest, and supports acoustic superiority objectives for OHIO class submarines.</t>
        </is>
      </c>
    </row>
    <row r="159" ht="10" customHeight="1">
      <c r="A159" s="7" t="n">
        <v>2716</v>
      </c>
      <c r="B159" s="7" t="inlineStr">
        <is>
          <t>OPN_BA2</t>
        </is>
      </c>
      <c r="C159" s="7" t="inlineStr">
        <is>
          <t>Large Vertical Array (LVA) - VIRGINIA Class</t>
        </is>
      </c>
      <c r="D159" s="7" t="inlineStr">
        <is>
          <t>Procurement of the VIRGINIA Class Large Vertical Array (LVA) provides improved detection and enhanced tactical situational awareness capability for tracking targets of interest, and supports acoustic superiority objectives for the VIRGINIA class submarines.</t>
        </is>
      </c>
    </row>
    <row r="160" ht="10" customHeight="1">
      <c r="A160" s="7" t="n">
        <v>2717</v>
      </c>
      <c r="B160" s="7" t="inlineStr">
        <is>
          <t>OPN_BA2</t>
        </is>
      </c>
      <c r="C160" s="7" t="inlineStr">
        <is>
          <t>A-RCI Tech Insertion - Los Angeles Class</t>
        </is>
      </c>
      <c r="D160" s="7" t="inlineStr">
        <is>
          <t>Provides technology insertion upgrade kits to previously installed A-RCI systems, providing the latest and most current capability and includes tech insertion to Legacy Replacement components on Los Angeles Class submarines.</t>
        </is>
      </c>
    </row>
    <row r="161" ht="10" customHeight="1">
      <c r="A161" s="7" t="n">
        <v>2718</v>
      </c>
      <c r="B161" s="7" t="inlineStr">
        <is>
          <t>OPN_BA2</t>
        </is>
      </c>
      <c r="C161" s="7" t="inlineStr">
        <is>
          <t>A-RCI Tech Insertion - Seawolf Class</t>
        </is>
      </c>
      <c r="D161" s="7" t="inlineStr">
        <is>
          <t>Provides technology insertion upgrade kits to previously installed A-RCI systems, providing the latest and most current capability and includes tech insertion to Legacy Replacement components on Seawolf Class submarines.</t>
        </is>
      </c>
    </row>
    <row r="162" ht="10" customHeight="1">
      <c r="A162" s="7" t="n">
        <v>2719</v>
      </c>
      <c r="B162" s="7" t="inlineStr">
        <is>
          <t>OPN_BA2</t>
        </is>
      </c>
      <c r="C162" s="7" t="inlineStr">
        <is>
          <t>A-RCI Tech Insertion - Virginia Class (BLK I-IV)</t>
        </is>
      </c>
      <c r="D162" s="7" t="inlineStr">
        <is>
          <t>Provides technology insertion upgrade kits to previously A-RCI installed systems on the VA Class Blocks I-III, providing the latest and most current capability.</t>
        </is>
      </c>
    </row>
    <row r="163" ht="10" customHeight="1">
      <c r="A163" s="7" t="n">
        <v>2720</v>
      </c>
      <c r="B163" s="7" t="inlineStr">
        <is>
          <t>OPN_BA2</t>
        </is>
      </c>
      <c r="C163" s="7" t="inlineStr">
        <is>
          <t>SSBN Technical Insertion Conversion (OHIO)</t>
        </is>
      </c>
      <c r="D163" s="7" t="inlineStr">
        <is>
          <t>Provides sonar modernization to the SSBN (TRIDENT) Class Submarine Fleet.</t>
        </is>
      </c>
    </row>
    <row r="164" ht="10" customHeight="1">
      <c r="A164" s="7" t="n">
        <v>2721</v>
      </c>
      <c r="B164" s="7" t="inlineStr">
        <is>
          <t>OPN_BA2</t>
        </is>
      </c>
      <c r="C164" s="7" t="inlineStr">
        <is>
          <t>CRAW MK 58 Torpedo Integration Kits</t>
        </is>
      </c>
      <c r="D164" s="7" t="inlineStr">
        <is>
          <t>This line item procures the required integration kits and other required submarine support equipment for the Compact Rapid Attack Weapon (CRAW) MK 58 torpedo. The MK 58 torpedo provides enhanced ASW and Anti-Torpedo Torpedo (ATT) mission capabilities to the submarine Force.</t>
        </is>
      </c>
    </row>
    <row r="165" ht="10" customHeight="1">
      <c r="A165" s="7" t="n">
        <v>2722</v>
      </c>
      <c r="B165" s="7" t="inlineStr">
        <is>
          <t>OPN_BA2</t>
        </is>
      </c>
      <c r="C165" s="7" t="inlineStr">
        <is>
          <t>Undersea Warfare Support Equipment</t>
        </is>
      </c>
      <c r="D165" s="7" t="inlineStr">
        <is>
          <t>NOTE: Effective FY 2026, all funding and programs within OPN BLI 2176 moved into OPN BLI 2136 in support of the PE/BLI consolidation initiative prescribed within the DoD Implementation Plan from the Commission on PPBE Reform Final Report.</t>
        </is>
      </c>
    </row>
    <row r="166" ht="10" customHeight="1">
      <c r="A166" s="7" t="n">
        <v>2723</v>
      </c>
      <c r="B166" s="7" t="inlineStr">
        <is>
          <t>OPN_BA2</t>
        </is>
      </c>
      <c r="C166" s="7" t="inlineStr">
        <is>
          <t>Submarine Acoustic Warfare System</t>
        </is>
      </c>
      <c r="D166" s="7" t="inlineStr">
        <is>
          <t>The Submarine Acoustic Warfare System (SAWS) program provides submarines with expendable defensive countermeasures and the systems necessary to externally launch against torpedo and acoustic sensor threats.</t>
        </is>
      </c>
    </row>
    <row r="167" ht="10" customHeight="1">
      <c r="A167" s="7" t="n">
        <v>2724</v>
      </c>
      <c r="B167" s="7" t="inlineStr">
        <is>
          <t>OPN_BA2</t>
        </is>
      </c>
      <c r="C167" s="7" t="inlineStr">
        <is>
          <t>Surface Ship Torpedo Def (SSTD)</t>
        </is>
      </c>
      <c r="D167" s="7" t="inlineStr">
        <is>
          <t>Surface Ship Torpedo Defense (SSTD) provides a layered torpedo defense to protect surface ships against current and future threats. Sustains deployed systems including the towed AN/SLQ-25A/C (NIXIE) countermeasure. Modernizes NIXIE to the AN/SLQ-25E variant.</t>
        </is>
      </c>
    </row>
    <row r="168" ht="10" customHeight="1">
      <c r="A168" s="7" t="n">
        <v>2725</v>
      </c>
      <c r="B168" s="7" t="inlineStr">
        <is>
          <t>OPN_BA2</t>
        </is>
      </c>
      <c r="C168" s="7" t="inlineStr">
        <is>
          <t>Fixed Surveillance System</t>
        </is>
      </c>
      <c r="D168" s="7" t="inlineStr">
        <is>
          <t>The details of this budget justification are classified, per Executive Order 13526.</t>
        </is>
      </c>
    </row>
    <row r="169" ht="10" customHeight="1">
      <c r="A169" s="7" t="n">
        <v>2726</v>
      </c>
      <c r="B169" s="7" t="inlineStr">
        <is>
          <t>OPN_BA2</t>
        </is>
      </c>
      <c r="C169" s="7" t="inlineStr">
        <is>
          <t>SURTASS</t>
        </is>
      </c>
      <c r="D169" s="7" t="inlineStr">
        <is>
          <t>Surveillance Towed Array Sensor System (SURTASS) is the mobile, tactical, and strategic arm of the Navy's undersea surveillance capability that provides deep ocean and littoral acoustic detection and cueing for tactical weapon platforms against diesel and nuclear submarines.</t>
        </is>
      </c>
    </row>
    <row r="170" ht="10" customHeight="1">
      <c r="A170" s="7" t="n">
        <v>2728</v>
      </c>
      <c r="B170" s="7" t="inlineStr">
        <is>
          <t>OPN_BA2</t>
        </is>
      </c>
      <c r="C170" s="7" t="inlineStr">
        <is>
          <t>TL-29A Twinline</t>
        </is>
      </c>
      <c r="D170" s="7" t="inlineStr">
        <is>
          <t>The TL-29A Twinline is a shallow water variant of the common array produced by NAVSEA. The array consists of two shorter array lengths and array support equipment, and is designed for increased surveillance capability in high clutter environments and littoral areas.</t>
        </is>
      </c>
    </row>
    <row r="171" ht="10" customHeight="1">
      <c r="A171" s="7" t="n">
        <v>2729</v>
      </c>
      <c r="B171" s="7" t="inlineStr">
        <is>
          <t>OPN_BA2</t>
        </is>
      </c>
      <c r="C171" s="7" t="inlineStr">
        <is>
          <t>Japanese Auxiliary Oceanographic Surveillance (J-AOS)</t>
        </is>
      </c>
      <c r="D171" s="7" t="inlineStr">
        <is>
          <t>P-3A breaks out specific U.S. requirements of cost sharing for Japanese Auxiliary Oceanographic Surveillance (J-AOS) ships and shore sites.</t>
        </is>
      </c>
    </row>
    <row r="172" ht="10" customHeight="1">
      <c r="A172" s="7" t="n">
        <v>2730</v>
      </c>
      <c r="B172" s="7" t="inlineStr">
        <is>
          <t>OPN_BA2</t>
        </is>
      </c>
      <c r="C172" s="7" t="inlineStr">
        <is>
          <t>AN/SLQ-32</t>
        </is>
      </c>
      <c r="D172" s="7" t="inlineStr">
        <is>
          <t>Surface Electronic Warfare (EW) Improvement Program (SEWIP) will develop a modern, highly capable family of EW systems by block upgrade of the current AN/SLQ-32 system that is robust in detecting and countering current and future threats.</t>
        </is>
      </c>
    </row>
    <row r="173" ht="10" customHeight="1">
      <c r="A173" s="7" t="n">
        <v>2732</v>
      </c>
      <c r="B173" s="7" t="inlineStr">
        <is>
          <t>OPN_BA2</t>
        </is>
      </c>
      <c r="C173" s="7" t="inlineStr">
        <is>
          <t>SEWIP Block 1B3 - High Gain High Sensitivity (HGHS)</t>
        </is>
      </c>
      <c r="D173" s="7" t="inlineStr">
        <is>
          <t>High Gain High Sensitivity (HGHS) Adjunct Sensor is a critical improvement for threat correlation, situational awareness, and extending the battle space. The SEWIP Block 1B3 and Block 2 units are installed conjunctively to compose the AN/SLQ-32(V)6 system.</t>
        </is>
      </c>
    </row>
    <row r="174" ht="10" customHeight="1">
      <c r="A174" s="7" t="n">
        <v>2733</v>
      </c>
      <c r="B174" s="7" t="inlineStr">
        <is>
          <t>OPN_BA2</t>
        </is>
      </c>
      <c r="C174" s="7" t="inlineStr">
        <is>
          <t>SEWIP Block 2 - Electronic Support (ES) System</t>
        </is>
      </c>
      <c r="D174" s="7" t="inlineStr">
        <is>
          <t>SEWIP Block 2 provides AN/SLQ-32(V) an upgraded antenna, receiver, and combat systems interface. The upgrades will pace the evolving threat, improve detection and accuracy and mitigate EMI.</t>
        </is>
      </c>
    </row>
    <row r="175" ht="10" customHeight="1">
      <c r="A175" s="7" t="n">
        <v>2734</v>
      </c>
      <c r="B175" s="7" t="inlineStr">
        <is>
          <t>OPN_BA2</t>
        </is>
      </c>
      <c r="C175" s="7" t="inlineStr">
        <is>
          <t>SEWIP Block 3 - Electronic Attack (EA)</t>
        </is>
      </c>
      <c r="D175" s="7" t="inlineStr">
        <is>
          <t>Block 3 provides an Electronic Attack (EA) capability improvement required for the AN/SLQ-32(V) system to keep pace with the evolving threat. The program provides a common EA capability to surface ships (CVN, DDG, and LHD).</t>
        </is>
      </c>
    </row>
    <row r="176" ht="10" customHeight="1">
      <c r="A176" s="7" t="n">
        <v>2736</v>
      </c>
      <c r="B176" s="7" t="inlineStr">
        <is>
          <t>OPN_BA2</t>
        </is>
      </c>
      <c r="C176" s="7" t="inlineStr">
        <is>
          <t>Shipboard IW Exploit</t>
        </is>
      </c>
      <c r="D176" s="7" t="inlineStr">
        <is>
          <t>Funding for LI 3501 Cryptologic Carry-On Program (CCOP) has been realigned into LI 2360 Shipboard Information Warfare (IW) starting in FY 2026. This effort consolidates existing PEs/BLIs to group technology projects to allow flexibility.</t>
        </is>
      </c>
    </row>
    <row r="177" ht="10" customHeight="1">
      <c r="A177" s="7" t="n">
        <v>2741</v>
      </c>
      <c r="B177" s="7" t="inlineStr">
        <is>
          <t>OPN_BA2</t>
        </is>
      </c>
      <c r="C177" s="7" t="inlineStr">
        <is>
          <t>Automatic Identification System (AIS) / Maritime Battlespace Awareness</t>
        </is>
      </c>
      <c r="D177" s="7" t="inlineStr">
        <is>
          <t>Funding for LI 2900 Maritime Integrated Broadcast System (MIBS) has been realigned into LI 2361 starting in FY 2026. This effort consolidates existing PEs/BLIs to group technology projects.</t>
        </is>
      </c>
    </row>
    <row r="178" ht="10" customHeight="1">
      <c r="A178" s="7" t="n">
        <v>2742</v>
      </c>
      <c r="B178" s="7" t="inlineStr">
        <is>
          <t>OPN_BA2</t>
        </is>
      </c>
      <c r="C178" s="7" t="inlineStr">
        <is>
          <t>Cooperative Engagement Capability</t>
        </is>
      </c>
      <c r="D178" s="7" t="inlineStr">
        <is>
          <t>CEC significantly improves Battle Force Anti-Air Warfare (AAW) capability by coordinating all Battle Force AAW sensors into a single, real-time, composite track picture capable of fire control quality.</t>
        </is>
      </c>
    </row>
    <row r="179" ht="10" customHeight="1">
      <c r="A179" s="7" t="n">
        <v>2743</v>
      </c>
      <c r="B179" s="7" t="inlineStr">
        <is>
          <t>OPN_BA2</t>
        </is>
      </c>
      <c r="C179" s="7" t="inlineStr">
        <is>
          <t>Naval Tactical Command Support System (NTCSS)</t>
        </is>
      </c>
      <c r="D179" s="7" t="inlineStr">
        <is>
          <t>NTCSS is the logistics information system which enables combat lethality by generating and sustaining Navy and Marine Corps force maintenance and logistics readiness for operational commanders afloat and ashore.</t>
        </is>
      </c>
    </row>
    <row r="180" ht="10" customHeight="1">
      <c r="A180" s="7" t="n">
        <v>2744</v>
      </c>
      <c r="B180" s="7" t="inlineStr">
        <is>
          <t>OPN_BA2</t>
        </is>
      </c>
      <c r="C180" s="7" t="inlineStr">
        <is>
          <t>Advanced Tactical Data Link Systems (ATDLS)</t>
        </is>
      </c>
      <c r="D180" s="7" t="inlineStr">
        <is>
          <t>ATDLS is the United States Navy's only ship-to-ship/ship-to-aircraft tactical information solution equipping warfighters and Combatant Commanders with real-time battlespace data and extending the range of lethality. ATDLS is the backbone of Carrier Strike Group and AEGIS-Based Defense operations.</t>
        </is>
      </c>
    </row>
    <row r="181" ht="10" customHeight="1">
      <c r="A181" s="7" t="n">
        <v>2745</v>
      </c>
      <c r="B181" s="7" t="inlineStr">
        <is>
          <t>OPN_BA2</t>
        </is>
      </c>
      <c r="C181" s="7" t="inlineStr">
        <is>
          <t>Navy Command and Control System (NCCS)</t>
        </is>
      </c>
      <c r="D181" s="7" t="inlineStr">
        <is>
          <t>Includes Global Command and Control System-Maritime (GCCS-M), the Navy fielded portions of GCCS-Joint, and Joint Automated Deep Operations Coordination System (JADOCS).</t>
        </is>
      </c>
    </row>
    <row r="182" ht="10" customHeight="1">
      <c r="A182" s="7" t="n">
        <v>2746</v>
      </c>
      <c r="B182" s="7" t="inlineStr">
        <is>
          <t>OPN_BA2</t>
        </is>
      </c>
      <c r="C182" s="7" t="inlineStr">
        <is>
          <t>Minesweeping System Replacement</t>
        </is>
      </c>
      <c r="D182" s="7" t="inlineStr">
        <is>
          <t>Magnetic Silencing Facility Upgrades support hardware, auxiliary systems, and support in association with the upgrade of current aging or new installation of CONUS and OCONUS Magnetic Silencing Facilities for calibration of new Open-Loop Magnetic Systems or Advanced Degaussing System ships and submarines.</t>
        </is>
      </c>
    </row>
    <row r="183" ht="10" customHeight="1">
      <c r="A183" s="7" t="n">
        <v>2747</v>
      </c>
      <c r="B183" s="7" t="inlineStr">
        <is>
          <t>OPN_BA2</t>
        </is>
      </c>
      <c r="C183" s="7" t="inlineStr">
        <is>
          <t>NAVSTAR GPS Receivers (Space)</t>
        </is>
      </c>
      <c r="D183" s="7" t="inlineStr">
        <is>
          <t>NAVSTAR GPS provides assured and protected navigation solutions to Warfighters through supported, affordable, and integrated systems, and is the primary source of positioning, navigation and timing information for the Department of Defense.</t>
        </is>
      </c>
    </row>
    <row r="184" ht="10" customHeight="1">
      <c r="A184" s="7" t="n">
        <v>2748</v>
      </c>
      <c r="B184" s="7" t="inlineStr">
        <is>
          <t>OPN_BA2</t>
        </is>
      </c>
      <c r="C184" s="7" t="inlineStr">
        <is>
          <t>American Forces Radio and TV Service (AFRTS)</t>
        </is>
      </c>
      <c r="D184" s="7" t="inlineStr">
        <is>
          <t>AFRTS shipboard systems provide command information to deployed Sailors and Marines and allow for the distribution of AFRTS programming. The systems contribute significantly to the habitability of Navy ships.</t>
        </is>
      </c>
    </row>
    <row r="185" ht="10" customHeight="1">
      <c r="A185" s="7" t="n">
        <v>2749</v>
      </c>
      <c r="B185" s="7" t="inlineStr">
        <is>
          <t>OPN_BA2</t>
        </is>
      </c>
      <c r="C185" s="7" t="inlineStr">
        <is>
          <t>Strategic Platform Support Equip</t>
        </is>
      </c>
      <c r="D185" s="7" t="inlineStr">
        <is>
          <t>Funding in this P-1 line provides Non-Propulsion Electronics equipment that will be installed aboard TRIDENT Class submarines as part of the Obsolete Equipment Replacement (OER) Program. Beginning in FY25, all requirements are aligned under 0950.</t>
        </is>
      </c>
    </row>
    <row r="186" ht="10" customHeight="1">
      <c r="A186" s="7" t="n">
        <v>2750</v>
      </c>
      <c r="B186" s="7" t="inlineStr">
        <is>
          <t>OPN_BA2</t>
        </is>
      </c>
      <c r="C186" s="7" t="inlineStr">
        <is>
          <t>Ashore ATC Equipment</t>
        </is>
      </c>
      <c r="D186" s="7" t="inlineStr">
        <is>
          <t>Marine Air Traffic Control and Landing Systems (MATCALS) and DoD Advanced Automation System (DAAS) and other shore-based ATC equipment. Includes ATNAVICS, TACAN replacements, and FAA NextGen compliance systems.</t>
        </is>
      </c>
    </row>
    <row r="187" ht="10" customHeight="1">
      <c r="A187" s="7" t="n">
        <v>2751</v>
      </c>
      <c r="B187" s="7" t="inlineStr">
        <is>
          <t>OPN_BA2</t>
        </is>
      </c>
      <c r="C187" s="7" t="inlineStr">
        <is>
          <t>Afloat ATC Equipment</t>
        </is>
      </c>
      <c r="D187" s="7" t="inlineStr">
        <is>
          <t>Shipboard Air Traffic Control (SATC) and Automatic Carrier Landing System (ACLS). Includes Shipboard Air Traffic Radar (SATR) AN/SPN-50(V) and AN/SPN-35/41/46 modifications.</t>
        </is>
      </c>
    </row>
    <row r="188" ht="10" customHeight="1">
      <c r="A188" s="7" t="n">
        <v>2754</v>
      </c>
      <c r="B188" s="7" t="inlineStr">
        <is>
          <t>OPN_BA2</t>
        </is>
      </c>
      <c r="C188" s="7" t="inlineStr">
        <is>
          <t>ID Systems</t>
        </is>
      </c>
      <c r="D188" s="7" t="inlineStr">
        <is>
          <t>The Identification Systems program funds procurements and ECPs to address obsolescence for Mark XII / Mark XIIA systems including AN/UPX-37, AN/UPX-41, AN/UPX-45 and AN/UPX-50 Digital Interrogators, AN/APX-118 and AN/APX-123 Common Digital Transponders.</t>
        </is>
      </c>
    </row>
    <row r="189" ht="10" customHeight="1">
      <c r="A189" s="7" t="n">
        <v>2755</v>
      </c>
      <c r="B189" s="7" t="inlineStr">
        <is>
          <t>OPN_BA2</t>
        </is>
      </c>
      <c r="C189" s="7" t="inlineStr">
        <is>
          <t>Mark XIIA Mode 5</t>
        </is>
      </c>
      <c r="D189" s="7" t="inlineStr">
        <is>
          <t>Mark XIIA Mode 5 provides improved secure cooperative combat identification throughout IFF. Mode 5 is a product improvement installed via engineering changes to digital MarkXII interrogators and transponders.</t>
        </is>
      </c>
    </row>
    <row r="190" ht="10" customHeight="1">
      <c r="A190" s="7" t="n">
        <v>2757</v>
      </c>
      <c r="B190" s="7" t="inlineStr">
        <is>
          <t>OPN_BA2</t>
        </is>
      </c>
      <c r="C190" s="7" t="inlineStr">
        <is>
          <t>DDG 1000 Zumwalt Class IFF Sensor Suite</t>
        </is>
      </c>
      <c r="D190" s="7" t="inlineStr">
        <is>
          <t>Modernization of the DDG 1000 Zumwalt Class IFF Sensor Suite includes product improvement and engineering changes for a three panel electronically scanned array (ESA) antenna.</t>
        </is>
      </c>
    </row>
    <row r="191" ht="10" customHeight="1">
      <c r="A191" s="7" t="n">
        <v>2758</v>
      </c>
      <c r="B191" s="7" t="inlineStr">
        <is>
          <t>OPN_BA2</t>
        </is>
      </c>
      <c r="C191" s="7" t="inlineStr">
        <is>
          <t>Joint Precision Approach and Landing System (JPALS)</t>
        </is>
      </c>
      <c r="D191" s="7" t="inlineStr">
        <is>
          <t>JPALS is the primary precision approach and landing system for CVN and LHA/D ships to support aircraft without SPN-46 ACLS capability, including F-35B, F-35C, MQ-25, CVM-22 and future platforms.</t>
        </is>
      </c>
    </row>
    <row r="192" ht="10" customHeight="1">
      <c r="A192" s="7" t="n">
        <v>2759</v>
      </c>
      <c r="B192" s="7" t="inlineStr">
        <is>
          <t>OPN_BA2</t>
        </is>
      </c>
      <c r="C192" s="7" t="inlineStr">
        <is>
          <t>Naval Mission Planning Systems</t>
        </is>
      </c>
      <c r="D192" s="7" t="inlineStr">
        <is>
          <t>This line item provides funding to procure Mission Planning workstations and associated Support Equipment for the NavMPS family of systems including JMPS-M, CMPC, JMPS-E, Electronic Kneeboard (EKB), and CMBRE.</t>
        </is>
      </c>
    </row>
    <row r="193" ht="10" customHeight="1">
      <c r="A193" s="7" t="n">
        <v>2760</v>
      </c>
      <c r="B193" s="7" t="inlineStr">
        <is>
          <t>OPN_BA2</t>
        </is>
      </c>
      <c r="C193" s="7" t="inlineStr">
        <is>
          <t>Maritime Integrated Broadcast System</t>
        </is>
      </c>
      <c r="D193" s="7" t="inlineStr">
        <is>
          <t>Funding for Maritime Integrated Broadcast System (MIBS) has been realigned out of LI 2900 into LI 2361 starting in FY 2026.</t>
        </is>
      </c>
    </row>
    <row r="194" ht="10" customHeight="1">
      <c r="A194" s="7" t="n">
        <v>2761</v>
      </c>
      <c r="B194" s="7" t="inlineStr">
        <is>
          <t>OPN_BA2</t>
        </is>
      </c>
      <c r="C194" s="7" t="inlineStr">
        <is>
          <t>Tactical/Mobile C4I Systems</t>
        </is>
      </c>
      <c r="D194" s="7" t="inlineStr">
        <is>
          <t>TacMobile is the ground station program that supports P-8A Poseidon and MQ-4C Triton pre and post-flight C4I requirements and Inflight Command and Control support. These ground stations provide critical reach-back capabilities.</t>
        </is>
      </c>
    </row>
    <row r="195" ht="10" customHeight="1">
      <c r="A195" s="7" t="n">
        <v>2762</v>
      </c>
      <c r="B195" s="7" t="inlineStr">
        <is>
          <t>OPN_BA2</t>
        </is>
      </c>
      <c r="C195" s="7" t="inlineStr">
        <is>
          <t>Intelligence Surveillance and Reconnaissance (ISR)</t>
        </is>
      </c>
      <c r="D195" s="7" t="inlineStr">
        <is>
          <t>Distributed Common Ground Systems-Navy (DCGS-N) is the Navy instance of the DCGS Family of Systems providing systems capable of receiving, processing, exploiting, and disseminating data from airborne and national reconnaissance platforms.</t>
        </is>
      </c>
    </row>
    <row r="196" ht="10" customHeight="1">
      <c r="A196" s="7" t="n">
        <v>2763</v>
      </c>
      <c r="B196" s="7" t="inlineStr">
        <is>
          <t>OPN_BA2</t>
        </is>
      </c>
      <c r="C196" s="7" t="inlineStr">
        <is>
          <t>CANES</t>
        </is>
      </c>
      <c r="D196" s="7" t="inlineStr">
        <is>
          <t>Consolidated Afloat Networks and Enterprise Services (CANES) operates at the Tactical Edge. CANES aligns with funding profile that supports the Navy's priority effort to modernize and protect tactical networks against increased cyber threats and ensure operational readiness.</t>
        </is>
      </c>
    </row>
    <row r="197" ht="10" customHeight="1">
      <c r="A197" s="7" t="n">
        <v>2764</v>
      </c>
      <c r="B197" s="7" t="inlineStr">
        <is>
          <t>OPN_BA2</t>
        </is>
      </c>
      <c r="C197" s="7" t="inlineStr">
        <is>
          <t>RADIAC</t>
        </is>
      </c>
      <c r="D197" s="7" t="inlineStr">
        <is>
          <t>The RADIAC Program is responsible for the acquisition of new equipment to replace obsolete and unsupportable instruments to maintain legally compliant radiological operations. Equipment includes radiation monitoring instruments used on all Navy, Coast Guard and Military Sealift Command vessels.</t>
        </is>
      </c>
    </row>
    <row r="198" ht="10" customHeight="1">
      <c r="A198" s="7" t="n">
        <v>2765</v>
      </c>
      <c r="B198" s="7" t="inlineStr">
        <is>
          <t>OPN_BA2</t>
        </is>
      </c>
      <c r="C198" s="7" t="inlineStr">
        <is>
          <t>CANES Intell</t>
        </is>
      </c>
      <c r="D198" s="7" t="inlineStr">
        <is>
          <t>Consolidated Afloat Networks and Enterprise Services (CANES) Intelligence variant operates at the Tactical Edge, modernizing and protecting tactical intelligence networks against increased cyber threats.</t>
        </is>
      </c>
    </row>
    <row r="199" ht="10" customHeight="1">
      <c r="A199" s="7" t="n">
        <v>2766</v>
      </c>
      <c r="B199" s="7" t="inlineStr">
        <is>
          <t>OPN_BA2</t>
        </is>
      </c>
      <c r="C199" s="7" t="inlineStr">
        <is>
          <t>Gen Purp Elec Test Equip (GPETE)</t>
        </is>
      </c>
      <c r="D199" s="7" t="inlineStr">
        <is>
          <t>GPETE funding is provided to execute a detailed, multi-year sustainment and modernization plan for intermediate and organizational maintenance activities. GPETE is employed to ensure the accuracy of installation, alignment, and maintenance of all Navy weapons systems ashore and afloat.</t>
        </is>
      </c>
    </row>
    <row r="200" ht="10" customHeight="1">
      <c r="A200" s="7" t="n">
        <v>2767</v>
      </c>
      <c r="B200" s="7" t="inlineStr">
        <is>
          <t>OPN_BA2</t>
        </is>
      </c>
      <c r="C200" s="7" t="inlineStr">
        <is>
          <t>Network Tactical Common Data Link (NTCDL) / MASF</t>
        </is>
      </c>
      <c r="D200" s="7" t="inlineStr">
        <is>
          <t>NTCDL provides the ability to transmit/receive real-time ISR data simultaneously from multiple sources and exchange command and control information across dissimilar joint, service, coalition, and civil networks.</t>
        </is>
      </c>
    </row>
    <row r="201" ht="10" customHeight="1">
      <c r="A201" s="7" t="n">
        <v>2768</v>
      </c>
      <c r="B201" s="7" t="inlineStr">
        <is>
          <t>OPN_BA2</t>
        </is>
      </c>
      <c r="C201" s="7" t="inlineStr">
        <is>
          <t>Integ Combat System Test Facility</t>
        </is>
      </c>
      <c r="D201" s="7" t="inlineStr">
        <is>
          <t>This program supports various Navy Land Based Test Sites (LBTS) required to support integration and interoperability testing including NSWC Dahlgren and other test sites.</t>
        </is>
      </c>
    </row>
    <row r="202" ht="10" customHeight="1">
      <c r="A202" s="7" t="n">
        <v>2769</v>
      </c>
      <c r="B202" s="7" t="inlineStr">
        <is>
          <t>OPN_BA2</t>
        </is>
      </c>
      <c r="C202" s="7" t="inlineStr">
        <is>
          <t>EMI Control Instrumentation</t>
        </is>
      </c>
      <c r="D202" s="7" t="inlineStr">
        <is>
          <t>The EMI Control Instrumentation Program provides Cradle to Grave Systems Engineering for Mission Assurance by implementing EMC hardware solutions, Spectrum Management software solutions, and procuring specialized test equipment for EMI problems aboard US Navy platforms.</t>
        </is>
      </c>
    </row>
    <row r="203" ht="10" customHeight="1">
      <c r="A203" s="7" t="n">
        <v>2770</v>
      </c>
      <c r="B203" s="7" t="inlineStr">
        <is>
          <t>OPN_BA2</t>
        </is>
      </c>
      <c r="C203" s="7" t="inlineStr">
        <is>
          <t>In-Service Radars and Sensors</t>
        </is>
      </c>
      <c r="D203" s="7" t="inlineStr">
        <is>
          <t>Beginning in FY26, all funding under LI 2026 SPQ-9B Radar has been realigned to LI 2981 In-Service Radars and Sensors. Includes AN/SPS-73 Navigation Radar, AN/SPS-48G Air Surveillance Radar, AN/SPY-1 RM&amp;A Improvements, SPY-6 Family of Radars O&amp;S, and SPEIR Block I.</t>
        </is>
      </c>
    </row>
    <row r="204" ht="10" customHeight="1">
      <c r="A204" s="7" t="n">
        <v>2771</v>
      </c>
      <c r="B204" s="7" t="inlineStr">
        <is>
          <t>OPN_BA2</t>
        </is>
      </c>
      <c r="C204" s="7" t="inlineStr">
        <is>
          <t>AN/SPS-73(V) Navigation Radar / NGSSR Upgrade</t>
        </is>
      </c>
      <c r="D204" s="7" t="inlineStr">
        <is>
          <t>The AN/SPS-73(V) Radar provides navigation and general surface search radar functionality on all U.S. Navy ships. NGSSR upgrade will improve surface combatant's ability to engage FAC/FIAC tracking and periscope detection.</t>
        </is>
      </c>
    </row>
    <row r="205" ht="10" customHeight="1">
      <c r="A205" s="7" t="n">
        <v>2776</v>
      </c>
      <c r="B205" s="7" t="inlineStr">
        <is>
          <t>OPN_BA2</t>
        </is>
      </c>
      <c r="C205" s="7" t="inlineStr">
        <is>
          <t>Battle Force Tactical Network</t>
        </is>
      </c>
      <c r="D205" s="7" t="inlineStr">
        <is>
          <t>The details of this Budget Line Item are classified SECRET//NOFORN and are submitted to Congress in the classified budget justification books.</t>
        </is>
      </c>
    </row>
    <row r="206" ht="10" customHeight="1">
      <c r="A206" s="7" t="n">
        <v>2777</v>
      </c>
      <c r="B206" s="7" t="inlineStr">
        <is>
          <t>OPN_BA2</t>
        </is>
      </c>
      <c r="C206" s="7" t="inlineStr">
        <is>
          <t>Shipboard Tactical Comms</t>
        </is>
      </c>
      <c r="D206" s="7" t="inlineStr">
        <is>
          <t>Funding provides for the procurement and installation of Integrated Waveform (IW) and Mobile User Objective System (MUOS) Digital Modular Radio (DMR) systems and IW and MUOS upgrade kits.</t>
        </is>
      </c>
    </row>
    <row r="207" ht="10" customHeight="1">
      <c r="A207" s="7" t="n">
        <v>2778</v>
      </c>
      <c r="B207" s="7" t="inlineStr">
        <is>
          <t>OPN_BA2</t>
        </is>
      </c>
      <c r="C207" s="7" t="inlineStr">
        <is>
          <t>Ship Communications Automation</t>
        </is>
      </c>
      <c r="D207" s="7" t="inlineStr">
        <is>
          <t>Ship Communications Automation supports Automated Digital Network System (ADNS), Legacy Network Operation Rolling Tide (ORT), Tactical Messaging, Shore Tactical Assured Command and Control (STACC), and Piers / Enterprise Pier Connectivity Architecture (EPCA).</t>
        </is>
      </c>
    </row>
    <row r="208" ht="10" customHeight="1">
      <c r="A208" s="7" t="n">
        <v>2780</v>
      </c>
      <c r="B208" s="7" t="inlineStr">
        <is>
          <t>OPN_BA2</t>
        </is>
      </c>
      <c r="C208" s="7" t="inlineStr">
        <is>
          <t>Shore Tactical Assured Command and Control (STACC)</t>
        </is>
      </c>
      <c r="D208" s="7" t="inlineStr">
        <is>
          <t>STACC supports Fleet Commanders and Shore C2 users by globally connecting and consolidating common services, enabling resiliency, deploying resilient C2, and proactive network defense.</t>
        </is>
      </c>
    </row>
    <row r="209" ht="10" customHeight="1">
      <c r="A209" s="7" t="n">
        <v>2782</v>
      </c>
      <c r="B209" s="7" t="inlineStr">
        <is>
          <t>OPN_BA2</t>
        </is>
      </c>
      <c r="C209" s="7" t="inlineStr">
        <is>
          <t>Amphibious Communications (Amphib Comms)</t>
        </is>
      </c>
      <c r="D209" s="7" t="inlineStr">
        <is>
          <t>Amphib Comms: Enhanced Position Location Reporting System - Data Radio (EPLRS-DR)/EMUT provides secure Anti-Jam UHF communications. Beginning in FY25, Blue in Support of Green (BISOG) Tactical Communications has been changed to Amphibious Communications.</t>
        </is>
      </c>
    </row>
    <row r="210" ht="10" customHeight="1">
      <c r="A210" s="7" t="n">
        <v>2783</v>
      </c>
      <c r="B210" s="7" t="inlineStr">
        <is>
          <t>OPN_BA2</t>
        </is>
      </c>
      <c r="C210" s="7" t="inlineStr">
        <is>
          <t>Communications Items under $5M</t>
        </is>
      </c>
      <c r="D210" s="7" t="inlineStr">
        <is>
          <t>The details of this Budget Line Item are classified SECRET//NOFORN and are submitted to Congress in the classified budget justification books.</t>
        </is>
      </c>
    </row>
    <row r="211" ht="10" customHeight="1">
      <c r="A211" s="7" t="n">
        <v>2784</v>
      </c>
      <c r="B211" s="7" t="inlineStr">
        <is>
          <t>OPN_BA2</t>
        </is>
      </c>
      <c r="C211" s="7" t="inlineStr">
        <is>
          <t>Submarine Broadcast Support</t>
        </is>
      </c>
      <c r="D211" s="7" t="inlineStr">
        <is>
          <t>The details of this Budget Line Item are classified SECRET//NOFORN and are submitted to Congress in the classified budget justification books.</t>
        </is>
      </c>
    </row>
    <row r="212" ht="10" customHeight="1">
      <c r="A212" s="7" t="n">
        <v>2785</v>
      </c>
      <c r="B212" s="7" t="inlineStr">
        <is>
          <t>OPN_BA2</t>
        </is>
      </c>
      <c r="C212" s="7" t="inlineStr">
        <is>
          <t>Submarine Communication Equipment</t>
        </is>
      </c>
      <c r="D212" s="7" t="inlineStr">
        <is>
          <t>The details of this Budget Line Item are classified SECRET//NOFORN and are submitted to Congress in the classified budget justification books.</t>
        </is>
      </c>
    </row>
    <row r="213" ht="10" customHeight="1">
      <c r="A213" s="7" t="n">
        <v>2786</v>
      </c>
      <c r="B213" s="7" t="inlineStr">
        <is>
          <t>OPN_BA2</t>
        </is>
      </c>
      <c r="C213" s="7" t="inlineStr">
        <is>
          <t>Satellite Communications Systems</t>
        </is>
      </c>
      <c r="D213" s="7" t="inlineStr">
        <is>
          <t>The SATCOM Systems line provides funding for procurement of shipboard terminal equipment for ship-to-ship, ship-to-shore, and ship-to-aircraft tactical communications via earth orbiting relay satellites.</t>
        </is>
      </c>
    </row>
    <row r="214" ht="10" customHeight="1">
      <c r="A214" s="7" t="n">
        <v>2788</v>
      </c>
      <c r="B214" s="7" t="inlineStr">
        <is>
          <t>OPN_BA2</t>
        </is>
      </c>
      <c r="C214" s="7" t="inlineStr">
        <is>
          <t>Commercial Broadband Satellite Program (CBSP)</t>
        </is>
      </c>
      <c r="D214" s="7" t="inlineStr">
        <is>
          <t>CBSP is the U.S. Navy Commercial SATCOM program providing the Navy's access to geostationary and NGSO constellations. CBSP provides the only source of wideband SATCOM to Patrol Coastal (PC) and Mine Countermeasure (MCM) Ships.</t>
        </is>
      </c>
    </row>
    <row r="215" ht="10" customHeight="1">
      <c r="A215" s="7" t="n">
        <v>2790</v>
      </c>
      <c r="B215" s="7" t="inlineStr">
        <is>
          <t>OPN_BA2</t>
        </is>
      </c>
      <c r="C215" s="7" t="inlineStr">
        <is>
          <t>Navy Multiband Terminal (NMT)</t>
        </is>
      </c>
      <c r="D215" s="7" t="inlineStr">
        <is>
          <t>NMT SLEMOD Kits Afloat and Ashore - FY 2026 request includes funding for NMT Service Life Extension Modernization (SLEMOD) Kits procurement of 35 kits (29 Surface Afloat, 3 Sub Afloat and 3 Ashore).</t>
        </is>
      </c>
    </row>
    <row r="216" ht="10" customHeight="1">
      <c r="A216" s="7" t="n">
        <v>2791</v>
      </c>
      <c r="B216" s="7" t="inlineStr">
        <is>
          <t>OPN_BA2</t>
        </is>
      </c>
      <c r="C216" s="7" t="inlineStr">
        <is>
          <t>NMT Service Life Extension Modernization (SLEMOD) Kits</t>
        </is>
      </c>
      <c r="D216" s="7" t="inlineStr">
        <is>
          <t>SLEMOD Kits provide sustainment and capability enhancements to the Fleet in order to establish system resilience while maintaining perpetual readiness. The NMT PoR has been tasked with extending the lifespan of the Terminal +20 years longer than originally planned.</t>
        </is>
      </c>
    </row>
    <row r="217" ht="10" customHeight="1">
      <c r="A217" s="7" t="n">
        <v>2792</v>
      </c>
      <c r="B217" s="7" t="inlineStr">
        <is>
          <t>OPN_BA2</t>
        </is>
      </c>
      <c r="C217" s="7" t="inlineStr">
        <is>
          <t>Mobile Advanced EHF Terminal (MAT)</t>
        </is>
      </c>
      <c r="D217" s="7" t="inlineStr">
        <is>
          <t>Beginning in FY 2026, SATCOM Terminals realigned from OPN BLI 3216 to OPN BLI 3222 Mobile Advanced EHF Terminal (MAT), which is classified SECRET/NOFORN.</t>
        </is>
      </c>
    </row>
    <row r="218" ht="10" customHeight="1">
      <c r="A218" s="7" t="n">
        <v>2793</v>
      </c>
      <c r="B218" s="7" t="inlineStr">
        <is>
          <t>OPN_BA2</t>
        </is>
      </c>
      <c r="C218" s="7" t="inlineStr">
        <is>
          <t>Joint Communications Support Element (JCSE)</t>
        </is>
      </c>
      <c r="D218" s="7" t="inlineStr">
        <is>
          <t>Under JECC / USTRANSCOM, JCSE is the only DoD organization specifically formed that provides crisis and contingency communications to meet the operational support needs of the JCS, Combatant Commands, DoD agencies and non-DoD agencies.</t>
        </is>
      </c>
    </row>
    <row r="219" ht="10" customHeight="1">
      <c r="A219" s="7" t="n">
        <v>2794</v>
      </c>
      <c r="B219" s="7" t="inlineStr">
        <is>
          <t>OPN_BA2</t>
        </is>
      </c>
      <c r="C219" s="7" t="inlineStr">
        <is>
          <t>Info Systems Security Program (ISSP)</t>
        </is>
      </c>
      <c r="D219" s="7" t="inlineStr">
        <is>
          <t>The ISSP ensures the protection of Navy and joint cyberspace systems from exploitation and attack. Systems include wired and wireless telecommunications systems, cybersecurity systems, and the content processed, stored, or transmitted therein.</t>
        </is>
      </c>
    </row>
    <row r="220" ht="10" customHeight="1">
      <c r="A220" s="7" t="n">
        <v>2797</v>
      </c>
      <c r="B220" s="7" t="inlineStr">
        <is>
          <t>OPN_BA2</t>
        </is>
      </c>
      <c r="C220" s="7" t="inlineStr">
        <is>
          <t>Key Management (KM) - Afloat</t>
        </is>
      </c>
      <c r="D220" s="7" t="inlineStr">
        <is>
          <t>KM is a combination of Tier 1 Key Management Infrastructure (KMI), Tier 2 security equipment, and Tier 3 equipment and software for Key distribution and loading into End Cryptographic Units.</t>
        </is>
      </c>
    </row>
    <row r="221" ht="10" customHeight="1">
      <c r="A221" s="7" t="n">
        <v>2798</v>
      </c>
      <c r="B221" s="7" t="inlineStr">
        <is>
          <t>OPN_BA2</t>
        </is>
      </c>
      <c r="C221" s="7" t="inlineStr">
        <is>
          <t>SHARKCAGE</t>
        </is>
      </c>
      <c r="D221" s="7" t="inlineStr">
        <is>
          <t>SHARKCAGE is a global, federated Defensive Cyberspace Operations (DCO) enclave consisting of sensor nodes, DCO analysis workbenches, and analytic nodes. Utilizing passive taps, SHARKCAGE consolidates cyber event data from multiple platforms and networks.</t>
        </is>
      </c>
    </row>
    <row r="222" ht="10" customHeight="1">
      <c r="A222" s="7" t="n">
        <v>2799</v>
      </c>
      <c r="B222" s="7" t="inlineStr">
        <is>
          <t>OPN_BA2</t>
        </is>
      </c>
      <c r="C222" s="7" t="inlineStr">
        <is>
          <t>MIO Intel Exploitation Team</t>
        </is>
      </c>
      <c r="D222" s="7" t="inlineStr">
        <is>
          <t>Tactical Electronic Warfare (EW) equipment used in support of indications, warning, and force protection. Tactical EW systems provide the capability to collect data in both digital and analogue Radio Frequency (RF) environments.</t>
        </is>
      </c>
    </row>
    <row r="223" ht="10" customHeight="1">
      <c r="A223" s="7" t="n">
        <v>2800</v>
      </c>
      <c r="B223" s="7" t="inlineStr">
        <is>
          <t>OPN_BA2</t>
        </is>
      </c>
      <c r="C223" s="7" t="inlineStr">
        <is>
          <t>Cryptologic Communications Equip</t>
        </is>
      </c>
      <c r="D223" s="7" t="inlineStr">
        <is>
          <t>Cryptologic Carry-On Program (CCOP) procures state-of-the-art COTS SIGINT equipment. Beginning in FY 2026, CCOP has been realigned into LI 2360 Shipboard IW Exploit.</t>
        </is>
      </c>
    </row>
    <row r="224" ht="10" customHeight="1">
      <c r="A224" s="7" t="n">
        <v>2801</v>
      </c>
      <c r="B224" s="7" t="inlineStr">
        <is>
          <t>OPN_BA2</t>
        </is>
      </c>
      <c r="C224" s="7" t="inlineStr">
        <is>
          <t>Coast Guard Equipment</t>
        </is>
      </c>
      <c r="D224" s="7" t="inlineStr">
        <is>
          <t>The Coast Guard Equipment line funds the sensors of the Navy-Type/Navy-Owned Coast Guard Combat System Suite for USCG cutters under the Coast Guard Surface Acquisition Program. The Combat System Suite must complement and integrate with Navy Combat Systems.</t>
        </is>
      </c>
    </row>
    <row r="225" ht="10" customHeight="1">
      <c r="A225" s="7" t="n">
        <v>2802</v>
      </c>
      <c r="B225" s="7" t="inlineStr">
        <is>
          <t>OPN_BA2</t>
        </is>
      </c>
      <c r="C225" s="7" t="inlineStr">
        <is>
          <t>CG001 - SPQ-9B RADAR</t>
        </is>
      </c>
      <c r="D225" s="7" t="inlineStr">
        <is>
          <t>Provides the AN/SPQ-9B radar for the Maritime Security Cutter, Large (WMSL) Class, aka the National Security Cutter (NSC), to track surface targets and low fliers in support of potential gun engagements.</t>
        </is>
      </c>
    </row>
    <row r="226" ht="10" customHeight="1">
      <c r="A226" s="7" t="n">
        <v>2804</v>
      </c>
      <c r="B226" s="7" t="inlineStr">
        <is>
          <t>OPN_BA2</t>
        </is>
      </c>
      <c r="C226" s="7" t="inlineStr">
        <is>
          <t>CG003 DECOYS MK 53</t>
        </is>
      </c>
      <c r="D226" s="7" t="inlineStr">
        <is>
          <t>Provides the MK 53 Decoy Launching System (DLS) for the NSC (WMSL), PSC, and the OPC (WMSM) to provide soft-kill capability.</t>
        </is>
      </c>
    </row>
    <row r="227" ht="10" customHeight="1">
      <c r="A227" s="7" t="n">
        <v>2805</v>
      </c>
      <c r="B227" s="7" t="inlineStr">
        <is>
          <t>OPN_BA2</t>
        </is>
      </c>
      <c r="C227" s="7" t="inlineStr">
        <is>
          <t>CG004 SLQ-32</t>
        </is>
      </c>
      <c r="D227" s="7" t="inlineStr">
        <is>
          <t>Provides the AN/SLQ-32 Electronic Warfare System and the BEWT for the NSC (WMSL) to perform Electronic Support Measures to support soft-kill measures.</t>
        </is>
      </c>
    </row>
    <row r="228" ht="10" customHeight="1">
      <c r="A228" s="7" t="n">
        <v>2806</v>
      </c>
      <c r="B228" s="7" t="inlineStr">
        <is>
          <t>OPN_BA2</t>
        </is>
      </c>
      <c r="C228" s="7" t="inlineStr">
        <is>
          <t>CG007 MULTI-MODE RADAR</t>
        </is>
      </c>
      <c r="D228" s="7" t="inlineStr">
        <is>
          <t>MMR will provide Air Surveillance, Surface Surveillance, GWS support and IFF Antenna functions for OPC and PSC.</t>
        </is>
      </c>
    </row>
    <row r="229" ht="10" customHeight="1">
      <c r="A229" s="7" t="n">
        <v>2807</v>
      </c>
      <c r="B229" s="7" t="inlineStr">
        <is>
          <t>OPN_BA2</t>
        </is>
      </c>
      <c r="C229" s="7" t="inlineStr">
        <is>
          <t>CG008 ATHENA CCD</t>
        </is>
      </c>
      <c r="D229" s="7" t="inlineStr">
        <is>
          <t>ATHENA Control, Correlation &amp; Display (CCD) System for the OPC and PSC. Uses existing AEGIS BSL 9 Common Source Library (CSL) code to control and display MMR and IFF data.</t>
        </is>
      </c>
    </row>
    <row r="230" ht="10" customHeight="1">
      <c r="A230" s="7" t="n">
        <v>2809</v>
      </c>
      <c r="B230" s="7" t="inlineStr">
        <is>
          <t>OPN_BA2</t>
        </is>
      </c>
      <c r="C230" s="7" t="inlineStr">
        <is>
          <t>CG006 COMBAT SYSTEM INTEGRATION</t>
        </is>
      </c>
      <c r="D230" s="7" t="inlineStr">
        <is>
          <t>Ensures successful integration and system interoperability of Navy type equipment for USCG NSCs (WMSLs), FRCs (WPCs), OPCs (WMSMs), PSCs (WMSPs) and the 270' WMEC modernization effort.</t>
        </is>
      </c>
    </row>
    <row r="231" ht="10" customHeight="1">
      <c r="A231" s="7" t="n">
        <v>2810</v>
      </c>
      <c r="B231" s="7" t="inlineStr">
        <is>
          <t>OPN_BA3</t>
        </is>
      </c>
      <c r="C231" s="7" t="inlineStr">
        <is>
          <t>Sonobuoys - All Types</t>
        </is>
      </c>
      <c r="D231" s="7" t="inlineStr">
        <is>
          <t>Sonobuoys are air launched expendable electro-mechanical sensors designed to relay underwater sounds associated with ships and submarines to remote processors critical to USN Air ASW mission</t>
        </is>
      </c>
    </row>
    <row r="232" ht="10" customHeight="1">
      <c r="A232" s="7" t="n">
        <v>2823</v>
      </c>
      <c r="B232" s="7" t="inlineStr">
        <is>
          <t>OPN_BA3</t>
        </is>
      </c>
      <c r="C232" s="7" t="inlineStr">
        <is>
          <t>Minotaur</t>
        </is>
      </c>
      <c r="D232" s="7" t="inlineStr">
        <is>
          <t>Minotaur Family of Services provides interoperable systems including Minotaur Core and Minotaur Data Link Processor for information exchange</t>
        </is>
      </c>
    </row>
    <row r="233" ht="10" customHeight="1">
      <c r="A233" s="7" t="n">
        <v>2831</v>
      </c>
      <c r="B233" s="7" t="inlineStr">
        <is>
          <t>OPN_BA3</t>
        </is>
      </c>
      <c r="C233" s="7" t="inlineStr">
        <is>
          <t>Weapons Range Support Equipment</t>
        </is>
      </c>
      <c r="D233" s="7" t="inlineStr">
        <is>
          <t>Weapons Range Support Equipment provides systems for tactical training ranges including ocean systems TCTS electronic warfare and live-virtual-constructive capabilities</t>
        </is>
      </c>
    </row>
    <row r="234" ht="10" customHeight="1">
      <c r="A234" s="7" t="n">
        <v>2858</v>
      </c>
      <c r="B234" s="7" t="inlineStr">
        <is>
          <t>OPN_BA3</t>
        </is>
      </c>
      <c r="C234" s="7" t="inlineStr">
        <is>
          <t>Aircraft Support Equipment</t>
        </is>
      </c>
      <c r="D234" s="7" t="inlineStr">
        <is>
          <t>Aviation support equipment: expeditionary airfields aircraft rearming equipment air launch and recovery equipment ship modifications for LAMPS/CMV-22 and ALIS ship installations</t>
        </is>
      </c>
    </row>
    <row r="235" ht="10" customHeight="1">
      <c r="A235" s="7" t="n">
        <v>2859</v>
      </c>
      <c r="B235" s="7" t="inlineStr">
        <is>
          <t>OPN_BA3</t>
        </is>
      </c>
      <c r="C235" s="7" t="inlineStr">
        <is>
          <t>Expeditionary Airfields (Item 1 of LI 4213)</t>
        </is>
      </c>
      <c r="D235" s="7" t="inlineStr">
        <is>
          <t>EAF surfacing lighting and arresting gear for expeditionary airfield operations</t>
        </is>
      </c>
    </row>
    <row r="236" ht="10" customHeight="1">
      <c r="A236" s="7" t="n">
        <v>2860</v>
      </c>
      <c r="B236" s="7" t="inlineStr">
        <is>
          <t>OPN_BA3</t>
        </is>
      </c>
      <c r="C236" s="7" t="inlineStr">
        <is>
          <t>Acft Rearming Equip (Item 2 of LI 4213)</t>
        </is>
      </c>
      <c r="D236" s="7" t="inlineStr">
        <is>
          <t>Aircraft rearming equipment including ordnance assembly transport and loading systems</t>
        </is>
      </c>
    </row>
    <row r="237" ht="10" customHeight="1">
      <c r="A237" s="7" t="n">
        <v>2861</v>
      </c>
      <c r="B237" s="7" t="inlineStr">
        <is>
          <t>OPN_BA3</t>
        </is>
      </c>
      <c r="C237" s="7" t="inlineStr">
        <is>
          <t>Air Launch &amp; Recovery Equip (Item 3 of LI 4213)</t>
        </is>
      </c>
      <c r="D237" s="7" t="inlineStr">
        <is>
          <t>Aircraft launch recovery visual landing aids and related information systems for CVN DDG ACS LHD and shore stations</t>
        </is>
      </c>
    </row>
    <row r="238" ht="10" customHeight="1">
      <c r="A238" s="7" t="n">
        <v>2879</v>
      </c>
      <c r="B238" s="7" t="inlineStr">
        <is>
          <t>OPN_BA3</t>
        </is>
      </c>
      <c r="C238" s="7" t="inlineStr">
        <is>
          <t>Natural Disaster Recovery (Item 4 of LI 4213)</t>
        </is>
      </c>
      <c r="D238" s="7" t="inlineStr">
        <is>
          <t>Natural disaster recovery support equipment</t>
        </is>
      </c>
    </row>
    <row r="239" ht="10" customHeight="1">
      <c r="A239" s="7" t="n">
        <v>2880</v>
      </c>
      <c r="B239" s="7" t="inlineStr">
        <is>
          <t>OPN_BA3</t>
        </is>
      </c>
      <c r="C239" s="7" t="inlineStr">
        <is>
          <t>LAMPS MK III - SRQ(KU)-4 (S1010)</t>
        </is>
      </c>
      <c r="D239" s="7" t="inlineStr">
        <is>
          <t>AN/SRQ-4(Ku) data link MH-60 to surface ships. Installs on 68 DDG and 22 CG plus 10 shore sites</t>
        </is>
      </c>
    </row>
    <row r="240" ht="10" customHeight="1">
      <c r="A240" s="7" t="n">
        <v>2888</v>
      </c>
      <c r="B240" s="7" t="inlineStr">
        <is>
          <t>OPN_BA3</t>
        </is>
      </c>
      <c r="C240" s="7" t="inlineStr">
        <is>
          <t>CMV22 Ship Mods</t>
        </is>
      </c>
      <c r="D240" s="7" t="inlineStr">
        <is>
          <t>CMV-22 SCD Turn-Key Mod modifying CVN ships for CMV-22 aircraft replacing C-2 COD. CVN-68 CVN-76 CVN-69</t>
        </is>
      </c>
    </row>
    <row r="241" ht="10" customHeight="1">
      <c r="A241" s="7" t="n">
        <v>2891</v>
      </c>
      <c r="B241" s="7" t="inlineStr">
        <is>
          <t>OPN_BA3</t>
        </is>
      </c>
      <c r="C241" s="7" t="inlineStr">
        <is>
          <t>Advanced Arresting Gear (AAG)</t>
        </is>
      </c>
      <c r="D241" s="7" t="inlineStr">
        <is>
          <t>Advanced Arresting Gear life cycle support modifications and upgrades for Ford Class Carriers JCTS and RALS systems</t>
        </is>
      </c>
    </row>
    <row r="242" ht="10" customHeight="1">
      <c r="A242" s="7" t="n">
        <v>2902</v>
      </c>
      <c r="B242" s="7" t="inlineStr">
        <is>
          <t>OPN_BA3</t>
        </is>
      </c>
      <c r="C242" s="7" t="inlineStr">
        <is>
          <t>Electromagnetic Aircraft Launch System (EMALS)</t>
        </is>
      </c>
      <c r="D242" s="7" t="inlineStr">
        <is>
          <t>EMALS replacing C13 Steam Catapult aboard Ford Class carriers providing improved reliability maintainability reduced manning and increased operational availability</t>
        </is>
      </c>
    </row>
    <row r="243" ht="10" customHeight="1">
      <c r="A243" s="7" t="n">
        <v>2913</v>
      </c>
      <c r="B243" s="7" t="inlineStr">
        <is>
          <t>OPN_BA3</t>
        </is>
      </c>
      <c r="C243" s="7" t="inlineStr">
        <is>
          <t>Meteorological Equipment</t>
        </is>
      </c>
      <c r="D243" s="7" t="inlineStr">
        <is>
          <t>Meteorological equipment including satellite receiver upgrades METOC SASC upgrades LBS-UUV gliders tactical METOC apps and HWDDC for force-level ships</t>
        </is>
      </c>
    </row>
    <row r="244" ht="10" customHeight="1">
      <c r="A244" s="7" t="n">
        <v>2926</v>
      </c>
      <c r="B244" s="7" t="inlineStr">
        <is>
          <t>OPN_BA3</t>
        </is>
      </c>
      <c r="C244" s="7" t="inlineStr">
        <is>
          <t>Airborne MCM</t>
        </is>
      </c>
      <c r="D244" s="7" t="inlineStr">
        <is>
          <t>Airborne Mine Countermeasures Equipment deployed on MH-60S and MH-53E helicopters. MCM Mission Package fielded on LCS in FY2025</t>
        </is>
      </c>
    </row>
    <row r="245" ht="10" customHeight="1">
      <c r="A245" s="7" t="n">
        <v>2931</v>
      </c>
      <c r="B245" s="7" t="inlineStr">
        <is>
          <t>OPN_BA3</t>
        </is>
      </c>
      <c r="C245" s="7" t="inlineStr">
        <is>
          <t>Aviation Support Equipment</t>
        </is>
      </c>
      <c r="D245" s="7" t="inlineStr">
        <is>
          <t>Aviation support equipment including aviation life support helmets/hearing protection physiological monitoring AMAS logistics and ALIS ship installation</t>
        </is>
      </c>
    </row>
    <row r="246" ht="10" customHeight="1">
      <c r="A246" s="7" t="n">
        <v>2932</v>
      </c>
      <c r="B246" s="7" t="inlineStr">
        <is>
          <t>OPN_BA3</t>
        </is>
      </c>
      <c r="C246" s="7" t="inlineStr">
        <is>
          <t>Aviation Life Support (Item 1 of LI 4268)</t>
        </is>
      </c>
      <c r="D246" s="7" t="inlineStr">
        <is>
          <t>Survival electronics helmets hearing protection displays life support systems physiological monitoring</t>
        </is>
      </c>
    </row>
    <row r="247" ht="10" customHeight="1">
      <c r="A247" s="7" t="n">
        <v>2940</v>
      </c>
      <c r="B247" s="7" t="inlineStr">
        <is>
          <t>OPN_BA3</t>
        </is>
      </c>
      <c r="C247" s="7" t="inlineStr">
        <is>
          <t>Aviation Maintenance Advancement Solutions (AMAS) (Item 2 of LI 4268)</t>
        </is>
      </c>
      <c r="D247" s="7" t="inlineStr">
        <is>
          <t>AMAS creates integrated cost-efficient maintenance and logistics support system for the warfighter</t>
        </is>
      </c>
    </row>
    <row r="248" ht="10" customHeight="1">
      <c r="A248" s="7" t="n">
        <v>2943</v>
      </c>
      <c r="B248" s="7" t="inlineStr">
        <is>
          <t>OPN_BA3</t>
        </is>
      </c>
      <c r="C248" s="7" t="inlineStr">
        <is>
          <t>ALIS SHIP INSTALLATION (P-3a of LI 4268)</t>
        </is>
      </c>
      <c r="D248" s="7" t="inlineStr">
        <is>
          <t>Autonomic Logistics Information System ship installation aboard CVN LHD LHA for F-35 operations. 2 ships in FY26</t>
        </is>
      </c>
    </row>
    <row r="249" ht="10" customHeight="1">
      <c r="A249" s="7" t="n">
        <v>2948</v>
      </c>
      <c r="B249" s="7" t="inlineStr">
        <is>
          <t>OPN_BA3</t>
        </is>
      </c>
      <c r="C249" s="7" t="inlineStr">
        <is>
          <t>UMCS-Unman Carrier Aviation(UCA)Mission Cntrl Stn</t>
        </is>
      </c>
      <c r="D249" s="7" t="inlineStr">
        <is>
          <t>UMCS builds integrates installs and sustains systems to operate MQ-25 CCA and future unmanned systems afloat and ashore. Modifies approx 12-15 spaces on CVN</t>
        </is>
      </c>
    </row>
    <row r="250" ht="10" customHeight="1">
      <c r="A250" s="7" t="n">
        <v>2973</v>
      </c>
      <c r="B250" s="7" t="inlineStr">
        <is>
          <t>OPN_BA3</t>
        </is>
      </c>
      <c r="C250" s="7" t="inlineStr">
        <is>
          <t>Architect &amp; Cap for Autonomy in Nav Enter (ARCANE)</t>
        </is>
      </c>
      <c r="D250" s="7" t="inlineStr">
        <is>
          <t>Program terminating in FY25. Software production enterprise architecture production engineering and ILS</t>
        </is>
      </c>
    </row>
    <row r="251" ht="10" customHeight="1">
      <c r="A251" s="7" t="n">
        <v>2976</v>
      </c>
      <c r="B251" s="7" t="inlineStr">
        <is>
          <t>OPN_BA4</t>
        </is>
      </c>
      <c r="C251" s="7" t="inlineStr">
        <is>
          <t>Ship Gun Systems Equipment</t>
        </is>
      </c>
      <c r="D251" s="7" t="inlineStr">
        <is>
          <t>"Ship gun system equipment provides funds for the procurement of equipment, material and Ordnance Alterations to improve combat effectiveness and logistic supportability for gun and mission planning systems, and ancillary support equipment."</t>
        </is>
      </c>
    </row>
    <row r="252" ht="10" customHeight="1">
      <c r="A252" s="7" t="n">
        <v>2982</v>
      </c>
      <c r="B252" s="7" t="inlineStr">
        <is>
          <t>OPN_BA4</t>
        </is>
      </c>
      <c r="C252" s="7" t="inlineStr">
        <is>
          <t>NV051 Optical Sight Systems Production Improvement</t>
        </is>
      </c>
      <c r="D252" s="7" t="inlineStr">
        <is>
          <t>"Procures various Product Improvements for MK46 OSS/MK20 Electro-Optical Sight System (EOSS) on DDG 51 and CG 47 Class ships"</t>
        </is>
      </c>
    </row>
    <row r="253" ht="10" customHeight="1">
      <c r="A253" s="7" t="n">
        <v>2986</v>
      </c>
      <c r="B253" s="7" t="inlineStr">
        <is>
          <t>OPN_BA4</t>
        </is>
      </c>
      <c r="C253" s="7" t="inlineStr">
        <is>
          <t>HARPOON Support Equipment</t>
        </is>
      </c>
      <c r="D253" s="7" t="inlineStr">
        <is>
          <t>"The Director of the Undersea Warfare Division (N97) has ordered the reconstitution and integration of 64 Encapsulated (ENCAP) Harpoon BLK IC missile systems for the 688 class submarine fleet in order to provide over the horizon surface strike capabilities to the fleet. The ENCAP Harpoon missiles provide Navy Los Angeles-class nuclear attack submarines (SSN) a sub-launched, all-weather, long-range Anti- Surface Warfare (ASuW) missile to attack enemy warships at stand-off ranges, to include Surface and Amphibious Action Groups. There are currently retired Encapsulated Harpoons located at the Letterkenny Army Depot that are candidates for reconstitution and delivery to the submarine fleet."</t>
        </is>
      </c>
    </row>
    <row r="254" ht="10" customHeight="1">
      <c r="A254" s="7" t="n">
        <v>2987</v>
      </c>
      <c r="B254" s="7" t="inlineStr">
        <is>
          <t>OPN_BA4</t>
        </is>
      </c>
      <c r="C254" s="7" t="inlineStr">
        <is>
          <t>ILS (Harpoon)</t>
        </is>
      </c>
      <c r="D254" s="7" t="inlineStr">
        <is>
          <t>"ILS: required to re-integrate ENCAPs into the submarine databases and firing systems"</t>
        </is>
      </c>
    </row>
    <row r="255" ht="10" customHeight="1">
      <c r="A255" s="7" t="n">
        <v>2988</v>
      </c>
      <c r="B255" s="7" t="inlineStr">
        <is>
          <t>OPN_BA4</t>
        </is>
      </c>
      <c r="C255" s="7" t="inlineStr">
        <is>
          <t>Ship Missile Support Equipment</t>
        </is>
      </c>
      <c r="D255" s="7" t="inlineStr">
        <is>
          <t>"Ship Missile Support Equipment provides procurement and installation support to address fleet requirements for AEGIS Weapons System, Ships Self Defense System (SSDS), Vertical Launch Systems (VLS), NATO SEASPARROW Surface Missile System (NSSMS), Rolling Airframe Missile (RAM) Guided Missile Launching System (GMLS), Over The Horizon Weapon System (OTH WS), MK57 Vertical Launching System (VLS) Support Equipment, Integrated Combat system (ICS), and Counter Unmanned Aircraft System (C-UAS). Below are program descriptions for each of these programs along with top line funding summaries. Improved Stalker (I-Stalker) is the Independent Mount (IM) Improvement to the Stalker Long Range Electro-Optic Sensor System (SLREOSS) system in response to a 2016 United States Fleet Forces Command (USFFC) Operational Needs Statement (ONS)."</t>
        </is>
      </c>
    </row>
    <row r="256" ht="10" customHeight="1">
      <c r="A256" s="7" t="n">
        <v>2989</v>
      </c>
      <c r="B256" s="7" t="inlineStr">
        <is>
          <t>OPN_BA4</t>
        </is>
      </c>
      <c r="C256" s="7" t="inlineStr">
        <is>
          <t>NATO SEASPARROW</t>
        </is>
      </c>
      <c r="D256" s="7" t="inlineStr">
        <is>
          <t>"additional engineering required to provide ESSM Block 2 capability in Functional Compatibility to CVN/LHA/LHD ships"</t>
        </is>
      </c>
    </row>
    <row r="257" ht="10" customHeight="1">
      <c r="A257" s="7" t="n">
        <v>2991</v>
      </c>
      <c r="B257" s="7" t="inlineStr">
        <is>
          <t>OPN_BA4</t>
        </is>
      </c>
      <c r="C257" s="7" t="inlineStr">
        <is>
          <t>MK57 Mod 14-19 Engineering</t>
        </is>
      </c>
      <c r="D257" s="7" t="inlineStr">
        <is>
          <t>"Hardware/Software engineering support for the modernization/upgrade of the NSSMS MK57 systems"</t>
        </is>
      </c>
    </row>
    <row r="258" ht="10" customHeight="1">
      <c r="A258" s="7" t="n">
        <v>2992</v>
      </c>
      <c r="B258" s="7" t="inlineStr">
        <is>
          <t>OPN_BA4</t>
        </is>
      </c>
      <c r="C258" s="7" t="inlineStr">
        <is>
          <t>MK57 Mod 14-19 Logistics</t>
        </is>
      </c>
      <c r="D258" s="7" t="inlineStr">
        <is>
          <t>"Logistics support including Supply Data Management Configuration Training and Quality Management during the modernization/upgrade and installation of NSSMS MK57 systems on CVN/LHA/LHDs"</t>
        </is>
      </c>
    </row>
    <row r="259" ht="10" customHeight="1">
      <c r="A259" s="7" t="n">
        <v>2993</v>
      </c>
      <c r="B259" s="7" t="inlineStr">
        <is>
          <t>OPN_BA4</t>
        </is>
      </c>
      <c r="C259" s="7" t="inlineStr">
        <is>
          <t>MK57 Mod 14-19 Depot</t>
        </is>
      </c>
      <c r="D259" s="7" t="inlineStr">
        <is>
          <t>"Depot Workload Planning Budget Updates and Estimating Contract Upgrade/Repair Engineering OM&amp;S Inventory/Warehouse Management and Depot Logistics Support"</t>
        </is>
      </c>
    </row>
    <row r="260" ht="10" customHeight="1">
      <c r="A260" s="7" t="n">
        <v>2994</v>
      </c>
      <c r="B260" s="7" t="inlineStr">
        <is>
          <t>OPN_BA4</t>
        </is>
      </c>
      <c r="C260" s="7" t="inlineStr">
        <is>
          <t>MK57 Mod 14-19 Cyber</t>
        </is>
      </c>
      <c r="D260" s="7" t="inlineStr">
        <is>
          <t>"document and validate system compliance with NIST SP 800-53A assessment procedures obtain RMF authorization"</t>
        </is>
      </c>
    </row>
    <row r="261" ht="10" customHeight="1">
      <c r="A261" s="7" t="n">
        <v>2995</v>
      </c>
      <c r="B261" s="7" t="inlineStr">
        <is>
          <t>OPN_BA4</t>
        </is>
      </c>
      <c r="C261" s="7" t="inlineStr">
        <is>
          <t>MK57 Mod 14-19 Safety</t>
        </is>
      </c>
      <c r="D261" s="7" t="inlineStr">
        <is>
          <t>"qualified system safety program Principal for Safety (PFS) and PFS safety engineering support for in service NSSMS MK57 system configurations"</t>
        </is>
      </c>
    </row>
    <row r="262" ht="10" customHeight="1">
      <c r="A262" s="7" t="n">
        <v>2996</v>
      </c>
      <c r="B262" s="7" t="inlineStr">
        <is>
          <t>OPN_BA4</t>
        </is>
      </c>
      <c r="C262" s="7" t="inlineStr">
        <is>
          <t>Afloat Counter-Unmanned Aerial Systems (Afloat C-UAS)</t>
        </is>
      </c>
      <c r="D262" s="7" t="inlineStr">
        <is>
          <t>"Funds provided procurement and installation of multiple candidate Afloat C-UAS in response to combat operation in the Red Sea"</t>
        </is>
      </c>
    </row>
    <row r="263" ht="10" customHeight="1">
      <c r="A263" s="7" t="n">
        <v>2997</v>
      </c>
      <c r="B263" s="7" t="inlineStr">
        <is>
          <t>OPN_BA4</t>
        </is>
      </c>
      <c r="C263" s="7" t="inlineStr">
        <is>
          <t>RAM Launchers</t>
        </is>
      </c>
      <c r="D263" s="7" t="inlineStr">
        <is>
          <t>"annual requirement which supports all on-going production and installation efforts Design Agent engineering and field activity support"</t>
        </is>
      </c>
    </row>
    <row r="264" ht="10" customHeight="1">
      <c r="A264" s="7" t="n">
        <v>2998</v>
      </c>
      <c r="B264" s="7" t="inlineStr">
        <is>
          <t>OPN_BA4</t>
        </is>
      </c>
      <c r="C264" s="7" t="inlineStr">
        <is>
          <t>UR006 RAM Launchers Production Support</t>
        </is>
      </c>
      <c r="D264" s="7" t="inlineStr">
        <is>
          <t>"annual requirement which supports all on-going production and installation efforts"</t>
        </is>
      </c>
    </row>
    <row r="265" ht="10" customHeight="1">
      <c r="A265" s="7" t="n">
        <v>2999</v>
      </c>
      <c r="B265" s="7" t="inlineStr">
        <is>
          <t>OPN_BA4</t>
        </is>
      </c>
      <c r="C265" s="7" t="inlineStr">
        <is>
          <t>Ship Self Defense System</t>
        </is>
      </c>
      <c r="D265" s="7" t="inlineStr">
        <is>
          <t>"FY26 funding provides required Production support efforts for 11 ships"</t>
        </is>
      </c>
    </row>
    <row r="266" ht="10" customHeight="1">
      <c r="A266" s="7" t="n">
        <v>3000</v>
      </c>
      <c r="B266" s="7" t="inlineStr">
        <is>
          <t>OPN_BA4</t>
        </is>
      </c>
      <c r="C266" s="7" t="inlineStr">
        <is>
          <t>UQ002 - SSDS Production Support</t>
        </is>
      </c>
      <c r="D266" s="7" t="inlineStr">
        <is>
          <t>"FY26 funding provides required Production support efforts for 11 ships"</t>
        </is>
      </c>
    </row>
    <row r="267" ht="10" customHeight="1">
      <c r="A267" s="7" t="n">
        <v>3001</v>
      </c>
      <c r="B267" s="7" t="inlineStr">
        <is>
          <t>OPN_BA4</t>
        </is>
      </c>
      <c r="C267" s="7" t="inlineStr">
        <is>
          <t>UQ003 - SSDS ECP / SCD</t>
        </is>
      </c>
      <c r="D267" s="7" t="inlineStr">
        <is>
          <t>"FY26 funding provides required SSDS ECP / SCD efforts for 7 ships"</t>
        </is>
      </c>
    </row>
    <row r="268" ht="10" customHeight="1">
      <c r="A268" s="7" t="n">
        <v>3002</v>
      </c>
      <c r="B268" s="7" t="inlineStr">
        <is>
          <t>OPN_BA4</t>
        </is>
      </c>
      <c r="C268" s="7" t="inlineStr">
        <is>
          <t>UQ004 - SSDS Training</t>
        </is>
      </c>
      <c r="D268" s="7" t="inlineStr">
        <is>
          <t>"FY26 funding provides required SSDS Training efforts for 6 ships"</t>
        </is>
      </c>
    </row>
    <row r="269" ht="10" customHeight="1">
      <c r="A269" s="7" t="n">
        <v>3003</v>
      </c>
      <c r="B269" s="7" t="inlineStr">
        <is>
          <t>OPN_BA4</t>
        </is>
      </c>
      <c r="C269" s="7" t="inlineStr">
        <is>
          <t>UQ005A - SSDS COTS Eng/Obsolescence Kits</t>
        </is>
      </c>
      <c r="D269" s="7" t="inlineStr">
        <is>
          <t>"COTS/Obsolescence engineering support for SSDS hardware Cyber Security hardware component procurement assembly and installation"</t>
        </is>
      </c>
    </row>
    <row r="270" ht="10" customHeight="1">
      <c r="A270" s="7" t="n">
        <v>3004</v>
      </c>
      <c r="B270" s="7" t="inlineStr">
        <is>
          <t>OPN_BA4</t>
        </is>
      </c>
      <c r="C270" s="7" t="inlineStr">
        <is>
          <t>UQ007 - Combat System Ship Qualification Trial (CSSQT)</t>
        </is>
      </c>
      <c r="D270" s="7" t="inlineStr">
        <is>
          <t>"CSSQT in FY26 includes: $9913K for conduct of 2 CSSQT events (1 LHD and 1 LPD)"</t>
        </is>
      </c>
    </row>
    <row r="271" ht="10" customHeight="1">
      <c r="A271" s="7" t="n">
        <v>3005</v>
      </c>
      <c r="B271" s="7" t="inlineStr">
        <is>
          <t>OPN_BA4</t>
        </is>
      </c>
      <c r="C271" s="7" t="inlineStr">
        <is>
          <t>UQ008 - Combat System Documentation &amp; Support</t>
        </is>
      </c>
      <c r="D271" s="7" t="inlineStr">
        <is>
          <t>"CS documentation produced for all CVN and Amphibious Class Ships undergoing Combat System SSDS MK 2 upgrades"</t>
        </is>
      </c>
    </row>
    <row r="272" ht="10" customHeight="1">
      <c r="A272" s="7" t="n">
        <v>3007</v>
      </c>
      <c r="B272" s="7" t="inlineStr">
        <is>
          <t>OPN_BA4</t>
        </is>
      </c>
      <c r="C272" s="7" t="inlineStr">
        <is>
          <t>L7001 - Depot Special Tooling/Test Equipment</t>
        </is>
      </c>
      <c r="D272" s="7" t="inlineStr">
        <is>
          <t>"Special test equipment (ADEPT/Radiation Probes) for AEGIS WS on CGs DDGs. MK 99 MFCS illuminator and pedestal refurbishment"</t>
        </is>
      </c>
    </row>
    <row r="273" ht="10" customHeight="1">
      <c r="A273" s="7" t="n">
        <v>3011</v>
      </c>
      <c r="B273" s="7" t="inlineStr">
        <is>
          <t>OPN_BA4</t>
        </is>
      </c>
      <c r="C273" s="7" t="inlineStr">
        <is>
          <t>L7011 - Aegis Weapon System Ship Change Procurement</t>
        </is>
      </c>
      <c r="D273" s="7" t="inlineStr">
        <is>
          <t>"fleet hardware issues related to equipment obsolescence high failure DMS. FY26 increase due to FLT I DDG Service Life Extension"</t>
        </is>
      </c>
    </row>
    <row r="274" ht="10" customHeight="1">
      <c r="A274" s="7" t="n">
        <v>3012</v>
      </c>
      <c r="B274" s="7" t="inlineStr">
        <is>
          <t>OPN_BA4</t>
        </is>
      </c>
      <c r="C274" s="7" t="inlineStr">
        <is>
          <t>L7012 - SPY 1D/DV Radar Enhancements (ALPS)</t>
        </is>
      </c>
      <c r="D274" s="7" t="inlineStr">
        <is>
          <t>"AEGIS Linear Processing System (ALPS) provides AN/SPY-1D/D(V) radar with AAW improvements. FY26 Increase for planned ALPS Procurements to proliferate warfighting capability"</t>
        </is>
      </c>
    </row>
    <row r="275" ht="10" customHeight="1">
      <c r="A275" s="7" t="n">
        <v>3013</v>
      </c>
      <c r="B275" s="7" t="inlineStr">
        <is>
          <t>OPN_BA4</t>
        </is>
      </c>
      <c r="C275" s="7" t="inlineStr">
        <is>
          <t>L7014 - SPY Wholeness</t>
        </is>
      </c>
      <c r="D275" s="7" t="inlineStr">
        <is>
          <t>"Convert LNA Arrays into standard SPY-1 configurations to support Battle-Spares for DDG 51 Class"</t>
        </is>
      </c>
    </row>
    <row r="276" ht="10" customHeight="1">
      <c r="A276" s="7" t="n">
        <v>3014</v>
      </c>
      <c r="B276" s="7" t="inlineStr">
        <is>
          <t>OPN_BA4</t>
        </is>
      </c>
      <c r="C276" s="7" t="inlineStr">
        <is>
          <t>L7018 - Enhanced Collection System (ECS) Proc &amp; Install Support</t>
        </is>
      </c>
      <c r="D276" s="7" t="inlineStr">
        <is>
          <t>"centralized modern data collection and processing capability to Aegis CGs and DDGs"</t>
        </is>
      </c>
    </row>
    <row r="277" ht="10" customHeight="1">
      <c r="A277" s="7" t="n">
        <v>3016</v>
      </c>
      <c r="B277" s="7" t="inlineStr">
        <is>
          <t>OPN_BA4</t>
        </is>
      </c>
      <c r="C277" s="7" t="inlineStr">
        <is>
          <t>L7600 - Aegis Support Equipment Installation</t>
        </is>
      </c>
      <c r="D277" s="7" t="inlineStr">
        <is>
          <t>"ORDALT installation and other Ship Changes for AEGIS Combat System readiness. FY26 increase due to FLT I DDG Service Life Extension"</t>
        </is>
      </c>
    </row>
    <row r="278" ht="10" customHeight="1">
      <c r="A278" s="7" t="n">
        <v>3017</v>
      </c>
      <c r="B278" s="7" t="inlineStr">
        <is>
          <t>OPN_BA4</t>
        </is>
      </c>
      <c r="C278" s="7" t="inlineStr">
        <is>
          <t>Integrated Combat System (ICS) Equipment</t>
        </is>
      </c>
      <c r="D278" s="7" t="inlineStr">
        <is>
          <t>"IaaS Equipment to support combat system LBTS and shipsets in support of DDG FFG and US Coast Guard WMSM installations"</t>
        </is>
      </c>
    </row>
    <row r="279" ht="10" customHeight="1">
      <c r="A279" s="7" t="n">
        <v>3018</v>
      </c>
      <c r="B279" s="7" t="inlineStr">
        <is>
          <t>OPN_BA4</t>
        </is>
      </c>
      <c r="C279" s="7" t="inlineStr">
        <is>
          <t>MK57 SUPPORT EQUIPMENT</t>
        </is>
      </c>
      <c r="D279" s="7" t="inlineStr">
        <is>
          <t>"systems engineering testing engineering changes cyber security accreditation installation production support DDG 1000 Class"</t>
        </is>
      </c>
    </row>
    <row r="280" ht="10" customHeight="1">
      <c r="A280" s="7" t="n">
        <v>3019</v>
      </c>
      <c r="B280" s="7" t="inlineStr">
        <is>
          <t>OPN_BA4</t>
        </is>
      </c>
      <c r="C280" s="7" t="inlineStr">
        <is>
          <t>MK57 UCEU Production Engineering and Logistics Support</t>
        </is>
      </c>
      <c r="D280" s="7" t="inlineStr">
        <is>
          <t>"systems engineering testing engineering changes cyber security accreditation installation production support"</t>
        </is>
      </c>
    </row>
    <row r="281" ht="10" customHeight="1">
      <c r="A281" s="7" t="n">
        <v>3021</v>
      </c>
      <c r="B281" s="7" t="inlineStr">
        <is>
          <t>OPN_BA4</t>
        </is>
      </c>
      <c r="C281" s="7" t="inlineStr">
        <is>
          <t>VLS ORDALTS</t>
        </is>
      </c>
      <c r="D281" s="7" t="inlineStr">
        <is>
          <t>"ECP/ORDALT for Fleet operational availability capability safety and survivability. FY25-FY26 increase attributed to additional procurement ORDALTS Reload and Handling equipment initiatives"</t>
        </is>
      </c>
    </row>
    <row r="282" ht="10" customHeight="1">
      <c r="A282" s="7" t="n">
        <v>3022</v>
      </c>
      <c r="B282" s="7" t="inlineStr">
        <is>
          <t>OPN_BA4</t>
        </is>
      </c>
      <c r="C282" s="7" t="inlineStr">
        <is>
          <t>VLS Production Engineering</t>
        </is>
      </c>
      <c r="D282" s="7" t="inlineStr">
        <is>
          <t>"sustaining engineering support for Fleet investigations and safety issues"</t>
        </is>
      </c>
    </row>
    <row r="283" ht="10" customHeight="1">
      <c r="A283" s="7" t="n">
        <v>3024</v>
      </c>
      <c r="B283" s="7" t="inlineStr">
        <is>
          <t>OPN_BA4</t>
        </is>
      </c>
      <c r="C283" s="7" t="inlineStr">
        <is>
          <t>OTH Weapon System</t>
        </is>
      </c>
      <c r="D283" s="7" t="inlineStr">
        <is>
          <t>"FY26 increase due to 4 OTH WS procurements for LCS Freedom Class 13-19 restoration"</t>
        </is>
      </c>
    </row>
    <row r="284" ht="10" customHeight="1">
      <c r="A284" s="7" t="n">
        <v>3025</v>
      </c>
      <c r="B284" s="7" t="inlineStr">
        <is>
          <t>OPN_BA4</t>
        </is>
      </c>
      <c r="C284" s="7" t="inlineStr">
        <is>
          <t>OTH Procurement</t>
        </is>
      </c>
      <c r="D284" s="7" t="inlineStr">
        <is>
          <t>"FY26 increase due to 4 OTH WS procurements for LCS Freedom Class 13-19 restoration"</t>
        </is>
      </c>
    </row>
    <row r="285" ht="10" customHeight="1">
      <c r="A285" s="7" t="n">
        <v>3026</v>
      </c>
      <c r="B285" s="7" t="inlineStr">
        <is>
          <t>OPN_BA4</t>
        </is>
      </c>
      <c r="C285" s="7" t="inlineStr">
        <is>
          <t>OTH WS Installation</t>
        </is>
      </c>
      <c r="D285" s="7" t="inlineStr">
        <is>
          <t>"FY26 OTH Installation increase due to Freedom installation acceleration"</t>
        </is>
      </c>
    </row>
    <row r="286" ht="10" customHeight="1">
      <c r="A286" s="7" t="n">
        <v>3027</v>
      </c>
      <c r="B286" s="7" t="inlineStr">
        <is>
          <t>OPN_BA4</t>
        </is>
      </c>
      <c r="C286" s="7" t="inlineStr">
        <is>
          <t>DRAKE</t>
        </is>
      </c>
      <c r="D286" s="7" t="inlineStr">
        <is>
          <t>"Procures ECPs for DRAKE 2.0 systems and Retrofit Kits to upgrade DRAKE 1.0 Systems currently fielded onboard all Submarine Classes"</t>
        </is>
      </c>
    </row>
    <row r="287" ht="10" customHeight="1">
      <c r="A287" s="7" t="n">
        <v>3028</v>
      </c>
      <c r="B287" s="7" t="inlineStr">
        <is>
          <t>OPN_BA4</t>
        </is>
      </c>
      <c r="C287" s="7" t="inlineStr">
        <is>
          <t>NATO SEASPARROW (NSSMS Mk 57) [P-3a Mod 1]</t>
        </is>
      </c>
      <c r="D287" s="7" t="inlineStr">
        <is>
          <t>"Equipment procurements on the P3a 1. Objective Configuration H/W line supports the NSSMS Mk57 Mod 14 (L class ships) for installation on six LHD 1 class ships. 2."</t>
        </is>
      </c>
    </row>
    <row r="288" ht="10" customHeight="1">
      <c r="A288" s="7" t="n">
        <v>3033</v>
      </c>
      <c r="B288" s="7" t="inlineStr">
        <is>
          <t>OPN_BA4</t>
        </is>
      </c>
      <c r="C288" s="7" t="inlineStr">
        <is>
          <t>UR006 RAM LAUNCHERS (NON-FMP Install) [P-3a Mod 2]</t>
        </is>
      </c>
      <c r="D288" s="7" t="inlineStr">
        <is>
          <t>"Rolling Airframe Missile (RAM) is a cooperative program executed under a series of production Memorandums of Understanding between the U.S. and the Federal Republic of Germany. RAM is a high firepower missile used primarily to defeat Anti-Ship Missiles (ASMs) and other anti-air warfare threats with no dependence on ship's fire control illuminators for terminal guidance."</t>
        </is>
      </c>
    </row>
    <row r="289" ht="10" customHeight="1">
      <c r="A289" s="7" t="n">
        <v>3038</v>
      </c>
      <c r="B289" s="7" t="inlineStr">
        <is>
          <t>OPN_BA4</t>
        </is>
      </c>
      <c r="C289" s="7" t="inlineStr">
        <is>
          <t>UQ005B - SSDS COTS CONVERSION KITS [P-3a Mod 3]</t>
        </is>
      </c>
      <c r="D289" s="7" t="inlineStr">
        <is>
          <t>"Procurement for computing Infrastructure (CI) configuration for ship systems began in FY23. Estimates for the procurement and installation of kits varies on the specific ship class (CVNs, LPDs, LSDs, LHAs, and LHDs), and the existing configuration of the ship. The SSDS OPN UQ005 supports field changes to the in-service baselines, and the establishment of new baseline configurations at the shore sites."</t>
        </is>
      </c>
    </row>
    <row r="290" ht="10" customHeight="1">
      <c r="A290" s="7" t="n">
        <v>3042</v>
      </c>
      <c r="B290" s="7" t="inlineStr">
        <is>
          <t>OPN_BA4</t>
        </is>
      </c>
      <c r="C290" s="7" t="inlineStr">
        <is>
          <t>Tomahawk Support Equipment</t>
        </is>
      </c>
      <c r="D290" s="7" t="inlineStr">
        <is>
          <t>"The Theater Mission Planning Center (TMPC) and Tactical Tomahawk Weapons Control System (TTWCS) are components of the Tomahawk Weapons System (TWS) required to plan and execute Tomahawk strikes. The Theater Mission Planning Center (TMPC) consists of Commercial and Government Off-The-Shelf (COTS/GOTS) software and COTS hardware. TMPC is the mission planning segment of the Tomahawk Weapon System (TWS) that provides subsystems for the precision targeting, weaponeering, route planning, mission distribution, and strike management of Tomahawk cruise missile missions from sites located ashore and afloat."</t>
        </is>
      </c>
    </row>
    <row r="291" ht="10" customHeight="1">
      <c r="A291" s="7" t="n">
        <v>3043</v>
      </c>
      <c r="B291" s="7" t="inlineStr">
        <is>
          <t>OPN_BA4</t>
        </is>
      </c>
      <c r="C291" s="7" t="inlineStr">
        <is>
          <t>TTWCS Hardware</t>
        </is>
      </c>
      <c r="D291" s="7" t="inlineStr">
        <is>
          <t>"address hardware obsolescence through periodic COTS hardware refresh procurement of TTWCS components for retrofit onto Fleet surface platforms"</t>
        </is>
      </c>
    </row>
    <row r="292" ht="10" customHeight="1">
      <c r="A292" s="7" t="n">
        <v>3044</v>
      </c>
      <c r="B292" s="7" t="inlineStr">
        <is>
          <t>OPN_BA4</t>
        </is>
      </c>
      <c r="C292" s="7" t="inlineStr">
        <is>
          <t>TTWCS Product Improvement</t>
        </is>
      </c>
      <c r="D292" s="7" t="inlineStr">
        <is>
          <t>"FY26 initiates modernization and consolidation of legacy software code to contemporary software languages containerization and modularity upgrades"</t>
        </is>
      </c>
    </row>
    <row r="293" ht="10" customHeight="1">
      <c r="A293" s="7" t="n">
        <v>3045</v>
      </c>
      <c r="B293" s="7" t="inlineStr">
        <is>
          <t>OPN_BA4</t>
        </is>
      </c>
      <c r="C293" s="7" t="inlineStr">
        <is>
          <t>Tomahawk Mission Planning Center (TMPC) Hardware</t>
        </is>
      </c>
      <c r="D293" s="7" t="inlineStr">
        <is>
          <t>"hardware for TMPC 7.X modernization upgrades at CMSAs TSMPCs CSGs CVNs and Firing Units"</t>
        </is>
      </c>
    </row>
    <row r="294" ht="10" customHeight="1">
      <c r="A294" s="7" t="n">
        <v>3046</v>
      </c>
      <c r="B294" s="7" t="inlineStr">
        <is>
          <t>OPN_BA4</t>
        </is>
      </c>
      <c r="C294" s="7" t="inlineStr">
        <is>
          <t>TMPC Product Improvements</t>
        </is>
      </c>
      <c r="D294" s="7" t="inlineStr">
        <is>
          <t>"TMPC redesign (TMPC X) - ground up redesign of TPS TNT and MDS components. Modern software development integrated cyber protections reduced mission planning times"</t>
        </is>
      </c>
    </row>
    <row r="295" ht="10" customHeight="1">
      <c r="A295" s="7" t="n">
        <v>3047</v>
      </c>
      <c r="B295" s="7" t="inlineStr">
        <is>
          <t>OPN_BA4</t>
        </is>
      </c>
      <c r="C295" s="7" t="inlineStr">
        <is>
          <t>TTWCS Production Engineering</t>
        </is>
      </c>
      <c r="D295" s="7" t="inlineStr">
        <is>
          <t>"kit production in support of Surface installations onboard firing units"</t>
        </is>
      </c>
    </row>
    <row r="296" ht="10" customHeight="1">
      <c r="A296" s="7" t="n">
        <v>3048</v>
      </c>
      <c r="B296" s="7" t="inlineStr">
        <is>
          <t>OPN_BA4</t>
        </is>
      </c>
      <c r="C296" s="7" t="inlineStr">
        <is>
          <t>TTWCS Integrated Logistic Support</t>
        </is>
      </c>
      <c r="D296" s="7" t="inlineStr">
        <is>
          <t>"installations onboard surface and submarine firing units"</t>
        </is>
      </c>
    </row>
    <row r="297" ht="10" customHeight="1">
      <c r="A297" s="7" t="n">
        <v>3049</v>
      </c>
      <c r="B297" s="7" t="inlineStr">
        <is>
          <t>OPN_BA4</t>
        </is>
      </c>
      <c r="C297" s="7" t="inlineStr">
        <is>
          <t>TMPC Production Engineering</t>
        </is>
      </c>
      <c r="D297" s="7" t="inlineStr">
        <is>
          <t>"systems engineering support for system design and definition of requirements"</t>
        </is>
      </c>
    </row>
    <row r="298" ht="10" customHeight="1">
      <c r="A298" s="7" t="n">
        <v>3050</v>
      </c>
      <c r="B298" s="7" t="inlineStr">
        <is>
          <t>OPN_BA4</t>
        </is>
      </c>
      <c r="C298" s="7" t="inlineStr">
        <is>
          <t>TMPC Production Support</t>
        </is>
      </c>
      <c r="D298" s="7" t="inlineStr">
        <is>
          <t>"user events requirements validation systems engineering technical reviews software formal qualification testing"</t>
        </is>
      </c>
    </row>
    <row r="299" ht="10" customHeight="1">
      <c r="A299" s="7" t="n">
        <v>3051</v>
      </c>
      <c r="B299" s="7" t="inlineStr">
        <is>
          <t>OPN_BA4</t>
        </is>
      </c>
      <c r="C299" s="7" t="inlineStr">
        <is>
          <t>TMPC Integrated Logistic Support</t>
        </is>
      </c>
      <c r="D299" s="7" t="inlineStr">
        <is>
          <t>"continues TMPC 6.0 CVNs FRU DDGs/CGs/SSNs. TMPC 7.X supports key mission planning timeline improvements cybersecurity hardening"</t>
        </is>
      </c>
    </row>
    <row r="300" ht="10" customHeight="1">
      <c r="A300" s="7" t="n">
        <v>3052</v>
      </c>
      <c r="B300" s="7" t="inlineStr">
        <is>
          <t>OPN_BA4</t>
        </is>
      </c>
      <c r="C300" s="7" t="inlineStr">
        <is>
          <t>CPS Support Equipment</t>
        </is>
      </c>
      <c r="D300" s="7" t="inlineStr">
        <is>
          <t>"Conventional Prompt Strike (CPS) capability will enable precise and timely strike in contested environments across multiple platforms. In coordination with the Army, the Navy CPS Program is designing a common All Up Round (AUR) comprised of a Common Hypersonic Glide Body (C-HGB) and a 34.5" two-stage booster. The Navy is responsible for C-HGB design, while the Army leads C-HGB production."</t>
        </is>
      </c>
    </row>
    <row r="301" ht="10" customHeight="1">
      <c r="A301" s="7" t="n">
        <v>3054</v>
      </c>
      <c r="B301" s="7" t="inlineStr">
        <is>
          <t>OPN_BA4</t>
        </is>
      </c>
      <c r="C301" s="7" t="inlineStr">
        <is>
          <t>Strategic Missile Systems Equip</t>
        </is>
      </c>
      <c r="D301" s="7" t="inlineStr">
        <is>
          <t>"This budget supports the shipboard subsystem equipment modernization and technical refresh efforts associated with TRIDENT II D5 Life Extension (D5LE) program as well as procurement of Strategic Weapons System (SWS) equipment for deployed ballistic missile submarines (SSBNs) and shore support sites. OTHER MATERIAL SUPPORT A broad range of other material support equipment must be procured for deployed SSBNs, shore installations and contractor facilities. Included within this category are general and special purpose test equipment, launcher expendables, navigation principal items, test instrumentation in support of missile flight tests, and missile checkout equipment."</t>
        </is>
      </c>
    </row>
    <row r="302" ht="10" customHeight="1">
      <c r="A302" s="7" t="n">
        <v>3065</v>
      </c>
      <c r="B302" s="7" t="inlineStr">
        <is>
          <t>OPN_BA4</t>
        </is>
      </c>
      <c r="C302" s="7" t="inlineStr">
        <is>
          <t>ESGN(R) Stable Platform &amp; Housing Mat. &amp; SIS Kits</t>
        </is>
      </c>
      <c r="D302" s="7" t="inlineStr">
        <is>
          <t>"ESGN(R) Stable Platform and Housing Material and Shock Isolation System Kits"</t>
        </is>
      </c>
    </row>
    <row r="303" ht="10" customHeight="1">
      <c r="A303" s="7" t="n">
        <v>3097</v>
      </c>
      <c r="B303" s="7" t="inlineStr">
        <is>
          <t>OPN_BA4</t>
        </is>
      </c>
      <c r="C303" s="7" t="inlineStr">
        <is>
          <t>SSN Combat Control Systems</t>
        </is>
      </c>
      <c r="D303" s="7" t="inlineStr">
        <is>
          <t>"The AN/BYG-1 is the combat control system common across all submarine platforms which incorporates tactical control, weapon/payload control and Tactical Local Area Network (TacLAN) functions into a single procurement program. AN/BYG-1 allows the submarine to rapidly update the ship-safety tactical picture, integrates the common tactical picture into the battlegroup, improves torpedo interfaces, and provides tactical TOMAHAWK, Harpoon counter measures, and other payload capabilities. AN/BYG-1 systems will be continuously updated with hardware enhancements to address Commercial Off The Shelf (COTS) obsolescence, and provide capability improvements through software upgrades."</t>
        </is>
      </c>
    </row>
    <row r="304" ht="10" customHeight="1">
      <c r="A304" s="7" t="n">
        <v>3103</v>
      </c>
      <c r="B304" s="7" t="inlineStr">
        <is>
          <t>OPN_BA4</t>
        </is>
      </c>
      <c r="C304" s="7" t="inlineStr">
        <is>
          <t>VB034 SSBN Modernization Tech Insertion OHIO Class [P-3a Mod 1]</t>
        </is>
      </c>
      <c r="D304" s="7" t="inlineStr">
        <is>
          <t>"This program will provide submarine combat control systems with COTS-based upgrades to combat control and tactical control hardware and software."</t>
        </is>
      </c>
    </row>
    <row r="305" ht="10" customHeight="1">
      <c r="A305" s="7" t="n">
        <v>3104</v>
      </c>
      <c r="B305" s="7" t="inlineStr">
        <is>
          <t>OPN_BA4</t>
        </is>
      </c>
      <c r="C305" s="7" t="inlineStr">
        <is>
          <t>VB034 Upgrades TI04+ SSN21 Class [P-3a Mod 2]</t>
        </is>
      </c>
      <c r="D305" s="7" t="inlineStr">
        <is>
          <t>"This program will provide submarine combat control systems with COTS-based upgrades to combat control and tactical control hardware and software."</t>
        </is>
      </c>
    </row>
    <row r="306" ht="10" customHeight="1">
      <c r="A306" s="7" t="n">
        <v>3106</v>
      </c>
      <c r="B306" s="7" t="inlineStr">
        <is>
          <t>OPN_BA4</t>
        </is>
      </c>
      <c r="C306" s="7" t="inlineStr">
        <is>
          <t>VB034 Upgrades TI04+ SSN774 Class [P-3a Mod 4]</t>
        </is>
      </c>
      <c r="D306" s="7" t="inlineStr">
        <is>
          <t>"This program will provide submarine combat control systems with COTS-based upgrades to combat control and tactical control hardware and software and Common Weapon Launcher (CWL). SSN774 Class w/ CWL costs are greater than the costs for SSN774 Class (without CWL) due to the fact that CWL brings additional weapon launch interface hardware that allows AN/BYG-1 to communicate with the weapon launchers and the weapons. The CWL hardware requires additional ship alterations, installation procedures, installation verification procedures, cabling, and manpower."</t>
        </is>
      </c>
    </row>
    <row r="307" ht="10" customHeight="1">
      <c r="A307" s="7" t="n">
        <v>3109</v>
      </c>
      <c r="B307" s="7" t="inlineStr">
        <is>
          <t>OPN_BA4</t>
        </is>
      </c>
      <c r="C307" s="7" t="inlineStr">
        <is>
          <t>VB034 SSN774 BLK V+ w/CWL Tech Insert - PSA Install [P-3a Mod 7]</t>
        </is>
      </c>
      <c r="D307" s="7" t="inlineStr">
        <is>
          <t>"This program will provide submarine combat control systems with COTS-based upgrades to combat control and tactical control hardware and software. SSN 774 BLK V w/CWL installations costs during a PSA are greater due to increased costs incurred for shipyard services, additional industrial work scheduling and installation efforts, increased installation verification efforts, and additional certification workload."</t>
        </is>
      </c>
    </row>
    <row r="308" ht="10" customHeight="1">
      <c r="A308" s="7" t="n">
        <v>3110</v>
      </c>
      <c r="B308" s="7" t="inlineStr">
        <is>
          <t>OPN_BA4</t>
        </is>
      </c>
      <c r="C308" s="7" t="inlineStr">
        <is>
          <t>ASW Support Equipment</t>
        </is>
      </c>
      <c r="D308" s="7" t="inlineStr">
        <is>
          <t>"This Budget Line Item (BLI) consists of three separate and distinct programs, the Submarine Weapons Launching and Handling Support Equipment program, the Surface ASW Support Equipment program, and the ASW Range Support Equipment program. SUBMARINE WEAPONS LAUNCHING AND HANDLING SUPPORT EQUIPMENT (Cost Codes VC000/VC830/VC5IN): Funding for modifications and improvements to SSN 688, SSBN 726 and SSN 21 classes Attack and Ballistic Missile Submarine weapons launching, stowage and shipping systems, torpedo tube system components and torpedo tube test equipment. These requirements arise as a result of the introduction of new or modified weapons, devices, and sensors and their subsequent evaluation test and operational use."</t>
        </is>
      </c>
    </row>
    <row r="309" ht="10" customHeight="1">
      <c r="A309" s="7" t="n">
        <v>3124</v>
      </c>
      <c r="B309" s="7" t="inlineStr">
        <is>
          <t>OPN_BA4</t>
        </is>
      </c>
      <c r="C309" s="7" t="inlineStr">
        <is>
          <t>VC010 - AN/UQN-10 Sonar Sounding Set Fathometer [P-3a Mod 1]</t>
        </is>
      </c>
      <c r="D309" s="7" t="inlineStr">
        <is>
          <t>"This line item is responsible for the fielding of the next generation AN/UQN-10 Sonar Sounding Set Fathometer as a Commercial-Off-The-Shelf (COTS) retrofit/replacement of legacy AN/UQN-4/4A systems on Destroyer (DDG51 Class), Aircraft Carrier (CVN Class), and Amphibious (LHA, LHD, LPD, LSD, LCC) platforms. This program will also finance the non-recurring engineering (NRE) required to upgrade acoustic communications and convert the non-program of record fathometers and transducers employed on Littoral Combat Ship (LCS) and DDG1000 platforms to the common program of record AN/UQN-10 Sonar Sounding Set Fathometer and TR-355 transducer. Retrofit of legacy AN/UQN-4/4A systems is required to increase Reliability, Maintainability &amp; Availability (RM&amp;A) metrics, increase overall Sonar Sounding Set Fathometer system Operational Availability (Ao), eliminate obsolescence issues and reduce supportability costs."</t>
        </is>
      </c>
    </row>
    <row r="310" ht="10" customHeight="1">
      <c r="A310" s="7" t="n">
        <v>3125</v>
      </c>
      <c r="B310" s="7" t="inlineStr">
        <is>
          <t>OPN_BA4</t>
        </is>
      </c>
      <c r="C310" s="7" t="inlineStr">
        <is>
          <t>EOD Equipment</t>
        </is>
      </c>
      <c r="D310" s="7" t="inlineStr">
        <is>
          <t>"Explosive Ordnance Disposal (EOD) Equipment procures Navy EOD required tools and equipment developed to support a lethal, agile, and resilient force. In alignment with efforts to modernize in accordance with the National Defense Strategy, EOD Technicians require specialized tools to enable dynamic maneuver of Ships, Submarines, and Aircraft against near peer adversaries through the render safe and mitigation of explosive hazards on land and underwater. EOD Equipment supports 134 EOD Platoons both OCONUS and CONUS operations that allow the ability to detect, access, diagnose, render safe, exploit, and dispose of threats to National Security."</t>
        </is>
      </c>
    </row>
    <row r="311" ht="10" customHeight="1">
      <c r="A311" s="7" t="n">
        <v>3126</v>
      </c>
      <c r="B311" s="7" t="inlineStr">
        <is>
          <t>OPN_BA4</t>
        </is>
      </c>
      <c r="C311" s="7" t="inlineStr">
        <is>
          <t>VN077 - Navy EOD Equipment</t>
        </is>
      </c>
      <c r="D311" s="7" t="inlineStr">
        <is>
          <t>"Procurement is a recapitalization of funds to purchase Large Unmanned Ground Vehicles (UGV) robotic systems for Navy EOD Shore Based Detachments (SBD) and next generation radiological detection equipment"</t>
        </is>
      </c>
    </row>
    <row r="312" ht="10" customHeight="1">
      <c r="A312" s="7" t="n">
        <v>3128</v>
      </c>
      <c r="B312" s="7" t="inlineStr">
        <is>
          <t>OPN_BA4</t>
        </is>
      </c>
      <c r="C312" s="7" t="inlineStr">
        <is>
          <t>Counter Unmanned Aircraft Systems (CUAS/DRAKE)</t>
        </is>
      </c>
      <c r="D312" s="7" t="inlineStr">
        <is>
          <t>"Procures DRAKE 2.0 systems for the surface subsurface carrier amphibious and MSC assets for the US Navy"</t>
        </is>
      </c>
    </row>
    <row r="313" ht="10" customHeight="1">
      <c r="A313" s="7" t="n">
        <v>3129</v>
      </c>
      <c r="B313" s="7" t="inlineStr">
        <is>
          <t>OPN_BA4</t>
        </is>
      </c>
      <c r="C313" s="7" t="inlineStr">
        <is>
          <t>DRAKE Systems/Tech Insertion Undersea Enterprise</t>
        </is>
      </c>
      <c r="D313" s="7" t="inlineStr">
        <is>
          <t>"Procures 13 DRAKE 2.0 systems and 27 Retrofit Kits to upgrade DRAKE 1.0 Systems currently fielded onboard all Submarine Classes"</t>
        </is>
      </c>
    </row>
    <row r="314" ht="10" customHeight="1">
      <c r="A314" s="7" t="n">
        <v>3130</v>
      </c>
      <c r="B314" s="7" t="inlineStr">
        <is>
          <t>OPN_BA4</t>
        </is>
      </c>
      <c r="C314" s="7" t="inlineStr">
        <is>
          <t>DRAKE Systems/Tech Insertion Air Enterprise</t>
        </is>
      </c>
      <c r="D314" s="7" t="inlineStr">
        <is>
          <t>"Procures Retrofit Kits to upgrade 44 DRAKE 1.0 Systems currently fielded onboard all CVN Class Ships"</t>
        </is>
      </c>
    </row>
    <row r="315" ht="10" customHeight="1">
      <c r="A315" s="7" t="n">
        <v>3131</v>
      </c>
      <c r="B315" s="7" t="inlineStr">
        <is>
          <t>OPN_BA4</t>
        </is>
      </c>
      <c r="C315" s="7" t="inlineStr">
        <is>
          <t>Directed Energy Systems</t>
        </is>
      </c>
      <c r="D315" s="7" t="inlineStr">
        <is>
          <t>"Directed Energy Weapon Systems consist of multiple breakthrough technologies including laser weapons that provide for speed-of-light engagements at tactically significant ranges resulting in savings realized by minimizing the use of defensive missiles and projectiles, allowing for non-lethal determination of threat intent beyond small arms fire ranges. The AN/SEQ-4 Optical Dazzler Interdictor Navy (ODIN) program was initiated in FY18 in response to an urgent Fleet Counter-Intelligence, Surveillance, and Reconnaissance (C-ISR) gap. ODIN's primary mission is C-ISR capability against Electro-Optical/Infra-Red (EO/IR) sensors, is queued from a one-way CEC track feed, and has an ISR capability to aid the Fleet in battlespace awareness."</t>
        </is>
      </c>
    </row>
    <row r="316" ht="10" customHeight="1">
      <c r="A316" s="7" t="n">
        <v>3132</v>
      </c>
      <c r="B316" s="7" t="inlineStr">
        <is>
          <t>OPN_BA4</t>
        </is>
      </c>
      <c r="C316" s="7" t="inlineStr">
        <is>
          <t>DE001 ILS/Production Support</t>
        </is>
      </c>
      <c r="D316" s="7" t="inlineStr">
        <is>
          <t>"FY26 ILS/Production funding is required to maintain the Government capability to perform repairs on system components that have failed during shipboard operations"</t>
        </is>
      </c>
    </row>
    <row r="317" ht="10" customHeight="1">
      <c r="A317" s="7" t="n">
        <v>3133</v>
      </c>
      <c r="B317" s="7" t="inlineStr">
        <is>
          <t>OPN_BA4</t>
        </is>
      </c>
      <c r="C317" s="7" t="inlineStr">
        <is>
          <t>DE001 Engineering Change Proposals (ECPs)</t>
        </is>
      </c>
      <c r="D317" s="7" t="inlineStr">
        <is>
          <t>"FY26 ECP funding will address previously known emergent and anticipated reliability and other Fleet generated emergent issues"</t>
        </is>
      </c>
    </row>
    <row r="318" ht="10" customHeight="1">
      <c r="A318" s="7" t="n">
        <v>3134</v>
      </c>
      <c r="B318" s="7" t="inlineStr">
        <is>
          <t>OPN_BA4</t>
        </is>
      </c>
      <c r="C318" s="7" t="inlineStr">
        <is>
          <t>DE001 Spares</t>
        </is>
      </c>
      <c r="D318" s="7" t="inlineStr">
        <is>
          <t>"FY26 Spares funding will support the procurement of long lead time spares and repair parts for critical system components"</t>
        </is>
      </c>
    </row>
    <row r="319" ht="10" customHeight="1">
      <c r="A319" s="7" t="n">
        <v>3135</v>
      </c>
      <c r="B319" s="7" t="inlineStr">
        <is>
          <t>OPN_BA4</t>
        </is>
      </c>
      <c r="C319" s="7" t="inlineStr">
        <is>
          <t>DE001 Tech Refresh</t>
        </is>
      </c>
      <c r="D319" s="7" t="inlineStr">
        <is>
          <t>"FY26 Tech Refresh funding will support Government components developed in prior years that will be replaced by available (newer) components/sub-systems"</t>
        </is>
      </c>
    </row>
    <row r="320" ht="10" customHeight="1">
      <c r="A320" s="7" t="n">
        <v>3136</v>
      </c>
      <c r="B320" s="7" t="inlineStr">
        <is>
          <t>OPN_BA4</t>
        </is>
      </c>
      <c r="C320" s="7" t="inlineStr">
        <is>
          <t>Items Less Than $5 Million</t>
        </is>
      </c>
      <c r="D320" s="7" t="inlineStr">
        <is>
          <t>"Items Less Than $5 Million procures generic (non-weapons systems specific) test equipment needed to assess the effects of aging and exposure to environmental conditions on Navy weapons systems and ordnance such as mines, gun ammunition, missiles, pyrotechnics, demolition systems/devices, bombs, and torpedoes throughout the in-service portion of their life cycle and will be located at NAVSEA engineering field activities. Requirements for the test equipment come from a need to replace or modernize obsolete or economically non-repairable equipment or to acquire new or expanded generic test capabilities when new evaluation techniques or processes are needed. The equipment procured by these funds are generally "one of a kind" and are used to support generic Navy weapons systems and ordnance types."</t>
        </is>
      </c>
    </row>
    <row r="321" ht="10" customHeight="1">
      <c r="A321" s="7" t="n">
        <v>3137</v>
      </c>
      <c r="B321" s="7" t="inlineStr">
        <is>
          <t>OPN_BA4</t>
        </is>
      </c>
      <c r="C321" s="7" t="inlineStr">
        <is>
          <t>RA005 - Fleet Mine Support Equipment</t>
        </is>
      </c>
      <c r="D321" s="7" t="inlineStr">
        <is>
          <t>"Mine Countermeasure (MCM) Targets are used to physically and electronically emulate foreign mine threats for Fleet training exercises ranges and platform and system validation"</t>
        </is>
      </c>
    </row>
    <row r="322" ht="10" customHeight="1">
      <c r="A322" s="7" t="n">
        <v>3138</v>
      </c>
      <c r="B322" s="7" t="inlineStr">
        <is>
          <t>OPN_BA4</t>
        </is>
      </c>
      <c r="C322" s="7" t="inlineStr">
        <is>
          <t>RA003 - Industrial Facilities (NIROP ABL)</t>
        </is>
      </c>
      <c r="D322" s="7" t="inlineStr">
        <is>
          <t>"Provides funding for the procurement of industrial equipment in support of core manufacturing and production requirements at the Government-Owned/Contractor-Operated (GOCO) Naval Industrial Reserve Ordnance Plant (NIROP) Allegany Ballistics Laboratory (ABL)"</t>
        </is>
      </c>
    </row>
    <row r="323" ht="10" customHeight="1">
      <c r="A323" s="7" t="n">
        <v>3139</v>
      </c>
      <c r="B323" s="7" t="inlineStr">
        <is>
          <t>OPN_BA4</t>
        </is>
      </c>
      <c r="C323" s="7" t="inlineStr">
        <is>
          <t>Anti-ship Missile Decoy System</t>
        </is>
      </c>
      <c r="D323" s="7" t="inlineStr">
        <is>
          <t>"The Anti-Ship Missile Decoy Program covers a family of decoys and the equipment to deploy them. It is an essential element of the Anti-Ship Missile (ASM) Defense tactics to counter the threat of enemy homing missiles. Nulka is a joint program with Australia and is currently in service with the Australian and United States Navies."</t>
        </is>
      </c>
    </row>
    <row r="324" ht="10" customHeight="1">
      <c r="A324" s="7" t="n">
        <v>3143</v>
      </c>
      <c r="B324" s="7" t="inlineStr">
        <is>
          <t>OPN_BA4</t>
        </is>
      </c>
      <c r="C324" s="7" t="inlineStr">
        <is>
          <t>VV500 - AOEW (Advanced Offboard/EW)</t>
        </is>
      </c>
      <c r="D324" s="7" t="inlineStr">
        <is>
          <t>"Divestment of AOEW starting in FY26 AOEW CDD was cancelled and requirements were transferred to other programs"</t>
        </is>
      </c>
    </row>
    <row r="325" ht="10" customHeight="1">
      <c r="A325" s="7" t="n">
        <v>3149</v>
      </c>
      <c r="B325" s="7" t="inlineStr">
        <is>
          <t>OPN_BA4</t>
        </is>
      </c>
      <c r="C325" s="7" t="inlineStr">
        <is>
          <t>VV700 - Long Endurance Electronic Decoy (LEED)</t>
        </is>
      </c>
      <c r="D325" s="7" t="inlineStr">
        <is>
          <t>"LEED is replacing NULKA. LEED cannot field across all navy ships (DDGs CVNs CGs LHAs LPDs LSDs LCCs and FFGs)"</t>
        </is>
      </c>
    </row>
    <row r="326" ht="10" customHeight="1">
      <c r="A326" s="7" t="n">
        <v>3153</v>
      </c>
      <c r="B326" s="7" t="inlineStr">
        <is>
          <t>OPN_BA4</t>
        </is>
      </c>
      <c r="C326" s="7" t="inlineStr">
        <is>
          <t>Submarine Training Device Mods</t>
        </is>
      </c>
      <c r="D326" s="7" t="inlineStr">
        <is>
          <t>"The OPN 5661 line procures, installs and delivers training devices to eight Submarine Training Facilities. These funds support Hull, Mechanical, and Electrical (HM&amp;E), Engineering, Navigation and Combat Control System training requirements, training system upgrades and modernization for the Submarine Weapon Systems. Training devices develop system operations from basic through advanced seamanship skills to submarine crews utilized in all submarine mission sets."</t>
        </is>
      </c>
    </row>
    <row r="327" ht="10" customHeight="1">
      <c r="A327" s="7" t="n">
        <v>3155</v>
      </c>
      <c r="B327" s="7" t="inlineStr">
        <is>
          <t>OPN_BA4</t>
        </is>
      </c>
      <c r="C327" s="7" t="inlineStr">
        <is>
          <t>TD 100 HM&amp;E Trainers</t>
        </is>
      </c>
      <c r="D327" s="7" t="inlineStr">
        <is>
          <t>"FY2026 funding supports procurement of two Firefighting Trainer equipment suites"</t>
        </is>
      </c>
    </row>
    <row r="328" ht="10" customHeight="1">
      <c r="A328" s="7" t="n">
        <v>3156</v>
      </c>
      <c r="B328" s="7" t="inlineStr">
        <is>
          <t>OPN_BA4</t>
        </is>
      </c>
      <c r="C328" s="7" t="inlineStr">
        <is>
          <t>High Risk Trainers</t>
        </is>
      </c>
      <c r="D328" s="7" t="inlineStr">
        <is>
          <t>"FY2026 funding supports procurement of two Firefighting Trainer equipment suites"</t>
        </is>
      </c>
    </row>
    <row r="329" ht="10" customHeight="1">
      <c r="A329" s="7" t="n">
        <v>3157</v>
      </c>
      <c r="B329" s="7" t="inlineStr">
        <is>
          <t>OPN_BA4</t>
        </is>
      </c>
      <c r="C329" s="7" t="inlineStr">
        <is>
          <t>Submarine Training Devices</t>
        </is>
      </c>
      <c r="D329" s="7" t="inlineStr">
        <is>
          <t>"FY2026 procures Atmosphere Control Equipment upgrades to the simulator and Instructor Operator Station"</t>
        </is>
      </c>
    </row>
    <row r="330" ht="10" customHeight="1">
      <c r="A330" s="7" t="n">
        <v>3158</v>
      </c>
      <c r="B330" s="7" t="inlineStr">
        <is>
          <t>OPN_BA4</t>
        </is>
      </c>
      <c r="C330" s="7" t="inlineStr">
        <is>
          <t>Ship Control Trainers</t>
        </is>
      </c>
      <c r="D330" s="7" t="inlineStr">
        <is>
          <t>"FY2026 procures two Ship Control Operator Trainer Technical Refreshes"</t>
        </is>
      </c>
    </row>
    <row r="331" ht="10" customHeight="1">
      <c r="A331" s="7" t="n">
        <v>3159</v>
      </c>
      <c r="B331" s="7" t="inlineStr">
        <is>
          <t>OPN_BA4</t>
        </is>
      </c>
      <c r="C331" s="7" t="inlineStr">
        <is>
          <t>TD200 Engineering Trainers</t>
        </is>
      </c>
      <c r="D331" s="7" t="inlineStr">
        <is>
          <t>"FY2026 procures Submarine Basic Maintenance Course and FIDE training laboratories - Includes S6G S8G S9G S1B A4W A1B and CVN77 Nuclear Power Operator Trainers"</t>
        </is>
      </c>
    </row>
    <row r="332" ht="10" customHeight="1">
      <c r="A332" s="7" t="n">
        <v>3160</v>
      </c>
      <c r="B332" s="7" t="inlineStr">
        <is>
          <t>OPN_BA4</t>
        </is>
      </c>
      <c r="C332" s="7" t="inlineStr">
        <is>
          <t>FIDE</t>
        </is>
      </c>
      <c r="D332" s="7" t="inlineStr">
        <is>
          <t>"FY2026 procures Submarine Basic Maintenance Course and FIDE training laboratories"</t>
        </is>
      </c>
    </row>
    <row r="333" ht="10" customHeight="1">
      <c r="A333" s="7" t="n">
        <v>3166</v>
      </c>
      <c r="B333" s="7" t="inlineStr">
        <is>
          <t>OPN_BA4</t>
        </is>
      </c>
      <c r="C333" s="7" t="inlineStr">
        <is>
          <t>Columbia Safety of Ship Trainer</t>
        </is>
      </c>
      <c r="D333" s="7" t="inlineStr">
        <is>
          <t>"FY2026 adds funding for procurement and delivery of Columbia Class trainer equipment"</t>
        </is>
      </c>
    </row>
    <row r="334" ht="10" customHeight="1">
      <c r="A334" s="7" t="n">
        <v>3169</v>
      </c>
      <c r="B334" s="7" t="inlineStr">
        <is>
          <t>OPN_BA4</t>
        </is>
      </c>
      <c r="C334" s="7" t="inlineStr">
        <is>
          <t>Fleet Responsive Team Trainers</t>
        </is>
      </c>
      <c r="D334" s="7" t="inlineStr">
        <is>
          <t>"FY2026 reduces quantity procurement from five to one. This procures one Sonar Employment Trainer (SET)"</t>
        </is>
      </c>
    </row>
    <row r="335" ht="10" customHeight="1">
      <c r="A335" s="7" t="n">
        <v>3170</v>
      </c>
      <c r="B335" s="7" t="inlineStr">
        <is>
          <t>OPN_BA4</t>
        </is>
      </c>
      <c r="C335" s="7" t="inlineStr">
        <is>
          <t>Engineering Tech Support</t>
        </is>
      </c>
      <c r="D335" s="7" t="inlineStr">
        <is>
          <t>"FY2026 funds Cyber Security Multi-Purpose Interactive Trainer (MIT) and STRATUS engineering support. Also provides funding to include SEAWOLF Class like sensors into the COAET for TTF Bangor training"</t>
        </is>
      </c>
    </row>
    <row r="336" ht="10" customHeight="1">
      <c r="A336" s="7" t="n">
        <v>3171</v>
      </c>
      <c r="B336" s="7" t="inlineStr">
        <is>
          <t>OPN_BA4</t>
        </is>
      </c>
      <c r="C336" s="7" t="inlineStr">
        <is>
          <t>TD 500 Attack Center Trainers</t>
        </is>
      </c>
      <c r="D336" s="7" t="inlineStr">
        <is>
          <t>"FY2026 procures four Submarine Attack Center modernization efforts"</t>
        </is>
      </c>
    </row>
    <row r="337" ht="10" customHeight="1">
      <c r="A337" s="7" t="n">
        <v>3172</v>
      </c>
      <c r="B337" s="7" t="inlineStr">
        <is>
          <t>OPN_BA4</t>
        </is>
      </c>
      <c r="C337" s="7" t="inlineStr">
        <is>
          <t>Submarine Attack Centers</t>
        </is>
      </c>
      <c r="D337" s="7" t="inlineStr">
        <is>
          <t>"FY2026 procures four Submarine Attack Center modernization efforts to include procurements related to TI/APB modernization hardware and software for SSN/SSBN/SSGN submarine attack centers"</t>
        </is>
      </c>
    </row>
    <row r="338" ht="10" customHeight="1">
      <c r="A338" s="7" t="n">
        <v>3173</v>
      </c>
      <c r="B338" s="7" t="inlineStr">
        <is>
          <t>OPN_BA4</t>
        </is>
      </c>
      <c r="C338" s="7" t="inlineStr">
        <is>
          <t>SSBN SSGN SSN EPM</t>
        </is>
      </c>
      <c r="D338" s="7" t="inlineStr">
        <is>
          <t>"Includes 688 VA SSGN SSBN and CLB EPMs"</t>
        </is>
      </c>
    </row>
    <row r="339" ht="10" customHeight="1">
      <c r="A339" s="7" t="n">
        <v>3174</v>
      </c>
      <c r="B339" s="7" t="inlineStr">
        <is>
          <t>OPN_BA4</t>
        </is>
      </c>
      <c r="C339" s="7" t="inlineStr">
        <is>
          <t>SMMTT Tech Support</t>
        </is>
      </c>
      <c r="D339" s="7" t="inlineStr">
        <is>
          <t>"FY2026 increases due to additional tech support required for adding Large Vertical Array (LVA) capabilities to VA Class SMMTTS"</t>
        </is>
      </c>
    </row>
    <row r="340" ht="10" customHeight="1">
      <c r="A340" s="7" t="n">
        <v>3175</v>
      </c>
      <c r="B340" s="7" t="inlineStr">
        <is>
          <t>OPN_BA4</t>
        </is>
      </c>
      <c r="C340" s="7" t="inlineStr">
        <is>
          <t>Submarine Attack Center Modifications [P-3a Mod 1]</t>
        </is>
      </c>
      <c r="D340" s="7" t="inlineStr">
        <is>
          <t>"Submarine Attack Center Modifications line upgrades hardware, software and simulation to match current Fleet configurations."</t>
        </is>
      </c>
    </row>
    <row r="341" ht="10" customHeight="1">
      <c r="A341" s="7" t="n">
        <v>3178</v>
      </c>
      <c r="B341" s="7" t="inlineStr">
        <is>
          <t>OPN_BA4</t>
        </is>
      </c>
      <c r="C341" s="7" t="inlineStr">
        <is>
          <t>Surface Training Equipment</t>
        </is>
      </c>
      <c r="D341" s="7" t="inlineStr">
        <is>
          <t>"This line provides funding to procure, modify, and upgrade training devices to keep them compatible with equivalent changes made to Fleet operational equipment. Funds ensure alignment between Surface Learning Centers and Fleet Concentration Area training systems and Fleet training requirements as dictated by the Surface Training Investment Plan (STIP). SURFACE TRAINING ADVANCED VIRTUAL ENVIRONMENT (STAVE) SEAFRAME SIMULATORS Funds provided for hardware and software associated with tech refresh of the training systems at the Littoral Combat Ships (LCS) Training Facilities (LTF) and Surface Warfare Schools Command (SWSC) Newport, RI."</t>
        </is>
      </c>
    </row>
    <row r="342" ht="10" customHeight="1">
      <c r="A342" s="7" t="n">
        <v>3202</v>
      </c>
      <c r="B342" s="7" t="inlineStr">
        <is>
          <t>OPN_BA4</t>
        </is>
      </c>
      <c r="C342" s="7" t="inlineStr">
        <is>
          <t>MB040 - BFTT/ATD Ship Sets [P-3a Mod 1]</t>
        </is>
      </c>
      <c r="D342" s="7" t="inlineStr">
        <is>
          <t>"The Total Ship Training Capability (TSTC)/Advanced Training Domain (ATD)/ Battle Force Tactical Training (BFTT) family of systems provides realistic joint warfare training across the spectrum of armed conflict; realistic unit level team training in all warfare areas; a means to link ships together which are in different homeports for coordinated training; external stimulation of shipboard training systems; and simulation of non-shipboard forces. TSTC/ATD/BFTT uses a distributed architecture, integrating existing training systems, and uses Distributed Interactive Simulation (DIS) and High Level Architecture (HLA) protocols. TSTC/ATD/BFTT provides ships' Commanding Officers and Strike Group/Battle Force (SG/BF) Commanders with the ability to conduct coordinated realistic, high stress, combat system level team training as an integral part of the Afloat Training Groups (ATGs), the Tactical Training Groups and C2F/C3F Fleet Synthetic Training (FSTs)/Live Virtual Constructive (LVC) exercises."</t>
        </is>
      </c>
    </row>
    <row r="343" ht="10" customHeight="1">
      <c r="A343" s="7" t="n">
        <v>3205</v>
      </c>
      <c r="B343" s="7" t="inlineStr">
        <is>
          <t>OPN_BA4</t>
        </is>
      </c>
      <c r="C343" s="7" t="inlineStr">
        <is>
          <t>MB040 BFTT/ATD/TSTC Upgrade Kits [P-3a Mod 2]</t>
        </is>
      </c>
      <c r="D343" s="7" t="inlineStr">
        <is>
          <t>"Total Ship Training Capability (TSTC)/ Battle Force Tactical Training (BFTT) family of systems Upgrade Kits procure, install, and remove various quantities of upgrade kit/Engineering Change Proposal (ECP) system components, ShipAlts, Field Changes and Software Deliveries on surface ships and related shore sites to support the fleet's needs. Upgrade kits also support Shipboard Connectivity Suite (SCS) Tech Refresh and Fleet Synthetic Training (FST) Shipboard Network Connectivity upgrades. [BFTT/ATD/TSTC Upgrade Kits] ShipAlts are upgrades driven by Combat Systems configuration as well as training configuration requirements."</t>
        </is>
      </c>
    </row>
    <row r="344" ht="10" customHeight="1">
      <c r="A344" s="7" t="n">
        <v>3213</v>
      </c>
      <c r="B344" s="7" t="inlineStr">
        <is>
          <t>OPN_BA5-8</t>
        </is>
      </c>
      <c r="C344" s="7" t="inlineStr">
        <is>
          <t>Amphibious Equipment</t>
        </is>
      </c>
      <c r="D344" s="7" t="inlineStr">
        <is>
          <t>This budget line item funds the procurement of equipment to support Navy-Marine Corps amphibious operations, Logistics Over the Shore, and Joint Logistics Over the Shore operations. This provides the ability to execute the ship to shore transfer of vehicles, dry cargo, and liquid cargo, delivered over bare beaches</t>
        </is>
      </c>
    </row>
    <row r="345" ht="10" customHeight="1">
      <c r="A345" s="7" t="n">
        <v>3215</v>
      </c>
      <c r="B345" s="7" t="inlineStr">
        <is>
          <t>OPN_BA5-8</t>
        </is>
      </c>
      <c r="C345" s="7" t="inlineStr">
        <is>
          <t>Supply Equipment</t>
        </is>
      </c>
      <c r="D345" s="7" t="inlineStr">
        <is>
          <t>Material Handling Equipment (MHE) and Shipboard Mobile Support Equipment (SMSE) is critical as ships cannot be mission-ready without the proper MHE/SMSE to move essential ammo, stores and material. Includes Navy Cash program for shipboard retail automation.</t>
        </is>
      </c>
    </row>
    <row r="346" ht="10" customHeight="1">
      <c r="A346" s="7" t="n">
        <v>3217</v>
      </c>
      <c r="B346" s="7" t="inlineStr">
        <is>
          <t>OPN_BA5-8</t>
        </is>
      </c>
      <c r="C346" s="7" t="inlineStr">
        <is>
          <t>Special Purpose Supply Systems</t>
        </is>
      </c>
      <c r="D346" s="7" t="inlineStr">
        <is>
          <t>The details of this budget justification are classified, per Executive Order 13526, Sec 1.4 (a) and are submitted annually to Congress in the classified budget justification book.</t>
        </is>
      </c>
    </row>
    <row r="347" ht="10" customHeight="1">
      <c r="A347" s="7" t="n">
        <v>3219</v>
      </c>
      <c r="B347" s="7" t="inlineStr">
        <is>
          <t>OPN_BA5-8</t>
        </is>
      </c>
      <c r="C347" s="7" t="inlineStr">
        <is>
          <t>Medical Support Equipment</t>
        </is>
      </c>
      <c r="D347" s="7" t="inlineStr">
        <is>
          <t>The Medical Support Equipment (MSE) program funds new medical capability and new technology on naval operating ships. MSE configuration management, spares, technical manuals and installations are also funded through this line item.</t>
        </is>
      </c>
    </row>
    <row r="348" ht="10" customHeight="1">
      <c r="A348" s="7" t="n">
        <v>3221</v>
      </c>
      <c r="B348" s="7" t="inlineStr">
        <is>
          <t>OPN_BA5-8</t>
        </is>
      </c>
      <c r="C348" s="7" t="inlineStr">
        <is>
          <t>Spares and Repair Parts</t>
        </is>
      </c>
      <c r="D348" s="7" t="inlineStr">
        <is>
          <t>OPN-8 Budget Line Item (BLI) 9020 Spares and Repair Parts Budget provides funding to procure spares for systems and equipment budgeted in Budget Activities (BA) 01-07. This budget is a follow on account, which supports End Item Hardware procurements.</t>
        </is>
      </c>
    </row>
    <row r="349" ht="10" customHeight="1">
      <c r="A349" s="7" t="n">
        <v>3222</v>
      </c>
      <c r="B349" s="7" t="inlineStr">
        <is>
          <t>OPN_BA5-8</t>
        </is>
      </c>
      <c r="C349" s="7" t="inlineStr">
        <is>
          <t>VIRGINIA Class (VACL) Spares and Repair Parts</t>
        </is>
      </c>
      <c r="D349" s="7" t="inlineStr">
        <is>
          <t>The VIRGINIA Class (VACL) Spares and Repair Parts program was a new program line started in FY 2024 specifically added to address ongoing issues with execution of VIRGINIA Class (VACL) Chief of Naval Operations (CNO) maintenance availabilities. Specifically, lack of material is significantly impacting the ability of shipyards to be able to start work on time, conduct required repairs, and complete work in a timely and efficient manner.</t>
        </is>
      </c>
    </row>
    <row r="350" ht="10" customHeight="1">
      <c r="A350" s="7" t="n">
        <v>3256</v>
      </c>
      <c r="B350" s="7" t="inlineStr">
        <is>
          <t>WPN</t>
        </is>
      </c>
      <c r="C350" s="7" t="inlineStr">
        <is>
          <t>TRIDENT II Mods</t>
        </is>
      </c>
      <c r="D350" s="7" t="inlineStr">
        <is>
          <t>To maintain a strong strategic deterrent, the US Navy modernized the TRIDENT II (D5) missiles to the D5LE version, enhancing submarine survivability with increased range, minimizing costs by maximizing payload, and adding hard target kill capability for deployment on OHIO and COLUMBIA-class submarines.</t>
        </is>
      </c>
    </row>
    <row r="351" ht="10" customHeight="1">
      <c r="A351" s="7" t="n">
        <v>3257</v>
      </c>
      <c r="B351" s="7" t="inlineStr">
        <is>
          <t>WPN</t>
        </is>
      </c>
      <c r="C351" s="7" t="inlineStr">
        <is>
          <t>TRIDENT II Mods: D5 Life Extension</t>
        </is>
      </c>
      <c r="D351" s="7" t="inlineStr">
        <is>
          <t>The D5 Life Extension (D5LE) program funds re-entry body Joint Fuze Sustainment, the guidance system SPALT kits program, procures missile electronics packages (Flight Control Electronic Assembly, Missile Inverter, Command Sequencer, and Interlocks) and production support.</t>
        </is>
      </c>
    </row>
    <row r="352" ht="10" customHeight="1">
      <c r="A352" s="7" t="n">
        <v>3258</v>
      </c>
      <c r="B352" s="7" t="inlineStr">
        <is>
          <t>WPN</t>
        </is>
      </c>
      <c r="C352" s="7" t="inlineStr">
        <is>
          <t>TRIDENT II Mods: Operating &amp; Support Costs</t>
        </is>
      </c>
      <c r="D352" s="7" t="inlineStr">
        <is>
          <t>The Operating and Support Costs program funds efforts associated with the sustainment of TRIDENT II (D5) and the converted D5LE missiles to include Warhead Components, Mk4B Shape Stable Nose Tip (SSNT), Tooling, Test/Support Equipment, system integration and planning efforts, Supportability Modifications/Strategic Programs Alteration (SPALT) Insertion, SRM, PBCS, and Industrial Base Sub-Tier Recapitalization - Strategic Solid Rocket Motors (SSRM).</t>
        </is>
      </c>
    </row>
    <row r="353" ht="10" customHeight="1">
      <c r="A353" s="7" t="n">
        <v>3259</v>
      </c>
      <c r="B353" s="7" t="inlineStr">
        <is>
          <t>WPN</t>
        </is>
      </c>
      <c r="C353" s="7" t="inlineStr">
        <is>
          <t>TRIDENT II Mods: D5 Life Extension 2 (D5LE2)</t>
        </is>
      </c>
      <c r="D353" s="7" t="inlineStr">
        <is>
          <t>The D5 Life Extension II (D5LE2) subprogram, supporting the COLUMBIA-class Submarine, will continue WPN activities on the detailed design and non-recurring engineering efforts critical for the Strategic Weapons Systems (SWS) subsystems (Missile, Guidance, Fire Control, Launcher, Navigation, etc.) to incorporate design impacts driven by system level requirement refinement.</t>
        </is>
      </c>
    </row>
    <row r="354" ht="10" customHeight="1">
      <c r="A354" s="7" t="n">
        <v>3260</v>
      </c>
      <c r="B354" s="7" t="inlineStr">
        <is>
          <t>WPN</t>
        </is>
      </c>
      <c r="C354" s="7" t="inlineStr">
        <is>
          <t>Missile Industrial Facilities</t>
        </is>
      </c>
      <c r="D354" s="7" t="inlineStr">
        <is>
          <t>Funding for Missile Industrial Facilities provides for capital maintenance projects at Navy-owned Naval Industrial Reserve Ordnance Plants (NIROPs) at Sunnyvale, California, Santa Cruz, California, and Bacchus, Utah in support of the Fleet Ballistic Missile program.</t>
        </is>
      </c>
    </row>
    <row r="355" ht="10" customHeight="1">
      <c r="A355" s="7" t="n">
        <v>3261</v>
      </c>
      <c r="B355" s="7" t="inlineStr">
        <is>
          <t>WPN</t>
        </is>
      </c>
      <c r="C355" s="7" t="inlineStr">
        <is>
          <t>Tomahawk</t>
        </is>
      </c>
      <c r="D355" s="7" t="inlineStr">
        <is>
          <t>The Block V TACTOM (Tactical Tomahawk) surface launched guided missile (RGM) and undersea guided missile (UGM)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row>
    <row r="356" ht="10" customHeight="1">
      <c r="A356" s="7" t="n">
        <v>3262</v>
      </c>
      <c r="B356" s="7" t="inlineStr">
        <is>
          <t>WPN</t>
        </is>
      </c>
      <c r="C356" s="7" t="inlineStr">
        <is>
          <t>AMRAAM</t>
        </is>
      </c>
      <c r="D356" s="7" t="inlineStr">
        <is>
          <t>The Advanced Medium Range Air-to-Air Missile (AMRAAM) is a joint Air Force/Navy, Acquisition Category 1C program with Air Force as lead service. AMRAAM is the premier all-weather, all-environment, radar-guided missile with improved capabilities against very low and high-altitude targets in an electronic attack environment.</t>
        </is>
      </c>
    </row>
    <row r="357" ht="10" customHeight="1">
      <c r="A357" s="7" t="n">
        <v>3263</v>
      </c>
      <c r="B357" s="7" t="inlineStr">
        <is>
          <t>WPN</t>
        </is>
      </c>
      <c r="C357" s="7" t="inlineStr">
        <is>
          <t>Sidewinder</t>
        </is>
      </c>
      <c r="D357" s="7" t="inlineStr">
        <is>
          <t>The AIM-9X Block II Sidewinder (AIM-9X Blk II) continues the evolution of the AIM-9 series of missiles. This missile program delivers a launch and leave, air combat munition that uses passive Infrared (IR) energy to acquire and track enemy air targets and complements the radar guided Advanced Medium Range Air-to-Air Missile (AMRAAM).</t>
        </is>
      </c>
    </row>
    <row r="358" ht="10" customHeight="1">
      <c r="A358" s="7" t="n">
        <v>3264</v>
      </c>
      <c r="B358" s="7" t="inlineStr">
        <is>
          <t>WPN</t>
        </is>
      </c>
      <c r="C358" s="7" t="inlineStr">
        <is>
          <t>Joint Advance Tactical Missile (JATM)</t>
        </is>
      </c>
      <c r="D358" s="7" t="inlineStr">
        <is>
          <t>The details of this budget justification are classified per Executive Order 13526 Sec 1.4 (a) and are submitted annually to Congress in the classified budget justification book.</t>
        </is>
      </c>
    </row>
    <row r="359" ht="10" customHeight="1">
      <c r="A359" s="7" t="n">
        <v>3265</v>
      </c>
      <c r="B359" s="7" t="inlineStr">
        <is>
          <t>WPN</t>
        </is>
      </c>
      <c r="C359" s="7" t="inlineStr">
        <is>
          <t>Standard Missile</t>
        </is>
      </c>
      <c r="D359" s="7" t="inlineStr">
        <is>
          <t>The SM-6 Block I/IA/IAU provides an extended range engagement capability to provide the air superiority and the umbrella of protection for joint U.S. forces and allies against the full spectrum of manned-fixed and rotary-winged aircraft, unmanned aerial vehicles, and land attack and anti-ship cruise missiles in flight. The SM-6 is the primary extended range air defense weapon for AEGIS cruisers and destroyers, Constellation class frigate and potentially future combatants.</t>
        </is>
      </c>
    </row>
    <row r="360" ht="10" customHeight="1">
      <c r="A360" s="7" t="n">
        <v>3266</v>
      </c>
      <c r="B360" s="7" t="inlineStr">
        <is>
          <t>WPN</t>
        </is>
      </c>
      <c r="C360" s="7" t="inlineStr">
        <is>
          <t>Standard Missile Advance Procurement</t>
        </is>
      </c>
      <c r="D360" s="7" t="inlineStr">
        <is>
          <t>FY 24 is the first year of a base plus option procurement. Advanced procurement includes the acquisition of long lead items or economic order quantities (EOQ) of items (advanced EOQ acquisition). Advance material may include materials, parts, components, and effort that must be funded in advance to maintain a planned production schedule.</t>
        </is>
      </c>
    </row>
    <row r="361" ht="10" customHeight="1">
      <c r="A361" s="7" t="n">
        <v>3267</v>
      </c>
      <c r="B361" s="7" t="inlineStr">
        <is>
          <t>WPN</t>
        </is>
      </c>
      <c r="C361" s="7" t="inlineStr">
        <is>
          <t>Small Diameter Bomb II (SDB II)</t>
        </is>
      </c>
      <c r="D361" s="7" t="inlineStr">
        <is>
          <t>Small Diameter Bomb Increment II (SDB II) is an ACAT 1C program providing the warfighter a capability to attack mobile targets in all weather. The U.S. Air Force (USAF) is the lead service. The SDB II increases joint lethality in contested environments.</t>
        </is>
      </c>
    </row>
    <row r="362" ht="10" customHeight="1">
      <c r="A362" s="7" t="n">
        <v>3268</v>
      </c>
      <c r="B362" s="7" t="inlineStr">
        <is>
          <t>WPN</t>
        </is>
      </c>
      <c r="C362" s="7" t="inlineStr">
        <is>
          <t>Rolling Airframe Missile (RAM)</t>
        </is>
      </c>
      <c r="D362" s="7" t="inlineStr">
        <is>
          <t>Rolling Airframe Missile (RAM) is a high firepower missile system used to defeat Anti-Ship Cruise Missiles (ASCMs), as well as other airborne threats. The RAM missile is fired from a RAM Guided Missile Launching System (GMLS) (MK-49), which holds 21 RAM rounds. RAM is also fired from the Close-In Weapon System (CIWS) SeaRAM Anti-Ship Missile Defense System (MK-15 MOD 31-33) which holds 11 rounds.</t>
        </is>
      </c>
    </row>
    <row r="363" ht="10" customHeight="1">
      <c r="A363" s="7" t="n">
        <v>3269</v>
      </c>
      <c r="B363" s="7" t="inlineStr">
        <is>
          <t>WPN</t>
        </is>
      </c>
      <c r="C363" s="7" t="inlineStr">
        <is>
          <t>MSE Missile</t>
        </is>
      </c>
      <c r="D363" s="7" t="inlineStr">
        <is>
          <t>Reconciliation-only item. No detail exhibit in unclassified justification book. FY2026 mandatory funding only.</t>
        </is>
      </c>
    </row>
    <row r="364" ht="10" customHeight="1">
      <c r="A364" s="7" t="n">
        <v>3270</v>
      </c>
      <c r="B364" s="7" t="inlineStr">
        <is>
          <t>WPN</t>
        </is>
      </c>
      <c r="C364" s="7" t="inlineStr">
        <is>
          <t>Joint Air Ground Missile (JAGM)</t>
        </is>
      </c>
      <c r="D364" s="7" t="inlineStr">
        <is>
          <t>The Joint Air-to-Ground Missile (JAGM) is an Army-led air-launched missile system that incorporates multi-mode seeker technology thus providing advanced Line-of-Sight and Beyond-Line-of-Sight precision fire-and-forget seeker targeting capabilities resulting in increased lethality against soft, hardened, moving, stationary, land, and maritime threats.</t>
        </is>
      </c>
    </row>
    <row r="365" ht="10" customHeight="1">
      <c r="A365" s="7" t="n">
        <v>3271</v>
      </c>
      <c r="B365" s="7" t="inlineStr">
        <is>
          <t>WPN</t>
        </is>
      </c>
      <c r="C365" s="7" t="inlineStr">
        <is>
          <t>Hellfire</t>
        </is>
      </c>
      <c r="D365" s="7" t="inlineStr">
        <is>
          <t>AGM-114 Hellfire is a family of laser guided missiles employed against stationary, moving, land, aerial and maritime targets by both rotary and fixed wing aircraft.</t>
        </is>
      </c>
    </row>
    <row r="366" ht="10" customHeight="1">
      <c r="A366" s="7" t="n">
        <v>3272</v>
      </c>
      <c r="B366" s="7" t="inlineStr">
        <is>
          <t>WPN</t>
        </is>
      </c>
      <c r="C366" s="7" t="inlineStr">
        <is>
          <t>Aerial Targets</t>
        </is>
      </c>
      <c r="D366" s="7" t="inlineStr">
        <is>
          <t>The Aerial Targets program provides threat representative aerial targets for test and evaluation (T&amp;E) and fleet training events. Assets procured under this line item are used to simulate and replicate currently fielded subsonic and supersonic Anti-Ship Cruise Missile (ASCM) threats and Air-to-Air threats.</t>
        </is>
      </c>
    </row>
    <row r="367" ht="10" customHeight="1">
      <c r="A367" s="7" t="n">
        <v>3277</v>
      </c>
      <c r="B367" s="7" t="inlineStr">
        <is>
          <t>WPN</t>
        </is>
      </c>
      <c r="C367" s="7" t="inlineStr">
        <is>
          <t>Other Missile Support</t>
        </is>
      </c>
      <c r="D367" s="7" t="inlineStr">
        <is>
          <t>The MK-41 Vertical Launching System (VLS) is a surface combatant missile launching system designed to store, select, and launch various Standard Missile configurations, Tomahawk, Tactical Tomahawk (TACTOM), Evolved SeaSparrow (ESSM) and Vertical Launch Anti-Submarine Rocket (ASROC) (VLA) missiles. The MK-41 VLS significantly improves missile capacity, flexibility, multi-mission capability, and reaction time.</t>
        </is>
      </c>
    </row>
    <row r="368" ht="10" customHeight="1">
      <c r="A368" s="7" t="n">
        <v>3278</v>
      </c>
      <c r="B368" s="7" t="inlineStr">
        <is>
          <t>WPN</t>
        </is>
      </c>
      <c r="C368" s="7" t="inlineStr">
        <is>
          <t>LRASM</t>
        </is>
      </c>
      <c r="D368" s="7" t="inlineStr">
        <is>
          <t>Long Range Anti-Ship Missile (LRASM) is Increment 1 of the Offensive Anti-Surface Warfare (OASuW) weapon development program. LRASM (AGM-158C) is a key air launched component of the Navy's overall Cruise Missile Strategy.</t>
        </is>
      </c>
    </row>
    <row r="369" ht="10" customHeight="1">
      <c r="A369" s="7" t="n">
        <v>3281</v>
      </c>
      <c r="B369" s="7" t="inlineStr">
        <is>
          <t>WPN</t>
        </is>
      </c>
      <c r="C369" s="7" t="inlineStr">
        <is>
          <t>Naval Strike Missile (NSM)</t>
        </is>
      </c>
      <c r="D369"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row>
    <row r="370" ht="10" customHeight="1">
      <c r="A370" s="7" t="n">
        <v>3282</v>
      </c>
      <c r="B370" s="7" t="inlineStr">
        <is>
          <t>WPN</t>
        </is>
      </c>
      <c r="C370" s="7" t="inlineStr">
        <is>
          <t>Naval Strike Missile (NSM) Advance Procurement</t>
        </is>
      </c>
      <c r="D370"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row>
    <row r="371" ht="10" customHeight="1">
      <c r="A371" s="7" t="n">
        <v>3283</v>
      </c>
      <c r="B371" s="7" t="inlineStr">
        <is>
          <t>WPN</t>
        </is>
      </c>
      <c r="C371" s="7" t="inlineStr">
        <is>
          <t>Tomahawk Mods</t>
        </is>
      </c>
      <c r="D371" s="7" t="inlineStr">
        <is>
          <t>The Block V Tactical Tomahawk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row>
    <row r="372" ht="10" customHeight="1">
      <c r="A372" s="7" t="n">
        <v>3284</v>
      </c>
      <c r="B372" s="7" t="inlineStr">
        <is>
          <t>WPN</t>
        </is>
      </c>
      <c r="C372" s="7" t="inlineStr">
        <is>
          <t>Evolved Sea Sparrow Missile (ESSM)</t>
        </is>
      </c>
      <c r="D372" s="7" t="inlineStr">
        <is>
          <t>The Evolved SEASPARROW Missile (ESSM) Program is an international cooperative effort among twelve NATO SEASPARROW nations established to design, develop, test, produce and provide in-service support to a new and improved version of the SPARROW missile (RIM-7P) with the kinematic performance to defeat current and projected threats. ESSM consists of Blk 1 and Blk 2 missiles.</t>
        </is>
      </c>
    </row>
    <row r="373" ht="10" customHeight="1">
      <c r="A373" s="7" t="n">
        <v>3285</v>
      </c>
      <c r="B373" s="7" t="inlineStr">
        <is>
          <t>WPN</t>
        </is>
      </c>
      <c r="C373" s="7" t="inlineStr">
        <is>
          <t>AARGM-ER</t>
        </is>
      </c>
      <c r="D373" s="7" t="inlineStr">
        <is>
          <t>AGM-88G Advanced Anti-Radiation Guided Missile Extended Range (AARGM-ER) is an ACAT-1B program. The AARGM-ER program will integrate hardware and software upgrades to the AARGM missile guidance and control sections, a new rocket motor, and a Control Actuation System (CAS) into a new outer mold line able to be launched from FA-18 E/F, EA-18G and is compatible with F-35 internal bay platforms.</t>
        </is>
      </c>
    </row>
    <row r="374" ht="10" customHeight="1">
      <c r="A374" s="7" t="n">
        <v>3288</v>
      </c>
      <c r="B374" s="7" t="inlineStr">
        <is>
          <t>WPN</t>
        </is>
      </c>
      <c r="C374" s="7" t="inlineStr">
        <is>
          <t>AARGM-ER Advance Procurement</t>
        </is>
      </c>
      <c r="D374" s="7" t="inlineStr">
        <is>
          <t>The AARGM-ER Advance Procurement (AP) funding will be used to procure long-lead material to reduce the overall lead-time for missile production. The long lead Contractor Furnished Equipment materials and subcomponents may include specialty materials (e.g., Inconel, Titanium, and D6AC Steel), warhead explosive material, and Circuit Card Assembly subcomponents.</t>
        </is>
      </c>
    </row>
    <row r="375" ht="10" customHeight="1">
      <c r="A375" s="7" t="n">
        <v>3289</v>
      </c>
      <c r="B375" s="7" t="inlineStr">
        <is>
          <t>WPN</t>
        </is>
      </c>
      <c r="C375" s="7" t="inlineStr">
        <is>
          <t>Standard Missiles Mods</t>
        </is>
      </c>
      <c r="D375" s="7" t="inlineStr">
        <is>
          <t>SM-2 BLK IIIC provides enhanced stream-raid performance against numerous threats, via target resolution and missile/target pairing logic, over-the-horizon capability for increased depth of fire, enhanced capability against electronic attack and improved firepower due to decreased dependence on illuminators. The inventory objective is 1,000 units.</t>
        </is>
      </c>
    </row>
    <row r="376" ht="10" customHeight="1">
      <c r="A376" s="7" t="n">
        <v>3290</v>
      </c>
      <c r="B376" s="7" t="inlineStr">
        <is>
          <t>WPN</t>
        </is>
      </c>
      <c r="C376" s="7" t="inlineStr">
        <is>
          <t>Weapons Industrial Facilities</t>
        </is>
      </c>
      <c r="D376" s="7" t="inlineStr">
        <is>
          <t>The funding will alleviate sub-tier component bottlenecks including safe and arm devices/igniters, propulsion systems, thermal batteries, airframes, control/motion/guidance systems, as well as plan and design for future surge capacity by integrating overlapping demand at component suppliers.</t>
        </is>
      </c>
    </row>
    <row r="377" ht="10" customHeight="1">
      <c r="A377" s="7" t="n">
        <v>3291</v>
      </c>
      <c r="B377" s="7" t="inlineStr">
        <is>
          <t>WPN</t>
        </is>
      </c>
      <c r="C377" s="7" t="inlineStr">
        <is>
          <t>Ordnance Support Equipment</t>
        </is>
      </c>
      <c r="D377" s="7" t="inlineStr">
        <is>
          <t>The details of this budget justification are classified, per Executive Order 13526, Sec 1.4 (a) and are submitted annually to Congress in the classified budget justification book.</t>
        </is>
      </c>
    </row>
    <row r="378" ht="10" customHeight="1">
      <c r="A378" s="7" t="n">
        <v>3292</v>
      </c>
      <c r="B378" s="7" t="inlineStr">
        <is>
          <t>WPN</t>
        </is>
      </c>
      <c r="C378" s="7" t="inlineStr">
        <is>
          <t>Surface Ship Torpedo Defense (SSTD)</t>
        </is>
      </c>
      <c r="D378" s="7" t="inlineStr">
        <is>
          <t>The Surface Ship Torpedo Defense (SSTD) family of systems includes Acoustic Device Countermeasures (ADCs), Countermeasure Anti-Torpedo (CAT), Torpedo Warning System (TWS) and the AN/SLQ-25 NIXIE program. The ADC is a 3-inch expendable torpedo countermeasure (CM) that provides an over-the-side soft-kill defense against threat torpedoes.</t>
        </is>
      </c>
    </row>
    <row r="379" ht="10" customHeight="1">
      <c r="A379" s="7" t="n">
        <v>3293</v>
      </c>
      <c r="B379" s="7" t="inlineStr">
        <is>
          <t>WPN</t>
        </is>
      </c>
      <c r="C379" s="7" t="inlineStr">
        <is>
          <t>MK-48 Torpedo</t>
        </is>
      </c>
      <c r="D379" s="7" t="inlineStr">
        <is>
          <t>The MK 48 Heavyweight Torpedo is the U.S. Navy's submarine launched Anti-Submarine Warfare (ASW) and primary Anti-Surface Warfare (ASuW) weapon. The Heavyweight Torpedo provides the submarine force with an effective weapon against threat submarines and surface combatants to assist in achieving Sea Control and neutralizing or destroying threats to high value vessels.</t>
        </is>
      </c>
    </row>
    <row r="380" ht="10" customHeight="1">
      <c r="A380" s="7" t="n">
        <v>3294</v>
      </c>
      <c r="B380" s="7" t="inlineStr">
        <is>
          <t>WPN</t>
        </is>
      </c>
      <c r="C380" s="7" t="inlineStr">
        <is>
          <t>ASW Targets</t>
        </is>
      </c>
      <c r="D380" s="7" t="inlineStr">
        <is>
          <t>The MK-39 MOD 3 Expendable Mobile ASW Training Target (EMATT) is a small self-propelled underwater vehicle launched from fixed wing and rotary wing Anti-Submarine Warfare (ASW) aircraft and ASW surface ships for the purpose of providing basic open ocean sonar training and torpedo placement exercises.</t>
        </is>
      </c>
    </row>
    <row r="381" ht="10" customHeight="1">
      <c r="A381" s="7" t="n">
        <v>3295</v>
      </c>
      <c r="B381" s="7" t="inlineStr">
        <is>
          <t>WPN</t>
        </is>
      </c>
      <c r="C381" s="7" t="inlineStr">
        <is>
          <t>MK-54 Torpedo Mods</t>
        </is>
      </c>
      <c r="D381" s="7" t="inlineStr">
        <is>
          <t>The MK 54 is an anti-submarine torpedo deployed from surface ships and ASW air platforms in littoral scenarios operating in shallow water acoustic and environmental conditions, effective in the presence of threat countermeasures, and capable in deep water engagements. This line item procures MK 54 MOD 0 Torpedo Kits, MK 54 MOD 1 Torpedo Kits and High Altitude ASW Weapon Capability (HAAWC) Air Launch Accessory (ALA) Kits.</t>
        </is>
      </c>
    </row>
    <row r="382" ht="10" customHeight="1">
      <c r="A382" s="7" t="n">
        <v>3296</v>
      </c>
      <c r="B382" s="7" t="inlineStr">
        <is>
          <t>WPN</t>
        </is>
      </c>
      <c r="C382" s="7" t="inlineStr">
        <is>
          <t>MK-48 Torpedo ADCAP Mods</t>
        </is>
      </c>
      <c r="D382" s="7" t="inlineStr">
        <is>
          <t>The CBASS torpedo kit consists of three major components: Guidance &amp; Control Box (GCB), a Broadband Sonar Analog Receiver (BSAR), and preamplifier.</t>
        </is>
      </c>
    </row>
    <row r="383" ht="10" customHeight="1">
      <c r="A383" s="7" t="n">
        <v>3297</v>
      </c>
      <c r="B383" s="7" t="inlineStr">
        <is>
          <t>WPN</t>
        </is>
      </c>
      <c r="C383" s="7" t="inlineStr">
        <is>
          <t>Maritime Mines</t>
        </is>
      </c>
      <c r="D383" s="7" t="inlineStr">
        <is>
          <t>This funding procures all naval mines used for sea denial anti-surface ship or anti-submarine subsurface weapons. The Naval mining capability consists of the MK 67 Submarine Launched Mobile Mine (SLMM), in sustainment only, the MK 68 Clandestine Delivered Mine (CDM), Quickstrike (QS) family of mines, and the Hammerhead Encapsulated Effector.</t>
        </is>
      </c>
    </row>
    <row r="384" ht="10" customHeight="1">
      <c r="A384" s="7" t="n">
        <v>3302</v>
      </c>
      <c r="B384" s="7" t="inlineStr">
        <is>
          <t>WPN</t>
        </is>
      </c>
      <c r="C384" s="7" t="inlineStr">
        <is>
          <t>Torpedo Support Equipment</t>
        </is>
      </c>
      <c r="D384" s="7" t="inlineStr">
        <is>
          <t>The Torpedo Support Equipment account procures various 4T material and associated torpedo components required to maintain weapons for Surface Ships, Submarines, Fixed Wing, and Rotary Wing to achieve ASW and Anti-Surface Warfare (ASUW) readiness.</t>
        </is>
      </c>
    </row>
    <row r="385" ht="10" customHeight="1">
      <c r="A385" s="7" t="n">
        <v>3306</v>
      </c>
      <c r="B385" s="7" t="inlineStr">
        <is>
          <t>WPN</t>
        </is>
      </c>
      <c r="C385" s="7" t="inlineStr">
        <is>
          <t>ASW Range Support</t>
        </is>
      </c>
      <c r="D385" s="7" t="inlineStr">
        <is>
          <t>The Anti-Submarine Warfare (ASW) Range program provides test and training tracking equipment for both Contiguous United States (CONUS) and Outside Contiguous United States (OCONUS). This equipment is used for ground truth tracking of participants during Fleet training exercises and torpedo firings and directly supports reconstruction and analysis for Undersea Warfare (USW) proficiency assessment and test, evaluation &amp; analysis.</t>
        </is>
      </c>
    </row>
    <row r="386" ht="10" customHeight="1">
      <c r="A386" s="7" t="n">
        <v>3307</v>
      </c>
      <c r="B386" s="7" t="inlineStr">
        <is>
          <t>WPN</t>
        </is>
      </c>
      <c r="C386" s="7" t="inlineStr">
        <is>
          <t>First Destination Transportation</t>
        </is>
      </c>
      <c r="D386" s="7" t="inlineStr">
        <is>
          <t>First Destination Transportation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t>
        </is>
      </c>
    </row>
    <row r="387" ht="10" customHeight="1">
      <c r="A387" s="7" t="n">
        <v>3308</v>
      </c>
      <c r="B387" s="7" t="inlineStr">
        <is>
          <t>WPN</t>
        </is>
      </c>
      <c r="C387" s="7" t="inlineStr">
        <is>
          <t>Small Arms and Weapons</t>
        </is>
      </c>
      <c r="D387" s="7" t="inlineStr">
        <is>
          <t>Provides for the initial procurement, force-wide inventory sustainment and standardization, and modernization of US Navy service-common weapon systems and associated weapon equipment, to include required gun mounts and sights. These service-common weapon systems and equipment support force-wide training and security (ashore and afloat), foreign internal defense, peacekeeping missions, and global combat operations.</t>
        </is>
      </c>
    </row>
    <row r="388" ht="10" customHeight="1">
      <c r="A388" s="7" t="n">
        <v>3311</v>
      </c>
      <c r="B388" s="7" t="inlineStr">
        <is>
          <t>WPN</t>
        </is>
      </c>
      <c r="C388" s="7" t="inlineStr">
        <is>
          <t>Close-In Weapons System (CIWS) Mods</t>
        </is>
      </c>
      <c r="D388" s="7" t="inlineStr">
        <is>
          <t>Phalanx Close-In Weapon System (CIWS) is an autonomous combat system that searches, detects, tracks (radar and electro-optic), and engages threats with a 20mm Gatling gun capable of firing 4,500 tungsten penetrator rounds per minute. Integral to ship self-defense and the anti-air warfare defense-in-depth concept, CIWS provides terminal defense against anti-ship missiles and high-speed aircraft penetrating other fleet defenses.</t>
        </is>
      </c>
    </row>
    <row r="389" ht="10" customHeight="1">
      <c r="A389" s="7" t="n">
        <v>3312</v>
      </c>
      <c r="B389" s="7" t="inlineStr">
        <is>
          <t>WPN</t>
        </is>
      </c>
      <c r="C389" s="7" t="inlineStr">
        <is>
          <t>Coast Guard Weapons</t>
        </is>
      </c>
      <c r="D389" s="7" t="inlineStr">
        <is>
          <t>The Coast Guard Weapons line funds the gun weapon systems of the Navy-Type/Navy-Owned Coast Guard Combat System Suite for the United States Coast Guard (USCG) cutters under the Coast Guard Surface Acquisition Program.</t>
        </is>
      </c>
    </row>
    <row r="390" ht="10" customHeight="1">
      <c r="A390" s="7" t="n">
        <v>3313</v>
      </c>
      <c r="B390" s="7" t="inlineStr">
        <is>
          <t>WPN</t>
        </is>
      </c>
      <c r="C390" s="7" t="inlineStr">
        <is>
          <t>Coast Guard Weapons: MK 110 Gun (57mm)</t>
        </is>
      </c>
      <c r="D390" s="7" t="inlineStr">
        <is>
          <t>Provides the 57mm MK 110 gun to engage surface threats, independently or in cooperation with other forces, achieving mission kill on high-speed coastal patrol craft beyond small and intermediate caliber gunfire effective range.</t>
        </is>
      </c>
    </row>
    <row r="391" ht="10" customHeight="1">
      <c r="A391" s="7" t="n">
        <v>3314</v>
      </c>
      <c r="B391" s="7" t="inlineStr">
        <is>
          <t>WPN</t>
        </is>
      </c>
      <c r="C391" s="7" t="inlineStr">
        <is>
          <t>Coast Guard Weapons: MK 160 GCS</t>
        </is>
      </c>
      <c r="D391" s="7" t="inlineStr">
        <is>
          <t>Provides the MK 160 Gun Computer System (GCS) including equipment procurement, production support, systems engineering, data, and software and test support for the National Security Cutter (NSC), aka the Maritime Security Cutter, Large (WMSL), and the Offshore Patrol Cutter (OPC), aka the Maritime Security Cutter, Medium (WMSM).</t>
        </is>
      </c>
    </row>
    <row r="392" ht="10" customHeight="1">
      <c r="A392" s="7" t="n">
        <v>3315</v>
      </c>
      <c r="B392" s="7" t="inlineStr">
        <is>
          <t>WPN</t>
        </is>
      </c>
      <c r="C392" s="7" t="inlineStr">
        <is>
          <t>Coast Guard Weapons: MK 38 Machine Gun Systems</t>
        </is>
      </c>
      <c r="D392" s="7" t="inlineStr">
        <is>
          <t>Provides the MK 38 Mod 2/3/4 Machine Gun System (MGS) equipment and ILS for the Fast Response Cutter (FRC), Offshore Patrol Cutter (OPC/WMSM), Medium Endurance Cutter (WMEC), and Polar Security Cutter (PSC/WMSP).</t>
        </is>
      </c>
    </row>
    <row r="393" ht="10" customHeight="1">
      <c r="A393" s="7" t="n">
        <v>3316</v>
      </c>
      <c r="B393" s="7" t="inlineStr">
        <is>
          <t>WPN</t>
        </is>
      </c>
      <c r="C393" s="7" t="inlineStr">
        <is>
          <t>Coast Guard Weapons: Gun Weapon System Integration</t>
        </is>
      </c>
      <c r="D393" s="7" t="inlineStr">
        <is>
          <t>Ensures successful integration and system interoperability of Navy type equipment that affects the gun weapon systems of USCG National Security Cutter (NSC), the Offshore Patrol Cutter (OPC), the Polar Security Cutter (PSC), and Fast Response Cutters (FRCs). Includes gun weapon system integration support for the OPC ATHENA Control, Correlation &amp; Display (CCD) System.</t>
        </is>
      </c>
    </row>
    <row r="394" ht="10" customHeight="1">
      <c r="A394" s="7" t="n">
        <v>3317</v>
      </c>
      <c r="B394" s="7" t="inlineStr">
        <is>
          <t>WPN</t>
        </is>
      </c>
      <c r="C394" s="7" t="inlineStr">
        <is>
          <t>Gun Mount Mods</t>
        </is>
      </c>
      <c r="D394" s="7" t="inlineStr">
        <is>
          <t>Gun Mount Mods supports various types of Gun Weapon Systems, sub-system modifications, and upgrade requirements.</t>
        </is>
      </c>
    </row>
    <row r="395" ht="10" customHeight="1">
      <c r="A395" s="7" t="n">
        <v>3318</v>
      </c>
      <c r="B395" s="7" t="inlineStr">
        <is>
          <t>WPN</t>
        </is>
      </c>
      <c r="C395" s="7" t="inlineStr">
        <is>
          <t>Gun Mount Mods: Medium Caliber</t>
        </is>
      </c>
      <c r="D395" s="7" t="inlineStr">
        <is>
          <t>Medium Caliber Gun Mounts (MK110 57mm) installed on United States Coast Guard (USCG) Maritime Security Cutters, Large (WMSL), and USCG Maritime Security Cutters, Medium (WMSM) as well as land based training/test units. Funds procure Ordnance Alterations (ORDALT) kits, provide Integrated Logistics Support (ILS), and provide production engineering for system improvements that affect safety, reliability and maintainability.</t>
        </is>
      </c>
    </row>
    <row r="396" ht="10" customHeight="1">
      <c r="A396" s="7" t="n">
        <v>3319</v>
      </c>
      <c r="B396" s="7" t="inlineStr">
        <is>
          <t>WPN</t>
        </is>
      </c>
      <c r="C396" s="7" t="inlineStr">
        <is>
          <t>Gun Mount Mods: Minor Caliber (MK38)</t>
        </is>
      </c>
      <c r="D396" s="7" t="inlineStr">
        <is>
          <t>Minor Caliber Gun Mounts (MK38 MOD or MK46 MOD) are installed on Amphibious Assault Ships (AS), Aircraft Carrier (nuclear propulsion) (CVN), Guided Missile Cruisers, (CG), Destroyer Designated Guided ships (DDG), Littoral Combat Ships (LCS), and other ship classes. The gun mounts provide an anti-surface warfare and anti-air warfare capability for outfitted ships.</t>
        </is>
      </c>
    </row>
    <row r="397" ht="10" customHeight="1">
      <c r="A397" s="7" t="n">
        <v>3320</v>
      </c>
      <c r="B397" s="7" t="inlineStr">
        <is>
          <t>WPN</t>
        </is>
      </c>
      <c r="C397" s="7" t="inlineStr">
        <is>
          <t>Gun Mount Mods: Major Caliber (MK45)</t>
        </is>
      </c>
      <c r="D397" s="7" t="inlineStr">
        <is>
          <t>The 5-Inch MK45 MOD Gun Mounts are automated, lightweight, single-barrel gun mounts that provide an anti-surface warfare, anti-air warfare, and naval surface fire support capability for outfitted ships. Funds procure ORDALTs kits and provide ILS and production engineering for system improvements that affect safety, reliability, maintainability.</t>
        </is>
      </c>
    </row>
    <row r="398" ht="10" customHeight="1">
      <c r="A398" s="7" t="n">
        <v>3321</v>
      </c>
      <c r="B398" s="7" t="inlineStr">
        <is>
          <t>WPN</t>
        </is>
      </c>
      <c r="C398" s="7" t="inlineStr">
        <is>
          <t>LCS Module Weapons</t>
        </is>
      </c>
      <c r="D398" s="7" t="inlineStr">
        <is>
          <t>Longbow Hellfire missiles provide Littoral Combat Ship (LCS) firepower to counter enemy high speed, agile surface craft executing swarm tactics. LCS equipped with the Surface Warfare Mission Package (SUW MP) will employ these missiles while escorting High Value Units (HVUs) through choke points and other strategic waterways or while conducting littoral operations.</t>
        </is>
      </c>
    </row>
    <row r="399" ht="10" customHeight="1">
      <c r="A399" s="7" t="n">
        <v>3322</v>
      </c>
      <c r="B399" s="7" t="inlineStr">
        <is>
          <t>WPN</t>
        </is>
      </c>
      <c r="C399" s="7" t="inlineStr">
        <is>
          <t>Airborne Mine Neutralization Systems</t>
        </is>
      </c>
      <c r="D399" s="7" t="inlineStr">
        <is>
          <t>Airborne Mine Countermeasures (AMCM) Equipment is currently deployed on MH-53E helicopters (through FY 2027) and MH-60S helicopters to counter the threat of sea mines. The equipment is divided into three categories -- minesweeping, mine hunting, and mine neutralization.</t>
        </is>
      </c>
    </row>
    <row r="400" ht="10" customHeight="1">
      <c r="A400" s="7" t="n">
        <v>3323</v>
      </c>
      <c r="B400" s="7" t="inlineStr">
        <is>
          <t>WPN</t>
        </is>
      </c>
      <c r="C400" s="7" t="inlineStr">
        <is>
          <t>Spares and Repair Parts</t>
        </is>
      </c>
      <c r="D400" s="7" t="inlineStr">
        <is>
          <t>The Weapons Procurement, Navy (WPN-6) budget line item (BLI) is made up of three budget sub-line items (SUBLIs): SUBLI (20) Initial Spares, SUBLI (30) Torpedo Initial Spares, SUBLI (70) Lay-in and Inventory Augmentation, and SUBLI (90) Vendor Direct/Replenishment spares.</t>
        </is>
      </c>
    </row>
    <row r="401" ht="10" customHeight="1">
      <c r="A401" s="7" t="n">
        <v>3326</v>
      </c>
      <c r="B401" s="7" t="inlineStr">
        <is>
          <t>USCG</t>
        </is>
      </c>
      <c r="C401" s="7" t="inlineStr">
        <is>
          <t>Vessels PPA</t>
        </is>
      </c>
      <c r="D401" s="7" t="inlineStr">
        <is>
          <t>The Vessels PPA provides funding to continue the Service's largest fleet recapitalization since World War II.</t>
        </is>
      </c>
    </row>
    <row r="402" ht="10" customHeight="1">
      <c r="A402" s="7" t="n">
        <v>3327</v>
      </c>
      <c r="B402" s="7" t="inlineStr">
        <is>
          <t>USCG</t>
        </is>
      </c>
      <c r="C402" s="7" t="inlineStr">
        <is>
          <t>In-Service Vessel Sustainment</t>
        </is>
      </c>
      <c r="D402" s="7" t="inlineStr">
        <is>
          <t>In-Service Vessel Sustainment Investment (ISVS) consists of two sub-investments: The SLEP for the 47-foot Motor Life Boats (MLBs), and USCG Yard-supported Investments</t>
        </is>
      </c>
    </row>
    <row r="403" ht="10" customHeight="1">
      <c r="A403" s="7" t="n">
        <v>3328</v>
      </c>
      <c r="B403" s="7" t="inlineStr">
        <is>
          <t>USCG</t>
        </is>
      </c>
      <c r="C403" s="7" t="inlineStr">
        <is>
          <t>47-Foot MLB SLEP</t>
        </is>
      </c>
      <c r="D403" s="7" t="inlineStr">
        <is>
          <t>The ISVS investment supports SLEP efforts on the 47-foot MLBs to extend the service life of 107 boats in the Coast Guard's fleet of 117 MLBs by an estimated 20 years.</t>
        </is>
      </c>
    </row>
    <row r="404" ht="10" customHeight="1">
      <c r="A404" s="7" t="n">
        <v>3329</v>
      </c>
      <c r="B404" s="7" t="inlineStr">
        <is>
          <t>USCG</t>
        </is>
      </c>
      <c r="C404" s="7" t="inlineStr">
        <is>
          <t>CG Yard-Supported Investments (subtotal)</t>
        </is>
      </c>
      <c r="D404" s="7" t="inlineStr">
        <is>
          <t>The ISVS program provides program management and logistics support for vessel repair availabilities including MMAs and SLEPs on existing Coast Guard vessels. This investment includes vessel availabilities supported by the Coast Guard Yard.</t>
        </is>
      </c>
    </row>
    <row r="405" ht="10" customHeight="1">
      <c r="A405" s="7" t="n">
        <v>3330</v>
      </c>
      <c r="B405" s="7" t="inlineStr">
        <is>
          <t>USCG</t>
        </is>
      </c>
      <c r="C405" s="7" t="inlineStr">
        <is>
          <t>270-foot Medium Endurance Cutter (WMEC) SLEP</t>
        </is>
      </c>
      <c r="D405" s="7" t="inlineStr">
        <is>
          <t>The FY 2026 Budget funds program management activities and production efforts on the 270-foot Medium Endurance Cutter SLEP</t>
        </is>
      </c>
    </row>
    <row r="406" ht="10" customHeight="1">
      <c r="A406" s="7" t="n">
        <v>3331</v>
      </c>
      <c r="B406" s="7" t="inlineStr">
        <is>
          <t>USCG</t>
        </is>
      </c>
      <c r="C406" s="7" t="inlineStr">
        <is>
          <t>175-foot Coastal Buoy Tender (WLM) MMA</t>
        </is>
      </c>
      <c r="D406" s="7" t="inlineStr">
        <is>
          <t>Continue detail design engineering and procurement for long lead time materials for 175-foot WLM MMA. Continue production on first 175-foot WLM MMA. Begin production on second hull.</t>
        </is>
      </c>
    </row>
    <row r="407" ht="10" customHeight="1">
      <c r="A407" s="7" t="n">
        <v>3332</v>
      </c>
      <c r="B407" s="7" t="inlineStr">
        <is>
          <t>USCG</t>
        </is>
      </c>
      <c r="C407" s="7" t="inlineStr">
        <is>
          <t>CGC Healy SLEP</t>
        </is>
      </c>
      <c r="D407" s="7" t="inlineStr">
        <is>
          <t>Continue detail design engineering and procurement for long lead time materials for CGC Healy SLEP.</t>
        </is>
      </c>
    </row>
    <row r="408" ht="10" customHeight="1">
      <c r="A408" s="7" t="n">
        <v>3333</v>
      </c>
      <c r="B408" s="7" t="inlineStr">
        <is>
          <t>USCG</t>
        </is>
      </c>
      <c r="C408" s="7" t="inlineStr">
        <is>
          <t>418-foot National Security Cutter (WMSL) MMA</t>
        </is>
      </c>
      <c r="D408" s="7" t="inlineStr">
        <is>
          <t>Continue detail design engineering and procurement for long lead time materials for 418-foot WMSL MMA.</t>
        </is>
      </c>
    </row>
    <row r="409" ht="10" customHeight="1">
      <c r="A409" s="7" t="n">
        <v>3334</v>
      </c>
      <c r="B409" s="7" t="inlineStr">
        <is>
          <t>USCG</t>
        </is>
      </c>
      <c r="C409" s="7" t="inlineStr">
        <is>
          <t>National Security Cutter</t>
        </is>
      </c>
      <c r="D409" s="7" t="inlineStr">
        <is>
          <t>This investment supports the acquisition of NSCs, including Post Delivery Activities (PDA) necessary to make these cutters ready for operations. No funding was requested in the FY 2026 Budget for this.</t>
        </is>
      </c>
    </row>
    <row r="410" ht="10" customHeight="1">
      <c r="A410" s="7" t="n">
        <v>3335</v>
      </c>
      <c r="B410" s="7" t="inlineStr">
        <is>
          <t>USCG</t>
        </is>
      </c>
      <c r="C410" s="7" t="inlineStr">
        <is>
          <t>Offshore Patrol Cutter</t>
        </is>
      </c>
      <c r="D410" s="7" t="inlineStr">
        <is>
          <t>This investment supports the acquisition of 25 planned OPCs, including PDA necessary to make these cutters ready for operations</t>
        </is>
      </c>
    </row>
    <row r="411" ht="10" customHeight="1">
      <c r="A411" s="7" t="n">
        <v>3336</v>
      </c>
      <c r="B411" s="7" t="inlineStr">
        <is>
          <t>USCG</t>
        </is>
      </c>
      <c r="C411" s="7" t="inlineStr">
        <is>
          <t>Fast Response Cutter</t>
        </is>
      </c>
      <c r="D411" s="7" t="inlineStr">
        <is>
          <t>This investment supports the continued FRC production, including those intended for Indo-Pacific operations.</t>
        </is>
      </c>
    </row>
    <row r="412" ht="10" customHeight="1">
      <c r="A412" s="7" t="n">
        <v>3337</v>
      </c>
      <c r="B412" s="7" t="inlineStr">
        <is>
          <t>USCG</t>
        </is>
      </c>
      <c r="C412" s="7" t="inlineStr">
        <is>
          <t>Boats</t>
        </is>
      </c>
      <c r="D412" s="7" t="inlineStr">
        <is>
          <t>This investment supports the acquisition, development, and management of production, delivery, and warranty support for multi-mission cutter and shore-based boats</t>
        </is>
      </c>
    </row>
    <row r="413" ht="10" customHeight="1">
      <c r="A413" s="7" t="n">
        <v>3338</v>
      </c>
      <c r="B413" s="7" t="inlineStr">
        <is>
          <t>USCG</t>
        </is>
      </c>
      <c r="C413" s="7" t="inlineStr">
        <is>
          <t>Polar Security Cutter</t>
        </is>
      </c>
      <c r="D413" s="7" t="inlineStr">
        <is>
          <t>This program supports the acquisition of PSCs, including PDA necessary to make these cutters ready for operations.</t>
        </is>
      </c>
    </row>
    <row r="414" ht="10" customHeight="1">
      <c r="A414" s="7" t="n">
        <v>3339</v>
      </c>
      <c r="B414" s="7" t="inlineStr">
        <is>
          <t>USCG</t>
        </is>
      </c>
      <c r="C414" s="7" t="inlineStr">
        <is>
          <t>Commercially Available Polar Icebreaker</t>
        </is>
      </c>
      <c r="D414" s="7" t="inlineStr">
        <is>
          <t>This investment supports the acquisition of CAPI as a bridge to national presence in the Arctic while the Coast Guard recapitalizes and expands its polar fleet. No funding was requested in the FY 2026 Budget for this.</t>
        </is>
      </c>
    </row>
    <row r="415" ht="10" customHeight="1">
      <c r="A415" s="7" t="n">
        <v>3340</v>
      </c>
      <c r="B415" s="7" t="inlineStr">
        <is>
          <t>USCG</t>
        </is>
      </c>
      <c r="C415" s="7" t="inlineStr">
        <is>
          <t>Great Lakes Icebreaker</t>
        </is>
      </c>
      <c r="D415" s="7" t="inlineStr">
        <is>
          <t>This investment supports the acquisition of a domestic heavy icebreaker to maintain waterborne commerce operating on the Great Lakes during the winter months. No funding was requested in the FY 2026 Budget for this.</t>
        </is>
      </c>
    </row>
    <row r="416" ht="10" customHeight="1">
      <c r="A416" s="7" t="n">
        <v>3341</v>
      </c>
      <c r="B416" s="7" t="inlineStr">
        <is>
          <t>USCG</t>
        </is>
      </c>
      <c r="C416" s="7" t="inlineStr">
        <is>
          <t>Waterways Commerce Cutter</t>
        </is>
      </c>
      <c r="D416" s="7" t="inlineStr">
        <is>
          <t>The WCC program recapitalizes the capabilities provided by the current fleet of inland tenders and barges commissioned between 1944 and 1991.</t>
        </is>
      </c>
    </row>
    <row r="417" ht="10" customHeight="1">
      <c r="A417" s="7" t="n">
        <v>3342</v>
      </c>
      <c r="B417" s="7" t="inlineStr">
        <is>
          <t>USCG</t>
        </is>
      </c>
      <c r="C417" s="7" t="inlineStr">
        <is>
          <t>Survey and Design - Vessels Boats and Aircraft</t>
        </is>
      </c>
      <c r="D417" s="7" t="inlineStr">
        <is>
          <t>This investment primarily funds multi-year engineering survey and design work in direct support of emerging cutter, boat, and aircraft acquisitions and SLEP.</t>
        </is>
      </c>
    </row>
    <row r="418" ht="10" customHeight="1">
      <c r="A418" s="7" t="n">
        <v>3343</v>
      </c>
      <c r="B418" s="7" t="inlineStr">
        <is>
          <t>USCG</t>
        </is>
      </c>
      <c r="C418" s="7" t="inlineStr">
        <is>
          <t>Other Equipment and Systems</t>
        </is>
      </c>
      <c r="D418" s="7" t="inlineStr">
        <is>
          <t>This investment manages procurement of end-use equipment that supports operations, including vessel travel lifts, specialized test equipment for depot maintenance, and specialized vehicles.</t>
        </is>
      </c>
    </row>
    <row r="419" ht="10" customHeight="1">
      <c r="A419" s="7" t="n">
        <v>3344</v>
      </c>
      <c r="B419" s="7" t="inlineStr">
        <is>
          <t>USCG</t>
        </is>
      </c>
      <c r="C419" s="7" t="inlineStr">
        <is>
          <t>Vessel Operation Maintenance and Test Equipment</t>
        </is>
      </c>
      <c r="D419" s="7" t="inlineStr">
        <is>
          <t>End items supporting vessel operation, maintenance, and test requirements.</t>
        </is>
      </c>
    </row>
    <row r="420" ht="10" customHeight="1">
      <c r="A420" s="7" t="n">
        <v>3345</v>
      </c>
      <c r="B420" s="7" t="inlineStr">
        <is>
          <t>USCG</t>
        </is>
      </c>
      <c r="C420" s="7" t="inlineStr">
        <is>
          <t>Program Oversight and Management</t>
        </is>
      </c>
      <c r="D420" s="7" t="inlineStr">
        <is>
          <t>This investment provides the Coast Guard with the overarching capability to protect the government's interests during acquisitions to ensure contractors and suppliers deliver required products and services.</t>
        </is>
      </c>
    </row>
    <row r="421" ht="10" customHeight="1">
      <c r="A421" s="7" t="n">
        <v>3346</v>
      </c>
      <c r="B421" s="7" t="inlineStr">
        <is>
          <t>USCG</t>
        </is>
      </c>
      <c r="C421" s="7" t="inlineStr">
        <is>
          <t>C4ISR</t>
        </is>
      </c>
      <c r="D421" s="7" t="inlineStr">
        <is>
          <t>This investment integrates and supports the design, development, and information assurance posture of C4ISR integrated hardware and software systems on NSCs, OPCs, PSCs, FRCs, WCCs, and legacy 270-foot WMECs undergoing SLEPs.</t>
        </is>
      </c>
    </row>
    <row r="422" ht="10" customHeight="1">
      <c r="A422" s="7" t="n">
        <v>3347</v>
      </c>
      <c r="B422" s="7" t="inlineStr">
        <is>
          <t>USCG</t>
        </is>
      </c>
      <c r="C422" s="7" t="inlineStr">
        <is>
          <t>Cyber and Enterprise Mission Platform</t>
        </is>
      </c>
      <c r="D422" s="7" t="inlineStr">
        <is>
          <t>This investment supports the Coast Guard's Cyber and Enterprise Mission Platform (EMP), delivering operational and mission support capabilities for C5I.</t>
        </is>
      </c>
    </row>
    <row r="423" ht="10" customHeight="1">
      <c r="A423" s="7" t="n">
        <v>3348</v>
      </c>
      <c r="B423" s="7" t="inlineStr">
        <is>
          <t>USCG</t>
        </is>
      </c>
      <c r="C423" s="7" t="inlineStr">
        <is>
          <t>In-Service Systems Sustainment (ISSS)</t>
        </is>
      </c>
      <c r="D423" s="7" t="inlineStr">
        <is>
          <t>The principal focus of ISSS activities is providing maintenance and upgrades for C5I systems to ensure continued operational capability. The majority of critical NSC C5I systems face obsolescence in the coming years.</t>
        </is>
      </c>
    </row>
    <row r="424" ht="10" customHeight="1">
      <c r="A424" s="7" t="n">
        <v>3349</v>
      </c>
      <c r="B424" s="7" t="inlineStr">
        <is>
          <t>USCG</t>
        </is>
      </c>
      <c r="C424" s="7" t="inlineStr">
        <is>
          <t>Major Acquisition Systems Infrastructure</t>
        </is>
      </c>
      <c r="D424" s="7" t="inlineStr">
        <is>
          <t>This program supports shore facility infrastructure modifications, upgrades, new construction, and real property and land acquisition associated with homeporting new or modified cutters, boats, and aircraft.</t>
        </is>
      </c>
    </row>
    <row r="425" ht="10" customHeight="1">
      <c r="A425" s="7" t="n">
        <v>3350</v>
      </c>
      <c r="B425" s="7" t="inlineStr">
        <is>
          <t>USCG</t>
        </is>
      </c>
      <c r="C425" s="7" t="inlineStr">
        <is>
          <t>Unmanned Aircraft Systems (on NSCs)</t>
        </is>
      </c>
      <c r="D425" s="7" t="inlineStr">
        <is>
          <t>This investment provides persistent airborne surveillance capability and serves as an ISR platform for Coast Guard operations. Continues to support installation of the UAS system on the NSC fleet.</t>
        </is>
      </c>
    </row>
    <row r="426" ht="10" customHeight="1">
      <c r="A426" s="7" t="n">
        <v>3351</v>
      </c>
      <c r="B426" s="7" t="inlineStr">
        <is>
          <t>USCG</t>
        </is>
      </c>
      <c r="C426" s="7" t="inlineStr">
        <is>
          <t>Depot Level Maintenance (O&amp;S legislative earmark)</t>
        </is>
      </c>
      <c r="D426" s="7" t="inlineStr">
        <is>
          <t>$400,000,000 shall remain available until September 30, 2027, which shall only be available for depot level maintenance</t>
        </is>
      </c>
    </row>
    <row r="427" ht="10" customHeight="1">
      <c r="A427" s="7" t="n">
        <v>3354</v>
      </c>
      <c r="B427" s="7" t="inlineStr">
        <is>
          <t>USCG</t>
        </is>
      </c>
      <c r="C427" s="7" t="inlineStr">
        <is>
          <t>Commercial Icebreaker Follow-On (O&amp;S program change)</t>
        </is>
      </c>
      <c r="D427" s="7" t="inlineStr">
        <is>
          <t>The FY 2026 Budget funds Operation and Maintenance (O&amp;M) for a recently acquired commercially available polar icebreaker, the future Coast Guard Cutter Storis.</t>
        </is>
      </c>
    </row>
    <row r="428" ht="10" customHeight="1">
      <c r="A428" s="7" t="n">
        <v>3355</v>
      </c>
      <c r="B428" s="7" t="inlineStr">
        <is>
          <t>USCG</t>
        </is>
      </c>
      <c r="C428" s="7" t="inlineStr">
        <is>
          <t>Fast Response Cutter (FRC) Follow-On (O&amp;S program change)</t>
        </is>
      </c>
      <c r="D428" s="7" t="inlineStr">
        <is>
          <t>The FY 2026 Budget funds personnel, O&amp;M, and mission support elements for four FRCs scheduled for delivery in FY 2026.</t>
        </is>
      </c>
    </row>
    <row r="429" ht="10" customHeight="1">
      <c r="A429" s="7" t="n">
        <v>3356</v>
      </c>
      <c r="B429" s="7" t="inlineStr">
        <is>
          <t>USCG</t>
        </is>
      </c>
      <c r="C429" s="7" t="inlineStr">
        <is>
          <t>Offshore Patrol Cutter (OPC) Follow-On (O&amp;S program change)</t>
        </is>
      </c>
      <c r="D429" s="7" t="inlineStr">
        <is>
          <t>The FY 2026 Budget funds the crew (first phase) for Coast Guard Cutter Pickering the fifth OPC which is scheduled for delivery in FY 2027.</t>
        </is>
      </c>
    </row>
    <row r="430" ht="10" customHeight="1">
      <c r="A430" s="7" t="n">
        <v>3357</v>
      </c>
      <c r="B430" s="7" t="inlineStr">
        <is>
          <t>USCG</t>
        </is>
      </c>
      <c r="C430" s="7" t="inlineStr">
        <is>
          <t>Waterways Commerce Cutter (WCC) Follow-On (O&amp;S program change)</t>
        </is>
      </c>
      <c r="D430" s="7" t="inlineStr">
        <is>
          <t>The FY 2026 request funds crew and O&amp;M for two WCCs scheduled for delivery in FY 2026.</t>
        </is>
      </c>
    </row>
    <row r="431" ht="10" customHeight="1">
      <c r="A431" s="7" t="n">
        <v>3358</v>
      </c>
      <c r="B431" s="7" t="inlineStr">
        <is>
          <t>USCG</t>
        </is>
      </c>
      <c r="C431" s="7" t="inlineStr">
        <is>
          <t>Decommission Reliance Class Medium Endurance Cutters (WMEC) (O&amp;S)</t>
        </is>
      </c>
      <c r="D431" s="7" t="inlineStr">
        <is>
          <t>The FY 2026 Budget decommissions three 210-foot Reliance Class WMECs. The 210-foot Reliance Class fleet is operating well beyond its projected 20-year service life.</t>
        </is>
      </c>
    </row>
    <row r="432" ht="10" customHeight="1">
      <c r="A432" s="7" t="n">
        <v>3359</v>
      </c>
      <c r="B432" s="7" t="inlineStr">
        <is>
          <t>USCG</t>
        </is>
      </c>
      <c r="C432" s="7" t="inlineStr">
        <is>
          <t>Indo-Pacific Expansion (O&amp;S program change)</t>
        </is>
      </c>
      <c r="D432" s="7" t="inlineStr">
        <is>
          <t>The FY 2026 Budget strengthens Coast Guard operations in the Indo-Pacific region. Key investments include sustaining more frequent and effective surface deployments through increased funding for operations, maintenance, C5I enhancements</t>
        </is>
      </c>
    </row>
    <row r="433" ht="10" customHeight="1">
      <c r="A433" s="7" t="n">
        <v>3360</v>
      </c>
      <c r="B433" s="7" t="inlineStr">
        <is>
          <t>USCG</t>
        </is>
      </c>
      <c r="C433" s="7" t="inlineStr">
        <is>
          <t>Search and Rescue Capabilities (O&amp;S program change)</t>
        </is>
      </c>
      <c r="D433" s="7" t="inlineStr">
        <is>
          <t>The FY 2026 Budget enhances the Service's search and rescue capabilities by providing funds to procure service-life boat replacements and establish a full-time multi-mission boat station in the U.S. Virgin Islands.</t>
        </is>
      </c>
    </row>
    <row r="434" ht="10" customHeight="1">
      <c r="A434" s="7" t="n">
        <v>3361</v>
      </c>
      <c r="B434" s="7" t="inlineStr">
        <is>
          <t>USCG</t>
        </is>
      </c>
      <c r="C434" s="7" t="inlineStr">
        <is>
          <t>Yard Fund (Revolving)</t>
        </is>
      </c>
      <c r="D434" s="7" t="inlineStr">
        <is>
          <t>The Coast Guard Yard, located in Curtis Bay, MD, provides engineering support and industrial services for maintenance and repair of Coast Guard cutters, aids to navigation and other equipment.</t>
        </is>
      </c>
    </row>
    <row r="435" ht="10" customHeight="1">
      <c r="A435" s="7" t="n">
        <v>3374</v>
      </c>
      <c r="B435" s="7" t="inlineStr">
        <is>
          <t>SCN</t>
        </is>
      </c>
      <c r="C435" s="7" t="inlineStr">
        <is>
          <t>Surface Ship Industrial Base</t>
        </is>
      </c>
      <c r="D435" s="7" t="inlineStr">
        <is>
          <t>Industrial base investment for surface combatant construction (FY27 mandatory request).</t>
        </is>
      </c>
    </row>
    <row r="436" ht="10" customHeight="1">
      <c r="A436" s="7" t="n">
        <v>3375</v>
      </c>
      <c r="B436" s="7" t="inlineStr">
        <is>
          <t>SCN</t>
        </is>
      </c>
      <c r="C436" s="7" t="inlineStr">
        <is>
          <t>BBG(X)</t>
        </is>
      </c>
      <c r="D436" s="7" t="inlineStr">
        <is>
          <t>New large surface combatant program (BBG(X)). FY27 advance procurement to support a future ship buy.</t>
        </is>
      </c>
    </row>
    <row r="437" ht="10" customHeight="1">
      <c r="A437" s="7" t="n">
        <v>3376</v>
      </c>
      <c r="B437" s="7" t="inlineStr">
        <is>
          <t>SCN</t>
        </is>
      </c>
      <c r="C437" s="7" t="inlineStr">
        <is>
          <t>FF(X)</t>
        </is>
      </c>
      <c r="D437" s="7" t="inlineStr">
        <is>
          <t>Future Frigate (FF(X)). 1 ship in FY27 — appears to be a new procurement line distinct from FFG-62 Constellation.</t>
        </is>
      </c>
    </row>
    <row r="438" ht="10" customHeight="1">
      <c r="A438" s="7" t="n">
        <v>3377</v>
      </c>
      <c r="B438" s="7" t="inlineStr">
        <is>
          <t>SCN</t>
        </is>
      </c>
      <c r="C438" s="7" t="inlineStr">
        <is>
          <t>AS Submarine Tender</t>
        </is>
      </c>
      <c r="D438" s="7" t="inlineStr">
        <is>
          <t>New submarine tender procurement. 2 ships in FY27.</t>
        </is>
      </c>
    </row>
    <row r="439" ht="10" customHeight="1">
      <c r="A439" s="7" t="n">
        <v>3378</v>
      </c>
      <c r="B439" s="7" t="inlineStr">
        <is>
          <t>SCN</t>
        </is>
      </c>
      <c r="C439" s="7" t="inlineStr">
        <is>
          <t>SMS-Special Mission Ship</t>
        </is>
      </c>
      <c r="D439" s="7" t="inlineStr">
        <is>
          <t>New Special Mission Ship (SMS) program. 1 ship in FY27 (mandatory request).</t>
        </is>
      </c>
    </row>
    <row r="440" ht="10" customHeight="1">
      <c r="A440" s="7" t="n">
        <v>3379</v>
      </c>
      <c r="B440" s="7" t="inlineStr">
        <is>
          <t>SCN</t>
        </is>
      </c>
      <c r="C440" s="7" t="inlineStr">
        <is>
          <t>Next Generation Logistics Ship</t>
        </is>
      </c>
      <c r="D440" s="7" t="inlineStr">
        <is>
          <t>NGLS — new logistics ship program. FY26 had AP funding; no FY27 funding shown in P-1.</t>
        </is>
      </c>
    </row>
    <row r="441" ht="10" customHeight="1">
      <c r="A441" s="7" t="n">
        <v>3380</v>
      </c>
      <c r="B441" s="7" t="inlineStr">
        <is>
          <t>SCN</t>
        </is>
      </c>
      <c r="C441" s="7" t="inlineStr">
        <is>
          <t>Bulk Fuel Vessel</t>
        </is>
      </c>
      <c r="D441" s="7" t="inlineStr">
        <is>
          <t>New Bulk Fuel Vessel program. 1 ship in FY27.</t>
        </is>
      </c>
    </row>
    <row r="442" ht="10" customHeight="1">
      <c r="A442" s="7" t="n">
        <v>3381</v>
      </c>
      <c r="B442" s="7" t="inlineStr">
        <is>
          <t>SCN</t>
        </is>
      </c>
      <c r="C442" s="7" t="inlineStr">
        <is>
          <t>T-AH(X)</t>
        </is>
      </c>
      <c r="D442" s="7" t="inlineStr">
        <is>
          <t>Next-generation hospital ship (T-AH replacement). 1 ship in FY27 (mandatory request).</t>
        </is>
      </c>
    </row>
    <row r="443" ht="10" customHeight="1">
      <c r="A443" s="7" t="n">
        <v>3382</v>
      </c>
      <c r="B443" s="7" t="inlineStr">
        <is>
          <t>SCN</t>
        </is>
      </c>
      <c r="C443" s="7" t="inlineStr">
        <is>
          <t>Fireboats</t>
        </is>
      </c>
      <c r="D443" s="7" t="inlineStr">
        <is>
          <t>New Fireboats procurement. 5 fireboats in FY27 (mandatory request).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2026-04-13T19:38:00Z</dcterms:created>
  <dcterms:modified xmlns:dcterms="http://purl.org/dc/terms/" xmlns:xsi="http://www.w3.org/2001/XMLSchema-instance" xsi:type="dcterms:W3CDTF">2026-04-14T13:05:52Z</dcterms:modified>
  <cp:lastModifiedBy>Brendan Toole</cp:lastModifiedBy>
</cp:coreProperties>
</file>